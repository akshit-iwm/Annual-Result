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55BA86E5-4CB4-4404-B362-B2F134918F3C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3" i="1" l="1"/>
  <c r="CL14" i="1"/>
  <c r="CL15" i="1"/>
  <c r="CL16" i="1"/>
  <c r="CL17" i="1"/>
  <c r="CL253" i="1"/>
  <c r="CK4" i="1"/>
  <c r="CJ4" i="1"/>
  <c r="CI4" i="1"/>
  <c r="CH4" i="1"/>
  <c r="CG4" i="1"/>
  <c r="CK13" i="1" s="1"/>
  <c r="CF4" i="1"/>
  <c r="CF10" i="1" s="1"/>
  <c r="CE4" i="1"/>
  <c r="Z4" i="1" s="1"/>
  <c r="CD4" i="1"/>
  <c r="CD10" i="1" s="1"/>
  <c r="CC4" i="1"/>
  <c r="CB4" i="1"/>
  <c r="CA4" i="1"/>
  <c r="Y4" i="1" s="1"/>
  <c r="CK17" i="1"/>
  <c r="CJ17" i="1"/>
  <c r="CK14" i="1"/>
  <c r="CK16" i="1"/>
  <c r="CK15" i="1"/>
  <c r="CK10" i="1"/>
  <c r="CJ10" i="1"/>
  <c r="Y5" i="1"/>
  <c r="Z5" i="1"/>
  <c r="Y6" i="1"/>
  <c r="Z6" i="1"/>
  <c r="Y7" i="1"/>
  <c r="Z7" i="1"/>
  <c r="Z16" i="1" s="1"/>
  <c r="Y8" i="1"/>
  <c r="Z8" i="1"/>
  <c r="Z17" i="1" s="1"/>
  <c r="Y9" i="1"/>
  <c r="Z9" i="1"/>
  <c r="CI17" i="1"/>
  <c r="CH17" i="1"/>
  <c r="CG17" i="1"/>
  <c r="CF17" i="1"/>
  <c r="CE17" i="1"/>
  <c r="CJ16" i="1"/>
  <c r="CI16" i="1"/>
  <c r="CH16" i="1"/>
  <c r="CG16" i="1"/>
  <c r="CF16" i="1"/>
  <c r="CE16" i="1"/>
  <c r="CJ15" i="1"/>
  <c r="CI15" i="1"/>
  <c r="CH15" i="1"/>
  <c r="CG15" i="1"/>
  <c r="CF15" i="1"/>
  <c r="CE15" i="1"/>
  <c r="CJ14" i="1"/>
  <c r="CI14" i="1"/>
  <c r="CH14" i="1"/>
  <c r="CG14" i="1"/>
  <c r="CF14" i="1"/>
  <c r="CE14" i="1"/>
  <c r="CG13" i="1"/>
  <c r="CF13" i="1"/>
  <c r="CE13" i="1"/>
  <c r="CB10" i="1"/>
  <c r="CC10" i="1"/>
  <c r="CG10" i="1"/>
  <c r="CH10" i="1"/>
  <c r="CI10" i="1"/>
  <c r="CA10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0" i="1"/>
  <c r="AB23" i="1"/>
  <c r="AC23" i="1"/>
  <c r="AD23" i="1"/>
  <c r="AE23" i="1"/>
  <c r="AB36" i="1"/>
  <c r="AC36" i="1"/>
  <c r="AD36" i="1"/>
  <c r="AE36" i="1"/>
  <c r="AE35" i="1"/>
  <c r="AD35" i="1"/>
  <c r="AC35" i="1"/>
  <c r="AB35" i="1"/>
  <c r="AJ223" i="1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C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75" i="2"/>
  <c r="AE99" i="2"/>
  <c r="AE63" i="2"/>
  <c r="AD81" i="2"/>
  <c r="AD97" i="2"/>
  <c r="AC24" i="2"/>
  <c r="AC78" i="2"/>
  <c r="AC106" i="2"/>
  <c r="AB46" i="2"/>
  <c r="AC48" i="2"/>
  <c r="AB22" i="2"/>
  <c r="AD66" i="2"/>
  <c r="AD90" i="2"/>
  <c r="AD98" i="2"/>
  <c r="AD110" i="2"/>
  <c r="AE5" i="2"/>
  <c r="AE56" i="2"/>
  <c r="AC81" i="2"/>
  <c r="AF22" i="2"/>
  <c r="AE59" i="2"/>
  <c r="AD95" i="2"/>
  <c r="AE107" i="2"/>
  <c r="AF84" i="2"/>
  <c r="AC82" i="2"/>
  <c r="AF66" i="2"/>
  <c r="AE35" i="2"/>
  <c r="AE7" i="2"/>
  <c r="AB106" i="2"/>
  <c r="AC86" i="2"/>
  <c r="AE72" i="2"/>
  <c r="AD99" i="2"/>
  <c r="AF72" i="2"/>
  <c r="AF13" i="2"/>
  <c r="AF40" i="2"/>
  <c r="AF48" i="2"/>
  <c r="AC13" i="2"/>
  <c r="AC52" i="2"/>
  <c r="AF47" i="2"/>
  <c r="AB61" i="2"/>
  <c r="AB69" i="2"/>
  <c r="AB85" i="2"/>
  <c r="AB105" i="2"/>
  <c r="AE13" i="2"/>
  <c r="AC61" i="2"/>
  <c r="AB68" i="2"/>
  <c r="AB104" i="2"/>
  <c r="AE54" i="2"/>
  <c r="AE23" i="2"/>
  <c r="AD109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F6" i="2"/>
  <c r="AB36" i="2"/>
  <c r="AB64" i="2"/>
  <c r="AC26" i="2"/>
  <c r="AC53" i="2"/>
  <c r="AE68" i="2"/>
  <c r="AE80" i="2"/>
  <c r="AE92" i="2"/>
  <c r="AD19" i="2"/>
  <c r="AD54" i="2"/>
  <c r="AE50" i="2"/>
  <c r="AF78" i="2"/>
  <c r="AF94" i="2"/>
  <c r="AC16" i="2"/>
  <c r="AC76" i="2"/>
  <c r="AC104" i="2"/>
  <c r="AB66" i="2"/>
  <c r="AB82" i="2"/>
  <c r="AB98" i="2"/>
  <c r="AE27" i="2"/>
  <c r="AE81" i="2"/>
  <c r="AE109" i="2"/>
  <c r="AB11" i="2"/>
  <c r="AB19" i="2"/>
  <c r="AB27" i="2"/>
  <c r="AB35" i="2"/>
  <c r="AB54" i="2"/>
  <c r="AC9" i="2"/>
  <c r="AC21" i="2"/>
  <c r="AC33" i="2"/>
  <c r="AB6" i="2"/>
  <c r="AB41" i="2"/>
  <c r="AB57" i="2"/>
  <c r="AD74" i="2"/>
  <c r="AD82" i="2"/>
  <c r="AD7" i="2"/>
  <c r="AD42" i="2"/>
  <c r="AE29" i="2"/>
  <c r="AC69" i="2"/>
  <c r="AE94" i="2"/>
  <c r="AF57" i="2"/>
  <c r="AD79" i="2"/>
  <c r="AE19" i="2"/>
  <c r="AE79" i="2"/>
  <c r="AF68" i="2"/>
  <c r="AF104" i="2"/>
  <c r="AC43" i="2"/>
  <c r="AC110" i="2"/>
  <c r="AE98" i="2"/>
  <c r="AF98" i="2"/>
  <c r="AE83" i="2"/>
  <c r="AB70" i="2"/>
  <c r="AC62" i="2"/>
  <c r="AE60" i="2"/>
  <c r="AE84" i="2"/>
  <c r="AC99" i="2"/>
  <c r="AF30" i="2"/>
  <c r="AB62" i="2"/>
  <c r="AD67" i="2"/>
  <c r="AD83" i="2"/>
  <c r="AC51" i="2"/>
  <c r="AC84" i="2"/>
  <c r="AC20" i="2"/>
  <c r="AF108" i="2"/>
  <c r="AE65" i="2"/>
  <c r="AF21" i="2"/>
  <c r="AF18" i="2"/>
  <c r="AC85" i="2"/>
  <c r="AF64" i="2"/>
  <c r="AE87" i="2"/>
  <c r="AD89" i="2"/>
  <c r="AC66" i="2"/>
  <c r="AE6" i="2"/>
  <c r="AE30" i="2"/>
  <c r="AE45" i="2"/>
  <c r="AE57" i="2"/>
  <c r="AB18" i="2"/>
  <c r="AB34" i="2"/>
  <c r="AD64" i="2"/>
  <c r="AD80" i="2"/>
  <c r="AD88" i="2"/>
  <c r="AD108" i="2"/>
  <c r="AD31" i="2"/>
  <c r="AC22" i="2"/>
  <c r="AC49" i="2"/>
  <c r="AE66" i="2"/>
  <c r="AE78" i="2"/>
  <c r="AF14" i="2"/>
  <c r="AE31" i="2"/>
  <c r="AD91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C32" i="2"/>
  <c r="AC80" i="2"/>
  <c r="AC108" i="2"/>
  <c r="AD69" i="2"/>
  <c r="AD85" i="2"/>
  <c r="AD105" i="2"/>
  <c r="AE46" i="2"/>
  <c r="AE85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B12" i="2"/>
  <c r="AB47" i="2"/>
  <c r="AE9" i="2"/>
  <c r="AE33" i="2"/>
  <c r="AC59" i="2"/>
  <c r="AC71" i="2"/>
  <c r="AC83" i="2"/>
  <c r="AD27" i="2"/>
  <c r="AD61" i="2"/>
  <c r="AF82" i="2"/>
  <c r="AB86" i="2"/>
  <c r="AF88" i="2"/>
  <c r="AE89" i="2"/>
  <c r="AF29" i="2"/>
  <c r="AF56" i="2"/>
  <c r="AC25" i="2"/>
  <c r="AC40" i="2"/>
  <c r="AF12" i="2"/>
  <c r="AF28" i="2"/>
  <c r="AB77" i="2"/>
  <c r="AB93" i="2"/>
  <c r="AC93" i="2"/>
  <c r="AE40" i="2"/>
  <c r="AB32" i="2"/>
  <c r="AD12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D15" i="2"/>
  <c r="AD50" i="2"/>
  <c r="AC10" i="2"/>
  <c r="AC34" i="2"/>
  <c r="AF53" i="2"/>
  <c r="AC73" i="2"/>
  <c r="AE106" i="2"/>
  <c r="AB84" i="2"/>
  <c r="AD73" i="2"/>
  <c r="AC90" i="2"/>
  <c r="AE18" i="2"/>
  <c r="AB53" i="2"/>
  <c r="AD72" i="2"/>
  <c r="AD96" i="2"/>
  <c r="AE108" i="2"/>
  <c r="AF62" i="2"/>
  <c r="AE90" i="2"/>
  <c r="AD75" i="2"/>
  <c r="AC72" i="2"/>
  <c r="AC96" i="2"/>
  <c r="AF80" i="2"/>
  <c r="AF96" i="2"/>
  <c r="AE11" i="2"/>
  <c r="AE105" i="2"/>
  <c r="AF5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E69" i="2"/>
  <c r="AE93" i="2"/>
  <c r="AF90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67" i="2"/>
  <c r="AE91" i="2"/>
  <c r="AE42" i="2"/>
  <c r="AF76" i="2"/>
  <c r="AF92" i="2"/>
  <c r="AC70" i="2"/>
  <c r="AC94" i="2"/>
  <c r="AE76" i="2"/>
  <c r="AE88" i="2"/>
  <c r="AB8" i="2"/>
  <c r="AB43" i="2"/>
  <c r="AE15" i="2"/>
  <c r="AB72" i="2"/>
  <c r="AB88" i="2"/>
  <c r="AB108" i="2"/>
  <c r="AC68" i="2"/>
  <c r="AC92" i="2"/>
  <c r="AC55" i="2"/>
  <c r="AD77" i="2"/>
  <c r="AD93" i="2"/>
  <c r="AE73" i="2"/>
  <c r="AE97" i="2"/>
  <c r="AC77" i="2"/>
  <c r="AD46" i="2"/>
  <c r="AF74" i="2"/>
  <c r="AF110" i="2"/>
  <c r="AE95" i="2"/>
  <c r="AC8" i="2"/>
  <c r="AC74" i="2"/>
  <c r="AB9" i="2"/>
  <c r="AB25" i="2"/>
  <c r="AB33" i="2"/>
  <c r="AB44" i="2"/>
  <c r="AB52" i="2"/>
  <c r="AF49" i="2"/>
  <c r="AC60" i="2"/>
  <c r="AE77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E104" i="2"/>
  <c r="AF26" i="2"/>
  <c r="AD59" i="2"/>
  <c r="AC18" i="2"/>
  <c r="AC45" i="2"/>
  <c r="AE64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05" i="2"/>
  <c r="AB28" i="2"/>
  <c r="AB60" i="2"/>
  <c r="AE21" i="2"/>
  <c r="AE48" i="2"/>
  <c r="AC65" i="2"/>
  <c r="AC89" i="2"/>
  <c r="AD11" i="2"/>
  <c r="AC28" i="2"/>
  <c r="AE71" i="2"/>
  <c r="AE58" i="2"/>
  <c r="AB78" i="2"/>
  <c r="AB94" i="2"/>
  <c r="AC98" i="2"/>
  <c r="AB17" i="2"/>
  <c r="AA186" i="1" l="1"/>
  <c r="AA185" i="1"/>
  <c r="AA184" i="1"/>
  <c r="AA178" i="1"/>
  <c r="AA177" i="1"/>
  <c r="AA174" i="1"/>
  <c r="AA173" i="1"/>
  <c r="AA169" i="1"/>
  <c r="AA167" i="1"/>
  <c r="AA165" i="1"/>
  <c r="AA164" i="1"/>
  <c r="AA163" i="1"/>
  <c r="AA161" i="1"/>
  <c r="AA160" i="1"/>
  <c r="AA159" i="1"/>
  <c r="AA158" i="1"/>
  <c r="AA157" i="1"/>
  <c r="AA156" i="1"/>
  <c r="AA154" i="1"/>
  <c r="AA151" i="1"/>
  <c r="AA150" i="1"/>
  <c r="AA149" i="1"/>
  <c r="AA147" i="1"/>
  <c r="AA146" i="1"/>
  <c r="AA145" i="1"/>
  <c r="AA141" i="1"/>
  <c r="AA140" i="1"/>
  <c r="AA139" i="1"/>
  <c r="AA138" i="1"/>
  <c r="AA136" i="1"/>
  <c r="AA133" i="1"/>
  <c r="AA132" i="1"/>
  <c r="AA131" i="1"/>
  <c r="AA93" i="1"/>
  <c r="AA92" i="1"/>
  <c r="AA91" i="1"/>
  <c r="AA81" i="1"/>
  <c r="AA65" i="1"/>
  <c r="AA61" i="1"/>
  <c r="AA60" i="1"/>
  <c r="AA59" i="1"/>
  <c r="AA53" i="1"/>
  <c r="AA50" i="1"/>
  <c r="AA49" i="1"/>
  <c r="AA46" i="1"/>
  <c r="AA39" i="1"/>
  <c r="AA38" i="1"/>
  <c r="AA37" i="1"/>
  <c r="AA36" i="1"/>
  <c r="AA35" i="1"/>
  <c r="AA34" i="1"/>
  <c r="AA29" i="1"/>
  <c r="AA27" i="1"/>
  <c r="AA23" i="1"/>
  <c r="AA22" i="1"/>
  <c r="AA267" i="1"/>
  <c r="AA208" i="1"/>
  <c r="AA187" i="1"/>
  <c r="AA175" i="1"/>
  <c r="AA162" i="1"/>
  <c r="AA148" i="1"/>
  <c r="AA152" i="1" s="1"/>
  <c r="AA194" i="1"/>
  <c r="AA168" i="1"/>
  <c r="AA170" i="1" s="1"/>
  <c r="AA40" i="1"/>
  <c r="AA266" i="1"/>
  <c r="AA245" i="1"/>
  <c r="AA197" i="1"/>
  <c r="AA193" i="1"/>
  <c r="AA134" i="1"/>
  <c r="AA24" i="1"/>
  <c r="AA142" i="1"/>
  <c r="AF113" i="2"/>
  <c r="AB111" i="2"/>
  <c r="AB112" i="2"/>
  <c r="AA87" i="1" s="1"/>
  <c r="CF18" i="1"/>
  <c r="Y10" i="1"/>
  <c r="CM14" i="1"/>
  <c r="CN14" i="1" s="1"/>
  <c r="CG18" i="1"/>
  <c r="AD111" i="2"/>
  <c r="AD113" i="2"/>
  <c r="AF112" i="2"/>
  <c r="AF111" i="2"/>
  <c r="CJ18" i="1"/>
  <c r="CH18" i="1"/>
  <c r="CJ13" i="1"/>
  <c r="CH13" i="1"/>
  <c r="CI13" i="1"/>
  <c r="AA6" i="1"/>
  <c r="AA15" i="1" s="1"/>
  <c r="CE10" i="1"/>
  <c r="Z14" i="1"/>
  <c r="Z13" i="1"/>
  <c r="CK18" i="1"/>
  <c r="Z10" i="1"/>
  <c r="Z15" i="1"/>
  <c r="AA8" i="1"/>
  <c r="AA17" i="1" s="1"/>
  <c r="B1" i="9"/>
  <c r="AC113" i="2"/>
  <c r="A1" i="9"/>
  <c r="AB113" i="2"/>
  <c r="AA88" i="1" s="1"/>
  <c r="AC112" i="2"/>
  <c r="AE112" i="2"/>
  <c r="AD112" i="2"/>
  <c r="AC111" i="2"/>
  <c r="AE111" i="2"/>
  <c r="AE113" i="2"/>
  <c r="L1" i="9"/>
  <c r="AA189" i="1" l="1"/>
  <c r="Z18" i="1"/>
  <c r="AA47" i="1"/>
  <c r="AA260" i="1"/>
  <c r="AA262" i="1"/>
  <c r="AA196" i="1"/>
  <c r="AA171" i="1"/>
  <c r="AA199" i="1"/>
  <c r="AA198" i="1" s="1"/>
  <c r="AA258" i="1"/>
  <c r="AA30" i="1"/>
  <c r="AA112" i="1"/>
  <c r="AA143" i="1"/>
  <c r="AA182" i="1"/>
  <c r="AA123" i="1" s="1"/>
  <c r="AA179" i="1"/>
  <c r="AA180" i="1" s="1"/>
  <c r="AA51" i="1"/>
  <c r="AA41" i="1"/>
  <c r="CM5" i="1"/>
  <c r="CE18" i="1"/>
  <c r="AA7" i="1"/>
  <c r="AA16" i="1" s="1"/>
  <c r="CM16" i="1"/>
  <c r="AA5" i="1"/>
  <c r="AA14" i="1" s="1"/>
  <c r="CL4" i="1"/>
  <c r="CL13" i="1" s="1"/>
  <c r="CO14" i="1"/>
  <c r="CI18" i="1"/>
  <c r="CM15" i="1"/>
  <c r="CN5" i="1"/>
  <c r="CM17" i="1"/>
  <c r="CM8" i="1" s="1"/>
  <c r="DB253" i="1"/>
  <c r="DA253" i="1"/>
  <c r="CZ253" i="1"/>
  <c r="CY253" i="1"/>
  <c r="CX253" i="1"/>
  <c r="CW253" i="1"/>
  <c r="CV253" i="1"/>
  <c r="CU253" i="1"/>
  <c r="CT253" i="1"/>
  <c r="CS253" i="1"/>
  <c r="CR253" i="1"/>
  <c r="CQ253" i="1"/>
  <c r="CP253" i="1"/>
  <c r="CO253" i="1"/>
  <c r="CN253" i="1"/>
  <c r="CM253" i="1"/>
  <c r="CK253" i="1"/>
  <c r="CK150" i="1"/>
  <c r="CM150" i="1" s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CH166" i="1"/>
  <c r="CJ253" i="1"/>
  <c r="Z253" i="1"/>
  <c r="AA195" i="1" l="1"/>
  <c r="AA200" i="1"/>
  <c r="AA31" i="1"/>
  <c r="AA42" i="1"/>
  <c r="CM7" i="1"/>
  <c r="CM6" i="1"/>
  <c r="CM4" i="1" s="1"/>
  <c r="CM13" i="1" s="1"/>
  <c r="AA4" i="1"/>
  <c r="AA13" i="1" s="1"/>
  <c r="CN15" i="1"/>
  <c r="CN16" i="1"/>
  <c r="CP14" i="1"/>
  <c r="CQ14" i="1" s="1"/>
  <c r="CN17" i="1"/>
  <c r="CO5" i="1"/>
  <c r="CI253" i="1"/>
  <c r="CG150" i="1"/>
  <c r="CG253" i="1"/>
  <c r="CH253" i="1"/>
  <c r="AB27" i="1"/>
  <c r="AC27" i="1"/>
  <c r="AD27" i="1"/>
  <c r="AE27" i="1"/>
  <c r="AB28" i="1"/>
  <c r="AC28" i="1"/>
  <c r="AD28" i="1"/>
  <c r="AE28" i="1"/>
  <c r="AB38" i="1"/>
  <c r="AC38" i="1"/>
  <c r="AD38" i="1"/>
  <c r="AE38" i="1"/>
  <c r="AB39" i="1"/>
  <c r="AC39" i="1"/>
  <c r="AD39" i="1"/>
  <c r="AE39" i="1"/>
  <c r="AB61" i="1"/>
  <c r="AC61" i="1"/>
  <c r="AD61" i="1"/>
  <c r="AE61" i="1"/>
  <c r="AB173" i="1"/>
  <c r="AC173" i="1"/>
  <c r="AD173" i="1"/>
  <c r="AE173" i="1"/>
  <c r="AB187" i="1"/>
  <c r="AC187" i="1"/>
  <c r="AD187" i="1"/>
  <c r="AE187" i="1"/>
  <c r="CE150" i="1"/>
  <c r="CE253" i="1"/>
  <c r="CF253" i="1"/>
  <c r="AI211" i="1"/>
  <c r="AI216" i="1"/>
  <c r="AI220" i="1"/>
  <c r="AI223" i="1"/>
  <c r="AI253" i="1"/>
  <c r="Y253" i="1"/>
  <c r="AM150" i="1"/>
  <c r="AO150" i="1"/>
  <c r="AQ150" i="1"/>
  <c r="AS150" i="1"/>
  <c r="AU150" i="1"/>
  <c r="AW150" i="1"/>
  <c r="AY150" i="1"/>
  <c r="BA150" i="1"/>
  <c r="BC150" i="1"/>
  <c r="BE150" i="1"/>
  <c r="BG150" i="1"/>
  <c r="BI150" i="1"/>
  <c r="BK150" i="1"/>
  <c r="BM150" i="1"/>
  <c r="BO150" i="1"/>
  <c r="BQ150" i="1"/>
  <c r="BS150" i="1"/>
  <c r="BU150" i="1"/>
  <c r="BW150" i="1"/>
  <c r="BY150" i="1"/>
  <c r="CA150" i="1"/>
  <c r="CC150" i="1"/>
  <c r="CD253" i="1"/>
  <c r="CC253" i="1"/>
  <c r="AJ253" i="1"/>
  <c r="AK253" i="1"/>
  <c r="AL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46" i="1" l="1"/>
  <c r="AA247" i="1" s="1"/>
  <c r="AA43" i="1"/>
  <c r="AA126" i="1"/>
  <c r="AA48" i="1"/>
  <c r="CN6" i="1"/>
  <c r="CN4" i="1" s="1"/>
  <c r="CN13" i="1" s="1"/>
  <c r="CN7" i="1"/>
  <c r="CO16" i="1"/>
  <c r="CO15" i="1"/>
  <c r="CR14" i="1"/>
  <c r="CS14" i="1" s="1"/>
  <c r="CN8" i="1"/>
  <c r="CO17" i="1"/>
  <c r="CP5" i="1"/>
  <c r="AB5" i="1" s="1"/>
  <c r="AB14" i="1" s="1"/>
  <c r="Y1" i="1"/>
  <c r="Z1" i="1" s="1"/>
  <c r="AA52" i="1" l="1"/>
  <c r="AA69" i="1"/>
  <c r="CT14" i="1"/>
  <c r="CP15" i="1"/>
  <c r="CO6" i="1"/>
  <c r="CO4" i="1" s="1"/>
  <c r="CO13" i="1" s="1"/>
  <c r="CP16" i="1"/>
  <c r="CO7" i="1"/>
  <c r="CO8" i="1"/>
  <c r="CP17" i="1"/>
  <c r="CP8" i="1" s="1"/>
  <c r="CQ5" i="1"/>
  <c r="AA1" i="1"/>
  <c r="AB1" i="1" s="1"/>
  <c r="AC1" i="1" s="1"/>
  <c r="AD1" i="1" s="1"/>
  <c r="AE1" i="1" s="1"/>
  <c r="AA54" i="1" l="1"/>
  <c r="AA55" i="1"/>
  <c r="CP6" i="1"/>
  <c r="CQ15" i="1"/>
  <c r="CP7" i="1"/>
  <c r="AB7" i="1" s="1"/>
  <c r="AB16" i="1" s="1"/>
  <c r="CQ16" i="1"/>
  <c r="AB8" i="1"/>
  <c r="AB17" i="1" s="1"/>
  <c r="CQ17" i="1"/>
  <c r="CQ8" i="1" s="1"/>
  <c r="CS5" i="1"/>
  <c r="CR5" i="1"/>
  <c r="A1" i="3"/>
  <c r="AA56" i="1" l="1"/>
  <c r="AA259" i="1" s="1"/>
  <c r="AA62" i="1"/>
  <c r="AA248" i="1"/>
  <c r="CP4" i="1"/>
  <c r="AB6" i="1"/>
  <c r="AB15" i="1" s="1"/>
  <c r="CQ6" i="1"/>
  <c r="CQ4" i="1" s="1"/>
  <c r="CQ13" i="1" s="1"/>
  <c r="CR15" i="1"/>
  <c r="CQ7" i="1"/>
  <c r="CR16" i="1"/>
  <c r="CR17" i="1"/>
  <c r="CR8" i="1" s="1"/>
  <c r="CT5" i="1"/>
  <c r="AC5" i="1" s="1"/>
  <c r="AC14" i="1" s="1"/>
  <c r="CU14" i="1"/>
  <c r="A1" i="6"/>
  <c r="A1" i="4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H17" i="3"/>
  <c r="BJ36" i="3"/>
  <c r="BJ38" i="3"/>
  <c r="BL9" i="3"/>
  <c r="BT19" i="3"/>
  <c r="BP26" i="3"/>
  <c r="BK34" i="3"/>
  <c r="BJ11" i="3"/>
  <c r="BJ27" i="3"/>
  <c r="BK5" i="3"/>
  <c r="BG21" i="3"/>
  <c r="BG37" i="3"/>
  <c r="BH45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28" i="1" s="1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F8" i="3"/>
  <c r="BJ22" i="3"/>
  <c r="BT31" i="3"/>
  <c r="BP34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Y108" i="2"/>
  <c r="BB19" i="3"/>
  <c r="AA28" i="2"/>
  <c r="AA92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23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E85" i="3"/>
  <c r="BF22" i="3"/>
  <c r="BH41" i="3"/>
  <c r="BJ14" i="3"/>
  <c r="BN28" i="3"/>
  <c r="BT37" i="3"/>
  <c r="BP40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33" i="2"/>
  <c r="AA35" i="2"/>
  <c r="AA76" i="2"/>
  <c r="Z21" i="2"/>
  <c r="BC17" i="3"/>
  <c r="BA5" i="3"/>
  <c r="Z59" i="2"/>
  <c r="AA85" i="2"/>
  <c r="Y31" i="2"/>
  <c r="AA65" i="2"/>
  <c r="AA33" i="2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0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N20" i="3"/>
  <c r="BH35" i="3"/>
  <c r="BT45" i="3"/>
  <c r="BG40" i="3"/>
  <c r="BF17" i="3"/>
  <c r="CL35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22" i="1" s="1"/>
  <c r="BH25" i="3"/>
  <c r="BL45" i="3"/>
  <c r="BH27" i="3"/>
  <c r="BL41" i="3"/>
  <c r="BT8" i="3"/>
  <c r="BM25" i="3"/>
  <c r="BI41" i="3"/>
  <c r="BL18" i="3"/>
  <c r="BF35" i="3"/>
  <c r="CL60" i="1" s="1"/>
  <c r="BG11" i="3"/>
  <c r="BE28" i="3"/>
  <c r="BJ8" i="3"/>
  <c r="BF28" i="3"/>
  <c r="CL46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FA14" i="4" a="1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27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49" i="1" s="1"/>
  <c r="BG5" i="3"/>
  <c r="BK25" i="3"/>
  <c r="BF18" i="3"/>
  <c r="CL39" i="1" s="1"/>
  <c r="BP25" i="3"/>
  <c r="BP35" i="3"/>
  <c r="BI7" i="3"/>
  <c r="BG12" i="3"/>
  <c r="BE17" i="3"/>
  <c r="BM21" i="3"/>
  <c r="BK30" i="3"/>
  <c r="BN11" i="3"/>
  <c r="BJ31" i="3"/>
  <c r="BK11" i="3"/>
  <c r="BE32" i="3"/>
  <c r="BF42" i="3"/>
  <c r="CL65" i="1" s="1"/>
  <c r="BN10" i="3"/>
  <c r="BF30" i="3"/>
  <c r="BN12" i="3"/>
  <c r="BM46" i="3"/>
  <c r="BG45" i="3"/>
  <c r="BT42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CL61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H19" i="3"/>
  <c r="BL17" i="3"/>
  <c r="BP6" i="3"/>
  <c r="BP8" i="3"/>
  <c r="BE31" i="3"/>
  <c r="BF7" i="3"/>
  <c r="BN23" i="3"/>
  <c r="BL40" i="3"/>
  <c r="BM16" i="3"/>
  <c r="BG33" i="3"/>
  <c r="BH29" i="3"/>
  <c r="BG59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53" i="1" s="1"/>
  <c r="BI8" i="3"/>
  <c r="BG29" i="3"/>
  <c r="BN30" i="3"/>
  <c r="BT16" i="3"/>
  <c r="BP41" i="3"/>
  <c r="BP13" i="3"/>
  <c r="BG8" i="3"/>
  <c r="BE13" i="3"/>
  <c r="BM17" i="3"/>
  <c r="BK22" i="3"/>
  <c r="BK36" i="3"/>
  <c r="BF15" i="3"/>
  <c r="CL38" i="1" s="1"/>
  <c r="BH34" i="3"/>
  <c r="BM14" i="3"/>
  <c r="BG35" i="3"/>
  <c r="BH15" i="3"/>
  <c r="BF14" i="3"/>
  <c r="CL37" i="1" s="1"/>
  <c r="BH33" i="3"/>
  <c r="BL25" i="3"/>
  <c r="BF24" i="3"/>
  <c r="BT9" i="3"/>
  <c r="BP14" i="3"/>
  <c r="BG32" i="3"/>
  <c r="BL8" i="3"/>
  <c r="BF25" i="3"/>
  <c r="CL50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U7" i="3"/>
  <c r="BU31" i="3"/>
  <c r="BS36" i="3"/>
  <c r="BF21" i="3"/>
  <c r="CL36" i="1" s="1"/>
  <c r="BR14" i="3"/>
  <c r="BR34" i="3"/>
  <c r="BO12" i="3"/>
  <c r="BO30" i="3"/>
  <c r="BG26" i="3"/>
  <c r="BK9" i="3"/>
  <c r="BT20" i="3"/>
  <c r="BK8" i="3"/>
  <c r="BE23" i="3"/>
  <c r="BN35" i="3"/>
  <c r="BL21" i="3"/>
  <c r="BF32" i="3"/>
  <c r="BP20" i="3"/>
  <c r="BH26" i="3"/>
  <c r="BK35" i="3"/>
  <c r="Y60" i="2"/>
  <c r="Y26" i="2"/>
  <c r="BB20" i="3"/>
  <c r="BA19" i="3"/>
  <c r="Y19" i="2"/>
  <c r="Z81" i="2"/>
  <c r="BA15" i="3"/>
  <c r="BC42" i="3"/>
  <c r="AA20" i="2"/>
  <c r="Z94" i="2"/>
  <c r="AA32" i="2"/>
  <c r="AV10" i="3"/>
  <c r="Z83" i="2"/>
  <c r="BA10" i="3"/>
  <c r="Y52" i="2"/>
  <c r="BD5" i="3"/>
  <c r="Z17" i="2"/>
  <c r="FC12" i="4" a="1"/>
  <c r="FB8" i="4" a="1"/>
  <c r="FF9" i="4" a="1"/>
  <c r="EZ7" i="4" a="1"/>
  <c r="FA13" i="4" a="1"/>
  <c r="FE15" i="4" a="1"/>
  <c r="AA23" i="2"/>
  <c r="BP19" i="3"/>
  <c r="BM12" i="3"/>
  <c r="Z49" i="2"/>
  <c r="FD12" i="4" a="1"/>
  <c r="FE16" i="4" a="1"/>
  <c r="BU21" i="3"/>
  <c r="BU9" i="3"/>
  <c r="BU33" i="3"/>
  <c r="BS40" i="3"/>
  <c r="BL26" i="3"/>
  <c r="BR16" i="3"/>
  <c r="BR35" i="3"/>
  <c r="BO13" i="3"/>
  <c r="BO31" i="3"/>
  <c r="BI29" i="3"/>
  <c r="BE14" i="3"/>
  <c r="BT28" i="3"/>
  <c r="BI9" i="3"/>
  <c r="BM23" i="3"/>
  <c r="BJ39" i="3"/>
  <c r="BF36" i="3"/>
  <c r="BE46" i="3"/>
  <c r="BP28" i="3"/>
  <c r="BL28" i="3"/>
  <c r="BI38" i="3"/>
  <c r="Y83" i="2"/>
  <c r="C4" i="2"/>
  <c r="BA45" i="3"/>
  <c r="BC12" i="3"/>
  <c r="Y58" i="2"/>
  <c r="AA6" i="2"/>
  <c r="BC13" i="3"/>
  <c r="BD35" i="3"/>
  <c r="Y109" i="2"/>
  <c r="AA12" i="2"/>
  <c r="Y34" i="2"/>
  <c r="BA7" i="3"/>
  <c r="Z58" i="2"/>
  <c r="BA34" i="3"/>
  <c r="Z33" i="2"/>
  <c r="AA75" i="2"/>
  <c r="Z69" i="2"/>
  <c r="FD7" i="4" a="1"/>
  <c r="FC8" i="4" a="1"/>
  <c r="EY5" i="4" a="1"/>
  <c r="EX15" i="4" a="1"/>
  <c r="EX14" i="4" a="1"/>
  <c r="EZ6" i="4" a="1"/>
  <c r="Z70" i="2"/>
  <c r="AA83" i="2"/>
  <c r="FC9" i="4" a="1"/>
  <c r="FB14" i="4" a="1"/>
  <c r="FC6" i="4" a="1"/>
  <c r="BH5" i="3"/>
  <c r="BH59" i="3" s="1"/>
  <c r="BH11" i="3"/>
  <c r="AA78" i="2"/>
  <c r="Y47" i="2"/>
  <c r="BC33" i="3"/>
  <c r="Z93" i="2"/>
  <c r="BK29" i="3"/>
  <c r="BR46" i="3"/>
  <c r="BJ21" i="3"/>
  <c r="BL11" i="3"/>
  <c r="BK16" i="3"/>
  <c r="BM45" i="3"/>
  <c r="BN40" i="3"/>
  <c r="Z62" i="2"/>
  <c r="BC8" i="3"/>
  <c r="Z20" i="2"/>
  <c r="AA58" i="2"/>
  <c r="Z73" i="2"/>
  <c r="Z85" i="2"/>
  <c r="Y74" i="2"/>
  <c r="BC23" i="3"/>
  <c r="BD24" i="3"/>
  <c r="BD15" i="3"/>
  <c r="Y87" i="2"/>
  <c r="FE14" i="4" a="1"/>
  <c r="Y61" i="2"/>
  <c r="Z106" i="2"/>
  <c r="AA70" i="2"/>
  <c r="BB39" i="3"/>
  <c r="EX16" i="4" a="1"/>
  <c r="EX12" i="4" a="1"/>
  <c r="BJ46" i="3"/>
  <c r="BC10" i="3"/>
  <c r="BA41" i="3"/>
  <c r="Z90" i="2"/>
  <c r="BD27" i="3"/>
  <c r="FD15" i="4" a="1"/>
  <c r="BU10" i="3"/>
  <c r="BU34" i="3"/>
  <c r="BS42" i="3"/>
  <c r="BH30" i="3"/>
  <c r="BR17" i="3"/>
  <c r="BV37" i="3"/>
  <c r="BS15" i="3"/>
  <c r="BS33" i="3"/>
  <c r="BM37" i="3"/>
  <c r="BM22" i="3"/>
  <c r="BP9" i="3"/>
  <c r="BI11" i="3"/>
  <c r="BE27" i="3"/>
  <c r="BE8" i="3"/>
  <c r="BL7" i="3"/>
  <c r="BL33" i="3"/>
  <c r="BI27" i="3"/>
  <c r="BH36" i="3"/>
  <c r="BH13" i="3"/>
  <c r="Y94" i="2"/>
  <c r="Z108" i="2"/>
  <c r="BC37" i="3"/>
  <c r="BB37" i="3"/>
  <c r="AA10" i="2"/>
  <c r="Z61" i="2"/>
  <c r="BA6" i="3"/>
  <c r="BB18" i="3"/>
  <c r="AA74" i="2"/>
  <c r="Z74" i="2"/>
  <c r="Y82" i="2"/>
  <c r="BB26" i="3"/>
  <c r="Z32" i="2"/>
  <c r="BC30" i="3"/>
  <c r="Z34" i="2"/>
  <c r="Y89" i="2"/>
  <c r="Y110" i="2"/>
  <c r="FA6" i="4" a="1"/>
  <c r="EX5" i="4" a="1"/>
  <c r="FB9" i="4" a="1"/>
  <c r="EX7" i="4" a="1"/>
  <c r="FE11" i="4" a="1"/>
  <c r="FD9" i="4" a="1"/>
  <c r="BU37" i="3"/>
  <c r="BO16" i="3"/>
  <c r="BI39" i="3"/>
  <c r="BM11" i="3"/>
  <c r="BJ16" i="3"/>
  <c r="Z54" i="2"/>
  <c r="BC15" i="3"/>
  <c r="Y49" i="2"/>
  <c r="BA39" i="3"/>
  <c r="AA5" i="2"/>
  <c r="AA71" i="2"/>
  <c r="BC21" i="3"/>
  <c r="EY13" i="4" a="1"/>
  <c r="FE13" i="4" a="1"/>
  <c r="BG16" i="3"/>
  <c r="AA87" i="2"/>
  <c r="AA82" i="2"/>
  <c r="BC5" i="3"/>
  <c r="BG28" i="3"/>
  <c r="BP5" i="3"/>
  <c r="BU13" i="3"/>
  <c r="BT23" i="3"/>
  <c r="BN39" i="3"/>
  <c r="BR20" i="3"/>
  <c r="BR38" i="3"/>
  <c r="BO34" i="3"/>
  <c r="BE24" i="3"/>
  <c r="BP17" i="3"/>
  <c r="BK28" i="3"/>
  <c r="BE10" i="3"/>
  <c r="BH9" i="3"/>
  <c r="BF40" i="3"/>
  <c r="BE29" i="3"/>
  <c r="BJ37" i="3"/>
  <c r="AA18" i="2"/>
  <c r="BA26" i="3"/>
  <c r="BD19" i="3"/>
  <c r="Z99" i="2"/>
  <c r="Y59" i="2"/>
  <c r="Z60" i="2"/>
  <c r="BD20" i="3"/>
  <c r="FA9" i="4" a="1"/>
  <c r="BH8" i="3"/>
  <c r="Z48" i="2"/>
  <c r="Y50" i="2"/>
  <c r="AA88" i="2"/>
  <c r="BC36" i="3"/>
  <c r="Z8" i="2"/>
  <c r="FD16" i="4" a="1"/>
  <c r="BO22" i="3"/>
  <c r="BE30" i="3"/>
  <c r="BJ28" i="3"/>
  <c r="BJ30" i="3"/>
  <c r="BI14" i="3"/>
  <c r="V6" i="2"/>
  <c r="Y65" i="2"/>
  <c r="BC39" i="3"/>
  <c r="Y57" i="2"/>
  <c r="Y54" i="2"/>
  <c r="FF15" i="4" a="1"/>
  <c r="EZ13" i="4" a="1"/>
  <c r="AA73" i="2"/>
  <c r="BB42" i="3"/>
  <c r="Z51" i="2"/>
  <c r="BT18" i="3"/>
  <c r="Z110" i="2"/>
  <c r="Z57" i="2"/>
  <c r="BA14" i="3"/>
  <c r="BA21" i="3"/>
  <c r="FD14" i="4" a="1"/>
  <c r="FD11" i="4" a="1"/>
  <c r="FB15" i="4" a="1"/>
  <c r="BU28" i="3"/>
  <c r="BR32" i="3"/>
  <c r="BO28" i="3"/>
  <c r="BL46" i="3"/>
  <c r="FE7" i="4" a="1"/>
  <c r="BU15" i="3"/>
  <c r="BU39" i="3"/>
  <c r="BU66" i="3"/>
  <c r="BM8" i="3"/>
  <c r="BR22" i="3"/>
  <c r="BR40" i="3"/>
  <c r="BO18" i="3"/>
  <c r="BO37" i="3"/>
  <c r="BN7" i="3"/>
  <c r="BM30" i="3"/>
  <c r="BP21" i="3"/>
  <c r="BI13" i="3"/>
  <c r="BG38" i="3"/>
  <c r="BI16" i="3"/>
  <c r="BL15" i="3"/>
  <c r="BN36" i="3"/>
  <c r="BI33" i="3"/>
  <c r="BF45" i="3"/>
  <c r="CL77" i="1" s="1"/>
  <c r="BJ40" i="3"/>
  <c r="AA110" i="2"/>
  <c r="AA90" i="2"/>
  <c r="BB9" i="3"/>
  <c r="BD36" i="3"/>
  <c r="AA30" i="2"/>
  <c r="Z95" i="2"/>
  <c r="BD11" i="3"/>
  <c r="BA35" i="3"/>
  <c r="AA104" i="2"/>
  <c r="AA96" i="2"/>
  <c r="AA34" i="2"/>
  <c r="BC9" i="3"/>
  <c r="Y86" i="2"/>
  <c r="AA43" i="2"/>
  <c r="Y107" i="2"/>
  <c r="BD40" i="3"/>
  <c r="BB40" i="3"/>
  <c r="EX11" i="4" a="1"/>
  <c r="FF14" i="4" a="1"/>
  <c r="EZ16" i="4" a="1"/>
  <c r="FF8" i="4" a="1"/>
  <c r="EX8" i="4" a="1"/>
  <c r="FB16" i="4" a="1"/>
  <c r="FC5" i="4" a="1"/>
  <c r="BN26" i="3"/>
  <c r="AA13" i="2"/>
  <c r="AA15" i="2"/>
  <c r="EZ5" i="4" a="1"/>
  <c r="BR26" i="3"/>
  <c r="BP27" i="3"/>
  <c r="BH10" i="3"/>
  <c r="BA11" i="3"/>
  <c r="FD8" i="4" a="1"/>
  <c r="FB5" i="4" a="1"/>
  <c r="BD30" i="3"/>
  <c r="BD41" i="3"/>
  <c r="BB10" i="3"/>
  <c r="EY12" i="4" a="1"/>
  <c r="BM28" i="3"/>
  <c r="AA47" i="2"/>
  <c r="AA50" i="2"/>
  <c r="BA42" i="3"/>
  <c r="Z46" i="2"/>
  <c r="BA38" i="3"/>
  <c r="BL10" i="3"/>
  <c r="AA66" i="2"/>
  <c r="Z26" i="2"/>
  <c r="FB13" i="4" a="1"/>
  <c r="BU16" i="3"/>
  <c r="BU40" i="3"/>
  <c r="BT14" i="3"/>
  <c r="BE12" i="3"/>
  <c r="BR23" i="3"/>
  <c r="BR41" i="3"/>
  <c r="BO19" i="3"/>
  <c r="BS39" i="3"/>
  <c r="BF11" i="3"/>
  <c r="CL29" i="1" s="1"/>
  <c r="BM34" i="3"/>
  <c r="BP15" i="3"/>
  <c r="BG14" i="3"/>
  <c r="BK40" i="3"/>
  <c r="BE20" i="3"/>
  <c r="BN18" i="3"/>
  <c r="BF16" i="3"/>
  <c r="CL34" i="1" s="1"/>
  <c r="BM35" i="3"/>
  <c r="BI6" i="3"/>
  <c r="BH7" i="3"/>
  <c r="Y88" i="2"/>
  <c r="AA29" i="2"/>
  <c r="BD18" i="3"/>
  <c r="Y6" i="2"/>
  <c r="Z5" i="2"/>
  <c r="Y106" i="2"/>
  <c r="BA32" i="3"/>
  <c r="BC45" i="3"/>
  <c r="Z35" i="2"/>
  <c r="Y45" i="2"/>
  <c r="AA21" i="2"/>
  <c r="BB8" i="3"/>
  <c r="Y66" i="2"/>
  <c r="Z71" i="2"/>
  <c r="Z56" i="2"/>
  <c r="BC35" i="3"/>
  <c r="AA57" i="2"/>
  <c r="EY7" i="4" a="1"/>
  <c r="FE6" i="4" a="1"/>
  <c r="EX6" i="4" a="1"/>
  <c r="FC11" i="4" a="1"/>
  <c r="EY6" i="4" a="1"/>
  <c r="BU45" i="3"/>
  <c r="BI22" i="3"/>
  <c r="BV45" i="3"/>
  <c r="BS46" i="3"/>
  <c r="BN19" i="3"/>
  <c r="Z41" i="2"/>
  <c r="BF46" i="3"/>
  <c r="CL78" i="1" s="1"/>
  <c r="BI21" i="3"/>
  <c r="BJ6" i="3"/>
  <c r="BI30" i="3"/>
  <c r="Y21" i="2"/>
  <c r="BB33" i="3"/>
  <c r="BU19" i="3"/>
  <c r="BP30" i="3"/>
  <c r="BV25" i="3"/>
  <c r="BS21" i="3"/>
  <c r="BI28" i="3"/>
  <c r="BG42" i="3"/>
  <c r="BJ34" i="3"/>
  <c r="BB32" i="3"/>
  <c r="BA36" i="3"/>
  <c r="EZ8" i="4" a="1"/>
  <c r="FE9" i="4" a="1"/>
  <c r="BQ62" i="3"/>
  <c r="BU22" i="3"/>
  <c r="BV5" i="3"/>
  <c r="BM31" i="3"/>
  <c r="BM32" i="3"/>
  <c r="BR28" i="3"/>
  <c r="BO6" i="3"/>
  <c r="BO24" i="3"/>
  <c r="BT27" i="3"/>
  <c r="BF31" i="3"/>
  <c r="BH37" i="3"/>
  <c r="BP29" i="3"/>
  <c r="BG18" i="3"/>
  <c r="BL16" i="3"/>
  <c r="BM36" i="3"/>
  <c r="BN34" i="3"/>
  <c r="BT13" i="3"/>
  <c r="BN9" i="3"/>
  <c r="BK19" i="3"/>
  <c r="Z89" i="2"/>
  <c r="Z9" i="2"/>
  <c r="BB22" i="3"/>
  <c r="Y20" i="2"/>
  <c r="Z53" i="2"/>
  <c r="Y56" i="2"/>
  <c r="BB11" i="3"/>
  <c r="FB7" i="4" a="1"/>
  <c r="FD13" i="4" a="1"/>
  <c r="BE21" i="3"/>
  <c r="BJ19" i="3"/>
  <c r="AA40" i="2"/>
  <c r="BD39" i="3"/>
  <c r="Y25" i="2"/>
  <c r="Y84" i="2"/>
  <c r="Y69" i="2"/>
  <c r="EZ14" i="4" a="1"/>
  <c r="FD6" i="4" a="1"/>
  <c r="EY9" i="4" a="1"/>
  <c r="BE7" i="3"/>
  <c r="BC20" i="3"/>
  <c r="AA41" i="2"/>
  <c r="AA97" i="2"/>
  <c r="Y41" i="2"/>
  <c r="EZ15" i="4" a="1"/>
  <c r="BU25" i="3"/>
  <c r="BV8" i="3"/>
  <c r="BM41" i="3"/>
  <c r="BM42" i="3"/>
  <c r="BR29" i="3"/>
  <c r="BO7" i="3"/>
  <c r="BO25" i="3"/>
  <c r="BT39" i="3"/>
  <c r="BL34" i="3"/>
  <c r="BL5" i="3"/>
  <c r="BP23" i="3"/>
  <c r="BE19" i="3"/>
  <c r="BH20" i="3"/>
  <c r="BI40" i="3"/>
  <c r="BF38" i="3"/>
  <c r="BT25" i="3"/>
  <c r="BF13" i="3"/>
  <c r="BE22" i="3"/>
  <c r="Y28" i="2"/>
  <c r="Z13" i="2"/>
  <c r="BB30" i="3"/>
  <c r="AA106" i="2"/>
  <c r="Y62" i="2"/>
  <c r="Z29" i="2"/>
  <c r="BA37" i="3"/>
  <c r="AA16" i="2"/>
  <c r="Z10" i="2"/>
  <c r="Z98" i="2"/>
  <c r="BA12" i="3"/>
  <c r="AA27" i="2"/>
  <c r="BA13" i="3"/>
  <c r="AA67" i="2"/>
  <c r="BA46" i="3"/>
  <c r="AA107" i="2"/>
  <c r="BB34" i="3"/>
  <c r="FE12" i="4" a="1"/>
  <c r="FA11" i="4" a="1"/>
  <c r="FF12" i="4" a="1"/>
  <c r="EY8" i="4" a="1"/>
  <c r="EZ9" i="4" a="1"/>
  <c r="BU27" i="3"/>
  <c r="BV10" i="3"/>
  <c r="BJ7" i="3"/>
  <c r="BJ32" i="3"/>
  <c r="BV31" i="3"/>
  <c r="BS9" i="3"/>
  <c r="BS27" i="3"/>
  <c r="BP16" i="3"/>
  <c r="BN45" i="3"/>
  <c r="BL37" i="3"/>
  <c r="BK6" i="3"/>
  <c r="BN27" i="3"/>
  <c r="BL27" i="3"/>
  <c r="AA14" i="2"/>
  <c r="Y7" i="2"/>
  <c r="BV11" i="3"/>
  <c r="BO10" i="3"/>
  <c r="BP22" i="3"/>
  <c r="BI46" i="3"/>
  <c r="BN29" i="3"/>
  <c r="BF34" i="3"/>
  <c r="CL59" i="1" s="1"/>
  <c r="BT30" i="3"/>
  <c r="BL20" i="3"/>
  <c r="AA54" i="2"/>
  <c r="Z77" i="2"/>
  <c r="Z23" i="2"/>
  <c r="Y81" i="2"/>
  <c r="BC22" i="3"/>
  <c r="FE5" i="4" a="1"/>
  <c r="FD5" i="4" a="1"/>
  <c r="AA66" i="1" l="1"/>
  <c r="AA68" i="1"/>
  <c r="AA207" i="1"/>
  <c r="AA209" i="1" s="1"/>
  <c r="CP13" i="1"/>
  <c r="AB4" i="1"/>
  <c r="AB13" i="1" s="1"/>
  <c r="BP50" i="3"/>
  <c r="BP60" i="3"/>
  <c r="CR6" i="1"/>
  <c r="CR4" i="1" s="1"/>
  <c r="CR13" i="1" s="1"/>
  <c r="CS15" i="1"/>
  <c r="CR7" i="1"/>
  <c r="CS16" i="1"/>
  <c r="CL24" i="1"/>
  <c r="CL245" i="1"/>
  <c r="CL267" i="1"/>
  <c r="CL208" i="1"/>
  <c r="CL266" i="1"/>
  <c r="CL79" i="1"/>
  <c r="CL40" i="1"/>
  <c r="CL41" i="1" s="1"/>
  <c r="CS17" i="1"/>
  <c r="CK36" i="1"/>
  <c r="CK23" i="1"/>
  <c r="CK28" i="1"/>
  <c r="CK53" i="1"/>
  <c r="CK27" i="1"/>
  <c r="CK78" i="1"/>
  <c r="CK37" i="1"/>
  <c r="CK49" i="1"/>
  <c r="CK39" i="1"/>
  <c r="CK60" i="1"/>
  <c r="CK77" i="1"/>
  <c r="CK79" i="1" s="1"/>
  <c r="CK61" i="1"/>
  <c r="CK35" i="1"/>
  <c r="CK46" i="1"/>
  <c r="CK22" i="1"/>
  <c r="CK29" i="1"/>
  <c r="CK50" i="1"/>
  <c r="CK38" i="1"/>
  <c r="CK65" i="1"/>
  <c r="CK34" i="1"/>
  <c r="CK59" i="1"/>
  <c r="CV14" i="1"/>
  <c r="CU5" i="1"/>
  <c r="Z61" i="1"/>
  <c r="CH59" i="1"/>
  <c r="CH29" i="1"/>
  <c r="X140" i="1"/>
  <c r="X168" i="1" s="1"/>
  <c r="Z136" i="1"/>
  <c r="CH136" i="1" s="1"/>
  <c r="CI136" i="1" s="1"/>
  <c r="Z37" i="1"/>
  <c r="Z169" i="1"/>
  <c r="CH169" i="1" s="1"/>
  <c r="CH53" i="1"/>
  <c r="CJ59" i="1"/>
  <c r="CJ23" i="1"/>
  <c r="X81" i="1"/>
  <c r="Y132" i="1"/>
  <c r="X61" i="1"/>
  <c r="Y35" i="1"/>
  <c r="X146" i="1"/>
  <c r="X131" i="1"/>
  <c r="Y131" i="1"/>
  <c r="Y23" i="1"/>
  <c r="Z185" i="1"/>
  <c r="Z92" i="1"/>
  <c r="Y164" i="1"/>
  <c r="Y146" i="1"/>
  <c r="X167" i="1"/>
  <c r="Y133" i="1"/>
  <c r="Y186" i="1"/>
  <c r="CI60" i="1"/>
  <c r="Y174" i="1"/>
  <c r="Z173" i="1"/>
  <c r="CH173" i="1" s="1"/>
  <c r="X39" i="1"/>
  <c r="CH46" i="1"/>
  <c r="CH208" i="1" s="1"/>
  <c r="CJ37" i="1"/>
  <c r="CI61" i="1"/>
  <c r="CJ38" i="1"/>
  <c r="CH49" i="1"/>
  <c r="CG50" i="1"/>
  <c r="X160" i="1"/>
  <c r="Y141" i="1"/>
  <c r="X92" i="1"/>
  <c r="Z50" i="1"/>
  <c r="Z178" i="1"/>
  <c r="CH178" i="1" s="1"/>
  <c r="CI178" i="1" s="1"/>
  <c r="X185" i="1"/>
  <c r="Y60" i="1"/>
  <c r="Z177" i="1"/>
  <c r="CH177" i="1" s="1"/>
  <c r="CI177" i="1" s="1"/>
  <c r="Y165" i="1"/>
  <c r="X165" i="1"/>
  <c r="X46" i="1"/>
  <c r="X208" i="1" s="1"/>
  <c r="Z151" i="1"/>
  <c r="CH151" i="1" s="1"/>
  <c r="CI151" i="1" s="1"/>
  <c r="CH27" i="1"/>
  <c r="CG39" i="1"/>
  <c r="CJ35" i="1"/>
  <c r="Y46" i="1"/>
  <c r="Y154" i="1"/>
  <c r="Z133" i="1"/>
  <c r="CH133" i="1" s="1"/>
  <c r="CJ28" i="1"/>
  <c r="CG59" i="1"/>
  <c r="CG49" i="1"/>
  <c r="CI22" i="1"/>
  <c r="CG27" i="1"/>
  <c r="CG36" i="1"/>
  <c r="CH60" i="1"/>
  <c r="CH22" i="1"/>
  <c r="CH65" i="1"/>
  <c r="CG29" i="1"/>
  <c r="CJ50" i="1"/>
  <c r="CI59" i="1"/>
  <c r="CJ34" i="1"/>
  <c r="CN34" i="1" s="1"/>
  <c r="CR34" i="1" s="1"/>
  <c r="CV34" i="1" s="1"/>
  <c r="CZ34" i="1" s="1"/>
  <c r="X149" i="1"/>
  <c r="X145" i="1" s="1"/>
  <c r="Y140" i="1"/>
  <c r="Y168" i="1" s="1"/>
  <c r="Z49" i="1"/>
  <c r="Y59" i="1"/>
  <c r="X151" i="1"/>
  <c r="Y178" i="1"/>
  <c r="X23" i="1"/>
  <c r="X186" i="1"/>
  <c r="Z46" i="1"/>
  <c r="Z208" i="1" s="1"/>
  <c r="X141" i="1"/>
  <c r="X139" i="1"/>
  <c r="CI49" i="1"/>
  <c r="CH28" i="1"/>
  <c r="CI36" i="1"/>
  <c r="CH61" i="1"/>
  <c r="CJ78" i="1"/>
  <c r="CI78" i="1" s="1"/>
  <c r="CH78" i="1" s="1"/>
  <c r="CG78" i="1" s="1"/>
  <c r="CF78" i="1" s="1"/>
  <c r="CE78" i="1" s="1"/>
  <c r="CD78" i="1" s="1"/>
  <c r="CC78" i="1" s="1"/>
  <c r="CB78" i="1" s="1"/>
  <c r="CA78" i="1" s="1"/>
  <c r="BZ78" i="1" s="1"/>
  <c r="BY78" i="1" s="1"/>
  <c r="BX78" i="1" s="1"/>
  <c r="BW78" i="1" s="1"/>
  <c r="BV78" i="1" s="1"/>
  <c r="BU78" i="1" s="1"/>
  <c r="BT78" i="1" s="1"/>
  <c r="BS78" i="1" s="1"/>
  <c r="BR78" i="1" s="1"/>
  <c r="BQ78" i="1" s="1"/>
  <c r="BP78" i="1" s="1"/>
  <c r="BO78" i="1" s="1"/>
  <c r="BN78" i="1" s="1"/>
  <c r="BM78" i="1" s="1"/>
  <c r="BL78" i="1" s="1"/>
  <c r="BK78" i="1" s="1"/>
  <c r="BJ78" i="1" s="1"/>
  <c r="BI78" i="1" s="1"/>
  <c r="BH78" i="1" s="1"/>
  <c r="BG78" i="1" s="1"/>
  <c r="BF78" i="1" s="1"/>
  <c r="BE78" i="1" s="1"/>
  <c r="BD78" i="1" s="1"/>
  <c r="BC78" i="1" s="1"/>
  <c r="BB78" i="1" s="1"/>
  <c r="BA78" i="1" s="1"/>
  <c r="AZ78" i="1" s="1"/>
  <c r="AY78" i="1" s="1"/>
  <c r="AX78" i="1" s="1"/>
  <c r="AW78" i="1" s="1"/>
  <c r="AV78" i="1" s="1"/>
  <c r="AU78" i="1" s="1"/>
  <c r="AT78" i="1" s="1"/>
  <c r="AS78" i="1" s="1"/>
  <c r="AR78" i="1" s="1"/>
  <c r="AQ78" i="1" s="1"/>
  <c r="AP78" i="1" s="1"/>
  <c r="AO78" i="1" s="1"/>
  <c r="AN78" i="1" s="1"/>
  <c r="AM78" i="1" s="1"/>
  <c r="AL78" i="1" s="1"/>
  <c r="AK78" i="1" s="1"/>
  <c r="AJ78" i="1" s="1"/>
  <c r="AI78" i="1" s="1"/>
  <c r="CG37" i="1"/>
  <c r="CJ46" i="1"/>
  <c r="CG28" i="1"/>
  <c r="Z60" i="1"/>
  <c r="Z165" i="1"/>
  <c r="CH165" i="1" s="1"/>
  <c r="X53" i="1"/>
  <c r="Z59" i="1"/>
  <c r="X159" i="1"/>
  <c r="Y136" i="1"/>
  <c r="X169" i="1"/>
  <c r="Z38" i="1"/>
  <c r="X136" i="1"/>
  <c r="Z147" i="1"/>
  <c r="CH147" i="1" s="1"/>
  <c r="CI147" i="1" s="1"/>
  <c r="Z154" i="1"/>
  <c r="Z29" i="1"/>
  <c r="X27" i="1"/>
  <c r="Y91" i="1"/>
  <c r="Y184" i="1"/>
  <c r="Z184" i="1"/>
  <c r="X138" i="1"/>
  <c r="Y65" i="1"/>
  <c r="Y39" i="1"/>
  <c r="Y173" i="1"/>
  <c r="Z132" i="1"/>
  <c r="CH132" i="1" s="1"/>
  <c r="CI132" i="1" s="1"/>
  <c r="Y49" i="1"/>
  <c r="Y169" i="1"/>
  <c r="Z93" i="1"/>
  <c r="Z157" i="1"/>
  <c r="CH157" i="1" s="1"/>
  <c r="Z141" i="1"/>
  <c r="CH141" i="1" s="1"/>
  <c r="CI141" i="1" s="1"/>
  <c r="Y157" i="1"/>
  <c r="Y22" i="1"/>
  <c r="CG60" i="1"/>
  <c r="CJ77" i="1"/>
  <c r="CI77" i="1" s="1"/>
  <c r="CH77" i="1" s="1"/>
  <c r="CG77" i="1" s="1"/>
  <c r="CF77" i="1" s="1"/>
  <c r="CE77" i="1" s="1"/>
  <c r="CD77" i="1" s="1"/>
  <c r="CC77" i="1" s="1"/>
  <c r="CB77" i="1" s="1"/>
  <c r="CA77" i="1" s="1"/>
  <c r="BZ77" i="1" s="1"/>
  <c r="BY77" i="1" s="1"/>
  <c r="BX77" i="1" s="1"/>
  <c r="BW77" i="1" s="1"/>
  <c r="BV77" i="1" s="1"/>
  <c r="BU77" i="1" s="1"/>
  <c r="BT77" i="1" s="1"/>
  <c r="BS77" i="1" s="1"/>
  <c r="BR77" i="1" s="1"/>
  <c r="BQ77" i="1" s="1"/>
  <c r="BP77" i="1" s="1"/>
  <c r="BO77" i="1" s="1"/>
  <c r="BN77" i="1" s="1"/>
  <c r="BM77" i="1" s="1"/>
  <c r="BL77" i="1" s="1"/>
  <c r="BK77" i="1" s="1"/>
  <c r="BJ77" i="1" s="1"/>
  <c r="BI77" i="1" s="1"/>
  <c r="BH77" i="1" s="1"/>
  <c r="BG77" i="1" s="1"/>
  <c r="BF77" i="1" s="1"/>
  <c r="BE77" i="1" s="1"/>
  <c r="BD77" i="1" s="1"/>
  <c r="BC77" i="1" s="1"/>
  <c r="BB77" i="1" s="1"/>
  <c r="BA77" i="1" s="1"/>
  <c r="AZ77" i="1" s="1"/>
  <c r="AY77" i="1" s="1"/>
  <c r="AX77" i="1" s="1"/>
  <c r="AW77" i="1" s="1"/>
  <c r="AV77" i="1" s="1"/>
  <c r="AU77" i="1" s="1"/>
  <c r="AT77" i="1" s="1"/>
  <c r="AS77" i="1" s="1"/>
  <c r="AR77" i="1" s="1"/>
  <c r="AQ77" i="1" s="1"/>
  <c r="AP77" i="1" s="1"/>
  <c r="AO77" i="1" s="1"/>
  <c r="AN77" i="1" s="1"/>
  <c r="AM77" i="1" s="1"/>
  <c r="AL77" i="1" s="1"/>
  <c r="AK77" i="1" s="1"/>
  <c r="AJ77" i="1" s="1"/>
  <c r="AI77" i="1" s="1"/>
  <c r="CH39" i="1"/>
  <c r="CH36" i="1"/>
  <c r="CJ60" i="1"/>
  <c r="CG46" i="1"/>
  <c r="CI65" i="1"/>
  <c r="CI53" i="1"/>
  <c r="CG65" i="1"/>
  <c r="CH37" i="1"/>
  <c r="CJ22" i="1"/>
  <c r="CI37" i="1"/>
  <c r="CJ29" i="1"/>
  <c r="CJ27" i="1"/>
  <c r="CG22" i="1"/>
  <c r="CG245" i="1" s="1"/>
  <c r="CI35" i="1"/>
  <c r="CH34" i="1"/>
  <c r="CP34" i="1" s="1"/>
  <c r="CT34" i="1" s="1"/>
  <c r="CX34" i="1" s="1"/>
  <c r="DB34" i="1" s="1"/>
  <c r="CI46" i="1"/>
  <c r="CI208" i="1" s="1"/>
  <c r="CG38" i="1"/>
  <c r="X174" i="1"/>
  <c r="Y150" i="1"/>
  <c r="Y37" i="1"/>
  <c r="Z131" i="1"/>
  <c r="X50" i="1"/>
  <c r="Y149" i="1"/>
  <c r="Y145" i="1" s="1"/>
  <c r="Y61" i="1"/>
  <c r="Y29" i="1"/>
  <c r="X154" i="1"/>
  <c r="Y36" i="1"/>
  <c r="X37" i="1"/>
  <c r="X163" i="1"/>
  <c r="X91" i="1"/>
  <c r="Y161" i="1"/>
  <c r="Y185" i="1"/>
  <c r="Z158" i="1"/>
  <c r="CH158" i="1" s="1"/>
  <c r="Z146" i="1"/>
  <c r="CH146" i="1" s="1"/>
  <c r="Y160" i="1"/>
  <c r="Z27" i="1"/>
  <c r="Z22" i="1"/>
  <c r="Y159" i="1"/>
  <c r="Z65" i="1"/>
  <c r="Z163" i="1"/>
  <c r="CH163" i="1" s="1"/>
  <c r="Z149" i="1"/>
  <c r="Y27" i="1"/>
  <c r="Y177" i="1"/>
  <c r="X60" i="1"/>
  <c r="X161" i="1"/>
  <c r="Z160" i="1"/>
  <c r="CH160" i="1" s="1"/>
  <c r="Z53" i="1"/>
  <c r="Y34" i="1"/>
  <c r="X177" i="1"/>
  <c r="Z139" i="1"/>
  <c r="CH139" i="1" s="1"/>
  <c r="CI139" i="1" s="1"/>
  <c r="X93" i="1"/>
  <c r="X36" i="1"/>
  <c r="X132" i="1"/>
  <c r="Y81" i="1"/>
  <c r="Z91" i="1"/>
  <c r="X35" i="1"/>
  <c r="X133" i="1"/>
  <c r="Y92" i="1"/>
  <c r="Z140" i="1"/>
  <c r="Y50" i="1"/>
  <c r="Y138" i="1"/>
  <c r="X22" i="1"/>
  <c r="CI38" i="1"/>
  <c r="CJ53" i="1"/>
  <c r="CH38" i="1"/>
  <c r="CI28" i="1"/>
  <c r="CJ49" i="1"/>
  <c r="CI29" i="1"/>
  <c r="CI27" i="1"/>
  <c r="CG53" i="1"/>
  <c r="CG34" i="1"/>
  <c r="CH50" i="1"/>
  <c r="CI50" i="1"/>
  <c r="CI34" i="1"/>
  <c r="CM34" i="1" s="1"/>
  <c r="CQ34" i="1" s="1"/>
  <c r="CU34" i="1" s="1"/>
  <c r="CY34" i="1" s="1"/>
  <c r="CJ36" i="1"/>
  <c r="CJ39" i="1"/>
  <c r="CH35" i="1"/>
  <c r="CE53" i="1"/>
  <c r="CG61" i="1"/>
  <c r="CJ61" i="1"/>
  <c r="CG23" i="1"/>
  <c r="CG35" i="1"/>
  <c r="CI39" i="1"/>
  <c r="CJ65" i="1"/>
  <c r="CH23" i="1"/>
  <c r="CI23" i="1"/>
  <c r="Y156" i="1"/>
  <c r="X65" i="1"/>
  <c r="Z138" i="1"/>
  <c r="CH138" i="1" s="1"/>
  <c r="CI138" i="1" s="1"/>
  <c r="Y147" i="1"/>
  <c r="Y38" i="1"/>
  <c r="X59" i="1"/>
  <c r="Z186" i="1"/>
  <c r="X29" i="1"/>
  <c r="Y163" i="1"/>
  <c r="Z174" i="1"/>
  <c r="X156" i="1"/>
  <c r="Y167" i="1"/>
  <c r="Y53" i="1"/>
  <c r="Z23" i="1"/>
  <c r="Z164" i="1"/>
  <c r="CH164" i="1" s="1"/>
  <c r="Y93" i="1"/>
  <c r="X49" i="1"/>
  <c r="X150" i="1"/>
  <c r="Z150" i="1"/>
  <c r="CH150" i="1" s="1"/>
  <c r="CI150" i="1" s="1"/>
  <c r="Z161" i="1"/>
  <c r="CH161" i="1" s="1"/>
  <c r="X147" i="1"/>
  <c r="Z34" i="1"/>
  <c r="Z159" i="1"/>
  <c r="Z156" i="1"/>
  <c r="X173" i="1"/>
  <c r="X164" i="1"/>
  <c r="Y139" i="1"/>
  <c r="Z35" i="1"/>
  <c r="Z36" i="1"/>
  <c r="Z81" i="1"/>
  <c r="Z39" i="1"/>
  <c r="X158" i="1"/>
  <c r="Y151" i="1"/>
  <c r="Y158" i="1"/>
  <c r="X178" i="1"/>
  <c r="X38" i="1"/>
  <c r="X34" i="1"/>
  <c r="Z167" i="1"/>
  <c r="CH167" i="1" s="1"/>
  <c r="X157" i="1"/>
  <c r="X184" i="1"/>
  <c r="JP9" i="4" s="1"/>
  <c r="JP16" i="4" s="1"/>
  <c r="JO16" i="4" s="1"/>
  <c r="JO9" i="4" s="1"/>
  <c r="JN9" i="4" s="1"/>
  <c r="JN16" i="4" s="1"/>
  <c r="BK84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74" i="1" s="1"/>
  <c r="BB65" i="3"/>
  <c r="BB74" i="3"/>
  <c r="BB78" i="3"/>
  <c r="BG77" i="3"/>
  <c r="BH68" i="3"/>
  <c r="BF88" i="3"/>
  <c r="CL141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51" i="1" s="1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GM7" i="4" a="1"/>
  <c r="GW6" i="4" a="1"/>
  <c r="GD11" i="4" a="1"/>
  <c r="GV5" i="4" a="1"/>
  <c r="GK11" i="4" a="1"/>
  <c r="GE12" i="4" a="1"/>
  <c r="FY13" i="4" a="1"/>
  <c r="FM8" i="4" a="1"/>
  <c r="FH12" i="4" a="1"/>
  <c r="HD12" i="4" a="1"/>
  <c r="GX13" i="4" a="1"/>
  <c r="GR14" i="4" a="1"/>
  <c r="FQ11" i="4" a="1"/>
  <c r="BV48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39" i="1" s="1"/>
  <c r="BB92" i="3"/>
  <c r="BB85" i="3"/>
  <c r="BB89" i="3"/>
  <c r="BG93" i="3"/>
  <c r="BH76" i="3"/>
  <c r="BF90" i="3"/>
  <c r="CL140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69" i="1" s="1"/>
  <c r="BF85" i="3"/>
  <c r="CL161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33" i="1" s="1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36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63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BP92" i="3"/>
  <c r="BK70" i="3"/>
  <c r="BF87" i="3"/>
  <c r="CL166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78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38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BP57" i="3"/>
  <c r="BP67" i="3"/>
  <c r="BF79" i="3"/>
  <c r="CL157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68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32" i="1" s="1"/>
  <c r="BJ60" i="3"/>
  <c r="BJ97" i="3"/>
  <c r="BJ61" i="3"/>
  <c r="BJ85" i="3"/>
  <c r="BG66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77" i="1" s="1"/>
  <c r="BJ66" i="3"/>
  <c r="BJ87" i="3"/>
  <c r="BJ63" i="3"/>
  <c r="BK73" i="3"/>
  <c r="BK48" i="3"/>
  <c r="BT49" i="3"/>
  <c r="BG79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56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87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47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GV8" i="4" a="1"/>
  <c r="FV13" i="4" a="1"/>
  <c r="GD5" i="4" a="1"/>
  <c r="GA8" i="4" a="1"/>
  <c r="HG8" i="4" a="1"/>
  <c r="FN13" i="4" a="1"/>
  <c r="FO11" i="4" a="1"/>
  <c r="FJ12" i="4" a="1"/>
  <c r="HF12" i="4" a="1"/>
  <c r="GZ13" i="4" a="1"/>
  <c r="GQ11" i="4" a="1"/>
  <c r="GK12" i="4" a="1"/>
  <c r="GE13" i="4" a="1"/>
  <c r="FY14" i="4" a="1"/>
  <c r="FN8" i="4" a="1"/>
  <c r="FU13" i="4" a="1"/>
  <c r="FS15" i="4" a="1"/>
  <c r="GZ15" i="4" a="1"/>
  <c r="FV16" i="4" a="1"/>
  <c r="GT16" i="4" a="1"/>
  <c r="FN14" i="4" a="1"/>
  <c r="GJ11" i="4" a="1"/>
  <c r="GL14" i="4" a="1"/>
  <c r="BU58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58" i="1" s="1"/>
  <c r="CL193" i="1" s="1"/>
  <c r="Y111" i="2"/>
  <c r="BO83" i="3"/>
  <c r="BS81" i="3"/>
  <c r="BG48" i="3"/>
  <c r="BL73" i="3"/>
  <c r="BE69" i="3"/>
  <c r="BI87" i="3"/>
  <c r="BM63" i="3"/>
  <c r="BF56" i="3"/>
  <c r="CL131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67" i="1" s="1"/>
  <c r="CL197" i="1" s="1"/>
  <c r="BF66" i="3"/>
  <c r="CL165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A81" i="3"/>
  <c r="BR71" i="3"/>
  <c r="BM76" i="3"/>
  <c r="BM92" i="3"/>
  <c r="BA77" i="3"/>
  <c r="BL74" i="3"/>
  <c r="BF80" i="3"/>
  <c r="CL173" i="1" s="1"/>
  <c r="BT75" i="3"/>
  <c r="BS64" i="3"/>
  <c r="BV62" i="3"/>
  <c r="BT60" i="3"/>
  <c r="BP54" i="3"/>
  <c r="BS89" i="3"/>
  <c r="BE77" i="3"/>
  <c r="BJ49" i="3"/>
  <c r="BJ94" i="3"/>
  <c r="BK85" i="3"/>
  <c r="BK71" i="3"/>
  <c r="GH7" i="4" a="1"/>
  <c r="GB8" i="4" a="1"/>
  <c r="HA14" i="4" a="1"/>
  <c r="GC7" i="4" a="1"/>
  <c r="GJ6" i="4" a="1"/>
  <c r="FH6" i="4" a="1"/>
  <c r="GB7" i="4" a="1"/>
  <c r="FO15" i="4" a="1"/>
  <c r="GS8" i="4" a="1"/>
  <c r="GM11" i="4" a="1"/>
  <c r="HC7" i="4" a="1"/>
  <c r="HD9" i="4" a="1"/>
  <c r="FR5" i="4" a="1"/>
  <c r="FL7" i="4" a="1"/>
  <c r="FG15" i="4" a="1"/>
  <c r="FR12" i="4" a="1"/>
  <c r="GJ13" i="4" a="1"/>
  <c r="GY11" i="4" a="1"/>
  <c r="FO13" i="4" a="1"/>
  <c r="GG14" i="4" a="1"/>
  <c r="HC9" i="4" a="1"/>
  <c r="GE14" i="4" a="1"/>
  <c r="GP15" i="4" a="1"/>
  <c r="FN16" i="4" a="1"/>
  <c r="GN16" i="4" a="1"/>
  <c r="FS12" i="4" a="1"/>
  <c r="FU11" i="4" a="1"/>
  <c r="GQ14" i="4" a="1"/>
  <c r="HE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BB93" i="3"/>
  <c r="BQ81" i="3"/>
  <c r="BN55" i="3"/>
  <c r="BI50" i="3"/>
  <c r="GK8" i="4" a="1"/>
  <c r="GA7" i="4" a="1"/>
  <c r="HG13" i="4" a="1"/>
  <c r="FV11" i="4" a="1"/>
  <c r="GU12" i="4" a="1"/>
  <c r="GP13" i="4" a="1"/>
  <c r="GQ12" i="4" a="1"/>
  <c r="FZ16" i="4" a="1"/>
  <c r="GP6" i="4" a="1"/>
  <c r="FT15" i="4" a="1"/>
  <c r="GN13" i="4" a="1"/>
  <c r="FK9" i="4" a="1"/>
  <c r="HF15" i="4" a="1"/>
  <c r="GD16" i="4" a="1"/>
  <c r="HA16" i="4" a="1"/>
  <c r="BD95" i="3"/>
  <c r="BH54" i="3"/>
  <c r="FX5" i="4" a="1"/>
  <c r="GN5" i="4" a="1"/>
  <c r="GI11" i="4" a="1"/>
  <c r="FQ9" i="4" a="1"/>
  <c r="GJ16" i="4" a="1"/>
  <c r="GD12" i="4" a="1"/>
  <c r="HG16" i="4" a="1"/>
  <c r="BC88" i="3"/>
  <c r="BC48" i="3"/>
  <c r="BH64" i="3"/>
  <c r="BK58" i="3"/>
  <c r="GH6" i="4" a="1"/>
  <c r="GL5" i="4" a="1"/>
  <c r="FJ5" i="4" a="1"/>
  <c r="FM16" i="4" a="1"/>
  <c r="Y113" i="2"/>
  <c r="BA67" i="3"/>
  <c r="BR56" i="3"/>
  <c r="BF84" i="3"/>
  <c r="CL160" i="1" s="1"/>
  <c r="BF86" i="3"/>
  <c r="BA78" i="3"/>
  <c r="BL80" i="3"/>
  <c r="BF82" i="3"/>
  <c r="CL159" i="1" s="1"/>
  <c r="CL194" i="1" s="1"/>
  <c r="BT80" i="3"/>
  <c r="BS61" i="3"/>
  <c r="BV50" i="3"/>
  <c r="BN77" i="3"/>
  <c r="BF67" i="3"/>
  <c r="BS49" i="3"/>
  <c r="BE81" i="3"/>
  <c r="BJ74" i="3"/>
  <c r="BJ65" i="3"/>
  <c r="BK60" i="3"/>
  <c r="BK79" i="3"/>
  <c r="GR5" i="4" a="1"/>
  <c r="GZ8" i="4" a="1"/>
  <c r="FR15" i="4" a="1"/>
  <c r="GE8" i="4" a="1"/>
  <c r="GD7" i="4" a="1"/>
  <c r="FW7" i="4" a="1"/>
  <c r="FP8" i="4" a="1"/>
  <c r="GP8" i="4" a="1"/>
  <c r="GP5" i="4" a="1"/>
  <c r="FI12" i="4" a="1"/>
  <c r="GT6" i="4" a="1"/>
  <c r="FN11" i="4" a="1"/>
  <c r="FU6" i="4" a="1"/>
  <c r="FK8" i="4" a="1"/>
  <c r="FR8" i="4" a="1"/>
  <c r="FW12" i="4" a="1"/>
  <c r="GO13" i="4" a="1"/>
  <c r="HB11" i="4" a="1"/>
  <c r="FR13" i="4" a="1"/>
  <c r="GJ14" i="4" a="1"/>
  <c r="GG11" i="4" a="1"/>
  <c r="GP14" i="4" a="1"/>
  <c r="GR15" i="4" a="1"/>
  <c r="FP16" i="4" a="1"/>
  <c r="GP16" i="4" a="1"/>
  <c r="FH13" i="4" a="1"/>
  <c r="HE11" i="4" a="1"/>
  <c r="HB14" i="4" a="1"/>
  <c r="GI14" i="4" a="1"/>
  <c r="GL12" i="4" a="1"/>
  <c r="HC14" i="4" a="1"/>
  <c r="GU15" i="4" a="1"/>
  <c r="FQ16" i="4" a="1"/>
  <c r="GO16" i="4" a="1"/>
  <c r="GY9" i="4" a="1"/>
  <c r="BC95" i="3"/>
  <c r="BC61" i="3"/>
  <c r="BC76" i="3"/>
  <c r="BD97" i="3"/>
  <c r="BD66" i="3"/>
  <c r="BA65" i="3"/>
  <c r="Z112" i="2"/>
  <c r="BU48" i="3"/>
  <c r="BP83" i="3"/>
  <c r="FS6" i="4" a="1"/>
  <c r="GP9" i="4" a="1"/>
  <c r="HE7" i="4" a="1"/>
  <c r="GO15" i="4" a="1"/>
  <c r="GI16" i="4" a="1"/>
  <c r="BD96" i="3"/>
  <c r="BF65" i="3"/>
  <c r="CL164" i="1" s="1"/>
  <c r="BC70" i="3"/>
  <c r="BA69" i="3"/>
  <c r="BM77" i="3"/>
  <c r="BB79" i="3"/>
  <c r="BD88" i="3"/>
  <c r="BC85" i="3"/>
  <c r="BL56" i="3"/>
  <c r="BQ76" i="3"/>
  <c r="BO49" i="3"/>
  <c r="BU60" i="3"/>
  <c r="BV88" i="3"/>
  <c r="BN79" i="3"/>
  <c r="BF77" i="3"/>
  <c r="CL154" i="1" s="1"/>
  <c r="BG82" i="3"/>
  <c r="BI77" i="3"/>
  <c r="BJ84" i="3"/>
  <c r="BJ71" i="3"/>
  <c r="BK87" i="3"/>
  <c r="BK89" i="3"/>
  <c r="GY6" i="4" a="1"/>
  <c r="FR9" i="4" a="1"/>
  <c r="FY9" i="4" a="1"/>
  <c r="GQ8" i="4" a="1"/>
  <c r="GU11" i="4" a="1"/>
  <c r="GU7" i="4" a="1"/>
  <c r="GN8" i="4" a="1"/>
  <c r="FY5" i="4" a="1"/>
  <c r="FL6" i="4" a="1"/>
  <c r="GD13" i="4" a="1"/>
  <c r="FM7" i="4" a="1"/>
  <c r="GZ6" i="4" a="1"/>
  <c r="GS6" i="4" a="1"/>
  <c r="GJ8" i="4" a="1"/>
  <c r="HE9" i="4" a="1"/>
  <c r="FZ12" i="4" a="1"/>
  <c r="GR13" i="4" a="1"/>
  <c r="HG11" i="4" a="1"/>
  <c r="FW13" i="4" a="1"/>
  <c r="GO14" i="4" a="1"/>
  <c r="GR11" i="4" a="1"/>
  <c r="GU14" i="4" a="1"/>
  <c r="GT15" i="4" a="1"/>
  <c r="FR16" i="4" a="1"/>
  <c r="GR16" i="4" a="1"/>
  <c r="GD14" i="4" a="1"/>
  <c r="FN12" i="4" a="1"/>
  <c r="HG14" i="4" a="1"/>
  <c r="FH15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Q55" i="3"/>
  <c r="BG84" i="3"/>
  <c r="BK92" i="3"/>
  <c r="FW6" i="4" a="1"/>
  <c r="FP6" i="4" a="1"/>
  <c r="FZ15" i="4" a="1"/>
  <c r="GF15" i="4" a="1"/>
  <c r="BC69" i="3"/>
  <c r="BL71" i="3"/>
  <c r="GB6" i="4" a="1"/>
  <c r="FX8" i="4" a="1"/>
  <c r="FQ14" i="4" a="1"/>
  <c r="GW11" i="4" a="1"/>
  <c r="BB82" i="3"/>
  <c r="FJ7" i="4" a="1"/>
  <c r="HF8" i="4" a="1"/>
  <c r="FH9" i="4" a="1"/>
  <c r="HB7" i="4" a="1"/>
  <c r="GB13" i="4" a="1"/>
  <c r="FZ14" i="4" a="1"/>
  <c r="GO11" i="4" a="1"/>
  <c r="GK16" i="4" a="1"/>
  <c r="BC91" i="3"/>
  <c r="BA70" i="3"/>
  <c r="BN49" i="3"/>
  <c r="BB55" i="3"/>
  <c r="BD70" i="3"/>
  <c r="BC57" i="3"/>
  <c r="BL87" i="3"/>
  <c r="BQ72" i="3"/>
  <c r="BO55" i="3"/>
  <c r="BU62" i="3"/>
  <c r="BV84" i="3"/>
  <c r="BN89" i="3"/>
  <c r="BF73" i="3"/>
  <c r="BG62" i="3"/>
  <c r="BI91" i="3"/>
  <c r="BJ68" i="3"/>
  <c r="BJ73" i="3"/>
  <c r="BK62" i="3"/>
  <c r="GT14" i="4" a="1"/>
  <c r="FU7" i="4" a="1"/>
  <c r="GX9" i="4" a="1"/>
  <c r="HA9" i="4" a="1"/>
  <c r="HC8" i="4" a="1"/>
  <c r="FK13" i="4" a="1"/>
  <c r="GO5" i="4" a="1"/>
  <c r="GZ9" i="4" a="1"/>
  <c r="GI5" i="4" a="1"/>
  <c r="FK7" i="4" a="1"/>
  <c r="HB13" i="4" a="1"/>
  <c r="GF7" i="4" a="1"/>
  <c r="HC11" i="4" a="1"/>
  <c r="FR7" i="4" a="1"/>
  <c r="GV9" i="4" a="1"/>
  <c r="FG11" i="4" a="1"/>
  <c r="GH12" i="4" a="1"/>
  <c r="GW13" i="4" a="1"/>
  <c r="FM12" i="4" a="1"/>
  <c r="FZ13" i="4" a="1"/>
  <c r="GW14" i="4" a="1"/>
  <c r="FK12" i="4" a="1"/>
  <c r="HF14" i="4" a="1"/>
  <c r="GV15" i="4" a="1"/>
  <c r="FT16" i="4" a="1"/>
  <c r="GV16" i="4" a="1"/>
  <c r="GY14" i="4" a="1"/>
  <c r="GI12" i="4" a="1"/>
  <c r="FI15" i="4" a="1"/>
  <c r="FY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BG55" i="3"/>
  <c r="FP15" i="4" a="1"/>
  <c r="GW16" i="4" a="1"/>
  <c r="BC86" i="3"/>
  <c r="HC13" i="4" a="1"/>
  <c r="GF13" i="4" a="1"/>
  <c r="FV8" i="4" a="1"/>
  <c r="GU9" i="4" a="1"/>
  <c r="BC84" i="3"/>
  <c r="BD58" i="3"/>
  <c r="BB80" i="3"/>
  <c r="GK7" i="4" a="1"/>
  <c r="FM14" i="4" a="1"/>
  <c r="GL15" i="4" a="1"/>
  <c r="FK16" i="4" a="1"/>
  <c r="BC90" i="3"/>
  <c r="BD74" i="3"/>
  <c r="BC49" i="3"/>
  <c r="GB11" i="4" a="1"/>
  <c r="GK14" i="4" a="1"/>
  <c r="FG12" i="4" a="1"/>
  <c r="FG13" i="4" a="1"/>
  <c r="GC13" i="4" a="1"/>
  <c r="BA84" i="3"/>
  <c r="BG70" i="3"/>
  <c r="BB56" i="3"/>
  <c r="BU47" i="3"/>
  <c r="BQ54" i="3"/>
  <c r="BE78" i="3"/>
  <c r="BQ80" i="3"/>
  <c r="BO88" i="3"/>
  <c r="BU85" i="3"/>
  <c r="BV94" i="3"/>
  <c r="BN61" i="3"/>
  <c r="BO47" i="3"/>
  <c r="BG47" i="3"/>
  <c r="BI61" i="3"/>
  <c r="BJ76" i="3"/>
  <c r="BJ75" i="3"/>
  <c r="BK86" i="3"/>
  <c r="FK15" i="4" a="1"/>
  <c r="GS7" i="4" a="1"/>
  <c r="FZ11" i="4" a="1"/>
  <c r="FO5" i="4" a="1"/>
  <c r="GG6" i="4" a="1"/>
  <c r="GI13" i="4" a="1"/>
  <c r="GI6" i="4" a="1"/>
  <c r="FJ11" i="4" a="1"/>
  <c r="FT5" i="4" a="1"/>
  <c r="HA5" i="4" a="1"/>
  <c r="FX14" i="4" a="1"/>
  <c r="GI8" i="4" a="1"/>
  <c r="FY12" i="4" a="1"/>
  <c r="FL8" i="4" a="1"/>
  <c r="FH11" i="4" a="1"/>
  <c r="FK11" i="4" a="1"/>
  <c r="GP12" i="4" a="1"/>
  <c r="FN7" i="4" a="1"/>
  <c r="FU12" i="4" a="1"/>
  <c r="GM13" i="4" a="1"/>
  <c r="GZ14" i="4" a="1"/>
  <c r="FV12" i="4" a="1"/>
  <c r="FL15" i="4" a="1"/>
  <c r="GX15" i="4" a="1"/>
  <c r="FX16" i="4" a="1"/>
  <c r="GX16" i="4" a="1"/>
  <c r="FV15" i="4" a="1"/>
  <c r="GT12" i="4" a="1"/>
  <c r="FM15" i="4" a="1"/>
  <c r="HF6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A63" i="3"/>
  <c r="BE72" i="3"/>
  <c r="BO89" i="3"/>
  <c r="BV96" i="3"/>
  <c r="BJ78" i="3"/>
  <c r="FH5" i="4" a="1"/>
  <c r="HC6" i="4" a="1"/>
  <c r="GZ12" i="4" a="1"/>
  <c r="FP7" i="4" a="1"/>
  <c r="FW11" i="4" a="1"/>
  <c r="FX12" i="4" a="1"/>
  <c r="HE14" i="4" a="1"/>
  <c r="HB15" i="4" a="1"/>
  <c r="FM13" i="4" a="1"/>
  <c r="GV13" i="4" a="1"/>
  <c r="HC15" i="4" a="1"/>
  <c r="BD47" i="3"/>
  <c r="BD91" i="3"/>
  <c r="GF12" i="4" a="1"/>
  <c r="HD16" i="4" a="1"/>
  <c r="GA15" i="4" a="1"/>
  <c r="GI15" i="4" a="1"/>
  <c r="HG15" i="4" a="1"/>
  <c r="GC16" i="4" a="1"/>
  <c r="BD84" i="3"/>
  <c r="BK50" i="3"/>
  <c r="GN6" i="4" a="1"/>
  <c r="GK6" i="4" a="1"/>
  <c r="FJ16" i="4" a="1"/>
  <c r="GQ9" i="4" a="1"/>
  <c r="FV14" i="4" a="1"/>
  <c r="GH14" i="4" a="1"/>
  <c r="BN97" i="3"/>
  <c r="BJ64" i="3"/>
  <c r="GF14" i="4" a="1"/>
  <c r="HD7" i="4" a="1"/>
  <c r="GR9" i="4" a="1"/>
  <c r="FT14" i="4" a="1"/>
  <c r="GN15" i="4" a="1"/>
  <c r="GA14" i="4" a="1"/>
  <c r="GQ15" i="4" a="1"/>
  <c r="GL8" i="4" a="1"/>
  <c r="BD71" i="3"/>
  <c r="BB69" i="3"/>
  <c r="BU89" i="3"/>
  <c r="BO48" i="3"/>
  <c r="BJ79" i="3"/>
  <c r="GE15" i="4" a="1"/>
  <c r="GV7" i="4" a="1"/>
  <c r="GW8" i="4" a="1"/>
  <c r="FT11" i="4" a="1"/>
  <c r="GI7" i="4" a="1"/>
  <c r="GZ16" i="4" a="1"/>
  <c r="GD8" i="4" a="1"/>
  <c r="GB15" i="4" a="1"/>
  <c r="FY16" i="4" a="1"/>
  <c r="BC63" i="3"/>
  <c r="BD68" i="3"/>
  <c r="FO6" i="4" a="1"/>
  <c r="GS13" i="4" a="1"/>
  <c r="FG14" i="4" a="1"/>
  <c r="BC55" i="3"/>
  <c r="BF71" i="3"/>
  <c r="FT13" i="4" a="1"/>
  <c r="BG86" i="3"/>
  <c r="BV81" i="3"/>
  <c r="BR69" i="3"/>
  <c r="BE73" i="3"/>
  <c r="GL9" i="4" a="1"/>
  <c r="FL16" i="4" a="1"/>
  <c r="HH11" i="4" a="1"/>
  <c r="BD87" i="3"/>
  <c r="BQ58" i="3"/>
  <c r="BG89" i="3"/>
  <c r="BB90" i="3"/>
  <c r="BI49" i="3"/>
  <c r="BH79" i="3"/>
  <c r="BE48" i="3"/>
  <c r="BU74" i="3"/>
  <c r="BO77" i="3"/>
  <c r="BU88" i="3"/>
  <c r="BT63" i="3"/>
  <c r="BN90" i="3"/>
  <c r="BO69" i="3"/>
  <c r="BL95" i="3"/>
  <c r="BM58" i="3"/>
  <c r="BJ80" i="3"/>
  <c r="BK81" i="3"/>
  <c r="BK94" i="3"/>
  <c r="FS5" i="4" a="1"/>
  <c r="GU8" i="4" a="1"/>
  <c r="FZ6" i="4" a="1"/>
  <c r="HB5" i="4" a="1"/>
  <c r="FL9" i="4" a="1"/>
  <c r="FW15" i="4" a="1"/>
  <c r="FQ8" i="4" a="1"/>
  <c r="GK5" i="4" a="1"/>
  <c r="GV6" i="4" a="1"/>
  <c r="GW7" i="4" a="1"/>
  <c r="FQ5" i="4" a="1"/>
  <c r="GU5" i="4" a="1"/>
  <c r="FP14" i="4" a="1"/>
  <c r="GN7" i="4" a="1"/>
  <c r="GO6" i="4" a="1"/>
  <c r="GA11" i="4" a="1"/>
  <c r="GX12" i="4" a="1"/>
  <c r="GT7" i="4" a="1"/>
  <c r="GC12" i="4" a="1"/>
  <c r="GU13" i="4" a="1"/>
  <c r="HH14" i="4" a="1"/>
  <c r="HB12" i="4" a="1"/>
  <c r="GC15" i="4" a="1"/>
  <c r="HD15" i="4" a="1"/>
  <c r="GB16" i="4" a="1"/>
  <c r="HB16" i="4" a="1"/>
  <c r="GJ7" i="4" a="1"/>
  <c r="FX13" i="4" a="1"/>
  <c r="FX15" i="4" a="1"/>
  <c r="HH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L64" i="3"/>
  <c r="BS47" i="3"/>
  <c r="BT54" i="3"/>
  <c r="BF50" i="3"/>
  <c r="CL88" i="1" s="1"/>
  <c r="BK47" i="3"/>
  <c r="GQ6" i="4" a="1"/>
  <c r="GS14" i="4" a="1"/>
  <c r="FG7" i="4" a="1"/>
  <c r="GL11" i="4" a="1"/>
  <c r="GL16" i="4" a="1"/>
  <c r="HG9" i="4" a="1"/>
  <c r="GM14" i="4" a="1"/>
  <c r="BC81" i="3"/>
  <c r="BH61" i="3"/>
  <c r="BP56" i="3"/>
  <c r="BG83" i="3"/>
  <c r="BB87" i="3"/>
  <c r="BI69" i="3"/>
  <c r="BH71" i="3"/>
  <c r="BE70" i="3"/>
  <c r="BU75" i="3"/>
  <c r="BO79" i="3"/>
  <c r="BU64" i="3"/>
  <c r="BT58" i="3"/>
  <c r="BN56" i="3"/>
  <c r="BO78" i="3"/>
  <c r="BL50" i="3"/>
  <c r="BM89" i="3"/>
  <c r="BJ95" i="3"/>
  <c r="BK77" i="3"/>
  <c r="BK56" i="3"/>
  <c r="FP5" i="4" a="1"/>
  <c r="GM5" i="4" a="1"/>
  <c r="GX11" i="4" a="1"/>
  <c r="GC6" i="4" a="1"/>
  <c r="GX6" i="4" a="1"/>
  <c r="GO7" i="4" a="1"/>
  <c r="GC8" i="4" a="1"/>
  <c r="HF11" i="4" a="1"/>
  <c r="FO7" i="4" a="1"/>
  <c r="FZ9" i="4" a="1"/>
  <c r="GE5" i="4" a="1"/>
  <c r="GR6" i="4" a="1"/>
  <c r="GN14" i="4" a="1"/>
  <c r="FJ8" i="4" a="1"/>
  <c r="GP11" i="4" a="1"/>
  <c r="GE11" i="4" a="1"/>
  <c r="HC12" i="4" a="1"/>
  <c r="BH62" i="3"/>
  <c r="BH72" i="3"/>
  <c r="BE74" i="3"/>
  <c r="BG72" i="3"/>
  <c r="BI86" i="3"/>
  <c r="BH90" i="3"/>
  <c r="BI94" i="3"/>
  <c r="BR58" i="3"/>
  <c r="BS84" i="3"/>
  <c r="BR74" i="3"/>
  <c r="BT47" i="3"/>
  <c r="BN66" i="3"/>
  <c r="BO91" i="3"/>
  <c r="BE49" i="3"/>
  <c r="BM55" i="3"/>
  <c r="BJ91" i="3"/>
  <c r="BK55" i="3"/>
  <c r="BK54" i="3"/>
  <c r="GB5" i="4" a="1"/>
  <c r="FG6" i="4" a="1"/>
  <c r="FT12" i="4" a="1"/>
  <c r="HD6" i="4" a="1"/>
  <c r="GR8" i="4" a="1"/>
  <c r="GX8" i="4" a="1"/>
  <c r="GX5" i="4" a="1"/>
  <c r="GB12" i="4" a="1"/>
  <c r="FI8" i="4" a="1"/>
  <c r="GT9" i="4" a="1"/>
  <c r="FN5" i="4" a="1"/>
  <c r="FJ6" i="4" a="1"/>
  <c r="FJ15" i="4" a="1"/>
  <c r="HA8" i="4" a="1"/>
  <c r="FL12" i="4" a="1"/>
  <c r="GN11" i="4" a="1"/>
  <c r="FL13" i="4" a="1"/>
  <c r="GA9" i="4" a="1"/>
  <c r="GS12" i="4" a="1"/>
  <c r="FI14" i="4" a="1"/>
  <c r="FY7" i="4" a="1"/>
  <c r="HA13" i="4" a="1"/>
  <c r="GH15" i="4" a="1"/>
  <c r="HH15" i="4" a="1"/>
  <c r="GF16" i="4" a="1"/>
  <c r="HF16" i="4" a="1"/>
  <c r="HB8" i="4" a="1"/>
  <c r="HH13" i="4" a="1"/>
  <c r="GD15" i="4" a="1"/>
  <c r="FI11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BM49" i="3"/>
  <c r="BV65" i="3"/>
  <c r="BR77" i="3"/>
  <c r="BN91" i="3"/>
  <c r="BE59" i="3"/>
  <c r="BF72" i="3"/>
  <c r="CL149" i="1" s="1"/>
  <c r="BK75" i="3"/>
  <c r="GA13" i="4" a="1"/>
  <c r="FU14" i="4" a="1"/>
  <c r="FX11" i="4" a="1"/>
  <c r="FW5" i="4" a="1"/>
  <c r="HD11" i="4" a="1"/>
  <c r="HA12" i="4" a="1"/>
  <c r="FO14" i="4" a="1"/>
  <c r="BC93" i="3"/>
  <c r="BM48" i="3"/>
  <c r="BS87" i="3"/>
  <c r="BH96" i="3"/>
  <c r="BE62" i="3"/>
  <c r="BG94" i="3"/>
  <c r="BI74" i="3"/>
  <c r="BH80" i="3"/>
  <c r="BI47" i="3"/>
  <c r="BR63" i="3"/>
  <c r="BS85" i="3"/>
  <c r="BR72" i="3"/>
  <c r="BT56" i="3"/>
  <c r="BN68" i="3"/>
  <c r="BO93" i="3"/>
  <c r="BE47" i="3"/>
  <c r="BF68" i="3"/>
  <c r="CL148" i="1" s="1"/>
  <c r="BJ55" i="3"/>
  <c r="BK88" i="3"/>
  <c r="BK49" i="3"/>
  <c r="GQ5" i="4" a="1"/>
  <c r="FG9" i="4" a="1"/>
  <c r="GJ12" i="4" a="1"/>
  <c r="GW5" i="4" a="1"/>
  <c r="FM9" i="4" a="1"/>
  <c r="FG5" i="4" a="1"/>
  <c r="FQ6" i="4" a="1"/>
  <c r="GW12" i="4" a="1"/>
  <c r="FH7" i="4" a="1"/>
  <c r="HF9" i="4" a="1"/>
  <c r="FM6" i="4" a="1"/>
  <c r="GG7" i="4" a="1"/>
  <c r="FZ8" i="4" a="1"/>
  <c r="HF5" i="4" a="1"/>
  <c r="GR12" i="4" a="1"/>
  <c r="HA11" i="4" a="1"/>
  <c r="FQ13" i="4" a="1"/>
  <c r="GF9" i="4" a="1"/>
  <c r="GV12" i="4" a="1"/>
  <c r="FL14" i="4" a="1"/>
  <c r="GT8" i="4" a="1"/>
  <c r="FJ14" i="4" a="1"/>
  <c r="GJ15" i="4" a="1"/>
  <c r="FH16" i="4" a="1"/>
  <c r="GH16" i="4" a="1"/>
  <c r="HH16" i="4" a="1"/>
  <c r="FV9" i="4" a="1"/>
  <c r="FK14" i="4" a="1"/>
  <c r="FM11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BS78" i="3"/>
  <c r="BT87" i="3"/>
  <c r="BS76" i="3"/>
  <c r="BJ62" i="3"/>
  <c r="BK65" i="3"/>
  <c r="GE9" i="4" a="1"/>
  <c r="CH154" i="1" l="1"/>
  <c r="CI154" i="1" s="1"/>
  <c r="AA216" i="1"/>
  <c r="CL112" i="1"/>
  <c r="CL113" i="1" s="1"/>
  <c r="CL142" i="1"/>
  <c r="CL152" i="1"/>
  <c r="CL134" i="1"/>
  <c r="CS6" i="1"/>
  <c r="CS4" i="1" s="1"/>
  <c r="CS13" i="1" s="1"/>
  <c r="CT15" i="1"/>
  <c r="CS7" i="1"/>
  <c r="CT16" i="1"/>
  <c r="CT7" i="1" s="1"/>
  <c r="AC7" i="1" s="1"/>
  <c r="AC16" i="1" s="1"/>
  <c r="CL30" i="1"/>
  <c r="CL143" i="1"/>
  <c r="CL106" i="1"/>
  <c r="CL175" i="1"/>
  <c r="CL182" i="1" s="1"/>
  <c r="CL123" i="1" s="1"/>
  <c r="CL170" i="1"/>
  <c r="CL199" i="1" s="1"/>
  <c r="CL198" i="1" s="1"/>
  <c r="CL162" i="1"/>
  <c r="Z197" i="1"/>
  <c r="CS8" i="1"/>
  <c r="CT17" i="1"/>
  <c r="CU17" i="1"/>
  <c r="CU8" i="1" s="1"/>
  <c r="CK40" i="1"/>
  <c r="Y267" i="1"/>
  <c r="CK24" i="1"/>
  <c r="CO34" i="1"/>
  <c r="CS34" i="1" s="1"/>
  <c r="CW34" i="1" s="1"/>
  <c r="DA34" i="1" s="1"/>
  <c r="CJ139" i="1"/>
  <c r="CK139" i="1" s="1"/>
  <c r="CJ136" i="1"/>
  <c r="CK136" i="1" s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KG16" i="4" s="1"/>
  <c r="CJ140" i="1"/>
  <c r="CK140" i="1" s="1"/>
  <c r="CM140" i="1" s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Y140" i="1" s="1"/>
  <c r="CZ140" i="1" s="1"/>
  <c r="DA140" i="1" s="1"/>
  <c r="DB140" i="1" s="1"/>
  <c r="CJ149" i="1"/>
  <c r="CK149" i="1" s="1"/>
  <c r="CM149" i="1" s="1"/>
  <c r="CN149" i="1" s="1"/>
  <c r="CO149" i="1" s="1"/>
  <c r="CP149" i="1" s="1"/>
  <c r="CQ149" i="1" s="1"/>
  <c r="CR149" i="1" s="1"/>
  <c r="CS149" i="1" s="1"/>
  <c r="CT149" i="1" s="1"/>
  <c r="CU149" i="1" s="1"/>
  <c r="CV149" i="1" s="1"/>
  <c r="CW149" i="1" s="1"/>
  <c r="CX149" i="1" s="1"/>
  <c r="CY149" i="1" s="1"/>
  <c r="CZ149" i="1" s="1"/>
  <c r="DA149" i="1" s="1"/>
  <c r="DB149" i="1" s="1"/>
  <c r="KA15" i="4" s="1"/>
  <c r="JW9" i="4" s="1"/>
  <c r="CK87" i="1"/>
  <c r="CJ158" i="1"/>
  <c r="CJ193" i="1" s="1"/>
  <c r="CK193" i="1" s="1"/>
  <c r="CJ132" i="1"/>
  <c r="CK132" i="1" s="1"/>
  <c r="CM132" i="1" s="1"/>
  <c r="CN132" i="1" s="1"/>
  <c r="CO132" i="1" s="1"/>
  <c r="CP132" i="1" s="1"/>
  <c r="CQ132" i="1" s="1"/>
  <c r="CR132" i="1" s="1"/>
  <c r="CS132" i="1" s="1"/>
  <c r="CT132" i="1" s="1"/>
  <c r="CU132" i="1" s="1"/>
  <c r="CV132" i="1" s="1"/>
  <c r="CW132" i="1" s="1"/>
  <c r="CX132" i="1" s="1"/>
  <c r="CY132" i="1" s="1"/>
  <c r="CZ132" i="1" s="1"/>
  <c r="DA132" i="1" s="1"/>
  <c r="DB132" i="1" s="1"/>
  <c r="KE16" i="4" s="1"/>
  <c r="JW16" i="4" s="1"/>
  <c r="CJ166" i="1"/>
  <c r="JR16" i="4" s="1"/>
  <c r="CJ148" i="1"/>
  <c r="CK47" i="1" s="1"/>
  <c r="CJ160" i="1"/>
  <c r="CJ168" i="1"/>
  <c r="KG15" i="4" s="1"/>
  <c r="CJ163" i="1"/>
  <c r="JV16" i="4" s="1"/>
  <c r="CI87" i="1"/>
  <c r="CJ151" i="1"/>
  <c r="CK151" i="1" s="1"/>
  <c r="CM151" i="1" s="1"/>
  <c r="CN151" i="1" s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DB151" i="1" s="1"/>
  <c r="CJ133" i="1"/>
  <c r="CJ173" i="1"/>
  <c r="CJ164" i="1"/>
  <c r="KC16" i="4" s="1"/>
  <c r="CJ147" i="1"/>
  <c r="CK147" i="1" s="1"/>
  <c r="CJ154" i="1"/>
  <c r="CJ131" i="1"/>
  <c r="JT16" i="4" s="1"/>
  <c r="KG9" i="4" s="1"/>
  <c r="JT9" i="4" s="1"/>
  <c r="CJ141" i="1"/>
  <c r="CK141" i="1" s="1"/>
  <c r="CM141" i="1" s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CJ177" i="1"/>
  <c r="CK177" i="1" s="1"/>
  <c r="CM177" i="1" s="1"/>
  <c r="CN177" i="1" s="1"/>
  <c r="CO177" i="1" s="1"/>
  <c r="CP177" i="1" s="1"/>
  <c r="CQ177" i="1" s="1"/>
  <c r="CR177" i="1" s="1"/>
  <c r="CS177" i="1" s="1"/>
  <c r="CT177" i="1" s="1"/>
  <c r="CU177" i="1" s="1"/>
  <c r="CV177" i="1" s="1"/>
  <c r="CW177" i="1" s="1"/>
  <c r="KB9" i="4" s="1"/>
  <c r="CJ165" i="1"/>
  <c r="KE9" i="4" s="1"/>
  <c r="KB16" i="4" s="1"/>
  <c r="CJ178" i="1"/>
  <c r="CK178" i="1" s="1"/>
  <c r="CM178" i="1" s="1"/>
  <c r="CN178" i="1" s="1"/>
  <c r="CO178" i="1" s="1"/>
  <c r="CP178" i="1" s="1"/>
  <c r="CQ178" i="1" s="1"/>
  <c r="CR178" i="1" s="1"/>
  <c r="CS178" i="1" s="1"/>
  <c r="CT178" i="1" s="1"/>
  <c r="CU178" i="1" s="1"/>
  <c r="CV178" i="1" s="1"/>
  <c r="CW178" i="1" s="1"/>
  <c r="CX178" i="1" s="1"/>
  <c r="CY178" i="1" s="1"/>
  <c r="CZ178" i="1" s="1"/>
  <c r="DA178" i="1" s="1"/>
  <c r="DB178" i="1" s="1"/>
  <c r="JX16" i="4" s="1"/>
  <c r="CJ157" i="1"/>
  <c r="JY9" i="4" s="1"/>
  <c r="KA16" i="4" s="1"/>
  <c r="JS16" i="4" s="1"/>
  <c r="CJ159" i="1"/>
  <c r="CJ194" i="1" s="1"/>
  <c r="CK194" i="1" s="1"/>
  <c r="CH88" i="1"/>
  <c r="JU9" i="4" s="1"/>
  <c r="KF9" i="4" s="1"/>
  <c r="X87" i="1"/>
  <c r="Z88" i="1"/>
  <c r="CJ167" i="1"/>
  <c r="CJ197" i="1" s="1"/>
  <c r="CK197" i="1" s="1"/>
  <c r="CJ161" i="1"/>
  <c r="Y88" i="1"/>
  <c r="CI88" i="1"/>
  <c r="Z87" i="1"/>
  <c r="CJ174" i="1"/>
  <c r="KA9" i="4" s="1"/>
  <c r="JS9" i="4" s="1"/>
  <c r="JQ9" i="4" s="1"/>
  <c r="CK88" i="1"/>
  <c r="CJ156" i="1"/>
  <c r="CH87" i="1"/>
  <c r="JX9" i="4" s="1"/>
  <c r="KH9" i="4" s="1"/>
  <c r="CJ88" i="1"/>
  <c r="CJ169" i="1"/>
  <c r="CJ138" i="1"/>
  <c r="CK138" i="1" s="1"/>
  <c r="CM138" i="1" s="1"/>
  <c r="CG87" i="1"/>
  <c r="KC9" i="4" s="1"/>
  <c r="JV9" i="4" s="1"/>
  <c r="JZ9" i="4" s="1"/>
  <c r="CJ87" i="1"/>
  <c r="CG88" i="1"/>
  <c r="Y208" i="1"/>
  <c r="Y175" i="1"/>
  <c r="Z223" i="1" s="1"/>
  <c r="Z193" i="1"/>
  <c r="CV5" i="1"/>
  <c r="CW14" i="1"/>
  <c r="CX14" i="1" s="1"/>
  <c r="CK112" i="1"/>
  <c r="CK113" i="1" s="1"/>
  <c r="Y148" i="1"/>
  <c r="Y40" i="1"/>
  <c r="Y266" i="1"/>
  <c r="Y162" i="1"/>
  <c r="X266" i="1"/>
  <c r="Y187" i="1"/>
  <c r="X162" i="1"/>
  <c r="Y197" i="1"/>
  <c r="Y193" i="1"/>
  <c r="X187" i="1"/>
  <c r="Y24" i="1"/>
  <c r="Y245" i="1"/>
  <c r="CH131" i="1"/>
  <c r="Z134" i="1"/>
  <c r="AA221" i="1" s="1"/>
  <c r="Z245" i="1"/>
  <c r="Z266" i="1"/>
  <c r="Z267" i="1"/>
  <c r="CH149" i="1"/>
  <c r="CI149" i="1" s="1"/>
  <c r="Z145" i="1"/>
  <c r="CH140" i="1"/>
  <c r="Z168" i="1"/>
  <c r="X245" i="1"/>
  <c r="X24" i="1"/>
  <c r="X30" i="1" s="1"/>
  <c r="X197" i="1"/>
  <c r="X267" i="1"/>
  <c r="X194" i="1"/>
  <c r="CH174" i="1"/>
  <c r="CH175" i="1" s="1"/>
  <c r="CI223" i="1" s="1"/>
  <c r="Z175" i="1"/>
  <c r="AA223" i="1" s="1"/>
  <c r="CH159" i="1"/>
  <c r="CH194" i="1" s="1"/>
  <c r="CI194" i="1" s="1"/>
  <c r="Z194" i="1"/>
  <c r="CH156" i="1"/>
  <c r="Z162" i="1"/>
  <c r="X193" i="1"/>
  <c r="CG208" i="1"/>
  <c r="CG267" i="1"/>
  <c r="Y170" i="1"/>
  <c r="CH267" i="1"/>
  <c r="CG266" i="1"/>
  <c r="X148" i="1"/>
  <c r="CH193" i="1"/>
  <c r="CI193" i="1" s="1"/>
  <c r="CI245" i="1"/>
  <c r="CI24" i="1"/>
  <c r="CJ112" i="1"/>
  <c r="Y216" i="1"/>
  <c r="Y194" i="1"/>
  <c r="CG24" i="1"/>
  <c r="CG11" i="1" s="1"/>
  <c r="Z187" i="1"/>
  <c r="Z24" i="1"/>
  <c r="X170" i="1"/>
  <c r="Y134" i="1"/>
  <c r="X142" i="1"/>
  <c r="X175" i="1"/>
  <c r="X134" i="1"/>
  <c r="X189" i="1" s="1"/>
  <c r="Y142" i="1"/>
  <c r="Z40" i="1"/>
  <c r="X40" i="1"/>
  <c r="CI146" i="1"/>
  <c r="CJ146" i="1" s="1"/>
  <c r="CH266" i="1"/>
  <c r="CJ40" i="1"/>
  <c r="CG40" i="1"/>
  <c r="CH24" i="1"/>
  <c r="CH40" i="1"/>
  <c r="CI266" i="1"/>
  <c r="CJ267" i="1"/>
  <c r="CH245" i="1"/>
  <c r="CJ245" i="1"/>
  <c r="CI267" i="1"/>
  <c r="CH197" i="1"/>
  <c r="CI197" i="1" s="1"/>
  <c r="CJ266" i="1"/>
  <c r="CJ24" i="1"/>
  <c r="CJ11" i="1" s="1"/>
  <c r="Y87" i="1"/>
  <c r="X88" i="1"/>
  <c r="Z216" i="1"/>
  <c r="CI40" i="1"/>
  <c r="CI79" i="1"/>
  <c r="CJ208" i="1"/>
  <c r="Z142" i="1"/>
  <c r="CH79" i="1"/>
  <c r="CG79" i="1"/>
  <c r="CI216" i="1"/>
  <c r="CJ79" i="1"/>
  <c r="JP15" i="4"/>
  <c r="JP14" i="4"/>
  <c r="JP8" i="4"/>
  <c r="JP7" i="4"/>
  <c r="JP21" i="4"/>
  <c r="CJ91" i="1" s="1"/>
  <c r="JO21" i="4"/>
  <c r="CI91" i="1" s="1"/>
  <c r="JO7" i="4"/>
  <c r="JO15" i="4"/>
  <c r="JO14" i="4"/>
  <c r="JO8" i="4"/>
  <c r="JN21" i="4"/>
  <c r="CH91" i="1" s="1"/>
  <c r="JN15" i="4"/>
  <c r="JN14" i="4"/>
  <c r="JN7" i="4"/>
  <c r="JN8" i="4"/>
  <c r="CB27" i="1"/>
  <c r="X112" i="1" l="1"/>
  <c r="X41" i="1"/>
  <c r="Z196" i="1"/>
  <c r="AA210" i="1"/>
  <c r="AA202" i="1"/>
  <c r="AA25" i="1"/>
  <c r="AA220" i="1"/>
  <c r="AA219" i="1" s="1"/>
  <c r="AA263" i="1"/>
  <c r="KG21" i="4"/>
  <c r="JY16" i="4" s="1"/>
  <c r="JY21" i="4" s="1"/>
  <c r="JQ16" i="4" s="1"/>
  <c r="JQ21" i="4" s="1"/>
  <c r="CK91" i="1" s="1"/>
  <c r="KH16" i="4" s="1"/>
  <c r="JY7" i="4" s="1"/>
  <c r="KC21" i="4"/>
  <c r="JU16" i="4" s="1"/>
  <c r="KD16" i="4" s="1"/>
  <c r="KD9" i="4" s="1"/>
  <c r="JW21" i="4"/>
  <c r="KF16" i="4" s="1"/>
  <c r="JV15" i="4" s="1"/>
  <c r="JR9" i="4" s="1"/>
  <c r="KB21" i="4"/>
  <c r="JZ16" i="4" s="1"/>
  <c r="CU16" i="1"/>
  <c r="CU7" i="1" s="1"/>
  <c r="CK41" i="1"/>
  <c r="JV14" i="4"/>
  <c r="JR14" i="4"/>
  <c r="KD21" i="4"/>
  <c r="JY15" i="4"/>
  <c r="JS7" i="4"/>
  <c r="KD7" i="4"/>
  <c r="JT8" i="4"/>
  <c r="KE14" i="4"/>
  <c r="KB15" i="4"/>
  <c r="JS15" i="4"/>
  <c r="KF14" i="4"/>
  <c r="JZ7" i="4"/>
  <c r="KB8" i="4"/>
  <c r="JV8" i="4"/>
  <c r="KE8" i="4"/>
  <c r="KE7" i="4"/>
  <c r="JS14" i="4"/>
  <c r="KF15" i="4"/>
  <c r="JQ14" i="4"/>
  <c r="KF8" i="4"/>
  <c r="JU7" i="4"/>
  <c r="CL42" i="1"/>
  <c r="CL31" i="1"/>
  <c r="CL262" i="1"/>
  <c r="CL260" i="1"/>
  <c r="CL171" i="1"/>
  <c r="CL179" i="1" s="1"/>
  <c r="CL180" i="1" s="1"/>
  <c r="CL196" i="1"/>
  <c r="JR15" i="4"/>
  <c r="JR8" i="4"/>
  <c r="KE21" i="4"/>
  <c r="KA8" i="4"/>
  <c r="KA20" i="4" s="1"/>
  <c r="JW14" i="4"/>
  <c r="JZ14" i="4"/>
  <c r="KC7" i="4"/>
  <c r="KA7" i="4"/>
  <c r="KH14" i="4"/>
  <c r="JT21" i="4"/>
  <c r="KD14" i="4"/>
  <c r="JU8" i="4"/>
  <c r="KF7" i="4"/>
  <c r="JS8" i="4"/>
  <c r="KG7" i="4"/>
  <c r="JX7" i="4"/>
  <c r="JY8" i="4"/>
  <c r="JU15" i="4"/>
  <c r="JU20" i="4" s="1"/>
  <c r="JW7" i="4"/>
  <c r="KA21" i="4"/>
  <c r="JX14" i="4"/>
  <c r="JX19" i="4" s="1"/>
  <c r="JV21" i="4"/>
  <c r="CK26" i="1"/>
  <c r="CT6" i="1"/>
  <c r="CU15" i="1"/>
  <c r="CK30" i="1"/>
  <c r="CK11" i="1"/>
  <c r="CL258" i="1"/>
  <c r="CL202" i="1"/>
  <c r="CL26" i="1"/>
  <c r="CJ216" i="1"/>
  <c r="CK154" i="1"/>
  <c r="CI30" i="1"/>
  <c r="CI11" i="1"/>
  <c r="CL239" i="1"/>
  <c r="CH11" i="1"/>
  <c r="CL25" i="1"/>
  <c r="CK25" i="1"/>
  <c r="CV17" i="1"/>
  <c r="CT8" i="1"/>
  <c r="AC8" i="1" s="1"/>
  <c r="AC17" i="1" s="1"/>
  <c r="CM147" i="1"/>
  <c r="CN147" i="1" s="1"/>
  <c r="CO147" i="1" s="1"/>
  <c r="CP147" i="1" s="1"/>
  <c r="CJ134" i="1"/>
  <c r="CJ106" i="1" s="1"/>
  <c r="CJ108" i="1" s="1"/>
  <c r="KG14" i="4"/>
  <c r="JW15" i="4"/>
  <c r="CK131" i="1"/>
  <c r="CM131" i="1" s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JX21" i="4"/>
  <c r="JW8" i="4"/>
  <c r="JZ8" i="4"/>
  <c r="KB14" i="4"/>
  <c r="KE15" i="4"/>
  <c r="JT14" i="4"/>
  <c r="JT7" i="4"/>
  <c r="JT19" i="4" s="1"/>
  <c r="CJ175" i="1"/>
  <c r="KH15" i="4"/>
  <c r="JU14" i="4"/>
  <c r="JX15" i="4"/>
  <c r="KD8" i="4"/>
  <c r="KB7" i="4"/>
  <c r="CJ162" i="1"/>
  <c r="CJ196" i="1" s="1"/>
  <c r="JZ15" i="4"/>
  <c r="KH7" i="4"/>
  <c r="CJ170" i="1"/>
  <c r="CJ199" i="1" s="1"/>
  <c r="CJ198" i="1" s="1"/>
  <c r="CK198" i="1" s="1"/>
  <c r="JT15" i="4"/>
  <c r="KC14" i="4"/>
  <c r="JX8" i="4"/>
  <c r="JY14" i="4"/>
  <c r="JR7" i="4"/>
  <c r="JQ8" i="4"/>
  <c r="KC8" i="4"/>
  <c r="JS21" i="4"/>
  <c r="JV7" i="4"/>
  <c r="KD15" i="4"/>
  <c r="KH8" i="4"/>
  <c r="KG8" i="4"/>
  <c r="KG20" i="4" s="1"/>
  <c r="JQ15" i="4"/>
  <c r="JQ20" i="4" s="1"/>
  <c r="CK93" i="1" s="1"/>
  <c r="KA14" i="4"/>
  <c r="KC15" i="4"/>
  <c r="JR21" i="4"/>
  <c r="CL91" i="1" s="1"/>
  <c r="JQ7" i="4"/>
  <c r="KC20" i="4"/>
  <c r="CJ152" i="1"/>
  <c r="CJ145" i="1"/>
  <c r="CK145" i="1" s="1"/>
  <c r="CH162" i="1"/>
  <c r="CH196" i="1" s="1"/>
  <c r="CH195" i="1" s="1"/>
  <c r="CI195" i="1" s="1"/>
  <c r="CJ142" i="1"/>
  <c r="CY14" i="1"/>
  <c r="CY5" i="1" s="1"/>
  <c r="CX5" i="1"/>
  <c r="CW5" i="1"/>
  <c r="Y41" i="1"/>
  <c r="Y152" i="1"/>
  <c r="Y260" i="1" s="1"/>
  <c r="Y47" i="1"/>
  <c r="X171" i="1"/>
  <c r="Y196" i="1"/>
  <c r="Y195" i="1" s="1"/>
  <c r="Z210" i="1"/>
  <c r="X196" i="1"/>
  <c r="X195" i="1" s="1"/>
  <c r="Y210" i="1"/>
  <c r="Y112" i="1"/>
  <c r="Y202" i="1"/>
  <c r="Y30" i="1"/>
  <c r="Y25" i="1"/>
  <c r="CI131" i="1"/>
  <c r="CH134" i="1"/>
  <c r="Z189" i="1"/>
  <c r="Z262" i="1"/>
  <c r="Z148" i="1"/>
  <c r="CH145" i="1"/>
  <c r="CI140" i="1"/>
  <c r="CI142" i="1" s="1"/>
  <c r="CH142" i="1"/>
  <c r="CH168" i="1"/>
  <c r="CH170" i="1" s="1"/>
  <c r="Z170" i="1"/>
  <c r="AA211" i="1" s="1"/>
  <c r="AA212" i="1" s="1"/>
  <c r="AA213" i="1" s="1"/>
  <c r="Z41" i="1"/>
  <c r="CG41" i="1"/>
  <c r="CG30" i="1"/>
  <c r="X143" i="1"/>
  <c r="CI41" i="1"/>
  <c r="Y199" i="1"/>
  <c r="Y171" i="1"/>
  <c r="X152" i="1"/>
  <c r="X47" i="1"/>
  <c r="X262" i="1"/>
  <c r="Y223" i="1"/>
  <c r="Z202" i="1"/>
  <c r="Z25" i="1"/>
  <c r="Z30" i="1"/>
  <c r="AA32" i="1" s="1"/>
  <c r="Z112" i="1"/>
  <c r="Y189" i="1"/>
  <c r="Y262" i="1"/>
  <c r="X51" i="1"/>
  <c r="X182" i="1"/>
  <c r="X123" i="1" s="1"/>
  <c r="X199" i="1"/>
  <c r="Y211" i="1"/>
  <c r="Y263" i="1"/>
  <c r="Y220" i="1"/>
  <c r="Y182" i="1"/>
  <c r="Y123" i="1" s="1"/>
  <c r="CK142" i="1"/>
  <c r="Y51" i="1"/>
  <c r="Y143" i="1"/>
  <c r="Z182" i="1"/>
  <c r="Z123" i="1" s="1"/>
  <c r="Z220" i="1"/>
  <c r="CI26" i="1"/>
  <c r="CJ30" i="1"/>
  <c r="CJ113" i="1"/>
  <c r="CJ116" i="1" s="1"/>
  <c r="CH41" i="1"/>
  <c r="CJ239" i="1"/>
  <c r="CJ26" i="1"/>
  <c r="CJ41" i="1"/>
  <c r="CH30" i="1"/>
  <c r="CL32" i="1" s="1"/>
  <c r="CH26" i="1"/>
  <c r="Z143" i="1"/>
  <c r="Z51" i="1"/>
  <c r="Z263" i="1"/>
  <c r="X42" i="1"/>
  <c r="X31" i="1"/>
  <c r="CM193" i="1"/>
  <c r="CN138" i="1"/>
  <c r="CM194" i="1"/>
  <c r="CM197" i="1"/>
  <c r="CX177" i="1"/>
  <c r="JP20" i="4"/>
  <c r="CJ93" i="1" s="1"/>
  <c r="JP19" i="4"/>
  <c r="CJ92" i="1" s="1"/>
  <c r="JO19" i="4"/>
  <c r="CI92" i="1" s="1"/>
  <c r="JO20" i="4"/>
  <c r="CI93" i="1" s="1"/>
  <c r="CI31" i="1"/>
  <c r="CI42" i="1"/>
  <c r="JN20" i="4"/>
  <c r="CH93" i="1" s="1"/>
  <c r="JN19" i="4"/>
  <c r="CH92" i="1" s="1"/>
  <c r="KF21" i="4" l="1"/>
  <c r="CV16" i="1"/>
  <c r="CV7" i="1" s="1"/>
  <c r="Z195" i="1"/>
  <c r="JR20" i="4"/>
  <c r="CL93" i="1" s="1"/>
  <c r="KG19" i="4"/>
  <c r="CK42" i="1"/>
  <c r="CM41" i="1"/>
  <c r="JZ20" i="4"/>
  <c r="JY19" i="4"/>
  <c r="KD20" i="4"/>
  <c r="KH20" i="4"/>
  <c r="KA19" i="4"/>
  <c r="CK32" i="1"/>
  <c r="CK33" i="1"/>
  <c r="JZ19" i="4"/>
  <c r="JU21" i="4"/>
  <c r="KD19" i="4"/>
  <c r="KF19" i="4"/>
  <c r="JS20" i="4"/>
  <c r="JY20" i="4"/>
  <c r="KH21" i="4"/>
  <c r="KE20" i="4"/>
  <c r="JQ19" i="4"/>
  <c r="CK92" i="1" s="1"/>
  <c r="JT20" i="4"/>
  <c r="JX20" i="4"/>
  <c r="JR19" i="4"/>
  <c r="CL92" i="1" s="1"/>
  <c r="JZ21" i="4"/>
  <c r="CK116" i="1"/>
  <c r="JU19" i="4"/>
  <c r="JV19" i="4"/>
  <c r="JV20" i="4"/>
  <c r="JW20" i="4"/>
  <c r="KB20" i="4"/>
  <c r="JS19" i="4"/>
  <c r="KE19" i="4"/>
  <c r="KF20" i="4"/>
  <c r="AC6" i="1"/>
  <c r="AC15" i="1" s="1"/>
  <c r="CT4" i="1"/>
  <c r="JW19" i="4"/>
  <c r="KH19" i="4"/>
  <c r="KB19" i="4"/>
  <c r="CL43" i="1"/>
  <c r="CL246" i="1"/>
  <c r="CL247" i="1" s="1"/>
  <c r="CL48" i="1"/>
  <c r="CL52" i="1" s="1"/>
  <c r="CL200" i="1"/>
  <c r="CL195" i="1"/>
  <c r="CL33" i="1"/>
  <c r="CK31" i="1"/>
  <c r="CJ260" i="1"/>
  <c r="KC19" i="4"/>
  <c r="CU6" i="1"/>
  <c r="CU4" i="1" s="1"/>
  <c r="CU13" i="1" s="1"/>
  <c r="CV15" i="1"/>
  <c r="CL216" i="1"/>
  <c r="CK216" i="1"/>
  <c r="AB147" i="1"/>
  <c r="CQ147" i="1"/>
  <c r="CR147" i="1" s="1"/>
  <c r="CS147" i="1" s="1"/>
  <c r="CT147" i="1" s="1"/>
  <c r="CL116" i="1"/>
  <c r="CL108" i="1"/>
  <c r="CL220" i="1"/>
  <c r="CL263" i="1"/>
  <c r="CV8" i="1"/>
  <c r="CJ143" i="1"/>
  <c r="CW17" i="1"/>
  <c r="AD5" i="1"/>
  <c r="AD14" i="1" s="1"/>
  <c r="CI220" i="1"/>
  <c r="CJ171" i="1"/>
  <c r="CJ258" i="1"/>
  <c r="CJ179" i="1"/>
  <c r="CJ180" i="1" s="1"/>
  <c r="CJ262" i="1"/>
  <c r="CK223" i="1"/>
  <c r="Y258" i="1"/>
  <c r="Y179" i="1"/>
  <c r="Y180" i="1" s="1"/>
  <c r="CZ14" i="1"/>
  <c r="DA14" i="1" s="1"/>
  <c r="DA5" i="1" s="1"/>
  <c r="Y32" i="1"/>
  <c r="Y42" i="1"/>
  <c r="Y31" i="1"/>
  <c r="CH106" i="1"/>
  <c r="CH108" i="1" s="1"/>
  <c r="CH262" i="1"/>
  <c r="Z152" i="1"/>
  <c r="AA217" i="1" s="1"/>
  <c r="AA215" i="1" s="1"/>
  <c r="Z47" i="1"/>
  <c r="CI145" i="1"/>
  <c r="CI148" i="1" s="1"/>
  <c r="CH148" i="1"/>
  <c r="CJ263" i="1"/>
  <c r="CJ220" i="1"/>
  <c r="CI263" i="1"/>
  <c r="CH182" i="1"/>
  <c r="CH143" i="1"/>
  <c r="CH199" i="1"/>
  <c r="CH171" i="1"/>
  <c r="Z199" i="1"/>
  <c r="Z171" i="1"/>
  <c r="Z211" i="1"/>
  <c r="Z212" i="1" s="1"/>
  <c r="Y212" i="1"/>
  <c r="CK122" i="1"/>
  <c r="CK118" i="1"/>
  <c r="X260" i="1"/>
  <c r="X179" i="1"/>
  <c r="X180" i="1" s="1"/>
  <c r="X258" i="1"/>
  <c r="Y217" i="1"/>
  <c r="Y215" i="1" s="1"/>
  <c r="Z32" i="1"/>
  <c r="Z31" i="1"/>
  <c r="Z42" i="1"/>
  <c r="CJ110" i="1"/>
  <c r="CJ109" i="1"/>
  <c r="CG42" i="1"/>
  <c r="CG31" i="1"/>
  <c r="CK199" i="1"/>
  <c r="Y198" i="1"/>
  <c r="Y200" i="1"/>
  <c r="CM154" i="1"/>
  <c r="CJ195" i="1"/>
  <c r="CK195" i="1" s="1"/>
  <c r="CJ200" i="1"/>
  <c r="CI33" i="1"/>
  <c r="CH31" i="1"/>
  <c r="X198" i="1"/>
  <c r="X200" i="1"/>
  <c r="CM139" i="1"/>
  <c r="CJ33" i="1"/>
  <c r="CJ42" i="1"/>
  <c r="CJ31" i="1"/>
  <c r="CK220" i="1"/>
  <c r="CK263" i="1"/>
  <c r="CH42" i="1"/>
  <c r="CL44" i="1" s="1"/>
  <c r="CH33" i="1"/>
  <c r="X246" i="1"/>
  <c r="X247" i="1" s="1"/>
  <c r="X48" i="1"/>
  <c r="X126" i="1"/>
  <c r="X43" i="1"/>
  <c r="CJ122" i="1"/>
  <c r="CJ118" i="1"/>
  <c r="CH122" i="1"/>
  <c r="CI121" i="1"/>
  <c r="CH121" i="1"/>
  <c r="CI122" i="1"/>
  <c r="CJ121" i="1"/>
  <c r="CJ117" i="1"/>
  <c r="CN194" i="1"/>
  <c r="CO138" i="1"/>
  <c r="CI196" i="1"/>
  <c r="CI160" i="1"/>
  <c r="CN197" i="1"/>
  <c r="CN193" i="1"/>
  <c r="CY131" i="1"/>
  <c r="CY177" i="1"/>
  <c r="CI48" i="1"/>
  <c r="CI246" i="1"/>
  <c r="CI247" i="1" s="1"/>
  <c r="CI43" i="1"/>
  <c r="CK48" i="1" l="1"/>
  <c r="CK52" i="1" s="1"/>
  <c r="CL45" i="1"/>
  <c r="CL110" i="1"/>
  <c r="CL118" i="1"/>
  <c r="CL122" i="1"/>
  <c r="CL125" i="1" s="1"/>
  <c r="CK43" i="1"/>
  <c r="CW16" i="1"/>
  <c r="CW7" i="1" s="1"/>
  <c r="CK117" i="1"/>
  <c r="CK121" i="1"/>
  <c r="CK44" i="1"/>
  <c r="CN41" i="1"/>
  <c r="CO41" i="1"/>
  <c r="CL264" i="1"/>
  <c r="CL117" i="1"/>
  <c r="CL109" i="1"/>
  <c r="CL121" i="1"/>
  <c r="CL124" i="1" s="1"/>
  <c r="AA227" i="1"/>
  <c r="AA224" i="1"/>
  <c r="AA225" i="1" s="1"/>
  <c r="AA264" i="1"/>
  <c r="AA265" i="1" s="1"/>
  <c r="AA44" i="1"/>
  <c r="CT13" i="1"/>
  <c r="AC4" i="1"/>
  <c r="AC13" i="1" s="1"/>
  <c r="CL54" i="1"/>
  <c r="CL55" i="1"/>
  <c r="Z179" i="1"/>
  <c r="Z180" i="1" s="1"/>
  <c r="CV6" i="1"/>
  <c r="CV4" i="1" s="1"/>
  <c r="CV13" i="1" s="1"/>
  <c r="CW15" i="1"/>
  <c r="CU147" i="1"/>
  <c r="CV147" i="1" s="1"/>
  <c r="CW147" i="1" s="1"/>
  <c r="CX147" i="1" s="1"/>
  <c r="AC147" i="1"/>
  <c r="CK45" i="1"/>
  <c r="CL240" i="1"/>
  <c r="CL126" i="1"/>
  <c r="CI52" i="1"/>
  <c r="CX16" i="1"/>
  <c r="CW8" i="1"/>
  <c r="CH109" i="1"/>
  <c r="CX17" i="1"/>
  <c r="CH110" i="1"/>
  <c r="DB14" i="1"/>
  <c r="DB5" i="1" s="1"/>
  <c r="CZ5" i="1"/>
  <c r="CH198" i="1"/>
  <c r="CI198" i="1" s="1"/>
  <c r="CH200" i="1"/>
  <c r="CL203" i="1" s="1"/>
  <c r="Y264" i="1"/>
  <c r="Y265" i="1" s="1"/>
  <c r="Y44" i="1"/>
  <c r="Y126" i="1"/>
  <c r="Y48" i="1"/>
  <c r="Y43" i="1"/>
  <c r="Y246" i="1"/>
  <c r="Y247" i="1" s="1"/>
  <c r="Z217" i="1"/>
  <c r="Z215" i="1" s="1"/>
  <c r="Z260" i="1"/>
  <c r="Z258" i="1"/>
  <c r="CJ47" i="1"/>
  <c r="CI152" i="1"/>
  <c r="CJ217" i="1" s="1"/>
  <c r="CJ215" i="1" s="1"/>
  <c r="CI47" i="1"/>
  <c r="CH152" i="1"/>
  <c r="CI51" i="1"/>
  <c r="CH123" i="1"/>
  <c r="Z200" i="1"/>
  <c r="Z198" i="1"/>
  <c r="Z264" i="1"/>
  <c r="Z265" i="1" s="1"/>
  <c r="Z44" i="1"/>
  <c r="CI264" i="1"/>
  <c r="CI265" i="1" s="1"/>
  <c r="CK126" i="1"/>
  <c r="Y203" i="1"/>
  <c r="Y204" i="1" s="1"/>
  <c r="Z48" i="1"/>
  <c r="Z126" i="1"/>
  <c r="Z43" i="1"/>
  <c r="Z246" i="1"/>
  <c r="Z247" i="1" s="1"/>
  <c r="CG43" i="1"/>
  <c r="CG48" i="1"/>
  <c r="CG52" i="1" s="1"/>
  <c r="CG246" i="1"/>
  <c r="CG247" i="1" s="1"/>
  <c r="CM216" i="1"/>
  <c r="CN154" i="1"/>
  <c r="CK196" i="1"/>
  <c r="CK200" i="1" s="1"/>
  <c r="CM198" i="1"/>
  <c r="CJ45" i="1"/>
  <c r="CJ264" i="1"/>
  <c r="CJ265" i="1" s="1"/>
  <c r="CJ246" i="1"/>
  <c r="CJ247" i="1" s="1"/>
  <c r="CH43" i="1"/>
  <c r="CH48" i="1"/>
  <c r="CH52" i="1" s="1"/>
  <c r="CH45" i="1"/>
  <c r="CH264" i="1"/>
  <c r="CI45" i="1"/>
  <c r="CH246" i="1"/>
  <c r="CH247" i="1" s="1"/>
  <c r="CJ240" i="1"/>
  <c r="CJ126" i="1"/>
  <c r="CJ43" i="1"/>
  <c r="CJ48" i="1"/>
  <c r="CN139" i="1"/>
  <c r="CM142" i="1"/>
  <c r="CM263" i="1" s="1"/>
  <c r="CK208" i="1"/>
  <c r="CK146" i="1"/>
  <c r="X52" i="1"/>
  <c r="X69" i="1"/>
  <c r="CP138" i="1"/>
  <c r="CO193" i="1"/>
  <c r="CO194" i="1"/>
  <c r="CO197" i="1"/>
  <c r="CZ177" i="1"/>
  <c r="CZ131" i="1"/>
  <c r="CM59" i="1"/>
  <c r="CN59" i="1" s="1"/>
  <c r="CO59" i="1" s="1"/>
  <c r="CP59" i="1" s="1"/>
  <c r="CQ59" i="1" s="1"/>
  <c r="CR59" i="1" s="1"/>
  <c r="CS59" i="1" s="1"/>
  <c r="CT59" i="1" s="1"/>
  <c r="CU59" i="1" s="1"/>
  <c r="CK54" i="1" l="1"/>
  <c r="CK55" i="1"/>
  <c r="CK56" i="1"/>
  <c r="CK62" i="1"/>
  <c r="CP41" i="1"/>
  <c r="CL265" i="1"/>
  <c r="CQ41" i="1"/>
  <c r="Z203" i="1"/>
  <c r="Z204" i="1" s="1"/>
  <c r="AA203" i="1"/>
  <c r="AA204" i="1" s="1"/>
  <c r="CY147" i="1"/>
  <c r="CZ147" i="1" s="1"/>
  <c r="DA147" i="1" s="1"/>
  <c r="DB147" i="1" s="1"/>
  <c r="AE147" i="1" s="1"/>
  <c r="AD147" i="1"/>
  <c r="CI55" i="1"/>
  <c r="CI54" i="1"/>
  <c r="Y69" i="1"/>
  <c r="Y52" i="1"/>
  <c r="CL248" i="1"/>
  <c r="CL56" i="1"/>
  <c r="CL259" i="1" s="1"/>
  <c r="CL62" i="1"/>
  <c r="CL128" i="1"/>
  <c r="CL127" i="1"/>
  <c r="CW6" i="1"/>
  <c r="CW4" i="1" s="1"/>
  <c r="CW13" i="1" s="1"/>
  <c r="CX15" i="1"/>
  <c r="CX7" i="1"/>
  <c r="AD7" i="1" s="1"/>
  <c r="AD16" i="1" s="1"/>
  <c r="CY16" i="1"/>
  <c r="CJ52" i="1"/>
  <c r="CL69" i="1"/>
  <c r="CK148" i="1"/>
  <c r="CL146" i="1"/>
  <c r="CL145" i="1" s="1"/>
  <c r="CM145" i="1" s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X8" i="1"/>
  <c r="CY17" i="1"/>
  <c r="CY8" i="1" s="1"/>
  <c r="CZ17" i="1"/>
  <c r="AE5" i="1"/>
  <c r="AE14" i="1" s="1"/>
  <c r="CI166" i="1"/>
  <c r="CI199" i="1"/>
  <c r="CH260" i="1"/>
  <c r="CI217" i="1"/>
  <c r="CI215" i="1" s="1"/>
  <c r="CH179" i="1"/>
  <c r="CH180" i="1" s="1"/>
  <c r="CH125" i="1"/>
  <c r="CH124" i="1"/>
  <c r="CK66" i="1"/>
  <c r="CK80" i="1"/>
  <c r="CM31" i="1"/>
  <c r="CN31" i="1" s="1"/>
  <c r="CO31" i="1" s="1"/>
  <c r="Z52" i="1"/>
  <c r="Z69" i="1"/>
  <c r="CG54" i="1"/>
  <c r="CG55" i="1"/>
  <c r="CK57" i="1" s="1"/>
  <c r="CN216" i="1"/>
  <c r="CO154" i="1"/>
  <c r="CN198" i="1"/>
  <c r="CM199" i="1"/>
  <c r="CH55" i="1"/>
  <c r="CL57" i="1" s="1"/>
  <c r="CH54" i="1"/>
  <c r="CM195" i="1"/>
  <c r="CO139" i="1"/>
  <c r="CN142" i="1"/>
  <c r="CN263" i="1" s="1"/>
  <c r="CM220" i="1"/>
  <c r="Y54" i="1"/>
  <c r="Y55" i="1"/>
  <c r="X54" i="1"/>
  <c r="X55" i="1"/>
  <c r="CP197" i="1"/>
  <c r="CP194" i="1"/>
  <c r="CP193" i="1"/>
  <c r="CQ138" i="1"/>
  <c r="DA131" i="1"/>
  <c r="DA177" i="1"/>
  <c r="CE79" i="1"/>
  <c r="AB59" i="1"/>
  <c r="AC59" i="1"/>
  <c r="CV59" i="1"/>
  <c r="CW59" i="1" s="1"/>
  <c r="CX59" i="1" s="1"/>
  <c r="CY59" i="1" s="1"/>
  <c r="AB49" i="1"/>
  <c r="CN60" i="1"/>
  <c r="CO60" i="1" s="1"/>
  <c r="CP60" i="1" s="1"/>
  <c r="CQ60" i="1" s="1"/>
  <c r="CL58" i="1" l="1"/>
  <c r="AD8" i="1"/>
  <c r="AD17" i="1" s="1"/>
  <c r="CI56" i="1"/>
  <c r="CI259" i="1" s="1"/>
  <c r="CI248" i="1"/>
  <c r="CI62" i="1"/>
  <c r="CJ55" i="1"/>
  <c r="CR41" i="1"/>
  <c r="CJ54" i="1"/>
  <c r="CL47" i="1"/>
  <c r="CM47" i="1" s="1"/>
  <c r="CN47" i="1" s="1"/>
  <c r="CO47" i="1" s="1"/>
  <c r="CP47" i="1" s="1"/>
  <c r="CQ47" i="1" s="1"/>
  <c r="CR47" i="1" s="1"/>
  <c r="CS47" i="1" s="1"/>
  <c r="CT47" i="1" s="1"/>
  <c r="CU47" i="1" s="1"/>
  <c r="CV47" i="1" s="1"/>
  <c r="CW47" i="1" s="1"/>
  <c r="CX47" i="1" s="1"/>
  <c r="CY47" i="1" s="1"/>
  <c r="CZ47" i="1" s="1"/>
  <c r="DA47" i="1" s="1"/>
  <c r="DB47" i="1" s="1"/>
  <c r="CK152" i="1"/>
  <c r="CL207" i="1"/>
  <c r="CL209" i="1" s="1"/>
  <c r="CL80" i="1"/>
  <c r="CL66" i="1"/>
  <c r="CX6" i="1"/>
  <c r="CY15" i="1"/>
  <c r="CY6" i="1" s="1"/>
  <c r="CY4" i="1" s="1"/>
  <c r="CY13" i="1" s="1"/>
  <c r="CY7" i="1"/>
  <c r="CZ16" i="1"/>
  <c r="CZ7" i="1" s="1"/>
  <c r="CK58" i="1"/>
  <c r="CL241" i="1"/>
  <c r="CK217" i="1"/>
  <c r="CK215" i="1" s="1"/>
  <c r="CL217" i="1"/>
  <c r="CL215" i="1" s="1"/>
  <c r="CI133" i="1"/>
  <c r="DA17" i="1"/>
  <c r="DA8" i="1" s="1"/>
  <c r="CZ8" i="1"/>
  <c r="DB17" i="1"/>
  <c r="DB8" i="1" s="1"/>
  <c r="AE8" i="1" s="1"/>
  <c r="AE17" i="1" s="1"/>
  <c r="CZ15" i="1"/>
  <c r="CP31" i="1"/>
  <c r="Z55" i="1"/>
  <c r="Z54" i="1"/>
  <c r="CM54" i="1"/>
  <c r="CJ241" i="1"/>
  <c r="CP154" i="1"/>
  <c r="CP216" i="1" s="1"/>
  <c r="CO216" i="1"/>
  <c r="CJ56" i="1"/>
  <c r="CJ259" i="1" s="1"/>
  <c r="CJ248" i="1"/>
  <c r="CJ62" i="1"/>
  <c r="CL68" i="1" s="1"/>
  <c r="CJ58" i="1"/>
  <c r="CN199" i="1"/>
  <c r="CO198" i="1"/>
  <c r="CG248" i="1"/>
  <c r="CG62" i="1"/>
  <c r="CH58" i="1"/>
  <c r="CG56" i="1"/>
  <c r="CG259" i="1" s="1"/>
  <c r="CI58" i="1"/>
  <c r="CH62" i="1"/>
  <c r="CH248" i="1"/>
  <c r="CH56" i="1"/>
  <c r="CH259" i="1" s="1"/>
  <c r="CM196" i="1"/>
  <c r="CM200" i="1" s="1"/>
  <c r="CN195" i="1"/>
  <c r="CP139" i="1"/>
  <c r="CO142" i="1"/>
  <c r="CO263" i="1" s="1"/>
  <c r="CN220" i="1"/>
  <c r="X248" i="1"/>
  <c r="X56" i="1"/>
  <c r="X259" i="1" s="1"/>
  <c r="Y57" i="1"/>
  <c r="X62" i="1"/>
  <c r="Y248" i="1"/>
  <c r="Y56" i="1"/>
  <c r="Y259" i="1" s="1"/>
  <c r="Y62" i="1"/>
  <c r="CB79" i="1"/>
  <c r="BL79" i="1"/>
  <c r="CR138" i="1"/>
  <c r="CQ193" i="1"/>
  <c r="CQ197" i="1"/>
  <c r="CC79" i="1"/>
  <c r="CQ194" i="1"/>
  <c r="DB131" i="1"/>
  <c r="DB177" i="1"/>
  <c r="AL79" i="1"/>
  <c r="CF79" i="1"/>
  <c r="CD79" i="1"/>
  <c r="BY79" i="1"/>
  <c r="BZ79" i="1"/>
  <c r="CA79" i="1"/>
  <c r="CI134" i="1"/>
  <c r="CI66" i="1"/>
  <c r="CI80" i="1"/>
  <c r="CI207" i="1"/>
  <c r="CI209" i="1" s="1"/>
  <c r="AD59" i="1"/>
  <c r="AB60" i="1"/>
  <c r="CZ59" i="1"/>
  <c r="DA59" i="1" s="1"/>
  <c r="DB59" i="1" s="1"/>
  <c r="AE59" i="1" s="1"/>
  <c r="AC49" i="1"/>
  <c r="CR60" i="1"/>
  <c r="CS60" i="1" s="1"/>
  <c r="CT60" i="1" s="1"/>
  <c r="CU60" i="1" s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EN13" i="4" a="1"/>
  <c r="ER15" i="4" a="1"/>
  <c r="EV14" i="4" a="1"/>
  <c r="EW11" i="4" a="1"/>
  <c r="AU30" i="3"/>
  <c r="AU5" i="6" a="1"/>
  <c r="AV33" i="3"/>
  <c r="AY18" i="3"/>
  <c r="AF36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EQ15" i="4" a="1"/>
  <c r="EW15" i="4" a="1"/>
  <c r="ER8" i="4" a="1"/>
  <c r="ER5" i="4" a="1"/>
  <c r="EL9" i="4" a="1"/>
  <c r="EM12" i="4" a="1"/>
  <c r="EV12" i="4" a="1"/>
  <c r="AS40" i="3"/>
  <c r="AS38" i="3"/>
  <c r="AE5" i="6" a="1"/>
  <c r="AU14" i="3"/>
  <c r="AT12" i="3"/>
  <c r="AX14" i="3"/>
  <c r="AR5" i="6" a="1"/>
  <c r="EW16" i="4" a="1"/>
  <c r="C6" i="4" a="1"/>
  <c r="EU11" i="4" a="1"/>
  <c r="EW7" i="4" a="1"/>
  <c r="X5" i="6" a="1"/>
  <c r="EQ12" i="4" a="1"/>
  <c r="EM11" i="4" a="1"/>
  <c r="EV9" i="4" a="1"/>
  <c r="EL14" i="4" a="1"/>
  <c r="AF32" i="3"/>
  <c r="AT6" i="3"/>
  <c r="ER13" i="4" a="1"/>
  <c r="ES11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N11" i="4" a="1"/>
  <c r="EV8" i="4" a="1"/>
  <c r="ER9" i="4" a="1"/>
  <c r="C6" i="6" a="1"/>
  <c r="AF18" i="3"/>
  <c r="F6" i="6" a="1"/>
  <c r="AV9" i="3"/>
  <c r="AS33" i="3"/>
  <c r="AW18" i="3"/>
  <c r="T6" i="6" a="1"/>
  <c r="AL6" i="6" a="1"/>
  <c r="AW24" i="3"/>
  <c r="EM14" i="4" a="1"/>
  <c r="AS46" i="3"/>
  <c r="AS7" i="3"/>
  <c r="AU36" i="3"/>
  <c r="AZ10" i="3"/>
  <c r="AT23" i="3"/>
  <c r="AF28" i="3"/>
  <c r="AS42" i="3"/>
  <c r="EU15" i="4" a="1"/>
  <c r="EV5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N6" i="6" a="1"/>
  <c r="AW42" i="3"/>
  <c r="AY9" i="3"/>
  <c r="AD5" i="6" a="1"/>
  <c r="AV19" i="3"/>
  <c r="AX37" i="3"/>
  <c r="AS21" i="3"/>
  <c r="M5" i="6" a="1"/>
  <c r="AZ13" i="3"/>
  <c r="EL8" i="4" a="1"/>
  <c r="EP6" i="4" a="1"/>
  <c r="EU13" i="4" a="1"/>
  <c r="AZ26" i="3"/>
  <c r="AM5" i="6" a="1"/>
  <c r="ES16" i="4" a="1"/>
  <c r="AW16" i="3"/>
  <c r="Q5" i="6" a="1"/>
  <c r="AY27" i="3"/>
  <c r="AZ20" i="3"/>
  <c r="AU29" i="3"/>
  <c r="AY11" i="3"/>
  <c r="AW38" i="3"/>
  <c r="AX11" i="3"/>
  <c r="AF33" i="3"/>
  <c r="S6" i="6" a="1"/>
  <c r="EW12" i="4" a="1"/>
  <c r="EU16" i="4" a="1"/>
  <c r="EO13" i="4" a="1"/>
  <c r="EL7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I6" i="6" a="1"/>
  <c r="AY6" i="3"/>
  <c r="AT32" i="3"/>
  <c r="AR5" i="3"/>
  <c r="AF17" i="3"/>
  <c r="ER16" i="4" a="1"/>
  <c r="EM13" i="4" a="1"/>
  <c r="AA5" i="6" a="1"/>
  <c r="AX6" i="6" a="1"/>
  <c r="E6" i="6" a="1"/>
  <c r="AY28" i="3"/>
  <c r="AH5" i="6" a="1"/>
  <c r="AT16" i="3"/>
  <c r="X6" i="6" a="1"/>
  <c r="EN14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ES8" i="4" a="1"/>
  <c r="ET9" i="4" a="1"/>
  <c r="EP16" i="4" a="1"/>
  <c r="AS29" i="3"/>
  <c r="AT38" i="3"/>
  <c r="AY19" i="3"/>
  <c r="EQ5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Z46" i="3"/>
  <c r="AU7" i="3"/>
  <c r="AY42" i="3"/>
  <c r="EM5" i="4" a="1"/>
  <c r="EV13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Y15" i="3"/>
  <c r="AX46" i="3"/>
  <c r="AY37" i="3"/>
  <c r="ET12" i="4" a="1"/>
  <c r="ER11" i="4" a="1"/>
  <c r="EN7" i="4" a="1"/>
  <c r="ET15" i="4" a="1"/>
  <c r="EL13" i="4" a="1"/>
  <c r="EO6" i="4" a="1"/>
  <c r="EQ8" i="4" a="1"/>
  <c r="EW9" i="4" a="1"/>
  <c r="ES13" i="4" a="1"/>
  <c r="AX38" i="3"/>
  <c r="F45" i="3"/>
  <c r="AU23" i="3"/>
  <c r="AI5" i="6" a="1"/>
  <c r="AT27" i="3"/>
  <c r="AS34" i="3"/>
  <c r="AX45" i="3"/>
  <c r="AV23" i="3"/>
  <c r="AZ33" i="3"/>
  <c r="AF16" i="3"/>
  <c r="AX27" i="3"/>
  <c r="AF39" i="3"/>
  <c r="EO16" i="4" a="1"/>
  <c r="EM9" i="4" a="1"/>
  <c r="ET14" i="4" a="1"/>
  <c r="AV8" i="3"/>
  <c r="AT28" i="3"/>
  <c r="AZ39" i="3"/>
  <c r="AS24" i="3"/>
  <c r="AF29" i="3"/>
  <c r="AS18" i="3"/>
  <c r="AF6" i="6" a="1"/>
  <c r="AX24" i="3"/>
  <c r="AW17" i="3"/>
  <c r="AF5" i="3"/>
  <c r="AY12" i="3"/>
  <c r="AZ12" i="3"/>
  <c r="AF27" i="3"/>
  <c r="AX39" i="3"/>
  <c r="AZ9" i="3"/>
  <c r="AO6" i="6" a="1"/>
  <c r="AA6" i="6" a="1"/>
  <c r="L5" i="6" a="1"/>
  <c r="AZ32" i="3"/>
  <c r="AF23" i="3"/>
  <c r="EP12" i="4" a="1"/>
  <c r="EV16" i="4" a="1"/>
  <c r="AF41" i="3"/>
  <c r="AP6" i="6" a="1"/>
  <c r="AU13" i="3"/>
  <c r="W5" i="6" a="1"/>
  <c r="AY16" i="3"/>
  <c r="AV15" i="3"/>
  <c r="AT34" i="3"/>
  <c r="EP5" i="4" a="1"/>
  <c r="F5" i="6" a="1"/>
  <c r="AF26" i="3"/>
  <c r="AF25" i="3"/>
  <c r="AT31" i="3"/>
  <c r="AE6" i="6" a="1"/>
  <c r="AW6" i="3"/>
  <c r="AV38" i="3"/>
  <c r="AV25" i="3"/>
  <c r="AW45" i="3"/>
  <c r="E5" i="6" a="1"/>
  <c r="AZ31" i="3"/>
  <c r="AX30" i="3"/>
  <c r="AV29" i="3"/>
  <c r="AW46" i="3"/>
  <c r="AW13" i="3"/>
  <c r="AU6" i="6" a="1"/>
  <c r="AY13" i="3"/>
  <c r="AY35" i="3"/>
  <c r="AZ23" i="3"/>
  <c r="AV20" i="3"/>
  <c r="AV45" i="3"/>
  <c r="AS25" i="3"/>
  <c r="AY8" i="3"/>
  <c r="D6" i="6" a="1"/>
  <c r="AF31" i="3"/>
  <c r="AZ19" i="3"/>
  <c r="AU37" i="3"/>
  <c r="EV15" i="4" a="1"/>
  <c r="ET11" i="4" a="1"/>
  <c r="ER12" i="4" a="1"/>
  <c r="EM7" i="4" a="1"/>
  <c r="EW5" i="4" a="1"/>
  <c r="O5" i="6" a="1"/>
  <c r="AU41" i="3"/>
  <c r="AU46" i="3"/>
  <c r="Z5" i="6" a="1"/>
  <c r="AY21" i="3"/>
  <c r="AT30" i="3"/>
  <c r="AF46" i="3"/>
  <c r="AZ27" i="3"/>
  <c r="ET8" i="4" a="1"/>
  <c r="AS12" i="3"/>
  <c r="CS41" i="1" l="1"/>
  <c r="CT41" i="1"/>
  <c r="Z57" i="1"/>
  <c r="AA57" i="1"/>
  <c r="DA16" i="1"/>
  <c r="DA7" i="1" s="1"/>
  <c r="AB145" i="1"/>
  <c r="CX4" i="1"/>
  <c r="AD6" i="1"/>
  <c r="AD15" i="1" s="1"/>
  <c r="CN54" i="1"/>
  <c r="DB16" i="1"/>
  <c r="DB7" i="1" s="1"/>
  <c r="AE7" i="1" s="1"/>
  <c r="AE16" i="1" s="1"/>
  <c r="CZ6" i="1"/>
  <c r="CZ4" i="1" s="1"/>
  <c r="CZ13" i="1" s="1"/>
  <c r="DA15" i="1"/>
  <c r="CQ154" i="1"/>
  <c r="CJ68" i="1"/>
  <c r="CG80" i="1"/>
  <c r="CG66" i="1"/>
  <c r="Z248" i="1"/>
  <c r="CG207" i="1"/>
  <c r="CG209" i="1" s="1"/>
  <c r="Z56" i="1"/>
  <c r="Z259" i="1" s="1"/>
  <c r="Z62" i="1"/>
  <c r="Z207" i="1" s="1"/>
  <c r="Z209" i="1" s="1"/>
  <c r="Z213" i="1" s="1"/>
  <c r="Z227" i="1" s="1"/>
  <c r="CJ80" i="1"/>
  <c r="CL83" i="1" s="1"/>
  <c r="CJ207" i="1"/>
  <c r="CJ209" i="1" s="1"/>
  <c r="CJ66" i="1"/>
  <c r="CH207" i="1"/>
  <c r="CH209" i="1" s="1"/>
  <c r="CH80" i="1"/>
  <c r="CH66" i="1"/>
  <c r="CP198" i="1"/>
  <c r="CO199" i="1"/>
  <c r="CN196" i="1"/>
  <c r="CN200" i="1" s="1"/>
  <c r="CO195" i="1"/>
  <c r="CQ139" i="1"/>
  <c r="CP142" i="1"/>
  <c r="CP263" i="1" s="1"/>
  <c r="CO220" i="1"/>
  <c r="BY36" i="1"/>
  <c r="CA23" i="1"/>
  <c r="CE36" i="1"/>
  <c r="CA36" i="1"/>
  <c r="CF36" i="1"/>
  <c r="CD36" i="1"/>
  <c r="BZ36" i="1"/>
  <c r="BL36" i="1"/>
  <c r="CC36" i="1"/>
  <c r="CB36" i="1"/>
  <c r="CF23" i="1"/>
  <c r="CD23" i="1"/>
  <c r="BY23" i="1"/>
  <c r="CE23" i="1"/>
  <c r="BZ23" i="1"/>
  <c r="CC23" i="1"/>
  <c r="CB23" i="1"/>
  <c r="BL23" i="1"/>
  <c r="Y207" i="1"/>
  <c r="Y209" i="1" s="1"/>
  <c r="Y213" i="1" s="1"/>
  <c r="Y227" i="1" s="1"/>
  <c r="Y221" i="1"/>
  <c r="Y219" i="1" s="1"/>
  <c r="Y68" i="1"/>
  <c r="Y66" i="1"/>
  <c r="X207" i="1"/>
  <c r="X209" i="1" s="1"/>
  <c r="X66" i="1"/>
  <c r="X68" i="1"/>
  <c r="CD39" i="1"/>
  <c r="CC59" i="1"/>
  <c r="CA22" i="1"/>
  <c r="CA245" i="1" s="1"/>
  <c r="CD53" i="1"/>
  <c r="AH7" i="6" s="1"/>
  <c r="CD49" i="1"/>
  <c r="CF50" i="1"/>
  <c r="BY59" i="1"/>
  <c r="BL59" i="1"/>
  <c r="CD60" i="1"/>
  <c r="AV7" i="6" s="1"/>
  <c r="CB34" i="1"/>
  <c r="R7" i="6" s="1"/>
  <c r="X7" i="6" s="1"/>
  <c r="CD59" i="1"/>
  <c r="CD29" i="1"/>
  <c r="V7" i="6" s="1"/>
  <c r="BY29" i="1"/>
  <c r="CB22" i="1"/>
  <c r="CB245" i="1" s="1"/>
  <c r="BY65" i="1"/>
  <c r="BL22" i="1"/>
  <c r="AW7" i="6" s="1"/>
  <c r="BY35" i="1"/>
  <c r="CA27" i="1"/>
  <c r="CB37" i="1"/>
  <c r="BZ50" i="1"/>
  <c r="O7" i="6" s="1"/>
  <c r="BL61" i="1"/>
  <c r="AQ7" i="6" s="1"/>
  <c r="CF22" i="1"/>
  <c r="JJ9" i="4" s="1"/>
  <c r="BY60" i="1"/>
  <c r="AM7" i="6" s="1"/>
  <c r="JM16" i="4" s="1"/>
  <c r="CF61" i="1"/>
  <c r="CA38" i="1"/>
  <c r="BL37" i="1"/>
  <c r="BL60" i="1"/>
  <c r="CF49" i="1"/>
  <c r="BL50" i="1"/>
  <c r="BZ59" i="1"/>
  <c r="CC39" i="1"/>
  <c r="CC35" i="1"/>
  <c r="JM9" i="4" s="1"/>
  <c r="CA35" i="1"/>
  <c r="JL16" i="4" s="1"/>
  <c r="BZ38" i="1"/>
  <c r="CB35" i="1"/>
  <c r="CC27" i="1"/>
  <c r="JK16" i="4" s="1"/>
  <c r="CA65" i="1"/>
  <c r="BZ28" i="1"/>
  <c r="CE29" i="1"/>
  <c r="CC28" i="1"/>
  <c r="C7" i="6" s="1"/>
  <c r="T7" i="6" s="1"/>
  <c r="BY38" i="1"/>
  <c r="CC60" i="1"/>
  <c r="CC22" i="1"/>
  <c r="CC245" i="1" s="1"/>
  <c r="CB49" i="1"/>
  <c r="JL9" i="4" s="1"/>
  <c r="CF53" i="1"/>
  <c r="AL7" i="6" s="1"/>
  <c r="BZ46" i="1"/>
  <c r="BZ208" i="1" s="1"/>
  <c r="BZ49" i="1"/>
  <c r="J7" i="6" s="1"/>
  <c r="BY61" i="1"/>
  <c r="Z7" i="6" s="1"/>
  <c r="BL34" i="1"/>
  <c r="CF27" i="1"/>
  <c r="CF37" i="1"/>
  <c r="BZ27" i="1"/>
  <c r="CA29" i="1"/>
  <c r="CD28" i="1"/>
  <c r="BL35" i="1"/>
  <c r="BY28" i="1"/>
  <c r="CE46" i="1"/>
  <c r="CE208" i="1" s="1"/>
  <c r="AD7" i="6" s="1"/>
  <c r="CF39" i="1"/>
  <c r="CE34" i="1"/>
  <c r="CA61" i="1"/>
  <c r="CD50" i="1"/>
  <c r="CB38" i="1"/>
  <c r="CD61" i="1"/>
  <c r="AP7" i="6" s="1"/>
  <c r="Y7" i="6" s="1"/>
  <c r="CA39" i="1"/>
  <c r="AA7" i="6" s="1"/>
  <c r="AJ7" i="6" s="1"/>
  <c r="BY22" i="1"/>
  <c r="BY37" i="1"/>
  <c r="CB53" i="1"/>
  <c r="CE39" i="1"/>
  <c r="I7" i="6" s="1"/>
  <c r="AK7" i="6" s="1"/>
  <c r="CE28" i="1"/>
  <c r="K7" i="6" s="1"/>
  <c r="F7" i="6" s="1"/>
  <c r="CB59" i="1"/>
  <c r="CF38" i="1"/>
  <c r="AC7" i="6" s="1"/>
  <c r="AE7" i="6" s="1"/>
  <c r="M7" i="6" s="1"/>
  <c r="Q7" i="6" s="1"/>
  <c r="CA60" i="1"/>
  <c r="BZ60" i="1"/>
  <c r="CA50" i="1"/>
  <c r="CF60" i="1"/>
  <c r="AU7" i="6" s="1"/>
  <c r="BL29" i="1"/>
  <c r="CE38" i="1"/>
  <c r="CB46" i="1"/>
  <c r="CB208" i="1" s="1"/>
  <c r="CC61" i="1"/>
  <c r="CC65" i="1"/>
  <c r="AX7" i="6" s="1"/>
  <c r="BZ37" i="1"/>
  <c r="AT7" i="6" s="1"/>
  <c r="S7" i="6" s="1"/>
  <c r="BY27" i="1"/>
  <c r="CE49" i="1"/>
  <c r="CA59" i="1"/>
  <c r="CB61" i="1"/>
  <c r="CA49" i="1"/>
  <c r="CF65" i="1"/>
  <c r="CF35" i="1"/>
  <c r="CA34" i="1"/>
  <c r="AN7" i="6" s="1"/>
  <c r="CE60" i="1"/>
  <c r="CC29" i="1"/>
  <c r="CE65" i="1"/>
  <c r="CF29" i="1"/>
  <c r="G7" i="6" s="1"/>
  <c r="BL46" i="1"/>
  <c r="AF7" i="6" s="1"/>
  <c r="CC34" i="1"/>
  <c r="CD34" i="1"/>
  <c r="JJ16" i="4" s="1"/>
  <c r="BY39" i="1"/>
  <c r="CB60" i="1"/>
  <c r="CE22" i="1"/>
  <c r="AB7" i="6" s="1"/>
  <c r="BL28" i="1"/>
  <c r="CD65" i="1"/>
  <c r="BY34" i="1"/>
  <c r="BZ29" i="1"/>
  <c r="CD35" i="1"/>
  <c r="L7" i="6" s="1"/>
  <c r="BL53" i="1"/>
  <c r="BZ22" i="1"/>
  <c r="BZ245" i="1" s="1"/>
  <c r="CA46" i="1"/>
  <c r="BZ53" i="1"/>
  <c r="BY46" i="1"/>
  <c r="BY208" i="1" s="1"/>
  <c r="AI7" i="6" s="1"/>
  <c r="CC53" i="1"/>
  <c r="D7" i="6" s="1"/>
  <c r="BZ35" i="1"/>
  <c r="AG7" i="6" s="1"/>
  <c r="BZ34" i="1"/>
  <c r="BL65" i="1"/>
  <c r="W7" i="6" s="1"/>
  <c r="CB65" i="1"/>
  <c r="CE61" i="1"/>
  <c r="CF34" i="1"/>
  <c r="CC37" i="1"/>
  <c r="CD37" i="1"/>
  <c r="CE27" i="1"/>
  <c r="BY49" i="1"/>
  <c r="CC49" i="1"/>
  <c r="BZ65" i="1"/>
  <c r="AS7" i="6" s="1"/>
  <c r="BZ61" i="1"/>
  <c r="CE50" i="1"/>
  <c r="CD27" i="1"/>
  <c r="BL49" i="1"/>
  <c r="CB28" i="1"/>
  <c r="CC46" i="1"/>
  <c r="CC208" i="1" s="1"/>
  <c r="BY53" i="1"/>
  <c r="H7" i="6" s="1"/>
  <c r="CA37" i="1"/>
  <c r="BZ39" i="1"/>
  <c r="CD22" i="1"/>
  <c r="CD245" i="1" s="1"/>
  <c r="AR7" i="6" s="1"/>
  <c r="CF28" i="1"/>
  <c r="BL27" i="1"/>
  <c r="BL38" i="1"/>
  <c r="JK9" i="4" s="1"/>
  <c r="AO7" i="6" s="1"/>
  <c r="CA53" i="1"/>
  <c r="BL39" i="1"/>
  <c r="CA28" i="1"/>
  <c r="CE59" i="1"/>
  <c r="CD38" i="1"/>
  <c r="P7" i="6" s="1"/>
  <c r="E7" i="6" s="1"/>
  <c r="U7" i="6" s="1"/>
  <c r="CC38" i="1"/>
  <c r="AY7" i="6" s="1"/>
  <c r="CD46" i="1"/>
  <c r="CB29" i="1"/>
  <c r="CC50" i="1"/>
  <c r="CB50" i="1"/>
  <c r="CE37" i="1"/>
  <c r="CE35" i="1"/>
  <c r="CF46" i="1"/>
  <c r="CF208" i="1" s="1"/>
  <c r="CB39" i="1"/>
  <c r="BY50" i="1"/>
  <c r="CF59" i="1"/>
  <c r="N7" i="6" s="1"/>
  <c r="CO54" i="1"/>
  <c r="CQ31" i="1"/>
  <c r="CI143" i="1"/>
  <c r="CI106" i="1"/>
  <c r="CS138" i="1"/>
  <c r="CR194" i="1"/>
  <c r="CR197" i="1"/>
  <c r="CR193" i="1"/>
  <c r="CJ221" i="1"/>
  <c r="CJ219" i="1" s="1"/>
  <c r="CJ69" i="1"/>
  <c r="CI221" i="1"/>
  <c r="CI219" i="1" s="1"/>
  <c r="AC60" i="1"/>
  <c r="CV60" i="1"/>
  <c r="CW60" i="1" s="1"/>
  <c r="CX60" i="1" s="1"/>
  <c r="CY60" i="1" s="1"/>
  <c r="AD49" i="1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V58" i="3"/>
  <c r="C74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U48" i="3"/>
  <c r="C61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Y54" i="3"/>
  <c r="AF62" i="3"/>
  <c r="AW95" i="3"/>
  <c r="AT54" i="3"/>
  <c r="AW89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V78" i="3"/>
  <c r="AX67" i="3"/>
  <c r="AT65" i="3"/>
  <c r="AY73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Z95" i="3"/>
  <c r="AX59" i="3"/>
  <c r="AU49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Y91" i="3"/>
  <c r="AT95" i="3"/>
  <c r="C58" i="3"/>
  <c r="AW80" i="3"/>
  <c r="AU83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C82" i="3"/>
  <c r="AY83" i="3"/>
  <c r="AX91" i="3"/>
  <c r="AU97" i="3"/>
  <c r="AT74" i="3"/>
  <c r="AW91" i="3"/>
  <c r="AS79" i="3"/>
  <c r="AS68" i="3"/>
  <c r="AF49" i="3"/>
  <c r="AW77" i="3"/>
  <c r="AZ93" i="3"/>
  <c r="C64" i="3"/>
  <c r="AS97" i="3"/>
  <c r="AX47" i="3"/>
  <c r="AS69" i="3"/>
  <c r="AW66" i="3"/>
  <c r="AY58" i="3"/>
  <c r="AW71" i="3"/>
  <c r="AU50" i="3"/>
  <c r="AY63" i="3"/>
  <c r="AT60" i="3"/>
  <c r="AZ87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AZ86" i="3"/>
  <c r="AY79" i="3"/>
  <c r="AV73" i="3"/>
  <c r="AT58" i="3"/>
  <c r="AS72" i="3"/>
  <c r="AX80" i="3"/>
  <c r="AW57" i="3"/>
  <c r="AY97" i="3"/>
  <c r="AW85" i="3"/>
  <c r="AU59" i="3"/>
  <c r="AY65" i="3"/>
  <c r="AT97" i="3"/>
  <c r="AS87" i="3"/>
  <c r="AU96" i="3"/>
  <c r="C77" i="3"/>
  <c r="C67" i="3"/>
  <c r="AU77" i="3"/>
  <c r="AX75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V77" i="3"/>
  <c r="AY76" i="3"/>
  <c r="AU95" i="3"/>
  <c r="AS83" i="3"/>
  <c r="AT96" i="3"/>
  <c r="AF86" i="3"/>
  <c r="AW96" i="3"/>
  <c r="AW63" i="3"/>
  <c r="AY55" i="3"/>
  <c r="AS73" i="3"/>
  <c r="AU72" i="3"/>
  <c r="AZ82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X84" i="3"/>
  <c r="AS67" i="3"/>
  <c r="AW75" i="3"/>
  <c r="AW76" i="3"/>
  <c r="AY94" i="3"/>
  <c r="AT59" i="3"/>
  <c r="AX74" i="3"/>
  <c r="AX66" i="3"/>
  <c r="AZ84" i="3"/>
  <c r="AY71" i="3"/>
  <c r="AT71" i="3"/>
  <c r="AX89" i="3"/>
  <c r="AT92" i="3"/>
  <c r="AV84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Y56" i="3"/>
  <c r="AU91" i="3"/>
  <c r="AW74" i="3"/>
  <c r="AV97" i="3"/>
  <c r="AZ49" i="3"/>
  <c r="AY85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CU41" i="1" l="1"/>
  <c r="CV41" i="1"/>
  <c r="CW41" i="1"/>
  <c r="AC145" i="1"/>
  <c r="AD4" i="1"/>
  <c r="AD13" i="1" s="1"/>
  <c r="CX13" i="1"/>
  <c r="CL100" i="1"/>
  <c r="CL99" i="1"/>
  <c r="CL101" i="1"/>
  <c r="CQ216" i="1"/>
  <c r="CR154" i="1"/>
  <c r="CP54" i="1"/>
  <c r="CJ83" i="1"/>
  <c r="DB15" i="1"/>
  <c r="DB6" i="1" s="1"/>
  <c r="DB4" i="1" s="1"/>
  <c r="DB13" i="1" s="1"/>
  <c r="DA6" i="1"/>
  <c r="DA4" i="1" s="1"/>
  <c r="DA13" i="1" s="1"/>
  <c r="Z221" i="1"/>
  <c r="Z219" i="1" s="1"/>
  <c r="Z224" i="1" s="1"/>
  <c r="Z225" i="1" s="1"/>
  <c r="CK83" i="1"/>
  <c r="Z66" i="1"/>
  <c r="Z68" i="1"/>
  <c r="CQ198" i="1"/>
  <c r="CP199" i="1"/>
  <c r="CO196" i="1"/>
  <c r="CO200" i="1" s="1"/>
  <c r="CP195" i="1"/>
  <c r="CR139" i="1"/>
  <c r="CQ142" i="1"/>
  <c r="CQ263" i="1" s="1"/>
  <c r="CP220" i="1"/>
  <c r="BZ139" i="1"/>
  <c r="CA139" i="1" s="1"/>
  <c r="BL87" i="1"/>
  <c r="CF88" i="1"/>
  <c r="CB160" i="1"/>
  <c r="CC160" i="1" s="1"/>
  <c r="CD167" i="1"/>
  <c r="CD197" i="1" s="1"/>
  <c r="CE197" i="1" s="1"/>
  <c r="CB178" i="1"/>
  <c r="CC178" i="1" s="1"/>
  <c r="BL138" i="1"/>
  <c r="BM138" i="1" s="1"/>
  <c r="CD147" i="1"/>
  <c r="CD138" i="1"/>
  <c r="CE138" i="1" s="1"/>
  <c r="CF141" i="1"/>
  <c r="CG141" i="1" s="1"/>
  <c r="CB141" i="1"/>
  <c r="CC141" i="1" s="1"/>
  <c r="CB166" i="1"/>
  <c r="CC166" i="1" s="1"/>
  <c r="CB158" i="1"/>
  <c r="CB193" i="1" s="1"/>
  <c r="CC193" i="1" s="1"/>
  <c r="BZ167" i="1"/>
  <c r="BZ197" i="1" s="1"/>
  <c r="CA197" i="1" s="1"/>
  <c r="BZ178" i="1"/>
  <c r="CA178" i="1" s="1"/>
  <c r="BZ168" i="1"/>
  <c r="CA168" i="1" s="1"/>
  <c r="BZ174" i="1"/>
  <c r="BZ164" i="1"/>
  <c r="CA164" i="1" s="1"/>
  <c r="BZ146" i="1"/>
  <c r="BL159" i="1"/>
  <c r="BL194" i="1" s="1"/>
  <c r="BM194" i="1" s="1"/>
  <c r="BL167" i="1"/>
  <c r="BL197" i="1" s="1"/>
  <c r="BM197" i="1" s="1"/>
  <c r="BL136" i="1"/>
  <c r="BM136" i="1" s="1"/>
  <c r="CA87" i="1"/>
  <c r="CF87" i="1"/>
  <c r="CF160" i="1"/>
  <c r="CG160" i="1" s="1"/>
  <c r="CF147" i="1"/>
  <c r="CB88" i="1"/>
  <c r="CF158" i="1"/>
  <c r="CF193" i="1" s="1"/>
  <c r="CG193" i="1" s="1"/>
  <c r="CG158" i="1" s="1"/>
  <c r="CF136" i="1"/>
  <c r="CG136" i="1" s="1"/>
  <c r="CB163" i="1"/>
  <c r="CC163" i="1" s="1"/>
  <c r="CF178" i="1"/>
  <c r="CG178" i="1" s="1"/>
  <c r="CB139" i="1"/>
  <c r="CC139" i="1" s="1"/>
  <c r="CB177" i="1"/>
  <c r="CC177" i="1" s="1"/>
  <c r="CD88" i="1"/>
  <c r="CB173" i="1"/>
  <c r="CD159" i="1"/>
  <c r="CD194" i="1" s="1"/>
  <c r="CE194" i="1" s="1"/>
  <c r="CD136" i="1"/>
  <c r="CE136" i="1" s="1"/>
  <c r="BL139" i="1"/>
  <c r="CD145" i="1"/>
  <c r="CD165" i="1"/>
  <c r="CE165" i="1" s="1"/>
  <c r="CD173" i="1"/>
  <c r="CD156" i="1"/>
  <c r="CE156" i="1" s="1"/>
  <c r="CF154" i="1"/>
  <c r="CF140" i="1"/>
  <c r="CG140" i="1" s="1"/>
  <c r="CB156" i="1"/>
  <c r="CC156" i="1" s="1"/>
  <c r="BL168" i="1"/>
  <c r="BM168" i="1" s="1"/>
  <c r="BL177" i="1"/>
  <c r="BM177" i="1" s="1"/>
  <c r="BL178" i="1"/>
  <c r="CB140" i="1"/>
  <c r="CC140" i="1" s="1"/>
  <c r="CE88" i="1"/>
  <c r="BZ173" i="1"/>
  <c r="BZ177" i="1"/>
  <c r="CA177" i="1" s="1"/>
  <c r="BZ133" i="1"/>
  <c r="BZ141" i="1"/>
  <c r="CA141" i="1" s="1"/>
  <c r="CF159" i="1"/>
  <c r="CF194" i="1" s="1"/>
  <c r="CG194" i="1" s="1"/>
  <c r="CG159" i="1" s="1"/>
  <c r="CF146" i="1"/>
  <c r="CF163" i="1"/>
  <c r="CB133" i="1"/>
  <c r="CB159" i="1"/>
  <c r="CB194" i="1" s="1"/>
  <c r="CC194" i="1" s="1"/>
  <c r="CD174" i="1"/>
  <c r="CD166" i="1"/>
  <c r="CE166" i="1" s="1"/>
  <c r="CB87" i="1"/>
  <c r="BZ169" i="1"/>
  <c r="CA169" i="1" s="1"/>
  <c r="BZ147" i="1"/>
  <c r="BZ131" i="1"/>
  <c r="BZ161" i="1"/>
  <c r="CA161" i="1" s="1"/>
  <c r="BZ88" i="1"/>
  <c r="BZ138" i="1"/>
  <c r="CA138" i="1" s="1"/>
  <c r="BZ140" i="1"/>
  <c r="CA140" i="1" s="1"/>
  <c r="BZ156" i="1"/>
  <c r="CA156" i="1" s="1"/>
  <c r="BZ145" i="1"/>
  <c r="BL147" i="1"/>
  <c r="BL163" i="1"/>
  <c r="BM163" i="1" s="1"/>
  <c r="CF138" i="1"/>
  <c r="CF167" i="1"/>
  <c r="CF197" i="1" s="1"/>
  <c r="CG197" i="1" s="1"/>
  <c r="CG167" i="1" s="1"/>
  <c r="CD168" i="1"/>
  <c r="CE168" i="1" s="1"/>
  <c r="CF168" i="1"/>
  <c r="CG168" i="1" s="1"/>
  <c r="CB145" i="1"/>
  <c r="CB168" i="1"/>
  <c r="CC168" i="1" s="1"/>
  <c r="BY88" i="1"/>
  <c r="CD177" i="1"/>
  <c r="CE177" i="1" s="1"/>
  <c r="CD149" i="1"/>
  <c r="CE149" i="1" s="1"/>
  <c r="BL174" i="1"/>
  <c r="CB167" i="1"/>
  <c r="CB197" i="1" s="1"/>
  <c r="CC197" i="1" s="1"/>
  <c r="CB132" i="1"/>
  <c r="CC132" i="1" s="1"/>
  <c r="BL164" i="1"/>
  <c r="BM164" i="1" s="1"/>
  <c r="CD141" i="1"/>
  <c r="CE141" i="1" s="1"/>
  <c r="CD161" i="1"/>
  <c r="CE161" i="1" s="1"/>
  <c r="CD133" i="1"/>
  <c r="CD160" i="1"/>
  <c r="CE160" i="1" s="1"/>
  <c r="CD169" i="1"/>
  <c r="CE169" i="1" s="1"/>
  <c r="CD154" i="1"/>
  <c r="CE154" i="1" s="1"/>
  <c r="CF131" i="1"/>
  <c r="CF132" i="1"/>
  <c r="CG132" i="1" s="1"/>
  <c r="CF165" i="1"/>
  <c r="CG165" i="1" s="1"/>
  <c r="CF177" i="1"/>
  <c r="CG177" i="1" s="1"/>
  <c r="CB174" i="1"/>
  <c r="CB154" i="1"/>
  <c r="AI88" i="1"/>
  <c r="BL161" i="1"/>
  <c r="BM161" i="1" s="1"/>
  <c r="BL149" i="1"/>
  <c r="BM149" i="1" s="1"/>
  <c r="BL140" i="1"/>
  <c r="BM140" i="1" s="1"/>
  <c r="CB138" i="1"/>
  <c r="CC138" i="1" s="1"/>
  <c r="BL160" i="1"/>
  <c r="BM160" i="1" s="1"/>
  <c r="BZ149" i="1"/>
  <c r="CA149" i="1" s="1"/>
  <c r="BZ87" i="1"/>
  <c r="BL166" i="1"/>
  <c r="BM166" i="1" s="1"/>
  <c r="CB146" i="1"/>
  <c r="CF161" i="1"/>
  <c r="CG161" i="1" s="1"/>
  <c r="CB161" i="1"/>
  <c r="CC161" i="1" s="1"/>
  <c r="CD87" i="1"/>
  <c r="CC88" i="1"/>
  <c r="CD132" i="1"/>
  <c r="CE132" i="1" s="1"/>
  <c r="BL133" i="1"/>
  <c r="CD139" i="1"/>
  <c r="CE139" i="1" s="1"/>
  <c r="CF173" i="1"/>
  <c r="CF166" i="1"/>
  <c r="CG166" i="1" s="1"/>
  <c r="CE87" i="1"/>
  <c r="BZ159" i="1"/>
  <c r="BZ194" i="1" s="1"/>
  <c r="CA194" i="1" s="1"/>
  <c r="BZ136" i="1"/>
  <c r="CA136" i="1" s="1"/>
  <c r="BZ158" i="1"/>
  <c r="BZ193" i="1" s="1"/>
  <c r="CA193" i="1" s="1"/>
  <c r="BZ132" i="1"/>
  <c r="CA132" i="1" s="1"/>
  <c r="BZ163" i="1"/>
  <c r="BZ165" i="1"/>
  <c r="CA165" i="1" s="1"/>
  <c r="BZ160" i="1"/>
  <c r="CA160" i="1" s="1"/>
  <c r="BZ154" i="1"/>
  <c r="CA154" i="1" s="1"/>
  <c r="BZ166" i="1"/>
  <c r="CA166" i="1" s="1"/>
  <c r="BL169" i="1"/>
  <c r="BM169" i="1" s="1"/>
  <c r="BL158" i="1"/>
  <c r="BL193" i="1" s="1"/>
  <c r="BM193" i="1" s="1"/>
  <c r="BL145" i="1"/>
  <c r="BL146" i="1"/>
  <c r="CA88" i="1"/>
  <c r="CF169" i="1"/>
  <c r="CG169" i="1" s="1"/>
  <c r="CF164" i="1"/>
  <c r="CG164" i="1" s="1"/>
  <c r="CF174" i="1"/>
  <c r="CB131" i="1"/>
  <c r="CC131" i="1" s="1"/>
  <c r="CF145" i="1"/>
  <c r="CF133" i="1"/>
  <c r="CG133" i="1" s="1"/>
  <c r="CF139" i="1"/>
  <c r="CG139" i="1" s="1"/>
  <c r="CD140" i="1"/>
  <c r="CE140" i="1" s="1"/>
  <c r="CB169" i="1"/>
  <c r="CC169" i="1" s="1"/>
  <c r="CB149" i="1"/>
  <c r="CC149" i="1" s="1"/>
  <c r="CB165" i="1"/>
  <c r="CC165" i="1" s="1"/>
  <c r="CD131" i="1"/>
  <c r="BL154" i="1"/>
  <c r="CB147" i="1"/>
  <c r="BL141" i="1"/>
  <c r="BM141" i="1" s="1"/>
  <c r="CD146" i="1"/>
  <c r="CD158" i="1"/>
  <c r="CD193" i="1" s="1"/>
  <c r="CE193" i="1" s="1"/>
  <c r="CD164" i="1"/>
  <c r="CE164" i="1" s="1"/>
  <c r="CD163" i="1"/>
  <c r="CE163" i="1" s="1"/>
  <c r="CD178" i="1"/>
  <c r="CE178" i="1" s="1"/>
  <c r="CF149" i="1"/>
  <c r="CG149" i="1" s="1"/>
  <c r="CF156" i="1"/>
  <c r="CG156" i="1" s="1"/>
  <c r="CC87" i="1"/>
  <c r="CB164" i="1"/>
  <c r="CC164" i="1" s="1"/>
  <c r="CB136" i="1"/>
  <c r="CC136" i="1" s="1"/>
  <c r="BL173" i="1"/>
  <c r="BL131" i="1"/>
  <c r="BM131" i="1" s="1"/>
  <c r="BL165" i="1"/>
  <c r="BM165" i="1" s="1"/>
  <c r="BL156" i="1"/>
  <c r="BM156" i="1" s="1"/>
  <c r="BL132" i="1"/>
  <c r="BM132" i="1" s="1"/>
  <c r="BL267" i="1"/>
  <c r="CH112" i="1"/>
  <c r="CH113" i="1" s="1"/>
  <c r="CB151" i="1"/>
  <c r="CC151" i="1" s="1"/>
  <c r="CF151" i="1"/>
  <c r="CG151" i="1" s="1"/>
  <c r="CD151" i="1"/>
  <c r="CE151" i="1" s="1"/>
  <c r="BL151" i="1"/>
  <c r="BM151" i="1" s="1"/>
  <c r="BZ151" i="1"/>
  <c r="CA151" i="1" s="1"/>
  <c r="BL157" i="1"/>
  <c r="CD157" i="1"/>
  <c r="CB157" i="1"/>
  <c r="CF157" i="1"/>
  <c r="BZ157" i="1"/>
  <c r="CA266" i="1"/>
  <c r="JJ21" i="4"/>
  <c r="CD91" i="1" s="1"/>
  <c r="CA24" i="1"/>
  <c r="JK14" i="4"/>
  <c r="BL24" i="1"/>
  <c r="BL30" i="1" s="1"/>
  <c r="BY24" i="1"/>
  <c r="BY30" i="1" s="1"/>
  <c r="BL208" i="1"/>
  <c r="CF24" i="1"/>
  <c r="CF266" i="1"/>
  <c r="JL21" i="4"/>
  <c r="CF91" i="1" s="1"/>
  <c r="Y224" i="1"/>
  <c r="Y225" i="1" s="1"/>
  <c r="CF112" i="1"/>
  <c r="CF113" i="1" s="1"/>
  <c r="CB40" i="1"/>
  <c r="CE245" i="1"/>
  <c r="CC267" i="1"/>
  <c r="CA40" i="1"/>
  <c r="CE266" i="1"/>
  <c r="CC266" i="1"/>
  <c r="JM7" i="4"/>
  <c r="CA267" i="1"/>
  <c r="JJ8" i="4"/>
  <c r="CF40" i="1"/>
  <c r="BZ266" i="1"/>
  <c r="BZ24" i="1"/>
  <c r="CA208" i="1"/>
  <c r="CD267" i="1"/>
  <c r="CB112" i="1"/>
  <c r="CB113" i="1" s="1"/>
  <c r="JK21" i="4"/>
  <c r="CE91" i="1" s="1"/>
  <c r="JK15" i="4"/>
  <c r="CD266" i="1"/>
  <c r="JL14" i="4"/>
  <c r="CC40" i="1"/>
  <c r="BY40" i="1"/>
  <c r="CI112" i="1"/>
  <c r="CI113" i="1" s="1"/>
  <c r="CI116" i="1" s="1"/>
  <c r="CF245" i="1"/>
  <c r="BY267" i="1"/>
  <c r="JL8" i="4"/>
  <c r="CE40" i="1"/>
  <c r="BL266" i="1"/>
  <c r="CE112" i="1"/>
  <c r="CE113" i="1" s="1"/>
  <c r="CD24" i="1"/>
  <c r="CC24" i="1"/>
  <c r="CC11" i="1" s="1"/>
  <c r="CD208" i="1"/>
  <c r="CE24" i="1"/>
  <c r="CE11" i="1" s="1"/>
  <c r="CG112" i="1"/>
  <c r="CG113" i="1" s="1"/>
  <c r="CD112" i="1"/>
  <c r="CD113" i="1" s="1"/>
  <c r="CB24" i="1"/>
  <c r="CB266" i="1"/>
  <c r="CC112" i="1"/>
  <c r="CC113" i="1" s="1"/>
  <c r="JJ15" i="4"/>
  <c r="CB267" i="1"/>
  <c r="BY266" i="1"/>
  <c r="CD40" i="1"/>
  <c r="JM8" i="4"/>
  <c r="JL7" i="4"/>
  <c r="CF267" i="1"/>
  <c r="JJ7" i="4"/>
  <c r="JK8" i="4"/>
  <c r="JM21" i="4"/>
  <c r="CG91" i="1" s="1"/>
  <c r="BZ267" i="1"/>
  <c r="CE267" i="1"/>
  <c r="JK7" i="4"/>
  <c r="BL40" i="1"/>
  <c r="JL15" i="4"/>
  <c r="BZ40" i="1"/>
  <c r="JM14" i="4"/>
  <c r="JM15" i="4"/>
  <c r="JJ14" i="4"/>
  <c r="CI108" i="1"/>
  <c r="CI110" i="1"/>
  <c r="CI109" i="1"/>
  <c r="CR31" i="1"/>
  <c r="CS31" i="1" s="1"/>
  <c r="CS194" i="1"/>
  <c r="CS197" i="1"/>
  <c r="CS193" i="1"/>
  <c r="CT138" i="1"/>
  <c r="AD60" i="1"/>
  <c r="CZ60" i="1"/>
  <c r="DA60" i="1" s="1"/>
  <c r="DB60" i="1" s="1"/>
  <c r="AE49" i="1"/>
  <c r="U22" i="1"/>
  <c r="V22" i="1"/>
  <c r="W22" i="1"/>
  <c r="CJ99" i="1" l="1"/>
  <c r="CJ100" i="1"/>
  <c r="CJ101" i="1"/>
  <c r="CX41" i="1"/>
  <c r="CY41" i="1"/>
  <c r="CZ41" i="1"/>
  <c r="CF11" i="1"/>
  <c r="AA72" i="1"/>
  <c r="CQ54" i="1"/>
  <c r="CR54" i="1" s="1"/>
  <c r="CS54" i="1" s="1"/>
  <c r="CT54" i="1" s="1"/>
  <c r="AD145" i="1"/>
  <c r="AE145" i="1"/>
  <c r="CA30" i="1"/>
  <c r="CA31" i="1" s="1"/>
  <c r="CA11" i="1"/>
  <c r="CD30" i="1"/>
  <c r="CH32" i="1" s="1"/>
  <c r="CD11" i="1"/>
  <c r="CB30" i="1"/>
  <c r="CB31" i="1" s="1"/>
  <c r="CB11" i="1"/>
  <c r="CR216" i="1"/>
  <c r="CS154" i="1"/>
  <c r="AE4" i="1"/>
  <c r="AE13" i="1" s="1"/>
  <c r="AE6" i="1"/>
  <c r="AE15" i="1" s="1"/>
  <c r="CK99" i="1"/>
  <c r="CK101" i="1"/>
  <c r="CK100" i="1"/>
  <c r="CR198" i="1"/>
  <c r="CQ199" i="1"/>
  <c r="CP196" i="1"/>
  <c r="CP200" i="1" s="1"/>
  <c r="CQ195" i="1"/>
  <c r="CS139" i="1"/>
  <c r="CR142" i="1"/>
  <c r="CR263" i="1" s="1"/>
  <c r="CQ220" i="1"/>
  <c r="BZ175" i="1"/>
  <c r="BL175" i="1"/>
  <c r="CB216" i="1"/>
  <c r="CA131" i="1"/>
  <c r="BZ134" i="1"/>
  <c r="BZ106" i="1" s="1"/>
  <c r="BL134" i="1"/>
  <c r="BL106" i="1" s="1"/>
  <c r="CB175" i="1"/>
  <c r="CC223" i="1" s="1"/>
  <c r="CG138" i="1"/>
  <c r="CG142" i="1" s="1"/>
  <c r="CF142" i="1"/>
  <c r="CD148" i="1"/>
  <c r="CE47" i="1" s="1"/>
  <c r="CC154" i="1"/>
  <c r="CD216" i="1" s="1"/>
  <c r="CC216" i="1"/>
  <c r="CE131" i="1"/>
  <c r="CD134" i="1"/>
  <c r="CD106" i="1" s="1"/>
  <c r="CD108" i="1" s="1"/>
  <c r="BM154" i="1"/>
  <c r="BM216" i="1" s="1"/>
  <c r="CD175" i="1"/>
  <c r="CF216" i="1"/>
  <c r="CE142" i="1"/>
  <c r="BM139" i="1"/>
  <c r="BM142" i="1" s="1"/>
  <c r="BL142" i="1"/>
  <c r="CG154" i="1"/>
  <c r="CG163" i="1"/>
  <c r="CG170" i="1" s="1"/>
  <c r="CF170" i="1"/>
  <c r="CF199" i="1" s="1"/>
  <c r="CF198" i="1" s="1"/>
  <c r="CG131" i="1"/>
  <c r="CG134" i="1" s="1"/>
  <c r="CF134" i="1"/>
  <c r="CF106" i="1" s="1"/>
  <c r="CF108" i="1" s="1"/>
  <c r="CA163" i="1"/>
  <c r="BZ170" i="1"/>
  <c r="BZ199" i="1" s="1"/>
  <c r="BZ198" i="1" s="1"/>
  <c r="BZ148" i="1"/>
  <c r="BZ152" i="1" s="1"/>
  <c r="CA142" i="1"/>
  <c r="CB148" i="1"/>
  <c r="CF175" i="1"/>
  <c r="BL148" i="1"/>
  <c r="CF148" i="1"/>
  <c r="CF152" i="1" s="1"/>
  <c r="CC142" i="1"/>
  <c r="CB142" i="1"/>
  <c r="CE216" i="1"/>
  <c r="BZ142" i="1"/>
  <c r="CB170" i="1"/>
  <c r="CB199" i="1" s="1"/>
  <c r="CB198" i="1" s="1"/>
  <c r="BL170" i="1"/>
  <c r="BL199" i="1" s="1"/>
  <c r="BL198" i="1" s="1"/>
  <c r="CD170" i="1"/>
  <c r="CD199" i="1" s="1"/>
  <c r="CD198" i="1" s="1"/>
  <c r="CB134" i="1"/>
  <c r="CD142" i="1"/>
  <c r="CH116" i="1"/>
  <c r="CH117" i="1"/>
  <c r="CH118" i="1"/>
  <c r="BM157" i="1"/>
  <c r="BL162" i="1"/>
  <c r="CE157" i="1"/>
  <c r="CD162" i="1"/>
  <c r="CC157" i="1"/>
  <c r="CB162" i="1"/>
  <c r="CG157" i="1"/>
  <c r="CG162" i="1" s="1"/>
  <c r="CG196" i="1" s="1"/>
  <c r="CG195" i="1" s="1"/>
  <c r="CF162" i="1"/>
  <c r="CA157" i="1"/>
  <c r="BZ162" i="1"/>
  <c r="CD116" i="1"/>
  <c r="CA41" i="1"/>
  <c r="CA26" i="1"/>
  <c r="JK19" i="4"/>
  <c r="CE92" i="1" s="1"/>
  <c r="BL41" i="1"/>
  <c r="CC25" i="1"/>
  <c r="CC41" i="1"/>
  <c r="CI239" i="1"/>
  <c r="CF30" i="1"/>
  <c r="CG26" i="1"/>
  <c r="CJ25" i="1"/>
  <c r="BY41" i="1"/>
  <c r="JL20" i="4"/>
  <c r="CF93" i="1" s="1"/>
  <c r="CF118" i="1" s="1"/>
  <c r="BZ30" i="1"/>
  <c r="CD32" i="1" s="1"/>
  <c r="CF41" i="1"/>
  <c r="Y72" i="1"/>
  <c r="JJ19" i="4"/>
  <c r="CD92" i="1" s="1"/>
  <c r="CD121" i="1" s="1"/>
  <c r="JM20" i="4"/>
  <c r="CG93" i="1" s="1"/>
  <c r="CD41" i="1"/>
  <c r="JM19" i="4"/>
  <c r="CG92" i="1" s="1"/>
  <c r="CE167" i="1"/>
  <c r="CE170" i="1" s="1"/>
  <c r="CE199" i="1" s="1"/>
  <c r="CE198" i="1" s="1"/>
  <c r="CF116" i="1"/>
  <c r="JJ20" i="4"/>
  <c r="CD93" i="1" s="1"/>
  <c r="CD122" i="1" s="1"/>
  <c r="JL19" i="4"/>
  <c r="CF92" i="1" s="1"/>
  <c r="JK20" i="4"/>
  <c r="CE93" i="1" s="1"/>
  <c r="CE122" i="1" s="1"/>
  <c r="CA42" i="1"/>
  <c r="CA246" i="1" s="1"/>
  <c r="CA247" i="1" s="1"/>
  <c r="CD202" i="1"/>
  <c r="CD25" i="1"/>
  <c r="BZ26" i="1"/>
  <c r="CD239" i="1"/>
  <c r="BZ41" i="1"/>
  <c r="CE158" i="1"/>
  <c r="CE202" i="1"/>
  <c r="CG202" i="1"/>
  <c r="CF25" i="1"/>
  <c r="CH239" i="1"/>
  <c r="CJ202" i="1"/>
  <c r="CE41" i="1"/>
  <c r="CC30" i="1"/>
  <c r="CC33" i="1" s="1"/>
  <c r="CF239" i="1"/>
  <c r="CB26" i="1"/>
  <c r="CH258" i="1"/>
  <c r="Z72" i="1"/>
  <c r="CE25" i="1"/>
  <c r="CG116" i="1"/>
  <c r="CE116" i="1"/>
  <c r="CG239" i="1"/>
  <c r="CF26" i="1"/>
  <c r="CF202" i="1"/>
  <c r="CE239" i="1"/>
  <c r="CC26" i="1"/>
  <c r="CC239" i="1"/>
  <c r="CE159" i="1"/>
  <c r="CB41" i="1"/>
  <c r="CD26" i="1"/>
  <c r="CH25" i="1"/>
  <c r="CI202" i="1"/>
  <c r="CI117" i="1"/>
  <c r="CE30" i="1"/>
  <c r="CE33" i="1" s="1"/>
  <c r="CI25" i="1"/>
  <c r="CD31" i="1"/>
  <c r="CI118" i="1"/>
  <c r="CG25" i="1"/>
  <c r="CE26" i="1"/>
  <c r="CH202" i="1"/>
  <c r="CA216" i="1"/>
  <c r="BL31" i="1"/>
  <c r="BL42" i="1"/>
  <c r="BY31" i="1"/>
  <c r="BY42" i="1"/>
  <c r="CT31" i="1"/>
  <c r="CU31" i="1" s="1"/>
  <c r="CT193" i="1"/>
  <c r="CT197" i="1"/>
  <c r="CU138" i="1"/>
  <c r="CT194" i="1"/>
  <c r="AE60" i="1"/>
  <c r="V245" i="1"/>
  <c r="W245" i="1"/>
  <c r="U245" i="1"/>
  <c r="DA41" i="1" l="1"/>
  <c r="DB41" i="1" s="1"/>
  <c r="CF42" i="1"/>
  <c r="AA74" i="1" s="1"/>
  <c r="AA73" i="1"/>
  <c r="CB42" i="1"/>
  <c r="CB33" i="1"/>
  <c r="CD42" i="1"/>
  <c r="CH44" i="1" s="1"/>
  <c r="CS216" i="1"/>
  <c r="CT154" i="1"/>
  <c r="CM25" i="1"/>
  <c r="CN25" i="1" s="1"/>
  <c r="CS198" i="1"/>
  <c r="CR199" i="1"/>
  <c r="CG263" i="1"/>
  <c r="CQ196" i="1"/>
  <c r="CQ200" i="1" s="1"/>
  <c r="CR195" i="1"/>
  <c r="CH216" i="1"/>
  <c r="CG216" i="1"/>
  <c r="CA223" i="1"/>
  <c r="BZ262" i="1"/>
  <c r="CT139" i="1"/>
  <c r="CS142" i="1"/>
  <c r="CS263" i="1" s="1"/>
  <c r="CD220" i="1"/>
  <c r="CF263" i="1"/>
  <c r="BM223" i="1"/>
  <c r="BL262" i="1"/>
  <c r="CF220" i="1"/>
  <c r="CF143" i="1"/>
  <c r="CR220" i="1"/>
  <c r="BL143" i="1"/>
  <c r="BL182" i="1"/>
  <c r="BL123" i="1" s="1"/>
  <c r="CA47" i="1"/>
  <c r="CA148" i="1"/>
  <c r="CB152" i="1"/>
  <c r="CC47" i="1"/>
  <c r="CC148" i="1"/>
  <c r="BZ182" i="1"/>
  <c r="BZ143" i="1"/>
  <c r="CF109" i="1"/>
  <c r="CD152" i="1"/>
  <c r="CE148" i="1"/>
  <c r="CE223" i="1"/>
  <c r="CD262" i="1"/>
  <c r="CA263" i="1"/>
  <c r="CA220" i="1"/>
  <c r="BM220" i="1"/>
  <c r="BM263" i="1"/>
  <c r="CH221" i="1"/>
  <c r="CG106" i="1"/>
  <c r="CG109" i="1" s="1"/>
  <c r="CG221" i="1"/>
  <c r="CG223" i="1"/>
  <c r="CF182" i="1"/>
  <c r="CF262" i="1"/>
  <c r="BM148" i="1"/>
  <c r="BM152" i="1" s="1"/>
  <c r="BL152" i="1"/>
  <c r="BL260" i="1" s="1"/>
  <c r="CG47" i="1"/>
  <c r="CG148" i="1"/>
  <c r="CH263" i="1"/>
  <c r="CH265" i="1" s="1"/>
  <c r="CH220" i="1"/>
  <c r="CG143" i="1"/>
  <c r="CG220" i="1"/>
  <c r="CB263" i="1"/>
  <c r="CB143" i="1"/>
  <c r="CB182" i="1"/>
  <c r="CB220" i="1"/>
  <c r="CB106" i="1"/>
  <c r="CB262" i="1"/>
  <c r="CC263" i="1"/>
  <c r="CC220" i="1"/>
  <c r="CE220" i="1"/>
  <c r="CD263" i="1"/>
  <c r="CD143" i="1"/>
  <c r="CD182" i="1"/>
  <c r="CE263" i="1"/>
  <c r="BL196" i="1"/>
  <c r="BL171" i="1"/>
  <c r="CD196" i="1"/>
  <c r="CD171" i="1"/>
  <c r="CB196" i="1"/>
  <c r="CB171" i="1"/>
  <c r="CF196" i="1"/>
  <c r="CF171" i="1"/>
  <c r="CF179" i="1" s="1"/>
  <c r="BZ196" i="1"/>
  <c r="BZ171" i="1"/>
  <c r="BZ179" i="1" s="1"/>
  <c r="CE117" i="1"/>
  <c r="CE121" i="1"/>
  <c r="BZ33" i="1"/>
  <c r="BZ42" i="1"/>
  <c r="BZ31" i="1"/>
  <c r="CA33" i="1"/>
  <c r="CG199" i="1"/>
  <c r="CH211" i="1"/>
  <c r="CG211" i="1"/>
  <c r="CJ32" i="1"/>
  <c r="CF31" i="1"/>
  <c r="CG33" i="1"/>
  <c r="CF32" i="1"/>
  <c r="BZ260" i="1"/>
  <c r="CF260" i="1"/>
  <c r="CF258" i="1"/>
  <c r="CF122" i="1"/>
  <c r="CF110" i="1"/>
  <c r="CG122" i="1"/>
  <c r="CG118" i="1"/>
  <c r="CG121" i="1"/>
  <c r="CG117" i="1"/>
  <c r="CF121" i="1"/>
  <c r="CF117" i="1"/>
  <c r="CI126" i="1"/>
  <c r="CG32" i="1"/>
  <c r="CC31" i="1"/>
  <c r="Y73" i="1"/>
  <c r="CC42" i="1"/>
  <c r="CC48" i="1" s="1"/>
  <c r="CC52" i="1" s="1"/>
  <c r="CD33" i="1"/>
  <c r="CC32" i="1"/>
  <c r="CD110" i="1"/>
  <c r="CD117" i="1"/>
  <c r="CE162" i="1"/>
  <c r="CD109" i="1"/>
  <c r="CE211" i="1"/>
  <c r="CG210" i="1"/>
  <c r="CD118" i="1"/>
  <c r="CF211" i="1"/>
  <c r="CA48" i="1"/>
  <c r="CA52" i="1" s="1"/>
  <c r="CA55" i="1" s="1"/>
  <c r="CA62" i="1" s="1"/>
  <c r="CA207" i="1" s="1"/>
  <c r="CA209" i="1" s="1"/>
  <c r="CA43" i="1"/>
  <c r="CE118" i="1"/>
  <c r="CG171" i="1"/>
  <c r="CH210" i="1"/>
  <c r="CF33" i="1"/>
  <c r="CE32" i="1"/>
  <c r="CI32" i="1"/>
  <c r="Z73" i="1"/>
  <c r="CE42" i="1"/>
  <c r="CE31" i="1"/>
  <c r="BY48" i="1"/>
  <c r="BY52" i="1" s="1"/>
  <c r="BY43" i="1"/>
  <c r="BL48" i="1"/>
  <c r="BL52" i="1" s="1"/>
  <c r="BL43" i="1"/>
  <c r="CV31" i="1"/>
  <c r="CU193" i="1"/>
  <c r="CV138" i="1"/>
  <c r="CU194" i="1"/>
  <c r="CU197" i="1"/>
  <c r="AB164" i="1"/>
  <c r="A1" i="1"/>
  <c r="CI240" i="1" l="1"/>
  <c r="CG45" i="1"/>
  <c r="CG264" i="1"/>
  <c r="CF43" i="1"/>
  <c r="CF246" i="1"/>
  <c r="CF247" i="1" s="1"/>
  <c r="CJ44" i="1"/>
  <c r="CF48" i="1"/>
  <c r="CD43" i="1"/>
  <c r="CB246" i="1"/>
  <c r="CB247" i="1" s="1"/>
  <c r="CB43" i="1"/>
  <c r="CB48" i="1"/>
  <c r="CB52" i="1" s="1"/>
  <c r="CB45" i="1"/>
  <c r="CB264" i="1"/>
  <c r="CF44" i="1"/>
  <c r="CD246" i="1"/>
  <c r="CD247" i="1" s="1"/>
  <c r="CD48" i="1"/>
  <c r="CD52" i="1" s="1"/>
  <c r="CD55" i="1" s="1"/>
  <c r="CD248" i="1" s="1"/>
  <c r="CG240" i="1"/>
  <c r="CT216" i="1"/>
  <c r="CU154" i="1"/>
  <c r="CT198" i="1"/>
  <c r="CS199" i="1"/>
  <c r="CO25" i="1"/>
  <c r="CP25" i="1" s="1"/>
  <c r="CQ25" i="1" s="1"/>
  <c r="CR25" i="1" s="1"/>
  <c r="CS25" i="1" s="1"/>
  <c r="CT25" i="1" s="1"/>
  <c r="CF180" i="1"/>
  <c r="CR196" i="1"/>
  <c r="CR200" i="1" s="1"/>
  <c r="CS195" i="1"/>
  <c r="CA152" i="1"/>
  <c r="CB47" i="1"/>
  <c r="CB179" i="1"/>
  <c r="CB180" i="1" s="1"/>
  <c r="CD179" i="1"/>
  <c r="CD180" i="1" s="1"/>
  <c r="CU139" i="1"/>
  <c r="CT142" i="1"/>
  <c r="CT263" i="1" s="1"/>
  <c r="CB260" i="1"/>
  <c r="CB258" i="1"/>
  <c r="CE152" i="1"/>
  <c r="CF47" i="1"/>
  <c r="CS220" i="1"/>
  <c r="CG219" i="1"/>
  <c r="BZ180" i="1"/>
  <c r="CD47" i="1"/>
  <c r="CC152" i="1"/>
  <c r="BZ123" i="1"/>
  <c r="CA51" i="1"/>
  <c r="CD258" i="1"/>
  <c r="CD260" i="1"/>
  <c r="CH219" i="1"/>
  <c r="CG108" i="1"/>
  <c r="CG110" i="1"/>
  <c r="CF123" i="1"/>
  <c r="CG51" i="1"/>
  <c r="CH47" i="1"/>
  <c r="CG152" i="1"/>
  <c r="CB123" i="1"/>
  <c r="CC51" i="1"/>
  <c r="CD123" i="1"/>
  <c r="CE51" i="1"/>
  <c r="CF195" i="1"/>
  <c r="CF200" i="1"/>
  <c r="CJ203" i="1" s="1"/>
  <c r="BL200" i="1"/>
  <c r="BL195" i="1"/>
  <c r="CD200" i="1"/>
  <c r="CD195" i="1"/>
  <c r="CB200" i="1"/>
  <c r="CB195" i="1"/>
  <c r="BZ195" i="1"/>
  <c r="BZ200" i="1"/>
  <c r="CG212" i="1"/>
  <c r="CG213" i="1" s="1"/>
  <c r="BZ43" i="1"/>
  <c r="BZ48" i="1"/>
  <c r="CA264" i="1"/>
  <c r="CA265" i="1" s="1"/>
  <c r="CA45" i="1"/>
  <c r="BZ246" i="1"/>
  <c r="BZ247" i="1" s="1"/>
  <c r="CD44" i="1"/>
  <c r="BZ45" i="1"/>
  <c r="BZ264" i="1"/>
  <c r="CB126" i="1"/>
  <c r="CH212" i="1"/>
  <c r="CH213" i="1" s="1"/>
  <c r="CD126" i="1"/>
  <c r="CC264" i="1"/>
  <c r="CC265" i="1" s="1"/>
  <c r="CE210" i="1"/>
  <c r="CE212" i="1" s="1"/>
  <c r="CE171" i="1"/>
  <c r="CG198" i="1"/>
  <c r="CG200" i="1"/>
  <c r="CC246" i="1"/>
  <c r="CC247" i="1" s="1"/>
  <c r="CG44" i="1"/>
  <c r="Y74" i="1"/>
  <c r="CC43" i="1"/>
  <c r="CC240" i="1"/>
  <c r="CD264" i="1"/>
  <c r="CD265" i="1" s="1"/>
  <c r="CC126" i="1"/>
  <c r="CD240" i="1"/>
  <c r="CC45" i="1"/>
  <c r="CD45" i="1"/>
  <c r="CC44" i="1"/>
  <c r="CC55" i="1"/>
  <c r="CC54" i="1"/>
  <c r="CF52" i="1"/>
  <c r="CI69" i="1"/>
  <c r="CE196" i="1"/>
  <c r="CF210" i="1"/>
  <c r="CF212" i="1" s="1"/>
  <c r="CA54" i="1"/>
  <c r="CA80" i="1"/>
  <c r="CA133" i="1"/>
  <c r="CA134" i="1" s="1"/>
  <c r="CA106" i="1" s="1"/>
  <c r="CH57" i="1"/>
  <c r="CD54" i="1"/>
  <c r="CA66" i="1"/>
  <c r="CA248" i="1"/>
  <c r="CA56" i="1"/>
  <c r="CA259" i="1" s="1"/>
  <c r="CD56" i="1"/>
  <c r="CD259" i="1" s="1"/>
  <c r="CF126" i="1"/>
  <c r="CD69" i="1"/>
  <c r="CD62" i="1"/>
  <c r="CD66" i="1" s="1"/>
  <c r="CE45" i="1"/>
  <c r="CE126" i="1"/>
  <c r="CE240" i="1"/>
  <c r="CE264" i="1"/>
  <c r="CE265" i="1" s="1"/>
  <c r="CF264" i="1"/>
  <c r="CF265" i="1" s="1"/>
  <c r="CE246" i="1"/>
  <c r="CE247" i="1" s="1"/>
  <c r="Z74" i="1"/>
  <c r="CE44" i="1"/>
  <c r="CH126" i="1"/>
  <c r="CE43" i="1"/>
  <c r="CG126" i="1"/>
  <c r="CE48" i="1"/>
  <c r="CH240" i="1"/>
  <c r="CF45" i="1"/>
  <c r="CI44" i="1"/>
  <c r="CF240" i="1"/>
  <c r="BL55" i="1"/>
  <c r="BL54" i="1"/>
  <c r="BY54" i="1"/>
  <c r="BY55" i="1"/>
  <c r="CU54" i="1"/>
  <c r="CV54" i="1" s="1"/>
  <c r="CW31" i="1"/>
  <c r="CX31" i="1" s="1"/>
  <c r="CW138" i="1"/>
  <c r="CV193" i="1"/>
  <c r="CV197" i="1"/>
  <c r="CV194" i="1"/>
  <c r="AC164" i="1"/>
  <c r="CG265" i="1" l="1"/>
  <c r="CB54" i="1"/>
  <c r="CB55" i="1"/>
  <c r="CB265" i="1"/>
  <c r="CV154" i="1"/>
  <c r="CU216" i="1"/>
  <c r="CU198" i="1"/>
  <c r="CT199" i="1"/>
  <c r="CD125" i="1"/>
  <c r="CD128" i="1" s="1"/>
  <c r="CD124" i="1"/>
  <c r="CD127" i="1" s="1"/>
  <c r="CS196" i="1"/>
  <c r="CS200" i="1" s="1"/>
  <c r="CT195" i="1"/>
  <c r="CA217" i="1"/>
  <c r="CA215" i="1" s="1"/>
  <c r="CB217" i="1"/>
  <c r="CB215" i="1" s="1"/>
  <c r="CE217" i="1"/>
  <c r="CE215" i="1" s="1"/>
  <c r="CF217" i="1"/>
  <c r="CF215" i="1" s="1"/>
  <c r="CH217" i="1"/>
  <c r="CH215" i="1" s="1"/>
  <c r="CH227" i="1" s="1"/>
  <c r="CG217" i="1"/>
  <c r="CG215" i="1" s="1"/>
  <c r="CV139" i="1"/>
  <c r="CU142" i="1"/>
  <c r="CU263" i="1" s="1"/>
  <c r="CT220" i="1"/>
  <c r="CD217" i="1"/>
  <c r="CD215" i="1" s="1"/>
  <c r="CC217" i="1"/>
  <c r="CC215" i="1" s="1"/>
  <c r="CF203" i="1"/>
  <c r="CF124" i="1"/>
  <c r="CF127" i="1" s="1"/>
  <c r="CF125" i="1"/>
  <c r="CF128" i="1" s="1"/>
  <c r="CD203" i="1"/>
  <c r="CH203" i="1"/>
  <c r="BZ52" i="1"/>
  <c r="CB69" i="1"/>
  <c r="CF55" i="1"/>
  <c r="CF54" i="1"/>
  <c r="CC57" i="1"/>
  <c r="CG57" i="1"/>
  <c r="CC248" i="1"/>
  <c r="CC62" i="1"/>
  <c r="CC56" i="1"/>
  <c r="CC259" i="1" s="1"/>
  <c r="CD58" i="1"/>
  <c r="CE195" i="1"/>
  <c r="CE200" i="1"/>
  <c r="CA221" i="1"/>
  <c r="CA219" i="1" s="1"/>
  <c r="CA143" i="1"/>
  <c r="CC58" i="1"/>
  <c r="CD207" i="1"/>
  <c r="CD209" i="1" s="1"/>
  <c r="Y75" i="1"/>
  <c r="CD80" i="1"/>
  <c r="CH127" i="1"/>
  <c r="CH128" i="1"/>
  <c r="CF69" i="1"/>
  <c r="CH69" i="1"/>
  <c r="CG69" i="1"/>
  <c r="CE52" i="1"/>
  <c r="CB62" i="1"/>
  <c r="CB58" i="1"/>
  <c r="CB248" i="1"/>
  <c r="CB56" i="1"/>
  <c r="CB259" i="1" s="1"/>
  <c r="BL62" i="1"/>
  <c r="BL56" i="1"/>
  <c r="BL259" i="1" s="1"/>
  <c r="CM78" i="1"/>
  <c r="CN78" i="1" s="1"/>
  <c r="CO78" i="1" s="1"/>
  <c r="CP78" i="1" s="1"/>
  <c r="BY56" i="1"/>
  <c r="BY259" i="1" s="1"/>
  <c r="BY62" i="1"/>
  <c r="CW54" i="1"/>
  <c r="CX54" i="1" s="1"/>
  <c r="CY31" i="1"/>
  <c r="CZ31" i="1" s="1"/>
  <c r="CX138" i="1"/>
  <c r="CW194" i="1"/>
  <c r="CW193" i="1"/>
  <c r="CW197" i="1"/>
  <c r="AE164" i="1"/>
  <c r="AD164" i="1"/>
  <c r="CD241" i="1" l="1"/>
  <c r="CF248" i="1"/>
  <c r="AA75" i="1"/>
  <c r="CW154" i="1"/>
  <c r="CV216" i="1"/>
  <c r="CQ78" i="1"/>
  <c r="CR78" i="1" s="1"/>
  <c r="CS78" i="1" s="1"/>
  <c r="CT78" i="1" s="1"/>
  <c r="AB78" i="1"/>
  <c r="AA78" i="1" s="1"/>
  <c r="Z78" i="1" s="1"/>
  <c r="Y78" i="1" s="1"/>
  <c r="X78" i="1" s="1"/>
  <c r="W78" i="1" s="1"/>
  <c r="V78" i="1" s="1"/>
  <c r="U78" i="1" s="1"/>
  <c r="T78" i="1" s="1"/>
  <c r="S78" i="1" s="1"/>
  <c r="R78" i="1" s="1"/>
  <c r="Q78" i="1" s="1"/>
  <c r="P78" i="1" s="1"/>
  <c r="O78" i="1" s="1"/>
  <c r="N78" i="1" s="1"/>
  <c r="M78" i="1" s="1"/>
  <c r="L78" i="1" s="1"/>
  <c r="K78" i="1" s="1"/>
  <c r="J78" i="1" s="1"/>
  <c r="I78" i="1" s="1"/>
  <c r="H78" i="1" s="1"/>
  <c r="G78" i="1" s="1"/>
  <c r="F78" i="1" s="1"/>
  <c r="E78" i="1" s="1"/>
  <c r="CV198" i="1"/>
  <c r="CU199" i="1"/>
  <c r="CG227" i="1"/>
  <c r="CG224" i="1"/>
  <c r="CG174" i="1" s="1"/>
  <c r="CG175" i="1" s="1"/>
  <c r="CG225" i="1" s="1"/>
  <c r="CT196" i="1"/>
  <c r="CT200" i="1" s="1"/>
  <c r="CU195" i="1"/>
  <c r="CW139" i="1"/>
  <c r="CV142" i="1"/>
  <c r="CV263" i="1" s="1"/>
  <c r="CU220" i="1"/>
  <c r="CF57" i="1"/>
  <c r="CF56" i="1"/>
  <c r="CF259" i="1" s="1"/>
  <c r="BZ55" i="1"/>
  <c r="BZ54" i="1"/>
  <c r="CJ57" i="1"/>
  <c r="CG58" i="1"/>
  <c r="CI241" i="1"/>
  <c r="CF62" i="1"/>
  <c r="CD68" i="1"/>
  <c r="CC66" i="1"/>
  <c r="CC133" i="1"/>
  <c r="CC134" i="1" s="1"/>
  <c r="CC80" i="1"/>
  <c r="CC207" i="1"/>
  <c r="CC209" i="1" s="1"/>
  <c r="CB80" i="1"/>
  <c r="CB66" i="1"/>
  <c r="CB207" i="1"/>
  <c r="CB209" i="1" s="1"/>
  <c r="CB221" i="1"/>
  <c r="CB219" i="1" s="1"/>
  <c r="CE55" i="1"/>
  <c r="CE54" i="1"/>
  <c r="BY207" i="1"/>
  <c r="BY209" i="1" s="1"/>
  <c r="BY66" i="1"/>
  <c r="BY80" i="1"/>
  <c r="BL207" i="1"/>
  <c r="BL209" i="1" s="1"/>
  <c r="BL80" i="1"/>
  <c r="BL66" i="1"/>
  <c r="CY54" i="1"/>
  <c r="CZ54" i="1" s="1"/>
  <c r="DA31" i="1"/>
  <c r="DB31" i="1" s="1"/>
  <c r="CX197" i="1"/>
  <c r="CX194" i="1"/>
  <c r="CX193" i="1"/>
  <c r="CY138" i="1"/>
  <c r="AB140" i="1"/>
  <c r="AB150" i="1"/>
  <c r="AB149" i="1"/>
  <c r="AB141" i="1"/>
  <c r="AB136" i="1"/>
  <c r="AB165" i="1"/>
  <c r="AB157" i="1"/>
  <c r="AB132" i="1"/>
  <c r="CW216" i="1" l="1"/>
  <c r="CX154" i="1"/>
  <c r="AC78" i="1"/>
  <c r="CU78" i="1"/>
  <c r="CV78" i="1" s="1"/>
  <c r="CW78" i="1" s="1"/>
  <c r="CX78" i="1" s="1"/>
  <c r="CV199" i="1"/>
  <c r="CW198" i="1"/>
  <c r="CU196" i="1"/>
  <c r="CU200" i="1" s="1"/>
  <c r="CV195" i="1"/>
  <c r="CX139" i="1"/>
  <c r="CW142" i="1"/>
  <c r="CW263" i="1" s="1"/>
  <c r="CV220" i="1"/>
  <c r="CD83" i="1"/>
  <c r="CD100" i="1" s="1"/>
  <c r="BZ56" i="1"/>
  <c r="BZ259" i="1" s="1"/>
  <c r="BZ58" i="1"/>
  <c r="CC241" i="1"/>
  <c r="BZ62" i="1"/>
  <c r="CC68" i="1" s="1"/>
  <c r="BZ248" i="1"/>
  <c r="CD57" i="1"/>
  <c r="CA58" i="1"/>
  <c r="CG262" i="1"/>
  <c r="CH223" i="1"/>
  <c r="CH224" i="1" s="1"/>
  <c r="CH225" i="1" s="1"/>
  <c r="CG258" i="1"/>
  <c r="CG260" i="1"/>
  <c r="CG179" i="1"/>
  <c r="CG180" i="1" s="1"/>
  <c r="CG182" i="1"/>
  <c r="CF207" i="1"/>
  <c r="CF209" i="1" s="1"/>
  <c r="CF213" i="1" s="1"/>
  <c r="CF227" i="1" s="1"/>
  <c r="CF66" i="1"/>
  <c r="CF80" i="1"/>
  <c r="CI83" i="1" s="1"/>
  <c r="CI68" i="1"/>
  <c r="CC106" i="1"/>
  <c r="CC143" i="1"/>
  <c r="CC69" i="1" s="1"/>
  <c r="CC221" i="1"/>
  <c r="CC219" i="1" s="1"/>
  <c r="CD221" i="1"/>
  <c r="CD219" i="1" s="1"/>
  <c r="CG241" i="1"/>
  <c r="CI57" i="1"/>
  <c r="CH241" i="1"/>
  <c r="CE58" i="1"/>
  <c r="CE56" i="1"/>
  <c r="CE259" i="1" s="1"/>
  <c r="CE57" i="1"/>
  <c r="CF58" i="1"/>
  <c r="CE62" i="1"/>
  <c r="CF241" i="1"/>
  <c r="CE241" i="1"/>
  <c r="Z75" i="1"/>
  <c r="CE248" i="1"/>
  <c r="DA54" i="1"/>
  <c r="DB54" i="1" s="1"/>
  <c r="CY194" i="1"/>
  <c r="CZ138" i="1"/>
  <c r="CY193" i="1"/>
  <c r="CY197" i="1"/>
  <c r="AC150" i="1"/>
  <c r="AC140" i="1"/>
  <c r="AB178" i="1"/>
  <c r="AC136" i="1"/>
  <c r="AC165" i="1"/>
  <c r="AB161" i="1"/>
  <c r="AB168" i="1"/>
  <c r="AC157" i="1"/>
  <c r="AC141" i="1"/>
  <c r="AB169" i="1"/>
  <c r="AC132" i="1"/>
  <c r="AC149" i="1"/>
  <c r="CY154" i="1" l="1"/>
  <c r="CY216" i="1" s="1"/>
  <c r="CX216" i="1"/>
  <c r="AD78" i="1"/>
  <c r="CY78" i="1"/>
  <c r="CZ78" i="1" s="1"/>
  <c r="DA78" i="1" s="1"/>
  <c r="DB78" i="1" s="1"/>
  <c r="AE78" i="1" s="1"/>
  <c r="CX198" i="1"/>
  <c r="CW199" i="1"/>
  <c r="CV196" i="1"/>
  <c r="CV200" i="1" s="1"/>
  <c r="CW195" i="1"/>
  <c r="CY139" i="1"/>
  <c r="CX142" i="1"/>
  <c r="CX263" i="1" s="1"/>
  <c r="CW220" i="1"/>
  <c r="CD99" i="1"/>
  <c r="CD101" i="1"/>
  <c r="CB68" i="1"/>
  <c r="BZ80" i="1"/>
  <c r="BZ66" i="1"/>
  <c r="BZ207" i="1"/>
  <c r="BZ209" i="1" s="1"/>
  <c r="CH51" i="1"/>
  <c r="CG123" i="1"/>
  <c r="CI101" i="1"/>
  <c r="CI99" i="1"/>
  <c r="CI100" i="1"/>
  <c r="CL104" i="1" s="1"/>
  <c r="CE66" i="1"/>
  <c r="CE133" i="1"/>
  <c r="CE134" i="1" s="1"/>
  <c r="CE68" i="1" s="1"/>
  <c r="CE207" i="1"/>
  <c r="CE209" i="1" s="1"/>
  <c r="CE213" i="1" s="1"/>
  <c r="CE227" i="1" s="1"/>
  <c r="CE80" i="1"/>
  <c r="CF68" i="1"/>
  <c r="CG68" i="1"/>
  <c r="CH68" i="1"/>
  <c r="DA138" i="1"/>
  <c r="CZ154" i="1"/>
  <c r="CZ216" i="1" s="1"/>
  <c r="CZ197" i="1"/>
  <c r="CZ194" i="1"/>
  <c r="CZ193" i="1"/>
  <c r="AE150" i="1"/>
  <c r="AD150" i="1"/>
  <c r="AE140" i="1"/>
  <c r="AD140" i="1"/>
  <c r="AC178" i="1"/>
  <c r="AE165" i="1"/>
  <c r="AD165" i="1"/>
  <c r="AE157" i="1"/>
  <c r="AD157" i="1"/>
  <c r="AD132" i="1"/>
  <c r="AE132" i="1"/>
  <c r="AC168" i="1"/>
  <c r="AE141" i="1"/>
  <c r="AD141" i="1"/>
  <c r="AE149" i="1"/>
  <c r="AD149" i="1"/>
  <c r="AC169" i="1"/>
  <c r="AC161" i="1"/>
  <c r="AE136" i="1"/>
  <c r="AD136" i="1"/>
  <c r="CY198" i="1" l="1"/>
  <c r="CX199" i="1"/>
  <c r="CW196" i="1"/>
  <c r="CW200" i="1" s="1"/>
  <c r="CX195" i="1"/>
  <c r="CZ139" i="1"/>
  <c r="CY142" i="1"/>
  <c r="CX220" i="1"/>
  <c r="CC83" i="1"/>
  <c r="CB83" i="1"/>
  <c r="CG125" i="1"/>
  <c r="CG128" i="1" s="1"/>
  <c r="CG124" i="1"/>
  <c r="CG127" i="1" s="1"/>
  <c r="CF83" i="1"/>
  <c r="CH83" i="1"/>
  <c r="CL84" i="1" s="1"/>
  <c r="CG83" i="1"/>
  <c r="CK84" i="1" s="1"/>
  <c r="CE83" i="1"/>
  <c r="CE106" i="1"/>
  <c r="CF221" i="1"/>
  <c r="CF219" i="1" s="1"/>
  <c r="CE143" i="1"/>
  <c r="CE69" i="1" s="1"/>
  <c r="CE221" i="1"/>
  <c r="CE219" i="1" s="1"/>
  <c r="CE224" i="1" s="1"/>
  <c r="CE174" i="1" s="1"/>
  <c r="CE175" i="1" s="1"/>
  <c r="CE179" i="1" s="1"/>
  <c r="DA193" i="1"/>
  <c r="DA194" i="1"/>
  <c r="DA154" i="1"/>
  <c r="DB154" i="1" s="1"/>
  <c r="DB216" i="1" s="1"/>
  <c r="DA197" i="1"/>
  <c r="DB138" i="1"/>
  <c r="AE178" i="1"/>
  <c r="AD178" i="1"/>
  <c r="AE168" i="1"/>
  <c r="AD168" i="1"/>
  <c r="AE169" i="1"/>
  <c r="AD169" i="1"/>
  <c r="AE161" i="1"/>
  <c r="AD161" i="1"/>
  <c r="BY245" i="1"/>
  <c r="CZ198" i="1" l="1"/>
  <c r="CY199" i="1"/>
  <c r="DA139" i="1"/>
  <c r="CZ142" i="1"/>
  <c r="CY263" i="1"/>
  <c r="CX196" i="1"/>
  <c r="CX200" i="1" s="1"/>
  <c r="CY195" i="1"/>
  <c r="CY220" i="1"/>
  <c r="CE108" i="1"/>
  <c r="CE109" i="1"/>
  <c r="CE110" i="1"/>
  <c r="CE258" i="1"/>
  <c r="CE99" i="1"/>
  <c r="CE100" i="1"/>
  <c r="CI84" i="1"/>
  <c r="CE101" i="1"/>
  <c r="CE262" i="1"/>
  <c r="CG84" i="1"/>
  <c r="CG99" i="1"/>
  <c r="CG101" i="1"/>
  <c r="CG100" i="1"/>
  <c r="CE182" i="1"/>
  <c r="CE123" i="1" s="1"/>
  <c r="CE125" i="1" s="1"/>
  <c r="CE128" i="1" s="1"/>
  <c r="CF223" i="1"/>
  <c r="CF224" i="1" s="1"/>
  <c r="CF225" i="1" s="1"/>
  <c r="CE260" i="1"/>
  <c r="CH84" i="1"/>
  <c r="CH100" i="1"/>
  <c r="CK104" i="1" s="1"/>
  <c r="CH99" i="1"/>
  <c r="CH101" i="1"/>
  <c r="CE225" i="1"/>
  <c r="CF84" i="1"/>
  <c r="CJ84" i="1"/>
  <c r="CF101" i="1"/>
  <c r="CF99" i="1"/>
  <c r="CF100" i="1"/>
  <c r="CU25" i="1"/>
  <c r="CV25" i="1" s="1"/>
  <c r="DA216" i="1"/>
  <c r="DB194" i="1"/>
  <c r="DB193" i="1"/>
  <c r="DB197" i="1"/>
  <c r="CE180" i="1"/>
  <c r="AB34" i="1"/>
  <c r="DA198" i="1" l="1"/>
  <c r="CZ199" i="1"/>
  <c r="DA142" i="1"/>
  <c r="DB139" i="1"/>
  <c r="DB142" i="1" s="1"/>
  <c r="CZ263" i="1"/>
  <c r="CZ220" i="1"/>
  <c r="CY196" i="1"/>
  <c r="CY200" i="1" s="1"/>
  <c r="CZ195" i="1"/>
  <c r="CJ104" i="1"/>
  <c r="CH104" i="1"/>
  <c r="CF51" i="1"/>
  <c r="CI104" i="1"/>
  <c r="CG104" i="1"/>
  <c r="CW25" i="1"/>
  <c r="CE124" i="1"/>
  <c r="CE127" i="1" s="1"/>
  <c r="AC34" i="1"/>
  <c r="BY246" i="1"/>
  <c r="BY247" i="1" s="1"/>
  <c r="DB198" i="1" l="1"/>
  <c r="DB199" i="1" s="1"/>
  <c r="DA199" i="1"/>
  <c r="DA220" i="1"/>
  <c r="DA263" i="1"/>
  <c r="DB220" i="1"/>
  <c r="DB263" i="1"/>
  <c r="CZ196" i="1"/>
  <c r="CZ200" i="1" s="1"/>
  <c r="DA195" i="1"/>
  <c r="CX25" i="1"/>
  <c r="CY25" i="1" s="1"/>
  <c r="CZ25" i="1" s="1"/>
  <c r="AD34" i="1"/>
  <c r="BY248" i="1"/>
  <c r="DA196" i="1" l="1"/>
  <c r="DA200" i="1" s="1"/>
  <c r="DB195" i="1"/>
  <c r="DB196" i="1" s="1"/>
  <c r="DB200" i="1" s="1"/>
  <c r="DA25" i="1"/>
  <c r="DB25" i="1" s="1"/>
  <c r="AE34" i="1"/>
  <c r="BI79" i="1" l="1"/>
  <c r="AT79" i="1"/>
  <c r="BT79" i="1"/>
  <c r="AV79" i="1"/>
  <c r="AX79" i="1"/>
  <c r="AR79" i="1"/>
  <c r="AO79" i="1" l="1"/>
  <c r="BK79" i="1"/>
  <c r="AN79" i="1"/>
  <c r="AW79" i="1"/>
  <c r="BB79" i="1"/>
  <c r="BM79" i="1"/>
  <c r="BQ79" i="1"/>
  <c r="AJ79" i="1"/>
  <c r="BS79" i="1"/>
  <c r="BR79" i="1"/>
  <c r="BO79" i="1"/>
  <c r="AM79" i="1"/>
  <c r="AI79" i="1"/>
  <c r="AP79" i="1"/>
  <c r="AZ79" i="1"/>
  <c r="AS79" i="1"/>
  <c r="BN79" i="1"/>
  <c r="BU79" i="1"/>
  <c r="BA79" i="1"/>
  <c r="BC79" i="1"/>
  <c r="AU79" i="1"/>
  <c r="BW79" i="1"/>
  <c r="BP79" i="1"/>
  <c r="BJ79" i="1"/>
  <c r="BH79" i="1"/>
  <c r="BX79" i="1"/>
  <c r="BG79" i="1"/>
  <c r="AQ79" i="1"/>
  <c r="AY79" i="1"/>
  <c r="AK79" i="1"/>
  <c r="BE79" i="1"/>
  <c r="BD79" i="1"/>
  <c r="BV79" i="1"/>
  <c r="BF79" i="1"/>
  <c r="BL245" i="1" l="1"/>
  <c r="AB154" i="1" l="1"/>
  <c r="CN91" i="1" l="1"/>
  <c r="AB216" i="1"/>
  <c r="CO91" i="1" l="1"/>
  <c r="CM77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AG9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F15" i="3"/>
  <c r="G20" i="3"/>
  <c r="AR23" i="3"/>
  <c r="G22" i="3"/>
  <c r="F28" i="3"/>
  <c r="DO5" i="4" a="1"/>
  <c r="DO14" i="4" a="1"/>
  <c r="DM5" i="4" a="1"/>
  <c r="AK11" i="4" a="1"/>
  <c r="BC9" i="4" a="1"/>
  <c r="CF7" i="4" a="1"/>
  <c r="AI14" i="4" a="1"/>
  <c r="EG12" i="4" a="1"/>
  <c r="DT12" i="4" a="1"/>
  <c r="AD8" i="4" a="1"/>
  <c r="C15" i="4" a="1"/>
  <c r="DP14" i="4" a="1"/>
  <c r="Q12" i="4" a="1"/>
  <c r="EI14" i="4" a="1"/>
  <c r="CB13" i="4" a="1"/>
  <c r="CG12" i="4" a="1"/>
  <c r="BZ5" i="4" a="1"/>
  <c r="EA5" i="4" a="1"/>
  <c r="U16" i="4" a="1"/>
  <c r="BK6" i="4" a="1"/>
  <c r="BS7" i="4" a="1"/>
  <c r="AO11" i="4" a="1"/>
  <c r="AE7" i="4" a="1"/>
  <c r="CH7" i="4" a="1"/>
  <c r="CC8" i="4" a="1"/>
  <c r="AM5" i="4" a="1"/>
  <c r="CW7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F23" i="2"/>
  <c r="H8" i="2"/>
  <c r="L23" i="2"/>
  <c r="L20" i="2"/>
  <c r="L33" i="2"/>
  <c r="S17" i="2"/>
  <c r="N35" i="2"/>
  <c r="O22" i="2"/>
  <c r="V10" i="2"/>
  <c r="U13" i="2"/>
  <c r="G25" i="2"/>
  <c r="D33" i="2"/>
  <c r="P32" i="2"/>
  <c r="L6" i="2"/>
  <c r="O23" i="2"/>
  <c r="E17" i="2"/>
  <c r="O21" i="2"/>
  <c r="E5" i="2"/>
  <c r="E20" i="2"/>
  <c r="K14" i="2"/>
  <c r="H35" i="2"/>
  <c r="L27" i="2"/>
  <c r="G7" i="3"/>
  <c r="F22" i="3"/>
  <c r="F19" i="3"/>
  <c r="AR33" i="3"/>
  <c r="V45" i="3"/>
  <c r="K46" i="3"/>
  <c r="AQ45" i="3"/>
  <c r="E13" i="3"/>
  <c r="D38" i="3"/>
  <c r="E34" i="3"/>
  <c r="M14" i="2"/>
  <c r="G23" i="2"/>
  <c r="L17" i="2"/>
  <c r="D8" i="2"/>
  <c r="D20" i="2"/>
  <c r="I20" i="2"/>
  <c r="C28" i="2"/>
  <c r="H36" i="2"/>
  <c r="G10" i="2"/>
  <c r="I17" i="2"/>
  <c r="R14" i="2"/>
  <c r="Q31" i="2"/>
  <c r="F29" i="2"/>
  <c r="I7" i="2"/>
  <c r="J32" i="2"/>
  <c r="T11" i="2"/>
  <c r="J11" i="2"/>
  <c r="Q57" i="2"/>
  <c r="AR87" i="3"/>
  <c r="I11" i="2"/>
  <c r="Q54" i="2"/>
  <c r="X12" i="2"/>
  <c r="AR34" i="3"/>
  <c r="D13" i="3"/>
  <c r="F25" i="3"/>
  <c r="F33" i="3"/>
  <c r="N45" i="3"/>
  <c r="AR15" i="3"/>
  <c r="G21" i="3"/>
  <c r="AC45" i="3"/>
  <c r="Z46" i="3"/>
  <c r="G30" i="3"/>
  <c r="D7" i="3"/>
  <c r="AR35" i="3"/>
  <c r="AB12" i="4" a="1"/>
  <c r="BM8" i="4" a="1"/>
  <c r="EI16" i="4" a="1"/>
  <c r="DE11" i="4" a="1"/>
  <c r="BD15" i="4" a="1"/>
  <c r="CN11" i="4" a="1"/>
  <c r="CS14" i="4" a="1"/>
  <c r="DR5" i="4" a="1"/>
  <c r="AR11" i="4" a="1"/>
  <c r="W5" i="4" a="1"/>
  <c r="DC12" i="4" a="1"/>
  <c r="CD8" i="4" a="1"/>
  <c r="Y8" i="4" a="1"/>
  <c r="W13" i="4" a="1"/>
  <c r="CP14" i="4" a="1"/>
  <c r="CF14" i="4" a="1"/>
  <c r="EA13" i="4" a="1"/>
  <c r="DN12" i="4" a="1"/>
  <c r="EE11" i="4" a="1"/>
  <c r="CF12" i="4" a="1"/>
  <c r="ED6" i="4" a="1"/>
  <c r="BP8" i="4" a="1"/>
  <c r="BG11" i="4" a="1"/>
  <c r="AD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F13" i="2"/>
  <c r="O7" i="2"/>
  <c r="R10" i="2"/>
  <c r="K87" i="2"/>
  <c r="N27" i="2"/>
  <c r="S16" i="2"/>
  <c r="R21" i="2"/>
  <c r="J19" i="2"/>
  <c r="N31" i="2"/>
  <c r="V18" i="2"/>
  <c r="L18" i="2"/>
  <c r="K59" i="2"/>
  <c r="S8" i="2"/>
  <c r="E12" i="2"/>
  <c r="M11" i="2"/>
  <c r="AR71" i="3"/>
  <c r="F26" i="2"/>
  <c r="C26" i="2"/>
  <c r="AR75" i="3"/>
  <c r="W19" i="2"/>
  <c r="I21" i="2"/>
  <c r="AR86" i="3"/>
  <c r="AJ46" i="3"/>
  <c r="E25" i="3"/>
  <c r="E26" i="3"/>
  <c r="L46" i="3"/>
  <c r="D15" i="3"/>
  <c r="E42" i="3"/>
  <c r="AD46" i="3"/>
  <c r="D22" i="3"/>
  <c r="AO46" i="3"/>
  <c r="AR28" i="3"/>
  <c r="D35" i="3"/>
  <c r="F35" i="3"/>
  <c r="AL12" i="4" a="1"/>
  <c r="BF13" i="4" a="1"/>
  <c r="J9" i="4" a="1"/>
  <c r="AS6" i="4" a="1"/>
  <c r="BO8" i="4" a="1"/>
  <c r="DV7" i="4" a="1"/>
  <c r="CN16" i="4" a="1"/>
  <c r="EK5" i="4" a="1"/>
  <c r="DM15" i="4" a="1"/>
  <c r="CN8" i="4" a="1"/>
  <c r="CO9" i="4" a="1"/>
  <c r="AQ15" i="4" a="1"/>
  <c r="AY7" i="4" a="1"/>
  <c r="BZ9" i="4" a="1"/>
  <c r="BQ9" i="4" a="1"/>
  <c r="O6" i="4" a="1"/>
  <c r="CM6" i="4" a="1"/>
  <c r="DR11" i="4" a="1"/>
  <c r="EJ7" i="4" a="1"/>
  <c r="CE5" i="4" a="1"/>
  <c r="BU13" i="4" a="1"/>
  <c r="DA8" i="4" a="1"/>
  <c r="BB6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H9" i="2"/>
  <c r="U29" i="2"/>
  <c r="X11" i="2"/>
  <c r="U30" i="2"/>
  <c r="P22" i="2"/>
  <c r="W35" i="2"/>
  <c r="C34" i="2"/>
  <c r="G14" i="2"/>
  <c r="V5" i="2"/>
  <c r="J31" i="2"/>
  <c r="F9" i="2"/>
  <c r="E28" i="2"/>
  <c r="D31" i="2"/>
  <c r="I25" i="2"/>
  <c r="P25" i="2"/>
  <c r="AR60" i="3"/>
  <c r="K18" i="2"/>
  <c r="F8" i="2"/>
  <c r="AR54" i="3"/>
  <c r="M9" i="2"/>
  <c r="I13" i="2"/>
  <c r="AR82" i="3"/>
  <c r="G17" i="3"/>
  <c r="F36" i="3"/>
  <c r="C45" i="3"/>
  <c r="AI45" i="3"/>
  <c r="E21" i="3"/>
  <c r="AD8" i="3"/>
  <c r="G6" i="3"/>
  <c r="E36" i="3"/>
  <c r="E16" i="3"/>
  <c r="F21" i="3"/>
  <c r="F40" i="3"/>
  <c r="EH5" i="4" a="1"/>
  <c r="DA11" i="4" a="1"/>
  <c r="CC11" i="4" a="1"/>
  <c r="CT11" i="4" a="1"/>
  <c r="DV5" i="4" a="1"/>
  <c r="AN8" i="4" a="1"/>
  <c r="DY11" i="4" a="1"/>
  <c r="EG14" i="4" a="1"/>
  <c r="AP9" i="4" a="1"/>
  <c r="Q14" i="4" a="1"/>
  <c r="BX16" i="4" a="1"/>
  <c r="DL6" i="4" a="1"/>
  <c r="DY8" i="4" a="1"/>
  <c r="DI16" i="4" a="1"/>
  <c r="AX6" i="4" a="1"/>
  <c r="BR13" i="4" a="1"/>
  <c r="BE7" i="4" a="1"/>
  <c r="BK12" i="4" a="1"/>
  <c r="AP16" i="4" a="1"/>
  <c r="AP15" i="4" a="1"/>
  <c r="DQ14" i="4" a="1"/>
  <c r="AU13" i="4" a="1"/>
  <c r="Q69" i="2"/>
  <c r="Q6" i="2"/>
  <c r="P7" i="2"/>
  <c r="O15" i="2"/>
  <c r="V24" i="2"/>
  <c r="D24" i="2"/>
  <c r="N14" i="2"/>
  <c r="J7" i="2"/>
  <c r="D10" i="2"/>
  <c r="I24" i="2"/>
  <c r="H27" i="2"/>
  <c r="F19" i="2"/>
  <c r="Q20" i="2"/>
  <c r="M7" i="2"/>
  <c r="E34" i="2"/>
  <c r="AR69" i="3"/>
  <c r="V20" i="2"/>
  <c r="F32" i="2"/>
  <c r="AR80" i="3"/>
  <c r="F14" i="2"/>
  <c r="M6" i="2"/>
  <c r="G18" i="2"/>
  <c r="D33" i="3"/>
  <c r="AR41" i="3"/>
  <c r="E39" i="3"/>
  <c r="D12" i="3"/>
  <c r="D39" i="3"/>
  <c r="AG46" i="3"/>
  <c r="M46" i="3"/>
  <c r="F37" i="3"/>
  <c r="F16" i="3"/>
  <c r="Y46" i="3"/>
  <c r="D46" i="3"/>
  <c r="BO14" i="4" a="1"/>
  <c r="CY15" i="4" a="1"/>
  <c r="EJ5" i="4" a="1"/>
  <c r="DK7" i="4" a="1"/>
  <c r="DU7" i="4" a="1"/>
  <c r="DR16" i="4" a="1"/>
  <c r="CX14" i="4" a="1"/>
  <c r="CT14" i="4" a="1"/>
  <c r="EG5" i="4" a="1"/>
  <c r="CY16" i="4" a="1"/>
  <c r="AG15" i="4" a="1"/>
  <c r="K14" i="4" a="1"/>
  <c r="AV16" i="4" a="1"/>
  <c r="J7" i="4" a="1"/>
  <c r="CI13" i="4" a="1"/>
  <c r="DD9" i="4" a="1"/>
  <c r="BD5" i="4" a="1"/>
  <c r="DB16" i="4" a="1"/>
  <c r="X6" i="4" a="1"/>
  <c r="BY15" i="4" a="1"/>
  <c r="AZ8" i="4" a="1"/>
  <c r="DS6" i="4" a="1"/>
  <c r="BB1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U19" i="2"/>
  <c r="W46" i="2"/>
  <c r="V35" i="2"/>
  <c r="O19" i="2"/>
  <c r="T15" i="2"/>
  <c r="R13" i="2"/>
  <c r="L19" i="2"/>
  <c r="R34" i="2"/>
  <c r="Q27" i="2"/>
  <c r="G35" i="2"/>
  <c r="L31" i="2"/>
  <c r="E24" i="2"/>
  <c r="X30" i="2"/>
  <c r="E23" i="2"/>
  <c r="R27" i="2"/>
  <c r="AS49" i="3"/>
  <c r="E18" i="2"/>
  <c r="R11" i="2"/>
  <c r="AR95" i="3"/>
  <c r="K27" i="2"/>
  <c r="K15" i="2"/>
  <c r="V15" i="2"/>
  <c r="F39" i="3"/>
  <c r="F20" i="3"/>
  <c r="AD15" i="3"/>
  <c r="AD13" i="3"/>
  <c r="G45" i="3"/>
  <c r="O45" i="3"/>
  <c r="G15" i="3"/>
  <c r="E31" i="3"/>
  <c r="F5" i="3"/>
  <c r="AD16" i="3"/>
  <c r="I45" i="3"/>
  <c r="CI14" i="4" a="1"/>
  <c r="BF9" i="4" a="1"/>
  <c r="AG7" i="4" a="1"/>
  <c r="CB7" i="4" a="1"/>
  <c r="AC11" i="4" a="1"/>
  <c r="CG16" i="4" a="1"/>
  <c r="CD5" i="4" a="1"/>
  <c r="BK13" i="4" a="1"/>
  <c r="AH8" i="4" a="1"/>
  <c r="ED14" i="4" a="1"/>
  <c r="M5" i="4" a="1"/>
  <c r="R11" i="4" a="1"/>
  <c r="DE12" i="4" a="1"/>
  <c r="CX15" i="4" a="1"/>
  <c r="AD5" i="4" a="1"/>
  <c r="CU9" i="4" a="1"/>
  <c r="EC11" i="4" a="1"/>
  <c r="BC5" i="4" a="1"/>
  <c r="AK5" i="4" a="1"/>
  <c r="AH15" i="4" a="1"/>
  <c r="CL9" i="4" a="1"/>
  <c r="DJ14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F10" i="2"/>
  <c r="O32" i="2"/>
  <c r="C6" i="2"/>
  <c r="E19" i="2"/>
  <c r="D29" i="2"/>
  <c r="V23" i="2"/>
  <c r="R23" i="2"/>
  <c r="C59" i="2"/>
  <c r="K16" i="2"/>
  <c r="Q18" i="2"/>
  <c r="O6" i="2"/>
  <c r="N36" i="2"/>
  <c r="W5" i="2"/>
  <c r="O25" i="2"/>
  <c r="N33" i="2"/>
  <c r="C22" i="2"/>
  <c r="S15" i="2"/>
  <c r="X63" i="2"/>
  <c r="G24" i="2"/>
  <c r="L21" i="2"/>
  <c r="H11" i="2"/>
  <c r="G11" i="2"/>
  <c r="U5" i="2"/>
  <c r="R36" i="2"/>
  <c r="C10" i="2"/>
  <c r="X36" i="2"/>
  <c r="D5" i="2"/>
  <c r="V19" i="2"/>
  <c r="X29" i="2"/>
  <c r="C30" i="2"/>
  <c r="I26" i="2"/>
  <c r="H45" i="3"/>
  <c r="AR36" i="3"/>
  <c r="E20" i="3"/>
  <c r="W46" i="3"/>
  <c r="AR32" i="3"/>
  <c r="AR38" i="3"/>
  <c r="P45" i="3"/>
  <c r="D6" i="3"/>
  <c r="E29" i="3"/>
  <c r="F7" i="3"/>
  <c r="F26" i="3"/>
  <c r="AZ15" i="4" a="1"/>
  <c r="DZ14" i="4" a="1"/>
  <c r="AI9" i="4" a="1"/>
  <c r="CM16" i="4" a="1"/>
  <c r="DK5" i="4" a="1"/>
  <c r="L9" i="4" a="1"/>
  <c r="DF5" i="4" a="1"/>
  <c r="T7" i="4" a="1"/>
  <c r="BA5" i="4" a="1"/>
  <c r="R14" i="4" a="1"/>
  <c r="DO12" i="4" a="1"/>
  <c r="CV6" i="4" a="1"/>
  <c r="CA8" i="4" a="1"/>
  <c r="C8" i="4" a="1"/>
  <c r="DP16" i="4" a="1"/>
  <c r="X8" i="4" a="1"/>
  <c r="AB9" i="4" a="1"/>
  <c r="EB8" i="4" a="1"/>
  <c r="T8" i="4" a="1"/>
  <c r="CS15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K26" i="2"/>
  <c r="F75" i="2"/>
  <c r="K32" i="2"/>
  <c r="V28" i="2"/>
  <c r="O12" i="2"/>
  <c r="W31" i="2"/>
  <c r="G32" i="2"/>
  <c r="N19" i="2"/>
  <c r="V36" i="2"/>
  <c r="E10" i="2"/>
  <c r="M32" i="2"/>
  <c r="X21" i="2"/>
  <c r="J20" i="2"/>
  <c r="C14" i="2"/>
  <c r="V11" i="2"/>
  <c r="E7" i="2"/>
  <c r="R16" i="2"/>
  <c r="M30" i="2"/>
  <c r="X26" i="2"/>
  <c r="N22" i="2"/>
  <c r="C12" i="2"/>
  <c r="AM46" i="3"/>
  <c r="G27" i="3"/>
  <c r="D16" i="3"/>
  <c r="I46" i="3"/>
  <c r="AR11" i="3"/>
  <c r="V46" i="3"/>
  <c r="D9" i="3"/>
  <c r="F34" i="3"/>
  <c r="AO6" i="3"/>
  <c r="E46" i="3"/>
  <c r="G8" i="3"/>
  <c r="R45" i="3"/>
  <c r="EJ14" i="4" a="1"/>
  <c r="Y5" i="4" a="1"/>
  <c r="BJ12" i="4" a="1"/>
  <c r="E14" i="4" a="1"/>
  <c r="DG8" i="4" a="1"/>
  <c r="AJ14" i="4" a="1"/>
  <c r="BW15" i="4" a="1"/>
  <c r="AK14" i="4" a="1"/>
  <c r="DN9" i="4" a="1"/>
  <c r="X7" i="4" a="1"/>
  <c r="DZ16" i="4" a="1"/>
  <c r="AO5" i="4" a="1"/>
  <c r="M14" i="4" a="1"/>
  <c r="DX6" i="4" a="1"/>
  <c r="F16" i="4" a="1"/>
  <c r="AY9" i="4" a="1"/>
  <c r="AF8" i="4" a="1"/>
  <c r="BI7" i="4" a="1"/>
  <c r="DF11" i="4" a="1"/>
  <c r="Q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K11" i="2"/>
  <c r="Q46" i="2"/>
  <c r="W17" i="2"/>
  <c r="J26" i="2"/>
  <c r="J22" i="2"/>
  <c r="W30" i="2"/>
  <c r="H23" i="2"/>
  <c r="R20" i="2"/>
  <c r="R9" i="2"/>
  <c r="T9" i="2"/>
  <c r="G28" i="2"/>
  <c r="M36" i="2"/>
  <c r="G9" i="2"/>
  <c r="Q7" i="2"/>
  <c r="Q59" i="2"/>
  <c r="M24" i="2"/>
  <c r="R19" i="2"/>
  <c r="S24" i="2"/>
  <c r="S10" i="2"/>
  <c r="D14" i="2"/>
  <c r="U31" i="2"/>
  <c r="AG45" i="3"/>
  <c r="S46" i="3"/>
  <c r="E41" i="3"/>
  <c r="E32" i="3"/>
  <c r="R46" i="3"/>
  <c r="AR27" i="3"/>
  <c r="Z45" i="3"/>
  <c r="P46" i="3"/>
  <c r="AJ45" i="3"/>
  <c r="D20" i="3"/>
  <c r="U46" i="3"/>
  <c r="AR16" i="3"/>
  <c r="AF7" i="4" a="1"/>
  <c r="Z8" i="4" a="1"/>
  <c r="AO12" i="4" a="1"/>
  <c r="BI13" i="4" a="1"/>
  <c r="AK8" i="4" a="1"/>
  <c r="AI11" i="4" a="1"/>
  <c r="CF9" i="4" a="1"/>
  <c r="BG8" i="4" a="1"/>
  <c r="EG16" i="4" a="1"/>
  <c r="DF7" i="4" a="1"/>
  <c r="V12" i="4" a="1"/>
  <c r="BT9" i="4" a="1"/>
  <c r="BI6" i="4" a="1"/>
  <c r="AF9" i="4" a="1"/>
  <c r="AK6" i="4" a="1"/>
  <c r="BL8" i="4" a="1"/>
  <c r="T26" i="2"/>
  <c r="T29" i="2"/>
  <c r="P35" i="2"/>
  <c r="AR55" i="3"/>
  <c r="I34" i="2"/>
  <c r="AR12" i="3"/>
  <c r="E35" i="3"/>
  <c r="U27" i="2"/>
  <c r="K7" i="2"/>
  <c r="H26" i="2"/>
  <c r="X24" i="2"/>
  <c r="H33" i="2"/>
  <c r="AD10" i="3"/>
  <c r="E37" i="3"/>
  <c r="AR10" i="3"/>
  <c r="CY6" i="4" a="1"/>
  <c r="BV5" i="4" a="1"/>
  <c r="DH12" i="4" a="1"/>
  <c r="AE16" i="4" a="1"/>
  <c r="BI5" i="4" a="1"/>
  <c r="DP11" i="4" a="1"/>
  <c r="DK13" i="4" a="1"/>
  <c r="AY6" i="4" a="1"/>
  <c r="CA12" i="4" a="1"/>
  <c r="DF16" i="4" a="1"/>
  <c r="BM14" i="4" a="1"/>
  <c r="EI9" i="4" a="1"/>
  <c r="AT8" i="4" a="1"/>
  <c r="DX8" i="4" a="1"/>
  <c r="F15" i="4" a="1"/>
  <c r="I7" i="4" a="1"/>
  <c r="BS13" i="4" a="1"/>
  <c r="EC9" i="4" a="1"/>
  <c r="BM9" i="4" a="1"/>
  <c r="BZ13" i="4" a="1"/>
  <c r="DF14" i="4" a="1"/>
  <c r="CF11" i="4" a="1"/>
  <c r="M16" i="4" a="1"/>
  <c r="I15" i="4" a="1"/>
  <c r="DX11" i="4" a="1"/>
  <c r="EK16" i="4" a="1"/>
  <c r="Y7" i="4" a="1"/>
  <c r="DZ13" i="4" a="1"/>
  <c r="DZ9" i="4" a="1"/>
  <c r="AV12" i="4" a="1"/>
  <c r="DJ9" i="4" a="1"/>
  <c r="CQ12" i="4" a="1"/>
  <c r="DU16" i="4" a="1"/>
  <c r="CY9" i="4" a="1"/>
  <c r="CW13" i="4" a="1"/>
  <c r="AK16" i="4" a="1"/>
  <c r="EF6" i="4" a="1"/>
  <c r="DA9" i="4" a="1"/>
  <c r="N6" i="4" a="1"/>
  <c r="DD5" i="4" a="1"/>
  <c r="DL7" i="4" a="1"/>
  <c r="DV8" i="4" a="1"/>
  <c r="S5" i="4" a="1"/>
  <c r="BZ12" i="4" a="1"/>
  <c r="CG9" i="4" a="1"/>
  <c r="L14" i="4" a="1"/>
  <c r="AD15" i="4" a="1"/>
  <c r="M8" i="4" a="1"/>
  <c r="CN6" i="4" a="1"/>
  <c r="BU9" i="4" a="1"/>
  <c r="DK15" i="4" a="1"/>
  <c r="AX7" i="4" a="1"/>
  <c r="BM11" i="4" a="1"/>
  <c r="AP6" i="4" a="1"/>
  <c r="DN5" i="4" a="1"/>
  <c r="BQ13" i="4" a="1"/>
  <c r="Q7" i="4" a="1"/>
  <c r="DZ15" i="4" a="1"/>
  <c r="P15" i="4" a="1"/>
  <c r="BA12" i="4" a="1"/>
  <c r="AM16" i="4" a="1"/>
  <c r="S16" i="4" a="1"/>
  <c r="R15" i="4" a="1"/>
  <c r="AF15" i="4" a="1"/>
  <c r="CW8" i="4" a="1"/>
  <c r="L12" i="4" a="1"/>
  <c r="CE12" i="4" a="1"/>
  <c r="AF6" i="4" a="1"/>
  <c r="K13" i="4" a="1"/>
  <c r="EK11" i="4" a="1"/>
  <c r="BO6" i="4" a="1"/>
  <c r="AC7" i="4" a="1"/>
  <c r="AI12" i="4" a="1"/>
  <c r="AV13" i="4" a="1"/>
  <c r="AJ6" i="4" a="1"/>
  <c r="CH9" i="4" a="1"/>
  <c r="D5" i="4" a="1"/>
  <c r="AH14" i="4" a="1"/>
  <c r="CD11" i="4" a="1"/>
  <c r="DN14" i="4" a="1"/>
  <c r="BZ7" i="4" a="1"/>
  <c r="AE9" i="4" a="1"/>
  <c r="CC6" i="4" a="1"/>
  <c r="CD14" i="4" a="1"/>
  <c r="CG5" i="4" a="1"/>
  <c r="EE13" i="4" a="1"/>
  <c r="AD6" i="4" a="1"/>
  <c r="AP5" i="4" a="1"/>
  <c r="DT14" i="4" a="1"/>
  <c r="CR12" i="4" a="1"/>
  <c r="CX12" i="4" a="1"/>
  <c r="BF5" i="4" a="1"/>
  <c r="AG13" i="4" a="1"/>
  <c r="H16" i="4" a="1"/>
  <c r="AI6" i="4" a="1"/>
  <c r="BC7" i="4" a="1"/>
  <c r="EG8" i="4" a="1"/>
  <c r="BJ13" i="4" a="1"/>
  <c r="BR8" i="4" a="1"/>
  <c r="ED15" i="4" a="1"/>
  <c r="Z13" i="4" a="1"/>
  <c r="Q15" i="4" a="1"/>
  <c r="CR15" i="4" a="1"/>
  <c r="DJ13" i="4" a="1"/>
  <c r="O16" i="4" a="1"/>
  <c r="L8" i="4" a="1"/>
  <c r="AG5" i="4" a="1"/>
  <c r="EH11" i="4" a="1"/>
  <c r="CL8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I14" i="2"/>
  <c r="M28" i="2"/>
  <c r="O34" i="2"/>
  <c r="T8" i="2"/>
  <c r="N32" i="2"/>
  <c r="D36" i="3"/>
  <c r="E33" i="3"/>
  <c r="Q46" i="3"/>
  <c r="BN7" i="4" a="1"/>
  <c r="AG12" i="4" a="1"/>
  <c r="V15" i="4" a="1"/>
  <c r="AA12" i="4" a="1"/>
  <c r="BO12" i="4" a="1"/>
  <c r="CN7" i="4" a="1"/>
  <c r="DG5" i="4" a="1"/>
  <c r="DI13" i="4" a="1"/>
  <c r="CS12" i="4" a="1"/>
  <c r="BO13" i="4" a="1"/>
  <c r="DW15" i="4" a="1"/>
  <c r="CH6" i="4" a="1"/>
  <c r="CT15" i="4" a="1"/>
  <c r="BM16" i="4" a="1"/>
  <c r="DT16" i="4" a="1"/>
  <c r="EA7" i="4" a="1"/>
  <c r="AG14" i="4" a="1"/>
  <c r="BU14" i="4" a="1"/>
  <c r="BP12" i="4" a="1"/>
  <c r="CP9" i="4" a="1"/>
  <c r="CV14" i="4" a="1"/>
  <c r="BC13" i="4" a="1"/>
  <c r="CQ15" i="4" a="1"/>
  <c r="EF7" i="4" a="1"/>
  <c r="AI15" i="4" a="1"/>
  <c r="CN12" i="4" a="1"/>
  <c r="BP9" i="4" a="1"/>
  <c r="AT5" i="4" a="1"/>
  <c r="DB13" i="4" a="1"/>
  <c r="Q78" i="2"/>
  <c r="S19" i="2"/>
  <c r="H15" i="2"/>
  <c r="U33" i="2"/>
  <c r="E22" i="2"/>
  <c r="AA45" i="3"/>
  <c r="D8" i="3"/>
  <c r="D31" i="3"/>
  <c r="BK8" i="4" a="1"/>
  <c r="BH5" i="4" a="1"/>
  <c r="DI14" i="4" a="1"/>
  <c r="AQ13" i="4" a="1"/>
  <c r="CU8" i="4" a="1"/>
  <c r="CM13" i="4" a="1"/>
  <c r="DG16" i="4" a="1"/>
  <c r="BS16" i="4" a="1"/>
  <c r="P8" i="4" a="1"/>
  <c r="BZ11" i="4" a="1"/>
  <c r="EJ13" i="4" a="1"/>
  <c r="AU16" i="4" a="1"/>
  <c r="CK6" i="4" a="1"/>
  <c r="DM13" i="4" a="1"/>
  <c r="DW5" i="4" a="1"/>
  <c r="DK14" i="4" a="1"/>
  <c r="CI16" i="4" a="1"/>
  <c r="J14" i="4" a="1"/>
  <c r="CD9" i="4" a="1"/>
  <c r="BD12" i="4" a="1"/>
  <c r="AS8" i="4" a="1"/>
  <c r="L7" i="4" a="1"/>
  <c r="Y11" i="4" a="1"/>
  <c r="EI5" i="4" a="1"/>
  <c r="CN9" i="4" a="1"/>
  <c r="CF8" i="4" a="1"/>
  <c r="DH13" i="4" a="1"/>
  <c r="CD12" i="4" a="1"/>
  <c r="N11" i="4" a="1"/>
  <c r="DC16" i="4" a="1"/>
  <c r="V11" i="4" a="1"/>
  <c r="AY16" i="4" a="1"/>
  <c r="J13" i="4" a="1"/>
  <c r="BR15" i="4" a="1"/>
  <c r="DF9" i="4" a="1"/>
  <c r="AT13" i="4" a="1"/>
  <c r="BN8" i="4" a="1"/>
  <c r="EK14" i="4" a="1"/>
  <c r="C11" i="4" a="1"/>
  <c r="DX15" i="4" a="1"/>
  <c r="CC5" i="4" a="1"/>
  <c r="G8" i="4" a="1"/>
  <c r="C14" i="4" a="1"/>
  <c r="R7" i="4" a="1"/>
  <c r="Y14" i="4" a="1"/>
  <c r="CC7" i="4" a="1"/>
  <c r="CZ11" i="4" a="1"/>
  <c r="AS16" i="4" a="1"/>
  <c r="DR15" i="4" a="1"/>
  <c r="AD13" i="4" a="1"/>
  <c r="CW16" i="4" a="1"/>
  <c r="F5" i="4" a="1"/>
  <c r="EE9" i="4" a="1"/>
  <c r="AR6" i="4" a="1"/>
  <c r="CB6" i="4" a="1"/>
  <c r="AU14" i="4" a="1"/>
  <c r="CJ16" i="4" a="1"/>
  <c r="J11" i="4" a="1"/>
  <c r="O15" i="4" a="1"/>
  <c r="DD14" i="4" a="1"/>
  <c r="BS8" i="4" a="1"/>
  <c r="CL14" i="4" a="1"/>
  <c r="DI12" i="4" a="1"/>
  <c r="CG13" i="4" a="1"/>
  <c r="I6" i="4" a="1"/>
  <c r="K5" i="4" a="1"/>
  <c r="BG9" i="4" a="1"/>
  <c r="EK13" i="4" a="1"/>
  <c r="CU11" i="4" a="1"/>
  <c r="AP8" i="4" a="1"/>
  <c r="S13" i="4" a="1"/>
  <c r="CK12" i="4" a="1"/>
  <c r="DA5" i="4" a="1"/>
  <c r="BU5" i="4" a="1"/>
  <c r="BN14" i="4" a="1"/>
  <c r="DW12" i="4" a="1"/>
  <c r="AX5" i="4" a="1"/>
  <c r="DK8" i="4" a="1"/>
  <c r="EB12" i="4" a="1"/>
  <c r="BG13" i="4" a="1"/>
  <c r="CR11" i="4" a="1"/>
  <c r="R12" i="4" a="1"/>
  <c r="AM13" i="4" a="1"/>
  <c r="AR14" i="4" a="1"/>
  <c r="AY15" i="4" a="1"/>
  <c r="DV11" i="4" a="1"/>
  <c r="AM14" i="4" a="1"/>
  <c r="EA12" i="4" a="1"/>
  <c r="AT11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BU15" i="4" a="1"/>
  <c r="DN13" i="4" a="1"/>
  <c r="DG6" i="4" a="1"/>
  <c r="AL11" i="4" a="1"/>
  <c r="BK7" i="4" a="1"/>
  <c r="AW6" i="4" a="1"/>
  <c r="DE9" i="4" a="1"/>
  <c r="N8" i="4" a="1"/>
  <c r="BV12" i="4" a="1"/>
  <c r="AZ11" i="4" a="1"/>
  <c r="DD7" i="4" a="1"/>
  <c r="BR16" i="4" a="1"/>
  <c r="H9" i="4" a="1"/>
  <c r="AO16" i="4" a="1"/>
  <c r="BG14" i="4" a="1"/>
  <c r="EB7" i="4" a="1"/>
  <c r="BC6" i="4" a="1"/>
  <c r="DK12" i="4" a="1"/>
  <c r="O17" i="2"/>
  <c r="R8" i="2"/>
  <c r="V9" i="2"/>
  <c r="W70" i="2"/>
  <c r="D25" i="2"/>
  <c r="AC46" i="3"/>
  <c r="D27" i="3"/>
  <c r="J45" i="3"/>
  <c r="AK9" i="4" a="1"/>
  <c r="BQ7" i="4" a="1"/>
  <c r="BN16" i="4" a="1"/>
  <c r="BP11" i="4" a="1"/>
  <c r="DL13" i="4" a="1"/>
  <c r="EK8" i="4" a="1"/>
  <c r="U9" i="4" a="1"/>
  <c r="F8" i="4" a="1"/>
  <c r="DE16" i="4" a="1"/>
  <c r="DQ5" i="4" a="1"/>
  <c r="BH7" i="4" a="1"/>
  <c r="DY14" i="4" a="1"/>
  <c r="AT6" i="4" a="1"/>
  <c r="AJ9" i="4" a="1"/>
  <c r="AA16" i="4" a="1"/>
  <c r="U11" i="4" a="1"/>
  <c r="AS15" i="4" a="1"/>
  <c r="BI15" i="4" a="1"/>
  <c r="EB5" i="4" a="1"/>
  <c r="E6" i="4" a="1"/>
  <c r="DV6" i="4" a="1"/>
  <c r="AS13" i="4" a="1"/>
  <c r="BR11" i="4" a="1"/>
  <c r="DC13" i="4" a="1"/>
  <c r="EA6" i="4" a="1"/>
  <c r="AB16" i="4" a="1"/>
  <c r="DP6" i="4" a="1"/>
  <c r="I8" i="4" a="1"/>
  <c r="CM14" i="4" a="1"/>
  <c r="EE15" i="4" a="1"/>
  <c r="CG6" i="4" a="1"/>
  <c r="CU5" i="4" a="1"/>
  <c r="DJ7" i="4" a="1"/>
  <c r="DZ7" i="4" a="1"/>
  <c r="H12" i="4" a="1"/>
  <c r="EH9" i="4" a="1"/>
  <c r="DU6" i="4" a="1"/>
  <c r="BD14" i="4" a="1"/>
  <c r="DT5" i="4" a="1"/>
  <c r="M11" i="4" a="1"/>
  <c r="DD11" i="4" a="1"/>
  <c r="U7" i="4" a="1"/>
  <c r="BH8" i="4" a="1"/>
  <c r="DI15" i="4" a="1"/>
  <c r="T13" i="4" a="1"/>
  <c r="DZ8" i="4" a="1"/>
  <c r="Z6" i="4" a="1"/>
  <c r="EK7" i="4" a="1"/>
  <c r="S12" i="2"/>
  <c r="I35" i="2"/>
  <c r="V31" i="2"/>
  <c r="R26" i="2"/>
  <c r="U32" i="2"/>
  <c r="T46" i="3"/>
  <c r="AR45" i="3"/>
  <c r="E8" i="3"/>
  <c r="CM12" i="4" a="1"/>
  <c r="BD6" i="4" a="1"/>
  <c r="K15" i="4" a="1"/>
  <c r="P14" i="4" a="1"/>
  <c r="AL5" i="4" a="1"/>
  <c r="DF13" i="4" a="1"/>
  <c r="EE12" i="4" a="1"/>
  <c r="EF5" i="4" a="1"/>
  <c r="W12" i="4" a="1"/>
  <c r="CH14" i="4" a="1"/>
  <c r="CK11" i="4" a="1"/>
  <c r="BL16" i="4" a="1"/>
  <c r="BG7" i="4" a="1"/>
  <c r="U14" i="4" a="1"/>
  <c r="BV9" i="4" a="1"/>
  <c r="BX12" i="4" a="1"/>
  <c r="CB14" i="4" a="1"/>
  <c r="AN15" i="4" a="1"/>
  <c r="AQ5" i="4" a="1"/>
  <c r="F7" i="4" a="1"/>
  <c r="BG15" i="4" a="1"/>
  <c r="CR6" i="4" a="1"/>
  <c r="DM16" i="4" a="1"/>
  <c r="CL11" i="4" a="1"/>
  <c r="DG9" i="4" a="1"/>
  <c r="DC11" i="4" a="1"/>
  <c r="T15" i="4" a="1"/>
  <c r="AZ13" i="4" a="1"/>
  <c r="BP14" i="4" a="1"/>
  <c r="E8" i="4" a="1"/>
  <c r="BZ6" i="4" a="1"/>
  <c r="G9" i="4" a="1"/>
  <c r="BB9" i="4" a="1"/>
  <c r="ED7" i="4" a="1"/>
  <c r="AA7" i="4" a="1"/>
  <c r="EB15" i="4" a="1"/>
  <c r="P5" i="4" a="1"/>
  <c r="EF11" i="4" a="1"/>
  <c r="CV15" i="4" a="1"/>
  <c r="BA14" i="4" a="1"/>
  <c r="S9" i="4" a="1"/>
  <c r="J15" i="4" a="1"/>
  <c r="CY12" i="4" a="1"/>
  <c r="AR15" i="4" a="1"/>
  <c r="BX14" i="4" a="1"/>
  <c r="EH6" i="4" a="1"/>
  <c r="EG9" i="4" a="1"/>
  <c r="DH9" i="4" a="1"/>
  <c r="BM12" i="4" a="1"/>
  <c r="P13" i="4" a="1"/>
  <c r="BX7" i="4" a="1"/>
  <c r="O14" i="4" a="1"/>
  <c r="CK7" i="4" a="1"/>
  <c r="BS5" i="4" a="1"/>
  <c r="CC15" i="4" a="1"/>
  <c r="EE5" i="4" a="1"/>
  <c r="CE16" i="4" a="1"/>
  <c r="DJ12" i="4" a="1"/>
  <c r="DE5" i="4" a="1"/>
  <c r="AV7" i="4" a="1"/>
  <c r="DA16" i="4" a="1"/>
  <c r="DU12" i="4" a="1"/>
  <c r="AP12" i="4" a="1"/>
  <c r="EG15" i="4" a="1"/>
  <c r="BP13" i="4" a="1"/>
  <c r="C12" i="4" a="1"/>
  <c r="Q16" i="4" a="1"/>
  <c r="EI15" i="4" a="1"/>
  <c r="CN5" i="4" a="1"/>
  <c r="BF6" i="4" a="1"/>
  <c r="AG6" i="4" a="1"/>
  <c r="EJ8" i="4" a="1"/>
  <c r="Q11" i="4" a="1"/>
  <c r="BL6" i="4" a="1"/>
  <c r="DT15" i="4" a="1"/>
  <c r="DV13" i="4" a="1"/>
  <c r="DV14" i="4" a="1"/>
  <c r="R29" i="2"/>
  <c r="G27" i="2"/>
  <c r="M17" i="2"/>
  <c r="R22" i="2"/>
  <c r="O14" i="2"/>
  <c r="D29" i="3"/>
  <c r="AD12" i="3"/>
  <c r="D28" i="3"/>
  <c r="BV14" i="4" a="1"/>
  <c r="BZ8" i="4" a="1"/>
  <c r="EE14" i="4" a="1"/>
  <c r="AC15" i="4" a="1"/>
  <c r="DX13" i="4" a="1"/>
  <c r="CP13" i="4" a="1"/>
  <c r="AI8" i="4" a="1"/>
  <c r="CF6" i="4" a="1"/>
  <c r="CT12" i="4" a="1"/>
  <c r="EJ12" i="4" a="1"/>
  <c r="CS7" i="4" a="1"/>
  <c r="DP7" i="4" a="1"/>
  <c r="CL12" i="4" a="1"/>
  <c r="BJ6" i="4" a="1"/>
  <c r="O11" i="4" a="1"/>
  <c r="BO16" i="4" a="1"/>
  <c r="DW14" i="4" a="1"/>
  <c r="L16" i="4" a="1"/>
  <c r="BB15" i="4" a="1"/>
  <c r="EA9" i="4" a="1"/>
  <c r="AV11" i="4" a="1"/>
  <c r="L11" i="4" a="1"/>
  <c r="T9" i="4" a="1"/>
  <c r="DR6" i="4" a="1"/>
  <c r="BM5" i="4" a="1"/>
  <c r="C13" i="4" a="1"/>
  <c r="CF15" i="4" a="1"/>
  <c r="AP13" i="4" a="1"/>
  <c r="V9" i="4" a="1"/>
  <c r="AU12" i="4" a="1"/>
  <c r="S12" i="4" a="1"/>
  <c r="DO11" i="4" a="1"/>
  <c r="CT6" i="4" a="1"/>
  <c r="CJ14" i="4" a="1"/>
  <c r="DM8" i="4" a="1"/>
  <c r="CO16" i="4" a="1"/>
  <c r="DK9" i="4" a="1"/>
  <c r="DS16" i="4" a="1"/>
  <c r="W7" i="4" a="1"/>
  <c r="BH9" i="4" a="1"/>
  <c r="CS13" i="4" a="1"/>
  <c r="EA11" i="4" a="1"/>
  <c r="BV6" i="4" a="1"/>
  <c r="DR9" i="4" a="1"/>
  <c r="AQ8" i="4" a="1"/>
  <c r="DN7" i="4" a="1"/>
  <c r="EK9" i="4" a="1"/>
  <c r="CK8" i="4" a="1"/>
  <c r="DH7" i="4" a="1"/>
  <c r="CS16" i="4" a="1"/>
  <c r="ED8" i="4" a="1"/>
  <c r="AU9" i="4" a="1"/>
  <c r="CP16" i="4" a="1"/>
  <c r="S8" i="4" a="1"/>
  <c r="DM9" i="4" a="1"/>
  <c r="CY5" i="4" a="1"/>
  <c r="DI11" i="4" a="1"/>
  <c r="DU15" i="4" a="1"/>
  <c r="BA13" i="4" a="1"/>
  <c r="CU15" i="4" a="1"/>
  <c r="AN6" i="4" a="1"/>
  <c r="EB13" i="4" a="1"/>
  <c r="DE7" i="4" a="1"/>
  <c r="BI12" i="4" a="1"/>
  <c r="BW14" i="4" a="1"/>
  <c r="AQ11" i="4" a="1"/>
  <c r="CP11" i="4" a="1"/>
  <c r="AE8" i="4" a="1"/>
  <c r="AL16" i="4" a="1"/>
  <c r="Q9" i="4" a="1"/>
  <c r="K13" i="2"/>
  <c r="P13" i="2"/>
  <c r="P5" i="2"/>
  <c r="C65" i="2"/>
  <c r="N15" i="2"/>
  <c r="F12" i="3"/>
  <c r="G23" i="3"/>
  <c r="AD11" i="3"/>
  <c r="BX9" i="4" a="1"/>
  <c r="BL9" i="4" a="1"/>
  <c r="AB11" i="4" a="1"/>
  <c r="CJ9" i="4" a="1"/>
  <c r="DD13" i="4" a="1"/>
  <c r="AH5" i="4" a="1"/>
  <c r="DP12" i="4" a="1"/>
  <c r="DP5" i="4" a="1"/>
  <c r="DP15" i="4" a="1"/>
  <c r="BA6" i="4" a="1"/>
  <c r="V16" i="4" a="1"/>
  <c r="Z5" i="4" a="1"/>
  <c r="EH13" i="4" a="1"/>
  <c r="BT16" i="4" a="1"/>
  <c r="AZ12" i="4" a="1"/>
  <c r="AW5" i="4" a="1"/>
  <c r="CB12" i="4" a="1"/>
  <c r="AN9" i="4" a="1"/>
  <c r="CE13" i="4" a="1"/>
  <c r="DX5" i="4" a="1"/>
  <c r="AG16" i="4" a="1"/>
  <c r="G7" i="4" a="1"/>
  <c r="R8" i="4" a="1"/>
  <c r="N7" i="4" a="1"/>
  <c r="J12" i="4" a="1"/>
  <c r="K12" i="4" a="1"/>
  <c r="AH9" i="4" a="1"/>
  <c r="CS6" i="4" a="1"/>
  <c r="AF13" i="4" a="1"/>
  <c r="BW13" i="4" a="1"/>
  <c r="BX6" i="4" a="1"/>
  <c r="DO15" i="4" a="1"/>
  <c r="BL11" i="4" a="1"/>
  <c r="DI5" i="4" a="1"/>
  <c r="BL7" i="4" a="1"/>
  <c r="E13" i="4" a="1"/>
  <c r="CI5" i="4" a="1"/>
  <c r="EE8" i="4" a="1"/>
  <c r="EB11" i="4" a="1"/>
  <c r="O12" i="4" a="1"/>
  <c r="BE13" i="4" a="1"/>
  <c r="AW15" i="4" a="1"/>
  <c r="CV11" i="4" a="1"/>
  <c r="EF9" i="4" a="1"/>
  <c r="F14" i="4" a="1"/>
  <c r="N15" i="4" a="1"/>
  <c r="DJ11" i="4" a="1"/>
  <c r="BN12" i="4" a="1"/>
  <c r="AM8" i="4" a="1"/>
  <c r="DY7" i="4" a="1"/>
  <c r="K10" i="2"/>
  <c r="F20" i="2"/>
  <c r="T20" i="2"/>
  <c r="M31" i="2"/>
  <c r="G13" i="2"/>
  <c r="F42" i="3"/>
  <c r="AD9" i="3"/>
  <c r="ED16" i="4" a="1"/>
  <c r="AN7" i="4" a="1"/>
  <c r="AF16" i="4" a="1"/>
  <c r="AK13" i="4" a="1"/>
  <c r="DG11" i="4" a="1"/>
  <c r="C7" i="4" a="1"/>
  <c r="BO5" i="4" a="1"/>
  <c r="DU5" i="4" a="1"/>
  <c r="BK15" i="4" a="1"/>
  <c r="L5" i="4" a="1"/>
  <c r="AU7" i="4" a="1"/>
  <c r="I5" i="4" a="1"/>
  <c r="BJ16" i="4" a="1"/>
  <c r="CJ8" i="4" a="1"/>
  <c r="DI7" i="4" a="1"/>
  <c r="DE8" i="4" a="1"/>
  <c r="BP16" i="4" a="1"/>
  <c r="AK15" i="4" a="1"/>
  <c r="BW7" i="4" a="1"/>
  <c r="BC16" i="4" a="1"/>
  <c r="CA11" i="4" a="1"/>
  <c r="CH13" i="4" a="1"/>
  <c r="CK13" i="4" a="1"/>
  <c r="CD16" i="4" a="1"/>
  <c r="CP15" i="4" a="1"/>
  <c r="CQ5" i="4" a="1"/>
  <c r="CT13" i="4" a="1"/>
  <c r="AQ7" i="4" a="1"/>
  <c r="EC14" i="4" a="1"/>
  <c r="BM6" i="4" a="1"/>
  <c r="BK9" i="4" a="1"/>
  <c r="CO5" i="4" a="1"/>
  <c r="CN13" i="4" a="1"/>
  <c r="D16" i="4" a="1"/>
  <c r="H15" i="4" a="1"/>
  <c r="I9" i="4" a="1"/>
  <c r="DB6" i="4" a="1"/>
  <c r="DK6" i="4" a="1"/>
  <c r="AY14" i="4" a="1"/>
  <c r="EJ6" i="4" a="1"/>
  <c r="DQ6" i="4" a="1"/>
  <c r="BD9" i="4" a="1"/>
  <c r="CJ6" i="4" a="1"/>
  <c r="CD13" i="4" a="1"/>
  <c r="AT16" i="4" a="1"/>
  <c r="AW8" i="4" a="1"/>
  <c r="CE14" i="4" a="1"/>
  <c r="DJ5" i="4" a="1"/>
  <c r="DO13" i="4" a="1"/>
  <c r="CA7" i="4" a="1"/>
  <c r="CW6" i="4" a="1"/>
  <c r="CT16" i="4" a="1"/>
  <c r="BF16" i="4" a="1"/>
  <c r="BH13" i="4" a="1"/>
  <c r="BU11" i="4" a="1"/>
  <c r="BN5" i="4" a="1"/>
  <c r="CB16" i="4" a="1"/>
  <c r="AU6" i="4" a="1"/>
  <c r="BA8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O13" i="4" a="1"/>
  <c r="CM15" i="4" a="1"/>
  <c r="BJ8" i="4" a="1"/>
  <c r="DB12" i="4" a="1"/>
  <c r="EH7" i="4" a="1"/>
  <c r="BP15" i="4" a="1"/>
  <c r="BT15" i="4" a="1"/>
  <c r="EH8" i="4" a="1"/>
  <c r="CV13" i="4" a="1"/>
  <c r="BS11" i="4" a="1"/>
  <c r="BJ14" i="4" a="1"/>
  <c r="CO15" i="4" a="1"/>
  <c r="ED5" i="4" a="1"/>
  <c r="DS8" i="4" a="1"/>
  <c r="DT13" i="4" a="1"/>
  <c r="DW7" i="4" a="1"/>
  <c r="DW13" i="4" a="1"/>
  <c r="CQ7" i="4" a="1"/>
  <c r="EA14" i="4" a="1"/>
  <c r="K8" i="4" a="1"/>
  <c r="Q8" i="4" a="1"/>
  <c r="P12" i="4" a="1"/>
  <c r="M9" i="4" a="1"/>
  <c r="CD7" i="4" a="1"/>
  <c r="CA5" i="4" a="1"/>
  <c r="AA14" i="4" a="1"/>
  <c r="DX16" i="4" a="1"/>
  <c r="R9" i="4" a="1"/>
  <c r="BG16" i="4" a="1"/>
  <c r="V13" i="4" a="1"/>
  <c r="BT12" i="4" a="1"/>
  <c r="G13" i="4" a="1"/>
  <c r="Q14" i="2"/>
  <c r="T19" i="2"/>
  <c r="R17" i="2"/>
  <c r="E27" i="2"/>
  <c r="J46" i="3"/>
  <c r="E23" i="3"/>
  <c r="AR18" i="3"/>
  <c r="DV16" i="4" a="1"/>
  <c r="AI16" i="4" a="1"/>
  <c r="EC7" i="4" a="1"/>
  <c r="J5" i="4" a="1"/>
  <c r="AI13" i="4" a="1"/>
  <c r="EF13" i="4" a="1"/>
  <c r="DQ11" i="4" a="1"/>
  <c r="EA8" i="4" a="1"/>
  <c r="AY12" i="4" a="1"/>
  <c r="BJ9" i="4" a="1"/>
  <c r="CJ11" i="4" a="1"/>
  <c r="AK12" i="4" a="1"/>
  <c r="DO9" i="4" a="1"/>
  <c r="AR8" i="4" a="1"/>
  <c r="DP8" i="4" a="1"/>
  <c r="AB15" i="4" a="1"/>
  <c r="EG7" i="4" a="1"/>
  <c r="AH12" i="4" a="1"/>
  <c r="D7" i="2"/>
  <c r="E8" i="2"/>
  <c r="T21" i="2"/>
  <c r="F22" i="2"/>
  <c r="X46" i="3"/>
  <c r="G14" i="3"/>
  <c r="E30" i="3"/>
  <c r="DT7" i="4" a="1"/>
  <c r="BW11" i="4" a="1"/>
  <c r="BG5" i="4" a="1"/>
  <c r="R6" i="4" a="1"/>
  <c r="O7" i="4" a="1"/>
  <c r="DL11" i="4" a="1"/>
  <c r="EI6" i="4" a="1"/>
  <c r="EA15" i="4" a="1"/>
  <c r="CR9" i="4" a="1"/>
  <c r="BX5" i="4" a="1"/>
  <c r="DC15" i="4" a="1"/>
  <c r="DG14" i="4" a="1"/>
  <c r="V6" i="4" a="1"/>
  <c r="AB5" i="4" a="1"/>
  <c r="DJ16" i="4" a="1"/>
  <c r="AA13" i="4" a="1"/>
  <c r="AJ13" i="4" a="1"/>
  <c r="DB7" i="4" a="1"/>
  <c r="DT11" i="4" a="1"/>
  <c r="AS5" i="4" a="1"/>
  <c r="P6" i="4" a="1"/>
  <c r="BW6" i="4" a="1"/>
  <c r="U6" i="4" a="1"/>
  <c r="AZ9" i="4" a="1"/>
  <c r="G6" i="4" a="1"/>
  <c r="CF13" i="4" a="1"/>
  <c r="AC5" i="4" a="1"/>
  <c r="DD6" i="4" a="1"/>
  <c r="ED11" i="4" a="1"/>
  <c r="DA12" i="4" a="1"/>
  <c r="DY5" i="4" a="1"/>
  <c r="X14" i="4" a="1"/>
  <c r="BQ16" i="4" a="1"/>
  <c r="DN8" i="4" a="1"/>
  <c r="AB14" i="4" a="1"/>
  <c r="O9" i="4" a="1"/>
  <c r="Z9" i="4" a="1"/>
  <c r="CU14" i="4" a="1"/>
  <c r="X11" i="4" a="1"/>
  <c r="CX16" i="4" a="1"/>
  <c r="S7" i="4" a="1"/>
  <c r="CX5" i="4" a="1"/>
  <c r="EC5" i="4" a="1"/>
  <c r="DH5" i="4" a="1"/>
  <c r="CH16" i="4" a="1"/>
  <c r="CB8" i="4" a="1"/>
  <c r="E15" i="4" a="1"/>
  <c r="AX12" i="4" a="1"/>
  <c r="CK9" i="4" a="1"/>
  <c r="EI8" i="4" a="1"/>
  <c r="DQ12" i="4" a="1"/>
  <c r="M15" i="4" a="1"/>
  <c r="CX9" i="4" a="1"/>
  <c r="AN5" i="4" a="1"/>
  <c r="CU12" i="4" a="1"/>
  <c r="DW11" i="4" a="1"/>
  <c r="EG11" i="4" a="1"/>
  <c r="DW9" i="4" a="1"/>
  <c r="DS15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CX6" i="4" a="1"/>
  <c r="BY5" i="4" a="1"/>
  <c r="BH14" i="4" a="1"/>
  <c r="BS12" i="4" a="1"/>
  <c r="CM7" i="4" a="1"/>
  <c r="DV15" i="4" a="1"/>
  <c r="AE12" i="4" a="1"/>
  <c r="BC8" i="4" a="1"/>
  <c r="BM13" i="4" a="1"/>
  <c r="AA11" i="4" a="1"/>
  <c r="M6" i="4" a="1"/>
  <c r="CG7" i="4" a="1"/>
  <c r="CK5" i="4" a="1"/>
  <c r="AS9" i="4" a="1"/>
  <c r="AO9" i="4" a="1"/>
  <c r="AX13" i="4" a="1"/>
  <c r="AR9" i="4" a="1"/>
  <c r="DM11" i="4" a="1"/>
  <c r="AR16" i="4" a="1"/>
  <c r="BA15" i="4" a="1"/>
  <c r="CR16" i="4" a="1"/>
  <c r="BC14" i="4" a="1"/>
  <c r="DS13" i="4" a="1"/>
  <c r="U8" i="4" a="1"/>
  <c r="DX9" i="4" a="1"/>
  <c r="EC12" i="4" a="1"/>
  <c r="BB5" i="4" a="1"/>
  <c r="BR14" i="4" a="1"/>
  <c r="CT9" i="4" a="1"/>
  <c r="H5" i="4" a="1"/>
  <c r="AJ8" i="4" a="1"/>
  <c r="DJ8" i="4" a="1"/>
  <c r="AS14" i="4" a="1"/>
  <c r="DX14" i="4" a="1"/>
  <c r="BG6" i="4" a="1"/>
  <c r="BB12" i="4" a="1"/>
  <c r="AW13" i="4" a="1"/>
  <c r="P36" i="2"/>
  <c r="M13" i="2"/>
  <c r="L5" i="2"/>
  <c r="V8" i="2"/>
  <c r="AR22" i="3"/>
  <c r="D10" i="3"/>
  <c r="G12" i="3"/>
  <c r="CX7" i="4" a="1"/>
  <c r="DL15" i="4" a="1"/>
  <c r="CQ14" i="4" a="1"/>
  <c r="AR29" i="3"/>
  <c r="EE16" i="4" a="1"/>
  <c r="CV5" i="4" a="1"/>
  <c r="BT6" i="4" a="1"/>
  <c r="AW9" i="4" a="1"/>
  <c r="AV6" i="4" a="1"/>
  <c r="AE14" i="4" a="1"/>
  <c r="H8" i="4" a="1"/>
  <c r="AH16" i="4" a="1"/>
  <c r="EI7" i="4" a="1"/>
  <c r="CK16" i="4" a="1"/>
  <c r="EC6" i="4" a="1"/>
  <c r="AJ15" i="4" a="1"/>
  <c r="BY12" i="4" a="1"/>
  <c r="W14" i="4" a="1"/>
  <c r="DS14" i="4" a="1"/>
  <c r="CI7" i="4" a="1"/>
  <c r="AV8" i="4" a="1"/>
  <c r="DO8" i="4" a="1"/>
  <c r="DR8" i="4" a="1"/>
  <c r="CA16" i="4" a="1"/>
  <c r="CH11" i="4" a="1"/>
  <c r="BO7" i="4" a="1"/>
  <c r="AF5" i="4" a="1"/>
  <c r="DS7" i="4" a="1"/>
  <c r="CX13" i="4" a="1"/>
  <c r="Q6" i="4" a="1"/>
  <c r="EE7" i="4" a="1"/>
  <c r="DH11" i="4" a="1"/>
  <c r="G5" i="4" a="1"/>
  <c r="DM7" i="4" a="1"/>
  <c r="DK11" i="4" a="1"/>
  <c r="AW12" i="4" a="1"/>
  <c r="U15" i="4" a="1"/>
  <c r="AO13" i="4" a="1"/>
  <c r="CG11" i="4" a="1"/>
  <c r="AQ14" i="4" a="1"/>
  <c r="EF12" i="4" a="1"/>
  <c r="G15" i="4" a="1"/>
  <c r="CY7" i="4" a="1"/>
  <c r="DI6" i="4" a="1"/>
  <c r="BH11" i="4" a="1"/>
  <c r="CQ9" i="4" a="1"/>
  <c r="DA15" i="4" a="1"/>
  <c r="CM5" i="4" a="1"/>
  <c r="DO7" i="4" a="1"/>
  <c r="CE6" i="4" a="1"/>
  <c r="CR8" i="4" a="1"/>
  <c r="CW9" i="4" a="1"/>
  <c r="BO9" i="4" a="1"/>
  <c r="CW11" i="4" a="1"/>
  <c r="CX8" i="4" a="1"/>
  <c r="AB7" i="4" a="1"/>
  <c r="CC12" i="4" a="1"/>
  <c r="DU14" i="4" a="1"/>
  <c r="L15" i="4" a="1"/>
  <c r="AO6" i="4" a="1"/>
  <c r="AN14" i="4" a="1"/>
  <c r="AO15" i="4" a="1"/>
  <c r="BW5" i="4" a="1"/>
  <c r="Z11" i="4" a="1"/>
  <c r="DS11" i="4" a="1"/>
  <c r="T11" i="4" a="1"/>
  <c r="DH16" i="4" a="1"/>
  <c r="AL14" i="4" a="1"/>
  <c r="DD16" i="4" a="1"/>
  <c r="DY6" i="4" a="1"/>
  <c r="BQ14" i="4" a="1"/>
  <c r="BF8" i="4" a="1"/>
  <c r="DD12" i="4" a="1"/>
  <c r="AQ6" i="4" a="1"/>
  <c r="AZ7" i="4" a="1"/>
  <c r="BQ11" i="4" a="1"/>
  <c r="CW12" i="4" a="1"/>
  <c r="CV9" i="4" a="1"/>
  <c r="AJ5" i="4" a="1"/>
  <c r="E12" i="4" a="1"/>
  <c r="M12" i="4" a="1"/>
  <c r="EF8" i="4" a="1"/>
  <c r="DU13" i="4" a="1"/>
  <c r="AA15" i="4" a="1"/>
  <c r="CV16" i="4" a="1"/>
  <c r="BD13" i="4" a="1"/>
  <c r="BY6" i="4" a="1"/>
  <c r="AJ11" i="4" a="1"/>
  <c r="W16" i="4" a="1"/>
  <c r="DL8" i="4" a="1"/>
  <c r="CG15" i="4" a="1"/>
  <c r="CO12" i="4" a="1"/>
  <c r="EG13" i="4" a="1"/>
  <c r="EB9" i="4" a="1"/>
  <c r="AS12" i="4" a="1"/>
  <c r="CO14" i="4" a="1"/>
  <c r="E5" i="4" a="1"/>
  <c r="CJ15" i="4" a="1"/>
  <c r="DI9" i="4" a="1"/>
  <c r="BW8" i="4" a="1"/>
  <c r="T14" i="4" a="1"/>
  <c r="U13" i="4" a="1"/>
  <c r="X15" i="4" a="1"/>
  <c r="AL13" i="4" a="1"/>
  <c r="L13" i="4" a="1"/>
  <c r="W9" i="4" a="1"/>
  <c r="AW11" i="4" a="1"/>
  <c r="DS9" i="4" a="1"/>
  <c r="EF16" i="4" a="1"/>
  <c r="CY11" i="4" a="1"/>
  <c r="BE16" i="4" a="1"/>
  <c r="E7" i="4" a="1"/>
  <c r="AT12" i="4" a="1"/>
  <c r="N5" i="4" a="1"/>
  <c r="DN11" i="4" a="1"/>
  <c r="CA13" i="4" a="1"/>
  <c r="DF8" i="4" a="1"/>
  <c r="AC13" i="4" a="1"/>
  <c r="DE6" i="4" a="1"/>
  <c r="CF5" i="4" a="1"/>
  <c r="BX15" i="4" a="1"/>
  <c r="CC9" i="4" a="1"/>
  <c r="BI11" i="4" a="1"/>
  <c r="BM7" i="4" a="1"/>
  <c r="BB7" i="4" a="1"/>
  <c r="DZ5" i="4" a="1"/>
  <c r="M13" i="4" a="1"/>
  <c r="DV9" i="4" a="1"/>
  <c r="DW8" i="4" a="1"/>
  <c r="DZ12" i="4" a="1"/>
  <c r="W6" i="4" a="1"/>
  <c r="AE13" i="4" a="1"/>
  <c r="EC13" i="4" a="1"/>
  <c r="DM14" i="4" a="1"/>
  <c r="V5" i="4" a="1"/>
  <c r="F9" i="4" a="1"/>
  <c r="BE9" i="4" a="1"/>
  <c r="BL14" i="4" a="1"/>
  <c r="BN13" i="4" a="1"/>
  <c r="S14" i="4" a="1"/>
  <c r="DB9" i="4" a="1"/>
  <c r="H11" i="4" a="1"/>
  <c r="BP6" i="4" a="1"/>
  <c r="CX11" i="4" a="1"/>
  <c r="BX11" i="4" a="1"/>
  <c r="BD7" i="4" a="1"/>
  <c r="EH14" i="4" a="1"/>
  <c r="AT7" i="4" a="1"/>
  <c r="DW16" i="4" a="1"/>
  <c r="AR12" i="4" a="1"/>
  <c r="AP7" i="4" a="1"/>
  <c r="AH6" i="4" a="1"/>
  <c r="CM9" i="4" a="1"/>
  <c r="AL9" i="4" a="1"/>
  <c r="ED13" i="4" a="1"/>
  <c r="CZ6" i="4" a="1"/>
  <c r="E11" i="4" a="1"/>
  <c r="DT8" i="4" a="1"/>
  <c r="AI5" i="4" a="1"/>
  <c r="BR6" i="4" a="1"/>
  <c r="AA8" i="4" a="1"/>
  <c r="Y9" i="4" a="1"/>
  <c r="CR7" i="4" a="1"/>
  <c r="CP5" i="4" a="1"/>
  <c r="DY9" i="4" a="1"/>
  <c r="AE5" i="4" a="1"/>
  <c r="DB11" i="4" a="1"/>
  <c r="AN16" i="4" a="1"/>
  <c r="EJ9" i="4" a="1"/>
  <c r="DR13" i="4" a="1"/>
  <c r="S6" i="4" a="1"/>
  <c r="EH12" i="4" a="1"/>
  <c r="DP13" i="4" a="1"/>
  <c r="CC13" i="4" a="1"/>
  <c r="CA6" i="4" a="1"/>
  <c r="DA13" i="4" a="1"/>
  <c r="AR7" i="4" a="1"/>
  <c r="BH15" i="4" a="1"/>
  <c r="CL7" i="4" a="1"/>
  <c r="O5" i="4" a="1"/>
  <c r="BD8" i="4" a="1"/>
  <c r="CI9" i="4" a="1"/>
  <c r="K11" i="4" a="1"/>
  <c r="BO11" i="4" a="1"/>
  <c r="BK16" i="4" a="1"/>
  <c r="DY13" i="4" a="1"/>
  <c r="AO8" i="4" a="1"/>
  <c r="D68" i="3"/>
  <c r="D95" i="3"/>
  <c r="G55" i="3"/>
  <c r="E55" i="3"/>
  <c r="D93" i="3"/>
  <c r="AD72" i="3"/>
  <c r="G54" i="3"/>
  <c r="E84" i="3"/>
  <c r="E74" i="3"/>
  <c r="D66" i="3"/>
  <c r="AD79" i="3"/>
  <c r="E82" i="3"/>
  <c r="G63" i="3"/>
  <c r="D88" i="3"/>
  <c r="E62" i="3"/>
  <c r="E57" i="3"/>
  <c r="AD66" i="3"/>
  <c r="G58" i="3"/>
  <c r="E69" i="3"/>
  <c r="E64" i="3"/>
  <c r="D73" i="3"/>
  <c r="AD70" i="3"/>
  <c r="G77" i="3"/>
  <c r="E90" i="3"/>
  <c r="D69" i="3"/>
  <c r="AD84" i="3"/>
  <c r="AD69" i="3"/>
  <c r="G75" i="3"/>
  <c r="E68" i="3"/>
  <c r="E94" i="3"/>
  <c r="AD85" i="3"/>
  <c r="E95" i="3"/>
  <c r="AD97" i="3"/>
  <c r="E61" i="3"/>
  <c r="D83" i="3"/>
  <c r="G85" i="3"/>
  <c r="G74" i="3"/>
  <c r="D65" i="3"/>
  <c r="G62" i="3"/>
  <c r="AD67" i="3"/>
  <c r="D82" i="3"/>
  <c r="G90" i="3"/>
  <c r="D64" i="3"/>
  <c r="G92" i="3"/>
  <c r="E75" i="3"/>
  <c r="E96" i="3"/>
  <c r="AD82" i="3"/>
  <c r="G94" i="3"/>
  <c r="D79" i="3"/>
  <c r="G93" i="3"/>
  <c r="G97" i="3"/>
  <c r="E70" i="3"/>
  <c r="E83" i="3"/>
  <c r="D91" i="3"/>
  <c r="G78" i="3"/>
  <c r="AD64" i="3"/>
  <c r="D76" i="3"/>
  <c r="G56" i="3"/>
  <c r="G82" i="3"/>
  <c r="AD90" i="3"/>
  <c r="E60" i="3"/>
  <c r="AD75" i="3"/>
  <c r="E93" i="3"/>
  <c r="D55" i="3"/>
  <c r="AD96" i="3"/>
  <c r="E54" i="3"/>
  <c r="AD65" i="3"/>
  <c r="G65" i="3"/>
  <c r="E81" i="3"/>
  <c r="D74" i="3"/>
  <c r="G76" i="3"/>
  <c r="D78" i="3"/>
  <c r="G72" i="3"/>
  <c r="D71" i="3"/>
  <c r="AD94" i="3"/>
  <c r="G68" i="3"/>
  <c r="D96" i="3"/>
  <c r="D87" i="3"/>
  <c r="AD59" i="3"/>
  <c r="G95" i="3"/>
  <c r="D62" i="3"/>
  <c r="G83" i="3"/>
  <c r="AD63" i="3"/>
  <c r="AD80" i="3"/>
  <c r="E97" i="3"/>
  <c r="G61" i="3"/>
  <c r="G64" i="3"/>
  <c r="G96" i="3"/>
  <c r="G59" i="3"/>
  <c r="D97" i="3"/>
  <c r="D60" i="3"/>
  <c r="D72" i="3"/>
  <c r="AD86" i="3"/>
  <c r="G80" i="3"/>
  <c r="D81" i="3"/>
  <c r="G81" i="3"/>
  <c r="G69" i="3"/>
  <c r="AD83" i="3"/>
  <c r="E79" i="3"/>
  <c r="AD68" i="3"/>
  <c r="E66" i="3"/>
  <c r="D94" i="3"/>
  <c r="E92" i="3"/>
  <c r="D63" i="3"/>
  <c r="G60" i="3"/>
  <c r="AD56" i="3"/>
  <c r="AD89" i="3"/>
  <c r="G86" i="3"/>
  <c r="E86" i="3"/>
  <c r="D70" i="3"/>
  <c r="G87" i="3"/>
  <c r="D75" i="3"/>
  <c r="G70" i="3"/>
  <c r="AD92" i="3"/>
  <c r="AD74" i="3"/>
  <c r="E78" i="3"/>
  <c r="G88" i="3"/>
  <c r="AD76" i="3"/>
  <c r="G89" i="3"/>
  <c r="E91" i="3"/>
  <c r="G73" i="3"/>
  <c r="AD60" i="3"/>
  <c r="AD57" i="3"/>
  <c r="G71" i="3"/>
  <c r="D56" i="3"/>
  <c r="AD78" i="3"/>
  <c r="E56" i="3"/>
  <c r="G67" i="3"/>
  <c r="AD95" i="3"/>
  <c r="AD62" i="3"/>
  <c r="AD71" i="3"/>
  <c r="D54" i="3"/>
  <c r="E73" i="3"/>
  <c r="AD91" i="3"/>
  <c r="G79" i="3"/>
  <c r="G66" i="3"/>
  <c r="E59" i="3"/>
  <c r="E80" i="3"/>
  <c r="E87" i="3"/>
  <c r="D90" i="3"/>
  <c r="E89" i="3"/>
  <c r="E85" i="3"/>
  <c r="AD54" i="3"/>
  <c r="G91" i="3"/>
  <c r="E72" i="3"/>
  <c r="E77" i="3"/>
  <c r="E71" i="3"/>
  <c r="E58" i="3"/>
  <c r="E67" i="3"/>
  <c r="D58" i="3"/>
  <c r="G57" i="3"/>
  <c r="AD93" i="3"/>
  <c r="E76" i="3"/>
  <c r="D59" i="3"/>
  <c r="G84" i="3"/>
  <c r="D80" i="3"/>
  <c r="AD61" i="3"/>
  <c r="AD87" i="3"/>
  <c r="E63" i="3"/>
  <c r="AD77" i="3"/>
  <c r="E65" i="3"/>
  <c r="E88" i="3"/>
  <c r="F79" i="3" l="1"/>
  <c r="F89" i="3"/>
  <c r="F66" i="3"/>
  <c r="F77" i="3"/>
  <c r="F69" i="3"/>
  <c r="F62" i="3"/>
  <c r="F85" i="3"/>
  <c r="F57" i="3"/>
  <c r="F90" i="3"/>
  <c r="F84" i="3"/>
  <c r="F47" i="3"/>
  <c r="F72" i="3"/>
  <c r="F48" i="3"/>
  <c r="F67" i="3"/>
  <c r="F73" i="3"/>
  <c r="F68" i="3"/>
  <c r="F70" i="3"/>
  <c r="F95" i="3"/>
  <c r="F50" i="3"/>
  <c r="F80" i="3"/>
  <c r="F49" i="3"/>
  <c r="F91" i="3"/>
  <c r="F86" i="3"/>
  <c r="F96" i="3"/>
  <c r="F83" i="3"/>
  <c r="F87" i="3"/>
  <c r="F78" i="3"/>
  <c r="F94" i="3"/>
  <c r="F59" i="3"/>
  <c r="F65" i="3"/>
  <c r="F56" i="3"/>
  <c r="F71" i="3"/>
  <c r="F64" i="3"/>
  <c r="F60" i="3"/>
  <c r="F61" i="3"/>
  <c r="F93" i="3"/>
  <c r="F88" i="3"/>
  <c r="F76" i="3"/>
  <c r="F55" i="3"/>
  <c r="F54" i="3"/>
  <c r="F97" i="3"/>
  <c r="F81" i="3"/>
  <c r="F58" i="3"/>
  <c r="F63" i="3"/>
  <c r="D92" i="3"/>
  <c r="AD55" i="3"/>
  <c r="AD81" i="3"/>
  <c r="D77" i="3"/>
  <c r="D85" i="3"/>
  <c r="D57" i="3"/>
  <c r="D84" i="3"/>
  <c r="D89" i="3"/>
  <c r="D67" i="3"/>
  <c r="D61" i="3"/>
  <c r="AD88" i="3"/>
  <c r="AD73" i="3"/>
  <c r="AD58" i="3"/>
  <c r="D86" i="3"/>
  <c r="F75" i="3"/>
  <c r="F74" i="3"/>
  <c r="AL151" i="1" s="1"/>
  <c r="AM151" i="1" s="1"/>
  <c r="F82" i="3"/>
  <c r="AL159" i="1" s="1"/>
  <c r="F92" i="3"/>
  <c r="AL169" i="1" s="1"/>
  <c r="AM169" i="1" s="1"/>
  <c r="II16" i="4" s="1"/>
  <c r="IQ9" i="4" s="1"/>
  <c r="JE9" i="4" s="1"/>
  <c r="IG9" i="4" s="1"/>
  <c r="HP9" i="4" s="1"/>
  <c r="JD9" i="4" s="1"/>
  <c r="IO9" i="4" s="1"/>
  <c r="IG16" i="4" s="1"/>
  <c r="JC9" i="4" s="1"/>
  <c r="JF9" i="4" s="1"/>
  <c r="IX16" i="4" s="1"/>
  <c r="JG16" i="4" s="1"/>
  <c r="BX53" i="1"/>
  <c r="AM28" i="1"/>
  <c r="AJ27" i="1"/>
  <c r="L38" i="1"/>
  <c r="IT16" i="4" s="1"/>
  <c r="IC9" i="4" s="1"/>
  <c r="IA9" i="4" s="1"/>
  <c r="IV9" i="4" s="1"/>
  <c r="IV16" i="4" s="1"/>
  <c r="HS9" i="4" s="1"/>
  <c r="IK16" i="4" s="1"/>
  <c r="IZ16" i="4" s="1"/>
  <c r="IT9" i="4" s="1"/>
  <c r="IT21" i="4" s="1"/>
  <c r="BN91" i="1" s="1"/>
  <c r="AM37" i="1"/>
  <c r="C23" i="1"/>
  <c r="JD16" i="4" s="1"/>
  <c r="BX39" i="1"/>
  <c r="AK49" i="1"/>
  <c r="D46" i="1"/>
  <c r="Q35" i="1"/>
  <c r="S36" i="1"/>
  <c r="P34" i="1"/>
  <c r="HT9" i="4" s="1"/>
  <c r="IM9" i="4" s="1"/>
  <c r="IO14" i="4" s="1"/>
  <c r="HQ9" i="4" s="1"/>
  <c r="II9" i="4" s="1"/>
  <c r="AL65" i="1"/>
  <c r="F38" i="1"/>
  <c r="HY16" i="4" s="1"/>
  <c r="IL16" i="4" s="1"/>
  <c r="BJ29" i="1"/>
  <c r="AM49" i="1"/>
  <c r="AL28" i="1"/>
  <c r="M37" i="1"/>
  <c r="O38" i="1"/>
  <c r="J38" i="1"/>
  <c r="JA9" i="4" s="1"/>
  <c r="JI9" i="4" s="1"/>
  <c r="IH9" i="4" s="1"/>
  <c r="JC16" i="4" s="1"/>
  <c r="IS16" i="4" s="1"/>
  <c r="HR16" i="4" s="1"/>
  <c r="AJ46" i="1"/>
  <c r="AJ208" i="1" s="1"/>
  <c r="BJ28" i="1"/>
  <c r="AJ53" i="1"/>
  <c r="N34" i="1"/>
  <c r="L35" i="1"/>
  <c r="F46" i="1"/>
  <c r="F208" i="1" s="1"/>
  <c r="Q61" i="1"/>
  <c r="IW16" i="4" s="1"/>
  <c r="IV15" i="4" s="1"/>
  <c r="IF9" i="4" s="1"/>
  <c r="IY9" i="4" s="1"/>
  <c r="JA16" i="4" s="1"/>
  <c r="HP7" i="4" s="1"/>
  <c r="T59" i="1"/>
  <c r="H65" i="1"/>
  <c r="R29" i="1"/>
  <c r="JH9" i="4" s="1"/>
  <c r="HW16" i="4" s="1"/>
  <c r="C50" i="1"/>
  <c r="N35" i="1"/>
  <c r="IV8" i="4" s="1"/>
  <c r="IC14" i="4" s="1"/>
  <c r="IJ14" i="4" s="1"/>
  <c r="IL8" i="4" s="1"/>
  <c r="HS15" i="4" s="1"/>
  <c r="JG9" i="4" s="1"/>
  <c r="JC15" i="4" s="1"/>
  <c r="IC16" i="4" s="1"/>
  <c r="JE15" i="4" s="1"/>
  <c r="IE16" i="4" s="1"/>
  <c r="IQ16" i="4" s="1"/>
  <c r="IY16" i="4" s="1"/>
  <c r="T60" i="1"/>
  <c r="G37" i="1"/>
  <c r="R36" i="1"/>
  <c r="P174" i="1"/>
  <c r="M59" i="1"/>
  <c r="H34" i="1"/>
  <c r="HS16" i="4" s="1"/>
  <c r="IA16" i="4" s="1"/>
  <c r="IW9" i="4" s="1"/>
  <c r="IZ9" i="4" s="1"/>
  <c r="JI16" i="4" s="1"/>
  <c r="BX27" i="1"/>
  <c r="BJ27" i="1"/>
  <c r="G60" i="1"/>
  <c r="J23" i="1"/>
  <c r="T46" i="1"/>
  <c r="T208" i="1" s="1"/>
  <c r="AK60" i="1"/>
  <c r="BX28" i="1"/>
  <c r="O65" i="1"/>
  <c r="S61" i="1"/>
  <c r="IL9" i="4" s="1"/>
  <c r="IP9" i="4" s="1"/>
  <c r="BX34" i="1"/>
  <c r="AJ23" i="1"/>
  <c r="C34" i="1"/>
  <c r="Q36" i="1"/>
  <c r="P23" i="1"/>
  <c r="G49" i="1"/>
  <c r="V53" i="1"/>
  <c r="V35" i="1"/>
  <c r="J27" i="1"/>
  <c r="IU16" i="4" s="1"/>
  <c r="IN16" i="4" s="1"/>
  <c r="HW9" i="4" s="1"/>
  <c r="IR16" i="4" s="1"/>
  <c r="IE9" i="4" s="1"/>
  <c r="HP16" i="4" s="1"/>
  <c r="AL59" i="1"/>
  <c r="BX29" i="1"/>
  <c r="AJ34" i="1"/>
  <c r="B29" i="1"/>
  <c r="L53" i="1"/>
  <c r="D23" i="1"/>
  <c r="U27" i="1"/>
  <c r="B34" i="1"/>
  <c r="L59" i="1"/>
  <c r="M36" i="1"/>
  <c r="F59" i="1"/>
  <c r="N29" i="1"/>
  <c r="J59" i="1"/>
  <c r="E173" i="1"/>
  <c r="HZ16" i="4" s="1"/>
  <c r="HQ16" i="4" s="1"/>
  <c r="HQ21" i="4" s="1"/>
  <c r="AK91" i="1" s="1"/>
  <c r="JB16" i="4" s="1"/>
  <c r="HR9" i="4" s="1"/>
  <c r="IF15" i="4" s="1"/>
  <c r="AL61" i="1"/>
  <c r="AK53" i="1"/>
  <c r="AJ22" i="1"/>
  <c r="AJ245" i="1" s="1"/>
  <c r="AK23" i="1"/>
  <c r="B53" i="1"/>
  <c r="W61" i="1"/>
  <c r="U36" i="1"/>
  <c r="F27" i="1"/>
  <c r="G27" i="1"/>
  <c r="W146" i="1"/>
  <c r="R37" i="1"/>
  <c r="M60" i="1"/>
  <c r="N50" i="1"/>
  <c r="N22" i="1"/>
  <c r="N245" i="1" s="1"/>
  <c r="P39" i="1"/>
  <c r="Q49" i="1"/>
  <c r="U49" i="1"/>
  <c r="C61" i="1"/>
  <c r="D36" i="1"/>
  <c r="B22" i="1"/>
  <c r="N59" i="1"/>
  <c r="IE14" i="4" s="1"/>
  <c r="II7" i="4" s="1"/>
  <c r="IJ9" i="4" s="1"/>
  <c r="BJ34" i="1"/>
  <c r="AM38" i="1"/>
  <c r="BJ38" i="1"/>
  <c r="AL23" i="1"/>
  <c r="U37" i="1"/>
  <c r="J37" i="1"/>
  <c r="J46" i="1"/>
  <c r="J208" i="1" s="1"/>
  <c r="BX178" i="1"/>
  <c r="BY178" i="1" s="1"/>
  <c r="Q27" i="1"/>
  <c r="D39" i="1"/>
  <c r="BY87" i="1"/>
  <c r="Q46" i="1"/>
  <c r="Q208" i="1" s="1"/>
  <c r="D49" i="1"/>
  <c r="W53" i="1"/>
  <c r="F65" i="1"/>
  <c r="P46" i="1"/>
  <c r="P208" i="1" s="1"/>
  <c r="K36" i="1"/>
  <c r="Q38" i="1"/>
  <c r="S37" i="1"/>
  <c r="N36" i="1"/>
  <c r="U65" i="1"/>
  <c r="T36" i="1"/>
  <c r="HV16" i="4" s="1"/>
  <c r="JF16" i="4" s="1"/>
  <c r="AL34" i="1"/>
  <c r="AJ28" i="1"/>
  <c r="F39" i="1"/>
  <c r="L22" i="1"/>
  <c r="L245" i="1" s="1"/>
  <c r="E34" i="1"/>
  <c r="BX173" i="1"/>
  <c r="E59" i="1"/>
  <c r="BX146" i="1"/>
  <c r="L23" i="1"/>
  <c r="E36" i="1"/>
  <c r="G46" i="1"/>
  <c r="G208" i="1" s="1"/>
  <c r="I23" i="1"/>
  <c r="M34" i="1"/>
  <c r="N37" i="1"/>
  <c r="O23" i="1"/>
  <c r="P22" i="1"/>
  <c r="P267" i="1" s="1"/>
  <c r="IB16" i="4" s="1"/>
  <c r="IB9" i="4" s="1"/>
  <c r="IB21" i="4" s="1"/>
  <c r="AV91" i="1" s="1"/>
  <c r="AL36" i="1"/>
  <c r="AK34" i="1"/>
  <c r="AM22" i="1"/>
  <c r="AM245" i="1" s="1"/>
  <c r="AK36" i="1"/>
  <c r="AM35" i="1"/>
  <c r="BX159" i="1"/>
  <c r="H38" i="1"/>
  <c r="J39" i="1"/>
  <c r="BX136" i="1"/>
  <c r="BY136" i="1" s="1"/>
  <c r="O50" i="1"/>
  <c r="H50" i="1"/>
  <c r="F34" i="1"/>
  <c r="V65" i="1"/>
  <c r="T53" i="1"/>
  <c r="W27" i="1"/>
  <c r="T61" i="1"/>
  <c r="HX16" i="4" s="1"/>
  <c r="AL60" i="1"/>
  <c r="AJ60" i="1"/>
  <c r="BX46" i="1"/>
  <c r="BX208" i="1" s="1"/>
  <c r="AK65" i="1"/>
  <c r="AJ38" i="1"/>
  <c r="AK61" i="1"/>
  <c r="AK50" i="1"/>
  <c r="V36" i="1"/>
  <c r="L27" i="1"/>
  <c r="D29" i="1"/>
  <c r="K39" i="1"/>
  <c r="U39" i="1"/>
  <c r="I36" i="1"/>
  <c r="M46" i="1"/>
  <c r="M208" i="1" s="1"/>
  <c r="N23" i="1"/>
  <c r="E38" i="1"/>
  <c r="ID15" i="4" s="1"/>
  <c r="IM16" i="4" s="1"/>
  <c r="JH15" i="4" s="1"/>
  <c r="HV9" i="4" s="1"/>
  <c r="BX60" i="1"/>
  <c r="AM36" i="1"/>
  <c r="BX38" i="1"/>
  <c r="AL50" i="1"/>
  <c r="BX59" i="1"/>
  <c r="W29" i="1"/>
  <c r="P167" i="1"/>
  <c r="H27" i="1"/>
  <c r="BX166" i="1"/>
  <c r="BY166" i="1" s="1"/>
  <c r="P169" i="1"/>
  <c r="I27" i="1"/>
  <c r="S27" i="1"/>
  <c r="I59" i="1"/>
  <c r="H23" i="1"/>
  <c r="E61" i="1"/>
  <c r="Q34" i="1"/>
  <c r="H35" i="1"/>
  <c r="K35" i="1"/>
  <c r="F49" i="1"/>
  <c r="L34" i="1"/>
  <c r="AK59" i="1"/>
  <c r="K46" i="1"/>
  <c r="K208" i="1" s="1"/>
  <c r="G65" i="1"/>
  <c r="J34" i="1"/>
  <c r="D35" i="1"/>
  <c r="N49" i="1"/>
  <c r="K22" i="1"/>
  <c r="K245" i="1" s="1"/>
  <c r="O59" i="1"/>
  <c r="C60" i="1"/>
  <c r="F50" i="1"/>
  <c r="T38" i="1"/>
  <c r="M65" i="1"/>
  <c r="R35" i="1"/>
  <c r="K60" i="1"/>
  <c r="K49" i="1"/>
  <c r="E49" i="1"/>
  <c r="V29" i="1"/>
  <c r="H36" i="1"/>
  <c r="J35" i="1"/>
  <c r="O49" i="1"/>
  <c r="T27" i="1"/>
  <c r="T50" i="1"/>
  <c r="S29" i="1"/>
  <c r="E22" i="1"/>
  <c r="E245" i="1" s="1"/>
  <c r="Q60" i="1"/>
  <c r="J60" i="1"/>
  <c r="P141" i="1"/>
  <c r="C59" i="1"/>
  <c r="M27" i="1"/>
  <c r="F35" i="1"/>
  <c r="C36" i="1"/>
  <c r="W36" i="1"/>
  <c r="S65" i="1"/>
  <c r="IV7" i="4" s="1"/>
  <c r="HU16" i="4" s="1"/>
  <c r="AL46" i="1"/>
  <c r="AL208" i="1" s="1"/>
  <c r="BX49" i="1"/>
  <c r="AM23" i="1"/>
  <c r="AL38" i="1"/>
  <c r="AK28" i="1"/>
  <c r="BX37" i="1"/>
  <c r="AM27" i="1"/>
  <c r="AL29" i="1"/>
  <c r="AM39" i="1"/>
  <c r="AL22" i="1"/>
  <c r="BJ39" i="1"/>
  <c r="AJ61" i="1"/>
  <c r="AM29" i="1"/>
  <c r="D136" i="1"/>
  <c r="BX168" i="1"/>
  <c r="BY168" i="1" s="1"/>
  <c r="Q23" i="1"/>
  <c r="B49" i="1"/>
  <c r="I49" i="1"/>
  <c r="C27" i="1"/>
  <c r="BX87" i="1"/>
  <c r="I35" i="1"/>
  <c r="S22" i="1"/>
  <c r="S245" i="1" s="1"/>
  <c r="B39" i="1"/>
  <c r="V37" i="1"/>
  <c r="M22" i="1"/>
  <c r="M245" i="1" s="1"/>
  <c r="S34" i="1"/>
  <c r="M23" i="1"/>
  <c r="W46" i="1"/>
  <c r="W267" i="1" s="1"/>
  <c r="N27" i="1"/>
  <c r="O22" i="1"/>
  <c r="G22" i="1"/>
  <c r="G245" i="1" s="1"/>
  <c r="K59" i="1"/>
  <c r="I50" i="1"/>
  <c r="S53" i="1"/>
  <c r="I37" i="1"/>
  <c r="E65" i="1"/>
  <c r="J49" i="1"/>
  <c r="F60" i="1"/>
  <c r="P53" i="1"/>
  <c r="K29" i="1"/>
  <c r="R50" i="1"/>
  <c r="L39" i="1"/>
  <c r="T29" i="1"/>
  <c r="V23" i="1"/>
  <c r="V24" i="1" s="1"/>
  <c r="V112" i="1" s="1"/>
  <c r="C39" i="1"/>
  <c r="U38" i="1"/>
  <c r="P61" i="1"/>
  <c r="H53" i="1"/>
  <c r="R22" i="1"/>
  <c r="R245" i="1" s="1"/>
  <c r="S39" i="1"/>
  <c r="F53" i="1"/>
  <c r="C65" i="1"/>
  <c r="M35" i="1"/>
  <c r="C37" i="1"/>
  <c r="V59" i="1"/>
  <c r="O34" i="1"/>
  <c r="G177" i="1"/>
  <c r="T65" i="1"/>
  <c r="O37" i="1"/>
  <c r="V38" i="1"/>
  <c r="N65" i="1"/>
  <c r="F36" i="1"/>
  <c r="T37" i="1"/>
  <c r="F22" i="1"/>
  <c r="F245" i="1" s="1"/>
  <c r="D60" i="1"/>
  <c r="W23" i="1"/>
  <c r="W24" i="1" s="1"/>
  <c r="IP16" i="4" s="1"/>
  <c r="AJ50" i="1"/>
  <c r="BJ37" i="1"/>
  <c r="AJ29" i="1"/>
  <c r="AK39" i="1"/>
  <c r="BJ35" i="1"/>
  <c r="BX158" i="1"/>
  <c r="G50" i="1"/>
  <c r="B27" i="1"/>
  <c r="O29" i="1"/>
  <c r="BX174" i="1"/>
  <c r="J36" i="1"/>
  <c r="G34" i="1"/>
  <c r="U35" i="1"/>
  <c r="O39" i="1"/>
  <c r="BX132" i="1"/>
  <c r="BY132" i="1" s="1"/>
  <c r="B23" i="1"/>
  <c r="P59" i="1"/>
  <c r="V34" i="1"/>
  <c r="C38" i="1"/>
  <c r="D37" i="1"/>
  <c r="L37" i="1"/>
  <c r="R23" i="1"/>
  <c r="O53" i="1"/>
  <c r="G39" i="1"/>
  <c r="G23" i="1"/>
  <c r="S38" i="1"/>
  <c r="O60" i="1"/>
  <c r="V61" i="1"/>
  <c r="V27" i="1"/>
  <c r="T23" i="1"/>
  <c r="G167" i="1"/>
  <c r="C29" i="1"/>
  <c r="G38" i="1"/>
  <c r="H37" i="1"/>
  <c r="P29" i="1"/>
  <c r="R38" i="1"/>
  <c r="E35" i="1"/>
  <c r="P60" i="1"/>
  <c r="T39" i="1"/>
  <c r="I60" i="1"/>
  <c r="F61" i="1"/>
  <c r="M39" i="1"/>
  <c r="T49" i="1"/>
  <c r="T34" i="1"/>
  <c r="P36" i="1"/>
  <c r="H49" i="1"/>
  <c r="U61" i="1"/>
  <c r="HY9" i="4" s="1"/>
  <c r="JE16" i="4" s="1"/>
  <c r="AK38" i="1"/>
  <c r="BX22" i="1"/>
  <c r="BX50" i="1"/>
  <c r="BX266" i="1" s="1"/>
  <c r="AJ36" i="1"/>
  <c r="AK37" i="1"/>
  <c r="AL53" i="1"/>
  <c r="BX177" i="1"/>
  <c r="BY177" i="1" s="1"/>
  <c r="U50" i="1"/>
  <c r="U266" i="1" s="1"/>
  <c r="S35" i="1"/>
  <c r="B37" i="1"/>
  <c r="BX160" i="1"/>
  <c r="BY160" i="1" s="1"/>
  <c r="W59" i="1"/>
  <c r="BX145" i="1"/>
  <c r="BX88" i="1"/>
  <c r="BX140" i="1"/>
  <c r="BY140" i="1" s="1"/>
  <c r="K27" i="1"/>
  <c r="BX167" i="1"/>
  <c r="B50" i="1"/>
  <c r="B65" i="1"/>
  <c r="V60" i="1"/>
  <c r="L29" i="1"/>
  <c r="K37" i="1"/>
  <c r="I29" i="1"/>
  <c r="D61" i="1"/>
  <c r="S23" i="1"/>
  <c r="N53" i="1"/>
  <c r="C35" i="1"/>
  <c r="D34" i="1"/>
  <c r="J61" i="1"/>
  <c r="B35" i="1"/>
  <c r="Q167" i="1"/>
  <c r="W49" i="1"/>
  <c r="C138" i="1"/>
  <c r="U29" i="1"/>
  <c r="T22" i="1"/>
  <c r="W131" i="1"/>
  <c r="R65" i="1"/>
  <c r="IR14" i="4" s="1"/>
  <c r="IO15" i="4" s="1"/>
  <c r="JI15" i="4" s="1"/>
  <c r="HU15" i="4" s="1"/>
  <c r="HP8" i="4" s="1"/>
  <c r="HR8" i="4" s="1"/>
  <c r="JG15" i="4" s="1"/>
  <c r="IF14" i="4" s="1"/>
  <c r="AJ37" i="1"/>
  <c r="AJ39" i="1"/>
  <c r="BX61" i="1"/>
  <c r="BX35" i="1"/>
  <c r="BX65" i="1"/>
  <c r="AJ59" i="1"/>
  <c r="AK46" i="1"/>
  <c r="AK208" i="1" s="1"/>
  <c r="AL35" i="1"/>
  <c r="BX156" i="1"/>
  <c r="BY156" i="1" s="1"/>
  <c r="BX154" i="1"/>
  <c r="BY154" i="1" s="1"/>
  <c r="BZ216" i="1" s="1"/>
  <c r="I53" i="1"/>
  <c r="E37" i="1"/>
  <c r="B38" i="1"/>
  <c r="BX164" i="1"/>
  <c r="BY164" i="1" s="1"/>
  <c r="I34" i="1"/>
  <c r="S59" i="1"/>
  <c r="BX149" i="1"/>
  <c r="BY149" i="1" s="1"/>
  <c r="BX141" i="1"/>
  <c r="BY141" i="1" s="1"/>
  <c r="BX131" i="1"/>
  <c r="BY131" i="1" s="1"/>
  <c r="G59" i="1"/>
  <c r="K53" i="1"/>
  <c r="J22" i="1"/>
  <c r="B59" i="1"/>
  <c r="E60" i="1"/>
  <c r="L61" i="1"/>
  <c r="Q37" i="1"/>
  <c r="S46" i="1"/>
  <c r="E50" i="1"/>
  <c r="W37" i="1"/>
  <c r="I22" i="1"/>
  <c r="I245" i="1" s="1"/>
  <c r="E27" i="1"/>
  <c r="H59" i="1"/>
  <c r="U60" i="1"/>
  <c r="Q22" i="1"/>
  <c r="Q24" i="1" s="1"/>
  <c r="Q39" i="1"/>
  <c r="J29" i="1"/>
  <c r="E46" i="1"/>
  <c r="E208" i="1" s="1"/>
  <c r="O46" i="1"/>
  <c r="O208" i="1" s="1"/>
  <c r="U23" i="1"/>
  <c r="U24" i="1" s="1"/>
  <c r="V25" i="1" s="1"/>
  <c r="G61" i="1"/>
  <c r="W34" i="1"/>
  <c r="R46" i="1"/>
  <c r="R208" i="1" s="1"/>
  <c r="I39" i="1"/>
  <c r="H46" i="1"/>
  <c r="H208" i="1" s="1"/>
  <c r="W60" i="1"/>
  <c r="IO16" i="4" s="1"/>
  <c r="BJ22" i="1"/>
  <c r="BJ245" i="1" s="1"/>
  <c r="AL49" i="1"/>
  <c r="BX23" i="1"/>
  <c r="AJ49" i="1"/>
  <c r="AK22" i="1"/>
  <c r="AJ35" i="1"/>
  <c r="BX36" i="1"/>
  <c r="AL39" i="1"/>
  <c r="BX165" i="1"/>
  <c r="BY165" i="1" s="1"/>
  <c r="R27" i="1"/>
  <c r="U46" i="1"/>
  <c r="U267" i="1" s="1"/>
  <c r="B60" i="1"/>
  <c r="F29" i="1"/>
  <c r="C53" i="1"/>
  <c r="BX161" i="1"/>
  <c r="BY161" i="1" s="1"/>
  <c r="S50" i="1"/>
  <c r="BX169" i="1"/>
  <c r="BY169" i="1" s="1"/>
  <c r="BX163" i="1"/>
  <c r="BY163" i="1" s="1"/>
  <c r="L49" i="1"/>
  <c r="K50" i="1"/>
  <c r="K34" i="1"/>
  <c r="D22" i="1"/>
  <c r="J133" i="1"/>
  <c r="D27" i="1"/>
  <c r="P49" i="1"/>
  <c r="V46" i="1"/>
  <c r="V208" i="1" s="1"/>
  <c r="E29" i="1"/>
  <c r="W39" i="1"/>
  <c r="W50" i="1"/>
  <c r="W266" i="1" s="1"/>
  <c r="E23" i="1"/>
  <c r="H61" i="1"/>
  <c r="R53" i="1"/>
  <c r="L46" i="1"/>
  <c r="L208" i="1" s="1"/>
  <c r="V39" i="1"/>
  <c r="L50" i="1"/>
  <c r="D53" i="1"/>
  <c r="Q59" i="1"/>
  <c r="G36" i="1"/>
  <c r="V49" i="1"/>
  <c r="L36" i="1"/>
  <c r="W38" i="1"/>
  <c r="K65" i="1"/>
  <c r="Q29" i="1"/>
  <c r="Q50" i="1"/>
  <c r="R60" i="1"/>
  <c r="Q65" i="1"/>
  <c r="F37" i="1"/>
  <c r="T35" i="1"/>
  <c r="F23" i="1"/>
  <c r="R59" i="1"/>
  <c r="U59" i="1"/>
  <c r="W65" i="1"/>
  <c r="BX157" i="1"/>
  <c r="BY157" i="1" s="1"/>
  <c r="BX133" i="1"/>
  <c r="BY133" i="1" s="1"/>
  <c r="BX151" i="1"/>
  <c r="BY151" i="1" s="1"/>
  <c r="H22" i="1"/>
  <c r="H245" i="1" s="1"/>
  <c r="M38" i="1"/>
  <c r="BL88" i="1"/>
  <c r="BX147" i="1"/>
  <c r="R39" i="1"/>
  <c r="P50" i="1"/>
  <c r="I65" i="1"/>
  <c r="C46" i="1"/>
  <c r="P38" i="1"/>
  <c r="M53" i="1"/>
  <c r="D50" i="1"/>
  <c r="O27" i="1"/>
  <c r="L65" i="1"/>
  <c r="O36" i="1"/>
  <c r="C49" i="1"/>
  <c r="J65" i="1"/>
  <c r="N39" i="1"/>
  <c r="B46" i="1"/>
  <c r="B36" i="1"/>
  <c r="L60" i="1"/>
  <c r="P35" i="1"/>
  <c r="N60" i="1"/>
  <c r="H39" i="1"/>
  <c r="G53" i="1"/>
  <c r="K23" i="1"/>
  <c r="P65" i="1"/>
  <c r="I38" i="1"/>
  <c r="D59" i="1"/>
  <c r="K61" i="1"/>
  <c r="N38" i="1"/>
  <c r="G35" i="1"/>
  <c r="AM50" i="1"/>
  <c r="AM53" i="1"/>
  <c r="AM34" i="1"/>
  <c r="AM46" i="1"/>
  <c r="AM208" i="1" s="1"/>
  <c r="AJ65" i="1"/>
  <c r="AK35" i="1"/>
  <c r="AL37" i="1"/>
  <c r="AK27" i="1"/>
  <c r="AK29" i="1"/>
  <c r="AL27" i="1"/>
  <c r="E39" i="1"/>
  <c r="E53" i="1"/>
  <c r="Q53" i="1"/>
  <c r="D38" i="1"/>
  <c r="BX139" i="1"/>
  <c r="BY139" i="1" s="1"/>
  <c r="R61" i="1"/>
  <c r="R34" i="1"/>
  <c r="U53" i="1"/>
  <c r="M29" i="1"/>
  <c r="I61" i="1"/>
  <c r="BX138" i="1"/>
  <c r="BY138" i="1" s="1"/>
  <c r="S49" i="1"/>
  <c r="M49" i="1"/>
  <c r="B61" i="1"/>
  <c r="W35" i="1"/>
  <c r="H60" i="1"/>
  <c r="O61" i="1"/>
  <c r="P37" i="1"/>
  <c r="N61" i="1"/>
  <c r="J53" i="1"/>
  <c r="O35" i="1"/>
  <c r="J50" i="1"/>
  <c r="D65" i="1"/>
  <c r="R49" i="1"/>
  <c r="U34" i="1"/>
  <c r="H29" i="1"/>
  <c r="S60" i="1"/>
  <c r="P27" i="1"/>
  <c r="M50" i="1"/>
  <c r="M61" i="1"/>
  <c r="N46" i="1"/>
  <c r="N208" i="1" s="1"/>
  <c r="K38" i="1"/>
  <c r="I46" i="1"/>
  <c r="I208" i="1" s="1"/>
  <c r="G29" i="1"/>
  <c r="C22" i="1"/>
  <c r="V50" i="1"/>
  <c r="V266" i="1" s="1"/>
  <c r="BJ177" i="1"/>
  <c r="BK177" i="1" s="1"/>
  <c r="BJ168" i="1"/>
  <c r="BK168" i="1" s="1"/>
  <c r="AJ138" i="1"/>
  <c r="AK138" i="1" s="1"/>
  <c r="AJ177" i="1"/>
  <c r="AK177" i="1" s="1"/>
  <c r="AJ141" i="1"/>
  <c r="AK141" i="1" s="1"/>
  <c r="AJ173" i="1"/>
  <c r="AJ136" i="1"/>
  <c r="AK136" i="1" s="1"/>
  <c r="BJ173" i="1"/>
  <c r="BJ174" i="1"/>
  <c r="BJ161" i="1"/>
  <c r="BK161" i="1" s="1"/>
  <c r="BJ163" i="1"/>
  <c r="AJ164" i="1"/>
  <c r="AK164" i="1" s="1"/>
  <c r="AJ165" i="1"/>
  <c r="AK165" i="1" s="1"/>
  <c r="BJ169" i="1"/>
  <c r="BK169" i="1" s="1"/>
  <c r="AJ163" i="1"/>
  <c r="AK163" i="1" s="1"/>
  <c r="BJ138" i="1"/>
  <c r="BK138" i="1" s="1"/>
  <c r="BJ145" i="1"/>
  <c r="BJ159" i="1"/>
  <c r="BJ178" i="1"/>
  <c r="AJ166" i="1"/>
  <c r="AK166" i="1" s="1"/>
  <c r="AJ156" i="1"/>
  <c r="AK156" i="1" s="1"/>
  <c r="AJ168" i="1"/>
  <c r="AK168" i="1" s="1"/>
  <c r="BJ140" i="1"/>
  <c r="BK140" i="1" s="1"/>
  <c r="BJ154" i="1"/>
  <c r="BK154" i="1" s="1"/>
  <c r="BL216" i="1" s="1"/>
  <c r="BJ166" i="1"/>
  <c r="BK166" i="1" s="1"/>
  <c r="BJ149" i="1"/>
  <c r="BK149" i="1" s="1"/>
  <c r="BJ139" i="1"/>
  <c r="BK139" i="1" s="1"/>
  <c r="BJ156" i="1"/>
  <c r="BK156" i="1" s="1"/>
  <c r="BJ146" i="1"/>
  <c r="AJ147" i="1"/>
  <c r="AJ158" i="1"/>
  <c r="AJ159" i="1"/>
  <c r="AJ174" i="1"/>
  <c r="AJ133" i="1"/>
  <c r="AJ139" i="1"/>
  <c r="AK139" i="1" s="1"/>
  <c r="BJ160" i="1"/>
  <c r="BK160" i="1" s="1"/>
  <c r="AJ131" i="1"/>
  <c r="AK131" i="1" s="1"/>
  <c r="BJ132" i="1"/>
  <c r="BK132" i="1" s="1"/>
  <c r="BJ167" i="1"/>
  <c r="BJ164" i="1"/>
  <c r="BK164" i="1" s="1"/>
  <c r="BJ147" i="1"/>
  <c r="BJ165" i="1"/>
  <c r="BK165" i="1" s="1"/>
  <c r="AJ178" i="1"/>
  <c r="AK178" i="1" s="1"/>
  <c r="AJ140" i="1"/>
  <c r="AK140" i="1" s="1"/>
  <c r="AJ146" i="1"/>
  <c r="BJ136" i="1"/>
  <c r="BK136" i="1" s="1"/>
  <c r="BJ131" i="1"/>
  <c r="AJ145" i="1"/>
  <c r="AJ149" i="1"/>
  <c r="AK149" i="1" s="1"/>
  <c r="AJ157" i="1"/>
  <c r="AK157" i="1" s="1"/>
  <c r="AJ151" i="1"/>
  <c r="AK151" i="1" s="1"/>
  <c r="BJ151" i="1"/>
  <c r="BK151" i="1" s="1"/>
  <c r="BJ157" i="1"/>
  <c r="JC8" i="4"/>
  <c r="HV7" i="4"/>
  <c r="JD7" i="4"/>
  <c r="IS15" i="4"/>
  <c r="IC15" i="4"/>
  <c r="IX15" i="4"/>
  <c r="IU15" i="4"/>
  <c r="IK8" i="4"/>
  <c r="HT8" i="4"/>
  <c r="IS7" i="4"/>
  <c r="HX7" i="4"/>
  <c r="HV15" i="4"/>
  <c r="HS7" i="4"/>
  <c r="II15" i="4"/>
  <c r="ID8" i="4"/>
  <c r="HS14" i="4"/>
  <c r="IP15" i="4"/>
  <c r="HY7" i="4"/>
  <c r="IB15" i="4"/>
  <c r="IP8" i="4"/>
  <c r="IB7" i="4"/>
  <c r="JA14" i="4"/>
  <c r="HX8" i="4"/>
  <c r="HQ14" i="4"/>
  <c r="IL14" i="4"/>
  <c r="IK15" i="4"/>
  <c r="JI8" i="4"/>
  <c r="JE8" i="4"/>
  <c r="HU14" i="4"/>
  <c r="IN14" i="4"/>
  <c r="IE8" i="4"/>
  <c r="HZ15" i="4"/>
  <c r="IZ8" i="4"/>
  <c r="IA8" i="4"/>
  <c r="HT14" i="4"/>
  <c r="IO7" i="4"/>
  <c r="IK7" i="4"/>
  <c r="IA15" i="4"/>
  <c r="HW8" i="4"/>
  <c r="HY15" i="4"/>
  <c r="IY8" i="4"/>
  <c r="IV21" i="4"/>
  <c r="BP91" i="1" s="1"/>
  <c r="HR15" i="4"/>
  <c r="IH8" i="4"/>
  <c r="HU7" i="4"/>
  <c r="HX15" i="4"/>
  <c r="JE7" i="4"/>
  <c r="IJ15" i="4"/>
  <c r="II14" i="4"/>
  <c r="IB8" i="4"/>
  <c r="ID14" i="4"/>
  <c r="IE15" i="4"/>
  <c r="JG8" i="4"/>
  <c r="JC14" i="4"/>
  <c r="HQ15" i="4"/>
  <c r="HZ8" i="4"/>
  <c r="IC7" i="4"/>
  <c r="JA15" i="4"/>
  <c r="HW14" i="4"/>
  <c r="HQ7" i="4"/>
  <c r="HT15" i="4"/>
  <c r="IX8" i="4"/>
  <c r="JA8" i="4"/>
  <c r="IJ7" i="4"/>
  <c r="JB7" i="4"/>
  <c r="IT8" i="4"/>
  <c r="IM8" i="4"/>
  <c r="IM14" i="4"/>
  <c r="IT7" i="4"/>
  <c r="JD15" i="4"/>
  <c r="IS8" i="4"/>
  <c r="HR14" i="4"/>
  <c r="IH7" i="4"/>
  <c r="IP7" i="4"/>
  <c r="HV8" i="4"/>
  <c r="HW15" i="4"/>
  <c r="IM15" i="4"/>
  <c r="JH14" i="4"/>
  <c r="CP91" i="1"/>
  <c r="CN77" i="1"/>
  <c r="CM79" i="1"/>
  <c r="HV21" i="4" l="1"/>
  <c r="AP91" i="1" s="1"/>
  <c r="IZ21" i="4"/>
  <c r="BT91" i="1" s="1"/>
  <c r="IL21" i="4"/>
  <c r="BF91" i="1" s="1"/>
  <c r="IE21" i="4"/>
  <c r="AY91" i="1" s="1"/>
  <c r="JI21" i="4"/>
  <c r="CC91" i="1" s="1"/>
  <c r="CC99" i="1" s="1"/>
  <c r="HR21" i="4"/>
  <c r="AL91" i="1" s="1"/>
  <c r="R24" i="1"/>
  <c r="R112" i="1" s="1"/>
  <c r="G24" i="1"/>
  <c r="G197" i="1"/>
  <c r="B266" i="1"/>
  <c r="K266" i="1"/>
  <c r="D267" i="1"/>
  <c r="Q266" i="1"/>
  <c r="B267" i="1"/>
  <c r="W208" i="1"/>
  <c r="R266" i="1"/>
  <c r="G266" i="1"/>
  <c r="AL156" i="1"/>
  <c r="AM156" i="1" s="1"/>
  <c r="AL149" i="1"/>
  <c r="AM149" i="1" s="1"/>
  <c r="AL165" i="1"/>
  <c r="AM165" i="1" s="1"/>
  <c r="AL139" i="1"/>
  <c r="AM139" i="1" s="1"/>
  <c r="AL167" i="1"/>
  <c r="F266" i="1"/>
  <c r="BX267" i="1"/>
  <c r="AL178" i="1"/>
  <c r="AM178" i="1" s="1"/>
  <c r="AL147" i="1"/>
  <c r="AL136" i="1"/>
  <c r="AM136" i="1" s="1"/>
  <c r="AL173" i="1"/>
  <c r="AL164" i="1"/>
  <c r="AM164" i="1" s="1"/>
  <c r="AL177" i="1"/>
  <c r="AM177" i="1" s="1"/>
  <c r="AL166" i="1"/>
  <c r="AM166" i="1" s="1"/>
  <c r="AL158" i="1"/>
  <c r="AL168" i="1"/>
  <c r="AM168" i="1" s="1"/>
  <c r="AL131" i="1"/>
  <c r="AM131" i="1" s="1"/>
  <c r="AL140" i="1"/>
  <c r="AM140" i="1" s="1"/>
  <c r="AL132" i="1"/>
  <c r="AM132" i="1" s="1"/>
  <c r="AL138" i="1"/>
  <c r="AM138" i="1" s="1"/>
  <c r="AL146" i="1"/>
  <c r="AL174" i="1"/>
  <c r="AL141" i="1"/>
  <c r="AM141" i="1" s="1"/>
  <c r="AL87" i="1"/>
  <c r="AL161" i="1"/>
  <c r="AM161" i="1" s="1"/>
  <c r="AL154" i="1"/>
  <c r="AM154" i="1" s="1"/>
  <c r="AM216" i="1" s="1"/>
  <c r="AL157" i="1"/>
  <c r="IY21" i="4"/>
  <c r="BS91" i="1" s="1"/>
  <c r="D208" i="1"/>
  <c r="IW21" i="4"/>
  <c r="BQ91" i="1" s="1"/>
  <c r="HY21" i="4"/>
  <c r="AS91" i="1" s="1"/>
  <c r="AJ47" i="1"/>
  <c r="IP21" i="4"/>
  <c r="BJ91" i="1" s="1"/>
  <c r="IA21" i="4"/>
  <c r="AU91" i="1" s="1"/>
  <c r="IM21" i="4"/>
  <c r="BG91" i="1" s="1"/>
  <c r="JA21" i="4"/>
  <c r="BU91" i="1" s="1"/>
  <c r="M267" i="1"/>
  <c r="B245" i="1"/>
  <c r="P40" i="1"/>
  <c r="H266" i="1"/>
  <c r="C208" i="1"/>
  <c r="C245" i="1"/>
  <c r="K24" i="1"/>
  <c r="T266" i="1"/>
  <c r="AL88" i="1"/>
  <c r="AL145" i="1"/>
  <c r="AL163" i="1"/>
  <c r="AM163" i="1" s="1"/>
  <c r="AL133" i="1"/>
  <c r="AL160" i="1"/>
  <c r="AM160" i="1" s="1"/>
  <c r="BX193" i="1"/>
  <c r="BY193" i="1" s="1"/>
  <c r="X25" i="1"/>
  <c r="W112" i="1"/>
  <c r="BX24" i="1"/>
  <c r="HW21" i="4"/>
  <c r="AQ91" i="1" s="1"/>
  <c r="HZ9" i="4" s="1"/>
  <c r="JF21" i="4"/>
  <c r="BZ91" i="1" s="1"/>
  <c r="BZ108" i="1" s="1"/>
  <c r="IH16" i="4" s="1"/>
  <c r="JG21" i="4"/>
  <c r="CA91" i="1" s="1"/>
  <c r="IQ21" i="4"/>
  <c r="BK91" i="1" s="1"/>
  <c r="JE21" i="4"/>
  <c r="BY91" i="1" s="1"/>
  <c r="JB9" i="4" s="1"/>
  <c r="JC21" i="4"/>
  <c r="BW91" i="1" s="1"/>
  <c r="IO21" i="4"/>
  <c r="BI91" i="1" s="1"/>
  <c r="IQ8" i="4" s="1"/>
  <c r="IG8" i="4" s="1"/>
  <c r="IY14" i="4" s="1"/>
  <c r="JH16" i="4" s="1"/>
  <c r="HR7" i="4" s="1"/>
  <c r="HZ7" i="4" s="1"/>
  <c r="HX9" i="4" s="1"/>
  <c r="HX21" i="4" s="1"/>
  <c r="AR91" i="1" s="1"/>
  <c r="IK9" i="4" s="1"/>
  <c r="IN9" i="4" s="1"/>
  <c r="IN21" i="4" s="1"/>
  <c r="BH91" i="1" s="1"/>
  <c r="IS9" i="4" s="1"/>
  <c r="IS21" i="4" s="1"/>
  <c r="BM91" i="1" s="1"/>
  <c r="AK24" i="1"/>
  <c r="BJ158" i="1"/>
  <c r="BJ141" i="1"/>
  <c r="BK141" i="1" s="1"/>
  <c r="AJ167" i="1"/>
  <c r="BJ133" i="1"/>
  <c r="AJ160" i="1"/>
  <c r="AK160" i="1" s="1"/>
  <c r="AJ169" i="1"/>
  <c r="AK169" i="1" s="1"/>
  <c r="AJ132" i="1"/>
  <c r="AK132" i="1" s="1"/>
  <c r="AJ154" i="1"/>
  <c r="AK154" i="1" s="1"/>
  <c r="AJ161" i="1"/>
  <c r="AK161" i="1" s="1"/>
  <c r="II21" i="4"/>
  <c r="BC91" i="1" s="1"/>
  <c r="JD21" i="4"/>
  <c r="BX91" i="1" s="1"/>
  <c r="HP21" i="4"/>
  <c r="AJ91" i="1" s="1"/>
  <c r="IG21" i="4"/>
  <c r="BA91" i="1" s="1"/>
  <c r="JG7" i="4"/>
  <c r="IJ8" i="4"/>
  <c r="IS14" i="4"/>
  <c r="HV14" i="4"/>
  <c r="HV19" i="4" s="1"/>
  <c r="AP92" i="1" s="1"/>
  <c r="AP121" i="1" s="1"/>
  <c r="JD8" i="4"/>
  <c r="IM7" i="4"/>
  <c r="IR15" i="4"/>
  <c r="AM266" i="1"/>
  <c r="J266" i="1"/>
  <c r="M266" i="1"/>
  <c r="BJ194" i="1"/>
  <c r="BK194" i="1" s="1"/>
  <c r="AJ193" i="1"/>
  <c r="AL267" i="1"/>
  <c r="AL245" i="1"/>
  <c r="T245" i="1"/>
  <c r="T24" i="1"/>
  <c r="R40" i="1"/>
  <c r="IR7" i="4"/>
  <c r="JH8" i="4"/>
  <c r="IK14" i="4"/>
  <c r="IK19" i="4" s="1"/>
  <c r="BE92" i="1" s="1"/>
  <c r="BE121" i="1" s="1"/>
  <c r="IA14" i="4"/>
  <c r="IB14" i="4"/>
  <c r="JD14" i="4"/>
  <c r="IW15" i="4"/>
  <c r="JB8" i="4"/>
  <c r="HQ8" i="4"/>
  <c r="HU8" i="4"/>
  <c r="HU20" i="4" s="1"/>
  <c r="AO93" i="1" s="1"/>
  <c r="AO122" i="1" s="1"/>
  <c r="IC21" i="4"/>
  <c r="AW91" i="1" s="1"/>
  <c r="IQ7" i="4"/>
  <c r="IH14" i="4"/>
  <c r="IH19" i="4" s="1"/>
  <c r="BB92" i="1" s="1"/>
  <c r="BB121" i="1" s="1"/>
  <c r="HP15" i="4"/>
  <c r="HX14" i="4"/>
  <c r="C24" i="1"/>
  <c r="C30" i="1" s="1"/>
  <c r="JH7" i="4"/>
  <c r="IT14" i="4"/>
  <c r="IT19" i="4" s="1"/>
  <c r="BN92" i="1" s="1"/>
  <c r="BN121" i="1" s="1"/>
  <c r="IP14" i="4"/>
  <c r="IP19" i="4" s="1"/>
  <c r="BJ92" i="1" s="1"/>
  <c r="BJ121" i="1" s="1"/>
  <c r="JG14" i="4"/>
  <c r="JG19" i="4" s="1"/>
  <c r="CA92" i="1" s="1"/>
  <c r="IT15" i="4"/>
  <c r="IT20" i="4" s="1"/>
  <c r="BN93" i="1" s="1"/>
  <c r="BN122" i="1" s="1"/>
  <c r="IR8" i="4"/>
  <c r="IR20" i="4" s="1"/>
  <c r="BL93" i="1" s="1"/>
  <c r="BL110" i="1" s="1"/>
  <c r="ID7" i="4"/>
  <c r="ID19" i="4" s="1"/>
  <c r="AX92" i="1" s="1"/>
  <c r="AX121" i="1" s="1"/>
  <c r="HP14" i="4"/>
  <c r="HP19" i="4" s="1"/>
  <c r="AJ92" i="1" s="1"/>
  <c r="JB15" i="4"/>
  <c r="IZ7" i="4"/>
  <c r="IC8" i="4"/>
  <c r="IC20" i="4" s="1"/>
  <c r="AW93" i="1" s="1"/>
  <c r="AW122" i="1" s="1"/>
  <c r="IU7" i="4"/>
  <c r="JF15" i="4"/>
  <c r="HW7" i="4"/>
  <c r="HW19" i="4" s="1"/>
  <c r="AQ92" i="1" s="1"/>
  <c r="AQ121" i="1" s="1"/>
  <c r="IH15" i="4"/>
  <c r="JF8" i="4"/>
  <c r="IG14" i="4"/>
  <c r="JF7" i="4"/>
  <c r="AL40" i="1"/>
  <c r="IA7" i="4"/>
  <c r="IA19" i="4" s="1"/>
  <c r="AU92" i="1" s="1"/>
  <c r="AU121" i="1" s="1"/>
  <c r="IZ14" i="4"/>
  <c r="IZ19" i="4" s="1"/>
  <c r="BT92" i="1" s="1"/>
  <c r="BT121" i="1" s="1"/>
  <c r="II8" i="4"/>
  <c r="HS21" i="4"/>
  <c r="AM91" i="1" s="1"/>
  <c r="IY7" i="4"/>
  <c r="IY19" i="4" s="1"/>
  <c r="BS92" i="1" s="1"/>
  <c r="BS121" i="1" s="1"/>
  <c r="C40" i="1"/>
  <c r="HY8" i="4"/>
  <c r="JC7" i="4"/>
  <c r="IL15" i="4"/>
  <c r="AJ40" i="1"/>
  <c r="IQ14" i="4"/>
  <c r="IQ19" i="4" s="1"/>
  <c r="BK92" i="1" s="1"/>
  <c r="BK121" i="1" s="1"/>
  <c r="IF8" i="4"/>
  <c r="IF20" i="4" s="1"/>
  <c r="AZ93" i="1" s="1"/>
  <c r="AZ122" i="1" s="1"/>
  <c r="IV14" i="4"/>
  <c r="H24" i="1"/>
  <c r="H30" i="1" s="1"/>
  <c r="H31" i="1" s="1"/>
  <c r="O266" i="1"/>
  <c r="IZ15" i="4"/>
  <c r="IZ20" i="4" s="1"/>
  <c r="BT93" i="1" s="1"/>
  <c r="BT122" i="1" s="1"/>
  <c r="IX14" i="4"/>
  <c r="IN8" i="4"/>
  <c r="AJ51" i="1"/>
  <c r="B24" i="1"/>
  <c r="IX7" i="4"/>
  <c r="BY142" i="1"/>
  <c r="O267" i="1"/>
  <c r="J24" i="1"/>
  <c r="M40" i="1"/>
  <c r="O24" i="1"/>
  <c r="BJ193" i="1"/>
  <c r="BK193" i="1" s="1"/>
  <c r="Q40" i="1"/>
  <c r="K40" i="1"/>
  <c r="H40" i="1"/>
  <c r="F267" i="1"/>
  <c r="T267" i="1"/>
  <c r="W202" i="1"/>
  <c r="BX40" i="1"/>
  <c r="O245" i="1"/>
  <c r="K267" i="1"/>
  <c r="V267" i="1"/>
  <c r="I266" i="1"/>
  <c r="E40" i="1"/>
  <c r="I267" i="1"/>
  <c r="G267" i="1"/>
  <c r="V30" i="1"/>
  <c r="R267" i="1"/>
  <c r="H267" i="1"/>
  <c r="HS8" i="4"/>
  <c r="HS20" i="4" s="1"/>
  <c r="AM93" i="1" s="1"/>
  <c r="AJ24" i="1"/>
  <c r="IU8" i="4"/>
  <c r="IG7" i="4"/>
  <c r="S40" i="1"/>
  <c r="P245" i="1"/>
  <c r="AL24" i="1"/>
  <c r="AL30" i="1" s="1"/>
  <c r="AL31" i="1" s="1"/>
  <c r="AL266" i="1"/>
  <c r="V40" i="1"/>
  <c r="V41" i="1" s="1"/>
  <c r="IO8" i="4"/>
  <c r="L40" i="1"/>
  <c r="U40" i="1"/>
  <c r="IQ15" i="4"/>
  <c r="IQ20" i="4" s="1"/>
  <c r="BK93" i="1" s="1"/>
  <c r="BK122" i="1" s="1"/>
  <c r="AK40" i="1"/>
  <c r="BX175" i="1"/>
  <c r="BY223" i="1" s="1"/>
  <c r="IW7" i="4"/>
  <c r="IE7" i="4"/>
  <c r="IE19" i="4" s="1"/>
  <c r="AY92" i="1" s="1"/>
  <c r="AY121" i="1" s="1"/>
  <c r="IW14" i="4"/>
  <c r="HT7" i="4"/>
  <c r="HT19" i="4" s="1"/>
  <c r="AN92" i="1" s="1"/>
  <c r="AN121" i="1" s="1"/>
  <c r="IN7" i="4"/>
  <c r="G40" i="1"/>
  <c r="C266" i="1"/>
  <c r="JI7" i="4"/>
  <c r="N40" i="1"/>
  <c r="JF14" i="4"/>
  <c r="IK21" i="4"/>
  <c r="BE91" i="1" s="1"/>
  <c r="HY14" i="4"/>
  <c r="HY19" i="4" s="1"/>
  <c r="AS92" i="1" s="1"/>
  <c r="AS121" i="1" s="1"/>
  <c r="JA7" i="4"/>
  <c r="BX170" i="1"/>
  <c r="BX199" i="1" s="1"/>
  <c r="L24" i="1"/>
  <c r="L30" i="1" s="1"/>
  <c r="BX148" i="1"/>
  <c r="BY148" i="1" s="1"/>
  <c r="BY152" i="1" s="1"/>
  <c r="BZ217" i="1" s="1"/>
  <c r="BZ215" i="1" s="1"/>
  <c r="F40" i="1"/>
  <c r="L266" i="1"/>
  <c r="X202" i="1"/>
  <c r="W25" i="1"/>
  <c r="L267" i="1"/>
  <c r="AM40" i="1"/>
  <c r="IY15" i="4"/>
  <c r="IY20" i="4" s="1"/>
  <c r="BS93" i="1" s="1"/>
  <c r="BS122" i="1" s="1"/>
  <c r="BY134" i="1"/>
  <c r="BY106" i="1" s="1"/>
  <c r="O40" i="1"/>
  <c r="B40" i="1"/>
  <c r="JB14" i="4"/>
  <c r="JB19" i="4" s="1"/>
  <c r="BV92" i="1" s="1"/>
  <c r="BV121" i="1" s="1"/>
  <c r="W30" i="1"/>
  <c r="X32" i="1" s="1"/>
  <c r="IU14" i="4"/>
  <c r="IU19" i="4" s="1"/>
  <c r="BO92" i="1" s="1"/>
  <c r="BO121" i="1" s="1"/>
  <c r="IN15" i="4"/>
  <c r="IN20" i="4" s="1"/>
  <c r="BH93" i="1" s="1"/>
  <c r="BH122" i="1" s="1"/>
  <c r="S24" i="1"/>
  <c r="S30" i="1" s="1"/>
  <c r="S31" i="1" s="1"/>
  <c r="BJ197" i="1"/>
  <c r="BK197" i="1" s="1"/>
  <c r="P197" i="1"/>
  <c r="M24" i="1"/>
  <c r="M30" i="1" s="1"/>
  <c r="M31" i="1" s="1"/>
  <c r="AL194" i="1"/>
  <c r="AM194" i="1" s="1"/>
  <c r="I24" i="1"/>
  <c r="IG15" i="4"/>
  <c r="C267" i="1"/>
  <c r="S267" i="1"/>
  <c r="I40" i="1"/>
  <c r="Q197" i="1"/>
  <c r="T40" i="1"/>
  <c r="D40" i="1"/>
  <c r="IL7" i="4"/>
  <c r="J40" i="1"/>
  <c r="IW8" i="4"/>
  <c r="W40" i="1"/>
  <c r="W41" i="1" s="1"/>
  <c r="S266" i="1"/>
  <c r="P24" i="1"/>
  <c r="P266" i="1"/>
  <c r="U112" i="1"/>
  <c r="BX245" i="1"/>
  <c r="BX197" i="1"/>
  <c r="BY197" i="1" s="1"/>
  <c r="V202" i="1"/>
  <c r="AL197" i="1"/>
  <c r="AM197" i="1" s="1"/>
  <c r="J245" i="1"/>
  <c r="J267" i="1"/>
  <c r="U30" i="1"/>
  <c r="U31" i="1" s="1"/>
  <c r="CA112" i="1"/>
  <c r="CA113" i="1" s="1"/>
  <c r="D266" i="1"/>
  <c r="Q267" i="1"/>
  <c r="U208" i="1"/>
  <c r="N266" i="1"/>
  <c r="N24" i="1"/>
  <c r="D245" i="1"/>
  <c r="E24" i="1"/>
  <c r="AK245" i="1"/>
  <c r="S208" i="1"/>
  <c r="D24" i="1"/>
  <c r="D202" i="1" s="1"/>
  <c r="Q245" i="1"/>
  <c r="BX142" i="1"/>
  <c r="F24" i="1"/>
  <c r="F25" i="1" s="1"/>
  <c r="N267" i="1"/>
  <c r="AM112" i="1"/>
  <c r="AM113" i="1" s="1"/>
  <c r="BX194" i="1"/>
  <c r="BY194" i="1" s="1"/>
  <c r="AM267" i="1"/>
  <c r="AM24" i="1"/>
  <c r="AM30" i="1" s="1"/>
  <c r="BX134" i="1"/>
  <c r="BX106" i="1" s="1"/>
  <c r="BX108" i="1" s="1"/>
  <c r="BX162" i="1"/>
  <c r="BX196" i="1" s="1"/>
  <c r="BJ175" i="1"/>
  <c r="BK223" i="1" s="1"/>
  <c r="BJ148" i="1"/>
  <c r="BK142" i="1"/>
  <c r="BK131" i="1"/>
  <c r="BJ134" i="1"/>
  <c r="AJ175" i="1"/>
  <c r="AK223" i="1" s="1"/>
  <c r="AM142" i="1"/>
  <c r="AL175" i="1"/>
  <c r="AM223" i="1" s="1"/>
  <c r="BJ170" i="1"/>
  <c r="BJ199" i="1" s="1"/>
  <c r="BK163" i="1"/>
  <c r="BJ142" i="1"/>
  <c r="AJ142" i="1"/>
  <c r="AJ216" i="1"/>
  <c r="AL142" i="1"/>
  <c r="AI210" i="1"/>
  <c r="AI212" i="1" s="1"/>
  <c r="AJ148" i="1"/>
  <c r="AK47" i="1" s="1"/>
  <c r="AJ162" i="1"/>
  <c r="AJ194" i="1"/>
  <c r="AK194" i="1" s="1"/>
  <c r="AK142" i="1"/>
  <c r="BK157" i="1"/>
  <c r="AM157" i="1"/>
  <c r="HX20" i="4"/>
  <c r="AR93" i="1" s="1"/>
  <c r="AR122" i="1" s="1"/>
  <c r="HP20" i="4"/>
  <c r="AJ93" i="1" s="1"/>
  <c r="ID20" i="4"/>
  <c r="AX93" i="1" s="1"/>
  <c r="AX122" i="1" s="1"/>
  <c r="HR20" i="4"/>
  <c r="AL93" i="1" s="1"/>
  <c r="HS19" i="4"/>
  <c r="AM92" i="1" s="1"/>
  <c r="JE20" i="4"/>
  <c r="BY93" i="1" s="1"/>
  <c r="BY122" i="1" s="1"/>
  <c r="II19" i="4"/>
  <c r="BC92" i="1" s="1"/>
  <c r="BC121" i="1" s="1"/>
  <c r="JC20" i="4"/>
  <c r="BW93" i="1" s="1"/>
  <c r="BW122" i="1" s="1"/>
  <c r="IC19" i="4"/>
  <c r="AW92" i="1" s="1"/>
  <c r="AW121" i="1" s="1"/>
  <c r="IS20" i="4"/>
  <c r="BM93" i="1" s="1"/>
  <c r="BM122" i="1" s="1"/>
  <c r="JG20" i="4"/>
  <c r="CA93" i="1" s="1"/>
  <c r="HT20" i="4"/>
  <c r="AN93" i="1" s="1"/>
  <c r="AN122" i="1" s="1"/>
  <c r="HV20" i="4"/>
  <c r="AP93" i="1" s="1"/>
  <c r="AP122" i="1" s="1"/>
  <c r="JH19" i="4"/>
  <c r="CB92" i="1" s="1"/>
  <c r="IM20" i="4"/>
  <c r="BG93" i="1" s="1"/>
  <c r="BG122" i="1" s="1"/>
  <c r="IX20" i="4"/>
  <c r="BR93" i="1" s="1"/>
  <c r="BR122" i="1" s="1"/>
  <c r="JI20" i="4"/>
  <c r="CC93" i="1" s="1"/>
  <c r="HR19" i="4"/>
  <c r="AL92" i="1" s="1"/>
  <c r="JA20" i="4"/>
  <c r="BU93" i="1" s="1"/>
  <c r="BU122" i="1" s="1"/>
  <c r="IV20" i="4"/>
  <c r="BP93" i="1" s="1"/>
  <c r="BP122" i="1" s="1"/>
  <c r="IP20" i="4"/>
  <c r="BJ93" i="1" s="1"/>
  <c r="BJ122" i="1" s="1"/>
  <c r="IK20" i="4"/>
  <c r="BE93" i="1" s="1"/>
  <c r="BE122" i="1" s="1"/>
  <c r="IE20" i="4"/>
  <c r="AY93" i="1" s="1"/>
  <c r="AY122" i="1" s="1"/>
  <c r="IJ19" i="4"/>
  <c r="BD92" i="1" s="1"/>
  <c r="BD121" i="1" s="1"/>
  <c r="IO19" i="4"/>
  <c r="BI92" i="1" s="1"/>
  <c r="BI121" i="1" s="1"/>
  <c r="HZ20" i="4"/>
  <c r="AT93" i="1" s="1"/>
  <c r="AT122" i="1" s="1"/>
  <c r="IB20" i="4"/>
  <c r="AV93" i="1" s="1"/>
  <c r="AV122" i="1" s="1"/>
  <c r="IM19" i="4"/>
  <c r="BG92" i="1" s="1"/>
  <c r="BG121" i="1" s="1"/>
  <c r="HW20" i="4"/>
  <c r="AQ93" i="1" s="1"/>
  <c r="AQ122" i="1" s="1"/>
  <c r="HU19" i="4"/>
  <c r="AO92" i="1" s="1"/>
  <c r="AO121" i="1" s="1"/>
  <c r="HQ19" i="4"/>
  <c r="AK92" i="1" s="1"/>
  <c r="JD20" i="4"/>
  <c r="BX93" i="1" s="1"/>
  <c r="BX122" i="1" s="1"/>
  <c r="IA20" i="4"/>
  <c r="AU93" i="1" s="1"/>
  <c r="AU122" i="1" s="1"/>
  <c r="BK216" i="1"/>
  <c r="Q30" i="1"/>
  <c r="Q31" i="1" s="1"/>
  <c r="Q112" i="1"/>
  <c r="BY216" i="1"/>
  <c r="CM46" i="1"/>
  <c r="AB91" i="1"/>
  <c r="CQ91" i="1"/>
  <c r="AC154" i="1"/>
  <c r="CN79" i="1"/>
  <c r="CO77" i="1"/>
  <c r="IW20" i="4" l="1"/>
  <c r="BQ93" i="1" s="1"/>
  <c r="BQ122" i="1" s="1"/>
  <c r="HX19" i="4"/>
  <c r="AR92" i="1" s="1"/>
  <c r="AR121" i="1" s="1"/>
  <c r="CC116" i="1"/>
  <c r="CC108" i="1"/>
  <c r="AL193" i="1"/>
  <c r="AM193" i="1" s="1"/>
  <c r="CA116" i="1"/>
  <c r="AL170" i="1"/>
  <c r="AL199" i="1" s="1"/>
  <c r="C41" i="1"/>
  <c r="BX41" i="1"/>
  <c r="AJ197" i="1"/>
  <c r="AL148" i="1"/>
  <c r="AM148" i="1" s="1"/>
  <c r="AM152" i="1" s="1"/>
  <c r="AL134" i="1"/>
  <c r="AL162" i="1"/>
  <c r="R25" i="1"/>
  <c r="R202" i="1"/>
  <c r="R30" i="1"/>
  <c r="G112" i="1"/>
  <c r="G30" i="1"/>
  <c r="K112" i="1"/>
  <c r="K30" i="1"/>
  <c r="AK41" i="1"/>
  <c r="JH21" i="4"/>
  <c r="CB91" i="1" s="1"/>
  <c r="CB108" i="1" s="1"/>
  <c r="P202" i="1"/>
  <c r="U25" i="1"/>
  <c r="T30" i="1"/>
  <c r="U202" i="1"/>
  <c r="CA108" i="1"/>
  <c r="BY26" i="1"/>
  <c r="CB25" i="1"/>
  <c r="CC202" i="1"/>
  <c r="BX30" i="1"/>
  <c r="AL216" i="1"/>
  <c r="AK216" i="1"/>
  <c r="AK30" i="1"/>
  <c r="HZ21" i="4"/>
  <c r="AT91" i="1" s="1"/>
  <c r="JE14" i="4"/>
  <c r="IH21" i="4"/>
  <c r="BB91" i="1" s="1"/>
  <c r="IF16" i="4"/>
  <c r="JB21" i="4"/>
  <c r="BV91" i="1" s="1"/>
  <c r="ID9" i="4"/>
  <c r="JF20" i="4"/>
  <c r="BZ93" i="1" s="1"/>
  <c r="IG19" i="4"/>
  <c r="BA92" i="1" s="1"/>
  <c r="BA121" i="1" s="1"/>
  <c r="AJ134" i="1"/>
  <c r="AJ170" i="1"/>
  <c r="BJ162" i="1"/>
  <c r="IG20" i="4"/>
  <c r="BA93" i="1" s="1"/>
  <c r="BA122" i="1" s="1"/>
  <c r="B41" i="1"/>
  <c r="IU20" i="4"/>
  <c r="BO93" i="1" s="1"/>
  <c r="BO122" i="1" s="1"/>
  <c r="IL19" i="4"/>
  <c r="BF92" i="1" s="1"/>
  <c r="BF121" i="1" s="1"/>
  <c r="JF19" i="4"/>
  <c r="BZ92" i="1" s="1"/>
  <c r="IL20" i="4"/>
  <c r="BF93" i="1" s="1"/>
  <c r="BF122" i="1" s="1"/>
  <c r="IX19" i="4"/>
  <c r="BR92" i="1" s="1"/>
  <c r="BR121" i="1" s="1"/>
  <c r="IB19" i="4"/>
  <c r="AV92" i="1" s="1"/>
  <c r="AV121" i="1" s="1"/>
  <c r="JA19" i="4"/>
  <c r="BU92" i="1" s="1"/>
  <c r="BU121" i="1" s="1"/>
  <c r="JD19" i="4"/>
  <c r="BX92" i="1" s="1"/>
  <c r="JC19" i="4"/>
  <c r="BW92" i="1" s="1"/>
  <c r="BW121" i="1" s="1"/>
  <c r="II20" i="4"/>
  <c r="BC93" i="1" s="1"/>
  <c r="BC122" i="1" s="1"/>
  <c r="IR19" i="4"/>
  <c r="BL92" i="1" s="1"/>
  <c r="IH20" i="4"/>
  <c r="BB93" i="1" s="1"/>
  <c r="BB122" i="1" s="1"/>
  <c r="HQ20" i="4"/>
  <c r="AK93" i="1" s="1"/>
  <c r="IO20" i="4"/>
  <c r="BI93" i="1" s="1"/>
  <c r="BI122" i="1" s="1"/>
  <c r="HY20" i="4"/>
  <c r="AS93" i="1" s="1"/>
  <c r="AS122" i="1" s="1"/>
  <c r="IN19" i="4"/>
  <c r="BH92" i="1" s="1"/>
  <c r="BH121" i="1" s="1"/>
  <c r="T112" i="1"/>
  <c r="JB20" i="4"/>
  <c r="BV93" i="1" s="1"/>
  <c r="BV122" i="1" s="1"/>
  <c r="IV19" i="4"/>
  <c r="BP92" i="1" s="1"/>
  <c r="BP121" i="1" s="1"/>
  <c r="IS19" i="4"/>
  <c r="BM92" i="1" s="1"/>
  <c r="BM121" i="1" s="1"/>
  <c r="O112" i="1"/>
  <c r="IJ20" i="4"/>
  <c r="BD93" i="1" s="1"/>
  <c r="BD122" i="1" s="1"/>
  <c r="JH20" i="4"/>
  <c r="CB93" i="1" s="1"/>
  <c r="AJ41" i="1"/>
  <c r="AM116" i="1"/>
  <c r="AL41" i="1"/>
  <c r="K202" i="1"/>
  <c r="J30" i="1"/>
  <c r="J31" i="1" s="1"/>
  <c r="J112" i="1"/>
  <c r="IW19" i="4"/>
  <c r="BQ92" i="1" s="1"/>
  <c r="BQ121" i="1" s="1"/>
  <c r="AM41" i="1"/>
  <c r="K25" i="1"/>
  <c r="J25" i="1"/>
  <c r="J202" i="1"/>
  <c r="N112" i="1"/>
  <c r="N30" i="1"/>
  <c r="BY220" i="1"/>
  <c r="H25" i="1"/>
  <c r="H112" i="1"/>
  <c r="H202" i="1"/>
  <c r="B30" i="1"/>
  <c r="C32" i="1" s="1"/>
  <c r="C202" i="1"/>
  <c r="C25" i="1"/>
  <c r="BZ263" i="1"/>
  <c r="BZ265" i="1" s="1"/>
  <c r="BZ220" i="1"/>
  <c r="O30" i="1"/>
  <c r="O202" i="1"/>
  <c r="V31" i="1"/>
  <c r="W32" i="1"/>
  <c r="V42" i="1"/>
  <c r="AJ30" i="1"/>
  <c r="AK26" i="1"/>
  <c r="AM239" i="1"/>
  <c r="M112" i="1"/>
  <c r="M25" i="1"/>
  <c r="I202" i="1"/>
  <c r="I25" i="1"/>
  <c r="Q25" i="1"/>
  <c r="P30" i="1"/>
  <c r="Q202" i="1"/>
  <c r="P112" i="1"/>
  <c r="P25" i="1"/>
  <c r="AM42" i="1"/>
  <c r="AM31" i="1"/>
  <c r="AL26" i="1"/>
  <c r="BJ198" i="1"/>
  <c r="W42" i="1"/>
  <c r="I112" i="1"/>
  <c r="L112" i="1"/>
  <c r="BY143" i="1"/>
  <c r="S202" i="1"/>
  <c r="L25" i="1"/>
  <c r="BX182" i="1"/>
  <c r="BX262" i="1"/>
  <c r="M202" i="1"/>
  <c r="D30" i="1"/>
  <c r="D25" i="1"/>
  <c r="AM26" i="1"/>
  <c r="L202" i="1"/>
  <c r="V32" i="1"/>
  <c r="W31" i="1"/>
  <c r="I30" i="1"/>
  <c r="AL42" i="1"/>
  <c r="O25" i="1"/>
  <c r="BY47" i="1"/>
  <c r="AM33" i="1"/>
  <c r="BY263" i="1"/>
  <c r="BX152" i="1"/>
  <c r="BZ221" i="1"/>
  <c r="BZ47" i="1"/>
  <c r="E25" i="1"/>
  <c r="D41" i="1"/>
  <c r="S112" i="1"/>
  <c r="E41" i="1"/>
  <c r="E30" i="1"/>
  <c r="E112" i="1"/>
  <c r="N202" i="1"/>
  <c r="E202" i="1"/>
  <c r="BX143" i="1"/>
  <c r="S25" i="1"/>
  <c r="F202" i="1"/>
  <c r="T25" i="1"/>
  <c r="T202" i="1"/>
  <c r="BK263" i="1"/>
  <c r="BX195" i="1"/>
  <c r="G202" i="1"/>
  <c r="BX200" i="1"/>
  <c r="CB203" i="1" s="1"/>
  <c r="BX171" i="1"/>
  <c r="BX179" i="1" s="1"/>
  <c r="F112" i="1"/>
  <c r="BX198" i="1"/>
  <c r="G25" i="1"/>
  <c r="F30" i="1"/>
  <c r="F31" i="1" s="1"/>
  <c r="BY221" i="1"/>
  <c r="N25" i="1"/>
  <c r="AK220" i="1"/>
  <c r="AM263" i="1"/>
  <c r="BK148" i="1"/>
  <c r="BJ152" i="1"/>
  <c r="BL220" i="1"/>
  <c r="BL263" i="1"/>
  <c r="BJ106" i="1"/>
  <c r="BJ262" i="1"/>
  <c r="AJ182" i="1"/>
  <c r="AK51" i="1" s="1"/>
  <c r="AJ220" i="1"/>
  <c r="AL220" i="1"/>
  <c r="AM220" i="1"/>
  <c r="AK148" i="1"/>
  <c r="AL182" i="1"/>
  <c r="BJ143" i="1"/>
  <c r="BJ182" i="1"/>
  <c r="BJ123" i="1" s="1"/>
  <c r="AJ152" i="1"/>
  <c r="BK220" i="1"/>
  <c r="AL263" i="1"/>
  <c r="AJ210" i="1"/>
  <c r="AJ196" i="1"/>
  <c r="AL122" i="1"/>
  <c r="AM117" i="1"/>
  <c r="AM121" i="1"/>
  <c r="L31" i="1"/>
  <c r="M32" i="1"/>
  <c r="AM122" i="1"/>
  <c r="AM118" i="1"/>
  <c r="CA110" i="1"/>
  <c r="CA122" i="1"/>
  <c r="CA118" i="1"/>
  <c r="CB100" i="1"/>
  <c r="CB117" i="1"/>
  <c r="CB109" i="1"/>
  <c r="CB121" i="1"/>
  <c r="CB124" i="1" s="1"/>
  <c r="CB127" i="1" s="1"/>
  <c r="CC110" i="1"/>
  <c r="CC118" i="1"/>
  <c r="CC122" i="1"/>
  <c r="AL121" i="1"/>
  <c r="CC101" i="1"/>
  <c r="BX110" i="1"/>
  <c r="BL122" i="1"/>
  <c r="BL125" i="1" s="1"/>
  <c r="CA117" i="1"/>
  <c r="CA121" i="1"/>
  <c r="CA109" i="1"/>
  <c r="C42" i="1"/>
  <c r="C31" i="1"/>
  <c r="BY108" i="1"/>
  <c r="BY110" i="1"/>
  <c r="CM208" i="1"/>
  <c r="CM146" i="1"/>
  <c r="CM148" i="1" s="1"/>
  <c r="CM152" i="1" s="1"/>
  <c r="CM217" i="1" s="1"/>
  <c r="CM215" i="1" s="1"/>
  <c r="CR91" i="1"/>
  <c r="AC216" i="1"/>
  <c r="AB163" i="1"/>
  <c r="AB131" i="1"/>
  <c r="CO79" i="1"/>
  <c r="CP77" i="1"/>
  <c r="AB77" i="1" s="1"/>
  <c r="CA239" i="1"/>
  <c r="AL198" i="1" l="1"/>
  <c r="AL262" i="1"/>
  <c r="AL196" i="1"/>
  <c r="AL171" i="1"/>
  <c r="AM47" i="1"/>
  <c r="AL152" i="1"/>
  <c r="AL106" i="1"/>
  <c r="AL110" i="1" s="1"/>
  <c r="AL143" i="1"/>
  <c r="AK33" i="1"/>
  <c r="S32" i="1"/>
  <c r="R31" i="1"/>
  <c r="R32" i="1"/>
  <c r="K31" i="1"/>
  <c r="L32" i="1"/>
  <c r="G31" i="1"/>
  <c r="H32" i="1"/>
  <c r="CB99" i="1"/>
  <c r="CB116" i="1"/>
  <c r="AJ143" i="1"/>
  <c r="BJ260" i="1"/>
  <c r="AJ211" i="1"/>
  <c r="AJ199" i="1"/>
  <c r="AJ171" i="1"/>
  <c r="T32" i="1"/>
  <c r="U32" i="1"/>
  <c r="T31" i="1"/>
  <c r="BZ122" i="1"/>
  <c r="BZ125" i="1" s="1"/>
  <c r="BZ110" i="1"/>
  <c r="BX31" i="1"/>
  <c r="CB32" i="1"/>
  <c r="BY33" i="1"/>
  <c r="BX42" i="1"/>
  <c r="AL33" i="1"/>
  <c r="AK42" i="1"/>
  <c r="AK31" i="1"/>
  <c r="AB79" i="1"/>
  <c r="AA77" i="1"/>
  <c r="JE19" i="4"/>
  <c r="BY92" i="1" s="1"/>
  <c r="HU9" i="4"/>
  <c r="IF21" i="4"/>
  <c r="AZ91" i="1" s="1"/>
  <c r="IX9" i="4"/>
  <c r="BX109" i="1"/>
  <c r="BJ196" i="1"/>
  <c r="BJ171" i="1"/>
  <c r="BZ109" i="1"/>
  <c r="BZ103" i="1"/>
  <c r="BZ121" i="1"/>
  <c r="BZ124" i="1" s="1"/>
  <c r="K32" i="1"/>
  <c r="BX103" i="1"/>
  <c r="BX121" i="1"/>
  <c r="BL121" i="1"/>
  <c r="BL124" i="1" s="1"/>
  <c r="BL109" i="1"/>
  <c r="N31" i="1"/>
  <c r="N32" i="1"/>
  <c r="CB110" i="1"/>
  <c r="CB122" i="1"/>
  <c r="CB125" i="1" s="1"/>
  <c r="CB128" i="1" s="1"/>
  <c r="CB118" i="1"/>
  <c r="CB101" i="1"/>
  <c r="BZ219" i="1"/>
  <c r="BY219" i="1"/>
  <c r="O31" i="1"/>
  <c r="O32" i="1"/>
  <c r="V43" i="1"/>
  <c r="V48" i="1"/>
  <c r="V52" i="1" s="1"/>
  <c r="V246" i="1"/>
  <c r="V247" i="1" s="1"/>
  <c r="V126" i="1"/>
  <c r="B42" i="1"/>
  <c r="B31" i="1"/>
  <c r="AJ42" i="1"/>
  <c r="AJ31" i="1"/>
  <c r="P32" i="1"/>
  <c r="Q32" i="1"/>
  <c r="P31" i="1"/>
  <c r="AM48" i="1"/>
  <c r="AM52" i="1" s="1"/>
  <c r="AM264" i="1"/>
  <c r="AM265" i="1" s="1"/>
  <c r="AM43" i="1"/>
  <c r="AM246" i="1"/>
  <c r="AM247" i="1" s="1"/>
  <c r="W48" i="1"/>
  <c r="W52" i="1" s="1"/>
  <c r="W55" i="1" s="1"/>
  <c r="W246" i="1"/>
  <c r="W247" i="1" s="1"/>
  <c r="X44" i="1"/>
  <c r="X264" i="1"/>
  <c r="W43" i="1"/>
  <c r="W126" i="1"/>
  <c r="W264" i="1"/>
  <c r="BX123" i="1"/>
  <c r="BY51" i="1"/>
  <c r="D32" i="1"/>
  <c r="D31" i="1"/>
  <c r="D42" i="1"/>
  <c r="E32" i="1"/>
  <c r="I31" i="1"/>
  <c r="I32" i="1"/>
  <c r="J32" i="1"/>
  <c r="AL43" i="1"/>
  <c r="AL246" i="1"/>
  <c r="AL247" i="1" s="1"/>
  <c r="AM45" i="1"/>
  <c r="AL48" i="1"/>
  <c r="AL52" i="1" s="1"/>
  <c r="BX260" i="1"/>
  <c r="BY217" i="1"/>
  <c r="BY215" i="1" s="1"/>
  <c r="E42" i="1"/>
  <c r="E43" i="1" s="1"/>
  <c r="E31" i="1"/>
  <c r="W44" i="1"/>
  <c r="BX180" i="1"/>
  <c r="F32" i="1"/>
  <c r="G32" i="1"/>
  <c r="BL47" i="1"/>
  <c r="BK152" i="1"/>
  <c r="BL217" i="1" s="1"/>
  <c r="BL215" i="1" s="1"/>
  <c r="BJ108" i="1"/>
  <c r="BJ109" i="1"/>
  <c r="BJ110" i="1"/>
  <c r="AK152" i="1"/>
  <c r="AL47" i="1"/>
  <c r="BJ124" i="1"/>
  <c r="BJ125" i="1"/>
  <c r="AL123" i="1"/>
  <c r="AM51" i="1"/>
  <c r="AJ217" i="1"/>
  <c r="AJ215" i="1" s="1"/>
  <c r="AL264" i="1"/>
  <c r="AL265" i="1" s="1"/>
  <c r="D43" i="1"/>
  <c r="D48" i="1"/>
  <c r="D52" i="1" s="1"/>
  <c r="D246" i="1"/>
  <c r="D247" i="1" s="1"/>
  <c r="C43" i="1"/>
  <c r="CN46" i="1"/>
  <c r="CS91" i="1"/>
  <c r="AB177" i="1"/>
  <c r="CP79" i="1"/>
  <c r="CQ77" i="1"/>
  <c r="AC131" i="1"/>
  <c r="AC163" i="1"/>
  <c r="CB239" i="1"/>
  <c r="BQ1" i="1"/>
  <c r="BR1" i="1" s="1"/>
  <c r="BS1" i="1" s="1"/>
  <c r="BT1" i="1" s="1"/>
  <c r="AL108" i="1" l="1"/>
  <c r="AL200" i="1"/>
  <c r="V55" i="1"/>
  <c r="AJ212" i="1"/>
  <c r="AL179" i="1"/>
  <c r="AL180" i="1" s="1"/>
  <c r="AM217" i="1"/>
  <c r="AM215" i="1" s="1"/>
  <c r="AL260" i="1"/>
  <c r="AL109" i="1"/>
  <c r="AL195" i="1"/>
  <c r="V54" i="1"/>
  <c r="BJ200" i="1"/>
  <c r="BJ195" i="1"/>
  <c r="D264" i="1"/>
  <c r="E44" i="1"/>
  <c r="W54" i="1"/>
  <c r="AK246" i="1"/>
  <c r="AK247" i="1" s="1"/>
  <c r="AL45" i="1"/>
  <c r="AK43" i="1"/>
  <c r="AK48" i="1"/>
  <c r="AK52" i="1" s="1"/>
  <c r="BX43" i="1"/>
  <c r="BX48" i="1"/>
  <c r="CB44" i="1"/>
  <c r="CA126" i="1"/>
  <c r="BX246" i="1"/>
  <c r="BX247" i="1" s="1"/>
  <c r="BY45" i="1"/>
  <c r="BY264" i="1"/>
  <c r="BY265" i="1" s="1"/>
  <c r="AJ179" i="1"/>
  <c r="AJ180" i="1" s="1"/>
  <c r="Z77" i="1"/>
  <c r="AA79" i="1"/>
  <c r="BY109" i="1"/>
  <c r="BY103" i="1"/>
  <c r="BY121" i="1"/>
  <c r="HU21" i="4"/>
  <c r="AO91" i="1" s="1"/>
  <c r="JI14" i="4" s="1"/>
  <c r="IJ16" i="4"/>
  <c r="IJ21" i="4" s="1"/>
  <c r="BD91" i="1" s="1"/>
  <c r="IF7" i="4" s="1"/>
  <c r="IX21" i="4"/>
  <c r="BR91" i="1" s="1"/>
  <c r="ID16" i="4"/>
  <c r="ID21" i="4" s="1"/>
  <c r="AX91" i="1" s="1"/>
  <c r="HT16" i="4" s="1"/>
  <c r="HT21" i="4" s="1"/>
  <c r="AN91" i="1" s="1"/>
  <c r="D126" i="1"/>
  <c r="D44" i="1"/>
  <c r="B126" i="1"/>
  <c r="B43" i="1"/>
  <c r="AJ246" i="1"/>
  <c r="AJ247" i="1" s="1"/>
  <c r="AJ48" i="1"/>
  <c r="AJ52" i="1" s="1"/>
  <c r="AJ43" i="1"/>
  <c r="C264" i="1"/>
  <c r="C44" i="1"/>
  <c r="AM240" i="1"/>
  <c r="AM126" i="1"/>
  <c r="AK45" i="1"/>
  <c r="AM55" i="1"/>
  <c r="AM56" i="1" s="1"/>
  <c r="AM259" i="1" s="1"/>
  <c r="AM54" i="1"/>
  <c r="BX124" i="1"/>
  <c r="BX125" i="1"/>
  <c r="AL55" i="1"/>
  <c r="AL54" i="1"/>
  <c r="AK217" i="1"/>
  <c r="AK215" i="1" s="1"/>
  <c r="AL217" i="1"/>
  <c r="AL215" i="1" s="1"/>
  <c r="AL125" i="1"/>
  <c r="AL124" i="1"/>
  <c r="BX52" i="1"/>
  <c r="CA69" i="1"/>
  <c r="AK55" i="1"/>
  <c r="AK54" i="1"/>
  <c r="D55" i="1"/>
  <c r="D54" i="1"/>
  <c r="W62" i="1"/>
  <c r="W66" i="1" s="1"/>
  <c r="W248" i="1"/>
  <c r="W56" i="1"/>
  <c r="W259" i="1" s="1"/>
  <c r="X57" i="1"/>
  <c r="CN146" i="1"/>
  <c r="CN148" i="1" s="1"/>
  <c r="CO46" i="1" s="1"/>
  <c r="CT91" i="1"/>
  <c r="AB151" i="1"/>
  <c r="AD163" i="1"/>
  <c r="AE163" i="1"/>
  <c r="AD131" i="1"/>
  <c r="AE131" i="1"/>
  <c r="CQ79" i="1"/>
  <c r="CR77" i="1"/>
  <c r="AC177" i="1"/>
  <c r="BU1" i="1"/>
  <c r="Q41" i="1"/>
  <c r="P41" i="1"/>
  <c r="O41" i="1"/>
  <c r="I41" i="1"/>
  <c r="H41" i="1"/>
  <c r="G41" i="1"/>
  <c r="U41" i="1"/>
  <c r="T41" i="1"/>
  <c r="S41" i="1"/>
  <c r="R41" i="1"/>
  <c r="N41" i="1"/>
  <c r="M41" i="1"/>
  <c r="L41" i="1"/>
  <c r="K41" i="1"/>
  <c r="J41" i="1"/>
  <c r="F41" i="1"/>
  <c r="V56" i="1" l="1"/>
  <c r="V259" i="1" s="1"/>
  <c r="W57" i="1"/>
  <c r="V62" i="1"/>
  <c r="Z79" i="1"/>
  <c r="Y77" i="1"/>
  <c r="AA80" i="1"/>
  <c r="AA121" i="1"/>
  <c r="AA124" i="1" s="1"/>
  <c r="AA127" i="1" s="1"/>
  <c r="AA113" i="1"/>
  <c r="AA106" i="1"/>
  <c r="AA122" i="1"/>
  <c r="AA125" i="1" s="1"/>
  <c r="AA128" i="1" s="1"/>
  <c r="JI19" i="4"/>
  <c r="CC92" i="1" s="1"/>
  <c r="HZ14" i="4"/>
  <c r="HZ19" i="4" s="1"/>
  <c r="AT92" i="1" s="1"/>
  <c r="AT121" i="1" s="1"/>
  <c r="IF19" i="4"/>
  <c r="AZ92" i="1" s="1"/>
  <c r="AZ121" i="1" s="1"/>
  <c r="IR9" i="4"/>
  <c r="AJ55" i="1"/>
  <c r="AJ54" i="1"/>
  <c r="AL248" i="1"/>
  <c r="AM58" i="1"/>
  <c r="AL62" i="1"/>
  <c r="AL56" i="1"/>
  <c r="AL259" i="1" s="1"/>
  <c r="AK248" i="1"/>
  <c r="AK62" i="1"/>
  <c r="AK133" i="1" s="1"/>
  <c r="AK134" i="1" s="1"/>
  <c r="AK143" i="1" s="1"/>
  <c r="AK56" i="1"/>
  <c r="AL58" i="1"/>
  <c r="D248" i="1"/>
  <c r="D56" i="1"/>
  <c r="D62" i="1"/>
  <c r="BX54" i="1"/>
  <c r="BX55" i="1"/>
  <c r="CO208" i="1"/>
  <c r="CO146" i="1"/>
  <c r="CN152" i="1"/>
  <c r="CN208" i="1"/>
  <c r="AC91" i="1"/>
  <c r="CU91" i="1"/>
  <c r="AD177" i="1"/>
  <c r="AE177" i="1"/>
  <c r="AD154" i="1"/>
  <c r="CR79" i="1"/>
  <c r="CS77" i="1"/>
  <c r="AC151" i="1"/>
  <c r="BV1" i="1"/>
  <c r="BW1" i="1" s="1"/>
  <c r="BX1" i="1" s="1"/>
  <c r="AM248" i="1"/>
  <c r="B246" i="1"/>
  <c r="B247" i="1" s="1"/>
  <c r="BL246" i="1"/>
  <c r="BL247" i="1" s="1"/>
  <c r="G42" i="1"/>
  <c r="O42" i="1"/>
  <c r="H42" i="1"/>
  <c r="P42" i="1"/>
  <c r="I42" i="1"/>
  <c r="Q42" i="1"/>
  <c r="J42" i="1"/>
  <c r="R42" i="1"/>
  <c r="K42" i="1"/>
  <c r="S42" i="1"/>
  <c r="L42" i="1"/>
  <c r="T42" i="1"/>
  <c r="M42" i="1"/>
  <c r="U42" i="1"/>
  <c r="F42" i="1"/>
  <c r="F264" i="1" s="1"/>
  <c r="N42" i="1"/>
  <c r="Z121" i="1" l="1"/>
  <c r="Z124" i="1" s="1"/>
  <c r="Z127" i="1" s="1"/>
  <c r="Z80" i="1"/>
  <c r="Z122" i="1"/>
  <c r="Z125" i="1" s="1"/>
  <c r="Z128" i="1" s="1"/>
  <c r="Z106" i="1"/>
  <c r="Z113" i="1"/>
  <c r="X77" i="1"/>
  <c r="Y79" i="1"/>
  <c r="AA83" i="1"/>
  <c r="AA82" i="1"/>
  <c r="AA116" i="1"/>
  <c r="AA118" i="1"/>
  <c r="AA117" i="1"/>
  <c r="AA109" i="1"/>
  <c r="AA110" i="1"/>
  <c r="AA108" i="1"/>
  <c r="CC100" i="1"/>
  <c r="CC117" i="1"/>
  <c r="CC121" i="1"/>
  <c r="CC109" i="1"/>
  <c r="IR21" i="4"/>
  <c r="BL91" i="1" s="1"/>
  <c r="BL108" i="1" s="1"/>
  <c r="IU9" i="4"/>
  <c r="IU21" i="4" s="1"/>
  <c r="BO91" i="1" s="1"/>
  <c r="AJ248" i="1"/>
  <c r="AJ62" i="1"/>
  <c r="AJ56" i="1"/>
  <c r="AK58" i="1"/>
  <c r="AM241" i="1"/>
  <c r="AL207" i="1"/>
  <c r="AL209" i="1" s="1"/>
  <c r="AL80" i="1"/>
  <c r="AL66" i="1"/>
  <c r="T264" i="1"/>
  <c r="P264" i="1"/>
  <c r="D207" i="1"/>
  <c r="D209" i="1" s="1"/>
  <c r="D66" i="1"/>
  <c r="CB57" i="1"/>
  <c r="BX248" i="1"/>
  <c r="BX56" i="1"/>
  <c r="BX259" i="1" s="1"/>
  <c r="BX62" i="1"/>
  <c r="BY58" i="1"/>
  <c r="AK207" i="1"/>
  <c r="AK209" i="1" s="1"/>
  <c r="AK80" i="1"/>
  <c r="AK66" i="1"/>
  <c r="M264" i="1"/>
  <c r="R264" i="1"/>
  <c r="I264" i="1"/>
  <c r="K264" i="1"/>
  <c r="G264" i="1"/>
  <c r="H264" i="1"/>
  <c r="L264" i="1"/>
  <c r="S264" i="1"/>
  <c r="O264" i="1"/>
  <c r="J264" i="1"/>
  <c r="N264" i="1"/>
  <c r="U264" i="1"/>
  <c r="V264" i="1"/>
  <c r="Q264" i="1"/>
  <c r="R126" i="1"/>
  <c r="S44" i="1"/>
  <c r="T126" i="1"/>
  <c r="U44" i="1"/>
  <c r="U126" i="1"/>
  <c r="V44" i="1"/>
  <c r="P126" i="1"/>
  <c r="Q44" i="1"/>
  <c r="Q126" i="1"/>
  <c r="R44" i="1"/>
  <c r="I126" i="1"/>
  <c r="J44" i="1"/>
  <c r="S126" i="1"/>
  <c r="T44" i="1"/>
  <c r="H126" i="1"/>
  <c r="I44" i="1"/>
  <c r="E126" i="1"/>
  <c r="F44" i="1"/>
  <c r="L126" i="1"/>
  <c r="M44" i="1"/>
  <c r="O126" i="1"/>
  <c r="P44" i="1"/>
  <c r="N126" i="1"/>
  <c r="O44" i="1"/>
  <c r="K126" i="1"/>
  <c r="L44" i="1"/>
  <c r="F126" i="1"/>
  <c r="G44" i="1"/>
  <c r="G126" i="1"/>
  <c r="H44" i="1"/>
  <c r="M126" i="1"/>
  <c r="N44" i="1"/>
  <c r="J126" i="1"/>
  <c r="K44" i="1"/>
  <c r="CN217" i="1"/>
  <c r="CN215" i="1" s="1"/>
  <c r="CO148" i="1"/>
  <c r="CV91" i="1"/>
  <c r="AD216" i="1"/>
  <c r="AB156" i="1"/>
  <c r="AE151" i="1"/>
  <c r="AD151" i="1"/>
  <c r="CT77" i="1"/>
  <c r="AC77" i="1" s="1"/>
  <c r="AC79" i="1" s="1"/>
  <c r="CS79" i="1"/>
  <c r="C126" i="1"/>
  <c r="BY1" i="1"/>
  <c r="L43" i="1"/>
  <c r="N43" i="1"/>
  <c r="F43" i="1"/>
  <c r="O43" i="1"/>
  <c r="U48" i="1"/>
  <c r="U52" i="1" s="1"/>
  <c r="U43" i="1"/>
  <c r="G43" i="1"/>
  <c r="S43" i="1"/>
  <c r="M43" i="1"/>
  <c r="R43" i="1"/>
  <c r="J43" i="1"/>
  <c r="I43" i="1"/>
  <c r="P43" i="1"/>
  <c r="H43" i="1"/>
  <c r="K43" i="1"/>
  <c r="T43" i="1"/>
  <c r="Q43" i="1"/>
  <c r="T246" i="1"/>
  <c r="T247" i="1" s="1"/>
  <c r="Q246" i="1"/>
  <c r="Q247" i="1" s="1"/>
  <c r="K246" i="1"/>
  <c r="K247" i="1" s="1"/>
  <c r="O246" i="1"/>
  <c r="O247" i="1" s="1"/>
  <c r="U246" i="1"/>
  <c r="U247" i="1" s="1"/>
  <c r="L246" i="1"/>
  <c r="L247" i="1" s="1"/>
  <c r="C246" i="1"/>
  <c r="C247" i="1" s="1"/>
  <c r="I246" i="1"/>
  <c r="I247" i="1" s="1"/>
  <c r="G246" i="1"/>
  <c r="G247" i="1" s="1"/>
  <c r="R246" i="1"/>
  <c r="R247" i="1" s="1"/>
  <c r="P246" i="1"/>
  <c r="P247" i="1" s="1"/>
  <c r="F246" i="1"/>
  <c r="F247" i="1" s="1"/>
  <c r="M246" i="1"/>
  <c r="M247" i="1" s="1"/>
  <c r="N246" i="1"/>
  <c r="N247" i="1" s="1"/>
  <c r="E246" i="1"/>
  <c r="E247" i="1" s="1"/>
  <c r="S246" i="1"/>
  <c r="S247" i="1" s="1"/>
  <c r="J246" i="1"/>
  <c r="J247" i="1" s="1"/>
  <c r="H246" i="1"/>
  <c r="H247" i="1" s="1"/>
  <c r="B48" i="1"/>
  <c r="L48" i="1"/>
  <c r="Q48" i="1"/>
  <c r="T48" i="1"/>
  <c r="N48" i="1"/>
  <c r="S48" i="1"/>
  <c r="F48" i="1"/>
  <c r="K48" i="1"/>
  <c r="H48" i="1"/>
  <c r="I48" i="1"/>
  <c r="P48" i="1"/>
  <c r="C48" i="1"/>
  <c r="O48" i="1"/>
  <c r="R48" i="1"/>
  <c r="M48" i="1"/>
  <c r="G48" i="1"/>
  <c r="E48" i="1"/>
  <c r="J48" i="1"/>
  <c r="Z83" i="1" l="1"/>
  <c r="Z82" i="1"/>
  <c r="Z109" i="1"/>
  <c r="Z108" i="1"/>
  <c r="Z110" i="1"/>
  <c r="Z117" i="1"/>
  <c r="Z116" i="1"/>
  <c r="Z118" i="1"/>
  <c r="W77" i="1"/>
  <c r="V77" i="1" s="1"/>
  <c r="U77" i="1" s="1"/>
  <c r="T77" i="1" s="1"/>
  <c r="S77" i="1" s="1"/>
  <c r="R77" i="1" s="1"/>
  <c r="Q77" i="1" s="1"/>
  <c r="P77" i="1" s="1"/>
  <c r="O77" i="1" s="1"/>
  <c r="N77" i="1" s="1"/>
  <c r="M77" i="1" s="1"/>
  <c r="L77" i="1" s="1"/>
  <c r="K77" i="1" s="1"/>
  <c r="J77" i="1" s="1"/>
  <c r="I77" i="1" s="1"/>
  <c r="H77" i="1" s="1"/>
  <c r="G77" i="1" s="1"/>
  <c r="F77" i="1" s="1"/>
  <c r="E77" i="1" s="1"/>
  <c r="X79" i="1"/>
  <c r="Y113" i="1"/>
  <c r="Y121" i="1"/>
  <c r="Y124" i="1" s="1"/>
  <c r="Y127" i="1" s="1"/>
  <c r="Y106" i="1"/>
  <c r="Y80" i="1"/>
  <c r="Y122" i="1"/>
  <c r="Y125" i="1" s="1"/>
  <c r="Y128" i="1" s="1"/>
  <c r="AA99" i="1"/>
  <c r="AA100" i="1"/>
  <c r="AA101" i="1"/>
  <c r="CF104" i="1"/>
  <c r="CE104" i="1"/>
  <c r="AJ66" i="1"/>
  <c r="AJ207" i="1"/>
  <c r="AJ209" i="1" s="1"/>
  <c r="AJ213" i="1" s="1"/>
  <c r="AJ227" i="1" s="1"/>
  <c r="AJ80" i="1"/>
  <c r="AJ221" i="1"/>
  <c r="AJ219" i="1" s="1"/>
  <c r="AJ224" i="1" s="1"/>
  <c r="AJ225" i="1" s="1"/>
  <c r="CA68" i="1"/>
  <c r="BX80" i="1"/>
  <c r="CA83" i="1" s="1"/>
  <c r="BX207" i="1"/>
  <c r="BX209" i="1" s="1"/>
  <c r="BX66" i="1"/>
  <c r="AK221" i="1"/>
  <c r="AK219" i="1" s="1"/>
  <c r="AL221" i="1"/>
  <c r="AL219" i="1" s="1"/>
  <c r="BK178" i="1"/>
  <c r="BM178" i="1"/>
  <c r="CO152" i="1"/>
  <c r="CP46" i="1"/>
  <c r="CW91" i="1"/>
  <c r="AE154" i="1"/>
  <c r="AE216" i="1" s="1"/>
  <c r="CT79" i="1"/>
  <c r="CU77" i="1"/>
  <c r="BZ1" i="1"/>
  <c r="U55" i="1"/>
  <c r="V57" i="1" s="1"/>
  <c r="U54" i="1"/>
  <c r="P52" i="1"/>
  <c r="P55" i="1" s="1"/>
  <c r="R52" i="1"/>
  <c r="R55" i="1" s="1"/>
  <c r="E52" i="1"/>
  <c r="S52" i="1"/>
  <c r="S54" i="1" s="1"/>
  <c r="G52" i="1"/>
  <c r="G55" i="1" s="1"/>
  <c r="K52" i="1"/>
  <c r="K55" i="1" s="1"/>
  <c r="B52" i="1"/>
  <c r="O52" i="1"/>
  <c r="O55" i="1" s="1"/>
  <c r="H52" i="1"/>
  <c r="H55" i="1" s="1"/>
  <c r="N52" i="1"/>
  <c r="N55" i="1" s="1"/>
  <c r="L52" i="1"/>
  <c r="L54" i="1" s="1"/>
  <c r="C52" i="1"/>
  <c r="M52" i="1"/>
  <c r="M54" i="1" s="1"/>
  <c r="T52" i="1"/>
  <c r="T55" i="1" s="1"/>
  <c r="F52" i="1"/>
  <c r="F54" i="1" s="1"/>
  <c r="J52" i="1"/>
  <c r="J54" i="1" s="1"/>
  <c r="I52" i="1"/>
  <c r="I54" i="1" s="1"/>
  <c r="Q52" i="1"/>
  <c r="Q55" i="1" s="1"/>
  <c r="V248" i="1"/>
  <c r="Z101" i="1" l="1"/>
  <c r="Z99" i="1"/>
  <c r="Z100" i="1"/>
  <c r="AA84" i="1"/>
  <c r="X80" i="1"/>
  <c r="X122" i="1"/>
  <c r="X125" i="1" s="1"/>
  <c r="X128" i="1" s="1"/>
  <c r="X106" i="1"/>
  <c r="X121" i="1"/>
  <c r="X124" i="1" s="1"/>
  <c r="X127" i="1" s="1"/>
  <c r="X113" i="1"/>
  <c r="Y118" i="1"/>
  <c r="Y116" i="1"/>
  <c r="Y117" i="1"/>
  <c r="Y110" i="1"/>
  <c r="Y108" i="1"/>
  <c r="Y109" i="1"/>
  <c r="Y83" i="1"/>
  <c r="Y82" i="1"/>
  <c r="R57" i="1"/>
  <c r="CE84" i="1"/>
  <c r="CA101" i="1"/>
  <c r="CA100" i="1"/>
  <c r="CD104" i="1" s="1"/>
  <c r="BW103" i="1"/>
  <c r="CA99" i="1"/>
  <c r="U57" i="1"/>
  <c r="O57" i="1"/>
  <c r="AB46" i="1"/>
  <c r="B55" i="1"/>
  <c r="B54" i="1"/>
  <c r="C55" i="1"/>
  <c r="C54" i="1"/>
  <c r="E55" i="1"/>
  <c r="E62" i="1" s="1"/>
  <c r="E54" i="1"/>
  <c r="P57" i="1"/>
  <c r="H57" i="1"/>
  <c r="Q57" i="1"/>
  <c r="BJ179" i="1"/>
  <c r="BJ180" i="1" s="1"/>
  <c r="BL179" i="1"/>
  <c r="BL180" i="1" s="1"/>
  <c r="CP208" i="1"/>
  <c r="CP146" i="1"/>
  <c r="CO217" i="1"/>
  <c r="CO215" i="1" s="1"/>
  <c r="CX91" i="1"/>
  <c r="CV77" i="1"/>
  <c r="CU79" i="1"/>
  <c r="CA1" i="1"/>
  <c r="CB1" i="1" s="1"/>
  <c r="O54" i="1"/>
  <c r="BL248" i="1"/>
  <c r="S55" i="1"/>
  <c r="U56" i="1"/>
  <c r="U259" i="1" s="1"/>
  <c r="P56" i="1"/>
  <c r="P259" i="1" s="1"/>
  <c r="Q62" i="1"/>
  <c r="Q56" i="1"/>
  <c r="Q259" i="1" s="1"/>
  <c r="L55" i="1"/>
  <c r="P54" i="1"/>
  <c r="H56" i="1"/>
  <c r="H259" i="1" s="1"/>
  <c r="G56" i="1"/>
  <c r="G259" i="1" s="1"/>
  <c r="U62" i="1"/>
  <c r="N56" i="1"/>
  <c r="N259" i="1" s="1"/>
  <c r="R56" i="1"/>
  <c r="R259" i="1" s="1"/>
  <c r="K56" i="1"/>
  <c r="K259" i="1" s="1"/>
  <c r="O62" i="1"/>
  <c r="O56" i="1"/>
  <c r="O259" i="1" s="1"/>
  <c r="T62" i="1"/>
  <c r="T56" i="1"/>
  <c r="T259" i="1" s="1"/>
  <c r="R54" i="1"/>
  <c r="K54" i="1"/>
  <c r="N54" i="1"/>
  <c r="G54" i="1"/>
  <c r="H54" i="1"/>
  <c r="J55" i="1"/>
  <c r="K57" i="1" s="1"/>
  <c r="M55" i="1"/>
  <c r="N57" i="1" s="1"/>
  <c r="T54" i="1"/>
  <c r="F55" i="1"/>
  <c r="G57" i="1" s="1"/>
  <c r="I55" i="1"/>
  <c r="I57" i="1" s="1"/>
  <c r="O248" i="1"/>
  <c r="Q54" i="1"/>
  <c r="P248" i="1"/>
  <c r="P62" i="1"/>
  <c r="K248" i="1"/>
  <c r="K62" i="1"/>
  <c r="H248" i="1"/>
  <c r="H62" i="1"/>
  <c r="R62" i="1"/>
  <c r="N62" i="1"/>
  <c r="G62" i="1"/>
  <c r="G248" i="1"/>
  <c r="R248" i="1"/>
  <c r="N248" i="1"/>
  <c r="Q248" i="1"/>
  <c r="U248" i="1"/>
  <c r="T248" i="1"/>
  <c r="V66" i="1"/>
  <c r="V207" i="1"/>
  <c r="V209" i="1" s="1"/>
  <c r="Z84" i="1" l="1"/>
  <c r="X82" i="1"/>
  <c r="X83" i="1"/>
  <c r="X110" i="1"/>
  <c r="X108" i="1"/>
  <c r="X109" i="1"/>
  <c r="X116" i="1"/>
  <c r="X117" i="1"/>
  <c r="X118" i="1"/>
  <c r="Y101" i="1"/>
  <c r="Y100" i="1"/>
  <c r="Y99" i="1"/>
  <c r="E248" i="1"/>
  <c r="AB208" i="1"/>
  <c r="E56" i="1"/>
  <c r="E259" i="1" s="1"/>
  <c r="E57" i="1"/>
  <c r="D57" i="1"/>
  <c r="C56" i="1"/>
  <c r="B56" i="1"/>
  <c r="C57" i="1"/>
  <c r="F57" i="1"/>
  <c r="M57" i="1"/>
  <c r="S56" i="1"/>
  <c r="S259" i="1" s="1"/>
  <c r="T57" i="1"/>
  <c r="L57" i="1"/>
  <c r="J57" i="1"/>
  <c r="S57" i="1"/>
  <c r="I79" i="1"/>
  <c r="I113" i="1" s="1"/>
  <c r="Q79" i="1"/>
  <c r="Q113" i="1" s="1"/>
  <c r="U79" i="1"/>
  <c r="U113" i="1" s="1"/>
  <c r="F79" i="1"/>
  <c r="F113" i="1" s="1"/>
  <c r="R79" i="1"/>
  <c r="R113" i="1" s="1"/>
  <c r="J79" i="1"/>
  <c r="N79" i="1"/>
  <c r="N80" i="1" s="1"/>
  <c r="N83" i="1" s="1"/>
  <c r="T79" i="1"/>
  <c r="E79" i="1"/>
  <c r="E113" i="1" s="1"/>
  <c r="H79" i="1"/>
  <c r="H113" i="1" s="1"/>
  <c r="S79" i="1"/>
  <c r="V79" i="1"/>
  <c r="V113" i="1" s="1"/>
  <c r="P79" i="1"/>
  <c r="G79" i="1"/>
  <c r="G80" i="1" s="1"/>
  <c r="G83" i="1" s="1"/>
  <c r="L79" i="1"/>
  <c r="K79" i="1"/>
  <c r="AB146" i="1"/>
  <c r="AB148" i="1" s="1"/>
  <c r="AB47" i="1" s="1"/>
  <c r="CP148" i="1"/>
  <c r="AD91" i="1"/>
  <c r="CY91" i="1"/>
  <c r="CV79" i="1"/>
  <c r="CW77" i="1"/>
  <c r="CC1" i="1"/>
  <c r="K66" i="1"/>
  <c r="G66" i="1"/>
  <c r="E66" i="1"/>
  <c r="S62" i="1"/>
  <c r="S248" i="1"/>
  <c r="L248" i="1"/>
  <c r="L62" i="1"/>
  <c r="O207" i="1"/>
  <c r="O209" i="1" s="1"/>
  <c r="O66" i="1"/>
  <c r="B248" i="1"/>
  <c r="B62" i="1"/>
  <c r="M62" i="1"/>
  <c r="M56" i="1"/>
  <c r="M259" i="1" s="1"/>
  <c r="C248" i="1"/>
  <c r="I62" i="1"/>
  <c r="I56" i="1"/>
  <c r="I259" i="1" s="1"/>
  <c r="J62" i="1"/>
  <c r="J56" i="1"/>
  <c r="J259" i="1" s="1"/>
  <c r="F62" i="1"/>
  <c r="F56" i="1"/>
  <c r="F259" i="1" s="1"/>
  <c r="L56" i="1"/>
  <c r="L259" i="1" s="1"/>
  <c r="J248" i="1"/>
  <c r="E207" i="1"/>
  <c r="E209" i="1" s="1"/>
  <c r="R207" i="1"/>
  <c r="R209" i="1" s="1"/>
  <c r="M248" i="1"/>
  <c r="R66" i="1"/>
  <c r="I248" i="1"/>
  <c r="H66" i="1"/>
  <c r="H207" i="1"/>
  <c r="H209" i="1" s="1"/>
  <c r="F248" i="1"/>
  <c r="C62" i="1"/>
  <c r="N207" i="1"/>
  <c r="N209" i="1" s="1"/>
  <c r="N66" i="1"/>
  <c r="G207" i="1"/>
  <c r="G209" i="1" s="1"/>
  <c r="P66" i="1"/>
  <c r="K207" i="1"/>
  <c r="K209" i="1" s="1"/>
  <c r="P207" i="1"/>
  <c r="P209" i="1" s="1"/>
  <c r="U66" i="1"/>
  <c r="U207" i="1"/>
  <c r="U209" i="1" s="1"/>
  <c r="Q66" i="1"/>
  <c r="Q207" i="1"/>
  <c r="Q209" i="1" s="1"/>
  <c r="T66" i="1"/>
  <c r="T207" i="1"/>
  <c r="T209" i="1" s="1"/>
  <c r="X100" i="1" l="1"/>
  <c r="X101" i="1"/>
  <c r="X99" i="1"/>
  <c r="Y84" i="1"/>
  <c r="R80" i="1"/>
  <c r="R83" i="1" s="1"/>
  <c r="K113" i="1"/>
  <c r="L113" i="1"/>
  <c r="T113" i="1"/>
  <c r="P113" i="1"/>
  <c r="G113" i="1"/>
  <c r="S113" i="1"/>
  <c r="J113" i="1"/>
  <c r="N113" i="1"/>
  <c r="H80" i="1"/>
  <c r="U80" i="1"/>
  <c r="U83" i="1" s="1"/>
  <c r="V80" i="1"/>
  <c r="E80" i="1"/>
  <c r="Q80" i="1"/>
  <c r="T80" i="1"/>
  <c r="T83" i="1" s="1"/>
  <c r="M79" i="1"/>
  <c r="M80" i="1" s="1"/>
  <c r="M83" i="1" s="1"/>
  <c r="O79" i="1"/>
  <c r="O113" i="1" s="1"/>
  <c r="W79" i="1"/>
  <c r="W113" i="1" s="1"/>
  <c r="K80" i="1"/>
  <c r="P80" i="1"/>
  <c r="P83" i="1" s="1"/>
  <c r="CP152" i="1"/>
  <c r="CP217" i="1" s="1"/>
  <c r="CP215" i="1" s="1"/>
  <c r="CQ46" i="1"/>
  <c r="CZ91" i="1"/>
  <c r="AC156" i="1"/>
  <c r="CX77" i="1"/>
  <c r="AD77" i="1" s="1"/>
  <c r="AD79" i="1" s="1"/>
  <c r="CW79" i="1"/>
  <c r="CD1" i="1"/>
  <c r="CE1" i="1" s="1"/>
  <c r="CF1" i="1" s="1"/>
  <c r="CG1" i="1" s="1"/>
  <c r="CH1" i="1" s="1"/>
  <c r="CI1" i="1" s="1"/>
  <c r="CJ1" i="1" s="1"/>
  <c r="CK1" i="1" s="1"/>
  <c r="L207" i="1"/>
  <c r="L209" i="1" s="1"/>
  <c r="J207" i="1"/>
  <c r="J209" i="1" s="1"/>
  <c r="J80" i="1"/>
  <c r="J83" i="1" s="1"/>
  <c r="M207" i="1"/>
  <c r="M209" i="1" s="1"/>
  <c r="B66" i="1"/>
  <c r="F66" i="1"/>
  <c r="F80" i="1"/>
  <c r="F83" i="1" s="1"/>
  <c r="I66" i="1"/>
  <c r="I80" i="1"/>
  <c r="C66" i="1"/>
  <c r="L66" i="1"/>
  <c r="L80" i="1"/>
  <c r="S80" i="1"/>
  <c r="S66" i="1"/>
  <c r="J66" i="1"/>
  <c r="S207" i="1"/>
  <c r="S209" i="1" s="1"/>
  <c r="M66" i="1"/>
  <c r="I207" i="1"/>
  <c r="I209" i="1" s="1"/>
  <c r="F207" i="1"/>
  <c r="F209" i="1" s="1"/>
  <c r="C207" i="1"/>
  <c r="C209" i="1" s="1"/>
  <c r="K83" i="1" l="1"/>
  <c r="Q83" i="1"/>
  <c r="U84" i="1"/>
  <c r="M113" i="1"/>
  <c r="H83" i="1"/>
  <c r="E83" i="1"/>
  <c r="V83" i="1"/>
  <c r="O80" i="1"/>
  <c r="W80" i="1"/>
  <c r="CQ208" i="1"/>
  <c r="CQ146" i="1"/>
  <c r="DA91" i="1"/>
  <c r="CX79" i="1"/>
  <c r="CY77" i="1"/>
  <c r="AB138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N84" i="1"/>
  <c r="G84" i="1"/>
  <c r="S83" i="1"/>
  <c r="I83" i="1"/>
  <c r="J84" i="1" s="1"/>
  <c r="L83" i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P92" i="2"/>
  <c r="E78" i="2"/>
  <c r="J81" i="2"/>
  <c r="U64" i="2"/>
  <c r="U40" i="2"/>
  <c r="L97" i="2"/>
  <c r="N47" i="2"/>
  <c r="AB68" i="3"/>
  <c r="AB59" i="3"/>
  <c r="X59" i="2"/>
  <c r="F108" i="2"/>
  <c r="I85" i="2"/>
  <c r="V72" i="2"/>
  <c r="R48" i="2"/>
  <c r="S43" i="2"/>
  <c r="S53" i="2"/>
  <c r="E104" i="2"/>
  <c r="M86" i="2"/>
  <c r="J94" i="2"/>
  <c r="W44" i="2"/>
  <c r="I61" i="2"/>
  <c r="P47" i="2"/>
  <c r="W92" i="2"/>
  <c r="O90" i="2"/>
  <c r="D84" i="2"/>
  <c r="G53" i="2"/>
  <c r="Q88" i="2"/>
  <c r="S49" i="2"/>
  <c r="G110" i="2"/>
  <c r="O96" i="2"/>
  <c r="W89" i="2"/>
  <c r="W69" i="2"/>
  <c r="U109" i="2"/>
  <c r="S71" i="2"/>
  <c r="L56" i="2"/>
  <c r="E98" i="2"/>
  <c r="D71" i="2"/>
  <c r="J105" i="2"/>
  <c r="J87" i="2"/>
  <c r="V104" i="2"/>
  <c r="M43" i="2"/>
  <c r="I42" i="2"/>
  <c r="J85" i="2"/>
  <c r="F79" i="2"/>
  <c r="C93" i="2"/>
  <c r="M90" i="2"/>
  <c r="T71" i="2"/>
  <c r="H42" i="2"/>
  <c r="V109" i="2"/>
  <c r="J77" i="2"/>
  <c r="J49" i="2"/>
  <c r="P49" i="2"/>
  <c r="K46" i="2"/>
  <c r="R45" i="2"/>
  <c r="L106" i="2"/>
  <c r="D106" i="2"/>
  <c r="M64" i="2"/>
  <c r="F59" i="2"/>
  <c r="P74" i="2"/>
  <c r="D94" i="2"/>
  <c r="M67" i="2"/>
  <c r="E48" i="2"/>
  <c r="I40" i="2"/>
  <c r="V45" i="2"/>
  <c r="X109" i="2"/>
  <c r="R50" i="2"/>
  <c r="C108" i="2"/>
  <c r="V83" i="2"/>
  <c r="M42" i="2"/>
  <c r="R60" i="2"/>
  <c r="C63" i="2"/>
  <c r="AB58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D78" i="2"/>
  <c r="M91" i="2"/>
  <c r="L65" i="2"/>
  <c r="Q89" i="2"/>
  <c r="F57" i="2"/>
  <c r="X93" i="2"/>
  <c r="G89" i="2"/>
  <c r="O83" i="2"/>
  <c r="P111" i="2"/>
  <c r="C42" i="2"/>
  <c r="K95" i="2"/>
  <c r="L44" i="2"/>
  <c r="L69" i="2"/>
  <c r="D79" i="2"/>
  <c r="E85" i="2"/>
  <c r="V105" i="2"/>
  <c r="E66" i="2"/>
  <c r="Q93" i="2"/>
  <c r="W111" i="2"/>
  <c r="G91" i="2"/>
  <c r="S97" i="2"/>
  <c r="E111" i="2"/>
  <c r="H56" i="2"/>
  <c r="C107" i="2"/>
  <c r="N108" i="2"/>
  <c r="F44" i="2"/>
  <c r="K48" i="2"/>
  <c r="P44" i="2"/>
  <c r="W41" i="2"/>
  <c r="V41" i="2"/>
  <c r="G59" i="2"/>
  <c r="R72" i="2"/>
  <c r="O93" i="2"/>
  <c r="P53" i="2"/>
  <c r="C52" i="2"/>
  <c r="M70" i="2"/>
  <c r="W82" i="2"/>
  <c r="Q42" i="2"/>
  <c r="E40" i="2"/>
  <c r="G54" i="2"/>
  <c r="K112" i="2"/>
  <c r="F98" i="2"/>
  <c r="O52" i="2"/>
  <c r="C78" i="2"/>
  <c r="V68" i="2"/>
  <c r="E73" i="2"/>
  <c r="V44" i="2"/>
  <c r="G42" i="2"/>
  <c r="F66" i="2"/>
  <c r="T49" i="2"/>
  <c r="T105" i="2"/>
  <c r="G64" i="2"/>
  <c r="G55" i="2"/>
  <c r="H77" i="2"/>
  <c r="W52" i="2"/>
  <c r="H76" i="2"/>
  <c r="C95" i="2"/>
  <c r="N57" i="2"/>
  <c r="F82" i="2"/>
  <c r="E96" i="2"/>
  <c r="L78" i="2"/>
  <c r="AB65" i="3"/>
  <c r="AB73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F50" i="2"/>
  <c r="V49" i="2"/>
  <c r="Q63" i="2"/>
  <c r="M92" i="2"/>
  <c r="O98" i="2"/>
  <c r="W60" i="2"/>
  <c r="R81" i="2"/>
  <c r="P70" i="2"/>
  <c r="F106" i="2"/>
  <c r="W59" i="2"/>
  <c r="P81" i="2"/>
  <c r="M44" i="2"/>
  <c r="U45" i="2"/>
  <c r="M77" i="2"/>
  <c r="R105" i="2"/>
  <c r="X96" i="2"/>
  <c r="M60" i="2"/>
  <c r="N66" i="2"/>
  <c r="U63" i="2"/>
  <c r="K110" i="2"/>
  <c r="W61" i="2"/>
  <c r="N73" i="2"/>
  <c r="R111" i="2"/>
  <c r="H98" i="2"/>
  <c r="R83" i="2"/>
  <c r="I112" i="2"/>
  <c r="J40" i="2"/>
  <c r="I46" i="2"/>
  <c r="G88" i="2"/>
  <c r="N83" i="2"/>
  <c r="R76" i="2"/>
  <c r="H62" i="2"/>
  <c r="P89" i="2"/>
  <c r="N69" i="2"/>
  <c r="Q107" i="2"/>
  <c r="S75" i="2"/>
  <c r="X48" i="2"/>
  <c r="I55" i="2"/>
  <c r="M74" i="2"/>
  <c r="F58" i="2"/>
  <c r="S59" i="2"/>
  <c r="W76" i="2"/>
  <c r="Q98" i="2"/>
  <c r="D40" i="2"/>
  <c r="U86" i="2"/>
  <c r="H57" i="2"/>
  <c r="P57" i="2"/>
  <c r="N54" i="2"/>
  <c r="R68" i="2"/>
  <c r="E112" i="2"/>
  <c r="T58" i="2"/>
  <c r="N67" i="2"/>
  <c r="J95" i="2"/>
  <c r="R40" i="2"/>
  <c r="R97" i="2"/>
  <c r="X54" i="2"/>
  <c r="S95" i="2"/>
  <c r="W112" i="2"/>
  <c r="L105" i="2"/>
  <c r="X84" i="2"/>
  <c r="X45" i="2"/>
  <c r="AB83" i="3"/>
  <c r="AP96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M40" i="2"/>
  <c r="C81" i="2"/>
  <c r="P46" i="2"/>
  <c r="V75" i="2"/>
  <c r="E64" i="2"/>
  <c r="P42" i="2"/>
  <c r="U53" i="2"/>
  <c r="W88" i="2"/>
  <c r="V73" i="2"/>
  <c r="N105" i="2"/>
  <c r="V92" i="2"/>
  <c r="E41" i="2"/>
  <c r="P98" i="2"/>
  <c r="E81" i="2"/>
  <c r="S105" i="2"/>
  <c r="I56" i="2"/>
  <c r="W107" i="2"/>
  <c r="V89" i="2"/>
  <c r="I50" i="2"/>
  <c r="U87" i="2"/>
  <c r="C57" i="2"/>
  <c r="E51" i="2"/>
  <c r="G93" i="2"/>
  <c r="G52" i="2"/>
  <c r="J84" i="2"/>
  <c r="P82" i="2"/>
  <c r="N111" i="2"/>
  <c r="P43" i="2"/>
  <c r="C105" i="2"/>
  <c r="O44" i="2"/>
  <c r="O80" i="2"/>
  <c r="E93" i="2"/>
  <c r="J97" i="2"/>
  <c r="D64" i="2"/>
  <c r="M84" i="2"/>
  <c r="W53" i="2"/>
  <c r="V82" i="2"/>
  <c r="T56" i="2"/>
  <c r="G56" i="2"/>
  <c r="K55" i="2"/>
  <c r="E80" i="2"/>
  <c r="G49" i="2"/>
  <c r="D43" i="2"/>
  <c r="G65" i="2"/>
  <c r="N64" i="2"/>
  <c r="H110" i="2"/>
  <c r="J93" i="2"/>
  <c r="K108" i="2"/>
  <c r="K74" i="2"/>
  <c r="R56" i="2"/>
  <c r="X62" i="2"/>
  <c r="D72" i="2"/>
  <c r="W83" i="2"/>
  <c r="E58" i="2"/>
  <c r="T94" i="2"/>
  <c r="C47" i="2"/>
  <c r="K105" i="2"/>
  <c r="U47" i="2"/>
  <c r="V48" i="2"/>
  <c r="L45" i="2"/>
  <c r="Q82" i="2"/>
  <c r="C99" i="2"/>
  <c r="K72" i="2"/>
  <c r="U94" i="2"/>
  <c r="S93" i="2"/>
  <c r="J76" i="2"/>
  <c r="R84" i="2"/>
  <c r="D87" i="2"/>
  <c r="R80" i="2"/>
  <c r="C106" i="2"/>
  <c r="N43" i="2"/>
  <c r="D112" i="2"/>
  <c r="F61" i="2"/>
  <c r="J113" i="2"/>
  <c r="U89" i="2"/>
  <c r="E72" i="2"/>
  <c r="N86" i="2"/>
  <c r="M72" i="2"/>
  <c r="U46" i="2"/>
  <c r="L66" i="2"/>
  <c r="U106" i="2"/>
  <c r="U93" i="2"/>
  <c r="V70" i="2"/>
  <c r="C104" i="2"/>
  <c r="H108" i="2"/>
  <c r="C40" i="2"/>
  <c r="D67" i="2"/>
  <c r="F85" i="2"/>
  <c r="V91" i="2"/>
  <c r="U110" i="2"/>
  <c r="X86" i="2"/>
  <c r="D68" i="2"/>
  <c r="W104" i="2"/>
  <c r="X78" i="2"/>
  <c r="C66" i="2"/>
  <c r="K77" i="2"/>
  <c r="U107" i="2"/>
  <c r="C79" i="2"/>
  <c r="G69" i="2"/>
  <c r="F81" i="2"/>
  <c r="H59" i="2"/>
  <c r="M108" i="2"/>
  <c r="T63" i="2"/>
  <c r="M59" i="2"/>
  <c r="V79" i="2"/>
  <c r="AB61" i="3"/>
  <c r="AB57" i="3"/>
  <c r="AB47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P90" i="2"/>
  <c r="I78" i="2"/>
  <c r="P68" i="2"/>
  <c r="K62" i="2"/>
  <c r="K90" i="2"/>
  <c r="F95" i="2"/>
  <c r="T90" i="2"/>
  <c r="Q74" i="2"/>
  <c r="G84" i="2"/>
  <c r="S46" i="2"/>
  <c r="P41" i="2"/>
  <c r="T80" i="2"/>
  <c r="U62" i="2"/>
  <c r="H44" i="2"/>
  <c r="L94" i="2"/>
  <c r="W49" i="2"/>
  <c r="T68" i="2"/>
  <c r="U111" i="2"/>
  <c r="C55" i="2"/>
  <c r="R49" i="2"/>
  <c r="I86" i="2"/>
  <c r="K66" i="2"/>
  <c r="S88" i="2"/>
  <c r="V69" i="2"/>
  <c r="J68" i="2"/>
  <c r="W51" i="2"/>
  <c r="O110" i="2"/>
  <c r="U95" i="2"/>
  <c r="J42" i="2"/>
  <c r="O92" i="2"/>
  <c r="E50" i="2"/>
  <c r="J58" i="2"/>
  <c r="M107" i="2"/>
  <c r="N106" i="2"/>
  <c r="V93" i="2"/>
  <c r="T60" i="2"/>
  <c r="I45" i="2"/>
  <c r="N91" i="2"/>
  <c r="Q80" i="2"/>
  <c r="H67" i="2"/>
  <c r="R43" i="2"/>
  <c r="Q111" i="2"/>
  <c r="K78" i="2"/>
  <c r="Q60" i="2"/>
  <c r="C80" i="2"/>
  <c r="Q50" i="2"/>
  <c r="O88" i="2"/>
  <c r="S90" i="2"/>
  <c r="G94" i="2"/>
  <c r="T74" i="2"/>
  <c r="K83" i="2"/>
  <c r="T57" i="2"/>
  <c r="G79" i="2"/>
  <c r="L46" i="2"/>
  <c r="K58" i="2"/>
  <c r="H109" i="2"/>
  <c r="K64" i="2"/>
  <c r="N61" i="2"/>
  <c r="I73" i="2"/>
  <c r="K111" i="2"/>
  <c r="G83" i="2"/>
  <c r="N77" i="2"/>
  <c r="AB81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AP95" i="3"/>
  <c r="P39" i="3"/>
  <c r="I38" i="3"/>
  <c r="S16" i="3"/>
  <c r="AG42" i="3"/>
  <c r="I23" i="3"/>
  <c r="AE24" i="3"/>
  <c r="K36" i="3"/>
  <c r="N5" i="3"/>
  <c r="Y39" i="3"/>
  <c r="Z12" i="3"/>
  <c r="AA36" i="3"/>
  <c r="C22" i="3"/>
  <c r="C32" i="3"/>
  <c r="AN27" i="3"/>
  <c r="Q29" i="3"/>
  <c r="V33" i="3"/>
  <c r="AO24" i="3"/>
  <c r="AK11" i="3"/>
  <c r="O20" i="3"/>
  <c r="AO32" i="3"/>
  <c r="AO34" i="3"/>
  <c r="M7" i="3"/>
  <c r="AQ19" i="3"/>
  <c r="AG23" i="3"/>
  <c r="H25" i="3"/>
  <c r="K15" i="3"/>
  <c r="AB13" i="3"/>
  <c r="AC16" i="3"/>
  <c r="Z36" i="3"/>
  <c r="Y36" i="3"/>
  <c r="L42" i="3"/>
  <c r="AD36" i="3"/>
  <c r="J5" i="3"/>
  <c r="O77" i="2"/>
  <c r="K50" i="2"/>
  <c r="J71" i="2"/>
  <c r="C46" i="2"/>
  <c r="M46" i="2"/>
  <c r="Q91" i="2"/>
  <c r="U92" i="2"/>
  <c r="F42" i="2"/>
  <c r="S79" i="2"/>
  <c r="G82" i="2"/>
  <c r="K88" i="2"/>
  <c r="M78" i="2"/>
  <c r="C74" i="2"/>
  <c r="N40" i="2"/>
  <c r="N90" i="2"/>
  <c r="K42" i="2"/>
  <c r="J106" i="2"/>
  <c r="R64" i="2"/>
  <c r="D86" i="2"/>
  <c r="C109" i="2"/>
  <c r="F51" i="2"/>
  <c r="I59" i="2"/>
  <c r="C60" i="2"/>
  <c r="S50" i="2"/>
  <c r="R113" i="2"/>
  <c r="V84" i="2"/>
  <c r="S72" i="2"/>
  <c r="H96" i="2"/>
  <c r="L98" i="2"/>
  <c r="H92" i="2"/>
  <c r="J111" i="2"/>
  <c r="V47" i="2"/>
  <c r="C68" i="2"/>
  <c r="M95" i="2"/>
  <c r="E88" i="2"/>
  <c r="N75" i="2"/>
  <c r="L99" i="2"/>
  <c r="M109" i="2"/>
  <c r="K65" i="2"/>
  <c r="G87" i="2"/>
  <c r="R73" i="2"/>
  <c r="D73" i="2"/>
  <c r="P60" i="2"/>
  <c r="T86" i="2"/>
  <c r="W64" i="2"/>
  <c r="G74" i="2"/>
  <c r="S65" i="2"/>
  <c r="X104" i="2"/>
  <c r="H88" i="2"/>
  <c r="S111" i="2"/>
  <c r="T62" i="2"/>
  <c r="H45" i="2"/>
  <c r="R99" i="2"/>
  <c r="D113" i="2"/>
  <c r="Q51" i="2"/>
  <c r="H93" i="2"/>
  <c r="G51" i="2"/>
  <c r="U65" i="2"/>
  <c r="S64" i="2"/>
  <c r="O47" i="2"/>
  <c r="F69" i="2"/>
  <c r="U113" i="2"/>
  <c r="AB60" i="3"/>
  <c r="C48" i="3"/>
  <c r="AP88" i="3"/>
  <c r="AP61" i="3"/>
  <c r="AB63" i="3"/>
  <c r="AB67" i="3"/>
  <c r="AB76" i="3"/>
  <c r="AM33" i="3"/>
  <c r="H17" i="3"/>
  <c r="Z19" i="3"/>
  <c r="AO33" i="3"/>
  <c r="P10" i="3"/>
  <c r="K38" i="3"/>
  <c r="AB41" i="3"/>
  <c r="H14" i="3"/>
  <c r="AI11" i="3"/>
  <c r="AA12" i="3"/>
  <c r="N39" i="3"/>
  <c r="S35" i="3"/>
  <c r="X28" i="3"/>
  <c r="W19" i="3"/>
  <c r="U41" i="3"/>
  <c r="AB22" i="3"/>
  <c r="V9" i="3"/>
  <c r="M22" i="3"/>
  <c r="AI10" i="3"/>
  <c r="AP26" i="3"/>
  <c r="AN6" i="3"/>
  <c r="R26" i="3"/>
  <c r="G50" i="3"/>
  <c r="AB24" i="3"/>
  <c r="T10" i="3"/>
  <c r="AB29" i="3"/>
  <c r="AN24" i="3"/>
  <c r="AP22" i="3"/>
  <c r="M30" i="3"/>
  <c r="AD48" i="3"/>
  <c r="AJ32" i="3"/>
  <c r="R37" i="3"/>
  <c r="L27" i="3"/>
  <c r="O26" i="3"/>
  <c r="Z23" i="3"/>
  <c r="AB27" i="3"/>
  <c r="Y33" i="3"/>
  <c r="AD30" i="3"/>
  <c r="J20" i="3"/>
  <c r="H23" i="3"/>
  <c r="AN38" i="3"/>
  <c r="AL29" i="3"/>
  <c r="P84" i="2"/>
  <c r="M104" i="2"/>
  <c r="I106" i="2"/>
  <c r="I80" i="2"/>
  <c r="L112" i="2"/>
  <c r="P107" i="2"/>
  <c r="X98" i="2"/>
  <c r="L50" i="2"/>
  <c r="V80" i="2"/>
  <c r="L41" i="2"/>
  <c r="C89" i="2"/>
  <c r="S92" i="2"/>
  <c r="O87" i="2"/>
  <c r="T75" i="2"/>
  <c r="R51" i="2"/>
  <c r="W42" i="2"/>
  <c r="C43" i="2"/>
  <c r="M89" i="2"/>
  <c r="J79" i="2"/>
  <c r="F60" i="2"/>
  <c r="D54" i="2"/>
  <c r="S48" i="2"/>
  <c r="K51" i="2"/>
  <c r="Q90" i="2"/>
  <c r="W106" i="2"/>
  <c r="N74" i="2"/>
  <c r="E54" i="2"/>
  <c r="O51" i="2"/>
  <c r="G50" i="2"/>
  <c r="D55" i="2"/>
  <c r="X76" i="2"/>
  <c r="C54" i="2"/>
  <c r="K68" i="2"/>
  <c r="O55" i="2"/>
  <c r="N42" i="2"/>
  <c r="F64" i="2"/>
  <c r="L64" i="2"/>
  <c r="E74" i="2"/>
  <c r="D58" i="2"/>
  <c r="P93" i="2"/>
  <c r="T91" i="2"/>
  <c r="W110" i="2"/>
  <c r="W45" i="2"/>
  <c r="V59" i="2"/>
  <c r="W86" i="2"/>
  <c r="J51" i="2"/>
  <c r="I69" i="2"/>
  <c r="G67" i="2"/>
  <c r="J90" i="2"/>
  <c r="I88" i="2"/>
  <c r="J45" i="2"/>
  <c r="L61" i="2"/>
  <c r="N44" i="2"/>
  <c r="Q73" i="2"/>
  <c r="F62" i="2"/>
  <c r="N98" i="2"/>
  <c r="J67" i="2"/>
  <c r="P45" i="2"/>
  <c r="O109" i="2"/>
  <c r="O108" i="2"/>
  <c r="M47" i="2"/>
  <c r="L83" i="2"/>
  <c r="AB89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U104" i="2"/>
  <c r="C41" i="2"/>
  <c r="J46" i="2"/>
  <c r="C67" i="2"/>
  <c r="D45" i="2"/>
  <c r="X108" i="2"/>
  <c r="R62" i="2"/>
  <c r="W75" i="2"/>
  <c r="T40" i="2"/>
  <c r="E79" i="2"/>
  <c r="N82" i="2"/>
  <c r="D97" i="2"/>
  <c r="X47" i="2"/>
  <c r="G57" i="2"/>
  <c r="P99" i="2"/>
  <c r="R74" i="2"/>
  <c r="X110" i="2"/>
  <c r="P40" i="2"/>
  <c r="V62" i="2"/>
  <c r="H111" i="2"/>
  <c r="R89" i="2"/>
  <c r="S107" i="2"/>
  <c r="N52" i="2"/>
  <c r="P108" i="2"/>
  <c r="O63" i="2"/>
  <c r="V99" i="2"/>
  <c r="L60" i="2"/>
  <c r="T82" i="2"/>
  <c r="F112" i="2"/>
  <c r="T83" i="2"/>
  <c r="O53" i="2"/>
  <c r="H52" i="2"/>
  <c r="E91" i="2"/>
  <c r="N99" i="2"/>
  <c r="E44" i="2"/>
  <c r="N113" i="2"/>
  <c r="K71" i="2"/>
  <c r="C75" i="2"/>
  <c r="F56" i="2"/>
  <c r="S47" i="2"/>
  <c r="O97" i="2"/>
  <c r="M51" i="2"/>
  <c r="H106" i="2"/>
  <c r="K85" i="2"/>
  <c r="R94" i="2"/>
  <c r="O67" i="2"/>
  <c r="F77" i="2"/>
  <c r="V97" i="2"/>
  <c r="H90" i="2"/>
  <c r="L42" i="2"/>
  <c r="X74" i="2"/>
  <c r="N46" i="2"/>
  <c r="P56" i="2"/>
  <c r="J98" i="2"/>
  <c r="U108" i="2"/>
  <c r="O50" i="2"/>
  <c r="X81" i="2"/>
  <c r="E77" i="2"/>
  <c r="N92" i="2"/>
  <c r="F97" i="2"/>
  <c r="H55" i="2"/>
  <c r="E42" i="2"/>
  <c r="AP84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L86" i="2"/>
  <c r="R86" i="2"/>
  <c r="T69" i="2"/>
  <c r="N58" i="2"/>
  <c r="O82" i="2"/>
  <c r="L48" i="2"/>
  <c r="I77" i="2"/>
  <c r="G48" i="2"/>
  <c r="W62" i="2"/>
  <c r="W40" i="2"/>
  <c r="R91" i="2"/>
  <c r="W95" i="2"/>
  <c r="H46" i="2"/>
  <c r="X72" i="2"/>
  <c r="H94" i="2"/>
  <c r="H85" i="2"/>
  <c r="R98" i="2"/>
  <c r="T79" i="2"/>
  <c r="X69" i="2"/>
  <c r="R112" i="2"/>
  <c r="O46" i="2"/>
  <c r="D96" i="2"/>
  <c r="I97" i="2"/>
  <c r="X42" i="2"/>
  <c r="X67" i="2"/>
  <c r="L79" i="2"/>
  <c r="C86" i="2"/>
  <c r="E83" i="2"/>
  <c r="X55" i="2"/>
  <c r="V56" i="2"/>
  <c r="M81" i="2"/>
  <c r="W58" i="2"/>
  <c r="X105" i="2"/>
  <c r="L80" i="2"/>
  <c r="R96" i="2"/>
  <c r="I87" i="2"/>
  <c r="V81" i="2"/>
  <c r="N109" i="2"/>
  <c r="O104" i="2"/>
  <c r="O79" i="2"/>
  <c r="C97" i="2"/>
  <c r="V46" i="2"/>
  <c r="Q72" i="2"/>
  <c r="C110" i="2"/>
  <c r="T109" i="2"/>
  <c r="U43" i="2"/>
  <c r="N110" i="2"/>
  <c r="D75" i="2"/>
  <c r="O70" i="2"/>
  <c r="S42" i="2"/>
  <c r="S58" i="2"/>
  <c r="R59" i="2"/>
  <c r="T70" i="2"/>
  <c r="I58" i="2"/>
  <c r="G62" i="2"/>
  <c r="L67" i="2"/>
  <c r="K63" i="2"/>
  <c r="C56" i="2"/>
  <c r="T110" i="2"/>
  <c r="F67" i="2"/>
  <c r="C91" i="2"/>
  <c r="V95" i="2"/>
  <c r="AP70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Q53" i="2"/>
  <c r="D90" i="2"/>
  <c r="T97" i="2"/>
  <c r="G92" i="2"/>
  <c r="K104" i="2"/>
  <c r="U68" i="2"/>
  <c r="I82" i="2"/>
  <c r="T66" i="2"/>
  <c r="O106" i="2"/>
  <c r="R66" i="2"/>
  <c r="R87" i="2"/>
  <c r="F49" i="2"/>
  <c r="R63" i="2"/>
  <c r="P62" i="2"/>
  <c r="T46" i="2"/>
  <c r="T48" i="2"/>
  <c r="J63" i="2"/>
  <c r="U67" i="2"/>
  <c r="M52" i="2"/>
  <c r="E71" i="2"/>
  <c r="N94" i="2"/>
  <c r="O86" i="2"/>
  <c r="M98" i="2"/>
  <c r="W80" i="2"/>
  <c r="Q41" i="2"/>
  <c r="J73" i="2"/>
  <c r="M73" i="2"/>
  <c r="H71" i="2"/>
  <c r="X58" i="2"/>
  <c r="O60" i="2"/>
  <c r="V112" i="2"/>
  <c r="V66" i="2"/>
  <c r="H69" i="2"/>
  <c r="O112" i="2"/>
  <c r="D95" i="2"/>
  <c r="D60" i="2"/>
  <c r="E59" i="2"/>
  <c r="I111" i="2"/>
  <c r="J48" i="2"/>
  <c r="S52" i="2"/>
  <c r="X43" i="2"/>
  <c r="I81" i="2"/>
  <c r="C44" i="2"/>
  <c r="H58" i="2"/>
  <c r="I110" i="2"/>
  <c r="T52" i="2"/>
  <c r="M56" i="2"/>
  <c r="P110" i="2"/>
  <c r="X80" i="2"/>
  <c r="R65" i="2"/>
  <c r="C61" i="2"/>
  <c r="Q44" i="2"/>
  <c r="W79" i="2"/>
  <c r="O66" i="2"/>
  <c r="X112" i="2"/>
  <c r="S66" i="2"/>
  <c r="G60" i="2"/>
  <c r="O61" i="2"/>
  <c r="O62" i="2"/>
  <c r="D42" i="2"/>
  <c r="U51" i="2"/>
  <c r="C87" i="2"/>
  <c r="AB88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D80" i="2"/>
  <c r="S74" i="2"/>
  <c r="N50" i="2"/>
  <c r="G99" i="2"/>
  <c r="F41" i="2"/>
  <c r="H84" i="2"/>
  <c r="C49" i="2"/>
  <c r="D110" i="2"/>
  <c r="M45" i="2"/>
  <c r="X79" i="2"/>
  <c r="C69" i="2"/>
  <c r="X99" i="2"/>
  <c r="L77" i="2"/>
  <c r="W105" i="2"/>
  <c r="E92" i="2"/>
  <c r="Q92" i="2"/>
  <c r="V71" i="2"/>
  <c r="W54" i="2"/>
  <c r="F86" i="2"/>
  <c r="D91" i="2"/>
  <c r="U73" i="2"/>
  <c r="L108" i="2"/>
  <c r="L53" i="2"/>
  <c r="H89" i="2"/>
  <c r="R93" i="2"/>
  <c r="C62" i="2"/>
  <c r="T47" i="2"/>
  <c r="U61" i="2"/>
  <c r="R70" i="2"/>
  <c r="E107" i="2"/>
  <c r="J64" i="2"/>
  <c r="J44" i="2"/>
  <c r="K40" i="2"/>
  <c r="D77" i="2"/>
  <c r="M79" i="2"/>
  <c r="K89" i="2"/>
  <c r="J86" i="2"/>
  <c r="R71" i="2"/>
  <c r="S113" i="2"/>
  <c r="O111" i="2"/>
  <c r="H68" i="2"/>
  <c r="T96" i="2"/>
  <c r="T61" i="2"/>
  <c r="V77" i="2"/>
  <c r="H63" i="2"/>
  <c r="O91" i="2"/>
  <c r="N71" i="2"/>
  <c r="J88" i="2"/>
  <c r="I93" i="2"/>
  <c r="J60" i="2"/>
  <c r="U70" i="2"/>
  <c r="G78" i="2"/>
  <c r="G76" i="2"/>
  <c r="P77" i="2"/>
  <c r="H97" i="2"/>
  <c r="S54" i="2"/>
  <c r="Q47" i="2"/>
  <c r="M111" i="2"/>
  <c r="X68" i="2"/>
  <c r="L109" i="2"/>
  <c r="S98" i="2"/>
  <c r="F88" i="2"/>
  <c r="AP56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Q86" i="2"/>
  <c r="K106" i="2"/>
  <c r="AB87" i="3"/>
  <c r="AD24" i="3"/>
  <c r="AG37" i="3"/>
  <c r="P27" i="3"/>
  <c r="T16" i="3"/>
  <c r="I14" i="3"/>
  <c r="AK13" i="3"/>
  <c r="P29" i="3"/>
  <c r="Y23" i="3"/>
  <c r="AA14" i="3"/>
  <c r="AN40" i="3"/>
  <c r="R21" i="3"/>
  <c r="AE36" i="3"/>
  <c r="V6" i="3"/>
  <c r="AQ27" i="3"/>
  <c r="O32" i="3"/>
  <c r="Z41" i="3"/>
  <c r="V22" i="3"/>
  <c r="Z42" i="3"/>
  <c r="AE35" i="3"/>
  <c r="C4" i="3"/>
  <c r="AA18" i="3"/>
  <c r="AP29" i="3"/>
  <c r="AM19" i="3"/>
  <c r="AL14" i="3"/>
  <c r="K34" i="3"/>
  <c r="O12" i="3"/>
  <c r="S15" i="3"/>
  <c r="Q8" i="3"/>
  <c r="T15" i="3"/>
  <c r="AJ27" i="3"/>
  <c r="R16" i="3"/>
  <c r="AD23" i="3"/>
  <c r="L21" i="3"/>
  <c r="X19" i="3"/>
  <c r="Q17" i="3"/>
  <c r="X23" i="3"/>
  <c r="AL11" i="3"/>
  <c r="AQ20" i="3"/>
  <c r="H33" i="3"/>
  <c r="U40" i="3"/>
  <c r="H22" i="3"/>
  <c r="G38" i="3"/>
  <c r="Q13" i="3"/>
  <c r="S10" i="3"/>
  <c r="K20" i="3"/>
  <c r="P30" i="3"/>
  <c r="R9" i="3"/>
  <c r="AL26" i="3"/>
  <c r="T37" i="3"/>
  <c r="T9" i="3"/>
  <c r="AQ5" i="3"/>
  <c r="AA24" i="3"/>
  <c r="Q7" i="3"/>
  <c r="AD50" i="3"/>
  <c r="K12" i="3"/>
  <c r="AO19" i="3"/>
  <c r="I17" i="3"/>
  <c r="AH20" i="3"/>
  <c r="I51" i="2"/>
  <c r="I79" i="2"/>
  <c r="C49" i="3"/>
  <c r="AI24" i="3"/>
  <c r="AC22" i="3"/>
  <c r="J18" i="3"/>
  <c r="U22" i="3"/>
  <c r="AA41" i="3"/>
  <c r="Q40" i="3"/>
  <c r="W13" i="3"/>
  <c r="AQ30" i="3"/>
  <c r="R39" i="3"/>
  <c r="AP39" i="3"/>
  <c r="AQ15" i="3"/>
  <c r="AD26" i="3"/>
  <c r="AM7" i="3"/>
  <c r="R13" i="3"/>
  <c r="R27" i="3"/>
  <c r="X17" i="3"/>
  <c r="AC12" i="3"/>
  <c r="AM31" i="3"/>
  <c r="V26" i="3"/>
  <c r="AH38" i="3"/>
  <c r="X8" i="3"/>
  <c r="K27" i="3"/>
  <c r="Y15" i="3"/>
  <c r="AI40" i="3"/>
  <c r="U38" i="3"/>
  <c r="V42" i="3"/>
  <c r="N33" i="3"/>
  <c r="AG9" i="3"/>
  <c r="R19" i="3"/>
  <c r="H29" i="3"/>
  <c r="Z17" i="3"/>
  <c r="K37" i="3"/>
  <c r="S28" i="3"/>
  <c r="Z27" i="3"/>
  <c r="Q18" i="3"/>
  <c r="AQ7" i="3"/>
  <c r="K26" i="3"/>
  <c r="W32" i="3"/>
  <c r="AI33" i="3"/>
  <c r="K5" i="3"/>
  <c r="T31" i="3"/>
  <c r="AO13" i="3"/>
  <c r="Q21" i="3"/>
  <c r="AC40" i="3"/>
  <c r="C16" i="3"/>
  <c r="J35" i="3"/>
  <c r="AM42" i="3"/>
  <c r="S37" i="3"/>
  <c r="AD31" i="3"/>
  <c r="P17" i="3"/>
  <c r="Q14" i="3"/>
  <c r="AH19" i="3"/>
  <c r="K30" i="3"/>
  <c r="U7" i="3"/>
  <c r="R22" i="3"/>
  <c r="R5" i="3"/>
  <c r="X18" i="3"/>
  <c r="AL19" i="3"/>
  <c r="AE18" i="3"/>
  <c r="Z38" i="3"/>
  <c r="Y10" i="3"/>
  <c r="AP27" i="3"/>
  <c r="AM36" i="3"/>
  <c r="W39" i="3"/>
  <c r="AG11" i="3"/>
  <c r="AH37" i="3"/>
  <c r="AE30" i="3"/>
  <c r="J23" i="3"/>
  <c r="AH26" i="3"/>
  <c r="W23" i="3"/>
  <c r="AE26" i="3"/>
  <c r="W30" i="3"/>
  <c r="AG29" i="3"/>
  <c r="M40" i="3"/>
  <c r="V15" i="3"/>
  <c r="G85" i="2"/>
  <c r="W96" i="2"/>
  <c r="AB66" i="3"/>
  <c r="G41" i="3"/>
  <c r="AP23" i="3"/>
  <c r="S9" i="3"/>
  <c r="AN14" i="3"/>
  <c r="AL34" i="3"/>
  <c r="AI27" i="3"/>
  <c r="AI36" i="3"/>
  <c r="AN5" i="3"/>
  <c r="G49" i="3"/>
  <c r="L9" i="3"/>
  <c r="U39" i="3"/>
  <c r="AP20" i="3"/>
  <c r="AG31" i="3"/>
  <c r="AN10" i="3"/>
  <c r="J40" i="3"/>
  <c r="AL18" i="3"/>
  <c r="AJ35" i="3"/>
  <c r="AK6" i="3"/>
  <c r="AQ31" i="3"/>
  <c r="AK32" i="3"/>
  <c r="C13" i="3"/>
  <c r="AK38" i="3"/>
  <c r="S22" i="3"/>
  <c r="H31" i="3"/>
  <c r="T38" i="3"/>
  <c r="V17" i="3"/>
  <c r="AD22" i="3"/>
  <c r="AQ34" i="3"/>
  <c r="C18" i="3"/>
  <c r="K33" i="3"/>
  <c r="AB16" i="3"/>
  <c r="J22" i="3"/>
  <c r="M21" i="3"/>
  <c r="AG25" i="3"/>
  <c r="U17" i="3"/>
  <c r="L41" i="3"/>
  <c r="C35" i="3"/>
  <c r="W8" i="3"/>
  <c r="M18" i="3"/>
  <c r="D56" i="2"/>
  <c r="D107" i="2"/>
  <c r="T23" i="3"/>
  <c r="X27" i="3"/>
  <c r="M23" i="3"/>
  <c r="T41" i="3"/>
  <c r="AO25" i="3"/>
  <c r="W10" i="3"/>
  <c r="V11" i="3"/>
  <c r="P40" i="3"/>
  <c r="C6" i="3"/>
  <c r="AQ24" i="3"/>
  <c r="X32" i="3"/>
  <c r="J9" i="3"/>
  <c r="P31" i="3"/>
  <c r="AK14" i="3"/>
  <c r="L13" i="3"/>
  <c r="W38" i="3"/>
  <c r="C29" i="3"/>
  <c r="O14" i="3"/>
  <c r="AD42" i="3"/>
  <c r="O31" i="3"/>
  <c r="AM6" i="3"/>
  <c r="AE27" i="3"/>
  <c r="AP32" i="3"/>
  <c r="P11" i="3"/>
  <c r="Y8" i="3"/>
  <c r="Q6" i="3"/>
  <c r="AD27" i="3"/>
  <c r="AA19" i="3"/>
  <c r="X16" i="3"/>
  <c r="Y12" i="3"/>
  <c r="Z16" i="3"/>
  <c r="V37" i="3"/>
  <c r="AB12" i="3"/>
  <c r="J32" i="3"/>
  <c r="I33" i="3"/>
  <c r="AL25" i="3"/>
  <c r="I12" i="3"/>
  <c r="R34" i="3"/>
  <c r="P52" i="2"/>
  <c r="X85" i="2"/>
  <c r="AI6" i="3"/>
  <c r="G42" i="3"/>
  <c r="AH22" i="3"/>
  <c r="AG26" i="3"/>
  <c r="AG6" i="3"/>
  <c r="AK7" i="3"/>
  <c r="AD19" i="3"/>
  <c r="U36" i="3"/>
  <c r="M37" i="3"/>
  <c r="AM37" i="3"/>
  <c r="AE23" i="3"/>
  <c r="AJ18" i="3"/>
  <c r="U35" i="3"/>
  <c r="R41" i="3"/>
  <c r="C20" i="3"/>
  <c r="AB14" i="3"/>
  <c r="AN21" i="3"/>
  <c r="O36" i="3"/>
  <c r="Y35" i="3"/>
  <c r="Q37" i="3"/>
  <c r="L40" i="3"/>
  <c r="AP24" i="3"/>
  <c r="N16" i="3"/>
  <c r="Q20" i="3"/>
  <c r="AK26" i="3"/>
  <c r="AG24" i="3"/>
  <c r="M24" i="3"/>
  <c r="Z14" i="3"/>
  <c r="AN36" i="3"/>
  <c r="AB17" i="3"/>
  <c r="O34" i="3"/>
  <c r="AC34" i="3"/>
  <c r="AB31" i="3"/>
  <c r="S14" i="3"/>
  <c r="AO36" i="3"/>
  <c r="AO8" i="3"/>
  <c r="AO37" i="3"/>
  <c r="AB15" i="3"/>
  <c r="J31" i="3"/>
  <c r="N41" i="3"/>
  <c r="K16" i="3"/>
  <c r="Z33" i="3"/>
  <c r="AN30" i="3"/>
  <c r="O10" i="3"/>
  <c r="W42" i="3"/>
  <c r="I20" i="3"/>
  <c r="Z32" i="3"/>
  <c r="AP42" i="3"/>
  <c r="U29" i="3"/>
  <c r="L12" i="3"/>
  <c r="AM28" i="3"/>
  <c r="P28" i="3"/>
  <c r="AI7" i="3"/>
  <c r="AQ35" i="3"/>
  <c r="AJ10" i="3"/>
  <c r="V28" i="3"/>
  <c r="N23" i="3"/>
  <c r="R11" i="3"/>
  <c r="H8" i="3"/>
  <c r="AJ40" i="3"/>
  <c r="K32" i="3"/>
  <c r="AH18" i="3"/>
  <c r="AG40" i="3"/>
  <c r="L24" i="3"/>
  <c r="AE22" i="3"/>
  <c r="Y41" i="3"/>
  <c r="AA39" i="3"/>
  <c r="U20" i="3"/>
  <c r="L10" i="3"/>
  <c r="AJ6" i="3"/>
  <c r="AO26" i="3"/>
  <c r="S13" i="3"/>
  <c r="U13" i="3"/>
  <c r="M17" i="3"/>
  <c r="V31" i="3"/>
  <c r="G35" i="3"/>
  <c r="AC8" i="3"/>
  <c r="L18" i="3"/>
  <c r="X29" i="3"/>
  <c r="AQ42" i="3"/>
  <c r="AK42" i="3"/>
  <c r="Q42" i="3"/>
  <c r="R8" i="3"/>
  <c r="T27" i="3"/>
  <c r="AG22" i="3"/>
  <c r="K25" i="3"/>
  <c r="AQ11" i="3"/>
  <c r="AP75" i="3"/>
  <c r="AL8" i="3"/>
  <c r="AM23" i="3"/>
  <c r="AL6" i="3"/>
  <c r="X9" i="3"/>
  <c r="AL35" i="3"/>
  <c r="Q32" i="3"/>
  <c r="AK15" i="3"/>
  <c r="Y13" i="3"/>
  <c r="AK20" i="3"/>
  <c r="AO28" i="3"/>
  <c r="AG16" i="3"/>
  <c r="O33" i="3"/>
  <c r="K41" i="2"/>
  <c r="L40" i="2"/>
  <c r="M35" i="3"/>
  <c r="R35" i="3"/>
  <c r="AJ30" i="3"/>
  <c r="AB10" i="3"/>
  <c r="O7" i="3"/>
  <c r="AH41" i="3"/>
  <c r="AL21" i="3"/>
  <c r="Y32" i="3"/>
  <c r="I30" i="3"/>
  <c r="Y20" i="3"/>
  <c r="R23" i="3"/>
  <c r="Z20" i="3"/>
  <c r="Z13" i="3"/>
  <c r="L15" i="3"/>
  <c r="J6" i="3"/>
  <c r="Q12" i="3"/>
  <c r="N7" i="3"/>
  <c r="Y29" i="3"/>
  <c r="Q24" i="3"/>
  <c r="AA22" i="3"/>
  <c r="J30" i="3"/>
  <c r="V21" i="3"/>
  <c r="V5" i="3"/>
  <c r="T18" i="3"/>
  <c r="AC38" i="3"/>
  <c r="AD34" i="3"/>
  <c r="Y27" i="3"/>
  <c r="I31" i="3"/>
  <c r="V10" i="3"/>
  <c r="AQ16" i="3"/>
  <c r="M16" i="3"/>
  <c r="M14" i="3"/>
  <c r="AN13" i="3"/>
  <c r="AK18" i="3"/>
  <c r="AK16" i="3"/>
  <c r="I5" i="3"/>
  <c r="Q25" i="3"/>
  <c r="AO22" i="3"/>
  <c r="AA37" i="3"/>
  <c r="J19" i="3"/>
  <c r="AP21" i="3"/>
  <c r="AC15" i="3"/>
  <c r="S41" i="3"/>
  <c r="AA23" i="3"/>
  <c r="AK39" i="3"/>
  <c r="AA11" i="3"/>
  <c r="AH25" i="3"/>
  <c r="AL17" i="3"/>
  <c r="X33" i="3"/>
  <c r="R104" i="2"/>
  <c r="F93" i="2"/>
  <c r="C23" i="3"/>
  <c r="AH17" i="3"/>
  <c r="AE7" i="3"/>
  <c r="AP9" i="3"/>
  <c r="M6" i="3"/>
  <c r="G86" i="2"/>
  <c r="AP68" i="3"/>
  <c r="V20" i="3"/>
  <c r="W11" i="3"/>
  <c r="AJ19" i="3"/>
  <c r="N18" i="3"/>
  <c r="C51" i="2"/>
  <c r="AP33" i="3"/>
  <c r="AL28" i="3"/>
  <c r="AA29" i="3"/>
  <c r="AC32" i="3"/>
  <c r="U85" i="2"/>
  <c r="AP78" i="3"/>
  <c r="X31" i="3"/>
  <c r="AJ24" i="3"/>
  <c r="M25" i="3"/>
  <c r="J15" i="3"/>
  <c r="AH29" i="3"/>
  <c r="AP18" i="3"/>
  <c r="M38" i="3"/>
  <c r="U23" i="3"/>
  <c r="AO17" i="3"/>
  <c r="J13" i="3"/>
  <c r="AD25" i="3"/>
  <c r="AB36" i="3"/>
  <c r="Q15" i="3"/>
  <c r="AM34" i="3"/>
  <c r="U27" i="3"/>
  <c r="Y14" i="3"/>
  <c r="N38" i="3"/>
  <c r="AO35" i="3"/>
  <c r="M28" i="3"/>
  <c r="R31" i="3"/>
  <c r="J33" i="3"/>
  <c r="AG41" i="3"/>
  <c r="T39" i="3"/>
  <c r="V35" i="3"/>
  <c r="AI29" i="3"/>
  <c r="AI13" i="3"/>
  <c r="AJ37" i="3"/>
  <c r="S25" i="3"/>
  <c r="AM15" i="3"/>
  <c r="AA28" i="3"/>
  <c r="AN41" i="3"/>
  <c r="AJ21" i="3"/>
  <c r="AC41" i="3"/>
  <c r="X20" i="3"/>
  <c r="V40" i="3"/>
  <c r="J10" i="3"/>
  <c r="AI26" i="3"/>
  <c r="AC24" i="3"/>
  <c r="AQ17" i="3"/>
  <c r="AE15" i="3"/>
  <c r="V39" i="3"/>
  <c r="AO27" i="3"/>
  <c r="AQ25" i="3"/>
  <c r="Y9" i="3"/>
  <c r="AC35" i="3"/>
  <c r="AQ10" i="3"/>
  <c r="N37" i="3"/>
  <c r="AH9" i="3"/>
  <c r="AM38" i="3"/>
  <c r="AJ9" i="3"/>
  <c r="AA38" i="3"/>
  <c r="AD29" i="3"/>
  <c r="AQ28" i="3"/>
  <c r="AO5" i="3"/>
  <c r="P33" i="3"/>
  <c r="AH8" i="3"/>
  <c r="L35" i="3"/>
  <c r="AA35" i="3"/>
  <c r="C11" i="3"/>
  <c r="N6" i="3"/>
  <c r="X39" i="3"/>
  <c r="AN15" i="3"/>
  <c r="AI14" i="3"/>
  <c r="C36" i="3"/>
  <c r="T5" i="3"/>
  <c r="X30" i="3"/>
  <c r="AA10" i="3"/>
  <c r="AB35" i="3"/>
  <c r="J28" i="3"/>
  <c r="M19" i="3"/>
  <c r="AE12" i="3"/>
  <c r="V19" i="3"/>
  <c r="X42" i="3"/>
  <c r="AB72" i="3"/>
  <c r="AN11" i="3"/>
  <c r="AG14" i="3"/>
  <c r="N27" i="3"/>
  <c r="AJ7" i="3"/>
  <c r="J11" i="3"/>
  <c r="I44" i="2"/>
  <c r="AP91" i="3"/>
  <c r="W22" i="3"/>
  <c r="AA30" i="3"/>
  <c r="AO14" i="3"/>
  <c r="AJ8" i="3"/>
  <c r="W9" i="3"/>
  <c r="R38" i="3"/>
  <c r="AL38" i="3"/>
  <c r="T21" i="3"/>
  <c r="I10" i="3"/>
  <c r="AE17" i="3"/>
  <c r="H16" i="3"/>
  <c r="AK35" i="3"/>
  <c r="AB7" i="3"/>
  <c r="AK33" i="3"/>
  <c r="T7" i="3"/>
  <c r="S6" i="3"/>
  <c r="U18" i="3"/>
  <c r="AG5" i="3"/>
  <c r="K14" i="3"/>
  <c r="K31" i="3"/>
  <c r="AK8" i="3"/>
  <c r="AH30" i="3"/>
  <c r="X41" i="3"/>
  <c r="T36" i="3"/>
  <c r="R12" i="3"/>
  <c r="U16" i="3"/>
  <c r="AJ29" i="3"/>
  <c r="V23" i="3"/>
  <c r="AO40" i="3"/>
  <c r="G33" i="3"/>
  <c r="K39" i="3"/>
  <c r="N12" i="3"/>
  <c r="O40" i="3"/>
  <c r="G47" i="3"/>
  <c r="W14" i="3"/>
  <c r="K8" i="3"/>
  <c r="Q10" i="3"/>
  <c r="AA27" i="3"/>
  <c r="AC26" i="3"/>
  <c r="U10" i="3"/>
  <c r="P26" i="3"/>
  <c r="AE16" i="3"/>
  <c r="U42" i="3"/>
  <c r="AD49" i="3"/>
  <c r="C26" i="3"/>
  <c r="D41" i="2"/>
  <c r="H15" i="3"/>
  <c r="AM10" i="3"/>
  <c r="C10" i="3"/>
  <c r="AE13" i="3"/>
  <c r="U8" i="3"/>
  <c r="AQ40" i="3"/>
  <c r="AC30" i="3"/>
  <c r="AC11" i="3"/>
  <c r="X11" i="3"/>
  <c r="AB9" i="3"/>
  <c r="T13" i="3"/>
  <c r="J14" i="3"/>
  <c r="AK60" i="3"/>
  <c r="AK95" i="3"/>
  <c r="AI90" i="3"/>
  <c r="AC83" i="3"/>
  <c r="AA89" i="3"/>
  <c r="AA97" i="3"/>
  <c r="AA55" i="3"/>
  <c r="N96" i="3"/>
  <c r="L92" i="3"/>
  <c r="J86" i="3"/>
  <c r="AI70" i="3"/>
  <c r="AC97" i="3"/>
  <c r="AC78" i="3"/>
  <c r="AC56" i="3"/>
  <c r="AJ97" i="3"/>
  <c r="AG67" i="3"/>
  <c r="U65" i="3"/>
  <c r="AE70" i="3"/>
  <c r="AH57" i="3"/>
  <c r="X88" i="3"/>
  <c r="W64" i="3"/>
  <c r="AE50" i="3"/>
  <c r="H71" i="3"/>
  <c r="AM69" i="3"/>
  <c r="L97" i="3"/>
  <c r="O59" i="3"/>
  <c r="AE81" i="3"/>
  <c r="AE66" i="3"/>
  <c r="AE95" i="3"/>
  <c r="AA79" i="3"/>
  <c r="L61" i="3"/>
  <c r="AE80" i="3"/>
  <c r="J68" i="3"/>
  <c r="M67" i="3"/>
  <c r="AG62" i="3"/>
  <c r="AA93" i="3"/>
  <c r="T55" i="3"/>
  <c r="N78" i="3"/>
  <c r="AG93" i="3"/>
  <c r="AJ85" i="3"/>
  <c r="AE61" i="3"/>
  <c r="P71" i="3"/>
  <c r="O54" i="3"/>
  <c r="X69" i="3"/>
  <c r="P92" i="3"/>
  <c r="L72" i="3"/>
  <c r="O69" i="3"/>
  <c r="X91" i="3"/>
  <c r="W77" i="3"/>
  <c r="H68" i="3"/>
  <c r="O96" i="3"/>
  <c r="O78" i="3"/>
  <c r="O87" i="3"/>
  <c r="AE75" i="3"/>
  <c r="H82" i="3"/>
  <c r="O81" i="3"/>
  <c r="U68" i="3"/>
  <c r="W55" i="3"/>
  <c r="AG76" i="3"/>
  <c r="AC77" i="3"/>
  <c r="X67" i="3"/>
  <c r="X93" i="3"/>
  <c r="O75" i="3"/>
  <c r="U54" i="3"/>
  <c r="L90" i="3"/>
  <c r="AK77" i="3"/>
  <c r="AI75" i="3"/>
  <c r="M94" i="3"/>
  <c r="P58" i="3"/>
  <c r="L69" i="3"/>
  <c r="AJ95" i="3"/>
  <c r="O90" i="3"/>
  <c r="X63" i="3"/>
  <c r="AA59" i="3"/>
  <c r="AK85" i="3"/>
  <c r="AH66" i="3"/>
  <c r="S79" i="3"/>
  <c r="AC65" i="3"/>
  <c r="AH71" i="3"/>
  <c r="AH77" i="3"/>
  <c r="AJ65" i="3"/>
  <c r="W65" i="3"/>
  <c r="AJ74" i="3"/>
  <c r="AH73" i="3"/>
  <c r="AC69" i="3"/>
  <c r="AI95" i="3"/>
  <c r="L64" i="3"/>
  <c r="AA83" i="3"/>
  <c r="O57" i="3"/>
  <c r="O48" i="3"/>
  <c r="M76" i="3"/>
  <c r="AE69" i="3"/>
  <c r="S95" i="3"/>
  <c r="AC71" i="3"/>
  <c r="AK56" i="3"/>
  <c r="AI58" i="3"/>
  <c r="O95" i="3"/>
  <c r="M91" i="3"/>
  <c r="W48" i="3"/>
  <c r="AK48" i="3"/>
  <c r="U60" i="3"/>
  <c r="AC76" i="3"/>
  <c r="AH76" i="3"/>
  <c r="AG58" i="3"/>
  <c r="J69" i="3"/>
  <c r="U66" i="3"/>
  <c r="X81" i="3"/>
  <c r="AH48" i="3"/>
  <c r="H79" i="3"/>
  <c r="AI63" i="3"/>
  <c r="O74" i="3"/>
  <c r="AJ70" i="3"/>
  <c r="L56" i="3"/>
  <c r="H80" i="3"/>
  <c r="AE47" i="3"/>
  <c r="AE49" i="3"/>
  <c r="U85" i="3"/>
  <c r="T65" i="3"/>
  <c r="L67" i="3"/>
  <c r="P59" i="3"/>
  <c r="M87" i="3"/>
  <c r="N71" i="3"/>
  <c r="U63" i="3"/>
  <c r="S97" i="3"/>
  <c r="AE65" i="3"/>
  <c r="T48" i="3"/>
  <c r="AM97" i="3"/>
  <c r="AN63" i="3"/>
  <c r="O77" i="3"/>
  <c r="AI92" i="3"/>
  <c r="J81" i="3"/>
  <c r="O91" i="3"/>
  <c r="AA72" i="3"/>
  <c r="M49" i="3"/>
  <c r="AG64" i="3"/>
  <c r="AG66" i="3"/>
  <c r="S56" i="3"/>
  <c r="W70" i="3"/>
  <c r="N72" i="3"/>
  <c r="AG97" i="3"/>
  <c r="M85" i="3"/>
  <c r="AK72" i="3"/>
  <c r="AM80" i="3"/>
  <c r="O66" i="3"/>
  <c r="H62" i="3"/>
  <c r="X54" i="3"/>
  <c r="AK89" i="3"/>
  <c r="W78" i="3"/>
  <c r="AJ83" i="3"/>
  <c r="AN49" i="3"/>
  <c r="U61" i="3"/>
  <c r="AG74" i="3"/>
  <c r="AC94" i="3"/>
  <c r="AA60" i="3"/>
  <c r="AK57" i="3"/>
  <c r="AM66" i="3"/>
  <c r="O83" i="3"/>
  <c r="L50" i="3"/>
  <c r="J90" i="3"/>
  <c r="W66" i="3"/>
  <c r="AK71" i="3"/>
  <c r="AA54" i="3"/>
  <c r="AG87" i="3"/>
  <c r="S57" i="3"/>
  <c r="N65" i="3"/>
  <c r="AC59" i="3"/>
  <c r="AM67" i="3"/>
  <c r="O47" i="3"/>
  <c r="AE79" i="3"/>
  <c r="AG86" i="3"/>
  <c r="AM71" i="3"/>
  <c r="W75" i="3"/>
  <c r="AQ47" i="3"/>
  <c r="M80" i="3"/>
  <c r="AA88" i="3"/>
  <c r="M92" i="3"/>
  <c r="L96" i="3"/>
  <c r="AK83" i="3"/>
  <c r="AI77" i="3"/>
  <c r="O67" i="3"/>
  <c r="L48" i="3"/>
  <c r="AE96" i="3"/>
  <c r="AJ67" i="3"/>
  <c r="J92" i="3"/>
  <c r="AM50" i="3"/>
  <c r="AK62" i="3"/>
  <c r="L63" i="3"/>
  <c r="AJ93" i="3"/>
  <c r="AN54" i="3"/>
  <c r="AK87" i="3"/>
  <c r="AH85" i="3"/>
  <c r="AC47" i="3"/>
  <c r="AH91" i="3"/>
  <c r="M63" i="3"/>
  <c r="O82" i="3"/>
  <c r="X96" i="3"/>
  <c r="U75" i="3"/>
  <c r="L74" i="3"/>
  <c r="AI76" i="3"/>
  <c r="H76" i="3"/>
  <c r="AE84" i="3"/>
  <c r="AG73" i="3"/>
  <c r="AH74" i="3"/>
  <c r="P94" i="3"/>
  <c r="N73" i="3"/>
  <c r="P88" i="3"/>
  <c r="P75" i="3"/>
  <c r="P84" i="3"/>
  <c r="AQ54" i="3"/>
  <c r="AI88" i="3"/>
  <c r="X78" i="3"/>
  <c r="J50" i="3"/>
  <c r="AG65" i="3"/>
  <c r="W71" i="3"/>
  <c r="J64" i="3"/>
  <c r="U81" i="3"/>
  <c r="AC54" i="3"/>
  <c r="AM49" i="3"/>
  <c r="W83" i="3"/>
  <c r="AJ73" i="3"/>
  <c r="AK92" i="3"/>
  <c r="AK69" i="3"/>
  <c r="AE85" i="3"/>
  <c r="W86" i="3"/>
  <c r="AG81" i="3"/>
  <c r="AH83" i="3"/>
  <c r="S81" i="3"/>
  <c r="AN69" i="3"/>
  <c r="AM48" i="3"/>
  <c r="AE74" i="3"/>
  <c r="N67" i="3"/>
  <c r="AC74" i="3"/>
  <c r="X73" i="3"/>
  <c r="J57" i="3"/>
  <c r="AE82" i="3"/>
  <c r="W59" i="3"/>
  <c r="U48" i="3"/>
  <c r="U97" i="3"/>
  <c r="X79" i="3"/>
  <c r="P50" i="3"/>
  <c r="AC90" i="3"/>
  <c r="H84" i="3"/>
  <c r="X77" i="3"/>
  <c r="N56" i="3"/>
  <c r="AM88" i="3"/>
  <c r="AC57" i="3"/>
  <c r="S76" i="3"/>
  <c r="U57" i="3"/>
  <c r="S48" i="3"/>
  <c r="AH55" i="3"/>
  <c r="AN64" i="3"/>
  <c r="AC82" i="3"/>
  <c r="M95" i="3"/>
  <c r="M48" i="3"/>
  <c r="AJ96" i="3"/>
  <c r="AC95" i="3"/>
  <c r="S71" i="3"/>
  <c r="AI87" i="3"/>
  <c r="M60" i="3"/>
  <c r="M65" i="3"/>
  <c r="M62" i="3"/>
  <c r="O86" i="3"/>
  <c r="M97" i="3"/>
  <c r="L77" i="3"/>
  <c r="AE72" i="3"/>
  <c r="AJ57" i="3"/>
  <c r="W82" i="3"/>
  <c r="AN57" i="3"/>
  <c r="U62" i="3"/>
  <c r="P76" i="3"/>
  <c r="U88" i="3"/>
  <c r="U79" i="3"/>
  <c r="N93" i="3"/>
  <c r="AI82" i="3"/>
  <c r="H72" i="3"/>
  <c r="AE59" i="3"/>
  <c r="J79" i="3"/>
  <c r="AA96" i="3"/>
  <c r="AE89" i="3"/>
  <c r="J94" i="3"/>
  <c r="N58" i="3"/>
  <c r="AC72" i="3"/>
  <c r="W81" i="3"/>
  <c r="N97" i="3"/>
  <c r="AM96" i="3"/>
  <c r="AG90" i="3"/>
  <c r="AJ76" i="3"/>
  <c r="S75" i="3"/>
  <c r="L66" i="3"/>
  <c r="AE64" i="3"/>
  <c r="M96" i="3"/>
  <c r="P61" i="3"/>
  <c r="J87" i="3"/>
  <c r="AC84" i="3"/>
  <c r="N83" i="3"/>
  <c r="X92" i="3"/>
  <c r="AH56" i="3"/>
  <c r="X59" i="3"/>
  <c r="S54" i="3"/>
  <c r="P68" i="3"/>
  <c r="N50" i="3"/>
  <c r="H92" i="3"/>
  <c r="L80" i="3"/>
  <c r="H58" i="3"/>
  <c r="H48" i="3"/>
  <c r="AJ94" i="3"/>
  <c r="N77" i="3"/>
  <c r="AC55" i="3"/>
  <c r="U74" i="3"/>
  <c r="S94" i="3"/>
  <c r="I56" i="3"/>
  <c r="P69" i="3"/>
  <c r="J82" i="3"/>
  <c r="AK58" i="3"/>
  <c r="X80" i="3"/>
  <c r="P82" i="3"/>
  <c r="AK49" i="3"/>
  <c r="AI73" i="3"/>
  <c r="L54" i="3"/>
  <c r="P96" i="3"/>
  <c r="H87" i="3"/>
  <c r="AN82" i="3"/>
  <c r="W69" i="3"/>
  <c r="N82" i="3"/>
  <c r="N47" i="3"/>
  <c r="N87" i="3"/>
  <c r="AI97" i="3"/>
  <c r="X89" i="3"/>
  <c r="AA61" i="3"/>
  <c r="U67" i="3"/>
  <c r="I54" i="3"/>
  <c r="P91" i="3"/>
  <c r="S67" i="3"/>
  <c r="P54" i="3"/>
  <c r="AH80" i="3"/>
  <c r="AJ89" i="3"/>
  <c r="AI55" i="3"/>
  <c r="AN88" i="3"/>
  <c r="AN77" i="3"/>
  <c r="AI79" i="3"/>
  <c r="P49" i="3"/>
  <c r="H83" i="3"/>
  <c r="L87" i="3"/>
  <c r="L71" i="3"/>
  <c r="AN93" i="3"/>
  <c r="O89" i="3"/>
  <c r="AA62" i="3"/>
  <c r="AK47" i="3"/>
  <c r="AH75" i="3"/>
  <c r="K71" i="3"/>
  <c r="AQ89" i="3"/>
  <c r="I61" i="3"/>
  <c r="H57" i="3"/>
  <c r="AN55" i="3"/>
  <c r="AE71" i="3"/>
  <c r="Q83" i="3"/>
  <c r="N63" i="3"/>
  <c r="U55" i="3"/>
  <c r="AH47" i="3"/>
  <c r="AJ68" i="3"/>
  <c r="AJ62" i="3"/>
  <c r="K76" i="3"/>
  <c r="X64" i="3"/>
  <c r="AN56" i="3"/>
  <c r="AJ90" i="3"/>
  <c r="N55" i="3"/>
  <c r="K95" i="3"/>
  <c r="H56" i="3"/>
  <c r="AA67" i="3"/>
  <c r="J63" i="3"/>
  <c r="AC62" i="3"/>
  <c r="AQ68" i="3"/>
  <c r="U70" i="3"/>
  <c r="AJ92" i="3"/>
  <c r="AH93" i="3"/>
  <c r="Q49" i="3"/>
  <c r="AK88" i="3"/>
  <c r="AH97" i="3"/>
  <c r="M81" i="3"/>
  <c r="AC64" i="3"/>
  <c r="I83" i="3"/>
  <c r="AE76" i="3"/>
  <c r="Q95" i="3"/>
  <c r="AC49" i="3"/>
  <c r="K65" i="3"/>
  <c r="Y77" i="3"/>
  <c r="S91" i="3"/>
  <c r="N80" i="3"/>
  <c r="K70" i="3"/>
  <c r="AQ71" i="3"/>
  <c r="AE87" i="3"/>
  <c r="W79" i="3"/>
  <c r="AC66" i="3"/>
  <c r="N76" i="3"/>
  <c r="X86" i="3"/>
  <c r="AJ55" i="3"/>
  <c r="AA56" i="3"/>
  <c r="J96" i="3"/>
  <c r="AQ83" i="3"/>
  <c r="Y57" i="3"/>
  <c r="O72" i="3"/>
  <c r="S68" i="3"/>
  <c r="AA49" i="3"/>
  <c r="AN47" i="3"/>
  <c r="O97" i="3"/>
  <c r="I87" i="3"/>
  <c r="M68" i="3"/>
  <c r="Y55" i="3"/>
  <c r="J49" i="3"/>
  <c r="X95" i="3"/>
  <c r="AQ69" i="3"/>
  <c r="AM95" i="3"/>
  <c r="N60" i="3"/>
  <c r="P81" i="3"/>
  <c r="AG89" i="3"/>
  <c r="AE93" i="3"/>
  <c r="N95" i="3"/>
  <c r="AI69" i="3"/>
  <c r="AC75" i="3"/>
  <c r="AN94" i="3"/>
  <c r="U91" i="3"/>
  <c r="I93" i="3"/>
  <c r="AE57" i="3"/>
  <c r="K82" i="3"/>
  <c r="AQ82" i="3"/>
  <c r="AA64" i="3"/>
  <c r="AG95" i="3"/>
  <c r="AG54" i="3"/>
  <c r="U94" i="3"/>
  <c r="AN73" i="3"/>
  <c r="AI71" i="3"/>
  <c r="P66" i="3"/>
  <c r="AI50" i="3"/>
  <c r="AK55" i="3"/>
  <c r="H59" i="3"/>
  <c r="AA78" i="3"/>
  <c r="P74" i="3"/>
  <c r="P63" i="3"/>
  <c r="J65" i="3"/>
  <c r="AH78" i="3"/>
  <c r="X66" i="3"/>
  <c r="AM54" i="3"/>
  <c r="U50" i="3"/>
  <c r="S50" i="3"/>
  <c r="Y50" i="3"/>
  <c r="P65" i="3"/>
  <c r="P77" i="3"/>
  <c r="AE60" i="3"/>
  <c r="AN97" i="3"/>
  <c r="AK73" i="3"/>
  <c r="AC89" i="3"/>
  <c r="U89" i="3"/>
  <c r="X75" i="3"/>
  <c r="K57" i="3"/>
  <c r="AA84" i="3"/>
  <c r="W95" i="3"/>
  <c r="AE48" i="3"/>
  <c r="AK90" i="3"/>
  <c r="S90" i="3"/>
  <c r="Y66" i="3"/>
  <c r="AJ79" i="3"/>
  <c r="K81" i="3"/>
  <c r="AQ50" i="3"/>
  <c r="S87" i="3"/>
  <c r="H66" i="3"/>
  <c r="AA90" i="3"/>
  <c r="K48" i="3"/>
  <c r="AC58" i="3"/>
  <c r="K74" i="3"/>
  <c r="U76" i="3"/>
  <c r="I66" i="3"/>
  <c r="AJ50" i="3"/>
  <c r="K50" i="3"/>
  <c r="AQ92" i="3"/>
  <c r="M58" i="3"/>
  <c r="W76" i="3"/>
  <c r="AG63" i="3"/>
  <c r="Y69" i="3"/>
  <c r="AC61" i="3"/>
  <c r="AI49" i="3"/>
  <c r="AA74" i="3"/>
  <c r="L49" i="3"/>
  <c r="AK75" i="3"/>
  <c r="M56" i="3"/>
  <c r="M77" i="3"/>
  <c r="O68" i="3"/>
  <c r="AI81" i="3"/>
  <c r="AE78" i="3"/>
  <c r="P64" i="3"/>
  <c r="AC88" i="3"/>
  <c r="AM79" i="3"/>
  <c r="AG57" i="3"/>
  <c r="S92" i="3"/>
  <c r="I70" i="3"/>
  <c r="M70" i="3"/>
  <c r="AI67" i="3"/>
  <c r="O85" i="3"/>
  <c r="AM55" i="3"/>
  <c r="Y68" i="3"/>
  <c r="AC80" i="3"/>
  <c r="M90" i="3"/>
  <c r="AA75" i="3"/>
  <c r="U49" i="3"/>
  <c r="X72" i="3"/>
  <c r="W63" i="3"/>
  <c r="AQ93" i="3"/>
  <c r="AE68" i="3"/>
  <c r="X84" i="3"/>
  <c r="AK78" i="3"/>
  <c r="H65" i="3"/>
  <c r="AA48" i="3"/>
  <c r="X68" i="3"/>
  <c r="U83" i="3"/>
  <c r="P67" i="3"/>
  <c r="AC67" i="3"/>
  <c r="L76" i="3"/>
  <c r="I74" i="3"/>
  <c r="M66" i="3"/>
  <c r="AH90" i="3"/>
  <c r="K78" i="3"/>
  <c r="AQ61" i="3"/>
  <c r="AH49" i="3"/>
  <c r="W88" i="3"/>
  <c r="AQ63" i="3"/>
  <c r="W73" i="3"/>
  <c r="AE63" i="3"/>
  <c r="AK76" i="3"/>
  <c r="P89" i="3"/>
  <c r="AJ77" i="3"/>
  <c r="U59" i="3"/>
  <c r="AE94" i="3"/>
  <c r="U69" i="3"/>
  <c r="J70" i="3"/>
  <c r="O73" i="3"/>
  <c r="AQ90" i="3"/>
  <c r="X48" i="3"/>
  <c r="I91" i="3"/>
  <c r="X87" i="3"/>
  <c r="AE77" i="3"/>
  <c r="AN86" i="3"/>
  <c r="AG56" i="3"/>
  <c r="AJ91" i="3"/>
  <c r="AJ84" i="3"/>
  <c r="W74" i="3"/>
  <c r="S61" i="3"/>
  <c r="K83" i="3"/>
  <c r="Y95" i="3"/>
  <c r="I62" i="3"/>
  <c r="AN48" i="3"/>
  <c r="S89" i="3"/>
  <c r="AQ81" i="3"/>
  <c r="AE62" i="3"/>
  <c r="W80" i="3"/>
  <c r="AH81" i="3"/>
  <c r="Y79" i="3"/>
  <c r="AI54" i="3"/>
  <c r="AJ64" i="3"/>
  <c r="AM85" i="3"/>
  <c r="AK84" i="3"/>
  <c r="AI59" i="3"/>
  <c r="L62" i="3"/>
  <c r="Q73" i="3"/>
  <c r="Q88" i="3"/>
  <c r="L78" i="3"/>
  <c r="AJ69" i="3"/>
  <c r="M57" i="3"/>
  <c r="M72" i="3"/>
  <c r="Q94" i="3"/>
  <c r="AH69" i="3"/>
  <c r="I58" i="3"/>
  <c r="S70" i="3"/>
  <c r="O58" i="3"/>
  <c r="AM89" i="3"/>
  <c r="O76" i="3"/>
  <c r="H60" i="3"/>
  <c r="AM58" i="3"/>
  <c r="AJ58" i="3"/>
  <c r="Y83" i="3"/>
  <c r="AQ91" i="3"/>
  <c r="AN59" i="3"/>
  <c r="AK65" i="3"/>
  <c r="S63" i="3"/>
  <c r="X83" i="3"/>
  <c r="O64" i="3"/>
  <c r="AJ88" i="3"/>
  <c r="Y67" i="3"/>
  <c r="I55" i="3"/>
  <c r="K92" i="3"/>
  <c r="K93" i="3"/>
  <c r="K58" i="3"/>
  <c r="AG82" i="3"/>
  <c r="J74" i="3"/>
  <c r="K85" i="3"/>
  <c r="P55" i="3"/>
  <c r="N86" i="3"/>
  <c r="I78" i="3"/>
  <c r="S60" i="3"/>
  <c r="H75" i="3"/>
  <c r="I64" i="3"/>
  <c r="K60" i="3"/>
  <c r="AG70" i="3"/>
  <c r="S82" i="3"/>
  <c r="P83" i="3"/>
  <c r="L84" i="3"/>
  <c r="P80" i="3"/>
  <c r="AH61" i="3"/>
  <c r="H50" i="3"/>
  <c r="O55" i="3"/>
  <c r="I84" i="3"/>
  <c r="AN84" i="3"/>
  <c r="AQ48" i="3"/>
  <c r="W61" i="3"/>
  <c r="U92" i="3"/>
  <c r="W47" i="3"/>
  <c r="Y92" i="3"/>
  <c r="AC85" i="3"/>
  <c r="Y88" i="3"/>
  <c r="L85" i="3"/>
  <c r="L91" i="3"/>
  <c r="J93" i="3"/>
  <c r="AQ74" i="3"/>
  <c r="AI91" i="3"/>
  <c r="S77" i="3"/>
  <c r="O80" i="3"/>
  <c r="X71" i="3"/>
  <c r="AC92" i="3"/>
  <c r="Y71" i="3"/>
  <c r="Q96" i="3"/>
  <c r="AH70" i="3"/>
  <c r="K67" i="3"/>
  <c r="L89" i="3"/>
  <c r="M89" i="3"/>
  <c r="AG48" i="3"/>
  <c r="AK64" i="3"/>
  <c r="AG50" i="3"/>
  <c r="W91" i="3"/>
  <c r="AM73" i="3"/>
  <c r="AH95" i="3"/>
  <c r="U77" i="3"/>
  <c r="Q61" i="3"/>
  <c r="I85" i="3"/>
  <c r="O49" i="3"/>
  <c r="AK70" i="3"/>
  <c r="J62" i="3"/>
  <c r="AG72" i="3"/>
  <c r="AN87" i="3"/>
  <c r="S64" i="3"/>
  <c r="AA68" i="3"/>
  <c r="S55" i="3"/>
  <c r="Y85" i="3"/>
  <c r="AC50" i="3"/>
  <c r="AN79" i="3"/>
  <c r="W67" i="3"/>
  <c r="AJ66" i="3"/>
  <c r="S65" i="3"/>
  <c r="Y76" i="3"/>
  <c r="I69" i="3"/>
  <c r="AN72" i="3"/>
  <c r="I60" i="3"/>
  <c r="O61" i="3"/>
  <c r="W97" i="3"/>
  <c r="Y82" i="3"/>
  <c r="K96" i="3"/>
  <c r="AK59" i="3"/>
  <c r="P97" i="3"/>
  <c r="AM94" i="3"/>
  <c r="AK91" i="3"/>
  <c r="AI94" i="3"/>
  <c r="L79" i="3"/>
  <c r="AE83" i="3"/>
  <c r="J97" i="3"/>
  <c r="L58" i="3"/>
  <c r="AA63" i="3"/>
  <c r="K94" i="3"/>
  <c r="Q89" i="3"/>
  <c r="J59" i="3"/>
  <c r="AH94" i="3"/>
  <c r="N70" i="3"/>
  <c r="AM64" i="3"/>
  <c r="H93" i="3"/>
  <c r="J75" i="3"/>
  <c r="O70" i="3"/>
  <c r="M88" i="3"/>
  <c r="AA86" i="3"/>
  <c r="X76" i="3"/>
  <c r="AQ66" i="3"/>
  <c r="AG94" i="3"/>
  <c r="U93" i="3"/>
  <c r="AH87" i="3"/>
  <c r="Q90" i="3"/>
  <c r="AQ60" i="3"/>
  <c r="L95" i="3"/>
  <c r="P72" i="3"/>
  <c r="Y60" i="3"/>
  <c r="AG91" i="3"/>
  <c r="AH58" i="3"/>
  <c r="S83" i="3"/>
  <c r="J84" i="3"/>
  <c r="AM63" i="3"/>
  <c r="Y48" i="3"/>
  <c r="N84" i="3"/>
  <c r="AN91" i="3"/>
  <c r="J73" i="3"/>
  <c r="N89" i="3"/>
  <c r="H74" i="3"/>
  <c r="AC87" i="3"/>
  <c r="AC48" i="3"/>
  <c r="X50" i="3"/>
  <c r="N66" i="3"/>
  <c r="AN66" i="3"/>
  <c r="AJ80" i="3"/>
  <c r="AH67" i="3"/>
  <c r="AI83" i="3"/>
  <c r="AN81" i="3"/>
  <c r="M55" i="3"/>
  <c r="AG78" i="3"/>
  <c r="AN50" i="3"/>
  <c r="Q72" i="3"/>
  <c r="J61" i="3"/>
  <c r="AI61" i="3"/>
  <c r="AJ86" i="3"/>
  <c r="AH92" i="3"/>
  <c r="W72" i="3"/>
  <c r="X74" i="3"/>
  <c r="S62" i="3"/>
  <c r="U86" i="3"/>
  <c r="AQ67" i="3"/>
  <c r="L75" i="3"/>
  <c r="AH89" i="3"/>
  <c r="W60" i="3"/>
  <c r="AN83" i="3"/>
  <c r="S59" i="3"/>
  <c r="Y64" i="3"/>
  <c r="H95" i="3"/>
  <c r="X62" i="3"/>
  <c r="X65" i="3"/>
  <c r="Q97" i="3"/>
  <c r="N90" i="3"/>
  <c r="AJ48" i="3"/>
  <c r="AQ77" i="3"/>
  <c r="X56" i="3"/>
  <c r="AK94" i="3"/>
  <c r="Q91" i="3"/>
  <c r="AI62" i="3"/>
  <c r="AK54" i="3"/>
  <c r="AM56" i="3"/>
  <c r="P47" i="3"/>
  <c r="AN67" i="3"/>
  <c r="H67" i="3"/>
  <c r="P56" i="3"/>
  <c r="X90" i="3"/>
  <c r="Y74" i="3"/>
  <c r="AJ82" i="3"/>
  <c r="AN89" i="3"/>
  <c r="AH84" i="3"/>
  <c r="AI68" i="3"/>
  <c r="AA81" i="3"/>
  <c r="H55" i="3"/>
  <c r="X97" i="3"/>
  <c r="Q93" i="3"/>
  <c r="AC79" i="3"/>
  <c r="AH79" i="3"/>
  <c r="O92" i="3"/>
  <c r="AJ81" i="3"/>
  <c r="U95" i="3"/>
  <c r="AQ95" i="3"/>
  <c r="AG71" i="3"/>
  <c r="M64" i="3"/>
  <c r="Q66" i="3"/>
  <c r="W94" i="3"/>
  <c r="AG83" i="3"/>
  <c r="S84" i="3"/>
  <c r="Q64" i="3"/>
  <c r="I86" i="3"/>
  <c r="Y90" i="3"/>
  <c r="AA92" i="3"/>
  <c r="AE58" i="3"/>
  <c r="Y61" i="3"/>
  <c r="AK66" i="3"/>
  <c r="N57" i="3"/>
  <c r="W62" i="3"/>
  <c r="J77" i="3"/>
  <c r="Y93" i="3"/>
  <c r="AG55" i="3"/>
  <c r="X61" i="3"/>
  <c r="AI96" i="3"/>
  <c r="AC60" i="3"/>
  <c r="AA73" i="3"/>
  <c r="M79" i="3"/>
  <c r="Q59" i="3"/>
  <c r="H54" i="3"/>
  <c r="AI72" i="3"/>
  <c r="AJ49" i="3"/>
  <c r="M83" i="3"/>
  <c r="N74" i="3"/>
  <c r="Q65" i="3"/>
  <c r="W54" i="3"/>
  <c r="J67" i="3"/>
  <c r="AM70" i="3"/>
  <c r="L82" i="3"/>
  <c r="S69" i="3"/>
  <c r="X49" i="3"/>
  <c r="AA47" i="3"/>
  <c r="N92" i="3"/>
  <c r="AG47" i="3"/>
  <c r="X82" i="3"/>
  <c r="S49" i="3"/>
  <c r="Y89" i="3"/>
  <c r="S93" i="3"/>
  <c r="AC96" i="3"/>
  <c r="I71" i="3"/>
  <c r="AN58" i="3"/>
  <c r="AK50" i="3"/>
  <c r="I94" i="3"/>
  <c r="O65" i="3"/>
  <c r="AA77" i="3"/>
  <c r="AK97" i="3"/>
  <c r="N64" i="3"/>
  <c r="L60" i="3"/>
  <c r="O94" i="3"/>
  <c r="L57" i="3"/>
  <c r="AA82" i="3"/>
  <c r="M78" i="3"/>
  <c r="K47" i="3"/>
  <c r="AE54" i="3"/>
  <c r="W84" i="3"/>
  <c r="AC81" i="3"/>
  <c r="U80" i="3"/>
  <c r="AQ85" i="3"/>
  <c r="AK86" i="3"/>
  <c r="M82" i="3"/>
  <c r="AE73" i="3"/>
  <c r="AE97" i="3"/>
  <c r="I75" i="3"/>
  <c r="P85" i="3"/>
  <c r="AA70" i="3"/>
  <c r="AG80" i="3"/>
  <c r="AQ75" i="3"/>
  <c r="M54" i="3"/>
  <c r="AH60" i="3"/>
  <c r="K49" i="3"/>
  <c r="P73" i="3"/>
  <c r="J76" i="3"/>
  <c r="N68" i="3"/>
  <c r="AH59" i="3"/>
  <c r="N61" i="3"/>
  <c r="I65" i="3"/>
  <c r="Q80" i="3"/>
  <c r="U78" i="3"/>
  <c r="K69" i="3"/>
  <c r="M84" i="3"/>
  <c r="AH88" i="3"/>
  <c r="AG79" i="3"/>
  <c r="I72" i="3"/>
  <c r="H94" i="3"/>
  <c r="N75" i="3"/>
  <c r="AM77" i="3"/>
  <c r="AM93" i="3"/>
  <c r="AE90" i="3"/>
  <c r="AE56" i="3"/>
  <c r="AQ55" i="3"/>
  <c r="O79" i="3"/>
  <c r="W49" i="3"/>
  <c r="J58" i="3"/>
  <c r="AA80" i="3"/>
  <c r="AG84" i="3"/>
  <c r="AA71" i="3"/>
  <c r="P90" i="3"/>
  <c r="N81" i="3"/>
  <c r="AQ49" i="3"/>
  <c r="AJ71" i="3"/>
  <c r="AQ64" i="3"/>
  <c r="L93" i="3"/>
  <c r="I82" i="3"/>
  <c r="U72" i="3"/>
  <c r="AJ78" i="3"/>
  <c r="P60" i="3"/>
  <c r="H78" i="3"/>
  <c r="AJ87" i="3"/>
  <c r="AJ60" i="3"/>
  <c r="AK82" i="3"/>
  <c r="AG59" i="3"/>
  <c r="AH86" i="3"/>
  <c r="AQ73" i="3"/>
  <c r="AH50" i="3"/>
  <c r="AC63" i="3"/>
  <c r="I95" i="3"/>
  <c r="X60" i="3"/>
  <c r="AA69" i="3"/>
  <c r="M75" i="3"/>
  <c r="K66" i="3"/>
  <c r="N54" i="3"/>
  <c r="AM62" i="3"/>
  <c r="H90" i="3"/>
  <c r="AA94" i="3"/>
  <c r="P70" i="3"/>
  <c r="J78" i="3"/>
  <c r="O56" i="3"/>
  <c r="AJ56" i="3"/>
  <c r="AN80" i="3"/>
  <c r="W58" i="3"/>
  <c r="Y97" i="3"/>
  <c r="I89" i="3"/>
  <c r="S86" i="3"/>
  <c r="AK79" i="3"/>
  <c r="P48" i="3"/>
  <c r="AI86" i="3"/>
  <c r="AH63" i="3"/>
  <c r="M73" i="3"/>
  <c r="AE86" i="3"/>
  <c r="O93" i="3"/>
  <c r="X85" i="3"/>
  <c r="U90" i="3"/>
  <c r="U82" i="3"/>
  <c r="AN68" i="3"/>
  <c r="AN71" i="3"/>
  <c r="AN85" i="3"/>
  <c r="AM75" i="3"/>
  <c r="AG60" i="3"/>
  <c r="AH62" i="3"/>
  <c r="AC70" i="3"/>
  <c r="Y91" i="3"/>
  <c r="M74" i="3"/>
  <c r="AG69" i="3"/>
  <c r="AK63" i="3"/>
  <c r="AG77" i="3"/>
  <c r="Q77" i="3"/>
  <c r="AQ70" i="3"/>
  <c r="W90" i="3"/>
  <c r="Q92" i="3"/>
  <c r="U84" i="3"/>
  <c r="P95" i="3"/>
  <c r="K88" i="3"/>
  <c r="M93" i="3" l="1"/>
  <c r="U73" i="3"/>
  <c r="J85" i="3"/>
  <c r="O50" i="3"/>
  <c r="AG92" i="3"/>
  <c r="AK67" i="3"/>
  <c r="AJ63" i="3"/>
  <c r="AA85" i="3"/>
  <c r="H73" i="3"/>
  <c r="AQ72" i="3"/>
  <c r="AA95" i="3"/>
  <c r="AQ58" i="3"/>
  <c r="H96" i="3"/>
  <c r="X58" i="3"/>
  <c r="AM91" i="3"/>
  <c r="AA87" i="3"/>
  <c r="AG61" i="3"/>
  <c r="AG75" i="3"/>
  <c r="AK96" i="3"/>
  <c r="AG68" i="3"/>
  <c r="AN92" i="3"/>
  <c r="W56" i="3"/>
  <c r="AQ59" i="3"/>
  <c r="W85" i="3"/>
  <c r="AG49" i="3"/>
  <c r="AG96" i="3"/>
  <c r="AG85" i="3"/>
  <c r="AG88" i="3"/>
  <c r="AA58" i="3"/>
  <c r="N49" i="3"/>
  <c r="AM47" i="3"/>
  <c r="M47" i="3"/>
  <c r="X47" i="3"/>
  <c r="AM76" i="3"/>
  <c r="AE92" i="3"/>
  <c r="X70" i="3"/>
  <c r="AQ80" i="3"/>
  <c r="AQ84" i="3"/>
  <c r="L47" i="3"/>
  <c r="AK81" i="3"/>
  <c r="L65" i="3"/>
  <c r="J47" i="3"/>
  <c r="P93" i="3"/>
  <c r="AM59" i="3"/>
  <c r="AM60" i="3"/>
  <c r="AN70" i="3"/>
  <c r="U47" i="3"/>
  <c r="AM84" i="3"/>
  <c r="O88" i="3"/>
  <c r="AI74" i="3"/>
  <c r="AC68" i="3"/>
  <c r="N62" i="3"/>
  <c r="AI78" i="3"/>
  <c r="L68" i="3"/>
  <c r="AE55" i="3"/>
  <c r="N59" i="3"/>
  <c r="U64" i="3"/>
  <c r="AQ56" i="3"/>
  <c r="T50" i="3"/>
  <c r="AE88" i="3"/>
  <c r="T62" i="3"/>
  <c r="AM68" i="3"/>
  <c r="AM83" i="3"/>
  <c r="AK68" i="3"/>
  <c r="AJ61" i="3"/>
  <c r="AE67" i="3"/>
  <c r="AJ72" i="3"/>
  <c r="AN90" i="3"/>
  <c r="W96" i="3"/>
  <c r="M69" i="3"/>
  <c r="O71" i="3"/>
  <c r="AJ54" i="3"/>
  <c r="AN62" i="3"/>
  <c r="AI56" i="3"/>
  <c r="P87" i="3"/>
  <c r="P62" i="3"/>
  <c r="O62" i="3"/>
  <c r="H81" i="3"/>
  <c r="AN75" i="3"/>
  <c r="M61" i="3"/>
  <c r="N85" i="3"/>
  <c r="J48" i="3"/>
  <c r="J66" i="3"/>
  <c r="H77" i="3"/>
  <c r="AQ97" i="3"/>
  <c r="AK80" i="3"/>
  <c r="P79" i="3"/>
  <c r="O84" i="3"/>
  <c r="AN60" i="3"/>
  <c r="AQ57" i="3"/>
  <c r="AK61" i="3"/>
  <c r="AI66" i="3"/>
  <c r="W68" i="3"/>
  <c r="N88" i="3"/>
  <c r="X55" i="3"/>
  <c r="U87" i="3"/>
  <c r="T70" i="3"/>
  <c r="AQ65" i="3"/>
  <c r="J95" i="3"/>
  <c r="AC73" i="3"/>
  <c r="AQ86" i="3"/>
  <c r="AQ96" i="3"/>
  <c r="P57" i="3"/>
  <c r="M71" i="3"/>
  <c r="J91" i="3"/>
  <c r="J72" i="3"/>
  <c r="S73" i="3"/>
  <c r="AM74" i="3"/>
  <c r="AM87" i="3"/>
  <c r="AI65" i="3"/>
  <c r="H97" i="3"/>
  <c r="H47" i="3"/>
  <c r="H69" i="3"/>
  <c r="L94" i="3"/>
  <c r="AC91" i="3"/>
  <c r="AM57" i="3"/>
  <c r="S74" i="3"/>
  <c r="U56" i="3"/>
  <c r="S72" i="3"/>
  <c r="X57" i="3"/>
  <c r="O63" i="3"/>
  <c r="AM90" i="3"/>
  <c r="U71" i="3"/>
  <c r="H64" i="3"/>
  <c r="P86" i="3"/>
  <c r="S80" i="3"/>
  <c r="AK74" i="3"/>
  <c r="J83" i="3"/>
  <c r="M86" i="3"/>
  <c r="AM72" i="3"/>
  <c r="AE91" i="3"/>
  <c r="O60" i="3"/>
  <c r="M59" i="3"/>
  <c r="AH68" i="3"/>
  <c r="S47" i="3"/>
  <c r="AK93" i="3"/>
  <c r="P78" i="3"/>
  <c r="AM81" i="3"/>
  <c r="AQ94" i="3"/>
  <c r="AJ47" i="3"/>
  <c r="U58" i="3"/>
  <c r="AJ59" i="3"/>
  <c r="AH96" i="3"/>
  <c r="AJ75" i="3"/>
  <c r="X94" i="3"/>
  <c r="N48" i="3"/>
  <c r="J80" i="3"/>
  <c r="U96" i="3"/>
  <c r="AC86" i="3"/>
  <c r="AC93" i="3"/>
  <c r="N79" i="3"/>
  <c r="M50" i="3"/>
  <c r="J89" i="3"/>
  <c r="N91" i="3"/>
  <c r="AI84" i="3"/>
  <c r="H49" i="3"/>
  <c r="AH72" i="3"/>
  <c r="H86" i="3"/>
  <c r="AI80" i="3"/>
  <c r="AI89" i="3"/>
  <c r="N94" i="3"/>
  <c r="L70" i="3"/>
  <c r="AI85" i="3"/>
  <c r="AI60" i="3"/>
  <c r="AA65" i="3"/>
  <c r="T63" i="3"/>
  <c r="AM78" i="3"/>
  <c r="S66" i="3"/>
  <c r="AQ88" i="3"/>
  <c r="AN78" i="3"/>
  <c r="AA76" i="3"/>
  <c r="AI57" i="3"/>
  <c r="H91" i="3"/>
  <c r="AA91" i="3"/>
  <c r="AI64" i="3"/>
  <c r="T49" i="3"/>
  <c r="T54" i="3"/>
  <c r="W50" i="3"/>
  <c r="AN76" i="3"/>
  <c r="AI47" i="3"/>
  <c r="L88" i="3"/>
  <c r="H63" i="3"/>
  <c r="J56" i="3"/>
  <c r="H85" i="3"/>
  <c r="L73" i="3"/>
  <c r="AQ79" i="3"/>
  <c r="L81" i="3"/>
  <c r="AM82" i="3"/>
  <c r="L83" i="3"/>
  <c r="AA66" i="3"/>
  <c r="H88" i="3"/>
  <c r="S96" i="3"/>
  <c r="S58" i="3"/>
  <c r="J60" i="3"/>
  <c r="S78" i="3"/>
  <c r="AQ76" i="3"/>
  <c r="AN74" i="3"/>
  <c r="L59" i="3"/>
  <c r="AM61" i="3"/>
  <c r="AH64" i="3"/>
  <c r="AN95" i="3"/>
  <c r="S85" i="3"/>
  <c r="H70" i="3"/>
  <c r="J54" i="3"/>
  <c r="L86" i="3"/>
  <c r="AA50" i="3"/>
  <c r="W93" i="3"/>
  <c r="T88" i="3"/>
  <c r="AH65" i="3"/>
  <c r="H89" i="3"/>
  <c r="W87" i="3"/>
  <c r="AM92" i="3"/>
  <c r="AI93" i="3"/>
  <c r="J88" i="3"/>
  <c r="AN65" i="3"/>
  <c r="AH82" i="3"/>
  <c r="J55" i="3"/>
  <c r="T61" i="3"/>
  <c r="AH54" i="3"/>
  <c r="AM65" i="3"/>
  <c r="L55" i="3"/>
  <c r="AI48" i="3"/>
  <c r="AM86" i="3"/>
  <c r="AQ87" i="3"/>
  <c r="J71" i="3"/>
  <c r="H61" i="3"/>
  <c r="N69" i="3"/>
  <c r="S88" i="3"/>
  <c r="AA57" i="3"/>
  <c r="W89" i="3"/>
  <c r="W57" i="3"/>
  <c r="AN96" i="3"/>
  <c r="T80" i="3"/>
  <c r="AN61" i="3"/>
  <c r="AQ62" i="3"/>
  <c r="W92" i="3"/>
  <c r="AQ78" i="3"/>
  <c r="T58" i="3"/>
  <c r="T75" i="3"/>
  <c r="T84" i="3"/>
  <c r="T59" i="3"/>
  <c r="T79" i="3"/>
  <c r="T74" i="3"/>
  <c r="T86" i="3"/>
  <c r="T64" i="3"/>
  <c r="T60" i="3"/>
  <c r="T81" i="3"/>
  <c r="T82" i="3"/>
  <c r="T83" i="3"/>
  <c r="T96" i="3"/>
  <c r="T77" i="3"/>
  <c r="T57" i="3"/>
  <c r="T85" i="3"/>
  <c r="T68" i="3"/>
  <c r="T47" i="3"/>
  <c r="T91" i="3"/>
  <c r="T69" i="3"/>
  <c r="T73" i="3"/>
  <c r="T90" i="3"/>
  <c r="T97" i="3"/>
  <c r="T93" i="3"/>
  <c r="T76" i="3"/>
  <c r="T78" i="3"/>
  <c r="T71" i="3"/>
  <c r="T95" i="3"/>
  <c r="T94" i="3"/>
  <c r="T89" i="3"/>
  <c r="T67" i="3"/>
  <c r="T66" i="3"/>
  <c r="T92" i="3"/>
  <c r="T72" i="3"/>
  <c r="T87" i="3"/>
  <c r="T56" i="3"/>
  <c r="K79" i="3"/>
  <c r="K75" i="3"/>
  <c r="K86" i="3"/>
  <c r="K77" i="3"/>
  <c r="K55" i="3"/>
  <c r="K61" i="3"/>
  <c r="K63" i="3"/>
  <c r="K56" i="3"/>
  <c r="K59" i="3"/>
  <c r="K68" i="3"/>
  <c r="K64" i="3"/>
  <c r="K91" i="3"/>
  <c r="K90" i="3"/>
  <c r="K89" i="3"/>
  <c r="K62" i="3"/>
  <c r="K54" i="3"/>
  <c r="K97" i="3"/>
  <c r="K73" i="3"/>
  <c r="K80" i="3"/>
  <c r="K72" i="3"/>
  <c r="K87" i="3"/>
  <c r="K84" i="3"/>
  <c r="R54" i="3"/>
  <c r="R70" i="3"/>
  <c r="AX147" i="1" s="1"/>
  <c r="R86" i="3"/>
  <c r="R57" i="3"/>
  <c r="AX132" i="1" s="1"/>
  <c r="AY132" i="1" s="1"/>
  <c r="R95" i="3"/>
  <c r="AX178" i="1" s="1"/>
  <c r="AY178" i="1" s="1"/>
  <c r="R60" i="3"/>
  <c r="AX136" i="1" s="1"/>
  <c r="AY136" i="1" s="1"/>
  <c r="R73" i="3"/>
  <c r="R66" i="3"/>
  <c r="AX165" i="1" s="1"/>
  <c r="AY165" i="1" s="1"/>
  <c r="R93" i="3"/>
  <c r="R61" i="3"/>
  <c r="R50" i="3"/>
  <c r="AX88" i="1" s="1"/>
  <c r="R47" i="3"/>
  <c r="R79" i="3"/>
  <c r="AX157" i="1" s="1"/>
  <c r="R85" i="3"/>
  <c r="AX161" i="1" s="1"/>
  <c r="AY161" i="1" s="1"/>
  <c r="R84" i="3"/>
  <c r="AX160" i="1" s="1"/>
  <c r="AY160" i="1" s="1"/>
  <c r="R71" i="3"/>
  <c r="R67" i="3"/>
  <c r="R49" i="3"/>
  <c r="AX87" i="1" s="1"/>
  <c r="R83" i="3"/>
  <c r="AX174" i="1" s="1"/>
  <c r="R56" i="3"/>
  <c r="AX131" i="1" s="1"/>
  <c r="R64" i="3"/>
  <c r="AX163" i="1" s="1"/>
  <c r="R74" i="3"/>
  <c r="AX151" i="1" s="1"/>
  <c r="AY151" i="1" s="1"/>
  <c r="R48" i="3"/>
  <c r="R55" i="3"/>
  <c r="R75" i="3"/>
  <c r="R80" i="3"/>
  <c r="AX173" i="1" s="1"/>
  <c r="R91" i="3"/>
  <c r="AX168" i="1" s="1"/>
  <c r="AY168" i="1" s="1"/>
  <c r="R92" i="3"/>
  <c r="AX169" i="1" s="1"/>
  <c r="AY169" i="1" s="1"/>
  <c r="R94" i="3"/>
  <c r="R88" i="3"/>
  <c r="AX141" i="1" s="1"/>
  <c r="AY141" i="1" s="1"/>
  <c r="R77" i="3"/>
  <c r="AX154" i="1" s="1"/>
  <c r="AY154" i="1" s="1"/>
  <c r="R72" i="3"/>
  <c r="AX149" i="1" s="1"/>
  <c r="AY149" i="1" s="1"/>
  <c r="R97" i="3"/>
  <c r="R89" i="3"/>
  <c r="AX167" i="1" s="1"/>
  <c r="R62" i="3"/>
  <c r="AX138" i="1" s="1"/>
  <c r="R65" i="3"/>
  <c r="AX164" i="1" s="1"/>
  <c r="AY164" i="1" s="1"/>
  <c r="R87" i="3"/>
  <c r="AX166" i="1" s="1"/>
  <c r="AY166" i="1" s="1"/>
  <c r="R78" i="3"/>
  <c r="AX156" i="1" s="1"/>
  <c r="AY156" i="1" s="1"/>
  <c r="R63" i="3"/>
  <c r="AX139" i="1" s="1"/>
  <c r="AY139" i="1" s="1"/>
  <c r="R82" i="3"/>
  <c r="AX159" i="1" s="1"/>
  <c r="R96" i="3"/>
  <c r="AX177" i="1" s="1"/>
  <c r="AY177" i="1" s="1"/>
  <c r="R90" i="3"/>
  <c r="AX140" i="1" s="1"/>
  <c r="AY140" i="1" s="1"/>
  <c r="R76" i="3"/>
  <c r="R68" i="3"/>
  <c r="AX145" i="1" s="1"/>
  <c r="R69" i="3"/>
  <c r="AX146" i="1" s="1"/>
  <c r="R59" i="3"/>
  <c r="R58" i="3"/>
  <c r="AX133" i="1" s="1"/>
  <c r="R81" i="3"/>
  <c r="AX158" i="1" s="1"/>
  <c r="V57" i="3"/>
  <c r="BB132" i="1" s="1"/>
  <c r="BC132" i="1" s="1"/>
  <c r="V77" i="3"/>
  <c r="BB154" i="1" s="1"/>
  <c r="BC154" i="1" s="1"/>
  <c r="V82" i="3"/>
  <c r="BB159" i="1" s="1"/>
  <c r="V62" i="3"/>
  <c r="BB138" i="1" s="1"/>
  <c r="V93" i="3"/>
  <c r="V56" i="3"/>
  <c r="BB131" i="1" s="1"/>
  <c r="V97" i="3"/>
  <c r="V96" i="3"/>
  <c r="BB177" i="1" s="1"/>
  <c r="BC177" i="1" s="1"/>
  <c r="V49" i="3"/>
  <c r="BB87" i="1" s="1"/>
  <c r="V78" i="3"/>
  <c r="BB156" i="1" s="1"/>
  <c r="BC156" i="1" s="1"/>
  <c r="V60" i="3"/>
  <c r="BB136" i="1" s="1"/>
  <c r="BC136" i="1" s="1"/>
  <c r="V87" i="3"/>
  <c r="BB166" i="1" s="1"/>
  <c r="BC166" i="1" s="1"/>
  <c r="V92" i="3"/>
  <c r="BB169" i="1" s="1"/>
  <c r="BC169" i="1" s="1"/>
  <c r="V70" i="3"/>
  <c r="BB147" i="1" s="1"/>
  <c r="V65" i="3"/>
  <c r="BB164" i="1" s="1"/>
  <c r="BC164" i="1" s="1"/>
  <c r="V79" i="3"/>
  <c r="BB157" i="1" s="1"/>
  <c r="V54" i="3"/>
  <c r="V80" i="3"/>
  <c r="BB173" i="1" s="1"/>
  <c r="V63" i="3"/>
  <c r="BB139" i="1" s="1"/>
  <c r="BC139" i="1" s="1"/>
  <c r="V55" i="3"/>
  <c r="V85" i="3"/>
  <c r="BB161" i="1" s="1"/>
  <c r="BC161" i="1" s="1"/>
  <c r="V74" i="3"/>
  <c r="BB151" i="1" s="1"/>
  <c r="BC151" i="1" s="1"/>
  <c r="V91" i="3"/>
  <c r="BB168" i="1" s="1"/>
  <c r="BC168" i="1" s="1"/>
  <c r="V71" i="3"/>
  <c r="V81" i="3"/>
  <c r="BB158" i="1" s="1"/>
  <c r="V66" i="3"/>
  <c r="BB165" i="1" s="1"/>
  <c r="BC165" i="1" s="1"/>
  <c r="V86" i="3"/>
  <c r="V89" i="3"/>
  <c r="BB167" i="1" s="1"/>
  <c r="V94" i="3"/>
  <c r="V90" i="3"/>
  <c r="BB140" i="1" s="1"/>
  <c r="BC140" i="1" s="1"/>
  <c r="V76" i="3"/>
  <c r="V48" i="3"/>
  <c r="V58" i="3"/>
  <c r="BB133" i="1" s="1"/>
  <c r="V75" i="3"/>
  <c r="V68" i="3"/>
  <c r="BB145" i="1" s="1"/>
  <c r="V64" i="3"/>
  <c r="BB163" i="1" s="1"/>
  <c r="BC163" i="1" s="1"/>
  <c r="V47" i="3"/>
  <c r="V72" i="3"/>
  <c r="BB149" i="1" s="1"/>
  <c r="BC149" i="1" s="1"/>
  <c r="V59" i="3"/>
  <c r="V67" i="3"/>
  <c r="V61" i="3"/>
  <c r="V69" i="3"/>
  <c r="BB146" i="1" s="1"/>
  <c r="V83" i="3"/>
  <c r="BB174" i="1" s="1"/>
  <c r="V88" i="3"/>
  <c r="BB141" i="1" s="1"/>
  <c r="BC141" i="1" s="1"/>
  <c r="V84" i="3"/>
  <c r="BB160" i="1" s="1"/>
  <c r="BC160" i="1" s="1"/>
  <c r="V50" i="3"/>
  <c r="BB88" i="1" s="1"/>
  <c r="V73" i="3"/>
  <c r="V95" i="3"/>
  <c r="BB178" i="1" s="1"/>
  <c r="BC178" i="1" s="1"/>
  <c r="I48" i="3"/>
  <c r="I50" i="3"/>
  <c r="AO88" i="1" s="1"/>
  <c r="I96" i="3"/>
  <c r="I79" i="3"/>
  <c r="I47" i="3"/>
  <c r="I80" i="3"/>
  <c r="I90" i="3"/>
  <c r="I77" i="3"/>
  <c r="I88" i="3"/>
  <c r="I73" i="3"/>
  <c r="I59" i="3"/>
  <c r="I81" i="3"/>
  <c r="I92" i="3"/>
  <c r="I57" i="3"/>
  <c r="I76" i="3"/>
  <c r="I97" i="3"/>
  <c r="I68" i="3"/>
  <c r="I67" i="3"/>
  <c r="I63" i="3"/>
  <c r="I49" i="3"/>
  <c r="AO87" i="1" s="1"/>
  <c r="AO77" i="3"/>
  <c r="AO95" i="3"/>
  <c r="AO64" i="3"/>
  <c r="AO96" i="3"/>
  <c r="AO75" i="3"/>
  <c r="AO78" i="3"/>
  <c r="AO88" i="3"/>
  <c r="AO97" i="3"/>
  <c r="AO82" i="3"/>
  <c r="AO73" i="3"/>
  <c r="AO47" i="3"/>
  <c r="AO56" i="3"/>
  <c r="AO70" i="3"/>
  <c r="AO94" i="3"/>
  <c r="AO93" i="3"/>
  <c r="AO74" i="3"/>
  <c r="AO83" i="3"/>
  <c r="AO79" i="3"/>
  <c r="AO50" i="3"/>
  <c r="BU88" i="1" s="1"/>
  <c r="AO92" i="3"/>
  <c r="AO80" i="3"/>
  <c r="AO49" i="3"/>
  <c r="BU87" i="1" s="1"/>
  <c r="AO81" i="3"/>
  <c r="AO67" i="3"/>
  <c r="AO66" i="3"/>
  <c r="AO69" i="3"/>
  <c r="AO63" i="3"/>
  <c r="AO62" i="3"/>
  <c r="AO58" i="3"/>
  <c r="AO87" i="3"/>
  <c r="AO91" i="3"/>
  <c r="AO68" i="3"/>
  <c r="AO72" i="3"/>
  <c r="AO55" i="3"/>
  <c r="AO65" i="3"/>
  <c r="AO86" i="3"/>
  <c r="AO84" i="3"/>
  <c r="AO59" i="3"/>
  <c r="AO48" i="3"/>
  <c r="AO89" i="3"/>
  <c r="AO60" i="3"/>
  <c r="AO54" i="3"/>
  <c r="AO57" i="3"/>
  <c r="AO90" i="3"/>
  <c r="AO61" i="3"/>
  <c r="AO71" i="3"/>
  <c r="AO85" i="3"/>
  <c r="AO76" i="3"/>
  <c r="Y47" i="3"/>
  <c r="Y80" i="3"/>
  <c r="Y78" i="3"/>
  <c r="Y72" i="3"/>
  <c r="Y86" i="3"/>
  <c r="Y70" i="3"/>
  <c r="Y81" i="3"/>
  <c r="Y58" i="3"/>
  <c r="Y56" i="3"/>
  <c r="Y54" i="3"/>
  <c r="Y49" i="3"/>
  <c r="BE87" i="1" s="1"/>
  <c r="Y65" i="3"/>
  <c r="Y75" i="3"/>
  <c r="Y59" i="3"/>
  <c r="Y87" i="3"/>
  <c r="Y84" i="3"/>
  <c r="Y94" i="3"/>
  <c r="Y63" i="3"/>
  <c r="Y73" i="3"/>
  <c r="Y96" i="3"/>
  <c r="Y62" i="3"/>
  <c r="Z93" i="3"/>
  <c r="Z73" i="3"/>
  <c r="Z75" i="3"/>
  <c r="Z88" i="3"/>
  <c r="BF141" i="1" s="1"/>
  <c r="BG141" i="1" s="1"/>
  <c r="Z81" i="3"/>
  <c r="BF158" i="1" s="1"/>
  <c r="Z92" i="3"/>
  <c r="BF169" i="1" s="1"/>
  <c r="BG169" i="1" s="1"/>
  <c r="Z90" i="3"/>
  <c r="BF140" i="1" s="1"/>
  <c r="BG140" i="1" s="1"/>
  <c r="Z95" i="3"/>
  <c r="BF178" i="1" s="1"/>
  <c r="BG178" i="1" s="1"/>
  <c r="Z64" i="3"/>
  <c r="BF163" i="1" s="1"/>
  <c r="BG163" i="1" s="1"/>
  <c r="Z84" i="3"/>
  <c r="BF160" i="1" s="1"/>
  <c r="BG160" i="1" s="1"/>
  <c r="Z77" i="3"/>
  <c r="BF154" i="1" s="1"/>
  <c r="BG154" i="1" s="1"/>
  <c r="Z67" i="3"/>
  <c r="Z60" i="3"/>
  <c r="BF136" i="1" s="1"/>
  <c r="BG136" i="1" s="1"/>
  <c r="Z49" i="3"/>
  <c r="BF87" i="1" s="1"/>
  <c r="Z58" i="3"/>
  <c r="BF133" i="1" s="1"/>
  <c r="Z97" i="3"/>
  <c r="Z70" i="3"/>
  <c r="BF147" i="1" s="1"/>
  <c r="Z48" i="3"/>
  <c r="Z76" i="3"/>
  <c r="Z71" i="3"/>
  <c r="Z55" i="3"/>
  <c r="Z91" i="3"/>
  <c r="BF168" i="1" s="1"/>
  <c r="BG168" i="1" s="1"/>
  <c r="Z68" i="3"/>
  <c r="BF145" i="1" s="1"/>
  <c r="Z61" i="3"/>
  <c r="Z65" i="3"/>
  <c r="BF164" i="1" s="1"/>
  <c r="BG164" i="1" s="1"/>
  <c r="Z96" i="3"/>
  <c r="BF177" i="1" s="1"/>
  <c r="BG177" i="1" s="1"/>
  <c r="Z83" i="3"/>
  <c r="BF174" i="1" s="1"/>
  <c r="Z74" i="3"/>
  <c r="BF151" i="1" s="1"/>
  <c r="BG151" i="1" s="1"/>
  <c r="Z69" i="3"/>
  <c r="BF146" i="1" s="1"/>
  <c r="Z78" i="3"/>
  <c r="BF156" i="1" s="1"/>
  <c r="BG156" i="1" s="1"/>
  <c r="Z50" i="3"/>
  <c r="BF88" i="1" s="1"/>
  <c r="Z47" i="3"/>
  <c r="Z72" i="3"/>
  <c r="BF149" i="1" s="1"/>
  <c r="BG149" i="1" s="1"/>
  <c r="Z54" i="3"/>
  <c r="Z57" i="3"/>
  <c r="BF132" i="1" s="1"/>
  <c r="BG132" i="1" s="1"/>
  <c r="Z63" i="3"/>
  <c r="BF139" i="1" s="1"/>
  <c r="BG139" i="1" s="1"/>
  <c r="Z56" i="3"/>
  <c r="BF131" i="1" s="1"/>
  <c r="BG131" i="1" s="1"/>
  <c r="Z82" i="3"/>
  <c r="BF159" i="1" s="1"/>
  <c r="Z59" i="3"/>
  <c r="Z89" i="3"/>
  <c r="BF167" i="1" s="1"/>
  <c r="Z87" i="3"/>
  <c r="BF166" i="1" s="1"/>
  <c r="BG166" i="1" s="1"/>
  <c r="Z86" i="3"/>
  <c r="Z85" i="3"/>
  <c r="BF161" i="1" s="1"/>
  <c r="BG161" i="1" s="1"/>
  <c r="Z62" i="3"/>
  <c r="BF138" i="1" s="1"/>
  <c r="BG138" i="1" s="1"/>
  <c r="Z66" i="3"/>
  <c r="BF165" i="1" s="1"/>
  <c r="BG165" i="1" s="1"/>
  <c r="Z79" i="3"/>
  <c r="BF157" i="1" s="1"/>
  <c r="Z94" i="3"/>
  <c r="Z80" i="3"/>
  <c r="BF173" i="1" s="1"/>
  <c r="AL65" i="3"/>
  <c r="BR164" i="1" s="1"/>
  <c r="BS164" i="1" s="1"/>
  <c r="AL82" i="3"/>
  <c r="BR159" i="1" s="1"/>
  <c r="AL92" i="3"/>
  <c r="BR169" i="1" s="1"/>
  <c r="BS169" i="1" s="1"/>
  <c r="AL66" i="3"/>
  <c r="BR165" i="1" s="1"/>
  <c r="BS165" i="1" s="1"/>
  <c r="AL60" i="3"/>
  <c r="BR136" i="1" s="1"/>
  <c r="BS136" i="1" s="1"/>
  <c r="AL87" i="3"/>
  <c r="BR166" i="1" s="1"/>
  <c r="BS166" i="1" s="1"/>
  <c r="AL91" i="3"/>
  <c r="BR168" i="1" s="1"/>
  <c r="BS168" i="1" s="1"/>
  <c r="AL96" i="3"/>
  <c r="BR177" i="1" s="1"/>
  <c r="BS177" i="1" s="1"/>
  <c r="AL68" i="3"/>
  <c r="BR145" i="1" s="1"/>
  <c r="AL50" i="3"/>
  <c r="BR88" i="1" s="1"/>
  <c r="AL56" i="3"/>
  <c r="BR131" i="1" s="1"/>
  <c r="AL72" i="3"/>
  <c r="BR149" i="1" s="1"/>
  <c r="BS149" i="1" s="1"/>
  <c r="AL58" i="3"/>
  <c r="BR133" i="1" s="1"/>
  <c r="AL63" i="3"/>
  <c r="BR139" i="1" s="1"/>
  <c r="BS139" i="1" s="1"/>
  <c r="AL73" i="3"/>
  <c r="AL88" i="3"/>
  <c r="BR141" i="1" s="1"/>
  <c r="BS141" i="1" s="1"/>
  <c r="AL59" i="3"/>
  <c r="AL75" i="3"/>
  <c r="AL64" i="3"/>
  <c r="BR163" i="1" s="1"/>
  <c r="BS163" i="1" s="1"/>
  <c r="AL67" i="3"/>
  <c r="AL90" i="3"/>
  <c r="BR140" i="1" s="1"/>
  <c r="BS140" i="1" s="1"/>
  <c r="AL54" i="3"/>
  <c r="AL89" i="3"/>
  <c r="BR167" i="1" s="1"/>
  <c r="AL86" i="3"/>
  <c r="AL57" i="3"/>
  <c r="BR132" i="1" s="1"/>
  <c r="BS132" i="1" s="1"/>
  <c r="AL70" i="3"/>
  <c r="BR147" i="1" s="1"/>
  <c r="AL84" i="3"/>
  <c r="BR160" i="1" s="1"/>
  <c r="BS160" i="1" s="1"/>
  <c r="AL85" i="3"/>
  <c r="BR161" i="1" s="1"/>
  <c r="BS161" i="1" s="1"/>
  <c r="AL77" i="3"/>
  <c r="BR154" i="1" s="1"/>
  <c r="AL71" i="3"/>
  <c r="AL49" i="3"/>
  <c r="BR87" i="1" s="1"/>
  <c r="AL74" i="3"/>
  <c r="BR151" i="1" s="1"/>
  <c r="BS151" i="1" s="1"/>
  <c r="AL76" i="3"/>
  <c r="AL81" i="3"/>
  <c r="BR158" i="1" s="1"/>
  <c r="AL95" i="3"/>
  <c r="BR178" i="1" s="1"/>
  <c r="BS178" i="1" s="1"/>
  <c r="AL78" i="3"/>
  <c r="BR156" i="1" s="1"/>
  <c r="BS156" i="1" s="1"/>
  <c r="AL83" i="3"/>
  <c r="BR174" i="1" s="1"/>
  <c r="AL61" i="3"/>
  <c r="AL62" i="3"/>
  <c r="BR138" i="1" s="1"/>
  <c r="BS138" i="1" s="1"/>
  <c r="AL55" i="3"/>
  <c r="AL97" i="3"/>
  <c r="AL48" i="3"/>
  <c r="AL93" i="3"/>
  <c r="AL94" i="3"/>
  <c r="AL80" i="3"/>
  <c r="BR173" i="1" s="1"/>
  <c r="AL79" i="3"/>
  <c r="BR157" i="1" s="1"/>
  <c r="AL69" i="3"/>
  <c r="BR146" i="1" s="1"/>
  <c r="AL47" i="3"/>
  <c r="Q57" i="3"/>
  <c r="Q70" i="3"/>
  <c r="Q82" i="3"/>
  <c r="Q55" i="3"/>
  <c r="Q60" i="3"/>
  <c r="Q68" i="3"/>
  <c r="Q78" i="3"/>
  <c r="Q58" i="3"/>
  <c r="Q76" i="3"/>
  <c r="Q86" i="3"/>
  <c r="Q69" i="3"/>
  <c r="Q50" i="3"/>
  <c r="AW88" i="1" s="1"/>
  <c r="Q84" i="3"/>
  <c r="Q62" i="3"/>
  <c r="Q79" i="3"/>
  <c r="Q54" i="3"/>
  <c r="Q75" i="3"/>
  <c r="Q85" i="3"/>
  <c r="Q63" i="3"/>
  <c r="Q56" i="3"/>
  <c r="Q74" i="3"/>
  <c r="Q48" i="3"/>
  <c r="Q81" i="3"/>
  <c r="Q71" i="3"/>
  <c r="Q47" i="3"/>
  <c r="Q67" i="3"/>
  <c r="Q87" i="3"/>
  <c r="AP37" i="1"/>
  <c r="BD29" i="1"/>
  <c r="BI29" i="1"/>
  <c r="AI27" i="1"/>
  <c r="BS27" i="1"/>
  <c r="AN38" i="1"/>
  <c r="C131" i="1"/>
  <c r="AI61" i="1"/>
  <c r="BJ87" i="1"/>
  <c r="BA65" i="1"/>
  <c r="BK34" i="1"/>
  <c r="AV61" i="1"/>
  <c r="BA27" i="1"/>
  <c r="BI61" i="1"/>
  <c r="AW27" i="1"/>
  <c r="BC37" i="1"/>
  <c r="AT28" i="1"/>
  <c r="BB49" i="1"/>
  <c r="BP53" i="1"/>
  <c r="BA34" i="1"/>
  <c r="AX28" i="1"/>
  <c r="AQ37" i="1"/>
  <c r="BA39" i="1"/>
  <c r="AY22" i="1"/>
  <c r="AY245" i="1" s="1"/>
  <c r="BQ60" i="1"/>
  <c r="AN34" i="1"/>
  <c r="BK35" i="1"/>
  <c r="AO27" i="1"/>
  <c r="AZ36" i="1"/>
  <c r="BU37" i="1"/>
  <c r="BV168" i="1"/>
  <c r="BW168" i="1" s="1"/>
  <c r="AP29" i="1"/>
  <c r="BM37" i="1"/>
  <c r="BT29" i="1"/>
  <c r="BH149" i="1"/>
  <c r="BI149" i="1" s="1"/>
  <c r="BD65" i="1"/>
  <c r="BK28" i="1"/>
  <c r="AP46" i="1"/>
  <c r="AP208" i="1" s="1"/>
  <c r="BH60" i="1"/>
  <c r="BG27" i="1"/>
  <c r="BO37" i="1"/>
  <c r="BT38" i="1"/>
  <c r="AT22" i="1"/>
  <c r="AI29" i="1"/>
  <c r="BG60" i="1"/>
  <c r="AR60" i="1"/>
  <c r="BW46" i="1"/>
  <c r="BW208" i="1" s="1"/>
  <c r="BJ53" i="1"/>
  <c r="BW27" i="1"/>
  <c r="BI60" i="1"/>
  <c r="BW50" i="1"/>
  <c r="BK38" i="1"/>
  <c r="BW35" i="1"/>
  <c r="BO61" i="1"/>
  <c r="AP27" i="1"/>
  <c r="BD23" i="1"/>
  <c r="BP36" i="1"/>
  <c r="BG46" i="1"/>
  <c r="BG208" i="1" s="1"/>
  <c r="BS38" i="1"/>
  <c r="AY50" i="1"/>
  <c r="BO53" i="1"/>
  <c r="BB60" i="1"/>
  <c r="AS46" i="1"/>
  <c r="BU60" i="1"/>
  <c r="BE37" i="1"/>
  <c r="BS59" i="1"/>
  <c r="AW38" i="1"/>
  <c r="BJ50" i="1"/>
  <c r="BJ266" i="1" s="1"/>
  <c r="BU35" i="1"/>
  <c r="BA49" i="1"/>
  <c r="BV39" i="1"/>
  <c r="BN53" i="1"/>
  <c r="AP38" i="1"/>
  <c r="AS50" i="1"/>
  <c r="BV156" i="1"/>
  <c r="BW156" i="1" s="1"/>
  <c r="T184" i="1"/>
  <c r="BG53" i="1"/>
  <c r="BR46" i="1"/>
  <c r="B164" i="1"/>
  <c r="AT39" i="1"/>
  <c r="BC29" i="1"/>
  <c r="BB23" i="1"/>
  <c r="BV145" i="1"/>
  <c r="F149" i="1"/>
  <c r="F145" i="1" s="1"/>
  <c r="AS22" i="1"/>
  <c r="AS245" i="1" s="1"/>
  <c r="BN35" i="1"/>
  <c r="AI49" i="1"/>
  <c r="E186" i="1"/>
  <c r="BR35" i="1"/>
  <c r="BN50" i="1"/>
  <c r="BG29" i="1"/>
  <c r="BG49" i="1"/>
  <c r="BI38" i="1"/>
  <c r="BV36" i="1"/>
  <c r="AW50" i="1"/>
  <c r="BQ34" i="1"/>
  <c r="BQ39" i="1"/>
  <c r="AS37" i="1"/>
  <c r="AS34" i="1"/>
  <c r="BW34" i="1"/>
  <c r="BB27" i="1"/>
  <c r="BJ59" i="1"/>
  <c r="AZ39" i="1"/>
  <c r="BB36" i="1"/>
  <c r="BE53" i="1"/>
  <c r="AW28" i="1"/>
  <c r="AP22" i="1"/>
  <c r="AP245" i="1" s="1"/>
  <c r="AR38" i="1"/>
  <c r="BF23" i="1"/>
  <c r="AX49" i="1"/>
  <c r="BE23" i="1"/>
  <c r="BR36" i="1"/>
  <c r="BH27" i="1"/>
  <c r="AX60" i="1"/>
  <c r="AS60" i="1"/>
  <c r="J131" i="1"/>
  <c r="BM34" i="1"/>
  <c r="BU46" i="1"/>
  <c r="BU208" i="1" s="1"/>
  <c r="BQ23" i="1"/>
  <c r="BQ38" i="1"/>
  <c r="BR60" i="1"/>
  <c r="BR22" i="1"/>
  <c r="BR245" i="1" s="1"/>
  <c r="BS49" i="1"/>
  <c r="BW29" i="1"/>
  <c r="AQ50" i="1"/>
  <c r="AW65" i="1"/>
  <c r="BQ65" i="1"/>
  <c r="BW65" i="1"/>
  <c r="BD53" i="1"/>
  <c r="AR39" i="1"/>
  <c r="AM60" i="1"/>
  <c r="AS35" i="1"/>
  <c r="BU61" i="1"/>
  <c r="BP22" i="1"/>
  <c r="BP245" i="1" s="1"/>
  <c r="AR27" i="1"/>
  <c r="BA23" i="1"/>
  <c r="BN39" i="1"/>
  <c r="AX29" i="1"/>
  <c r="AT49" i="1"/>
  <c r="BB46" i="1"/>
  <c r="BP27" i="1"/>
  <c r="BW60" i="1"/>
  <c r="AV46" i="1"/>
  <c r="AV208" i="1" s="1"/>
  <c r="BS46" i="1"/>
  <c r="BS208" i="1" s="1"/>
  <c r="AR28" i="1"/>
  <c r="BA53" i="1"/>
  <c r="BV65" i="1"/>
  <c r="AO23" i="1"/>
  <c r="BC65" i="1"/>
  <c r="AU27" i="1"/>
  <c r="AQ34" i="1"/>
  <c r="BH38" i="1"/>
  <c r="BU22" i="1"/>
  <c r="BU245" i="1" s="1"/>
  <c r="AY37" i="1"/>
  <c r="BI59" i="1"/>
  <c r="AU59" i="1"/>
  <c r="BH35" i="1"/>
  <c r="BF37" i="1"/>
  <c r="BQ61" i="1"/>
  <c r="AW23" i="1"/>
  <c r="AT34" i="1"/>
  <c r="BE60" i="1"/>
  <c r="BT36" i="1"/>
  <c r="BH37" i="1"/>
  <c r="AI23" i="1"/>
  <c r="BA60" i="1"/>
  <c r="BP39" i="1"/>
  <c r="BK49" i="1"/>
  <c r="BM22" i="1"/>
  <c r="BM61" i="1"/>
  <c r="AM65" i="1"/>
  <c r="BO22" i="1"/>
  <c r="W184" i="1"/>
  <c r="O165" i="1"/>
  <c r="AX59" i="1"/>
  <c r="AO28" i="1"/>
  <c r="BR50" i="1"/>
  <c r="BH28" i="1"/>
  <c r="BF34" i="1"/>
  <c r="BE28" i="1"/>
  <c r="BD34" i="1"/>
  <c r="AW22" i="1"/>
  <c r="AV29" i="1"/>
  <c r="BS22" i="1"/>
  <c r="BS245" i="1" s="1"/>
  <c r="BJ65" i="1"/>
  <c r="AU37" i="1"/>
  <c r="AI53" i="1"/>
  <c r="BQ37" i="1"/>
  <c r="AI22" i="1"/>
  <c r="AI197" i="1" s="1"/>
  <c r="BB29" i="1"/>
  <c r="BC27" i="1"/>
  <c r="BU50" i="1"/>
  <c r="AS49" i="1"/>
  <c r="AZ49" i="1"/>
  <c r="C92" i="1"/>
  <c r="C141" i="1"/>
  <c r="AS39" i="1"/>
  <c r="AI60" i="1"/>
  <c r="BA35" i="1"/>
  <c r="BM50" i="1"/>
  <c r="AS36" i="1"/>
  <c r="BH34" i="1"/>
  <c r="AI39" i="1"/>
  <c r="BW59" i="1"/>
  <c r="BB35" i="1"/>
  <c r="BQ22" i="1"/>
  <c r="BP60" i="1"/>
  <c r="BR39" i="1"/>
  <c r="BT27" i="1"/>
  <c r="BV23" i="1"/>
  <c r="AM87" i="1"/>
  <c r="BR59" i="1"/>
  <c r="BT37" i="1"/>
  <c r="BV49" i="1"/>
  <c r="BH165" i="1"/>
  <c r="BI165" i="1" s="1"/>
  <c r="F184" i="1"/>
  <c r="BB38" i="1"/>
  <c r="BM53" i="1"/>
  <c r="BK61" i="1"/>
  <c r="BC49" i="1"/>
  <c r="BN61" i="1"/>
  <c r="AP49" i="1"/>
  <c r="BM29" i="1"/>
  <c r="BE27" i="1"/>
  <c r="BK39" i="1"/>
  <c r="BD39" i="1"/>
  <c r="AW37" i="1"/>
  <c r="AV35" i="1"/>
  <c r="BS65" i="1"/>
  <c r="AP60" i="1"/>
  <c r="AI34" i="1"/>
  <c r="AW36" i="1"/>
  <c r="AQ61" i="1"/>
  <c r="AW39" i="1"/>
  <c r="AY46" i="1"/>
  <c r="AY208" i="1" s="1"/>
  <c r="BF35" i="1"/>
  <c r="AN53" i="1"/>
  <c r="BB65" i="1"/>
  <c r="BE38" i="1"/>
  <c r="BB61" i="1"/>
  <c r="BI28" i="1"/>
  <c r="BD35" i="1"/>
  <c r="BJ61" i="1"/>
  <c r="BW38" i="1"/>
  <c r="AP39" i="1"/>
  <c r="AI87" i="1"/>
  <c r="H160" i="1"/>
  <c r="H164" i="1"/>
  <c r="BN23" i="1"/>
  <c r="AO35" i="1"/>
  <c r="AQ28" i="1"/>
  <c r="BJ88" i="1"/>
  <c r="BR61" i="1"/>
  <c r="AQ23" i="1"/>
  <c r="AY27" i="1"/>
  <c r="BW23" i="1"/>
  <c r="BR29" i="1"/>
  <c r="BD49" i="1"/>
  <c r="AW35" i="1"/>
  <c r="AR36" i="1"/>
  <c r="BJ49" i="1"/>
  <c r="AX34" i="1"/>
  <c r="AZ38" i="1"/>
  <c r="AY38" i="1"/>
  <c r="AU28" i="1"/>
  <c r="AQ59" i="1"/>
  <c r="BR37" i="1"/>
  <c r="BV53" i="1"/>
  <c r="BG39" i="1"/>
  <c r="BK60" i="1"/>
  <c r="BF65" i="1"/>
  <c r="BB22" i="1"/>
  <c r="AX36" i="1"/>
  <c r="BG37" i="1"/>
  <c r="BE49" i="1"/>
  <c r="AV53" i="1"/>
  <c r="AO37" i="1"/>
  <c r="AZ34" i="1"/>
  <c r="BH166" i="1"/>
  <c r="BI166" i="1" s="1"/>
  <c r="J91" i="1"/>
  <c r="J116" i="1" s="1"/>
  <c r="P149" i="1"/>
  <c r="P145" i="1" s="1"/>
  <c r="BD61" i="1"/>
  <c r="AK88" i="1"/>
  <c r="BD50" i="1"/>
  <c r="AO36" i="1"/>
  <c r="BH65" i="1"/>
  <c r="BV29" i="1"/>
  <c r="BE34" i="1"/>
  <c r="AI38" i="1"/>
  <c r="BC22" i="1"/>
  <c r="BC245" i="1" s="1"/>
  <c r="BK65" i="1"/>
  <c r="AW49" i="1"/>
  <c r="AR23" i="1"/>
  <c r="AN36" i="1"/>
  <c r="AU38" i="1"/>
  <c r="BS61" i="1"/>
  <c r="BQ53" i="1"/>
  <c r="BV59" i="1"/>
  <c r="BI53" i="1"/>
  <c r="BU36" i="1"/>
  <c r="AO61" i="1"/>
  <c r="BD22" i="1"/>
  <c r="BD245" i="1" s="1"/>
  <c r="BN22" i="1"/>
  <c r="BQ46" i="1"/>
  <c r="BQ208" i="1" s="1"/>
  <c r="BE36" i="1"/>
  <c r="AZ22" i="1"/>
  <c r="AP61" i="1"/>
  <c r="AV28" i="1"/>
  <c r="AM59" i="1"/>
  <c r="BO35" i="1"/>
  <c r="BG38" i="1"/>
  <c r="AR59" i="1"/>
  <c r="AT35" i="1"/>
  <c r="BP65" i="1"/>
  <c r="BC50" i="1"/>
  <c r="BE65" i="1"/>
  <c r="AN61" i="1"/>
  <c r="AS65" i="1"/>
  <c r="BT65" i="1"/>
  <c r="BF39" i="1"/>
  <c r="BM23" i="1"/>
  <c r="BW61" i="1"/>
  <c r="BF36" i="1"/>
  <c r="AR35" i="1"/>
  <c r="BU28" i="1"/>
  <c r="AV38" i="1"/>
  <c r="BA37" i="1"/>
  <c r="BA50" i="1"/>
  <c r="AQ27" i="1"/>
  <c r="BJ36" i="1"/>
  <c r="BJ40" i="1" s="1"/>
  <c r="BM59" i="1"/>
  <c r="AQ22" i="1"/>
  <c r="AQ245" i="1" s="1"/>
  <c r="BT53" i="1"/>
  <c r="AO39" i="1"/>
  <c r="BV35" i="1"/>
  <c r="AZ29" i="1"/>
  <c r="BI35" i="1"/>
  <c r="AN65" i="1"/>
  <c r="BO59" i="1"/>
  <c r="BR34" i="1"/>
  <c r="AX22" i="1"/>
  <c r="BG22" i="1"/>
  <c r="BN29" i="1"/>
  <c r="AI50" i="1"/>
  <c r="BV22" i="1"/>
  <c r="BV245" i="1" s="1"/>
  <c r="AS23" i="1"/>
  <c r="AY59" i="1"/>
  <c r="BN65" i="1"/>
  <c r="BW39" i="1"/>
  <c r="AT59" i="1"/>
  <c r="AQ53" i="1"/>
  <c r="BJ46" i="1"/>
  <c r="BJ267" i="1" s="1"/>
  <c r="AS53" i="1"/>
  <c r="BH23" i="1"/>
  <c r="BQ36" i="1"/>
  <c r="AR50" i="1"/>
  <c r="BF27" i="1"/>
  <c r="BS34" i="1"/>
  <c r="BH160" i="1"/>
  <c r="BI160" i="1" s="1"/>
  <c r="BH146" i="1"/>
  <c r="BH131" i="1"/>
  <c r="BH138" i="1"/>
  <c r="BV157" i="1"/>
  <c r="BW157" i="1" s="1"/>
  <c r="BH169" i="1"/>
  <c r="BI169" i="1" s="1"/>
  <c r="BV131" i="1"/>
  <c r="W150" i="1"/>
  <c r="P138" i="1"/>
  <c r="R167" i="1"/>
  <c r="R197" i="1" s="1"/>
  <c r="O159" i="1"/>
  <c r="O194" i="1" s="1"/>
  <c r="F158" i="1"/>
  <c r="F193" i="1" s="1"/>
  <c r="F174" i="1"/>
  <c r="H186" i="1"/>
  <c r="M154" i="1"/>
  <c r="G146" i="1"/>
  <c r="U159" i="1"/>
  <c r="U194" i="1" s="1"/>
  <c r="G150" i="1"/>
  <c r="R88" i="1"/>
  <c r="Q154" i="1"/>
  <c r="I149" i="1"/>
  <c r="I145" i="1" s="1"/>
  <c r="L160" i="1"/>
  <c r="C159" i="1"/>
  <c r="C194" i="1" s="1"/>
  <c r="I147" i="1"/>
  <c r="D92" i="1"/>
  <c r="D103" i="1" s="1"/>
  <c r="S138" i="1"/>
  <c r="B145" i="1"/>
  <c r="Q186" i="1"/>
  <c r="K93" i="1"/>
  <c r="T157" i="1"/>
  <c r="E149" i="1"/>
  <c r="E145" i="1" s="1"/>
  <c r="V167" i="1"/>
  <c r="V197" i="1" s="1"/>
  <c r="U154" i="1"/>
  <c r="K159" i="1"/>
  <c r="K194" i="1" s="1"/>
  <c r="W160" i="1"/>
  <c r="L136" i="1"/>
  <c r="C81" i="1"/>
  <c r="B177" i="1"/>
  <c r="E131" i="1"/>
  <c r="M163" i="1"/>
  <c r="C161" i="1"/>
  <c r="BG61" i="1"/>
  <c r="AN28" i="1"/>
  <c r="AY23" i="1"/>
  <c r="AQ46" i="1"/>
  <c r="AQ208" i="1" s="1"/>
  <c r="BQ49" i="1"/>
  <c r="BS39" i="1"/>
  <c r="BV60" i="1"/>
  <c r="BI27" i="1"/>
  <c r="AT29" i="1"/>
  <c r="AZ65" i="1"/>
  <c r="AO29" i="1"/>
  <c r="BS60" i="1"/>
  <c r="BT34" i="1"/>
  <c r="BI36" i="1"/>
  <c r="AZ23" i="1"/>
  <c r="BG34" i="1"/>
  <c r="BO60" i="1"/>
  <c r="BU39" i="1"/>
  <c r="BT46" i="1"/>
  <c r="BT208" i="1" s="1"/>
  <c r="AY61" i="1"/>
  <c r="BR28" i="1"/>
  <c r="BK53" i="1"/>
  <c r="BQ27" i="1"/>
  <c r="AQ39" i="1"/>
  <c r="AO59" i="1"/>
  <c r="BM39" i="1"/>
  <c r="BU27" i="1"/>
  <c r="BN27" i="1"/>
  <c r="AO53" i="1"/>
  <c r="AV36" i="1"/>
  <c r="BT35" i="1"/>
  <c r="AI65" i="1"/>
  <c r="AO50" i="1"/>
  <c r="BA28" i="1"/>
  <c r="BT59" i="1"/>
  <c r="BP37" i="1"/>
  <c r="AT23" i="1"/>
  <c r="AM61" i="1"/>
  <c r="BH39" i="1"/>
  <c r="BG65" i="1"/>
  <c r="AT27" i="1"/>
  <c r="BF46" i="1"/>
  <c r="BF208" i="1" s="1"/>
  <c r="BI65" i="1"/>
  <c r="AQ60" i="1"/>
  <c r="BS37" i="1"/>
  <c r="BK37" i="1"/>
  <c r="BC39" i="1"/>
  <c r="AR29" i="1"/>
  <c r="AU46" i="1"/>
  <c r="AU208" i="1" s="1"/>
  <c r="BU38" i="1"/>
  <c r="AU36" i="1"/>
  <c r="AZ50" i="1"/>
  <c r="AP34" i="1"/>
  <c r="AT61" i="1"/>
  <c r="BH161" i="1"/>
  <c r="BI161" i="1" s="1"/>
  <c r="BV167" i="1"/>
  <c r="BV173" i="1"/>
  <c r="BV138" i="1"/>
  <c r="BW138" i="1" s="1"/>
  <c r="BV132" i="1"/>
  <c r="BW132" i="1" s="1"/>
  <c r="BH140" i="1"/>
  <c r="BI140" i="1" s="1"/>
  <c r="BH141" i="1"/>
  <c r="BI141" i="1" s="1"/>
  <c r="B140" i="1"/>
  <c r="B168" i="1" s="1"/>
  <c r="T164" i="1"/>
  <c r="C132" i="1"/>
  <c r="W87" i="1"/>
  <c r="V160" i="1"/>
  <c r="W161" i="1"/>
  <c r="O81" i="1"/>
  <c r="O82" i="1" s="1"/>
  <c r="L141" i="1"/>
  <c r="S165" i="1"/>
  <c r="H81" i="1"/>
  <c r="H82" i="1" s="1"/>
  <c r="W133" i="1"/>
  <c r="R165" i="1"/>
  <c r="I139" i="1"/>
  <c r="C185" i="1"/>
  <c r="N87" i="1"/>
  <c r="U87" i="1"/>
  <c r="G154" i="1"/>
  <c r="L157" i="1"/>
  <c r="I157" i="1"/>
  <c r="P131" i="1"/>
  <c r="V161" i="1"/>
  <c r="N149" i="1"/>
  <c r="N145" i="1" s="1"/>
  <c r="D154" i="1"/>
  <c r="L165" i="1"/>
  <c r="T151" i="1"/>
  <c r="I146" i="1"/>
  <c r="S139" i="1"/>
  <c r="Q146" i="1"/>
  <c r="E177" i="1"/>
  <c r="Q140" i="1"/>
  <c r="Q168" i="1" s="1"/>
  <c r="N91" i="1"/>
  <c r="T150" i="1"/>
  <c r="BP29" i="1"/>
  <c r="BR65" i="1"/>
  <c r="AV34" i="1"/>
  <c r="AZ61" i="1"/>
  <c r="BW28" i="1"/>
  <c r="AV60" i="1"/>
  <c r="AR49" i="1"/>
  <c r="BU29" i="1"/>
  <c r="AR37" i="1"/>
  <c r="AV22" i="1"/>
  <c r="AV245" i="1" s="1"/>
  <c r="AZ46" i="1"/>
  <c r="BP38" i="1"/>
  <c r="AU39" i="1"/>
  <c r="AR22" i="1"/>
  <c r="AR245" i="1" s="1"/>
  <c r="AU60" i="1"/>
  <c r="BD38" i="1"/>
  <c r="BD27" i="1"/>
  <c r="AN29" i="1"/>
  <c r="BW22" i="1"/>
  <c r="AW60" i="1"/>
  <c r="BU23" i="1"/>
  <c r="BC36" i="1"/>
  <c r="AU35" i="1"/>
  <c r="BF59" i="1"/>
  <c r="AS59" i="1"/>
  <c r="BI23" i="1"/>
  <c r="BI39" i="1"/>
  <c r="BV154" i="1"/>
  <c r="BW154" i="1" s="1"/>
  <c r="BX216" i="1" s="1"/>
  <c r="BV161" i="1"/>
  <c r="BW161" i="1" s="1"/>
  <c r="BV158" i="1"/>
  <c r="BV164" i="1"/>
  <c r="BW164" i="1" s="1"/>
  <c r="BH173" i="1"/>
  <c r="BV147" i="1"/>
  <c r="U185" i="1"/>
  <c r="E151" i="1"/>
  <c r="S81" i="1"/>
  <c r="S82" i="1" s="1"/>
  <c r="B141" i="1"/>
  <c r="J146" i="1"/>
  <c r="K151" i="1"/>
  <c r="R132" i="1"/>
  <c r="C173" i="1"/>
  <c r="M81" i="1"/>
  <c r="M82" i="1" s="1"/>
  <c r="T133" i="1"/>
  <c r="B81" i="1"/>
  <c r="P156" i="1"/>
  <c r="N160" i="1"/>
  <c r="H140" i="1"/>
  <c r="H168" i="1" s="1"/>
  <c r="K161" i="1"/>
  <c r="U141" i="1"/>
  <c r="D178" i="1"/>
  <c r="B149" i="1"/>
  <c r="K160" i="1"/>
  <c r="W151" i="1"/>
  <c r="W132" i="1"/>
  <c r="Q87" i="1"/>
  <c r="S160" i="1"/>
  <c r="G184" i="1"/>
  <c r="W156" i="1"/>
  <c r="V185" i="1"/>
  <c r="F139" i="1"/>
  <c r="H159" i="1"/>
  <c r="H194" i="1" s="1"/>
  <c r="K139" i="1"/>
  <c r="Q149" i="1"/>
  <c r="Q145" i="1" s="1"/>
  <c r="K149" i="1"/>
  <c r="K145" i="1" s="1"/>
  <c r="BU49" i="1"/>
  <c r="AZ37" i="1"/>
  <c r="BR38" i="1"/>
  <c r="AX46" i="1"/>
  <c r="AX208" i="1" s="1"/>
  <c r="AU22" i="1"/>
  <c r="BI50" i="1"/>
  <c r="AI59" i="1"/>
  <c r="BV46" i="1"/>
  <c r="BV208" i="1" s="1"/>
  <c r="AX35" i="1"/>
  <c r="AI35" i="1"/>
  <c r="BS28" i="1"/>
  <c r="BM38" i="1"/>
  <c r="BP34" i="1"/>
  <c r="BM46" i="1"/>
  <c r="BT28" i="1"/>
  <c r="BC53" i="1"/>
  <c r="BO36" i="1"/>
  <c r="BJ23" i="1"/>
  <c r="BJ24" i="1" s="1"/>
  <c r="BJ30" i="1" s="1"/>
  <c r="BJ31" i="1" s="1"/>
  <c r="BM35" i="1"/>
  <c r="BK36" i="1"/>
  <c r="BO34" i="1"/>
  <c r="BD28" i="1"/>
  <c r="BE35" i="1"/>
  <c r="BK27" i="1"/>
  <c r="BR23" i="1"/>
  <c r="BR24" i="1" s="1"/>
  <c r="AX39" i="1"/>
  <c r="AX53" i="1"/>
  <c r="BV146" i="1"/>
  <c r="BH147" i="1"/>
  <c r="BV169" i="1"/>
  <c r="BW169" i="1" s="1"/>
  <c r="BH88" i="1"/>
  <c r="BV174" i="1"/>
  <c r="BH156" i="1"/>
  <c r="BI156" i="1" s="1"/>
  <c r="BV160" i="1"/>
  <c r="BW160" i="1" s="1"/>
  <c r="D132" i="1"/>
  <c r="D159" i="1"/>
  <c r="D194" i="1" s="1"/>
  <c r="N163" i="1"/>
  <c r="T93" i="1"/>
  <c r="O141" i="1"/>
  <c r="K132" i="1"/>
  <c r="E159" i="1"/>
  <c r="E194" i="1" s="1"/>
  <c r="N151" i="1"/>
  <c r="J184" i="1"/>
  <c r="G91" i="1"/>
  <c r="G99" i="1" s="1"/>
  <c r="L164" i="1"/>
  <c r="R138" i="1"/>
  <c r="E141" i="1"/>
  <c r="B173" i="1"/>
  <c r="J154" i="1"/>
  <c r="M88" i="1"/>
  <c r="G165" i="1"/>
  <c r="S178" i="1"/>
  <c r="E87" i="1"/>
  <c r="N146" i="1"/>
  <c r="O93" i="1"/>
  <c r="O118" i="1" s="1"/>
  <c r="M165" i="1"/>
  <c r="R92" i="1"/>
  <c r="W81" i="1"/>
  <c r="F169" i="1"/>
  <c r="W138" i="1"/>
  <c r="D160" i="1"/>
  <c r="V173" i="1"/>
  <c r="W93" i="1"/>
  <c r="C136" i="1"/>
  <c r="B151" i="1"/>
  <c r="B131" i="1"/>
  <c r="BP28" i="1"/>
  <c r="BK46" i="1"/>
  <c r="AT46" i="1"/>
  <c r="AT53" i="1"/>
  <c r="BA22" i="1"/>
  <c r="AJ88" i="1"/>
  <c r="AX65" i="1"/>
  <c r="AQ36" i="1"/>
  <c r="BO49" i="1"/>
  <c r="BN60" i="1"/>
  <c r="BV38" i="1"/>
  <c r="BP23" i="1"/>
  <c r="AR34" i="1"/>
  <c r="BR27" i="1"/>
  <c r="AT36" i="1"/>
  <c r="AT60" i="1"/>
  <c r="BB53" i="1"/>
  <c r="AV23" i="1"/>
  <c r="BK29" i="1"/>
  <c r="AP50" i="1"/>
  <c r="AP266" i="1" s="1"/>
  <c r="BG35" i="1"/>
  <c r="BQ35" i="1"/>
  <c r="BE59" i="1"/>
  <c r="AZ59" i="1"/>
  <c r="BN38" i="1"/>
  <c r="BS29" i="1"/>
  <c r="BK50" i="1"/>
  <c r="AO34" i="1"/>
  <c r="BS50" i="1"/>
  <c r="BP50" i="1"/>
  <c r="BW53" i="1"/>
  <c r="BC61" i="1"/>
  <c r="BV50" i="1"/>
  <c r="BP35" i="1"/>
  <c r="BB34" i="1"/>
  <c r="BV28" i="1"/>
  <c r="AI36" i="1"/>
  <c r="BV136" i="1"/>
  <c r="BW136" i="1" s="1"/>
  <c r="BV149" i="1"/>
  <c r="BW149" i="1" s="1"/>
  <c r="BV151" i="1"/>
  <c r="BW151" i="1" s="1"/>
  <c r="BV140" i="1"/>
  <c r="BW140" i="1" s="1"/>
  <c r="BV165" i="1"/>
  <c r="BW165" i="1" s="1"/>
  <c r="BH167" i="1"/>
  <c r="K178" i="1"/>
  <c r="L138" i="1"/>
  <c r="N93" i="1"/>
  <c r="O136" i="1"/>
  <c r="I151" i="1"/>
  <c r="P157" i="1"/>
  <c r="I136" i="1"/>
  <c r="F151" i="1"/>
  <c r="I164" i="1"/>
  <c r="V149" i="1"/>
  <c r="V145" i="1" s="1"/>
  <c r="V136" i="1"/>
  <c r="V81" i="1"/>
  <c r="V82" i="1" s="1"/>
  <c r="O186" i="1"/>
  <c r="K147" i="1"/>
  <c r="E147" i="1"/>
  <c r="M132" i="1"/>
  <c r="J150" i="1"/>
  <c r="B167" i="1"/>
  <c r="B197" i="1" s="1"/>
  <c r="W158" i="1"/>
  <c r="F163" i="1"/>
  <c r="N164" i="1"/>
  <c r="D167" i="1"/>
  <c r="D197" i="1" s="1"/>
  <c r="V91" i="1"/>
  <c r="V116" i="1" s="1"/>
  <c r="J164" i="1"/>
  <c r="R139" i="1"/>
  <c r="C167" i="1"/>
  <c r="C197" i="1" s="1"/>
  <c r="I160" i="1"/>
  <c r="B133" i="1"/>
  <c r="V132" i="1"/>
  <c r="Q164" i="1"/>
  <c r="S173" i="1"/>
  <c r="N140" i="1"/>
  <c r="N168" i="1" s="1"/>
  <c r="K131" i="1"/>
  <c r="U161" i="1"/>
  <c r="K163" i="1"/>
  <c r="O92" i="1"/>
  <c r="O117" i="1" s="1"/>
  <c r="K87" i="1"/>
  <c r="H161" i="1"/>
  <c r="H91" i="1"/>
  <c r="H116" i="1" s="1"/>
  <c r="BR53" i="1"/>
  <c r="AN49" i="1"/>
  <c r="AP23" i="1"/>
  <c r="BF49" i="1"/>
  <c r="AU61" i="1"/>
  <c r="BH53" i="1"/>
  <c r="AZ27" i="1"/>
  <c r="AM88" i="1"/>
  <c r="AX61" i="1"/>
  <c r="BT22" i="1"/>
  <c r="BT245" i="1" s="1"/>
  <c r="BV61" i="1"/>
  <c r="BO27" i="1"/>
  <c r="BD46" i="1"/>
  <c r="BD208" i="1" s="1"/>
  <c r="AY60" i="1"/>
  <c r="BG28" i="1"/>
  <c r="BO29" i="1"/>
  <c r="AN37" i="1"/>
  <c r="AV27" i="1"/>
  <c r="AN35" i="1"/>
  <c r="BH139" i="1"/>
  <c r="BI139" i="1" s="1"/>
  <c r="BV141" i="1"/>
  <c r="BW141" i="1" s="1"/>
  <c r="BH136" i="1"/>
  <c r="BI136" i="1" s="1"/>
  <c r="T88" i="1"/>
  <c r="N138" i="1"/>
  <c r="R147" i="1"/>
  <c r="F164" i="1"/>
  <c r="G186" i="1"/>
  <c r="P164" i="1"/>
  <c r="C88" i="1"/>
  <c r="G136" i="1"/>
  <c r="V147" i="1"/>
  <c r="S149" i="1"/>
  <c r="S145" i="1" s="1"/>
  <c r="C157" i="1"/>
  <c r="Q157" i="1"/>
  <c r="F140" i="1"/>
  <c r="F168" i="1" s="1"/>
  <c r="M173" i="1"/>
  <c r="L185" i="1"/>
  <c r="B150" i="1"/>
  <c r="U138" i="1"/>
  <c r="R156" i="1"/>
  <c r="Q88" i="1"/>
  <c r="R163" i="1"/>
  <c r="E164" i="1"/>
  <c r="C149" i="1"/>
  <c r="Q147" i="1"/>
  <c r="I91" i="1"/>
  <c r="I116" i="1" s="1"/>
  <c r="J132" i="1"/>
  <c r="L174" i="1"/>
  <c r="J140" i="1"/>
  <c r="J168" i="1" s="1"/>
  <c r="R160" i="1"/>
  <c r="E132" i="1"/>
  <c r="I154" i="1"/>
  <c r="J163" i="1"/>
  <c r="N159" i="1"/>
  <c r="N194" i="1" s="1"/>
  <c r="AR65" i="1"/>
  <c r="BI34" i="1"/>
  <c r="AQ38" i="1"/>
  <c r="AN50" i="1"/>
  <c r="BM49" i="1"/>
  <c r="BU59" i="1"/>
  <c r="AU23" i="1"/>
  <c r="BQ29" i="1"/>
  <c r="AW53" i="1"/>
  <c r="BF28" i="1"/>
  <c r="AO49" i="1"/>
  <c r="BM65" i="1"/>
  <c r="AY34" i="1"/>
  <c r="BV178" i="1"/>
  <c r="BW178" i="1" s="1"/>
  <c r="AT50" i="1"/>
  <c r="AT266" i="1" s="1"/>
  <c r="BM60" i="1"/>
  <c r="AW29" i="1"/>
  <c r="AY39" i="1"/>
  <c r="BN28" i="1"/>
  <c r="AV37" i="1"/>
  <c r="BQ50" i="1"/>
  <c r="BT61" i="1"/>
  <c r="BB37" i="1"/>
  <c r="BU65" i="1"/>
  <c r="BR49" i="1"/>
  <c r="AJ87" i="1"/>
  <c r="BM28" i="1"/>
  <c r="BT39" i="1"/>
  <c r="AQ29" i="1"/>
  <c r="BH46" i="1"/>
  <c r="BH208" i="1" s="1"/>
  <c r="BA59" i="1"/>
  <c r="BO50" i="1"/>
  <c r="BI46" i="1"/>
  <c r="AV65" i="1"/>
  <c r="AU50" i="1"/>
  <c r="BO39" i="1"/>
  <c r="BH50" i="1"/>
  <c r="BP46" i="1"/>
  <c r="BA61" i="1"/>
  <c r="BS53" i="1"/>
  <c r="BD36" i="1"/>
  <c r="AY36" i="1"/>
  <c r="BF61" i="1"/>
  <c r="BK22" i="1"/>
  <c r="AO65" i="1"/>
  <c r="BW37" i="1"/>
  <c r="BP59" i="1"/>
  <c r="BC34" i="1"/>
  <c r="BI22" i="1"/>
  <c r="BI245" i="1" s="1"/>
  <c r="AP35" i="1"/>
  <c r="BV37" i="1"/>
  <c r="AO38" i="1"/>
  <c r="BE46" i="1"/>
  <c r="BE208" i="1" s="1"/>
  <c r="BP49" i="1"/>
  <c r="AY29" i="1"/>
  <c r="AU65" i="1"/>
  <c r="AI28" i="1"/>
  <c r="BT23" i="1"/>
  <c r="BE50" i="1"/>
  <c r="AX38" i="1"/>
  <c r="AY65" i="1"/>
  <c r="BC59" i="1"/>
  <c r="BD37" i="1"/>
  <c r="BF50" i="1"/>
  <c r="AP28" i="1"/>
  <c r="BG59" i="1"/>
  <c r="AN46" i="1"/>
  <c r="AN208" i="1" s="1"/>
  <c r="AY28" i="1"/>
  <c r="AU53" i="1"/>
  <c r="BC46" i="1"/>
  <c r="BC208" i="1" s="1"/>
  <c r="AU49" i="1"/>
  <c r="BA36" i="1"/>
  <c r="BO28" i="1"/>
  <c r="AN59" i="1"/>
  <c r="BV163" i="1"/>
  <c r="BW163" i="1" s="1"/>
  <c r="BV88" i="1"/>
  <c r="BH159" i="1"/>
  <c r="BH157" i="1"/>
  <c r="BI157" i="1" s="1"/>
  <c r="BH158" i="1"/>
  <c r="M159" i="1"/>
  <c r="M194" i="1" s="1"/>
  <c r="F178" i="1"/>
  <c r="H157" i="1"/>
  <c r="J147" i="1"/>
  <c r="F160" i="1"/>
  <c r="S169" i="1"/>
  <c r="J178" i="1"/>
  <c r="P163" i="1"/>
  <c r="B161" i="1"/>
  <c r="J174" i="1"/>
  <c r="Q133" i="1"/>
  <c r="G151" i="1"/>
  <c r="P161" i="1"/>
  <c r="H136" i="1"/>
  <c r="U186" i="1"/>
  <c r="M91" i="1"/>
  <c r="M99" i="1" s="1"/>
  <c r="L92" i="1"/>
  <c r="D163" i="1"/>
  <c r="I132" i="1"/>
  <c r="T185" i="1"/>
  <c r="N81" i="1"/>
  <c r="N82" i="1" s="1"/>
  <c r="V164" i="1"/>
  <c r="I150" i="1"/>
  <c r="H149" i="1"/>
  <c r="H145" i="1" s="1"/>
  <c r="Q177" i="1"/>
  <c r="S150" i="1"/>
  <c r="V177" i="1"/>
  <c r="S161" i="1"/>
  <c r="O131" i="1"/>
  <c r="E185" i="1"/>
  <c r="O150" i="1"/>
  <c r="H174" i="1"/>
  <c r="AZ53" i="1"/>
  <c r="BC23" i="1"/>
  <c r="AQ35" i="1"/>
  <c r="BC35" i="1"/>
  <c r="BG23" i="1"/>
  <c r="AY53" i="1"/>
  <c r="BE61" i="1"/>
  <c r="BP61" i="1"/>
  <c r="AI37" i="1"/>
  <c r="BS35" i="1"/>
  <c r="BO23" i="1"/>
  <c r="AV49" i="1"/>
  <c r="AX27" i="1"/>
  <c r="AT65" i="1"/>
  <c r="BK23" i="1"/>
  <c r="BO65" i="1"/>
  <c r="AN39" i="1"/>
  <c r="BH61" i="1"/>
  <c r="BW36" i="1"/>
  <c r="BQ59" i="1"/>
  <c r="AX37" i="1"/>
  <c r="BA46" i="1"/>
  <c r="BM36" i="1"/>
  <c r="AQ65" i="1"/>
  <c r="BB50" i="1"/>
  <c r="AS61" i="1"/>
  <c r="AY35" i="1"/>
  <c r="BT49" i="1"/>
  <c r="BB59" i="1"/>
  <c r="AQ49" i="1"/>
  <c r="AW61" i="1"/>
  <c r="BT60" i="1"/>
  <c r="BF60" i="1"/>
  <c r="BH49" i="1"/>
  <c r="BC38" i="1"/>
  <c r="BO38" i="1"/>
  <c r="AS38" i="1"/>
  <c r="AV50" i="1"/>
  <c r="BD59" i="1"/>
  <c r="AS29" i="1"/>
  <c r="BE22" i="1"/>
  <c r="BE245" i="1" s="1"/>
  <c r="BN36" i="1"/>
  <c r="AS27" i="1"/>
  <c r="AZ35" i="1"/>
  <c r="AI46" i="1"/>
  <c r="AI208" i="1" s="1"/>
  <c r="BV87" i="1"/>
  <c r="BV133" i="1"/>
  <c r="BH132" i="1"/>
  <c r="BI132" i="1" s="1"/>
  <c r="U160" i="1"/>
  <c r="S146" i="1"/>
  <c r="L93" i="1"/>
  <c r="L122" i="1" s="1"/>
  <c r="B160" i="1"/>
  <c r="T92" i="1"/>
  <c r="T103" i="1" s="1"/>
  <c r="J159" i="1"/>
  <c r="J194" i="1" s="1"/>
  <c r="W174" i="1"/>
  <c r="C150" i="1"/>
  <c r="W149" i="1"/>
  <c r="W145" i="1" s="1"/>
  <c r="T81" i="1"/>
  <c r="T82" i="1" s="1"/>
  <c r="E184" i="1"/>
  <c r="C151" i="1"/>
  <c r="G93" i="1"/>
  <c r="B77" i="1"/>
  <c r="T186" i="1"/>
  <c r="T91" i="1"/>
  <c r="T116" i="1" s="1"/>
  <c r="L156" i="1"/>
  <c r="M149" i="1"/>
  <c r="M145" i="1" s="1"/>
  <c r="D156" i="1"/>
  <c r="I88" i="1"/>
  <c r="C87" i="1"/>
  <c r="M133" i="1"/>
  <c r="B91" i="1"/>
  <c r="Q161" i="1"/>
  <c r="C140" i="1"/>
  <c r="C168" i="1" s="1"/>
  <c r="I158" i="1"/>
  <c r="I193" i="1" s="1"/>
  <c r="R186" i="1"/>
  <c r="J156" i="1"/>
  <c r="K136" i="1"/>
  <c r="U139" i="1"/>
  <c r="T138" i="1"/>
  <c r="B138" i="1"/>
  <c r="V178" i="1"/>
  <c r="C156" i="1"/>
  <c r="Q141" i="1"/>
  <c r="J93" i="1"/>
  <c r="I186" i="1"/>
  <c r="G81" i="1"/>
  <c r="G82" i="1" s="1"/>
  <c r="M147" i="1"/>
  <c r="C133" i="1"/>
  <c r="F177" i="1"/>
  <c r="D161" i="1"/>
  <c r="F141" i="1"/>
  <c r="S141" i="1"/>
  <c r="C147" i="1"/>
  <c r="D186" i="1"/>
  <c r="N161" i="1"/>
  <c r="B78" i="1"/>
  <c r="O133" i="1"/>
  <c r="F165" i="1"/>
  <c r="F186" i="1"/>
  <c r="D164" i="1"/>
  <c r="B169" i="1"/>
  <c r="T140" i="1"/>
  <c r="T168" i="1" s="1"/>
  <c r="H163" i="1"/>
  <c r="V92" i="1"/>
  <c r="H141" i="1"/>
  <c r="D131" i="1"/>
  <c r="U157" i="1"/>
  <c r="O132" i="1"/>
  <c r="D147" i="1"/>
  <c r="U173" i="1"/>
  <c r="AW46" i="1"/>
  <c r="BN59" i="1"/>
  <c r="AP53" i="1"/>
  <c r="AY49" i="1"/>
  <c r="BI37" i="1"/>
  <c r="BU53" i="1"/>
  <c r="AP36" i="1"/>
  <c r="AO60" i="1"/>
  <c r="BS23" i="1"/>
  <c r="BH22" i="1"/>
  <c r="BH245" i="1" s="1"/>
  <c r="AN60" i="1"/>
  <c r="AR61" i="1"/>
  <c r="BW49" i="1"/>
  <c r="AR46" i="1"/>
  <c r="AR208" i="1" s="1"/>
  <c r="AV39" i="1"/>
  <c r="BH36" i="1"/>
  <c r="AP59" i="1"/>
  <c r="BH29" i="1"/>
  <c r="BV34" i="1"/>
  <c r="BB39" i="1"/>
  <c r="BN37" i="1"/>
  <c r="AZ60" i="1"/>
  <c r="BE39" i="1"/>
  <c r="BC28" i="1"/>
  <c r="BH59" i="1"/>
  <c r="AN22" i="1"/>
  <c r="BB28" i="1"/>
  <c r="AW34" i="1"/>
  <c r="BF38" i="1"/>
  <c r="BQ28" i="1"/>
  <c r="AV59" i="1"/>
  <c r="AT38" i="1"/>
  <c r="AN23" i="1"/>
  <c r="BH168" i="1"/>
  <c r="BI168" i="1" s="1"/>
  <c r="BV177" i="1"/>
  <c r="BW177" i="1" s="1"/>
  <c r="BH174" i="1"/>
  <c r="W136" i="1"/>
  <c r="V87" i="1"/>
  <c r="R185" i="1"/>
  <c r="W167" i="1"/>
  <c r="I185" i="1"/>
  <c r="M151" i="1"/>
  <c r="D87" i="1"/>
  <c r="Q150" i="1"/>
  <c r="M167" i="1"/>
  <c r="M197" i="1" s="1"/>
  <c r="O169" i="1"/>
  <c r="G169" i="1"/>
  <c r="T149" i="1"/>
  <c r="T145" i="1" s="1"/>
  <c r="V158" i="1"/>
  <c r="V193" i="1" s="1"/>
  <c r="W139" i="1"/>
  <c r="R173" i="1"/>
  <c r="P92" i="1"/>
  <c r="P121" i="1" s="1"/>
  <c r="Q158" i="1"/>
  <c r="Q193" i="1" s="1"/>
  <c r="M178" i="1"/>
  <c r="H87" i="1"/>
  <c r="Q178" i="1"/>
  <c r="M157" i="1"/>
  <c r="J81" i="1"/>
  <c r="J82" i="1" s="1"/>
  <c r="T146" i="1"/>
  <c r="L159" i="1"/>
  <c r="L194" i="1" s="1"/>
  <c r="T136" i="1"/>
  <c r="E91" i="1"/>
  <c r="E116" i="1" s="1"/>
  <c r="P146" i="1"/>
  <c r="U177" i="1"/>
  <c r="E163" i="1"/>
  <c r="BN46" i="1"/>
  <c r="AS28" i="1"/>
  <c r="BU34" i="1"/>
  <c r="AO22" i="1"/>
  <c r="AN27" i="1"/>
  <c r="BF53" i="1"/>
  <c r="AZ28" i="1"/>
  <c r="BC60" i="1"/>
  <c r="BI49" i="1"/>
  <c r="BO46" i="1"/>
  <c r="BO208" i="1" s="1"/>
  <c r="AU29" i="1"/>
  <c r="BG36" i="1"/>
  <c r="AX23" i="1"/>
  <c r="BM27" i="1"/>
  <c r="AU34" i="1"/>
  <c r="BT50" i="1"/>
  <c r="AP65" i="1"/>
  <c r="BE29" i="1"/>
  <c r="BS36" i="1"/>
  <c r="BK59" i="1"/>
  <c r="BD60" i="1"/>
  <c r="BA38" i="1"/>
  <c r="BG50" i="1"/>
  <c r="BF22" i="1"/>
  <c r="AX50" i="1"/>
  <c r="AW59" i="1"/>
  <c r="BH151" i="1"/>
  <c r="BI151" i="1" s="1"/>
  <c r="BH87" i="1"/>
  <c r="BV166" i="1"/>
  <c r="BW166" i="1" s="1"/>
  <c r="BH177" i="1"/>
  <c r="BI177" i="1" s="1"/>
  <c r="BH154" i="1"/>
  <c r="BI154" i="1" s="1"/>
  <c r="BJ216" i="1" s="1"/>
  <c r="BH164" i="1"/>
  <c r="BI164" i="1" s="1"/>
  <c r="K174" i="1"/>
  <c r="M169" i="1"/>
  <c r="B185" i="1"/>
  <c r="G158" i="1"/>
  <c r="G193" i="1" s="1"/>
  <c r="V165" i="1"/>
  <c r="G159" i="1"/>
  <c r="G194" i="1" s="1"/>
  <c r="F147" i="1"/>
  <c r="S177" i="1"/>
  <c r="F132" i="1"/>
  <c r="D157" i="1"/>
  <c r="U150" i="1"/>
  <c r="B174" i="1"/>
  <c r="N165" i="1"/>
  <c r="J87" i="1"/>
  <c r="F167" i="1"/>
  <c r="F197" i="1" s="1"/>
  <c r="P132" i="1"/>
  <c r="B165" i="1"/>
  <c r="N186" i="1"/>
  <c r="Q156" i="1"/>
  <c r="U131" i="1"/>
  <c r="V131" i="1"/>
  <c r="J139" i="1"/>
  <c r="M93" i="1"/>
  <c r="B92" i="1"/>
  <c r="G141" i="1"/>
  <c r="P186" i="1"/>
  <c r="D184" i="1"/>
  <c r="C160" i="1"/>
  <c r="J185" i="1"/>
  <c r="B132" i="1"/>
  <c r="N178" i="1"/>
  <c r="W186" i="1"/>
  <c r="E169" i="1"/>
  <c r="C174" i="1"/>
  <c r="BF29" i="1"/>
  <c r="BA29" i="1"/>
  <c r="AR53" i="1"/>
  <c r="AT37" i="1"/>
  <c r="BN34" i="1"/>
  <c r="BJ60" i="1"/>
  <c r="AO46" i="1"/>
  <c r="AO208" i="1" s="1"/>
  <c r="AK87" i="1"/>
  <c r="BV27" i="1"/>
  <c r="BN49" i="1"/>
  <c r="BH178" i="1"/>
  <c r="BI178" i="1" s="1"/>
  <c r="BH163" i="1"/>
  <c r="BI163" i="1" s="1"/>
  <c r="BV159" i="1"/>
  <c r="BV139" i="1"/>
  <c r="BW139" i="1" s="1"/>
  <c r="BH133" i="1"/>
  <c r="B146" i="1"/>
  <c r="L132" i="1"/>
  <c r="U178" i="1"/>
  <c r="B93" i="1"/>
  <c r="Q163" i="1"/>
  <c r="U136" i="1"/>
  <c r="D139" i="1"/>
  <c r="L151" i="1"/>
  <c r="L147" i="1"/>
  <c r="C91" i="1"/>
  <c r="K91" i="1"/>
  <c r="K116" i="1" s="1"/>
  <c r="Q136" i="1"/>
  <c r="O177" i="1"/>
  <c r="I177" i="1"/>
  <c r="I159" i="1"/>
  <c r="I194" i="1" s="1"/>
  <c r="G132" i="1"/>
  <c r="S154" i="1"/>
  <c r="B186" i="1"/>
  <c r="E160" i="1"/>
  <c r="I184" i="1"/>
  <c r="H132" i="1"/>
  <c r="L133" i="1"/>
  <c r="I140" i="1"/>
  <c r="I168" i="1" s="1"/>
  <c r="C154" i="1"/>
  <c r="K141" i="1"/>
  <c r="R154" i="1"/>
  <c r="S216" i="1" s="1"/>
  <c r="F81" i="1"/>
  <c r="F82" i="1" s="1"/>
  <c r="R177" i="1"/>
  <c r="O138" i="1"/>
  <c r="L149" i="1"/>
  <c r="L145" i="1" s="1"/>
  <c r="D77" i="1"/>
  <c r="R133" i="1"/>
  <c r="Q139" i="1"/>
  <c r="U156" i="1"/>
  <c r="H184" i="1"/>
  <c r="E93" i="1"/>
  <c r="E101" i="1" s="1"/>
  <c r="BH145" i="1"/>
  <c r="M138" i="1"/>
  <c r="T147" i="1"/>
  <c r="D174" i="1"/>
  <c r="M146" i="1"/>
  <c r="D140" i="1"/>
  <c r="D168" i="1" s="1"/>
  <c r="O139" i="1"/>
  <c r="J157" i="1"/>
  <c r="H173" i="1"/>
  <c r="E136" i="1"/>
  <c r="Q92" i="1"/>
  <c r="Q103" i="1" s="1"/>
  <c r="R141" i="1"/>
  <c r="D88" i="1"/>
  <c r="L150" i="1"/>
  <c r="W140" i="1"/>
  <c r="W168" i="1" s="1"/>
  <c r="R178" i="1"/>
  <c r="M160" i="1"/>
  <c r="C77" i="1"/>
  <c r="D141" i="1"/>
  <c r="W92" i="1"/>
  <c r="W121" i="1" s="1"/>
  <c r="W141" i="1"/>
  <c r="H133" i="1"/>
  <c r="E133" i="1"/>
  <c r="T159" i="1"/>
  <c r="T194" i="1" s="1"/>
  <c r="S131" i="1"/>
  <c r="V151" i="1"/>
  <c r="P160" i="1"/>
  <c r="W164" i="1"/>
  <c r="G160" i="1"/>
  <c r="T178" i="1"/>
  <c r="J151" i="1"/>
  <c r="H138" i="1"/>
  <c r="E150" i="1"/>
  <c r="C158" i="1"/>
  <c r="C193" i="1" s="1"/>
  <c r="W88" i="1"/>
  <c r="T174" i="1"/>
  <c r="D151" i="1"/>
  <c r="E156" i="1"/>
  <c r="G131" i="1"/>
  <c r="R93" i="1"/>
  <c r="H92" i="1"/>
  <c r="G185" i="1"/>
  <c r="P150" i="1"/>
  <c r="O140" i="1"/>
  <c r="O168" i="1" s="1"/>
  <c r="I169" i="1"/>
  <c r="I138" i="1"/>
  <c r="B154" i="1"/>
  <c r="B156" i="1"/>
  <c r="E154" i="1"/>
  <c r="I161" i="1"/>
  <c r="H158" i="1"/>
  <c r="H193" i="1" s="1"/>
  <c r="R149" i="1"/>
  <c r="R145" i="1" s="1"/>
  <c r="V157" i="1"/>
  <c r="H178" i="1"/>
  <c r="G87" i="1"/>
  <c r="C163" i="1"/>
  <c r="N167" i="1"/>
  <c r="N197" i="1" s="1"/>
  <c r="W163" i="1"/>
  <c r="Q185" i="1"/>
  <c r="I163" i="1"/>
  <c r="J158" i="1"/>
  <c r="J193" i="1" s="1"/>
  <c r="N131" i="1"/>
  <c r="L81" i="1"/>
  <c r="L82" i="1" s="1"/>
  <c r="U92" i="1"/>
  <c r="W157" i="1"/>
  <c r="K185" i="1"/>
  <c r="L186" i="1"/>
  <c r="H93" i="1"/>
  <c r="H118" i="1" s="1"/>
  <c r="L139" i="1"/>
  <c r="S136" i="1"/>
  <c r="T169" i="1"/>
  <c r="V139" i="1"/>
  <c r="S132" i="1"/>
  <c r="T173" i="1"/>
  <c r="C93" i="1"/>
  <c r="F138" i="1"/>
  <c r="J165" i="1"/>
  <c r="C184" i="1"/>
  <c r="J177" i="1"/>
  <c r="K186" i="1"/>
  <c r="E88" i="1"/>
  <c r="N150" i="1"/>
  <c r="D165" i="1"/>
  <c r="O147" i="1"/>
  <c r="L184" i="1"/>
  <c r="H177" i="1"/>
  <c r="N185" i="1"/>
  <c r="H185" i="1"/>
  <c r="D91" i="1"/>
  <c r="D185" i="1"/>
  <c r="M156" i="1"/>
  <c r="V150" i="1"/>
  <c r="R146" i="1"/>
  <c r="V140" i="1"/>
  <c r="V168" i="1" s="1"/>
  <c r="P158" i="1"/>
  <c r="P193" i="1" s="1"/>
  <c r="K164" i="1"/>
  <c r="H88" i="1"/>
  <c r="N174" i="1"/>
  <c r="S163" i="1"/>
  <c r="C146" i="1"/>
  <c r="M87" i="1"/>
  <c r="S185" i="1"/>
  <c r="S133" i="1"/>
  <c r="L169" i="1"/>
  <c r="C145" i="1"/>
  <c r="O146" i="1"/>
  <c r="D149" i="1"/>
  <c r="S174" i="1"/>
  <c r="D145" i="1"/>
  <c r="V186" i="1"/>
  <c r="V93" i="1"/>
  <c r="V118" i="1" s="1"/>
  <c r="T156" i="1"/>
  <c r="W178" i="1"/>
  <c r="I133" i="1"/>
  <c r="J167" i="1"/>
  <c r="J197" i="1" s="1"/>
  <c r="R91" i="1"/>
  <c r="S93" i="1"/>
  <c r="S118" i="1" s="1"/>
  <c r="L154" i="1"/>
  <c r="U151" i="1"/>
  <c r="O163" i="1"/>
  <c r="M136" i="1"/>
  <c r="P184" i="1"/>
  <c r="F154" i="1"/>
  <c r="T161" i="1"/>
  <c r="O158" i="1"/>
  <c r="O193" i="1" s="1"/>
  <c r="S158" i="1"/>
  <c r="S193" i="1" s="1"/>
  <c r="O178" i="1"/>
  <c r="R161" i="1"/>
  <c r="N88" i="1"/>
  <c r="E140" i="1"/>
  <c r="E168" i="1" s="1"/>
  <c r="I173" i="1"/>
  <c r="J136" i="1"/>
  <c r="Q81" i="1"/>
  <c r="Q82" i="1" s="1"/>
  <c r="Q160" i="1"/>
  <c r="P140" i="1"/>
  <c r="P168" i="1" s="1"/>
  <c r="Q91" i="1"/>
  <c r="Q116" i="1" s="1"/>
  <c r="L158" i="1"/>
  <c r="L193" i="1" s="1"/>
  <c r="S151" i="1"/>
  <c r="V169" i="1"/>
  <c r="I174" i="1"/>
  <c r="F157" i="1"/>
  <c r="R159" i="1"/>
  <c r="R194" i="1" s="1"/>
  <c r="Q174" i="1"/>
  <c r="V146" i="1"/>
  <c r="I141" i="1"/>
  <c r="F92" i="1"/>
  <c r="F103" i="1" s="1"/>
  <c r="W173" i="1"/>
  <c r="G147" i="1"/>
  <c r="S159" i="1"/>
  <c r="S194" i="1" s="1"/>
  <c r="S147" i="1"/>
  <c r="D81" i="1"/>
  <c r="K184" i="1"/>
  <c r="K187" i="1" s="1"/>
  <c r="M164" i="1"/>
  <c r="N139" i="1"/>
  <c r="Q151" i="1"/>
  <c r="U91" i="1"/>
  <c r="G92" i="1"/>
  <c r="G100" i="1" s="1"/>
  <c r="U93" i="1"/>
  <c r="U101" i="1" s="1"/>
  <c r="S186" i="1"/>
  <c r="G161" i="1"/>
  <c r="R81" i="1"/>
  <c r="R82" i="1" s="1"/>
  <c r="J169" i="1"/>
  <c r="G138" i="1"/>
  <c r="N147" i="1"/>
  <c r="V174" i="1"/>
  <c r="R131" i="1"/>
  <c r="T87" i="1"/>
  <c r="D78" i="1"/>
  <c r="E167" i="1"/>
  <c r="E197" i="1" s="1"/>
  <c r="M185" i="1"/>
  <c r="S140" i="1"/>
  <c r="S168" i="1" s="1"/>
  <c r="S91" i="1"/>
  <c r="S116" i="1" s="1"/>
  <c r="R136" i="1"/>
  <c r="D93" i="1"/>
  <c r="U163" i="1"/>
  <c r="K169" i="1"/>
  <c r="W185" i="1"/>
  <c r="B136" i="1"/>
  <c r="R150" i="1"/>
  <c r="F87" i="1"/>
  <c r="G140" i="1"/>
  <c r="G168" i="1" s="1"/>
  <c r="K81" i="1"/>
  <c r="K82" i="1" s="1"/>
  <c r="U81" i="1"/>
  <c r="U82" i="1" s="1"/>
  <c r="V141" i="1"/>
  <c r="Q184" i="1"/>
  <c r="C78" i="1"/>
  <c r="P185" i="1"/>
  <c r="L88" i="1"/>
  <c r="T141" i="1"/>
  <c r="R87" i="1"/>
  <c r="P159" i="1"/>
  <c r="P194" i="1" s="1"/>
  <c r="E165" i="1"/>
  <c r="V159" i="1"/>
  <c r="V194" i="1" s="1"/>
  <c r="P177" i="1"/>
  <c r="C169" i="1"/>
  <c r="P151" i="1"/>
  <c r="U133" i="1"/>
  <c r="M174" i="1"/>
  <c r="K165" i="1"/>
  <c r="B184" i="1"/>
  <c r="R184" i="1"/>
  <c r="J160" i="1"/>
  <c r="E161" i="1"/>
  <c r="R164" i="1"/>
  <c r="J186" i="1"/>
  <c r="F159" i="1"/>
  <c r="F194" i="1" s="1"/>
  <c r="J149" i="1"/>
  <c r="J145" i="1" s="1"/>
  <c r="D146" i="1"/>
  <c r="R151" i="1"/>
  <c r="O157" i="1"/>
  <c r="F156" i="1"/>
  <c r="D173" i="1"/>
  <c r="O164" i="1"/>
  <c r="G164" i="1"/>
  <c r="T177" i="1"/>
  <c r="P133" i="1"/>
  <c r="J88" i="1"/>
  <c r="S87" i="1"/>
  <c r="L146" i="1"/>
  <c r="F161" i="1"/>
  <c r="B178" i="1"/>
  <c r="M177" i="1"/>
  <c r="O149" i="1"/>
  <c r="O145" i="1" s="1"/>
  <c r="L173" i="1"/>
  <c r="B159" i="1"/>
  <c r="B194" i="1" s="1"/>
  <c r="W165" i="1"/>
  <c r="F146" i="1"/>
  <c r="L178" i="1"/>
  <c r="E92" i="1"/>
  <c r="P173" i="1"/>
  <c r="P175" i="1" s="1"/>
  <c r="Q223" i="1" s="1"/>
  <c r="U146" i="1"/>
  <c r="D150" i="1"/>
  <c r="L87" i="1"/>
  <c r="F150" i="1"/>
  <c r="L131" i="1"/>
  <c r="U158" i="1"/>
  <c r="U193" i="1" s="1"/>
  <c r="G156" i="1"/>
  <c r="E139" i="1"/>
  <c r="S92" i="1"/>
  <c r="S117" i="1" s="1"/>
  <c r="P91" i="1"/>
  <c r="P99" i="1" s="1"/>
  <c r="Q159" i="1"/>
  <c r="Q194" i="1" s="1"/>
  <c r="C165" i="1"/>
  <c r="M158" i="1"/>
  <c r="M193" i="1" s="1"/>
  <c r="U88" i="1"/>
  <c r="V138" i="1"/>
  <c r="R174" i="1"/>
  <c r="K88" i="1"/>
  <c r="K156" i="1"/>
  <c r="J161" i="1"/>
  <c r="L167" i="1"/>
  <c r="L197" i="1" s="1"/>
  <c r="V154" i="1"/>
  <c r="V88" i="1"/>
  <c r="M92" i="1"/>
  <c r="M103" i="1" s="1"/>
  <c r="O154" i="1"/>
  <c r="O151" i="1"/>
  <c r="C178" i="1"/>
  <c r="F136" i="1"/>
  <c r="N177" i="1"/>
  <c r="W177" i="1"/>
  <c r="N158" i="1"/>
  <c r="N193" i="1" s="1"/>
  <c r="H151" i="1"/>
  <c r="F91" i="1"/>
  <c r="F116" i="1" s="1"/>
  <c r="I87" i="1"/>
  <c r="K173" i="1"/>
  <c r="I92" i="1"/>
  <c r="I121" i="1" s="1"/>
  <c r="T132" i="1"/>
  <c r="T160" i="1"/>
  <c r="J92" i="1"/>
  <c r="O184" i="1"/>
  <c r="P178" i="1"/>
  <c r="J173" i="1"/>
  <c r="N141" i="1"/>
  <c r="L91" i="1"/>
  <c r="O156" i="1"/>
  <c r="Q169" i="1"/>
  <c r="G149" i="1"/>
  <c r="G145" i="1" s="1"/>
  <c r="T154" i="1"/>
  <c r="R157" i="1"/>
  <c r="D133" i="1"/>
  <c r="N169" i="1"/>
  <c r="I165" i="1"/>
  <c r="O160" i="1"/>
  <c r="H131" i="1"/>
  <c r="I131" i="1"/>
  <c r="N92" i="1"/>
  <c r="G88" i="1"/>
  <c r="P93" i="1"/>
  <c r="P122" i="1" s="1"/>
  <c r="R169" i="1"/>
  <c r="N157" i="1"/>
  <c r="W91" i="1"/>
  <c r="W116" i="1" s="1"/>
  <c r="U184" i="1"/>
  <c r="C186" i="1"/>
  <c r="W154" i="1"/>
  <c r="X216" i="1" s="1"/>
  <c r="T167" i="1"/>
  <c r="T197" i="1" s="1"/>
  <c r="F133" i="1"/>
  <c r="K167" i="1"/>
  <c r="K197" i="1" s="1"/>
  <c r="U132" i="1"/>
  <c r="I167" i="1"/>
  <c r="I197" i="1" s="1"/>
  <c r="P87" i="1"/>
  <c r="K157" i="1"/>
  <c r="K177" i="1"/>
  <c r="P147" i="1"/>
  <c r="Q138" i="1"/>
  <c r="R158" i="1"/>
  <c r="R193" i="1" s="1"/>
  <c r="D169" i="1"/>
  <c r="N136" i="1"/>
  <c r="K158" i="1"/>
  <c r="K193" i="1" s="1"/>
  <c r="T163" i="1"/>
  <c r="G157" i="1"/>
  <c r="U167" i="1"/>
  <c r="U197" i="1" s="1"/>
  <c r="H146" i="1"/>
  <c r="L177" i="1"/>
  <c r="V184" i="1"/>
  <c r="P139" i="1"/>
  <c r="Q173" i="1"/>
  <c r="I81" i="1"/>
  <c r="I82" i="1" s="1"/>
  <c r="C177" i="1"/>
  <c r="Q93" i="1"/>
  <c r="Q118" i="1" s="1"/>
  <c r="V156" i="1"/>
  <c r="S184" i="1"/>
  <c r="J138" i="1"/>
  <c r="U164" i="1"/>
  <c r="M139" i="1"/>
  <c r="U174" i="1"/>
  <c r="O87" i="1"/>
  <c r="D138" i="1"/>
  <c r="S156" i="1"/>
  <c r="E178" i="1"/>
  <c r="D177" i="1"/>
  <c r="K150" i="1"/>
  <c r="B157" i="1"/>
  <c r="W169" i="1"/>
  <c r="F88" i="1"/>
  <c r="C139" i="1"/>
  <c r="S164" i="1"/>
  <c r="H167" i="1"/>
  <c r="H197" i="1" s="1"/>
  <c r="U140" i="1"/>
  <c r="U168" i="1" s="1"/>
  <c r="L161" i="1"/>
  <c r="H139" i="1"/>
  <c r="L140" i="1"/>
  <c r="L168" i="1" s="1"/>
  <c r="B163" i="1"/>
  <c r="H150" i="1"/>
  <c r="G173" i="1"/>
  <c r="K92" i="1"/>
  <c r="M150" i="1"/>
  <c r="S157" i="1"/>
  <c r="H147" i="1"/>
  <c r="F93" i="1"/>
  <c r="F122" i="1" s="1"/>
  <c r="H169" i="1"/>
  <c r="G133" i="1"/>
  <c r="P88" i="1"/>
  <c r="T165" i="1"/>
  <c r="G178" i="1"/>
  <c r="O161" i="1"/>
  <c r="K154" i="1"/>
  <c r="K138" i="1"/>
  <c r="E158" i="1"/>
  <c r="E193" i="1" s="1"/>
  <c r="N184" i="1"/>
  <c r="M131" i="1"/>
  <c r="O173" i="1"/>
  <c r="S167" i="1"/>
  <c r="S197" i="1" s="1"/>
  <c r="O91" i="1"/>
  <c r="O116" i="1" s="1"/>
  <c r="O167" i="1"/>
  <c r="O197" i="1" s="1"/>
  <c r="N133" i="1"/>
  <c r="T139" i="1"/>
  <c r="Q132" i="1"/>
  <c r="P154" i="1"/>
  <c r="I178" i="1"/>
  <c r="V133" i="1"/>
  <c r="E146" i="1"/>
  <c r="H154" i="1"/>
  <c r="T158" i="1"/>
  <c r="T193" i="1" s="1"/>
  <c r="N173" i="1"/>
  <c r="U147" i="1"/>
  <c r="E81" i="1"/>
  <c r="E82" i="1" s="1"/>
  <c r="M141" i="1"/>
  <c r="P81" i="1"/>
  <c r="P82" i="1" s="1"/>
  <c r="Q165" i="1"/>
  <c r="M184" i="1"/>
  <c r="Q131" i="1"/>
  <c r="E157" i="1"/>
  <c r="R140" i="1"/>
  <c r="R168" i="1" s="1"/>
  <c r="F173" i="1"/>
  <c r="V163" i="1"/>
  <c r="P136" i="1"/>
  <c r="M140" i="1"/>
  <c r="M168" i="1" s="1"/>
  <c r="U169" i="1"/>
  <c r="F185" i="1"/>
  <c r="N156" i="1"/>
  <c r="M161" i="1"/>
  <c r="G163" i="1"/>
  <c r="I93" i="1"/>
  <c r="I122" i="1" s="1"/>
  <c r="H156" i="1"/>
  <c r="B147" i="1"/>
  <c r="U149" i="1"/>
  <c r="U145" i="1" s="1"/>
  <c r="O174" i="1"/>
  <c r="B158" i="1"/>
  <c r="B193" i="1" s="1"/>
  <c r="N132" i="1"/>
  <c r="K133" i="1"/>
  <c r="U165" i="1"/>
  <c r="P165" i="1"/>
  <c r="N154" i="1"/>
  <c r="T131" i="1"/>
  <c r="H165" i="1"/>
  <c r="W147" i="1"/>
  <c r="G174" i="1"/>
  <c r="L163" i="1"/>
  <c r="M186" i="1"/>
  <c r="B139" i="1"/>
  <c r="G139" i="1"/>
  <c r="I156" i="1"/>
  <c r="E174" i="1"/>
  <c r="E175" i="1" s="1"/>
  <c r="F223" i="1" s="1"/>
  <c r="D158" i="1"/>
  <c r="D193" i="1" s="1"/>
  <c r="K140" i="1"/>
  <c r="K168" i="1" s="1"/>
  <c r="S88" i="1"/>
  <c r="E138" i="1"/>
  <c r="K146" i="1"/>
  <c r="C164" i="1"/>
  <c r="W159" i="1"/>
  <c r="O185" i="1"/>
  <c r="O88" i="1"/>
  <c r="F131" i="1"/>
  <c r="J141" i="1"/>
  <c r="L84" i="1"/>
  <c r="BT145" i="1"/>
  <c r="BP169" i="1"/>
  <c r="BQ169" i="1" s="1"/>
  <c r="BP87" i="1"/>
  <c r="AP160" i="1"/>
  <c r="AQ160" i="1" s="1"/>
  <c r="BI87" i="1"/>
  <c r="BD149" i="1"/>
  <c r="BE149" i="1" s="1"/>
  <c r="BN178" i="1"/>
  <c r="BO178" i="1" s="1"/>
  <c r="BT165" i="1"/>
  <c r="BU165" i="1" s="1"/>
  <c r="BN133" i="1"/>
  <c r="BW88" i="1"/>
  <c r="BN140" i="1"/>
  <c r="BO140" i="1" s="1"/>
  <c r="AP139" i="1"/>
  <c r="AQ139" i="1" s="1"/>
  <c r="AT145" i="1"/>
  <c r="BD161" i="1"/>
  <c r="BE161" i="1" s="1"/>
  <c r="AP157" i="1"/>
  <c r="AQ157" i="1" s="1"/>
  <c r="AV149" i="1"/>
  <c r="AW149" i="1" s="1"/>
  <c r="AN131" i="1"/>
  <c r="AR178" i="1"/>
  <c r="AS178" i="1" s="1"/>
  <c r="AQ87" i="1"/>
  <c r="AT165" i="1"/>
  <c r="AU165" i="1" s="1"/>
  <c r="BA87" i="1"/>
  <c r="BN136" i="1"/>
  <c r="BO136" i="1" s="1"/>
  <c r="BP141" i="1"/>
  <c r="BQ141" i="1" s="1"/>
  <c r="AW87" i="1"/>
  <c r="BP140" i="1"/>
  <c r="BQ140" i="1" s="1"/>
  <c r="BD166" i="1"/>
  <c r="BE166" i="1" s="1"/>
  <c r="BG87" i="1"/>
  <c r="BD174" i="1"/>
  <c r="BT131" i="1"/>
  <c r="BU131" i="1" s="1"/>
  <c r="BN166" i="1"/>
  <c r="BO166" i="1" s="1"/>
  <c r="BD163" i="1"/>
  <c r="BE163" i="1" s="1"/>
  <c r="BT166" i="1"/>
  <c r="BU166" i="1" s="1"/>
  <c r="BM88" i="1"/>
  <c r="BN141" i="1"/>
  <c r="BO141" i="1" s="1"/>
  <c r="BP158" i="1"/>
  <c r="AT173" i="1"/>
  <c r="BT160" i="1"/>
  <c r="BU160" i="1" s="1"/>
  <c r="BP138" i="1"/>
  <c r="BQ138" i="1" s="1"/>
  <c r="BP156" i="1"/>
  <c r="BQ156" i="1" s="1"/>
  <c r="BT88" i="1"/>
  <c r="AR157" i="1"/>
  <c r="AS157" i="1" s="1"/>
  <c r="BP145" i="1"/>
  <c r="AV158" i="1"/>
  <c r="BW87" i="1"/>
  <c r="BN169" i="1"/>
  <c r="BO169" i="1" s="1"/>
  <c r="BP133" i="1"/>
  <c r="BD88" i="1"/>
  <c r="AT139" i="1"/>
  <c r="AU139" i="1" s="1"/>
  <c r="BN139" i="1"/>
  <c r="BO139" i="1" s="1"/>
  <c r="AT136" i="1"/>
  <c r="AU136" i="1" s="1"/>
  <c r="AN136" i="1"/>
  <c r="AO136" i="1" s="1"/>
  <c r="BP154" i="1"/>
  <c r="BQ154" i="1" s="1"/>
  <c r="AP154" i="1"/>
  <c r="AV154" i="1"/>
  <c r="AV164" i="1"/>
  <c r="AW164" i="1" s="1"/>
  <c r="AN132" i="1"/>
  <c r="AO132" i="1" s="1"/>
  <c r="AN88" i="1"/>
  <c r="BE88" i="1"/>
  <c r="BT158" i="1"/>
  <c r="AP133" i="1"/>
  <c r="AT147" i="1"/>
  <c r="BN160" i="1"/>
  <c r="BO160" i="1" s="1"/>
  <c r="BN146" i="1"/>
  <c r="AY88" i="1"/>
  <c r="BD145" i="1"/>
  <c r="BT167" i="1"/>
  <c r="BA88" i="1"/>
  <c r="BP159" i="1"/>
  <c r="AT158" i="1"/>
  <c r="BC87" i="1"/>
  <c r="BD165" i="1"/>
  <c r="BE165" i="1" s="1"/>
  <c r="BT173" i="1"/>
  <c r="AV163" i="1"/>
  <c r="AW163" i="1" s="1"/>
  <c r="BN156" i="1"/>
  <c r="BO156" i="1" s="1"/>
  <c r="AP138" i="1"/>
  <c r="AQ138" i="1" s="1"/>
  <c r="BP131" i="1"/>
  <c r="BQ131" i="1" s="1"/>
  <c r="BD140" i="1"/>
  <c r="BE140" i="1" s="1"/>
  <c r="BP146" i="1"/>
  <c r="AP164" i="1"/>
  <c r="AQ164" i="1" s="1"/>
  <c r="BD178" i="1"/>
  <c r="BE178" i="1" s="1"/>
  <c r="AV173" i="1"/>
  <c r="AV131" i="1"/>
  <c r="AW131" i="1" s="1"/>
  <c r="AR133" i="1"/>
  <c r="AR156" i="1"/>
  <c r="AS156" i="1" s="1"/>
  <c r="AP177" i="1"/>
  <c r="AQ177" i="1" s="1"/>
  <c r="AP156" i="1"/>
  <c r="AN151" i="1"/>
  <c r="AO151" i="1" s="1"/>
  <c r="AV139" i="1"/>
  <c r="AW139" i="1" s="1"/>
  <c r="AV140" i="1"/>
  <c r="AW140" i="1" s="1"/>
  <c r="AR168" i="1"/>
  <c r="AS168" i="1" s="1"/>
  <c r="AV147" i="1"/>
  <c r="AR132" i="1"/>
  <c r="AS132" i="1" s="1"/>
  <c r="AR166" i="1"/>
  <c r="AS166" i="1" s="1"/>
  <c r="BP173" i="1"/>
  <c r="AN164" i="1"/>
  <c r="AO164" i="1" s="1"/>
  <c r="AR138" i="1"/>
  <c r="AN174" i="1"/>
  <c r="AV178" i="1"/>
  <c r="AW178" i="1" s="1"/>
  <c r="AR167" i="1"/>
  <c r="AN140" i="1"/>
  <c r="AO140" i="1" s="1"/>
  <c r="AR136" i="1"/>
  <c r="AS136" i="1" s="1"/>
  <c r="AR160" i="1"/>
  <c r="AS160" i="1" s="1"/>
  <c r="AV87" i="1"/>
  <c r="AU87" i="1"/>
  <c r="AV167" i="1"/>
  <c r="AT163" i="1"/>
  <c r="AU163" i="1" s="1"/>
  <c r="AT167" i="1"/>
  <c r="AR87" i="1"/>
  <c r="BO88" i="1"/>
  <c r="BT154" i="1"/>
  <c r="AP147" i="1"/>
  <c r="BN87" i="1"/>
  <c r="AV174" i="1"/>
  <c r="BP163" i="1"/>
  <c r="BQ163" i="1" s="1"/>
  <c r="AV165" i="1"/>
  <c r="AW165" i="1" s="1"/>
  <c r="BT141" i="1"/>
  <c r="BU141" i="1" s="1"/>
  <c r="AR161" i="1"/>
  <c r="AS161" i="1" s="1"/>
  <c r="AT132" i="1"/>
  <c r="AU132" i="1" s="1"/>
  <c r="BO87" i="1"/>
  <c r="BD131" i="1"/>
  <c r="BP167" i="1"/>
  <c r="BN173" i="1"/>
  <c r="BN158" i="1"/>
  <c r="BS87" i="1"/>
  <c r="BQ88" i="1"/>
  <c r="AT149" i="1"/>
  <c r="AU149" i="1" s="1"/>
  <c r="AT140" i="1"/>
  <c r="AU140" i="1" s="1"/>
  <c r="BD177" i="1"/>
  <c r="BE177" i="1" s="1"/>
  <c r="BD136" i="1"/>
  <c r="BE136" i="1" s="1"/>
  <c r="BT133" i="1"/>
  <c r="BD164" i="1"/>
  <c r="BE164" i="1" s="1"/>
  <c r="AQ88" i="1"/>
  <c r="BD160" i="1"/>
  <c r="BE160" i="1" s="1"/>
  <c r="BD138" i="1"/>
  <c r="BE138" i="1" s="1"/>
  <c r="BT149" i="1"/>
  <c r="BU149" i="1" s="1"/>
  <c r="BP88" i="1"/>
  <c r="AV168" i="1"/>
  <c r="AW168" i="1" s="1"/>
  <c r="BN88" i="1"/>
  <c r="AN178" i="1"/>
  <c r="AO178" i="1" s="1"/>
  <c r="AT164" i="1"/>
  <c r="BN147" i="1"/>
  <c r="BN138" i="1"/>
  <c r="BN168" i="1"/>
  <c r="BO168" i="1" s="1"/>
  <c r="AY87" i="1"/>
  <c r="BD159" i="1"/>
  <c r="BT168" i="1"/>
  <c r="BU168" i="1" s="1"/>
  <c r="BT174" i="1"/>
  <c r="BP157" i="1"/>
  <c r="BQ157" i="1" s="1"/>
  <c r="BP165" i="1"/>
  <c r="BQ165" i="1" s="1"/>
  <c r="AP132" i="1"/>
  <c r="AQ132" i="1" s="1"/>
  <c r="BN161" i="1"/>
  <c r="BO161" i="1" s="1"/>
  <c r="AP163" i="1"/>
  <c r="AQ163" i="1" s="1"/>
  <c r="AS87" i="1"/>
  <c r="AT159" i="1"/>
  <c r="AT169" i="1"/>
  <c r="AU169" i="1" s="1"/>
  <c r="AT160" i="1"/>
  <c r="AU160" i="1" s="1"/>
  <c r="AT131" i="1"/>
  <c r="AZ164" i="1"/>
  <c r="BA164" i="1" s="1"/>
  <c r="BD154" i="1"/>
  <c r="BE154" i="1" s="1"/>
  <c r="AP88" i="1"/>
  <c r="BD156" i="1"/>
  <c r="BE156" i="1" s="1"/>
  <c r="BP136" i="1"/>
  <c r="BQ136" i="1" s="1"/>
  <c r="BK87" i="1"/>
  <c r="AT133" i="1"/>
  <c r="BN167" i="1"/>
  <c r="BP160" i="1"/>
  <c r="BQ160" i="1" s="1"/>
  <c r="AN160" i="1"/>
  <c r="AO160" i="1" s="1"/>
  <c r="BT159" i="1"/>
  <c r="BD167" i="1"/>
  <c r="AN173" i="1"/>
  <c r="AP140" i="1"/>
  <c r="AQ140" i="1" s="1"/>
  <c r="AP158" i="1"/>
  <c r="AN166" i="1"/>
  <c r="AO166" i="1" s="1"/>
  <c r="AV160" i="1"/>
  <c r="AW160" i="1" s="1"/>
  <c r="AR139" i="1"/>
  <c r="AS139" i="1" s="1"/>
  <c r="AR88" i="1"/>
  <c r="BT161" i="1"/>
  <c r="BU161" i="1" s="1"/>
  <c r="BP166" i="1"/>
  <c r="BQ166" i="1" s="1"/>
  <c r="AV88" i="1"/>
  <c r="AV177" i="1"/>
  <c r="AW177" i="1" s="1"/>
  <c r="AR131" i="1"/>
  <c r="BD87" i="1"/>
  <c r="BP147" i="1"/>
  <c r="AR151" i="1"/>
  <c r="AS151" i="1" s="1"/>
  <c r="BI88" i="1"/>
  <c r="AV141" i="1"/>
  <c r="AW141" i="1" s="1"/>
  <c r="BP168" i="1"/>
  <c r="BQ168" i="1" s="1"/>
  <c r="AN165" i="1"/>
  <c r="AO165" i="1" s="1"/>
  <c r="AN149" i="1"/>
  <c r="AO149" i="1" s="1"/>
  <c r="BQ87" i="1"/>
  <c r="BS88" i="1"/>
  <c r="AR163" i="1"/>
  <c r="AS163" i="1" s="1"/>
  <c r="AP87" i="1"/>
  <c r="AN157" i="1"/>
  <c r="AO157" i="1" s="1"/>
  <c r="AR177" i="1"/>
  <c r="AS177" i="1" s="1"/>
  <c r="AV159" i="1"/>
  <c r="AN156" i="1"/>
  <c r="AR140" i="1"/>
  <c r="AS140" i="1" s="1"/>
  <c r="BD173" i="1"/>
  <c r="BT146" i="1"/>
  <c r="BK88" i="1"/>
  <c r="BT139" i="1"/>
  <c r="BU139" i="1" s="1"/>
  <c r="AP169" i="1"/>
  <c r="AQ169" i="1" s="1"/>
  <c r="AT178" i="1"/>
  <c r="AU178" i="1" s="1"/>
  <c r="AT166" i="1"/>
  <c r="AU166" i="1" s="1"/>
  <c r="BD158" i="1"/>
  <c r="AT88" i="1"/>
  <c r="BP164" i="1"/>
  <c r="BQ164" i="1" s="1"/>
  <c r="BT87" i="1"/>
  <c r="AP159" i="1"/>
  <c r="AV145" i="1"/>
  <c r="BD141" i="1"/>
  <c r="BE141" i="1" s="1"/>
  <c r="BN154" i="1"/>
  <c r="BP174" i="1"/>
  <c r="AP146" i="1"/>
  <c r="AV146" i="1"/>
  <c r="BN174" i="1"/>
  <c r="BN132" i="1"/>
  <c r="BO132" i="1" s="1"/>
  <c r="BT132" i="1"/>
  <c r="BU132" i="1" s="1"/>
  <c r="BP177" i="1"/>
  <c r="BQ177" i="1" s="1"/>
  <c r="BP161" i="1"/>
  <c r="BQ161" i="1" s="1"/>
  <c r="BN165" i="1"/>
  <c r="BO165" i="1" s="1"/>
  <c r="BN131" i="1"/>
  <c r="BO131" i="1" s="1"/>
  <c r="BD169" i="1"/>
  <c r="BE169" i="1" s="1"/>
  <c r="AT154" i="1"/>
  <c r="AU154" i="1" s="1"/>
  <c r="AT174" i="1"/>
  <c r="AT156" i="1"/>
  <c r="BP132" i="1"/>
  <c r="BQ132" i="1" s="1"/>
  <c r="BD139" i="1"/>
  <c r="BE139" i="1" s="1"/>
  <c r="AP166" i="1"/>
  <c r="AQ166" i="1" s="1"/>
  <c r="AT177" i="1"/>
  <c r="AU177" i="1" s="1"/>
  <c r="AN159" i="1"/>
  <c r="BD168" i="1"/>
  <c r="BE168" i="1" s="1"/>
  <c r="AN138" i="1"/>
  <c r="BP178" i="1"/>
  <c r="BQ178" i="1" s="1"/>
  <c r="AN133" i="1"/>
  <c r="AV136" i="1"/>
  <c r="AW136" i="1" s="1"/>
  <c r="AR149" i="1"/>
  <c r="AS149" i="1" s="1"/>
  <c r="AR154" i="1"/>
  <c r="AS154" i="1" s="1"/>
  <c r="AV169" i="1"/>
  <c r="AW169" i="1" s="1"/>
  <c r="AP145" i="1"/>
  <c r="AR146" i="1"/>
  <c r="AR173" i="1"/>
  <c r="BD146" i="1"/>
  <c r="AV133" i="1"/>
  <c r="AR159" i="1"/>
  <c r="BT163" i="1"/>
  <c r="BU163" i="1" s="1"/>
  <c r="AR169" i="1"/>
  <c r="AS169" i="1" s="1"/>
  <c r="AN169" i="1"/>
  <c r="AO169" i="1" s="1"/>
  <c r="AR165" i="1"/>
  <c r="AS165" i="1" s="1"/>
  <c r="AN145" i="1"/>
  <c r="AV161" i="1"/>
  <c r="AW161" i="1" s="1"/>
  <c r="AV151" i="1"/>
  <c r="AW151" i="1" s="1"/>
  <c r="AP151" i="1"/>
  <c r="AQ151" i="1" s="1"/>
  <c r="AT151" i="1"/>
  <c r="AU151" i="1" s="1"/>
  <c r="BD151" i="1"/>
  <c r="BE151" i="1" s="1"/>
  <c r="BN151" i="1"/>
  <c r="BO151" i="1" s="1"/>
  <c r="BD157" i="1"/>
  <c r="BN157" i="1"/>
  <c r="AT245" i="1"/>
  <c r="BQ245" i="1"/>
  <c r="BB208" i="1"/>
  <c r="BM245" i="1"/>
  <c r="BO245" i="1"/>
  <c r="AS266" i="1"/>
  <c r="R84" i="1"/>
  <c r="K84" i="1"/>
  <c r="BR266" i="1"/>
  <c r="BW216" i="1"/>
  <c r="Q84" i="1"/>
  <c r="H84" i="1"/>
  <c r="F84" i="1"/>
  <c r="V84" i="1"/>
  <c r="O83" i="1"/>
  <c r="CQ148" i="1"/>
  <c r="DB91" i="1"/>
  <c r="CY79" i="1"/>
  <c r="CZ77" i="1"/>
  <c r="S84" i="1"/>
  <c r="T84" i="1"/>
  <c r="M84" i="1"/>
  <c r="I84" i="1"/>
  <c r="BM266" i="1" l="1"/>
  <c r="AP24" i="1"/>
  <c r="BD133" i="1"/>
  <c r="BP139" i="1"/>
  <c r="BQ139" i="1" s="1"/>
  <c r="AN177" i="1"/>
  <c r="AO177" i="1" s="1"/>
  <c r="BT169" i="1"/>
  <c r="BU169" i="1" s="1"/>
  <c r="BM87" i="1"/>
  <c r="AU88" i="1"/>
  <c r="AP161" i="1"/>
  <c r="AQ161" i="1" s="1"/>
  <c r="AX197" i="1"/>
  <c r="AY197" i="1" s="1"/>
  <c r="BF194" i="1"/>
  <c r="BG194" i="1" s="1"/>
  <c r="BF197" i="1"/>
  <c r="BG197" i="1" s="1"/>
  <c r="BR194" i="1"/>
  <c r="BS194" i="1" s="1"/>
  <c r="BR197" i="1"/>
  <c r="BS197" i="1" s="1"/>
  <c r="BR193" i="1"/>
  <c r="BS193" i="1" s="1"/>
  <c r="K99" i="1"/>
  <c r="AI217" i="1"/>
  <c r="AI215" i="1" s="1"/>
  <c r="AI47" i="1"/>
  <c r="BA208" i="1"/>
  <c r="M116" i="1"/>
  <c r="L100" i="1"/>
  <c r="L101" i="1"/>
  <c r="AZ145" i="1"/>
  <c r="BQ112" i="1"/>
  <c r="BQ113" i="1" s="1"/>
  <c r="BQ116" i="1" s="1"/>
  <c r="AZ131" i="1"/>
  <c r="BA131" i="1" s="1"/>
  <c r="AZ174" i="1"/>
  <c r="M216" i="1"/>
  <c r="D79" i="1"/>
  <c r="C79" i="1"/>
  <c r="AZ167" i="1"/>
  <c r="AZ168" i="1"/>
  <c r="BA168" i="1" s="1"/>
  <c r="AZ166" i="1"/>
  <c r="BA166" i="1" s="1"/>
  <c r="AZ156" i="1"/>
  <c r="BA156" i="1" s="1"/>
  <c r="AZ149" i="1"/>
  <c r="BA149" i="1" s="1"/>
  <c r="AZ161" i="1"/>
  <c r="BA161" i="1" s="1"/>
  <c r="AZ159" i="1"/>
  <c r="AZ158" i="1"/>
  <c r="AZ154" i="1"/>
  <c r="BA154" i="1" s="1"/>
  <c r="AR174" i="1"/>
  <c r="AR158" i="1"/>
  <c r="AZ140" i="1"/>
  <c r="BA140" i="1" s="1"/>
  <c r="AZ136" i="1"/>
  <c r="BA136" i="1" s="1"/>
  <c r="AZ147" i="1"/>
  <c r="AZ169" i="1"/>
  <c r="BA169" i="1" s="1"/>
  <c r="BN164" i="1"/>
  <c r="BO164" i="1" s="1"/>
  <c r="AZ141" i="1"/>
  <c r="BA141" i="1" s="1"/>
  <c r="BN177" i="1"/>
  <c r="BO177" i="1" s="1"/>
  <c r="BN159" i="1"/>
  <c r="AZ165" i="1"/>
  <c r="BA165" i="1" s="1"/>
  <c r="AZ132" i="1"/>
  <c r="BA132" i="1" s="1"/>
  <c r="AZ146" i="1"/>
  <c r="AT141" i="1"/>
  <c r="AU141" i="1" s="1"/>
  <c r="AT168" i="1"/>
  <c r="AU168" i="1" s="1"/>
  <c r="AZ177" i="1"/>
  <c r="BA177" i="1" s="1"/>
  <c r="BG88" i="1"/>
  <c r="AZ178" i="1"/>
  <c r="BA178" i="1" s="1"/>
  <c r="AP136" i="1"/>
  <c r="AQ136" i="1" s="1"/>
  <c r="AT157" i="1"/>
  <c r="AU157" i="1" s="1"/>
  <c r="AZ163" i="1"/>
  <c r="BA163" i="1" s="1"/>
  <c r="BT164" i="1"/>
  <c r="BU164" i="1" s="1"/>
  <c r="AZ151" i="1"/>
  <c r="BA151" i="1" s="1"/>
  <c r="AP141" i="1"/>
  <c r="AQ141" i="1" s="1"/>
  <c r="AV132" i="1"/>
  <c r="AW132" i="1" s="1"/>
  <c r="AV138" i="1"/>
  <c r="AP167" i="1"/>
  <c r="AN161" i="1"/>
  <c r="AO161" i="1" s="1"/>
  <c r="AS88" i="1"/>
  <c r="AR164" i="1"/>
  <c r="AS164" i="1" s="1"/>
  <c r="AP174" i="1"/>
  <c r="AN168" i="1"/>
  <c r="AO168" i="1" s="1"/>
  <c r="AR141" i="1"/>
  <c r="AS141" i="1" s="1"/>
  <c r="AV166" i="1"/>
  <c r="AW166" i="1" s="1"/>
  <c r="AV156" i="1"/>
  <c r="AW156" i="1" s="1"/>
  <c r="AN146" i="1"/>
  <c r="AZ160" i="1"/>
  <c r="BA160" i="1" s="1"/>
  <c r="BT138" i="1"/>
  <c r="BC88" i="1"/>
  <c r="AZ138" i="1"/>
  <c r="BA138" i="1" s="1"/>
  <c r="AN154" i="1"/>
  <c r="AN147" i="1"/>
  <c r="AZ88" i="1"/>
  <c r="BD147" i="1"/>
  <c r="AZ133" i="1"/>
  <c r="BD132" i="1"/>
  <c r="BE132" i="1" s="1"/>
  <c r="BT178" i="1"/>
  <c r="BU178" i="1" s="1"/>
  <c r="BN145" i="1"/>
  <c r="BN163" i="1"/>
  <c r="BO163" i="1" s="1"/>
  <c r="AZ173" i="1"/>
  <c r="BT147" i="1"/>
  <c r="AP165" i="1"/>
  <c r="AQ165" i="1" s="1"/>
  <c r="AT138" i="1"/>
  <c r="AU138" i="1" s="1"/>
  <c r="BN149" i="1"/>
  <c r="BO149" i="1" s="1"/>
  <c r="AZ139" i="1"/>
  <c r="BA139" i="1" s="1"/>
  <c r="BT136" i="1"/>
  <c r="BU136" i="1" s="1"/>
  <c r="AT161" i="1"/>
  <c r="AU161" i="1" s="1"/>
  <c r="BT140" i="1"/>
  <c r="BU140" i="1" s="1"/>
  <c r="AZ87" i="1"/>
  <c r="BT156" i="1"/>
  <c r="BU156" i="1" s="1"/>
  <c r="AP178" i="1"/>
  <c r="AQ178" i="1" s="1"/>
  <c r="BT177" i="1"/>
  <c r="BU177" i="1" s="1"/>
  <c r="BP149" i="1"/>
  <c r="BQ149" i="1" s="1"/>
  <c r="AP149" i="1"/>
  <c r="AQ149" i="1" s="1"/>
  <c r="AP131" i="1"/>
  <c r="AQ131" i="1" s="1"/>
  <c r="AR147" i="1"/>
  <c r="AP173" i="1"/>
  <c r="AN167" i="1"/>
  <c r="AR145" i="1"/>
  <c r="AN158" i="1"/>
  <c r="AN163" i="1"/>
  <c r="AO163" i="1" s="1"/>
  <c r="AP168" i="1"/>
  <c r="AQ168" i="1" s="1"/>
  <c r="AN141" i="1"/>
  <c r="AO141" i="1" s="1"/>
  <c r="AT146" i="1"/>
  <c r="AT87" i="1"/>
  <c r="AN87" i="1"/>
  <c r="AN139" i="1"/>
  <c r="AO139" i="1" s="1"/>
  <c r="AV157" i="1"/>
  <c r="BP151" i="1"/>
  <c r="BQ151" i="1" s="1"/>
  <c r="BT151" i="1"/>
  <c r="BU151" i="1" s="1"/>
  <c r="BT157" i="1"/>
  <c r="AZ157" i="1"/>
  <c r="H216" i="1"/>
  <c r="AT40" i="1"/>
  <c r="I216" i="1"/>
  <c r="H175" i="1"/>
  <c r="BO24" i="1"/>
  <c r="E187" i="1"/>
  <c r="AT193" i="1"/>
  <c r="AU193" i="1" s="1"/>
  <c r="AR197" i="1"/>
  <c r="AR193" i="1"/>
  <c r="AS193" i="1" s="1"/>
  <c r="BP197" i="1"/>
  <c r="BQ197" i="1" s="1"/>
  <c r="BI138" i="1"/>
  <c r="BI142" i="1" s="1"/>
  <c r="BH142" i="1"/>
  <c r="BI131" i="1"/>
  <c r="AS24" i="1"/>
  <c r="K101" i="1"/>
  <c r="BP208" i="1"/>
  <c r="AQ266" i="1"/>
  <c r="AS112" i="1"/>
  <c r="AS113" i="1" s="1"/>
  <c r="AQ24" i="1"/>
  <c r="BW131" i="1"/>
  <c r="BK245" i="1"/>
  <c r="BM112" i="1"/>
  <c r="BM113" i="1" s="1"/>
  <c r="AQ267" i="1"/>
  <c r="BC266" i="1"/>
  <c r="BG245" i="1"/>
  <c r="AX245" i="1"/>
  <c r="Q99" i="1"/>
  <c r="H101" i="1"/>
  <c r="H100" i="1"/>
  <c r="U103" i="1"/>
  <c r="I101" i="1"/>
  <c r="H103" i="1"/>
  <c r="BQ266" i="1"/>
  <c r="F187" i="1"/>
  <c r="AR24" i="1"/>
  <c r="BW266" i="1"/>
  <c r="G187" i="1"/>
  <c r="K148" i="1"/>
  <c r="AU266" i="1"/>
  <c r="J216" i="1"/>
  <c r="BK267" i="1"/>
  <c r="BK266" i="1"/>
  <c r="BP40" i="1"/>
  <c r="S175" i="1"/>
  <c r="T223" i="1" s="1"/>
  <c r="B142" i="1"/>
  <c r="BI40" i="1"/>
  <c r="BS24" i="1"/>
  <c r="AX24" i="1"/>
  <c r="AU40" i="1"/>
  <c r="BT266" i="1"/>
  <c r="AX266" i="1"/>
  <c r="D187" i="1"/>
  <c r="B148" i="1"/>
  <c r="P170" i="1"/>
  <c r="P199" i="1" s="1"/>
  <c r="P198" i="1" s="1"/>
  <c r="D175" i="1"/>
  <c r="V142" i="1"/>
  <c r="O216" i="1"/>
  <c r="Q142" i="1"/>
  <c r="M142" i="1"/>
  <c r="C142" i="1"/>
  <c r="C51" i="1" s="1"/>
  <c r="T142" i="1"/>
  <c r="R101" i="1"/>
  <c r="R122" i="1"/>
  <c r="R118" i="1"/>
  <c r="AM62" i="1"/>
  <c r="BH134" i="1"/>
  <c r="BD24" i="1"/>
  <c r="AS267" i="1"/>
  <c r="BR267" i="1"/>
  <c r="B170" i="1"/>
  <c r="B199" i="1" s="1"/>
  <c r="B198" i="1" s="1"/>
  <c r="AW266" i="1"/>
  <c r="BQ40" i="1"/>
  <c r="BQ24" i="1"/>
  <c r="BA24" i="1"/>
  <c r="BK51" i="1"/>
  <c r="AZ112" i="1"/>
  <c r="AZ113" i="1" s="1"/>
  <c r="AZ116" i="1" s="1"/>
  <c r="BA40" i="1"/>
  <c r="AW40" i="1"/>
  <c r="AZ40" i="1"/>
  <c r="BD112" i="1"/>
  <c r="BD113" i="1" s="1"/>
  <c r="BO40" i="1"/>
  <c r="B134" i="1"/>
  <c r="Q170" i="1"/>
  <c r="BM24" i="1"/>
  <c r="BA266" i="1"/>
  <c r="BA112" i="1"/>
  <c r="BA113" i="1" s="1"/>
  <c r="BG24" i="1"/>
  <c r="AI51" i="1"/>
  <c r="BV134" i="1"/>
  <c r="P142" i="1"/>
  <c r="I148" i="1"/>
  <c r="S142" i="1"/>
  <c r="AZ24" i="1"/>
  <c r="BT40" i="1"/>
  <c r="AO266" i="1"/>
  <c r="P134" i="1"/>
  <c r="Q148" i="1"/>
  <c r="AZ267" i="1"/>
  <c r="U187" i="1"/>
  <c r="C175" i="1"/>
  <c r="J187" i="1"/>
  <c r="S148" i="1"/>
  <c r="U142" i="1"/>
  <c r="J134" i="1"/>
  <c r="BO266" i="1"/>
  <c r="BD40" i="1"/>
  <c r="BT24" i="1"/>
  <c r="H162" i="1"/>
  <c r="BC24" i="1"/>
  <c r="AN40" i="1"/>
  <c r="BW40" i="1"/>
  <c r="BB266" i="1"/>
  <c r="AY40" i="1"/>
  <c r="M148" i="1"/>
  <c r="AN24" i="1"/>
  <c r="D216" i="1"/>
  <c r="H187" i="1"/>
  <c r="H134" i="1"/>
  <c r="G134" i="1"/>
  <c r="I142" i="1"/>
  <c r="E216" i="1"/>
  <c r="N187" i="1"/>
  <c r="C148" i="1"/>
  <c r="V175" i="1"/>
  <c r="W223" i="1" s="1"/>
  <c r="J148" i="1"/>
  <c r="F148" i="1"/>
  <c r="D142" i="1"/>
  <c r="S162" i="1"/>
  <c r="Q216" i="1"/>
  <c r="N175" i="1"/>
  <c r="O223" i="1" s="1"/>
  <c r="K134" i="1"/>
  <c r="W148" i="1"/>
  <c r="L170" i="1"/>
  <c r="AZ197" i="1"/>
  <c r="BA197" i="1" s="1"/>
  <c r="BT193" i="1"/>
  <c r="BU193" i="1" s="1"/>
  <c r="BT197" i="1"/>
  <c r="BU197" i="1" s="1"/>
  <c r="AZ193" i="1"/>
  <c r="BA193" i="1" s="1"/>
  <c r="BT194" i="1"/>
  <c r="BU194" i="1" s="1"/>
  <c r="AZ245" i="1"/>
  <c r="AZ266" i="1"/>
  <c r="K118" i="1"/>
  <c r="K122" i="1"/>
  <c r="BM267" i="1"/>
  <c r="BM217" i="1"/>
  <c r="BM215" i="1" s="1"/>
  <c r="BM47" i="1"/>
  <c r="BM208" i="1"/>
  <c r="T101" i="1"/>
  <c r="T118" i="1"/>
  <c r="T122" i="1"/>
  <c r="R121" i="1"/>
  <c r="R100" i="1"/>
  <c r="R117" i="1"/>
  <c r="W118" i="1"/>
  <c r="W122" i="1"/>
  <c r="AT208" i="1"/>
  <c r="AT267" i="1"/>
  <c r="BA245" i="1"/>
  <c r="BA267" i="1"/>
  <c r="L121" i="1"/>
  <c r="L117" i="1"/>
  <c r="L103" i="1"/>
  <c r="G118" i="1"/>
  <c r="G122" i="1"/>
  <c r="J118" i="1"/>
  <c r="J101" i="1"/>
  <c r="J122" i="1"/>
  <c r="V100" i="1"/>
  <c r="V121" i="1"/>
  <c r="V117" i="1"/>
  <c r="AW208" i="1"/>
  <c r="AW267" i="1"/>
  <c r="BN267" i="1"/>
  <c r="BN208" i="1"/>
  <c r="AO24" i="1"/>
  <c r="AO245" i="1"/>
  <c r="BF245" i="1"/>
  <c r="BI112" i="1"/>
  <c r="BI113" i="1" s="1"/>
  <c r="BI117" i="1" s="1"/>
  <c r="BF24" i="1"/>
  <c r="BH112" i="1"/>
  <c r="BH113" i="1" s="1"/>
  <c r="BH117" i="1" s="1"/>
  <c r="M101" i="1"/>
  <c r="M122" i="1"/>
  <c r="H121" i="1"/>
  <c r="H117" i="1"/>
  <c r="U100" i="1"/>
  <c r="U121" i="1"/>
  <c r="U117" i="1"/>
  <c r="R99" i="1"/>
  <c r="R116" i="1"/>
  <c r="U99" i="1"/>
  <c r="U116" i="1"/>
  <c r="E117" i="1"/>
  <c r="E103" i="1"/>
  <c r="J121" i="1"/>
  <c r="J103" i="1"/>
  <c r="L116" i="1"/>
  <c r="L99" i="1"/>
  <c r="N117" i="1"/>
  <c r="N121" i="1"/>
  <c r="N100" i="1"/>
  <c r="K121" i="1"/>
  <c r="K100" i="1"/>
  <c r="K103" i="1"/>
  <c r="AX40" i="1"/>
  <c r="BV40" i="1"/>
  <c r="S101" i="1"/>
  <c r="BJ208" i="1"/>
  <c r="BT112" i="1"/>
  <c r="BT113" i="1" s="1"/>
  <c r="AY24" i="1"/>
  <c r="O187" i="1"/>
  <c r="I134" i="1"/>
  <c r="R170" i="1"/>
  <c r="R199" i="1" s="1"/>
  <c r="I170" i="1"/>
  <c r="H148" i="1"/>
  <c r="BH193" i="1"/>
  <c r="BI193" i="1" s="1"/>
  <c r="BM40" i="1"/>
  <c r="R103" i="1"/>
  <c r="V101" i="1"/>
  <c r="BB112" i="1"/>
  <c r="BB113" i="1" s="1"/>
  <c r="BN47" i="1"/>
  <c r="BK217" i="1"/>
  <c r="BK215" i="1" s="1"/>
  <c r="AR112" i="1"/>
  <c r="AR113" i="1" s="1"/>
  <c r="BR208" i="1"/>
  <c r="BP24" i="1"/>
  <c r="AT112" i="1"/>
  <c r="AT113" i="1" s="1"/>
  <c r="BM51" i="1"/>
  <c r="BN245" i="1"/>
  <c r="BR112" i="1"/>
  <c r="BR113" i="1" s="1"/>
  <c r="AP267" i="1"/>
  <c r="BB197" i="1"/>
  <c r="BC197" i="1" s="1"/>
  <c r="BP194" i="1"/>
  <c r="BQ194" i="1" s="1"/>
  <c r="H122" i="1"/>
  <c r="W117" i="1"/>
  <c r="G116" i="1"/>
  <c r="I162" i="1"/>
  <c r="K216" i="1"/>
  <c r="H142" i="1"/>
  <c r="Q175" i="1"/>
  <c r="V216" i="1"/>
  <c r="Q187" i="1"/>
  <c r="BW142" i="1"/>
  <c r="BF266" i="1"/>
  <c r="H170" i="1"/>
  <c r="H199" i="1" s="1"/>
  <c r="H198" i="1" s="1"/>
  <c r="T187" i="1"/>
  <c r="AP40" i="1"/>
  <c r="AP41" i="1" s="1"/>
  <c r="AR266" i="1"/>
  <c r="BD266" i="1"/>
  <c r="BP266" i="1"/>
  <c r="BD194" i="1"/>
  <c r="BE194" i="1" s="1"/>
  <c r="G148" i="1"/>
  <c r="G152" i="1" s="1"/>
  <c r="C134" i="1"/>
  <c r="AV40" i="1"/>
  <c r="BU40" i="1"/>
  <c r="S100" i="1"/>
  <c r="V99" i="1"/>
  <c r="BH197" i="1"/>
  <c r="BI197" i="1" s="1"/>
  <c r="BK47" i="1"/>
  <c r="AX267" i="1"/>
  <c r="BI24" i="1"/>
  <c r="BO112" i="1"/>
  <c r="BO113" i="1" s="1"/>
  <c r="AW24" i="1"/>
  <c r="AW41" i="1" s="1"/>
  <c r="BD193" i="1"/>
  <c r="BE193" i="1" s="1"/>
  <c r="BN193" i="1"/>
  <c r="BO193" i="1" s="1"/>
  <c r="J100" i="1"/>
  <c r="P118" i="1"/>
  <c r="U118" i="1"/>
  <c r="G142" i="1"/>
  <c r="N216" i="1"/>
  <c r="E148" i="1"/>
  <c r="O162" i="1"/>
  <c r="O196" i="1" s="1"/>
  <c r="O195" i="1" s="1"/>
  <c r="T175" i="1"/>
  <c r="T182" i="1" s="1"/>
  <c r="T123" i="1" s="1"/>
  <c r="BV162" i="1"/>
  <c r="BN40" i="1"/>
  <c r="BG266" i="1"/>
  <c r="T148" i="1"/>
  <c r="AV266" i="1"/>
  <c r="BH194" i="1"/>
  <c r="BI194" i="1" s="1"/>
  <c r="AI40" i="1"/>
  <c r="AR40" i="1"/>
  <c r="BF40" i="1"/>
  <c r="BV148" i="1"/>
  <c r="AU112" i="1"/>
  <c r="AU113" i="1" s="1"/>
  <c r="BK40" i="1"/>
  <c r="F142" i="1"/>
  <c r="F51" i="1" s="1"/>
  <c r="BS267" i="1"/>
  <c r="BS266" i="1"/>
  <c r="J99" i="1"/>
  <c r="D162" i="1"/>
  <c r="J175" i="1"/>
  <c r="BI267" i="1"/>
  <c r="BV170" i="1"/>
  <c r="BV199" i="1" s="1"/>
  <c r="BE40" i="1"/>
  <c r="AQ40" i="1"/>
  <c r="AS208" i="1"/>
  <c r="AU267" i="1"/>
  <c r="BJ112" i="1"/>
  <c r="BJ113" i="1" s="1"/>
  <c r="BJ116" i="1" s="1"/>
  <c r="BN197" i="1"/>
  <c r="BO197" i="1" s="1"/>
  <c r="U216" i="1"/>
  <c r="R175" i="1"/>
  <c r="L162" i="1"/>
  <c r="BD197" i="1"/>
  <c r="BE197" i="1" s="1"/>
  <c r="R142" i="1"/>
  <c r="R51" i="1" s="1"/>
  <c r="S99" i="1"/>
  <c r="AW245" i="1"/>
  <c r="AY112" i="1"/>
  <c r="AY113" i="1" s="1"/>
  <c r="AY118" i="1" s="1"/>
  <c r="BK208" i="1"/>
  <c r="BQ267" i="1"/>
  <c r="BL112" i="1"/>
  <c r="BL113" i="1" s="1"/>
  <c r="BN266" i="1"/>
  <c r="AO267" i="1"/>
  <c r="AY266" i="1"/>
  <c r="AX194" i="1"/>
  <c r="AY194" i="1" s="1"/>
  <c r="J117" i="1"/>
  <c r="P101" i="1"/>
  <c r="O103" i="1"/>
  <c r="U122" i="1"/>
  <c r="V187" i="1"/>
  <c r="U134" i="1"/>
  <c r="N162" i="1"/>
  <c r="W187" i="1"/>
  <c r="S134" i="1"/>
  <c r="BH148" i="1"/>
  <c r="P148" i="1"/>
  <c r="P162" i="1"/>
  <c r="P210" i="1" s="1"/>
  <c r="BK112" i="1"/>
  <c r="BK113" i="1" s="1"/>
  <c r="F170" i="1"/>
  <c r="BI266" i="1"/>
  <c r="AO40" i="1"/>
  <c r="AO41" i="1" s="1"/>
  <c r="BH40" i="1"/>
  <c r="BB24" i="1"/>
  <c r="BS112" i="1"/>
  <c r="BS113" i="1" s="1"/>
  <c r="BR40" i="1"/>
  <c r="BR41" i="1" s="1"/>
  <c r="BG40" i="1"/>
  <c r="BP112" i="1"/>
  <c r="BP113" i="1" s="1"/>
  <c r="BS40" i="1"/>
  <c r="BB193" i="1"/>
  <c r="BC193" i="1" s="1"/>
  <c r="S122" i="1"/>
  <c r="I99" i="1"/>
  <c r="Q101" i="1"/>
  <c r="BE112" i="1"/>
  <c r="BE113" i="1" s="1"/>
  <c r="AV24" i="1"/>
  <c r="BH24" i="1"/>
  <c r="BP267" i="1"/>
  <c r="BB267" i="1"/>
  <c r="BC112" i="1"/>
  <c r="BC113" i="1" s="1"/>
  <c r="BH266" i="1"/>
  <c r="BP193" i="1"/>
  <c r="BQ193" i="1" s="1"/>
  <c r="AX193" i="1"/>
  <c r="AY193" i="1" s="1"/>
  <c r="O121" i="1"/>
  <c r="V170" i="1"/>
  <c r="V199" i="1" s="1"/>
  <c r="K175" i="1"/>
  <c r="D121" i="1"/>
  <c r="V148" i="1"/>
  <c r="K170" i="1"/>
  <c r="D170" i="1"/>
  <c r="D199" i="1" s="1"/>
  <c r="J162" i="1"/>
  <c r="J196" i="1" s="1"/>
  <c r="J195" i="1" s="1"/>
  <c r="BC40" i="1"/>
  <c r="J170" i="1"/>
  <c r="J171" i="1" s="1"/>
  <c r="BB40" i="1"/>
  <c r="AU24" i="1"/>
  <c r="BN24" i="1"/>
  <c r="AS40" i="1"/>
  <c r="I100" i="1"/>
  <c r="AN267" i="1"/>
  <c r="AW112" i="1"/>
  <c r="AW113" i="1" s="1"/>
  <c r="BF267" i="1"/>
  <c r="AR267" i="1"/>
  <c r="BN112" i="1"/>
  <c r="BN113" i="1" s="1"/>
  <c r="AV197" i="1"/>
  <c r="AW197" i="1" s="1"/>
  <c r="AV193" i="1"/>
  <c r="AW193" i="1" s="1"/>
  <c r="G117" i="1"/>
  <c r="W216" i="1"/>
  <c r="F121" i="1"/>
  <c r="T99" i="1"/>
  <c r="Q162" i="1"/>
  <c r="S170" i="1"/>
  <c r="BV175" i="1"/>
  <c r="BW223" i="1" s="1"/>
  <c r="G121" i="1"/>
  <c r="E121" i="1"/>
  <c r="BJ41" i="1"/>
  <c r="AN266" i="1"/>
  <c r="G216" i="1"/>
  <c r="T121" i="1"/>
  <c r="U148" i="1"/>
  <c r="U47" i="1" s="1"/>
  <c r="F175" i="1"/>
  <c r="M134" i="1"/>
  <c r="C216" i="1"/>
  <c r="BH175" i="1"/>
  <c r="F216" i="1"/>
  <c r="BJ42" i="1"/>
  <c r="BJ43" i="1" s="1"/>
  <c r="BO267" i="1"/>
  <c r="E118" i="1"/>
  <c r="M117" i="1"/>
  <c r="P103" i="1"/>
  <c r="AI193" i="1"/>
  <c r="AZ208" i="1"/>
  <c r="BH267" i="1"/>
  <c r="BB245" i="1"/>
  <c r="BZ112" i="1"/>
  <c r="BZ113" i="1" s="1"/>
  <c r="AU245" i="1"/>
  <c r="BG267" i="1"/>
  <c r="BK24" i="1"/>
  <c r="BK25" i="1" s="1"/>
  <c r="BF193" i="1"/>
  <c r="BG193" i="1" s="1"/>
  <c r="I117" i="1"/>
  <c r="E122" i="1"/>
  <c r="R216" i="1"/>
  <c r="E162" i="1"/>
  <c r="V134" i="1"/>
  <c r="V68" i="1" s="1"/>
  <c r="G162" i="1"/>
  <c r="G196" i="1" s="1"/>
  <c r="G195" i="1" s="1"/>
  <c r="O170" i="1"/>
  <c r="R187" i="1"/>
  <c r="L142" i="1"/>
  <c r="W142" i="1"/>
  <c r="W220" i="1" s="1"/>
  <c r="L148" i="1"/>
  <c r="L47" i="1" s="1"/>
  <c r="D148" i="1"/>
  <c r="D152" i="1" s="1"/>
  <c r="AW30" i="1"/>
  <c r="AW42" i="1" s="1"/>
  <c r="BV267" i="1"/>
  <c r="M118" i="1"/>
  <c r="AQ112" i="1"/>
  <c r="AQ113" i="1" s="1"/>
  <c r="BI208" i="1"/>
  <c r="BW245" i="1"/>
  <c r="AO112" i="1"/>
  <c r="AO113" i="1" s="1"/>
  <c r="AX112" i="1"/>
  <c r="AX113" i="1" s="1"/>
  <c r="AI194" i="1"/>
  <c r="AI24" i="1"/>
  <c r="AL258" i="1" s="1"/>
  <c r="AT24" i="1"/>
  <c r="BG112" i="1"/>
  <c r="BG113" i="1" s="1"/>
  <c r="AN47" i="1"/>
  <c r="AN194" i="1"/>
  <c r="AO194" i="1" s="1"/>
  <c r="AV194" i="1"/>
  <c r="AW194" i="1" s="1"/>
  <c r="AP197" i="1"/>
  <c r="AQ197" i="1" s="1"/>
  <c r="BH216" i="1"/>
  <c r="I103" i="1"/>
  <c r="F99" i="1"/>
  <c r="M100" i="1"/>
  <c r="L118" i="1"/>
  <c r="P116" i="1"/>
  <c r="Q134" i="1"/>
  <c r="K142" i="1"/>
  <c r="S187" i="1"/>
  <c r="N142" i="1"/>
  <c r="N263" i="1" s="1"/>
  <c r="N265" i="1" s="1"/>
  <c r="K162" i="1"/>
  <c r="L175" i="1"/>
  <c r="B187" i="1"/>
  <c r="N148" i="1"/>
  <c r="N47" i="1" s="1"/>
  <c r="I175" i="1"/>
  <c r="J223" i="1" s="1"/>
  <c r="R162" i="1"/>
  <c r="R171" i="1" s="1"/>
  <c r="C170" i="1"/>
  <c r="C211" i="1" s="1"/>
  <c r="R134" i="1"/>
  <c r="R106" i="1" s="1"/>
  <c r="I187" i="1"/>
  <c r="F134" i="1"/>
  <c r="BE266" i="1"/>
  <c r="E100" i="1"/>
  <c r="AI245" i="1"/>
  <c r="BI216" i="1"/>
  <c r="BE267" i="1"/>
  <c r="BW24" i="1"/>
  <c r="AN112" i="1"/>
  <c r="AN113" i="1" s="1"/>
  <c r="AN116" i="1" s="1"/>
  <c r="AY267" i="1"/>
  <c r="BW267" i="1"/>
  <c r="M121" i="1"/>
  <c r="P117" i="1"/>
  <c r="G103" i="1"/>
  <c r="Q121" i="1"/>
  <c r="T134" i="1"/>
  <c r="M187" i="1"/>
  <c r="G175" i="1"/>
  <c r="B162" i="1"/>
  <c r="L134" i="1"/>
  <c r="O148" i="1"/>
  <c r="O152" i="1" s="1"/>
  <c r="P187" i="1"/>
  <c r="AL112" i="1"/>
  <c r="AL113" i="1" s="1"/>
  <c r="AL118" i="1" s="1"/>
  <c r="T162" i="1"/>
  <c r="T196" i="1" s="1"/>
  <c r="E99" i="1"/>
  <c r="BC267" i="1"/>
  <c r="AV112" i="1"/>
  <c r="AV113" i="1" s="1"/>
  <c r="AN245" i="1"/>
  <c r="BD267" i="1"/>
  <c r="AI196" i="1"/>
  <c r="BB194" i="1"/>
  <c r="BC194" i="1" s="1"/>
  <c r="F118" i="1"/>
  <c r="V122" i="1"/>
  <c r="F100" i="1"/>
  <c r="O122" i="1"/>
  <c r="P100" i="1"/>
  <c r="Q100" i="1"/>
  <c r="Q117" i="1"/>
  <c r="S103" i="1"/>
  <c r="M162" i="1"/>
  <c r="M196" i="1" s="1"/>
  <c r="M195" i="1" s="1"/>
  <c r="M175" i="1"/>
  <c r="C187" i="1"/>
  <c r="BE24" i="1"/>
  <c r="H99" i="1"/>
  <c r="AV267" i="1"/>
  <c r="AP112" i="1"/>
  <c r="AP113" i="1" s="1"/>
  <c r="AP116" i="1" s="1"/>
  <c r="BT267" i="1"/>
  <c r="AI199" i="1"/>
  <c r="AI198" i="1" s="1"/>
  <c r="AP194" i="1"/>
  <c r="AQ194" i="1" s="1"/>
  <c r="AT194" i="1"/>
  <c r="AU194" i="1" s="1"/>
  <c r="AT197" i="1"/>
  <c r="AU197" i="1" s="1"/>
  <c r="F101" i="1"/>
  <c r="F117" i="1"/>
  <c r="V162" i="1"/>
  <c r="S121" i="1"/>
  <c r="L187" i="1"/>
  <c r="BF112" i="1"/>
  <c r="BF113" i="1" s="1"/>
  <c r="BF118" i="1" s="1"/>
  <c r="AP193" i="1"/>
  <c r="AQ193" i="1" s="1"/>
  <c r="F162" i="1"/>
  <c r="C162" i="1"/>
  <c r="BX112" i="1"/>
  <c r="BX113" i="1" s="1"/>
  <c r="BX118" i="1" s="1"/>
  <c r="BV194" i="1"/>
  <c r="BW194" i="1" s="1"/>
  <c r="BV193" i="1"/>
  <c r="BW193" i="1" s="1"/>
  <c r="BV24" i="1"/>
  <c r="BU267" i="1"/>
  <c r="BV197" i="1"/>
  <c r="BW197" i="1" s="1"/>
  <c r="BU24" i="1"/>
  <c r="BH170" i="1"/>
  <c r="BH199" i="1" s="1"/>
  <c r="J142" i="1"/>
  <c r="BW112" i="1"/>
  <c r="BW113" i="1" s="1"/>
  <c r="BU266" i="1"/>
  <c r="E142" i="1"/>
  <c r="T170" i="1"/>
  <c r="T199" i="1" s="1"/>
  <c r="T198" i="1" s="1"/>
  <c r="E170" i="1"/>
  <c r="BH162" i="1"/>
  <c r="BH196" i="1" s="1"/>
  <c r="G170" i="1"/>
  <c r="U170" i="1"/>
  <c r="U199" i="1" s="1"/>
  <c r="BY112" i="1"/>
  <c r="BY113" i="1" s="1"/>
  <c r="BV142" i="1"/>
  <c r="BU112" i="1"/>
  <c r="BU113" i="1" s="1"/>
  <c r="BU116" i="1" s="1"/>
  <c r="BV112" i="1"/>
  <c r="BV113" i="1" s="1"/>
  <c r="BV266" i="1"/>
  <c r="Q122" i="1"/>
  <c r="K117" i="1"/>
  <c r="G101" i="1"/>
  <c r="P216" i="1"/>
  <c r="N134" i="1"/>
  <c r="N99" i="1"/>
  <c r="N116" i="1"/>
  <c r="M170" i="1"/>
  <c r="I118" i="1"/>
  <c r="C263" i="1"/>
  <c r="C265" i="1" s="1"/>
  <c r="T117" i="1"/>
  <c r="T100" i="1"/>
  <c r="L216" i="1"/>
  <c r="O175" i="1"/>
  <c r="O142" i="1"/>
  <c r="N118" i="1"/>
  <c r="N122" i="1"/>
  <c r="N101" i="1"/>
  <c r="U162" i="1"/>
  <c r="U196" i="1" s="1"/>
  <c r="U195" i="1" s="1"/>
  <c r="U175" i="1"/>
  <c r="V223" i="1" s="1"/>
  <c r="B79" i="1"/>
  <c r="B175" i="1"/>
  <c r="C223" i="1" s="1"/>
  <c r="D134" i="1"/>
  <c r="N170" i="1"/>
  <c r="N199" i="1" s="1"/>
  <c r="N198" i="1" s="1"/>
  <c r="T216" i="1"/>
  <c r="O134" i="1"/>
  <c r="P221" i="1" s="1"/>
  <c r="R148" i="1"/>
  <c r="E134" i="1"/>
  <c r="C152" i="1"/>
  <c r="C47" i="1"/>
  <c r="H68" i="1"/>
  <c r="H221" i="1"/>
  <c r="V182" i="1"/>
  <c r="V123" i="1" s="1"/>
  <c r="V51" i="1"/>
  <c r="S196" i="1"/>
  <c r="J152" i="1"/>
  <c r="J47" i="1"/>
  <c r="S47" i="1"/>
  <c r="S152" i="1"/>
  <c r="B47" i="1"/>
  <c r="B152" i="1"/>
  <c r="H262" i="1"/>
  <c r="C121" i="1"/>
  <c r="C80" i="1"/>
  <c r="C122" i="1"/>
  <c r="S182" i="1"/>
  <c r="S123" i="1" s="1"/>
  <c r="S51" i="1"/>
  <c r="E223" i="1"/>
  <c r="D182" i="1"/>
  <c r="D123" i="1" s="1"/>
  <c r="T220" i="1"/>
  <c r="G68" i="1"/>
  <c r="G189" i="1"/>
  <c r="G106" i="1"/>
  <c r="V263" i="1"/>
  <c r="V265" i="1" s="1"/>
  <c r="U263" i="1"/>
  <c r="U265" i="1" s="1"/>
  <c r="K221" i="1"/>
  <c r="I47" i="1"/>
  <c r="I152" i="1"/>
  <c r="G220" i="1"/>
  <c r="G263" i="1"/>
  <c r="G265" i="1" s="1"/>
  <c r="BD175" i="1"/>
  <c r="BE223" i="1" s="1"/>
  <c r="E47" i="1"/>
  <c r="E152" i="1"/>
  <c r="J189" i="1"/>
  <c r="J106" i="1"/>
  <c r="J68" i="1"/>
  <c r="J221" i="1"/>
  <c r="L199" i="1"/>
  <c r="L198" i="1" s="1"/>
  <c r="L171" i="1"/>
  <c r="L223" i="1"/>
  <c r="K262" i="1"/>
  <c r="B189" i="1"/>
  <c r="B68" i="1"/>
  <c r="T51" i="1"/>
  <c r="T263" i="1"/>
  <c r="T265" i="1" s="1"/>
  <c r="B51" i="1"/>
  <c r="C220" i="1"/>
  <c r="B182" i="1"/>
  <c r="B123" i="1" s="1"/>
  <c r="AN175" i="1"/>
  <c r="AO223" i="1" s="1"/>
  <c r="AV175" i="1"/>
  <c r="AW223" i="1" s="1"/>
  <c r="BN175" i="1"/>
  <c r="BO223" i="1" s="1"/>
  <c r="BR148" i="1"/>
  <c r="AX175" i="1"/>
  <c r="AY223" i="1" s="1"/>
  <c r="BS142" i="1"/>
  <c r="BP148" i="1"/>
  <c r="BT175" i="1"/>
  <c r="BU223" i="1" s="1"/>
  <c r="BP175" i="1"/>
  <c r="BQ223" i="1" s="1"/>
  <c r="BB175" i="1"/>
  <c r="BE142" i="1"/>
  <c r="AQ154" i="1"/>
  <c r="AW154" i="1"/>
  <c r="AX216" i="1" s="1"/>
  <c r="AQ156" i="1"/>
  <c r="AP162" i="1"/>
  <c r="AP196" i="1" s="1"/>
  <c r="AS138" i="1"/>
  <c r="AU131" i="1"/>
  <c r="AT134" i="1"/>
  <c r="AT106" i="1" s="1"/>
  <c r="AS131" i="1"/>
  <c r="AR134" i="1"/>
  <c r="AX134" i="1"/>
  <c r="AY131" i="1"/>
  <c r="AY138" i="1"/>
  <c r="AY142" i="1" s="1"/>
  <c r="AX142" i="1"/>
  <c r="BO154" i="1"/>
  <c r="BN216" i="1"/>
  <c r="BF175" i="1"/>
  <c r="BG223" i="1" s="1"/>
  <c r="BF148" i="1"/>
  <c r="AV148" i="1"/>
  <c r="AP148" i="1"/>
  <c r="AU156" i="1"/>
  <c r="BC131" i="1"/>
  <c r="BB134" i="1"/>
  <c r="BB106" i="1" s="1"/>
  <c r="AO138" i="1"/>
  <c r="AR194" i="1"/>
  <c r="AS194" i="1" s="1"/>
  <c r="AR162" i="1"/>
  <c r="AR196" i="1" s="1"/>
  <c r="AO131" i="1"/>
  <c r="AN134" i="1"/>
  <c r="BC138" i="1"/>
  <c r="BC142" i="1" s="1"/>
  <c r="BB142" i="1"/>
  <c r="BU154" i="1"/>
  <c r="BV216" i="1" s="1"/>
  <c r="BE131" i="1"/>
  <c r="AU164" i="1"/>
  <c r="AY163" i="1"/>
  <c r="AX170" i="1"/>
  <c r="AX199" i="1" s="1"/>
  <c r="BO138" i="1"/>
  <c r="BO142" i="1" s="1"/>
  <c r="BN142" i="1"/>
  <c r="AO156" i="1"/>
  <c r="BS154" i="1"/>
  <c r="BR216" i="1"/>
  <c r="BS131" i="1"/>
  <c r="BR134" i="1"/>
  <c r="BR106" i="1" s="1"/>
  <c r="BF216" i="1"/>
  <c r="AT216" i="1"/>
  <c r="AX148" i="1"/>
  <c r="BB148" i="1"/>
  <c r="AT175" i="1"/>
  <c r="AU223" i="1" s="1"/>
  <c r="BR175" i="1"/>
  <c r="BN134" i="1"/>
  <c r="AS216" i="1"/>
  <c r="BP170" i="1"/>
  <c r="BP199" i="1" s="1"/>
  <c r="BT134" i="1"/>
  <c r="BF142" i="1"/>
  <c r="BE216" i="1"/>
  <c r="BR170" i="1"/>
  <c r="BR199" i="1" s="1"/>
  <c r="BP162" i="1"/>
  <c r="BP196" i="1" s="1"/>
  <c r="BQ216" i="1"/>
  <c r="BB170" i="1"/>
  <c r="BB199" i="1" s="1"/>
  <c r="BD170" i="1"/>
  <c r="BD199" i="1" s="1"/>
  <c r="BP134" i="1"/>
  <c r="BP106" i="1" s="1"/>
  <c r="BP108" i="1" s="1"/>
  <c r="BP142" i="1"/>
  <c r="BG142" i="1"/>
  <c r="BF170" i="1"/>
  <c r="BF199" i="1" s="1"/>
  <c r="BF198" i="1" s="1"/>
  <c r="BF134" i="1"/>
  <c r="BQ142" i="1"/>
  <c r="BR142" i="1"/>
  <c r="BD142" i="1"/>
  <c r="BC157" i="1"/>
  <c r="BB162" i="1"/>
  <c r="BG157" i="1"/>
  <c r="BF162" i="1"/>
  <c r="BE157" i="1"/>
  <c r="BD162" i="1"/>
  <c r="BO157" i="1"/>
  <c r="AY157" i="1"/>
  <c r="AX162" i="1"/>
  <c r="BS157" i="1"/>
  <c r="BR162" i="1"/>
  <c r="AU216" i="1"/>
  <c r="AV216" i="1"/>
  <c r="AY216" i="1"/>
  <c r="AP30" i="1"/>
  <c r="AP25" i="1"/>
  <c r="BC216" i="1"/>
  <c r="BD216" i="1"/>
  <c r="AR30" i="1"/>
  <c r="BR30" i="1"/>
  <c r="BG216" i="1"/>
  <c r="BQ117" i="1"/>
  <c r="BQ118" i="1"/>
  <c r="AX30" i="1"/>
  <c r="P84" i="1"/>
  <c r="N103" i="1"/>
  <c r="O100" i="1"/>
  <c r="O101" i="1"/>
  <c r="O84" i="1"/>
  <c r="O99" i="1"/>
  <c r="CQ152" i="1"/>
  <c r="CR46" i="1"/>
  <c r="AE91" i="1"/>
  <c r="AB139" i="1"/>
  <c r="AB142" i="1" s="1"/>
  <c r="AB263" i="1" s="1"/>
  <c r="AD156" i="1"/>
  <c r="CZ79" i="1"/>
  <c r="DA77" i="1"/>
  <c r="B143" i="1" l="1"/>
  <c r="B69" i="1" s="1"/>
  <c r="D80" i="1"/>
  <c r="D122" i="1"/>
  <c r="AZ148" i="1"/>
  <c r="AZ175" i="1"/>
  <c r="BA223" i="1" s="1"/>
  <c r="AR175" i="1"/>
  <c r="AS223" i="1" s="1"/>
  <c r="AS142" i="1"/>
  <c r="AR142" i="1"/>
  <c r="BT148" i="1"/>
  <c r="AT148" i="1"/>
  <c r="BD148" i="1"/>
  <c r="AT162" i="1"/>
  <c r="AO142" i="1"/>
  <c r="AN142" i="1"/>
  <c r="AM80" i="1"/>
  <c r="AM83" i="1" s="1"/>
  <c r="BQ41" i="1"/>
  <c r="BQ30" i="1"/>
  <c r="BQ42" i="1" s="1"/>
  <c r="BD30" i="1"/>
  <c r="BS26" i="1"/>
  <c r="BS30" i="1"/>
  <c r="BD116" i="1"/>
  <c r="BD117" i="1"/>
  <c r="BD118" i="1"/>
  <c r="BR26" i="1"/>
  <c r="AZ118" i="1"/>
  <c r="AZ117" i="1"/>
  <c r="BJ26" i="1"/>
  <c r="BT41" i="1"/>
  <c r="BI41" i="1"/>
  <c r="BX25" i="1"/>
  <c r="BT30" i="1"/>
  <c r="AX26" i="1"/>
  <c r="AN25" i="1"/>
  <c r="AN30" i="1"/>
  <c r="AN26" i="1"/>
  <c r="AN239" i="1"/>
  <c r="AR25" i="1"/>
  <c r="BA118" i="1"/>
  <c r="BA116" i="1"/>
  <c r="BA117" i="1"/>
  <c r="BG30" i="1"/>
  <c r="BD26" i="1"/>
  <c r="BG25" i="1"/>
  <c r="BN194" i="1"/>
  <c r="BO194" i="1" s="1"/>
  <c r="AR148" i="1"/>
  <c r="AR152" i="1" s="1"/>
  <c r="BV182" i="1"/>
  <c r="M106" i="1"/>
  <c r="M109" i="1" s="1"/>
  <c r="M68" i="1"/>
  <c r="I223" i="1"/>
  <c r="E196" i="1"/>
  <c r="E195" i="1" s="1"/>
  <c r="D47" i="1"/>
  <c r="BD134" i="1"/>
  <c r="AT170" i="1"/>
  <c r="AT199" i="1" s="1"/>
  <c r="AX198" i="1"/>
  <c r="AQ142" i="1"/>
  <c r="BT170" i="1"/>
  <c r="BT199" i="1" s="1"/>
  <c r="AR170" i="1"/>
  <c r="BR198" i="1"/>
  <c r="AZ142" i="1"/>
  <c r="AP142" i="1"/>
  <c r="AP134" i="1"/>
  <c r="AP106" i="1" s="1"/>
  <c r="BN170" i="1"/>
  <c r="BN199" i="1" s="1"/>
  <c r="AN170" i="1"/>
  <c r="AN199" i="1" s="1"/>
  <c r="BH220" i="1"/>
  <c r="BA142" i="1"/>
  <c r="AT142" i="1"/>
  <c r="AP170" i="1"/>
  <c r="AV170" i="1"/>
  <c r="AV199" i="1" s="1"/>
  <c r="AZ170" i="1"/>
  <c r="AZ199" i="1" s="1"/>
  <c r="AV134" i="1"/>
  <c r="AU142" i="1"/>
  <c r="AW157" i="1"/>
  <c r="AV162" i="1"/>
  <c r="BN162" i="1"/>
  <c r="BU157" i="1"/>
  <c r="BT162" i="1"/>
  <c r="BA157" i="1"/>
  <c r="AZ162" i="1"/>
  <c r="BB216" i="1"/>
  <c r="BA216" i="1"/>
  <c r="AZ216" i="1"/>
  <c r="AS26" i="1"/>
  <c r="AQ26" i="1"/>
  <c r="AQ202" i="1"/>
  <c r="AS30" i="1"/>
  <c r="AS197" i="1"/>
  <c r="BJ263" i="1"/>
  <c r="BJ220" i="1"/>
  <c r="BI263" i="1"/>
  <c r="BO41" i="1"/>
  <c r="BO30" i="1"/>
  <c r="AS239" i="1"/>
  <c r="BS25" i="1"/>
  <c r="BI220" i="1"/>
  <c r="AS41" i="1"/>
  <c r="AU25" i="1"/>
  <c r="BM118" i="1"/>
  <c r="BM116" i="1"/>
  <c r="BM117" i="1"/>
  <c r="BB25" i="1"/>
  <c r="AQ30" i="1"/>
  <c r="AQ25" i="1"/>
  <c r="AR26" i="1"/>
  <c r="BH118" i="1"/>
  <c r="BH116" i="1"/>
  <c r="AR202" i="1"/>
  <c r="BC26" i="1"/>
  <c r="BC239" i="1"/>
  <c r="AV41" i="1"/>
  <c r="AW202" i="1"/>
  <c r="AW26" i="1"/>
  <c r="BA202" i="1"/>
  <c r="AZ25" i="1"/>
  <c r="AS116" i="1"/>
  <c r="AS118" i="1"/>
  <c r="AS117" i="1"/>
  <c r="BC202" i="1"/>
  <c r="BI118" i="1"/>
  <c r="BI116" i="1"/>
  <c r="BG202" i="1"/>
  <c r="BG41" i="1"/>
  <c r="BF25" i="1"/>
  <c r="AV25" i="1"/>
  <c r="AQ41" i="1"/>
  <c r="AZ194" i="1"/>
  <c r="BA194" i="1" s="1"/>
  <c r="AN197" i="1"/>
  <c r="AO197" i="1" s="1"/>
  <c r="AN193" i="1"/>
  <c r="AO193" i="1" s="1"/>
  <c r="AW138" i="1"/>
  <c r="AW142" i="1" s="1"/>
  <c r="AV142" i="1"/>
  <c r="BU138" i="1"/>
  <c r="BU142" i="1" s="1"/>
  <c r="BT142" i="1"/>
  <c r="AO154" i="1"/>
  <c r="AN216" i="1"/>
  <c r="AN148" i="1"/>
  <c r="AP175" i="1"/>
  <c r="BN148" i="1"/>
  <c r="AZ134" i="1"/>
  <c r="AR41" i="1"/>
  <c r="BE41" i="1"/>
  <c r="AN162" i="1"/>
  <c r="AZ41" i="1"/>
  <c r="AX41" i="1"/>
  <c r="BC25" i="1"/>
  <c r="BS41" i="1"/>
  <c r="BC41" i="1"/>
  <c r="C189" i="1"/>
  <c r="O171" i="1"/>
  <c r="BA30" i="1"/>
  <c r="BA42" i="1" s="1"/>
  <c r="AZ30" i="1"/>
  <c r="H211" i="1"/>
  <c r="E210" i="1"/>
  <c r="S263" i="1"/>
  <c r="S265" i="1" s="1"/>
  <c r="P152" i="1"/>
  <c r="P47" i="1"/>
  <c r="K51" i="1"/>
  <c r="K182" i="1"/>
  <c r="K123" i="1" s="1"/>
  <c r="K68" i="1"/>
  <c r="L221" i="1"/>
  <c r="K189" i="1"/>
  <c r="K106" i="1"/>
  <c r="C182" i="1"/>
  <c r="C123" i="1" s="1"/>
  <c r="D223" i="1"/>
  <c r="W263" i="1"/>
  <c r="W265" i="1" s="1"/>
  <c r="W51" i="1"/>
  <c r="X220" i="1"/>
  <c r="M152" i="1"/>
  <c r="M47" i="1"/>
  <c r="R210" i="1"/>
  <c r="H196" i="1"/>
  <c r="I210" i="1"/>
  <c r="D196" i="1"/>
  <c r="D195" i="1" s="1"/>
  <c r="D171" i="1"/>
  <c r="I51" i="1"/>
  <c r="I220" i="1"/>
  <c r="Q68" i="1"/>
  <c r="Q189" i="1"/>
  <c r="K47" i="1"/>
  <c r="K152" i="1"/>
  <c r="W152" i="1"/>
  <c r="X217" i="1" s="1"/>
  <c r="X215" i="1" s="1"/>
  <c r="W47" i="1"/>
  <c r="S223" i="1"/>
  <c r="O210" i="1"/>
  <c r="K211" i="1"/>
  <c r="J199" i="1"/>
  <c r="L196" i="1"/>
  <c r="P196" i="1"/>
  <c r="P171" i="1"/>
  <c r="R196" i="1"/>
  <c r="R195" i="1" s="1"/>
  <c r="S210" i="1"/>
  <c r="I263" i="1"/>
  <c r="I265" i="1" s="1"/>
  <c r="I143" i="1"/>
  <c r="I69" i="1" s="1"/>
  <c r="Q47" i="1"/>
  <c r="Q152" i="1"/>
  <c r="P106" i="1"/>
  <c r="P189" i="1"/>
  <c r="G143" i="1"/>
  <c r="G69" i="1" s="1"/>
  <c r="G51" i="1"/>
  <c r="G182" i="1"/>
  <c r="G123" i="1" s="1"/>
  <c r="U220" i="1"/>
  <c r="U51" i="1"/>
  <c r="U143" i="1"/>
  <c r="U69" i="1" s="1"/>
  <c r="V220" i="1"/>
  <c r="Q263" i="1"/>
  <c r="Q265" i="1" s="1"/>
  <c r="Q220" i="1"/>
  <c r="H171" i="1"/>
  <c r="I171" i="1"/>
  <c r="I211" i="1"/>
  <c r="I199" i="1"/>
  <c r="Q199" i="1"/>
  <c r="P143" i="1"/>
  <c r="P69" i="1" s="1"/>
  <c r="P182" i="1"/>
  <c r="P123" i="1" s="1"/>
  <c r="P51" i="1"/>
  <c r="P68" i="1"/>
  <c r="P262" i="1"/>
  <c r="V106" i="1"/>
  <c r="V143" i="1"/>
  <c r="V69" i="1" s="1"/>
  <c r="R220" i="1"/>
  <c r="Q51" i="1"/>
  <c r="O199" i="1"/>
  <c r="M263" i="1"/>
  <c r="M265" i="1" s="1"/>
  <c r="M51" i="1"/>
  <c r="AS25" i="1"/>
  <c r="AO30" i="1"/>
  <c r="BP198" i="1"/>
  <c r="BD198" i="1"/>
  <c r="AM66" i="1"/>
  <c r="AM133" i="1"/>
  <c r="AM134" i="1" s="1"/>
  <c r="AM143" i="1" s="1"/>
  <c r="AM207" i="1"/>
  <c r="AM209" i="1" s="1"/>
  <c r="BA41" i="1"/>
  <c r="BQ25" i="1"/>
  <c r="BM25" i="1"/>
  <c r="BV106" i="1"/>
  <c r="BM30" i="1"/>
  <c r="BM26" i="1"/>
  <c r="BA25" i="1"/>
  <c r="BA26" i="1"/>
  <c r="AW25" i="1"/>
  <c r="BT239" i="1"/>
  <c r="BD25" i="1"/>
  <c r="BD41" i="1"/>
  <c r="BI30" i="1"/>
  <c r="BT26" i="1"/>
  <c r="BC30" i="1"/>
  <c r="AN41" i="1"/>
  <c r="AP26" i="1"/>
  <c r="AQ239" i="1"/>
  <c r="AP202" i="1"/>
  <c r="AO25" i="1"/>
  <c r="AO202" i="1"/>
  <c r="AO239" i="1"/>
  <c r="AO26" i="1"/>
  <c r="BP195" i="1"/>
  <c r="BM41" i="1"/>
  <c r="BB41" i="1"/>
  <c r="AY25" i="1"/>
  <c r="F182" i="1"/>
  <c r="F123" i="1" s="1"/>
  <c r="M221" i="1"/>
  <c r="C171" i="1"/>
  <c r="BY239" i="1"/>
  <c r="E211" i="1"/>
  <c r="BH106" i="1"/>
  <c r="BH143" i="1"/>
  <c r="O72" i="1"/>
  <c r="AP239" i="1"/>
  <c r="D263" i="1"/>
  <c r="D265" i="1" s="1"/>
  <c r="D220" i="1"/>
  <c r="D51" i="1"/>
  <c r="AS202" i="1"/>
  <c r="AR239" i="1"/>
  <c r="BF41" i="1"/>
  <c r="BG26" i="1"/>
  <c r="BJ25" i="1"/>
  <c r="BF30" i="1"/>
  <c r="BF42" i="1" s="1"/>
  <c r="T47" i="1"/>
  <c r="T152" i="1"/>
  <c r="U262" i="1"/>
  <c r="U106" i="1"/>
  <c r="BB26" i="1"/>
  <c r="BB202" i="1"/>
  <c r="BD239" i="1"/>
  <c r="BB30" i="1"/>
  <c r="BE239" i="1"/>
  <c r="AV30" i="1"/>
  <c r="AY239" i="1"/>
  <c r="BH30" i="1"/>
  <c r="BH202" i="1"/>
  <c r="BM202" i="1"/>
  <c r="BX26" i="1"/>
  <c r="BZ239" i="1"/>
  <c r="BV41" i="1"/>
  <c r="BT118" i="1"/>
  <c r="BT116" i="1"/>
  <c r="BB118" i="1"/>
  <c r="BB117" i="1"/>
  <c r="BB116" i="1"/>
  <c r="AR118" i="1"/>
  <c r="AR117" i="1"/>
  <c r="AR116" i="1"/>
  <c r="BO116" i="1"/>
  <c r="BO117" i="1"/>
  <c r="BO118" i="1"/>
  <c r="BV152" i="1"/>
  <c r="BW148" i="1"/>
  <c r="BL118" i="1"/>
  <c r="BL116" i="1"/>
  <c r="BL117" i="1"/>
  <c r="BH152" i="1"/>
  <c r="BI148" i="1"/>
  <c r="BI47" i="1"/>
  <c r="BK118" i="1"/>
  <c r="BK117" i="1"/>
  <c r="BK116" i="1"/>
  <c r="BS116" i="1"/>
  <c r="BS117" i="1"/>
  <c r="BS118" i="1"/>
  <c r="BP117" i="1"/>
  <c r="BP118" i="1"/>
  <c r="BP116" i="1"/>
  <c r="BE118" i="1"/>
  <c r="BE117" i="1"/>
  <c r="BE116" i="1"/>
  <c r="BC117" i="1"/>
  <c r="BC118" i="1"/>
  <c r="AW117" i="1"/>
  <c r="AW116" i="1"/>
  <c r="AW118" i="1"/>
  <c r="BZ117" i="1"/>
  <c r="BZ118" i="1"/>
  <c r="AQ118" i="1"/>
  <c r="AQ117" i="1"/>
  <c r="AO116" i="1"/>
  <c r="AO118" i="1"/>
  <c r="AO117" i="1"/>
  <c r="AX118" i="1"/>
  <c r="AX116" i="1"/>
  <c r="AX117" i="1"/>
  <c r="BG117" i="1"/>
  <c r="BG118" i="1"/>
  <c r="BG116" i="1"/>
  <c r="AV116" i="1"/>
  <c r="AV118" i="1"/>
  <c r="AV117" i="1"/>
  <c r="F47" i="1"/>
  <c r="F152" i="1"/>
  <c r="BV171" i="1"/>
  <c r="J262" i="1"/>
  <c r="N210" i="1"/>
  <c r="T221" i="1"/>
  <c r="T219" i="1" s="1"/>
  <c r="BH41" i="1"/>
  <c r="K263" i="1"/>
  <c r="K265" i="1" s="1"/>
  <c r="L262" i="1"/>
  <c r="M211" i="1"/>
  <c r="P220" i="1"/>
  <c r="R211" i="1"/>
  <c r="Q211" i="1"/>
  <c r="H106" i="1"/>
  <c r="H189" i="1"/>
  <c r="AY30" i="1"/>
  <c r="BD202" i="1"/>
  <c r="AZ26" i="1"/>
  <c r="I221" i="1"/>
  <c r="I106" i="1"/>
  <c r="I189" i="1"/>
  <c r="I68" i="1"/>
  <c r="H152" i="1"/>
  <c r="H47" i="1"/>
  <c r="BP41" i="1"/>
  <c r="BS239" i="1"/>
  <c r="BQ202" i="1"/>
  <c r="BP26" i="1"/>
  <c r="AT118" i="1"/>
  <c r="AT117" i="1"/>
  <c r="BR117" i="1"/>
  <c r="BR118" i="1"/>
  <c r="BR116" i="1"/>
  <c r="I196" i="1"/>
  <c r="J210" i="1"/>
  <c r="H263" i="1"/>
  <c r="H265" i="1" s="1"/>
  <c r="H51" i="1"/>
  <c r="H220" i="1"/>
  <c r="H219" i="1" s="1"/>
  <c r="H143" i="1"/>
  <c r="H69" i="1" s="1"/>
  <c r="H182" i="1"/>
  <c r="H123" i="1" s="1"/>
  <c r="R223" i="1"/>
  <c r="Q262" i="1"/>
  <c r="Q182" i="1"/>
  <c r="Q123" i="1" s="1"/>
  <c r="BX263" i="1"/>
  <c r="BW220" i="1"/>
  <c r="BW263" i="1"/>
  <c r="C68" i="1"/>
  <c r="C143" i="1"/>
  <c r="C69" i="1" s="1"/>
  <c r="C262" i="1"/>
  <c r="C221" i="1"/>
  <c r="C219" i="1" s="1"/>
  <c r="F199" i="1"/>
  <c r="G211" i="1"/>
  <c r="V152" i="1"/>
  <c r="V47" i="1"/>
  <c r="L211" i="1"/>
  <c r="K199" i="1"/>
  <c r="BN117" i="1"/>
  <c r="BN118" i="1"/>
  <c r="BN116" i="1"/>
  <c r="Q210" i="1"/>
  <c r="Q171" i="1"/>
  <c r="S211" i="1"/>
  <c r="S199" i="1"/>
  <c r="S171" i="1"/>
  <c r="S179" i="1" s="1"/>
  <c r="M220" i="1"/>
  <c r="L51" i="1"/>
  <c r="L220" i="1"/>
  <c r="Q221" i="1"/>
  <c r="Q143" i="1"/>
  <c r="Q69" i="1" s="1"/>
  <c r="G221" i="1"/>
  <c r="G219" i="1" s="1"/>
  <c r="F68" i="1"/>
  <c r="F221" i="1"/>
  <c r="F189" i="1"/>
  <c r="F106" i="1"/>
  <c r="F143" i="1"/>
  <c r="F69" i="1" s="1"/>
  <c r="T189" i="1"/>
  <c r="T68" i="1"/>
  <c r="H223" i="1"/>
  <c r="G262" i="1"/>
  <c r="B196" i="1"/>
  <c r="B171" i="1"/>
  <c r="B179" i="1" s="1"/>
  <c r="AI195" i="1"/>
  <c r="AI200" i="1"/>
  <c r="M182" i="1"/>
  <c r="M123" i="1" s="1"/>
  <c r="N223" i="1"/>
  <c r="BJ202" i="1"/>
  <c r="BI202" i="1"/>
  <c r="S72" i="1"/>
  <c r="BI25" i="1"/>
  <c r="BF26" i="1"/>
  <c r="BE25" i="1"/>
  <c r="BF202" i="1"/>
  <c r="F196" i="1"/>
  <c r="F210" i="1"/>
  <c r="BV30" i="1"/>
  <c r="BV25" i="1"/>
  <c r="BZ25" i="1"/>
  <c r="J220" i="1"/>
  <c r="J219" i="1" s="1"/>
  <c r="J143" i="1"/>
  <c r="J69" i="1" s="1"/>
  <c r="J263" i="1"/>
  <c r="J265" i="1" s="1"/>
  <c r="J51" i="1"/>
  <c r="BW116" i="1"/>
  <c r="BW118" i="1"/>
  <c r="BY116" i="1"/>
  <c r="BY117" i="1"/>
  <c r="BV117" i="1"/>
  <c r="BV116" i="1"/>
  <c r="BV118" i="1"/>
  <c r="AU118" i="1"/>
  <c r="AU116" i="1"/>
  <c r="AT30" i="1"/>
  <c r="AT41" i="1"/>
  <c r="AT25" i="1"/>
  <c r="AT239" i="1"/>
  <c r="AT202" i="1"/>
  <c r="AV239" i="1"/>
  <c r="AT26" i="1"/>
  <c r="AW239" i="1"/>
  <c r="AU239" i="1"/>
  <c r="P72" i="1"/>
  <c r="AX25" i="1"/>
  <c r="AU26" i="1"/>
  <c r="AX202" i="1"/>
  <c r="BI223" i="1"/>
  <c r="BH262" i="1"/>
  <c r="BS202" i="1"/>
  <c r="BN30" i="1"/>
  <c r="BO26" i="1"/>
  <c r="BO239" i="1"/>
  <c r="BN26" i="1"/>
  <c r="BR25" i="1"/>
  <c r="BR202" i="1"/>
  <c r="BC116" i="1"/>
  <c r="S262" i="1"/>
  <c r="BU26" i="1"/>
  <c r="BU239" i="1"/>
  <c r="BV26" i="1"/>
  <c r="BV202" i="1"/>
  <c r="E220" i="1"/>
  <c r="E182" i="1"/>
  <c r="E123" i="1" s="1"/>
  <c r="E125" i="1" s="1"/>
  <c r="E128" i="1" s="1"/>
  <c r="E51" i="1"/>
  <c r="F263" i="1"/>
  <c r="F265" i="1" s="1"/>
  <c r="E143" i="1"/>
  <c r="E69" i="1" s="1"/>
  <c r="AY117" i="1"/>
  <c r="V171" i="1"/>
  <c r="V196" i="1"/>
  <c r="V195" i="1" s="1"/>
  <c r="K196" i="1"/>
  <c r="K195" i="1" s="1"/>
  <c r="L210" i="1"/>
  <c r="K210" i="1"/>
  <c r="S189" i="1"/>
  <c r="S143" i="1"/>
  <c r="S69" i="1" s="1"/>
  <c r="S68" i="1"/>
  <c r="BQ239" i="1"/>
  <c r="AN118" i="1"/>
  <c r="AU117" i="1"/>
  <c r="BN41" i="1"/>
  <c r="AN117" i="1"/>
  <c r="S106" i="1"/>
  <c r="G47" i="1"/>
  <c r="BP239" i="1"/>
  <c r="BZ202" i="1"/>
  <c r="BN202" i="1"/>
  <c r="BN25" i="1"/>
  <c r="F220" i="1"/>
  <c r="AY116" i="1"/>
  <c r="BH182" i="1"/>
  <c r="BU117" i="1"/>
  <c r="BW47" i="1"/>
  <c r="BW26" i="1"/>
  <c r="AZ202" i="1"/>
  <c r="N182" i="1"/>
  <c r="N123" i="1" s="1"/>
  <c r="N125" i="1" s="1"/>
  <c r="N128" i="1" s="1"/>
  <c r="T106" i="1"/>
  <c r="T109" i="1" s="1"/>
  <c r="BZ258" i="1"/>
  <c r="BA239" i="1"/>
  <c r="BV143" i="1"/>
  <c r="BX220" i="1"/>
  <c r="AI41" i="1"/>
  <c r="BJ118" i="1"/>
  <c r="M143" i="1"/>
  <c r="M69" i="1" s="1"/>
  <c r="N220" i="1"/>
  <c r="K223" i="1"/>
  <c r="BT25" i="1"/>
  <c r="BI239" i="1"/>
  <c r="BT117" i="1"/>
  <c r="BQ26" i="1"/>
  <c r="BJ117" i="1"/>
  <c r="N196" i="1"/>
  <c r="N200" i="1" s="1"/>
  <c r="N51" i="1"/>
  <c r="J211" i="1"/>
  <c r="K143" i="1"/>
  <c r="K69" i="1" s="1"/>
  <c r="T143" i="1"/>
  <c r="T69" i="1" s="1"/>
  <c r="F171" i="1"/>
  <c r="S220" i="1"/>
  <c r="U223" i="1"/>
  <c r="U68" i="1"/>
  <c r="BV196" i="1"/>
  <c r="BH26" i="1"/>
  <c r="BI26" i="1"/>
  <c r="BP25" i="1"/>
  <c r="BW117" i="1"/>
  <c r="AY26" i="1"/>
  <c r="BF239" i="1"/>
  <c r="BE202" i="1"/>
  <c r="AU41" i="1"/>
  <c r="AW31" i="1"/>
  <c r="BX117" i="1"/>
  <c r="BR239" i="1"/>
  <c r="BG239" i="1"/>
  <c r="BB198" i="1"/>
  <c r="R263" i="1"/>
  <c r="R265" i="1" s="1"/>
  <c r="Q106" i="1"/>
  <c r="Q109" i="1" s="1"/>
  <c r="K220" i="1"/>
  <c r="J182" i="1"/>
  <c r="J123" i="1" s="1"/>
  <c r="J124" i="1" s="1"/>
  <c r="J127" i="1" s="1"/>
  <c r="G210" i="1"/>
  <c r="I262" i="1"/>
  <c r="M262" i="1"/>
  <c r="U221" i="1"/>
  <c r="BH200" i="1"/>
  <c r="BL203" i="1" s="1"/>
  <c r="AV26" i="1"/>
  <c r="AY202" i="1"/>
  <c r="N171" i="1"/>
  <c r="H210" i="1"/>
  <c r="D210" i="1"/>
  <c r="T262" i="1"/>
  <c r="X72" i="1"/>
  <c r="R72" i="1"/>
  <c r="AV202" i="1"/>
  <c r="V72" i="1"/>
  <c r="V262" i="1"/>
  <c r="BJ258" i="1"/>
  <c r="BB239" i="1"/>
  <c r="BL25" i="1"/>
  <c r="AZ239" i="1"/>
  <c r="AL117" i="1"/>
  <c r="Q72" i="1"/>
  <c r="BH239" i="1"/>
  <c r="BT202" i="1"/>
  <c r="AX239" i="1"/>
  <c r="BE30" i="1"/>
  <c r="AU30" i="1"/>
  <c r="BL239" i="1"/>
  <c r="AT116" i="1"/>
  <c r="BX116" i="1"/>
  <c r="AR42" i="1"/>
  <c r="AR43" i="1" s="1"/>
  <c r="BE26" i="1"/>
  <c r="U189" i="1"/>
  <c r="B262" i="1"/>
  <c r="G223" i="1"/>
  <c r="R182" i="1"/>
  <c r="R123" i="1" s="1"/>
  <c r="R125" i="1" s="1"/>
  <c r="R128" i="1" s="1"/>
  <c r="C210" i="1"/>
  <c r="BP30" i="1"/>
  <c r="AY41" i="1"/>
  <c r="C217" i="1"/>
  <c r="C215" i="1" s="1"/>
  <c r="P211" i="1"/>
  <c r="P212" i="1" s="1"/>
  <c r="P213" i="1" s="1"/>
  <c r="T72" i="1"/>
  <c r="BH25" i="1"/>
  <c r="C196" i="1"/>
  <c r="C195" i="1" s="1"/>
  <c r="BJ239" i="1"/>
  <c r="AU202" i="1"/>
  <c r="N72" i="1"/>
  <c r="C199" i="1"/>
  <c r="C198" i="1" s="1"/>
  <c r="D124" i="1"/>
  <c r="D127" i="1" s="1"/>
  <c r="U152" i="1"/>
  <c r="D211" i="1"/>
  <c r="T211" i="1"/>
  <c r="BH198" i="1"/>
  <c r="AP195" i="1"/>
  <c r="AN202" i="1"/>
  <c r="AP117" i="1"/>
  <c r="AP118" i="1"/>
  <c r="CA25" i="1"/>
  <c r="AQ116" i="1"/>
  <c r="BL202" i="1"/>
  <c r="BK30" i="1"/>
  <c r="V189" i="1"/>
  <c r="V221" i="1"/>
  <c r="X263" i="1"/>
  <c r="X265" i="1" s="1"/>
  <c r="T210" i="1"/>
  <c r="BH195" i="1"/>
  <c r="BL258" i="1"/>
  <c r="BO25" i="1"/>
  <c r="BL26" i="1"/>
  <c r="T171" i="1"/>
  <c r="R262" i="1"/>
  <c r="L106" i="1"/>
  <c r="L68" i="1"/>
  <c r="BW41" i="1"/>
  <c r="BW30" i="1"/>
  <c r="X73" i="1" s="1"/>
  <c r="AL116" i="1"/>
  <c r="BK239" i="1"/>
  <c r="BX202" i="1"/>
  <c r="BV262" i="1"/>
  <c r="BK26" i="1"/>
  <c r="BR263" i="1"/>
  <c r="O211" i="1"/>
  <c r="L263" i="1"/>
  <c r="L265" i="1" s="1"/>
  <c r="M210" i="1"/>
  <c r="Q196" i="1"/>
  <c r="I182" i="1"/>
  <c r="I123" i="1" s="1"/>
  <c r="BZ116" i="1"/>
  <c r="L182" i="1"/>
  <c r="L123" i="1" s="1"/>
  <c r="L125" i="1" s="1"/>
  <c r="L128" i="1" s="1"/>
  <c r="R143" i="1"/>
  <c r="R69" i="1" s="1"/>
  <c r="BW202" i="1"/>
  <c r="BO202" i="1"/>
  <c r="CA202" i="1"/>
  <c r="U72" i="1"/>
  <c r="BK202" i="1"/>
  <c r="AL239" i="1"/>
  <c r="BU118" i="1"/>
  <c r="BF117" i="1"/>
  <c r="M223" i="1"/>
  <c r="S221" i="1"/>
  <c r="N152" i="1"/>
  <c r="L189" i="1"/>
  <c r="BK41" i="1"/>
  <c r="AI30" i="1"/>
  <c r="N73" i="1" s="1"/>
  <c r="BJ246" i="1"/>
  <c r="BJ247" i="1" s="1"/>
  <c r="BW25" i="1"/>
  <c r="AM25" i="1"/>
  <c r="M199" i="1"/>
  <c r="M200" i="1" s="1"/>
  <c r="O47" i="1"/>
  <c r="L143" i="1"/>
  <c r="L69" i="1" s="1"/>
  <c r="K171" i="1"/>
  <c r="R189" i="1"/>
  <c r="BN239" i="1"/>
  <c r="BF116" i="1"/>
  <c r="CB202" i="1"/>
  <c r="L152" i="1"/>
  <c r="BJ48" i="1"/>
  <c r="BJ52" i="1" s="1"/>
  <c r="BJ55" i="1" s="1"/>
  <c r="AJ26" i="1"/>
  <c r="M108" i="1"/>
  <c r="M171" i="1"/>
  <c r="U182" i="1"/>
  <c r="U123" i="1" s="1"/>
  <c r="U125" i="1" s="1"/>
  <c r="U128" i="1" s="1"/>
  <c r="F262" i="1"/>
  <c r="R221" i="1"/>
  <c r="R68" i="1"/>
  <c r="M189" i="1"/>
  <c r="BM239" i="1"/>
  <c r="BP202" i="1"/>
  <c r="M110" i="1"/>
  <c r="AR195" i="1"/>
  <c r="O51" i="1"/>
  <c r="G171" i="1"/>
  <c r="G179" i="1" s="1"/>
  <c r="G199" i="1"/>
  <c r="G200" i="1" s="1"/>
  <c r="BU202" i="1"/>
  <c r="AS47" i="1"/>
  <c r="F211" i="1"/>
  <c r="BY25" i="1"/>
  <c r="AS148" i="1"/>
  <c r="AS152" i="1" s="1"/>
  <c r="BU30" i="1"/>
  <c r="BU33" i="1" s="1"/>
  <c r="E199" i="1"/>
  <c r="E198" i="1" s="1"/>
  <c r="BY118" i="1"/>
  <c r="BX258" i="1"/>
  <c r="W72" i="1"/>
  <c r="E171" i="1"/>
  <c r="E179" i="1" s="1"/>
  <c r="BW239" i="1"/>
  <c r="BV239" i="1"/>
  <c r="BV198" i="1"/>
  <c r="BU41" i="1"/>
  <c r="U211" i="1"/>
  <c r="C179" i="1"/>
  <c r="C258" i="1" s="1"/>
  <c r="BY202" i="1"/>
  <c r="BU25" i="1"/>
  <c r="BX239" i="1"/>
  <c r="V211" i="1"/>
  <c r="U171" i="1"/>
  <c r="BH171" i="1"/>
  <c r="AW216" i="1"/>
  <c r="BU216" i="1"/>
  <c r="O182" i="1"/>
  <c r="O123" i="1" s="1"/>
  <c r="E189" i="1"/>
  <c r="E68" i="1"/>
  <c r="E221" i="1"/>
  <c r="E106" i="1"/>
  <c r="P223" i="1"/>
  <c r="O262" i="1"/>
  <c r="N189" i="1"/>
  <c r="N68" i="1"/>
  <c r="N262" i="1"/>
  <c r="N221" i="1"/>
  <c r="N106" i="1"/>
  <c r="D221" i="1"/>
  <c r="D143" i="1"/>
  <c r="D69" i="1" s="1"/>
  <c r="D68" i="1"/>
  <c r="D189" i="1"/>
  <c r="N211" i="1"/>
  <c r="P263" i="1"/>
  <c r="P265" i="1" s="1"/>
  <c r="O143" i="1"/>
  <c r="O69" i="1" s="1"/>
  <c r="D262" i="1"/>
  <c r="R47" i="1"/>
  <c r="R152" i="1"/>
  <c r="N143" i="1"/>
  <c r="N69" i="1" s="1"/>
  <c r="V210" i="1"/>
  <c r="O220" i="1"/>
  <c r="O263" i="1"/>
  <c r="O265" i="1" s="1"/>
  <c r="B122" i="1"/>
  <c r="B125" i="1" s="1"/>
  <c r="B128" i="1" s="1"/>
  <c r="B121" i="1"/>
  <c r="B124" i="1" s="1"/>
  <c r="B127" i="1" s="1"/>
  <c r="B80" i="1"/>
  <c r="U210" i="1"/>
  <c r="O68" i="1"/>
  <c r="O221" i="1"/>
  <c r="O106" i="1"/>
  <c r="O189" i="1"/>
  <c r="D217" i="1"/>
  <c r="D215" i="1" s="1"/>
  <c r="R109" i="1"/>
  <c r="R110" i="1"/>
  <c r="R108" i="1"/>
  <c r="J179" i="1"/>
  <c r="S195" i="1"/>
  <c r="V124" i="1"/>
  <c r="V127" i="1" s="1"/>
  <c r="V125" i="1"/>
  <c r="V128" i="1" s="1"/>
  <c r="J258" i="1"/>
  <c r="J260" i="1"/>
  <c r="S260" i="1"/>
  <c r="S258" i="1"/>
  <c r="C83" i="1"/>
  <c r="C82" i="1"/>
  <c r="S124" i="1"/>
  <c r="S127" i="1" s="1"/>
  <c r="S125" i="1"/>
  <c r="S128" i="1" s="1"/>
  <c r="T124" i="1"/>
  <c r="T127" i="1" s="1"/>
  <c r="T125" i="1"/>
  <c r="T128" i="1" s="1"/>
  <c r="G110" i="1"/>
  <c r="G109" i="1"/>
  <c r="G108" i="1"/>
  <c r="G258" i="1"/>
  <c r="G260" i="1"/>
  <c r="I258" i="1"/>
  <c r="I260" i="1"/>
  <c r="J217" i="1"/>
  <c r="J215" i="1" s="1"/>
  <c r="E258" i="1"/>
  <c r="E260" i="1"/>
  <c r="E217" i="1"/>
  <c r="E215" i="1" s="1"/>
  <c r="J108" i="1"/>
  <c r="J109" i="1"/>
  <c r="J110" i="1"/>
  <c r="D198" i="1"/>
  <c r="AR216" i="1"/>
  <c r="AQ216" i="1"/>
  <c r="BB182" i="1"/>
  <c r="BS47" i="1"/>
  <c r="BS148" i="1"/>
  <c r="BR152" i="1"/>
  <c r="AN106" i="1"/>
  <c r="AN109" i="1" s="1"/>
  <c r="AN262" i="1"/>
  <c r="O260" i="1"/>
  <c r="BC47" i="1"/>
  <c r="BB152" i="1"/>
  <c r="BC148" i="1"/>
  <c r="U198" i="1"/>
  <c r="U200" i="1"/>
  <c r="V198" i="1"/>
  <c r="BN182" i="1"/>
  <c r="BN143" i="1"/>
  <c r="BC220" i="1"/>
  <c r="BC263" i="1"/>
  <c r="T200" i="1"/>
  <c r="T195" i="1"/>
  <c r="O258" i="1"/>
  <c r="BB143" i="1"/>
  <c r="AT262" i="1"/>
  <c r="AR106" i="1"/>
  <c r="AX106" i="1"/>
  <c r="AX262" i="1"/>
  <c r="BG148" i="1"/>
  <c r="BG47" i="1"/>
  <c r="BF152" i="1"/>
  <c r="AW47" i="1"/>
  <c r="AV152" i="1"/>
  <c r="AW148" i="1"/>
  <c r="AQ148" i="1"/>
  <c r="AP152" i="1"/>
  <c r="AQ47" i="1"/>
  <c r="R198" i="1"/>
  <c r="BB109" i="1"/>
  <c r="BB110" i="1"/>
  <c r="BB108" i="1"/>
  <c r="AY148" i="1"/>
  <c r="AX152" i="1"/>
  <c r="AY47" i="1"/>
  <c r="BN262" i="1"/>
  <c r="BN106" i="1"/>
  <c r="BF220" i="1"/>
  <c r="BF182" i="1"/>
  <c r="BP263" i="1"/>
  <c r="BP220" i="1"/>
  <c r="BP182" i="1"/>
  <c r="BR143" i="1"/>
  <c r="BS263" i="1"/>
  <c r="BS220" i="1"/>
  <c r="BR182" i="1"/>
  <c r="BQ47" i="1"/>
  <c r="BP152" i="1"/>
  <c r="BQ148" i="1"/>
  <c r="BC223" i="1"/>
  <c r="BB262" i="1"/>
  <c r="AX182" i="1"/>
  <c r="AX143" i="1"/>
  <c r="BO216" i="1"/>
  <c r="BP216" i="1"/>
  <c r="BO220" i="1"/>
  <c r="BO263" i="1"/>
  <c r="BN263" i="1"/>
  <c r="BN220" i="1"/>
  <c r="BT216" i="1"/>
  <c r="BS216" i="1"/>
  <c r="BD220" i="1"/>
  <c r="BE263" i="1"/>
  <c r="BE220" i="1"/>
  <c r="BD182" i="1"/>
  <c r="BD263" i="1"/>
  <c r="BG263" i="1"/>
  <c r="BH263" i="1"/>
  <c r="BP200" i="1"/>
  <c r="BP203" i="1" s="1"/>
  <c r="BR220" i="1"/>
  <c r="AY220" i="1"/>
  <c r="AY263" i="1"/>
  <c r="BS223" i="1"/>
  <c r="BR262" i="1"/>
  <c r="BT106" i="1"/>
  <c r="BT262" i="1"/>
  <c r="BF263" i="1"/>
  <c r="BF143" i="1"/>
  <c r="BF106" i="1"/>
  <c r="BF262" i="1"/>
  <c r="BP110" i="1"/>
  <c r="BQ263" i="1"/>
  <c r="BP262" i="1"/>
  <c r="BP143" i="1"/>
  <c r="BP171" i="1"/>
  <c r="BG220" i="1"/>
  <c r="BQ220" i="1"/>
  <c r="BP109" i="1"/>
  <c r="BB196" i="1"/>
  <c r="BB171" i="1"/>
  <c r="BD196" i="1"/>
  <c r="BD171" i="1"/>
  <c r="AX196" i="1"/>
  <c r="AX171" i="1"/>
  <c r="BF196" i="1"/>
  <c r="BF171" i="1"/>
  <c r="BR196" i="1"/>
  <c r="BR200" i="1" s="1"/>
  <c r="BR171" i="1"/>
  <c r="AP42" i="1"/>
  <c r="AP32" i="1"/>
  <c r="AP31" i="1"/>
  <c r="AR31" i="1"/>
  <c r="AW246" i="1"/>
  <c r="AW247" i="1" s="1"/>
  <c r="AW43" i="1"/>
  <c r="AW48" i="1"/>
  <c r="AW52" i="1" s="1"/>
  <c r="BR42" i="1"/>
  <c r="BR31" i="1"/>
  <c r="AX33" i="1"/>
  <c r="AX31" i="1"/>
  <c r="AX42" i="1"/>
  <c r="AT109" i="1"/>
  <c r="AT110" i="1"/>
  <c r="AT108" i="1"/>
  <c r="BR110" i="1"/>
  <c r="BR108" i="1"/>
  <c r="BR109" i="1"/>
  <c r="CR208" i="1"/>
  <c r="CR146" i="1"/>
  <c r="CQ217" i="1"/>
  <c r="CQ215" i="1" s="1"/>
  <c r="AB220" i="1"/>
  <c r="DB77" i="1"/>
  <c r="DA79" i="1"/>
  <c r="Q212" i="1" l="1"/>
  <c r="Q213" i="1" s="1"/>
  <c r="BH179" i="1"/>
  <c r="BH180" i="1" s="1"/>
  <c r="D219" i="1"/>
  <c r="N212" i="1"/>
  <c r="N213" i="1" s="1"/>
  <c r="J180" i="1"/>
  <c r="D125" i="1"/>
  <c r="D128" i="1" s="1"/>
  <c r="F195" i="1"/>
  <c r="T217" i="1"/>
  <c r="T215" i="1" s="1"/>
  <c r="F124" i="1"/>
  <c r="F127" i="1" s="1"/>
  <c r="F125" i="1"/>
  <c r="F128" i="1" s="1"/>
  <c r="C212" i="1"/>
  <c r="C213" i="1" s="1"/>
  <c r="D83" i="1"/>
  <c r="D82" i="1"/>
  <c r="AQ263" i="1"/>
  <c r="AR220" i="1"/>
  <c r="AR263" i="1"/>
  <c r="AS220" i="1"/>
  <c r="AS263" i="1"/>
  <c r="AR182" i="1"/>
  <c r="AS51" i="1" s="1"/>
  <c r="AR143" i="1"/>
  <c r="AR260" i="1"/>
  <c r="BU47" i="1"/>
  <c r="BT152" i="1"/>
  <c r="BU148" i="1"/>
  <c r="BE47" i="1"/>
  <c r="BE148" i="1"/>
  <c r="BD152" i="1"/>
  <c r="AT196" i="1"/>
  <c r="AT171" i="1"/>
  <c r="AO263" i="1"/>
  <c r="AO220" i="1"/>
  <c r="AN263" i="1"/>
  <c r="AN220" i="1"/>
  <c r="AN143" i="1"/>
  <c r="AN182" i="1"/>
  <c r="AR199" i="1"/>
  <c r="AR171" i="1"/>
  <c r="AR179" i="1" s="1"/>
  <c r="BA148" i="1"/>
  <c r="BA47" i="1"/>
  <c r="AZ152" i="1"/>
  <c r="AR262" i="1"/>
  <c r="AR258" i="1"/>
  <c r="AT152" i="1"/>
  <c r="AU47" i="1"/>
  <c r="AU148" i="1"/>
  <c r="BD106" i="1"/>
  <c r="BD262" i="1"/>
  <c r="AW263" i="1"/>
  <c r="AW220" i="1"/>
  <c r="BV263" i="1"/>
  <c r="BU263" i="1"/>
  <c r="BU220" i="1"/>
  <c r="BV220" i="1"/>
  <c r="BT182" i="1"/>
  <c r="BT263" i="1"/>
  <c r="BT220" i="1"/>
  <c r="AP216" i="1"/>
  <c r="AO216" i="1"/>
  <c r="AZ182" i="1"/>
  <c r="AZ263" i="1"/>
  <c r="AZ143" i="1"/>
  <c r="AZ220" i="1"/>
  <c r="AN198" i="1"/>
  <c r="AT143" i="1"/>
  <c r="AT263" i="1"/>
  <c r="AT220" i="1"/>
  <c r="AT182" i="1"/>
  <c r="BD143" i="1"/>
  <c r="AV106" i="1"/>
  <c r="AV262" i="1"/>
  <c r="AQ220" i="1"/>
  <c r="AP220" i="1"/>
  <c r="AP263" i="1"/>
  <c r="BB220" i="1"/>
  <c r="BA263" i="1"/>
  <c r="BB263" i="1"/>
  <c r="BA220" i="1"/>
  <c r="AU220" i="1"/>
  <c r="AU263" i="1"/>
  <c r="AQ223" i="1"/>
  <c r="AP262" i="1"/>
  <c r="AZ106" i="1"/>
  <c r="AZ262" i="1"/>
  <c r="AP182" i="1"/>
  <c r="AP143" i="1"/>
  <c r="AP109" i="1"/>
  <c r="AP108" i="1"/>
  <c r="AP110" i="1"/>
  <c r="AP199" i="1"/>
  <c r="AP171" i="1"/>
  <c r="AV143" i="1"/>
  <c r="AV196" i="1"/>
  <c r="AV200" i="1" s="1"/>
  <c r="AV171" i="1"/>
  <c r="BT196" i="1"/>
  <c r="BT171" i="1"/>
  <c r="BN196" i="1"/>
  <c r="BN171" i="1"/>
  <c r="AZ196" i="1"/>
  <c r="AZ171" i="1"/>
  <c r="AM100" i="1"/>
  <c r="AM99" i="1"/>
  <c r="AM101" i="1"/>
  <c r="BQ31" i="1"/>
  <c r="BQ48" i="1"/>
  <c r="BQ52" i="1" s="1"/>
  <c r="BQ43" i="1"/>
  <c r="BQ246" i="1"/>
  <c r="BQ247" i="1" s="1"/>
  <c r="AS31" i="1"/>
  <c r="AS42" i="1"/>
  <c r="AW32" i="1"/>
  <c r="AS33" i="1"/>
  <c r="BN198" i="1"/>
  <c r="BS33" i="1"/>
  <c r="BD31" i="1"/>
  <c r="BD42" i="1"/>
  <c r="BD32" i="1"/>
  <c r="BT33" i="1"/>
  <c r="BO42" i="1"/>
  <c r="BS32" i="1"/>
  <c r="BO31" i="1"/>
  <c r="BA43" i="1"/>
  <c r="BA246" i="1"/>
  <c r="BA247" i="1" s="1"/>
  <c r="BA48" i="1"/>
  <c r="BA52" i="1" s="1"/>
  <c r="BA44" i="1"/>
  <c r="BV123" i="1"/>
  <c r="BW51" i="1"/>
  <c r="BS31" i="1"/>
  <c r="BC42" i="1"/>
  <c r="BC31" i="1"/>
  <c r="BR33" i="1"/>
  <c r="BG32" i="1"/>
  <c r="BG42" i="1"/>
  <c r="AN42" i="1"/>
  <c r="AN32" i="1"/>
  <c r="AN33" i="1"/>
  <c r="AV42" i="1"/>
  <c r="AV32" i="1"/>
  <c r="BT42" i="1"/>
  <c r="BT31" i="1"/>
  <c r="BI33" i="1"/>
  <c r="BV260" i="1"/>
  <c r="AO32" i="1"/>
  <c r="AO42" i="1"/>
  <c r="AO31" i="1"/>
  <c r="AS32" i="1"/>
  <c r="BH260" i="1"/>
  <c r="BH258" i="1"/>
  <c r="AQ42" i="1"/>
  <c r="AQ32" i="1"/>
  <c r="AQ31" i="1"/>
  <c r="AR33" i="1"/>
  <c r="BI152" i="1"/>
  <c r="BJ217" i="1" s="1"/>
  <c r="BJ215" i="1" s="1"/>
  <c r="BB31" i="1"/>
  <c r="BB42" i="1"/>
  <c r="BB33" i="1"/>
  <c r="BS42" i="1"/>
  <c r="AQ33" i="1"/>
  <c r="BG31" i="1"/>
  <c r="AO33" i="1"/>
  <c r="AR32" i="1"/>
  <c r="AN31" i="1"/>
  <c r="AV31" i="1"/>
  <c r="AW33" i="1"/>
  <c r="AZ32" i="1"/>
  <c r="BX32" i="1"/>
  <c r="BV258" i="1"/>
  <c r="O73" i="1"/>
  <c r="BJ47" i="1"/>
  <c r="BF32" i="1"/>
  <c r="BT198" i="1"/>
  <c r="AZ198" i="1"/>
  <c r="BA33" i="1"/>
  <c r="I219" i="1"/>
  <c r="Q179" i="1"/>
  <c r="S212" i="1"/>
  <c r="S213" i="1" s="1"/>
  <c r="M219" i="1"/>
  <c r="L219" i="1"/>
  <c r="Q219" i="1"/>
  <c r="AZ42" i="1"/>
  <c r="BA264" i="1" s="1"/>
  <c r="AZ31" i="1"/>
  <c r="BO33" i="1"/>
  <c r="K212" i="1"/>
  <c r="K213" i="1" s="1"/>
  <c r="U219" i="1"/>
  <c r="BE32" i="1"/>
  <c r="AT198" i="1"/>
  <c r="D212" i="1"/>
  <c r="D213" i="1" s="1"/>
  <c r="AV198" i="1"/>
  <c r="V219" i="1"/>
  <c r="BA31" i="1"/>
  <c r="O212" i="1"/>
  <c r="O213" i="1" s="1"/>
  <c r="N179" i="1"/>
  <c r="BA32" i="1"/>
  <c r="K179" i="1"/>
  <c r="K180" i="1" s="1"/>
  <c r="L217" i="1"/>
  <c r="L215" i="1" s="1"/>
  <c r="M179" i="1"/>
  <c r="R219" i="1"/>
  <c r="G180" i="1"/>
  <c r="R217" i="1"/>
  <c r="R215" i="1" s="1"/>
  <c r="E212" i="1"/>
  <c r="E213" i="1" s="1"/>
  <c r="K219" i="1"/>
  <c r="U109" i="1"/>
  <c r="U110" i="1"/>
  <c r="U108" i="1"/>
  <c r="P179" i="1"/>
  <c r="P180" i="1" s="1"/>
  <c r="P258" i="1"/>
  <c r="P260" i="1"/>
  <c r="K217" i="1"/>
  <c r="K215" i="1" s="1"/>
  <c r="J125" i="1"/>
  <c r="J128" i="1" s="1"/>
  <c r="G125" i="1"/>
  <c r="G128" i="1" s="1"/>
  <c r="G124" i="1"/>
  <c r="G127" i="1" s="1"/>
  <c r="D179" i="1"/>
  <c r="H212" i="1"/>
  <c r="H213" i="1" s="1"/>
  <c r="I179" i="1"/>
  <c r="I180" i="1" s="1"/>
  <c r="C124" i="1"/>
  <c r="C127" i="1" s="1"/>
  <c r="C125" i="1"/>
  <c r="C128" i="1" s="1"/>
  <c r="N217" i="1"/>
  <c r="N215" i="1" s="1"/>
  <c r="M258" i="1"/>
  <c r="M260" i="1"/>
  <c r="L195" i="1"/>
  <c r="L200" i="1"/>
  <c r="O179" i="1"/>
  <c r="P217" i="1"/>
  <c r="P215" i="1" s="1"/>
  <c r="O200" i="1"/>
  <c r="O198" i="1"/>
  <c r="R200" i="1"/>
  <c r="AV182" i="1"/>
  <c r="AV263" i="1"/>
  <c r="AO148" i="1"/>
  <c r="AO47" i="1"/>
  <c r="AN152" i="1"/>
  <c r="AN260" i="1" s="1"/>
  <c r="AV220" i="1"/>
  <c r="BT143" i="1"/>
  <c r="BN152" i="1"/>
  <c r="BO148" i="1"/>
  <c r="BO47" i="1"/>
  <c r="AX220" i="1"/>
  <c r="AX263" i="1"/>
  <c r="AN196" i="1"/>
  <c r="AN171" i="1"/>
  <c r="K124" i="1"/>
  <c r="K127" i="1" s="1"/>
  <c r="K125" i="1"/>
  <c r="K128" i="1" s="1"/>
  <c r="K109" i="1"/>
  <c r="K110" i="1"/>
  <c r="K108" i="1"/>
  <c r="H195" i="1"/>
  <c r="H200" i="1"/>
  <c r="D200" i="1"/>
  <c r="I212" i="1"/>
  <c r="I213" i="1" s="1"/>
  <c r="R212" i="1"/>
  <c r="R213" i="1" s="1"/>
  <c r="J198" i="1"/>
  <c r="J200" i="1"/>
  <c r="P219" i="1"/>
  <c r="K258" i="1"/>
  <c r="K260" i="1"/>
  <c r="P109" i="1"/>
  <c r="P110" i="1"/>
  <c r="U124" i="1"/>
  <c r="U127" i="1" s="1"/>
  <c r="P125" i="1"/>
  <c r="P128" i="1" s="1"/>
  <c r="P124" i="1"/>
  <c r="P127" i="1" s="1"/>
  <c r="P200" i="1"/>
  <c r="P195" i="1"/>
  <c r="Q260" i="1"/>
  <c r="Q258" i="1"/>
  <c r="Q217" i="1"/>
  <c r="Q215" i="1" s="1"/>
  <c r="Q198" i="1"/>
  <c r="I198" i="1"/>
  <c r="V109" i="1"/>
  <c r="V108" i="1"/>
  <c r="V110" i="1"/>
  <c r="BV110" i="1"/>
  <c r="BV109" i="1"/>
  <c r="BV108" i="1"/>
  <c r="AP33" i="1"/>
  <c r="AM68" i="1"/>
  <c r="AM221" i="1"/>
  <c r="AM219" i="1" s="1"/>
  <c r="AM69" i="1"/>
  <c r="AM106" i="1"/>
  <c r="BI31" i="1"/>
  <c r="BM32" i="1"/>
  <c r="BI42" i="1"/>
  <c r="BJ33" i="1"/>
  <c r="BM31" i="1"/>
  <c r="BQ32" i="1"/>
  <c r="BM42" i="1"/>
  <c r="BM33" i="1"/>
  <c r="BF31" i="1"/>
  <c r="BJ32" i="1"/>
  <c r="BC33" i="1"/>
  <c r="AU33" i="1"/>
  <c r="AV33" i="1"/>
  <c r="AU42" i="1"/>
  <c r="BD33" i="1"/>
  <c r="S73" i="1"/>
  <c r="BC32" i="1"/>
  <c r="BA45" i="1"/>
  <c r="BH123" i="1"/>
  <c r="BI51" i="1"/>
  <c r="BH42" i="1"/>
  <c r="BH31" i="1"/>
  <c r="BL32" i="1"/>
  <c r="BH32" i="1"/>
  <c r="BB32" i="1"/>
  <c r="AX32" i="1"/>
  <c r="BR32" i="1"/>
  <c r="BN42" i="1"/>
  <c r="U73" i="1"/>
  <c r="BN31" i="1"/>
  <c r="BN33" i="1"/>
  <c r="AR246" i="1"/>
  <c r="AR247" i="1" s="1"/>
  <c r="BG33" i="1"/>
  <c r="BH33" i="1"/>
  <c r="BK32" i="1"/>
  <c r="T73" i="1"/>
  <c r="BW31" i="1"/>
  <c r="BT32" i="1"/>
  <c r="BW152" i="1"/>
  <c r="BX47" i="1"/>
  <c r="AR48" i="1"/>
  <c r="AR52" i="1" s="1"/>
  <c r="AY33" i="1"/>
  <c r="BV179" i="1"/>
  <c r="BV180" i="1" s="1"/>
  <c r="R73" i="1"/>
  <c r="P108" i="1"/>
  <c r="J212" i="1"/>
  <c r="J213" i="1" s="1"/>
  <c r="G212" i="1"/>
  <c r="G213" i="1" s="1"/>
  <c r="S180" i="1"/>
  <c r="F212" i="1"/>
  <c r="F213" i="1" s="1"/>
  <c r="N260" i="1"/>
  <c r="N258" i="1"/>
  <c r="L124" i="1"/>
  <c r="L127" i="1" s="1"/>
  <c r="E124" i="1"/>
  <c r="E127" i="1" s="1"/>
  <c r="BP42" i="1"/>
  <c r="BP32" i="1"/>
  <c r="BP31" i="1"/>
  <c r="BQ33" i="1"/>
  <c r="BE42" i="1"/>
  <c r="AU32" i="1"/>
  <c r="BW32" i="1"/>
  <c r="Q73" i="1"/>
  <c r="V73" i="1"/>
  <c r="BP33" i="1"/>
  <c r="AJ33" i="1"/>
  <c r="AI31" i="1"/>
  <c r="AM32" i="1"/>
  <c r="AI42" i="1"/>
  <c r="BH110" i="1"/>
  <c r="BH108" i="1"/>
  <c r="BH109" i="1"/>
  <c r="L212" i="1"/>
  <c r="L213" i="1" s="1"/>
  <c r="AY32" i="1"/>
  <c r="T179" i="1"/>
  <c r="T180" i="1" s="1"/>
  <c r="C180" i="1"/>
  <c r="U217" i="1"/>
  <c r="U215" i="1" s="1"/>
  <c r="M212" i="1"/>
  <c r="M213" i="1" s="1"/>
  <c r="U212" i="1"/>
  <c r="U213" i="1" s="1"/>
  <c r="BF43" i="1"/>
  <c r="BJ44" i="1"/>
  <c r="T260" i="1"/>
  <c r="T258" i="1"/>
  <c r="AY42" i="1"/>
  <c r="AY31" i="1"/>
  <c r="AZ33" i="1"/>
  <c r="I200" i="1"/>
  <c r="I195" i="1"/>
  <c r="H125" i="1"/>
  <c r="H128" i="1" s="1"/>
  <c r="H124" i="1"/>
  <c r="H127" i="1" s="1"/>
  <c r="Q125" i="1"/>
  <c r="Q128" i="1" s="1"/>
  <c r="Q124" i="1"/>
  <c r="Q127" i="1" s="1"/>
  <c r="F198" i="1"/>
  <c r="F200" i="1"/>
  <c r="K198" i="1"/>
  <c r="K200" i="1"/>
  <c r="B200" i="1"/>
  <c r="B195" i="1"/>
  <c r="M124" i="1"/>
  <c r="M127" i="1" s="1"/>
  <c r="M125" i="1"/>
  <c r="M128" i="1" s="1"/>
  <c r="Q195" i="1"/>
  <c r="Q200" i="1"/>
  <c r="V179" i="1"/>
  <c r="V180" i="1" s="1"/>
  <c r="F219" i="1"/>
  <c r="F217" i="1"/>
  <c r="F215" i="1" s="1"/>
  <c r="G217" i="1"/>
  <c r="G215" i="1" s="1"/>
  <c r="H109" i="1"/>
  <c r="H110" i="1"/>
  <c r="H108" i="1"/>
  <c r="H179" i="1"/>
  <c r="H180" i="1" s="1"/>
  <c r="H260" i="1"/>
  <c r="H258" i="1"/>
  <c r="I217" i="1"/>
  <c r="I215" i="1" s="1"/>
  <c r="H217" i="1"/>
  <c r="H215" i="1" s="1"/>
  <c r="W217" i="1"/>
  <c r="W215" i="1" s="1"/>
  <c r="V258" i="1"/>
  <c r="V260" i="1"/>
  <c r="BW33" i="1"/>
  <c r="BV42" i="1"/>
  <c r="BV200" i="1"/>
  <c r="BV195" i="1"/>
  <c r="BV32" i="1"/>
  <c r="BZ32" i="1"/>
  <c r="BV31" i="1"/>
  <c r="F179" i="1"/>
  <c r="F180" i="1" s="1"/>
  <c r="S219" i="1"/>
  <c r="V212" i="1"/>
  <c r="V213" i="1" s="1"/>
  <c r="F258" i="1"/>
  <c r="F260" i="1"/>
  <c r="I109" i="1"/>
  <c r="I108" i="1"/>
  <c r="I110" i="1"/>
  <c r="S198" i="1"/>
  <c r="S200" i="1"/>
  <c r="F108" i="1"/>
  <c r="F109" i="1"/>
  <c r="F110" i="1"/>
  <c r="AT32" i="1"/>
  <c r="AT33" i="1"/>
  <c r="S108" i="1"/>
  <c r="S109" i="1"/>
  <c r="BO32" i="1"/>
  <c r="BL33" i="1"/>
  <c r="BK31" i="1"/>
  <c r="BK42" i="1"/>
  <c r="BK33" i="1"/>
  <c r="O125" i="1"/>
  <c r="O128" i="1" s="1"/>
  <c r="O124" i="1"/>
  <c r="O127" i="1" s="1"/>
  <c r="R179" i="1"/>
  <c r="R180" i="1" s="1"/>
  <c r="S217" i="1"/>
  <c r="S215" i="1" s="1"/>
  <c r="DB79" i="1"/>
  <c r="AE77" i="1"/>
  <c r="AE79" i="1" s="1"/>
  <c r="Q108" i="1"/>
  <c r="S110" i="1"/>
  <c r="BJ54" i="1"/>
  <c r="E219" i="1"/>
  <c r="U260" i="1"/>
  <c r="BE33" i="1"/>
  <c r="E180" i="1"/>
  <c r="Q110" i="1"/>
  <c r="T212" i="1"/>
  <c r="T213" i="1" s="1"/>
  <c r="N195" i="1"/>
  <c r="M217" i="1"/>
  <c r="M215" i="1" s="1"/>
  <c r="N219" i="1"/>
  <c r="J227" i="1"/>
  <c r="U258" i="1"/>
  <c r="T110" i="1"/>
  <c r="U179" i="1"/>
  <c r="U180" i="1" s="1"/>
  <c r="V200" i="1"/>
  <c r="V203" i="1" s="1"/>
  <c r="V204" i="1" s="1"/>
  <c r="C200" i="1"/>
  <c r="T108" i="1"/>
  <c r="BI32" i="1"/>
  <c r="O217" i="1"/>
  <c r="O215" i="1" s="1"/>
  <c r="N124" i="1"/>
  <c r="N127" i="1" s="1"/>
  <c r="V217" i="1"/>
  <c r="V215" i="1" s="1"/>
  <c r="L179" i="1"/>
  <c r="L180" i="1" s="1"/>
  <c r="AT31" i="1"/>
  <c r="AT42" i="1"/>
  <c r="BN32" i="1"/>
  <c r="AU31" i="1"/>
  <c r="BF246" i="1"/>
  <c r="BF247" i="1" s="1"/>
  <c r="BF33" i="1"/>
  <c r="L260" i="1"/>
  <c r="R124" i="1"/>
  <c r="R127" i="1" s="1"/>
  <c r="P73" i="1"/>
  <c r="BF48" i="1"/>
  <c r="BF52" i="1" s="1"/>
  <c r="BE31" i="1"/>
  <c r="L258" i="1"/>
  <c r="AT47" i="1"/>
  <c r="I125" i="1"/>
  <c r="I128" i="1" s="1"/>
  <c r="I124" i="1"/>
  <c r="I127" i="1" s="1"/>
  <c r="G198" i="1"/>
  <c r="L109" i="1"/>
  <c r="L108" i="1"/>
  <c r="L110" i="1"/>
  <c r="BY32" i="1"/>
  <c r="BX33" i="1"/>
  <c r="BV33" i="1"/>
  <c r="M198" i="1"/>
  <c r="BW42" i="1"/>
  <c r="CA32" i="1"/>
  <c r="BU42" i="1"/>
  <c r="BU32" i="1"/>
  <c r="E200" i="1"/>
  <c r="BU31" i="1"/>
  <c r="B82" i="1"/>
  <c r="B83" i="1"/>
  <c r="C84" i="1" s="1"/>
  <c r="E108" i="1"/>
  <c r="E109" i="1"/>
  <c r="E110" i="1"/>
  <c r="O219" i="1"/>
  <c r="N109" i="1"/>
  <c r="N110" i="1"/>
  <c r="N108" i="1"/>
  <c r="R260" i="1"/>
  <c r="R258" i="1"/>
  <c r="O108" i="1"/>
  <c r="O110" i="1"/>
  <c r="O109" i="1"/>
  <c r="B258" i="1"/>
  <c r="B180" i="1"/>
  <c r="S227" i="1"/>
  <c r="U227" i="1"/>
  <c r="U224" i="1"/>
  <c r="U225" i="1" s="1"/>
  <c r="C101" i="1"/>
  <c r="C99" i="1"/>
  <c r="C100" i="1"/>
  <c r="B103" i="1"/>
  <c r="J224" i="1"/>
  <c r="J225" i="1" s="1"/>
  <c r="G224" i="1"/>
  <c r="G225" i="1" s="1"/>
  <c r="G227" i="1"/>
  <c r="F227" i="1"/>
  <c r="F224" i="1"/>
  <c r="F225" i="1" s="1"/>
  <c r="E227" i="1"/>
  <c r="BS152" i="1"/>
  <c r="BT47" i="1"/>
  <c r="BR260" i="1"/>
  <c r="BR258" i="1"/>
  <c r="AN108" i="1"/>
  <c r="AN110" i="1"/>
  <c r="BR179" i="1"/>
  <c r="BR180" i="1" s="1"/>
  <c r="BB123" i="1"/>
  <c r="BC51" i="1"/>
  <c r="BP179" i="1"/>
  <c r="BP180" i="1" s="1"/>
  <c r="BN123" i="1"/>
  <c r="BO51" i="1"/>
  <c r="AZ47" i="1"/>
  <c r="AY152" i="1"/>
  <c r="BN110" i="1"/>
  <c r="BN109" i="1"/>
  <c r="BN108" i="1"/>
  <c r="BP123" i="1"/>
  <c r="BQ51" i="1"/>
  <c r="BB179" i="1"/>
  <c r="BB180" i="1" s="1"/>
  <c r="BF179" i="1"/>
  <c r="BF180" i="1" s="1"/>
  <c r="BF260" i="1"/>
  <c r="BF258" i="1"/>
  <c r="AP260" i="1"/>
  <c r="AP258" i="1"/>
  <c r="BG51" i="1"/>
  <c r="BF123" i="1"/>
  <c r="BD47" i="1"/>
  <c r="BC152" i="1"/>
  <c r="AW152" i="1"/>
  <c r="AX47" i="1"/>
  <c r="BS51" i="1"/>
  <c r="BR123" i="1"/>
  <c r="BR47" i="1"/>
  <c r="BQ152" i="1"/>
  <c r="BB260" i="1"/>
  <c r="BB258" i="1"/>
  <c r="BG152" i="1"/>
  <c r="BH47" i="1"/>
  <c r="AV258" i="1"/>
  <c r="AV260" i="1"/>
  <c r="AX260" i="1"/>
  <c r="AX258" i="1"/>
  <c r="AR108" i="1"/>
  <c r="AR110" i="1"/>
  <c r="AR109" i="1"/>
  <c r="AX110" i="1"/>
  <c r="AX109" i="1"/>
  <c r="AX108" i="1"/>
  <c r="AQ152" i="1"/>
  <c r="AR47" i="1"/>
  <c r="BE51" i="1"/>
  <c r="BD123" i="1"/>
  <c r="U203" i="1"/>
  <c r="U204" i="1" s="1"/>
  <c r="AX179" i="1"/>
  <c r="AX180" i="1" s="1"/>
  <c r="BP260" i="1"/>
  <c r="BP258" i="1"/>
  <c r="AY51" i="1"/>
  <c r="AX123" i="1"/>
  <c r="M203" i="1"/>
  <c r="M204" i="1" s="1"/>
  <c r="N203" i="1"/>
  <c r="N204" i="1" s="1"/>
  <c r="AX195" i="1"/>
  <c r="AX200" i="1"/>
  <c r="BF195" i="1"/>
  <c r="BF200" i="1"/>
  <c r="BJ203" i="1" s="1"/>
  <c r="BT110" i="1"/>
  <c r="BT109" i="1"/>
  <c r="BT108" i="1"/>
  <c r="BF109" i="1"/>
  <c r="BF110" i="1"/>
  <c r="BF108" i="1"/>
  <c r="BR195" i="1"/>
  <c r="BB200" i="1"/>
  <c r="BB195" i="1"/>
  <c r="BD195" i="1"/>
  <c r="BD200" i="1"/>
  <c r="BX217" i="1"/>
  <c r="BX215" i="1" s="1"/>
  <c r="BW217" i="1"/>
  <c r="BW215" i="1" s="1"/>
  <c r="AP43" i="1"/>
  <c r="AP44" i="1"/>
  <c r="AP246" i="1"/>
  <c r="AP247" i="1" s="1"/>
  <c r="AP48" i="1"/>
  <c r="AP52" i="1" s="1"/>
  <c r="AS217" i="1"/>
  <c r="AS215" i="1" s="1"/>
  <c r="BF264" i="1"/>
  <c r="BF265" i="1" s="1"/>
  <c r="BE44" i="1"/>
  <c r="BQ45" i="1"/>
  <c r="BP43" i="1"/>
  <c r="BP44" i="1"/>
  <c r="BP246" i="1"/>
  <c r="BP247" i="1" s="1"/>
  <c r="BP48" i="1"/>
  <c r="BP52" i="1" s="1"/>
  <c r="BQ264" i="1"/>
  <c r="BQ265" i="1" s="1"/>
  <c r="BE246" i="1"/>
  <c r="BE247" i="1" s="1"/>
  <c r="BE43" i="1"/>
  <c r="BE48" i="1"/>
  <c r="BE52" i="1" s="1"/>
  <c r="BF45" i="1"/>
  <c r="BH124" i="1"/>
  <c r="BH125" i="1"/>
  <c r="AJ45" i="1"/>
  <c r="AL126" i="1"/>
  <c r="AI43" i="1"/>
  <c r="AM44" i="1"/>
  <c r="AI48" i="1"/>
  <c r="N74" i="1"/>
  <c r="AL240" i="1"/>
  <c r="AI246" i="1"/>
  <c r="AI247" i="1" s="1"/>
  <c r="BR264" i="1"/>
  <c r="BR265" i="1" s="1"/>
  <c r="BR43" i="1"/>
  <c r="BR45" i="1"/>
  <c r="BR246" i="1"/>
  <c r="BR247" i="1" s="1"/>
  <c r="BR48" i="1"/>
  <c r="BL44" i="1"/>
  <c r="BH43" i="1"/>
  <c r="BH48" i="1"/>
  <c r="BH52" i="1" s="1"/>
  <c r="BH246" i="1"/>
  <c r="BH247" i="1" s="1"/>
  <c r="BI264" i="1"/>
  <c r="BI265" i="1" s="1"/>
  <c r="BI45" i="1"/>
  <c r="BN48" i="1"/>
  <c r="BR44" i="1"/>
  <c r="BN43" i="1"/>
  <c r="BN45" i="1"/>
  <c r="BN246" i="1"/>
  <c r="BN247" i="1" s="1"/>
  <c r="BN264" i="1"/>
  <c r="BN265" i="1" s="1"/>
  <c r="BN44" i="1"/>
  <c r="AX264" i="1"/>
  <c r="AX246" i="1"/>
  <c r="AX247" i="1" s="1"/>
  <c r="AX48" i="1"/>
  <c r="AX45" i="1"/>
  <c r="AX43" i="1"/>
  <c r="AR55" i="1"/>
  <c r="AR54" i="1"/>
  <c r="BJ248" i="1"/>
  <c r="BJ56" i="1"/>
  <c r="BJ259" i="1" s="1"/>
  <c r="BJ62" i="1"/>
  <c r="AW54" i="1"/>
  <c r="AW55" i="1"/>
  <c r="CR148" i="1"/>
  <c r="AE156" i="1"/>
  <c r="AC138" i="1"/>
  <c r="BD44" i="1" l="1"/>
  <c r="BT200" i="1"/>
  <c r="AZ195" i="1"/>
  <c r="AQ45" i="1"/>
  <c r="AT217" i="1"/>
  <c r="AT215" i="1" s="1"/>
  <c r="AW44" i="1"/>
  <c r="AS126" i="1"/>
  <c r="BD264" i="1"/>
  <c r="BD265" i="1" s="1"/>
  <c r="O74" i="1"/>
  <c r="BV124" i="1"/>
  <c r="AQ126" i="1"/>
  <c r="AR240" i="1"/>
  <c r="BI217" i="1"/>
  <c r="BI215" i="1" s="1"/>
  <c r="BC240" i="1"/>
  <c r="BG43" i="1"/>
  <c r="BG264" i="1"/>
  <c r="BG265" i="1" s="1"/>
  <c r="BG246" i="1"/>
  <c r="BG247" i="1" s="1"/>
  <c r="BH264" i="1"/>
  <c r="BH265" i="1" s="1"/>
  <c r="AN48" i="1"/>
  <c r="AN43" i="1"/>
  <c r="AO45" i="1"/>
  <c r="BO240" i="1"/>
  <c r="BB45" i="1"/>
  <c r="AQ48" i="1"/>
  <c r="AO246" i="1"/>
  <c r="AO247" i="1" s="1"/>
  <c r="AO264" i="1"/>
  <c r="AO265" i="1" s="1"/>
  <c r="BQ55" i="1"/>
  <c r="BA54" i="1"/>
  <c r="AS45" i="1"/>
  <c r="N180" i="1"/>
  <c r="T227" i="1"/>
  <c r="D224" i="1"/>
  <c r="D225" i="1" s="1"/>
  <c r="D227" i="1"/>
  <c r="D258" i="1"/>
  <c r="D180" i="1"/>
  <c r="I224" i="1"/>
  <c r="I225" i="1" s="1"/>
  <c r="I227" i="1"/>
  <c r="D84" i="1"/>
  <c r="K224" i="1"/>
  <c r="K225" i="1" s="1"/>
  <c r="K227" i="1"/>
  <c r="P224" i="1"/>
  <c r="P225" i="1" s="1"/>
  <c r="Q227" i="1"/>
  <c r="Q224" i="1"/>
  <c r="Q225" i="1" s="1"/>
  <c r="N227" i="1"/>
  <c r="I203" i="1"/>
  <c r="I204" i="1" s="1"/>
  <c r="C224" i="1"/>
  <c r="C225" i="1" s="1"/>
  <c r="C227" i="1"/>
  <c r="D99" i="1"/>
  <c r="D100" i="1"/>
  <c r="D101" i="1"/>
  <c r="C103" i="1"/>
  <c r="E84" i="1"/>
  <c r="AR180" i="1"/>
  <c r="BT179" i="1"/>
  <c r="AZ179" i="1"/>
  <c r="AZ180" i="1" s="1"/>
  <c r="BT260" i="1"/>
  <c r="BT258" i="1"/>
  <c r="BA152" i="1"/>
  <c r="BB47" i="1"/>
  <c r="AZ258" i="1"/>
  <c r="AZ260" i="1"/>
  <c r="BE152" i="1"/>
  <c r="BF47" i="1"/>
  <c r="BD258" i="1"/>
  <c r="BD260" i="1"/>
  <c r="AU51" i="1"/>
  <c r="AT123" i="1"/>
  <c r="AP179" i="1"/>
  <c r="AP180" i="1" s="1"/>
  <c r="BD179" i="1"/>
  <c r="BD180" i="1" s="1"/>
  <c r="BV47" i="1"/>
  <c r="BU152" i="1"/>
  <c r="AT200" i="1"/>
  <c r="AT195" i="1"/>
  <c r="AO51" i="1"/>
  <c r="AN123" i="1"/>
  <c r="AR200" i="1"/>
  <c r="AR198" i="1"/>
  <c r="AV47" i="1"/>
  <c r="AU152" i="1"/>
  <c r="BD109" i="1"/>
  <c r="BD108" i="1"/>
  <c r="BD110" i="1"/>
  <c r="BU51" i="1"/>
  <c r="BT123" i="1"/>
  <c r="AV110" i="1"/>
  <c r="AV108" i="1"/>
  <c r="AV109" i="1"/>
  <c r="AV179" i="1"/>
  <c r="AV180" i="1" s="1"/>
  <c r="AT179" i="1"/>
  <c r="AT180" i="1" s="1"/>
  <c r="AT260" i="1"/>
  <c r="AT258" i="1"/>
  <c r="AP123" i="1"/>
  <c r="AQ51" i="1"/>
  <c r="AZ123" i="1"/>
  <c r="BA51" i="1"/>
  <c r="AZ109" i="1"/>
  <c r="AZ110" i="1"/>
  <c r="AZ108" i="1"/>
  <c r="AP200" i="1"/>
  <c r="AP203" i="1" s="1"/>
  <c r="AP198" i="1"/>
  <c r="AV195" i="1"/>
  <c r="BN195" i="1"/>
  <c r="BN200" i="1"/>
  <c r="BT195" i="1"/>
  <c r="AZ200" i="1"/>
  <c r="AZ203" i="1" s="1"/>
  <c r="AQ264" i="1"/>
  <c r="AQ265" i="1" s="1"/>
  <c r="AS246" i="1"/>
  <c r="AS247" i="1" s="1"/>
  <c r="AS48" i="1"/>
  <c r="AS52" i="1" s="1"/>
  <c r="AS264" i="1"/>
  <c r="AS265" i="1" s="1"/>
  <c r="AS43" i="1"/>
  <c r="AS240" i="1"/>
  <c r="AP45" i="1"/>
  <c r="BD48" i="1"/>
  <c r="BD52" i="1" s="1"/>
  <c r="BD43" i="1"/>
  <c r="BD246" i="1"/>
  <c r="BD247" i="1" s="1"/>
  <c r="BE264" i="1"/>
  <c r="BE265" i="1" s="1"/>
  <c r="BO43" i="1"/>
  <c r="BO48" i="1"/>
  <c r="BO52" i="1" s="1"/>
  <c r="BO246" i="1"/>
  <c r="BO247" i="1" s="1"/>
  <c r="BP45" i="1"/>
  <c r="BT240" i="1"/>
  <c r="V74" i="1"/>
  <c r="BT126" i="1"/>
  <c r="AP240" i="1"/>
  <c r="BD240" i="1"/>
  <c r="AV48" i="1"/>
  <c r="AV43" i="1"/>
  <c r="AW45" i="1"/>
  <c r="BG126" i="1"/>
  <c r="BG48" i="1"/>
  <c r="BJ240" i="1"/>
  <c r="BH44" i="1"/>
  <c r="AN264" i="1"/>
  <c r="AN265" i="1" s="1"/>
  <c r="AO240" i="1"/>
  <c r="AN246" i="1"/>
  <c r="AN247" i="1" s="1"/>
  <c r="AO126" i="1"/>
  <c r="BO264" i="1"/>
  <c r="BO265" i="1" s="1"/>
  <c r="BP126" i="1"/>
  <c r="BF44" i="1"/>
  <c r="BB43" i="1"/>
  <c r="AR45" i="1"/>
  <c r="AR126" i="1"/>
  <c r="BX44" i="1"/>
  <c r="BA55" i="1"/>
  <c r="AQ240" i="1"/>
  <c r="AW264" i="1"/>
  <c r="AW265" i="1" s="1"/>
  <c r="BI240" i="1"/>
  <c r="BH45" i="1"/>
  <c r="AN240" i="1"/>
  <c r="BP240" i="1"/>
  <c r="BO45" i="1"/>
  <c r="BQ240" i="1"/>
  <c r="BB44" i="1"/>
  <c r="AQ43" i="1"/>
  <c r="AO48" i="1"/>
  <c r="AO52" i="1" s="1"/>
  <c r="AO54" i="1" s="1"/>
  <c r="AS44" i="1"/>
  <c r="BE45" i="1"/>
  <c r="BP264" i="1"/>
  <c r="BP265" i="1" s="1"/>
  <c r="BT264" i="1"/>
  <c r="BT265" i="1" s="1"/>
  <c r="BC45" i="1"/>
  <c r="BS45" i="1"/>
  <c r="BR126" i="1"/>
  <c r="BC126" i="1"/>
  <c r="AV246" i="1"/>
  <c r="AV247" i="1" s="1"/>
  <c r="T74" i="1"/>
  <c r="BI126" i="1"/>
  <c r="BG240" i="1"/>
  <c r="AN45" i="1"/>
  <c r="AN44" i="1"/>
  <c r="BQ126" i="1"/>
  <c r="BO126" i="1"/>
  <c r="BD126" i="1"/>
  <c r="BE240" i="1"/>
  <c r="AQ246" i="1"/>
  <c r="AQ247" i="1" s="1"/>
  <c r="AR264" i="1"/>
  <c r="AR265" i="1" s="1"/>
  <c r="BT48" i="1"/>
  <c r="BT246" i="1"/>
  <c r="BT247" i="1" s="1"/>
  <c r="AV44" i="1"/>
  <c r="BQ54" i="1"/>
  <c r="BV125" i="1"/>
  <c r="BS44" i="1"/>
  <c r="BS48" i="1"/>
  <c r="BS52" i="1" s="1"/>
  <c r="BS43" i="1"/>
  <c r="BS246" i="1"/>
  <c r="BS247" i="1" s="1"/>
  <c r="BS264" i="1"/>
  <c r="BS265" i="1" s="1"/>
  <c r="BD45" i="1"/>
  <c r="BG44" i="1"/>
  <c r="BF126" i="1"/>
  <c r="BC48" i="1"/>
  <c r="BC43" i="1"/>
  <c r="BC246" i="1"/>
  <c r="BC247" i="1" s="1"/>
  <c r="BF240" i="1"/>
  <c r="BS126" i="1"/>
  <c r="BR240" i="1"/>
  <c r="BT45" i="1"/>
  <c r="AP264" i="1"/>
  <c r="AP265" i="1" s="1"/>
  <c r="AP126" i="1"/>
  <c r="AZ44" i="1"/>
  <c r="BH240" i="1"/>
  <c r="BJ126" i="1"/>
  <c r="BH126" i="1"/>
  <c r="BG45" i="1"/>
  <c r="AR44" i="1"/>
  <c r="AN126" i="1"/>
  <c r="BB48" i="1"/>
  <c r="BB246" i="1"/>
  <c r="BB247" i="1" s="1"/>
  <c r="BB264" i="1"/>
  <c r="BB265" i="1" s="1"/>
  <c r="BC264" i="1"/>
  <c r="BC265" i="1" s="1"/>
  <c r="BE126" i="1"/>
  <c r="AQ44" i="1"/>
  <c r="AO44" i="1"/>
  <c r="AO43" i="1"/>
  <c r="BT43" i="1"/>
  <c r="BT44" i="1"/>
  <c r="AZ43" i="1"/>
  <c r="AZ246" i="1"/>
  <c r="AZ247" i="1" s="1"/>
  <c r="AZ48" i="1"/>
  <c r="AZ52" i="1" s="1"/>
  <c r="Q180" i="1"/>
  <c r="P227" i="1"/>
  <c r="E224" i="1"/>
  <c r="E225" i="1" s="1"/>
  <c r="M227" i="1"/>
  <c r="N224" i="1"/>
  <c r="N225" i="1" s="1"/>
  <c r="O227" i="1"/>
  <c r="M180" i="1"/>
  <c r="O180" i="1"/>
  <c r="E203" i="1"/>
  <c r="E204" i="1" s="1"/>
  <c r="H224" i="1"/>
  <c r="H225" i="1" s="1"/>
  <c r="J203" i="1"/>
  <c r="J204" i="1" s="1"/>
  <c r="Q203" i="1"/>
  <c r="Q204" i="1" s="1"/>
  <c r="R224" i="1"/>
  <c r="R225" i="1" s="1"/>
  <c r="R227" i="1"/>
  <c r="L227" i="1"/>
  <c r="L224" i="1"/>
  <c r="L225" i="1" s="1"/>
  <c r="BA265" i="1"/>
  <c r="L203" i="1"/>
  <c r="L204" i="1" s="1"/>
  <c r="K203" i="1"/>
  <c r="K204" i="1" s="1"/>
  <c r="H203" i="1"/>
  <c r="H204" i="1" s="1"/>
  <c r="G203" i="1"/>
  <c r="G204" i="1" s="1"/>
  <c r="C203" i="1"/>
  <c r="C204" i="1" s="1"/>
  <c r="D203" i="1"/>
  <c r="D204" i="1" s="1"/>
  <c r="BT180" i="1"/>
  <c r="BN179" i="1"/>
  <c r="BN180" i="1" s="1"/>
  <c r="AN258" i="1"/>
  <c r="AN217" i="1"/>
  <c r="AN215" i="1" s="1"/>
  <c r="AN195" i="1"/>
  <c r="AN200" i="1"/>
  <c r="P203" i="1"/>
  <c r="P204" i="1" s="1"/>
  <c r="O203" i="1"/>
  <c r="O204" i="1" s="1"/>
  <c r="BP47" i="1"/>
  <c r="BO152" i="1"/>
  <c r="AV264" i="1"/>
  <c r="AV265" i="1" s="1"/>
  <c r="AM108" i="1"/>
  <c r="AM109" i="1"/>
  <c r="AM110" i="1"/>
  <c r="BI246" i="1"/>
  <c r="BI247" i="1" s="1"/>
  <c r="BI48" i="1"/>
  <c r="BI43" i="1"/>
  <c r="BJ45" i="1"/>
  <c r="BJ264" i="1"/>
  <c r="BJ265" i="1" s="1"/>
  <c r="BM48" i="1"/>
  <c r="BM52" i="1" s="1"/>
  <c r="BM43" i="1"/>
  <c r="BQ44" i="1"/>
  <c r="BM45" i="1"/>
  <c r="BM44" i="1"/>
  <c r="BM246" i="1"/>
  <c r="BM247" i="1" s="1"/>
  <c r="BM264" i="1"/>
  <c r="BM265" i="1" s="1"/>
  <c r="BI44" i="1"/>
  <c r="AX240" i="1"/>
  <c r="AU246" i="1"/>
  <c r="AU247" i="1" s="1"/>
  <c r="AU43" i="1"/>
  <c r="AU48" i="1"/>
  <c r="AU52" i="1" s="1"/>
  <c r="AV45" i="1"/>
  <c r="AU44" i="1"/>
  <c r="AX126" i="1"/>
  <c r="Q74" i="1"/>
  <c r="AW51" i="1"/>
  <c r="AV123" i="1"/>
  <c r="AP47" i="1"/>
  <c r="AO152" i="1"/>
  <c r="AN179" i="1"/>
  <c r="AN180" i="1" s="1"/>
  <c r="BN217" i="1"/>
  <c r="BN215" i="1" s="1"/>
  <c r="BN260" i="1"/>
  <c r="BN258" i="1"/>
  <c r="AX265" i="1"/>
  <c r="S203" i="1"/>
  <c r="S204" i="1" s="1"/>
  <c r="R203" i="1"/>
  <c r="R204" i="1" s="1"/>
  <c r="T203" i="1"/>
  <c r="T204" i="1" s="1"/>
  <c r="BA240" i="1"/>
  <c r="BS240" i="1"/>
  <c r="AY43" i="1"/>
  <c r="AY246" i="1"/>
  <c r="AY247" i="1" s="1"/>
  <c r="AY48" i="1"/>
  <c r="AY52" i="1" s="1"/>
  <c r="AZ264" i="1"/>
  <c r="AZ265" i="1" s="1"/>
  <c r="AZ45" i="1"/>
  <c r="S74" i="1"/>
  <c r="S224" i="1"/>
  <c r="S225" i="1" s="1"/>
  <c r="H227" i="1"/>
  <c r="M224" i="1"/>
  <c r="M225" i="1" s="1"/>
  <c r="V224" i="1"/>
  <c r="V225" i="1" s="1"/>
  <c r="AY44" i="1"/>
  <c r="BC44" i="1"/>
  <c r="AZ240" i="1"/>
  <c r="BA126" i="1"/>
  <c r="AY126" i="1"/>
  <c r="AY240" i="1"/>
  <c r="AY45" i="1"/>
  <c r="AY264" i="1"/>
  <c r="AY265" i="1" s="1"/>
  <c r="AZ126" i="1"/>
  <c r="BB126" i="1"/>
  <c r="BB240" i="1"/>
  <c r="R74" i="1"/>
  <c r="BV44" i="1"/>
  <c r="BY126" i="1"/>
  <c r="BY240" i="1"/>
  <c r="BZ203" i="1"/>
  <c r="BV203" i="1"/>
  <c r="BN126" i="1"/>
  <c r="BN240" i="1"/>
  <c r="BK240" i="1"/>
  <c r="AX44" i="1"/>
  <c r="P74" i="1"/>
  <c r="AV126" i="1"/>
  <c r="AT240" i="1"/>
  <c r="AT126" i="1"/>
  <c r="BX45" i="1"/>
  <c r="X74" i="1"/>
  <c r="BZ126" i="1"/>
  <c r="BZ240" i="1"/>
  <c r="BW264" i="1"/>
  <c r="BW265" i="1" s="1"/>
  <c r="BW48" i="1"/>
  <c r="BX264" i="1"/>
  <c r="BX265" i="1" s="1"/>
  <c r="BW43" i="1"/>
  <c r="CA44" i="1"/>
  <c r="BW246" i="1"/>
  <c r="BW247" i="1" s="1"/>
  <c r="BU264" i="1"/>
  <c r="BU265" i="1" s="1"/>
  <c r="BU45" i="1"/>
  <c r="BZ44" i="1"/>
  <c r="BV43" i="1"/>
  <c r="BV246" i="1"/>
  <c r="BV247" i="1" s="1"/>
  <c r="BV48" i="1"/>
  <c r="O224" i="1"/>
  <c r="O225" i="1" s="1"/>
  <c r="BL126" i="1"/>
  <c r="BO44" i="1"/>
  <c r="BK44" i="1"/>
  <c r="BK45" i="1"/>
  <c r="BK43" i="1"/>
  <c r="BL45" i="1"/>
  <c r="BK246" i="1"/>
  <c r="BK247" i="1" s="1"/>
  <c r="BK48" i="1"/>
  <c r="BK264" i="1"/>
  <c r="BK265" i="1" s="1"/>
  <c r="BL264" i="1"/>
  <c r="BL265" i="1" s="1"/>
  <c r="BL240" i="1"/>
  <c r="BM126" i="1"/>
  <c r="BM240" i="1"/>
  <c r="U74" i="1"/>
  <c r="BK126" i="1"/>
  <c r="AT44" i="1"/>
  <c r="AT264" i="1"/>
  <c r="AT265" i="1" s="1"/>
  <c r="AT45" i="1"/>
  <c r="AW240" i="1"/>
  <c r="AU240" i="1"/>
  <c r="AW126" i="1"/>
  <c r="AU264" i="1"/>
  <c r="AU265" i="1" s="1"/>
  <c r="AU126" i="1"/>
  <c r="AV240" i="1"/>
  <c r="AU45" i="1"/>
  <c r="BF55" i="1"/>
  <c r="BF54" i="1"/>
  <c r="BW45" i="1"/>
  <c r="BW44" i="1"/>
  <c r="BV45" i="1"/>
  <c r="BU44" i="1"/>
  <c r="BV264" i="1"/>
  <c r="BV265" i="1" s="1"/>
  <c r="BX240" i="1"/>
  <c r="BY44" i="1"/>
  <c r="BX126" i="1"/>
  <c r="BU246" i="1"/>
  <c r="BU247" i="1" s="1"/>
  <c r="BV240" i="1"/>
  <c r="BU43" i="1"/>
  <c r="BU48" i="1"/>
  <c r="T224" i="1"/>
  <c r="T225" i="1" s="1"/>
  <c r="V227" i="1"/>
  <c r="BU126" i="1"/>
  <c r="BV126" i="1"/>
  <c r="BW126" i="1"/>
  <c r="AT43" i="1"/>
  <c r="AT246" i="1"/>
  <c r="AT247" i="1" s="1"/>
  <c r="AT48" i="1"/>
  <c r="AT52" i="1" s="1"/>
  <c r="BW240" i="1"/>
  <c r="F203" i="1"/>
  <c r="F204" i="1" s="1"/>
  <c r="B101" i="1"/>
  <c r="B99" i="1"/>
  <c r="B100" i="1"/>
  <c r="BT217" i="1"/>
  <c r="BT215" i="1" s="1"/>
  <c r="BS217" i="1"/>
  <c r="BS215" i="1" s="1"/>
  <c r="BB125" i="1"/>
  <c r="BB124" i="1"/>
  <c r="BN125" i="1"/>
  <c r="BN124" i="1"/>
  <c r="BP124" i="1"/>
  <c r="BP127" i="1" s="1"/>
  <c r="BP125" i="1"/>
  <c r="BP128" i="1" s="1"/>
  <c r="AY217" i="1"/>
  <c r="AY215" i="1" s="1"/>
  <c r="AZ217" i="1"/>
  <c r="AZ215" i="1" s="1"/>
  <c r="BF125" i="1"/>
  <c r="BF128" i="1" s="1"/>
  <c r="BF124" i="1"/>
  <c r="BF127" i="1" s="1"/>
  <c r="BC217" i="1"/>
  <c r="BC215" i="1" s="1"/>
  <c r="BD217" i="1"/>
  <c r="BD215" i="1" s="1"/>
  <c r="AX217" i="1"/>
  <c r="AX215" i="1" s="1"/>
  <c r="AW217" i="1"/>
  <c r="AW215" i="1" s="1"/>
  <c r="BB217" i="1"/>
  <c r="BB215" i="1" s="1"/>
  <c r="BA217" i="1"/>
  <c r="BA215" i="1" s="1"/>
  <c r="BR217" i="1"/>
  <c r="BR215" i="1" s="1"/>
  <c r="BQ217" i="1"/>
  <c r="BQ215" i="1" s="1"/>
  <c r="BH217" i="1"/>
  <c r="BH215" i="1" s="1"/>
  <c r="BG217" i="1"/>
  <c r="BG215" i="1" s="1"/>
  <c r="AR217" i="1"/>
  <c r="AR215" i="1" s="1"/>
  <c r="AQ217" i="1"/>
  <c r="AQ215" i="1" s="1"/>
  <c r="AV203" i="1"/>
  <c r="BR124" i="1"/>
  <c r="BR127" i="1" s="1"/>
  <c r="BR125" i="1"/>
  <c r="BR128" i="1" s="1"/>
  <c r="BE217" i="1"/>
  <c r="BE215" i="1" s="1"/>
  <c r="BF217" i="1"/>
  <c r="BF215" i="1" s="1"/>
  <c r="AT125" i="1"/>
  <c r="AT124" i="1"/>
  <c r="AN125" i="1"/>
  <c r="AN124" i="1"/>
  <c r="AT203" i="1"/>
  <c r="AX203" i="1"/>
  <c r="BV217" i="1"/>
  <c r="BV215" i="1" s="1"/>
  <c r="BU217" i="1"/>
  <c r="BU215" i="1" s="1"/>
  <c r="AV217" i="1"/>
  <c r="AV215" i="1" s="1"/>
  <c r="AU217" i="1"/>
  <c r="AU215" i="1" s="1"/>
  <c r="BT125" i="1"/>
  <c r="BT128" i="1" s="1"/>
  <c r="BT124" i="1"/>
  <c r="BT127" i="1" s="1"/>
  <c r="BD125" i="1"/>
  <c r="BD128" i="1" s="1"/>
  <c r="BD124" i="1"/>
  <c r="BD127" i="1" s="1"/>
  <c r="AX124" i="1"/>
  <c r="AX125" i="1"/>
  <c r="AP124" i="1"/>
  <c r="AP125" i="1"/>
  <c r="AZ124" i="1"/>
  <c r="AZ125" i="1"/>
  <c r="BH203" i="1"/>
  <c r="BD203" i="1"/>
  <c r="BN203" i="1"/>
  <c r="BR203" i="1"/>
  <c r="BB203" i="1"/>
  <c r="BF203" i="1"/>
  <c r="BT203" i="1"/>
  <c r="BX203" i="1"/>
  <c r="AP54" i="1"/>
  <c r="AP55" i="1"/>
  <c r="AP57" i="1" s="1"/>
  <c r="AS54" i="1"/>
  <c r="AS55" i="1"/>
  <c r="AS58" i="1" s="1"/>
  <c r="BP54" i="1"/>
  <c r="BP55" i="1"/>
  <c r="BQ58" i="1" s="1"/>
  <c r="BE54" i="1"/>
  <c r="BE55" i="1"/>
  <c r="BD69" i="1"/>
  <c r="BD54" i="1"/>
  <c r="BD55" i="1"/>
  <c r="BO55" i="1"/>
  <c r="BO54" i="1"/>
  <c r="AL128" i="1"/>
  <c r="AL127" i="1"/>
  <c r="AI52" i="1"/>
  <c r="AL69" i="1"/>
  <c r="BC52" i="1"/>
  <c r="BF69" i="1"/>
  <c r="BR52" i="1"/>
  <c r="BR69" i="1"/>
  <c r="AR69" i="1"/>
  <c r="AP69" i="1"/>
  <c r="AO55" i="1"/>
  <c r="AR56" i="1"/>
  <c r="AR259" i="1" s="1"/>
  <c r="AR62" i="1"/>
  <c r="AR248" i="1"/>
  <c r="AX52" i="1"/>
  <c r="BN52" i="1"/>
  <c r="BH55" i="1"/>
  <c r="BH54" i="1"/>
  <c r="AQ52" i="1"/>
  <c r="BB52" i="1"/>
  <c r="AN69" i="1"/>
  <c r="AN52" i="1"/>
  <c r="BH127" i="1"/>
  <c r="BH128" i="1"/>
  <c r="AV52" i="1"/>
  <c r="BT52" i="1"/>
  <c r="BT69" i="1"/>
  <c r="BJ127" i="1"/>
  <c r="BJ128" i="1"/>
  <c r="BG52" i="1"/>
  <c r="BH69" i="1"/>
  <c r="BS54" i="1"/>
  <c r="BS55" i="1"/>
  <c r="BJ66" i="1"/>
  <c r="BJ207" i="1"/>
  <c r="BJ209" i="1" s="1"/>
  <c r="BJ80" i="1"/>
  <c r="BQ56" i="1"/>
  <c r="BQ259" i="1" s="1"/>
  <c r="BQ62" i="1"/>
  <c r="BQ248" i="1"/>
  <c r="BA248" i="1"/>
  <c r="BA56" i="1"/>
  <c r="BA259" i="1" s="1"/>
  <c r="BA62" i="1"/>
  <c r="AW62" i="1"/>
  <c r="AW248" i="1"/>
  <c r="AW56" i="1"/>
  <c r="AW259" i="1" s="1"/>
  <c r="BA57" i="1"/>
  <c r="CR152" i="1"/>
  <c r="CS46" i="1"/>
  <c r="AN128" i="1" l="1"/>
  <c r="AN127" i="1"/>
  <c r="AX127" i="1"/>
  <c r="AX128" i="1"/>
  <c r="AP127" i="1"/>
  <c r="AP128" i="1"/>
  <c r="AU55" i="1"/>
  <c r="AU54" i="1"/>
  <c r="AX69" i="1"/>
  <c r="AZ54" i="1"/>
  <c r="AZ55" i="1"/>
  <c r="AR203" i="1"/>
  <c r="BO217" i="1"/>
  <c r="BO215" i="1" s="1"/>
  <c r="BP217" i="1"/>
  <c r="BP215" i="1" s="1"/>
  <c r="AY54" i="1"/>
  <c r="AY55" i="1"/>
  <c r="BI52" i="1"/>
  <c r="BM54" i="1"/>
  <c r="BM55" i="1"/>
  <c r="AZ69" i="1"/>
  <c r="BP69" i="1"/>
  <c r="BB69" i="1"/>
  <c r="BJ69" i="1"/>
  <c r="AV124" i="1"/>
  <c r="AV125" i="1"/>
  <c r="AP217" i="1"/>
  <c r="AP215" i="1" s="1"/>
  <c r="AO217" i="1"/>
  <c r="AO215" i="1" s="1"/>
  <c r="BB128" i="1"/>
  <c r="BB127" i="1"/>
  <c r="BN128" i="1"/>
  <c r="BN127" i="1"/>
  <c r="AT128" i="1"/>
  <c r="AT127" i="1"/>
  <c r="AZ127" i="1"/>
  <c r="AZ128" i="1"/>
  <c r="BZ127" i="1"/>
  <c r="BZ128" i="1"/>
  <c r="BZ69" i="1"/>
  <c r="BW52" i="1"/>
  <c r="BK52" i="1"/>
  <c r="BL69" i="1"/>
  <c r="BN69" i="1"/>
  <c r="BX127" i="1"/>
  <c r="BX128" i="1"/>
  <c r="BV127" i="1"/>
  <c r="BV128" i="1"/>
  <c r="BV52" i="1"/>
  <c r="BY69" i="1"/>
  <c r="BX69" i="1"/>
  <c r="BL127" i="1"/>
  <c r="BL128" i="1"/>
  <c r="BF248" i="1"/>
  <c r="BF56" i="1"/>
  <c r="BF259" i="1" s="1"/>
  <c r="BF62" i="1"/>
  <c r="BJ57" i="1"/>
  <c r="BU52" i="1"/>
  <c r="BV69" i="1"/>
  <c r="AT55" i="1"/>
  <c r="AT54" i="1"/>
  <c r="AT69" i="1"/>
  <c r="AV69" i="1"/>
  <c r="AT57" i="1"/>
  <c r="AP248" i="1"/>
  <c r="AP62" i="1"/>
  <c r="AP56" i="1"/>
  <c r="AP259" i="1" s="1"/>
  <c r="AS62" i="1"/>
  <c r="AS56" i="1"/>
  <c r="AS259" i="1" s="1"/>
  <c r="AS248" i="1"/>
  <c r="AT58" i="1"/>
  <c r="AW57" i="1"/>
  <c r="BP62" i="1"/>
  <c r="BP57" i="1"/>
  <c r="BP248" i="1"/>
  <c r="BP56" i="1"/>
  <c r="BP259" i="1" s="1"/>
  <c r="BE56" i="1"/>
  <c r="BE259" i="1" s="1"/>
  <c r="BE62" i="1"/>
  <c r="BE248" i="1"/>
  <c r="BF58" i="1"/>
  <c r="BC55" i="1"/>
  <c r="BC54" i="1"/>
  <c r="BS57" i="1"/>
  <c r="BE57" i="1"/>
  <c r="BD62" i="1"/>
  <c r="BD248" i="1"/>
  <c r="BD56" i="1"/>
  <c r="BD259" i="1" s="1"/>
  <c r="BE58" i="1"/>
  <c r="BO248" i="1"/>
  <c r="BO56" i="1"/>
  <c r="BO259" i="1" s="1"/>
  <c r="BO62" i="1"/>
  <c r="BP58" i="1"/>
  <c r="AI55" i="1"/>
  <c r="AI54" i="1"/>
  <c r="AP58" i="1"/>
  <c r="AO62" i="1"/>
  <c r="BR55" i="1"/>
  <c r="BR54" i="1"/>
  <c r="AO57" i="1"/>
  <c r="BH57" i="1"/>
  <c r="AO248" i="1"/>
  <c r="AS57" i="1"/>
  <c r="AO56" i="1"/>
  <c r="AO259" i="1" s="1"/>
  <c r="BN55" i="1"/>
  <c r="BN54" i="1"/>
  <c r="AQ55" i="1"/>
  <c r="AQ54" i="1"/>
  <c r="AR66" i="1"/>
  <c r="AR207" i="1"/>
  <c r="AR209" i="1" s="1"/>
  <c r="AR80" i="1"/>
  <c r="BT55" i="1"/>
  <c r="BT54" i="1"/>
  <c r="AV54" i="1"/>
  <c r="AV55" i="1"/>
  <c r="AN55" i="1"/>
  <c r="AN54" i="1"/>
  <c r="BH62" i="1"/>
  <c r="BL57" i="1"/>
  <c r="BH248" i="1"/>
  <c r="BH56" i="1"/>
  <c r="BH259" i="1" s="1"/>
  <c r="AX55" i="1"/>
  <c r="AX54" i="1"/>
  <c r="BG54" i="1"/>
  <c r="BG55" i="1"/>
  <c r="BB55" i="1"/>
  <c r="BB54" i="1"/>
  <c r="BS248" i="1"/>
  <c r="BS56" i="1"/>
  <c r="BS259" i="1" s="1"/>
  <c r="BS62" i="1"/>
  <c r="BQ207" i="1"/>
  <c r="BQ209" i="1" s="1"/>
  <c r="BQ133" i="1"/>
  <c r="BQ134" i="1" s="1"/>
  <c r="BQ80" i="1"/>
  <c r="BQ66" i="1"/>
  <c r="AW207" i="1"/>
  <c r="AW209" i="1" s="1"/>
  <c r="AW80" i="1"/>
  <c r="AW133" i="1"/>
  <c r="AW134" i="1" s="1"/>
  <c r="AW66" i="1"/>
  <c r="BA66" i="1"/>
  <c r="BA207" i="1"/>
  <c r="BA209" i="1" s="1"/>
  <c r="BA80" i="1"/>
  <c r="BA133" i="1"/>
  <c r="BA134" i="1" s="1"/>
  <c r="CS208" i="1"/>
  <c r="CS146" i="1"/>
  <c r="CR217" i="1"/>
  <c r="CR215" i="1" s="1"/>
  <c r="AC139" i="1"/>
  <c r="AC142" i="1" s="1"/>
  <c r="AC263" i="1" s="1"/>
  <c r="AV127" i="1" l="1"/>
  <c r="AV128" i="1"/>
  <c r="AU56" i="1"/>
  <c r="AU259" i="1" s="1"/>
  <c r="AU248" i="1"/>
  <c r="AU62" i="1"/>
  <c r="AU241" i="1"/>
  <c r="AU58" i="1"/>
  <c r="BA58" i="1"/>
  <c r="AZ56" i="1"/>
  <c r="AZ259" i="1" s="1"/>
  <c r="AZ62" i="1"/>
  <c r="AZ248" i="1"/>
  <c r="AY248" i="1"/>
  <c r="AY56" i="1"/>
  <c r="AY259" i="1" s="1"/>
  <c r="AZ58" i="1"/>
  <c r="AY62" i="1"/>
  <c r="BI55" i="1"/>
  <c r="BI58" i="1" s="1"/>
  <c r="BI54" i="1"/>
  <c r="BM62" i="1"/>
  <c r="BM58" i="1"/>
  <c r="BM248" i="1"/>
  <c r="BQ57" i="1"/>
  <c r="BM56" i="1"/>
  <c r="BM259" i="1" s="1"/>
  <c r="BD57" i="1"/>
  <c r="AY57" i="1"/>
  <c r="BK54" i="1"/>
  <c r="BK55" i="1"/>
  <c r="BW54" i="1"/>
  <c r="BW55" i="1"/>
  <c r="BW57" i="1" s="1"/>
  <c r="BU55" i="1"/>
  <c r="BU54" i="1"/>
  <c r="BV54" i="1"/>
  <c r="BV55" i="1"/>
  <c r="BF66" i="1"/>
  <c r="BF207" i="1"/>
  <c r="BF209" i="1" s="1"/>
  <c r="BF80" i="1"/>
  <c r="AT62" i="1"/>
  <c r="AT248" i="1"/>
  <c r="AT56" i="1"/>
  <c r="AT259" i="1" s="1"/>
  <c r="AP207" i="1"/>
  <c r="AP209" i="1" s="1"/>
  <c r="AP80" i="1"/>
  <c r="AP66" i="1"/>
  <c r="BS58" i="1"/>
  <c r="BS241" i="1"/>
  <c r="AS66" i="1"/>
  <c r="AS133" i="1"/>
  <c r="AS134" i="1" s="1"/>
  <c r="AS207" i="1"/>
  <c r="AS209" i="1" s="1"/>
  <c r="AS80" i="1"/>
  <c r="BP66" i="1"/>
  <c r="BP207" i="1"/>
  <c r="BP209" i="1" s="1"/>
  <c r="BP80" i="1"/>
  <c r="BE80" i="1"/>
  <c r="BE207" i="1"/>
  <c r="BE209" i="1" s="1"/>
  <c r="BE66" i="1"/>
  <c r="BE133" i="1"/>
  <c r="BE134" i="1" s="1"/>
  <c r="BF241" i="1"/>
  <c r="BD58" i="1"/>
  <c r="BC57" i="1"/>
  <c r="BC62" i="1"/>
  <c r="BC248" i="1"/>
  <c r="BC56" i="1"/>
  <c r="BC259" i="1" s="1"/>
  <c r="BD66" i="1"/>
  <c r="BD207" i="1"/>
  <c r="BD209" i="1" s="1"/>
  <c r="BD80" i="1"/>
  <c r="BO66" i="1"/>
  <c r="BO80" i="1"/>
  <c r="BO207" i="1"/>
  <c r="BO209" i="1" s="1"/>
  <c r="BO133" i="1"/>
  <c r="BO134" i="1" s="1"/>
  <c r="AI56" i="1"/>
  <c r="AI248" i="1"/>
  <c r="AJ58" i="1"/>
  <c r="AM57" i="1"/>
  <c r="AI62" i="1"/>
  <c r="AL241" i="1"/>
  <c r="AO207" i="1"/>
  <c r="AO209" i="1" s="1"/>
  <c r="AO80" i="1"/>
  <c r="AO133" i="1"/>
  <c r="AO134" i="1" s="1"/>
  <c r="AO66" i="1"/>
  <c r="BR56" i="1"/>
  <c r="BR259" i="1" s="1"/>
  <c r="BR248" i="1"/>
  <c r="BR62" i="1"/>
  <c r="BR221" i="1" s="1"/>
  <c r="BR219" i="1" s="1"/>
  <c r="BR58" i="1"/>
  <c r="BR241" i="1"/>
  <c r="AN56" i="1"/>
  <c r="AN259" i="1" s="1"/>
  <c r="AQ241" i="1"/>
  <c r="AO58" i="1"/>
  <c r="AN241" i="1"/>
  <c r="AN57" i="1"/>
  <c r="AP241" i="1"/>
  <c r="AR57" i="1"/>
  <c r="AO241" i="1"/>
  <c r="AN62" i="1"/>
  <c r="AN58" i="1"/>
  <c r="AN248" i="1"/>
  <c r="BX57" i="1"/>
  <c r="BT56" i="1"/>
  <c r="BT259" i="1" s="1"/>
  <c r="BT248" i="1"/>
  <c r="BT62" i="1"/>
  <c r="BT57" i="1"/>
  <c r="AZ57" i="1"/>
  <c r="AV56" i="1"/>
  <c r="AV259" i="1" s="1"/>
  <c r="AV248" i="1"/>
  <c r="AV62" i="1"/>
  <c r="AY241" i="1"/>
  <c r="AW241" i="1"/>
  <c r="AW58" i="1"/>
  <c r="AV57" i="1"/>
  <c r="AV58" i="1"/>
  <c r="AX241" i="1"/>
  <c r="AV241" i="1"/>
  <c r="AR58" i="1"/>
  <c r="AQ57" i="1"/>
  <c r="AQ248" i="1"/>
  <c r="AQ62" i="1"/>
  <c r="AQ56" i="1"/>
  <c r="AQ259" i="1" s="1"/>
  <c r="AQ58" i="1"/>
  <c r="AU57" i="1"/>
  <c r="AT241" i="1"/>
  <c r="AS241" i="1"/>
  <c r="AR241" i="1"/>
  <c r="BN248" i="1"/>
  <c r="BR57" i="1"/>
  <c r="BN62" i="1"/>
  <c r="BQ68" i="1" s="1"/>
  <c r="BN57" i="1"/>
  <c r="BN56" i="1"/>
  <c r="BN259" i="1" s="1"/>
  <c r="BO58" i="1"/>
  <c r="BQ241" i="1"/>
  <c r="BN58" i="1"/>
  <c r="BO241" i="1"/>
  <c r="BP241" i="1"/>
  <c r="BB56" i="1"/>
  <c r="BB259" i="1" s="1"/>
  <c r="BF57" i="1"/>
  <c r="BB248" i="1"/>
  <c r="BB62" i="1"/>
  <c r="BB221" i="1" s="1"/>
  <c r="BB219" i="1" s="1"/>
  <c r="BC58" i="1"/>
  <c r="BD241" i="1"/>
  <c r="BB241" i="1"/>
  <c r="BB58" i="1"/>
  <c r="BC241" i="1"/>
  <c r="BE241" i="1"/>
  <c r="BB57" i="1"/>
  <c r="AX62" i="1"/>
  <c r="AX248" i="1"/>
  <c r="AX56" i="1"/>
  <c r="AX259" i="1" s="1"/>
  <c r="AZ241" i="1"/>
  <c r="AX58" i="1"/>
  <c r="AY58" i="1"/>
  <c r="AX57" i="1"/>
  <c r="BA241" i="1"/>
  <c r="BH66" i="1"/>
  <c r="BH80" i="1"/>
  <c r="BH207" i="1"/>
  <c r="BH209" i="1" s="1"/>
  <c r="BT241" i="1"/>
  <c r="BT58" i="1"/>
  <c r="BG62" i="1"/>
  <c r="BH241" i="1"/>
  <c r="BG57" i="1"/>
  <c r="BG56" i="1"/>
  <c r="BG259" i="1" s="1"/>
  <c r="BH58" i="1"/>
  <c r="BG241" i="1"/>
  <c r="BG248" i="1"/>
  <c r="BG58" i="1"/>
  <c r="BS207" i="1"/>
  <c r="BS209" i="1" s="1"/>
  <c r="BS66" i="1"/>
  <c r="BS133" i="1"/>
  <c r="BS134" i="1" s="1"/>
  <c r="BS80" i="1"/>
  <c r="BQ221" i="1"/>
  <c r="BQ219" i="1" s="1"/>
  <c r="BQ143" i="1"/>
  <c r="BQ69" i="1" s="1"/>
  <c r="BQ106" i="1"/>
  <c r="AW143" i="1"/>
  <c r="AW69" i="1" s="1"/>
  <c r="AW221" i="1"/>
  <c r="AW219" i="1" s="1"/>
  <c r="AW106" i="1"/>
  <c r="BA221" i="1"/>
  <c r="BA219" i="1" s="1"/>
  <c r="BA106" i="1"/>
  <c r="BA143" i="1"/>
  <c r="BA69" i="1" s="1"/>
  <c r="CS148" i="1"/>
  <c r="AC220" i="1"/>
  <c r="CA240" i="1"/>
  <c r="CB240" i="1"/>
  <c r="BU240" i="1"/>
  <c r="AY207" i="1" l="1"/>
  <c r="AY209" i="1" s="1"/>
  <c r="AY80" i="1"/>
  <c r="AY133" i="1"/>
  <c r="AY134" i="1" s="1"/>
  <c r="AY66" i="1"/>
  <c r="BI57" i="1"/>
  <c r="BK241" i="1"/>
  <c r="BM80" i="1"/>
  <c r="BM66" i="1"/>
  <c r="BM57" i="1"/>
  <c r="BL241" i="1"/>
  <c r="BI62" i="1"/>
  <c r="BI248" i="1"/>
  <c r="BJ58" i="1"/>
  <c r="BI56" i="1"/>
  <c r="BI259" i="1" s="1"/>
  <c r="BM133" i="1"/>
  <c r="BM134" i="1" s="1"/>
  <c r="BM207" i="1"/>
  <c r="BM209" i="1" s="1"/>
  <c r="AU66" i="1"/>
  <c r="AU80" i="1"/>
  <c r="AU207" i="1"/>
  <c r="AU209" i="1" s="1"/>
  <c r="AU133" i="1"/>
  <c r="AU134" i="1" s="1"/>
  <c r="BN241" i="1"/>
  <c r="BK57" i="1"/>
  <c r="BJ241" i="1"/>
  <c r="BI241" i="1"/>
  <c r="X75" i="1"/>
  <c r="CA57" i="1"/>
  <c r="BW56" i="1"/>
  <c r="BW259" i="1" s="1"/>
  <c r="BZ241" i="1"/>
  <c r="AZ207" i="1"/>
  <c r="AZ209" i="1" s="1"/>
  <c r="AZ66" i="1"/>
  <c r="AZ80" i="1"/>
  <c r="BW248" i="1"/>
  <c r="BX58" i="1"/>
  <c r="BW62" i="1"/>
  <c r="BV57" i="1"/>
  <c r="BU58" i="1"/>
  <c r="BO57" i="1"/>
  <c r="BM241" i="1"/>
  <c r="BK248" i="1"/>
  <c r="BK58" i="1"/>
  <c r="BK56" i="1"/>
  <c r="BK259" i="1" s="1"/>
  <c r="BK62" i="1"/>
  <c r="BL58" i="1"/>
  <c r="BU57" i="1"/>
  <c r="BU62" i="1"/>
  <c r="BU248" i="1"/>
  <c r="BU56" i="1"/>
  <c r="BU259" i="1" s="1"/>
  <c r="BY57" i="1"/>
  <c r="BV58" i="1"/>
  <c r="BV248" i="1"/>
  <c r="BV62" i="1"/>
  <c r="BV56" i="1"/>
  <c r="BV259" i="1" s="1"/>
  <c r="BZ57" i="1"/>
  <c r="BW241" i="1"/>
  <c r="BV241" i="1"/>
  <c r="BX241" i="1"/>
  <c r="BW58" i="1"/>
  <c r="BY241" i="1"/>
  <c r="AT80" i="1"/>
  <c r="AU83" i="1" s="1"/>
  <c r="AT207" i="1"/>
  <c r="AT209" i="1" s="1"/>
  <c r="AT66" i="1"/>
  <c r="AY106" i="1"/>
  <c r="AY221" i="1"/>
  <c r="AY219" i="1" s="1"/>
  <c r="AY143" i="1"/>
  <c r="AY69" i="1" s="1"/>
  <c r="AZ221" i="1"/>
  <c r="AZ219" i="1" s="1"/>
  <c r="AS221" i="1"/>
  <c r="AS219" i="1" s="1"/>
  <c r="AS106" i="1"/>
  <c r="AS143" i="1"/>
  <c r="AS69" i="1" s="1"/>
  <c r="AT221" i="1"/>
  <c r="AT219" i="1" s="1"/>
  <c r="AO68" i="1"/>
  <c r="BL68" i="1"/>
  <c r="BI66" i="1"/>
  <c r="BI207" i="1"/>
  <c r="BI209" i="1" s="1"/>
  <c r="BI80" i="1"/>
  <c r="BI133" i="1"/>
  <c r="BI134" i="1" s="1"/>
  <c r="BM68" i="1"/>
  <c r="BM221" i="1"/>
  <c r="BM219" i="1" s="1"/>
  <c r="BM143" i="1"/>
  <c r="BM69" i="1" s="1"/>
  <c r="BM106" i="1"/>
  <c r="AX221" i="1"/>
  <c r="AX219" i="1" s="1"/>
  <c r="BA68" i="1"/>
  <c r="BF221" i="1"/>
  <c r="BF219" i="1" s="1"/>
  <c r="BE106" i="1"/>
  <c r="BE143" i="1"/>
  <c r="BE69" i="1" s="1"/>
  <c r="BE221" i="1"/>
  <c r="BE219" i="1" s="1"/>
  <c r="S75" i="1"/>
  <c r="BF68" i="1"/>
  <c r="BC80" i="1"/>
  <c r="BF83" i="1" s="1"/>
  <c r="BC133" i="1"/>
  <c r="BC134" i="1" s="1"/>
  <c r="BC207" i="1"/>
  <c r="BC209" i="1" s="1"/>
  <c r="BC66" i="1"/>
  <c r="BO221" i="1"/>
  <c r="BO219" i="1" s="1"/>
  <c r="BO143" i="1"/>
  <c r="BO69" i="1" s="1"/>
  <c r="BP221" i="1"/>
  <c r="BP219" i="1" s="1"/>
  <c r="BO106" i="1"/>
  <c r="AI80" i="1"/>
  <c r="AL83" i="1" s="1"/>
  <c r="AI66" i="1"/>
  <c r="AL68" i="1"/>
  <c r="N75" i="1"/>
  <c r="AI221" i="1"/>
  <c r="AI219" i="1" s="1"/>
  <c r="AI207" i="1"/>
  <c r="AI209" i="1" s="1"/>
  <c r="AI213" i="1" s="1"/>
  <c r="AI227" i="1" s="1"/>
  <c r="AP221" i="1"/>
  <c r="AP219" i="1" s="1"/>
  <c r="AO106" i="1"/>
  <c r="AO143" i="1"/>
  <c r="AO69" i="1" s="1"/>
  <c r="AO221" i="1"/>
  <c r="AO219" i="1" s="1"/>
  <c r="BT68" i="1"/>
  <c r="BR66" i="1"/>
  <c r="BR207" i="1"/>
  <c r="BR209" i="1" s="1"/>
  <c r="BR80" i="1"/>
  <c r="BR68" i="1"/>
  <c r="V75" i="1"/>
  <c r="AW68" i="1"/>
  <c r="BO68" i="1"/>
  <c r="BN66" i="1"/>
  <c r="BN80" i="1"/>
  <c r="BN207" i="1"/>
  <c r="BN209" i="1" s="1"/>
  <c r="BP68" i="1"/>
  <c r="AV207" i="1"/>
  <c r="AV209" i="1" s="1"/>
  <c r="AV66" i="1"/>
  <c r="AV80" i="1"/>
  <c r="AV68" i="1"/>
  <c r="Q75" i="1"/>
  <c r="AX68" i="1"/>
  <c r="BT207" i="1"/>
  <c r="BT209" i="1" s="1"/>
  <c r="BT66" i="1"/>
  <c r="BT80" i="1"/>
  <c r="AX66" i="1"/>
  <c r="AX80" i="1"/>
  <c r="AX207" i="1"/>
  <c r="AX209" i="1" s="1"/>
  <c r="AZ68" i="1"/>
  <c r="BB80" i="1"/>
  <c r="BB66" i="1"/>
  <c r="BB207" i="1"/>
  <c r="BB209" i="1" s="1"/>
  <c r="BB68" i="1"/>
  <c r="R75" i="1"/>
  <c r="BD68" i="1"/>
  <c r="BE68" i="1"/>
  <c r="AQ133" i="1"/>
  <c r="AQ134" i="1" s="1"/>
  <c r="AQ207" i="1"/>
  <c r="AQ209" i="1" s="1"/>
  <c r="AQ66" i="1"/>
  <c r="AQ80" i="1"/>
  <c r="AS68" i="1"/>
  <c r="AR68" i="1"/>
  <c r="AT68" i="1"/>
  <c r="P75" i="1"/>
  <c r="BG66" i="1"/>
  <c r="BG80" i="1"/>
  <c r="BG133" i="1"/>
  <c r="BG134" i="1" s="1"/>
  <c r="BH68" i="1"/>
  <c r="BG207" i="1"/>
  <c r="BG209" i="1" s="1"/>
  <c r="AN66" i="1"/>
  <c r="AP68" i="1"/>
  <c r="AN80" i="1"/>
  <c r="AN207" i="1"/>
  <c r="AN209" i="1" s="1"/>
  <c r="AN68" i="1"/>
  <c r="O75" i="1"/>
  <c r="AN221" i="1"/>
  <c r="AN219" i="1" s="1"/>
  <c r="BT221" i="1"/>
  <c r="BT219" i="1" s="1"/>
  <c r="BS106" i="1"/>
  <c r="BS143" i="1"/>
  <c r="BS69" i="1" s="1"/>
  <c r="BS221" i="1"/>
  <c r="BS219" i="1" s="1"/>
  <c r="BS68" i="1"/>
  <c r="BQ108" i="1"/>
  <c r="BQ109" i="1"/>
  <c r="BQ110" i="1"/>
  <c r="BA109" i="1"/>
  <c r="BA108" i="1"/>
  <c r="BA110" i="1"/>
  <c r="AW109" i="1"/>
  <c r="AW108" i="1"/>
  <c r="AW110" i="1"/>
  <c r="CS152" i="1"/>
  <c r="CT46" i="1"/>
  <c r="AD138" i="1"/>
  <c r="W73" i="1"/>
  <c r="AU106" i="1" l="1"/>
  <c r="AU221" i="1"/>
  <c r="AU219" i="1" s="1"/>
  <c r="AU143" i="1"/>
  <c r="AU69" i="1" s="1"/>
  <c r="AU68" i="1"/>
  <c r="AV221" i="1"/>
  <c r="AV219" i="1" s="1"/>
  <c r="AY68" i="1"/>
  <c r="BN221" i="1"/>
  <c r="BN219" i="1" s="1"/>
  <c r="BW66" i="1"/>
  <c r="BZ68" i="1"/>
  <c r="BW80" i="1"/>
  <c r="BJ68" i="1"/>
  <c r="T75" i="1"/>
  <c r="BW133" i="1"/>
  <c r="BW134" i="1" s="1"/>
  <c r="BY68" i="1"/>
  <c r="BW207" i="1"/>
  <c r="BW209" i="1" s="1"/>
  <c r="BX68" i="1"/>
  <c r="BK80" i="1"/>
  <c r="BK133" i="1"/>
  <c r="BK134" i="1" s="1"/>
  <c r="BK207" i="1"/>
  <c r="BK209" i="1" s="1"/>
  <c r="BK66" i="1"/>
  <c r="BU80" i="1"/>
  <c r="BU207" i="1"/>
  <c r="BU209" i="1" s="1"/>
  <c r="BU66" i="1"/>
  <c r="BU133" i="1"/>
  <c r="BU134" i="1" s="1"/>
  <c r="BN68" i="1"/>
  <c r="U75" i="1"/>
  <c r="BV221" i="1"/>
  <c r="BV219" i="1" s="1"/>
  <c r="BV68" i="1"/>
  <c r="BV207" i="1"/>
  <c r="BV209" i="1" s="1"/>
  <c r="BV80" i="1"/>
  <c r="BV66" i="1"/>
  <c r="AU101" i="1"/>
  <c r="AU100" i="1"/>
  <c r="AQ103" i="1"/>
  <c r="AU99" i="1"/>
  <c r="AY108" i="1"/>
  <c r="AY109" i="1"/>
  <c r="AY110" i="1"/>
  <c r="BL83" i="1"/>
  <c r="BK83" i="1"/>
  <c r="BR83" i="1"/>
  <c r="BR100" i="1" s="1"/>
  <c r="BT83" i="1"/>
  <c r="BS83" i="1"/>
  <c r="AS109" i="1"/>
  <c r="AS110" i="1"/>
  <c r="AS108" i="1"/>
  <c r="BI106" i="1"/>
  <c r="BI143" i="1"/>
  <c r="BI69" i="1" s="1"/>
  <c r="BI221" i="1"/>
  <c r="BI219" i="1" s="1"/>
  <c r="BI68" i="1"/>
  <c r="BJ221" i="1"/>
  <c r="BJ219" i="1" s="1"/>
  <c r="AI224" i="1"/>
  <c r="AI225" i="1" s="1"/>
  <c r="BM109" i="1"/>
  <c r="BM110" i="1"/>
  <c r="BM108" i="1"/>
  <c r="BE108" i="1"/>
  <c r="BE110" i="1"/>
  <c r="BE109" i="1"/>
  <c r="BC221" i="1"/>
  <c r="BC219" i="1" s="1"/>
  <c r="BC143" i="1"/>
  <c r="BC69" i="1" s="1"/>
  <c r="BC106" i="1"/>
  <c r="BC68" i="1"/>
  <c r="BD221" i="1"/>
  <c r="BD219" i="1" s="1"/>
  <c r="BB103" i="1"/>
  <c r="BF99" i="1"/>
  <c r="BF101" i="1"/>
  <c r="BF100" i="1"/>
  <c r="BO108" i="1"/>
  <c r="BO109" i="1"/>
  <c r="BO110" i="1"/>
  <c r="AL99" i="1"/>
  <c r="AL100" i="1"/>
  <c r="AL101" i="1"/>
  <c r="AU109" i="1"/>
  <c r="AU110" i="1"/>
  <c r="AU108" i="1"/>
  <c r="AO110" i="1"/>
  <c r="AO108" i="1"/>
  <c r="AO109" i="1"/>
  <c r="BA83" i="1"/>
  <c r="AZ83" i="1"/>
  <c r="AY83" i="1"/>
  <c r="AY100" i="1" s="1"/>
  <c r="AX83" i="1"/>
  <c r="AV83" i="1"/>
  <c r="AW83" i="1"/>
  <c r="AT83" i="1"/>
  <c r="AR83" i="1"/>
  <c r="AS83" i="1"/>
  <c r="BQ83" i="1"/>
  <c r="BO83" i="1"/>
  <c r="BP83" i="1"/>
  <c r="AQ83" i="1"/>
  <c r="AN83" i="1"/>
  <c r="AP83" i="1"/>
  <c r="AO83" i="1"/>
  <c r="BJ83" i="1"/>
  <c r="BF103" i="1" s="1"/>
  <c r="BG83" i="1"/>
  <c r="BH83" i="1"/>
  <c r="BI83" i="1"/>
  <c r="BE83" i="1"/>
  <c r="BE100" i="1" s="1"/>
  <c r="BD83" i="1"/>
  <c r="BB83" i="1"/>
  <c r="BC83" i="1"/>
  <c r="BZ83" i="1"/>
  <c r="BG221" i="1"/>
  <c r="BG219" i="1" s="1"/>
  <c r="BG143" i="1"/>
  <c r="BG69" i="1" s="1"/>
  <c r="BG106" i="1"/>
  <c r="BG68" i="1"/>
  <c r="BH221" i="1"/>
  <c r="BH219" i="1" s="1"/>
  <c r="AQ143" i="1"/>
  <c r="AQ69" i="1" s="1"/>
  <c r="AQ221" i="1"/>
  <c r="AQ219" i="1" s="1"/>
  <c r="AQ106" i="1"/>
  <c r="AR221" i="1"/>
  <c r="AR219" i="1" s="1"/>
  <c r="AQ68" i="1"/>
  <c r="BS108" i="1"/>
  <c r="BS109" i="1"/>
  <c r="BS110" i="1"/>
  <c r="AC46" i="1"/>
  <c r="CT208" i="1"/>
  <c r="CT146" i="1"/>
  <c r="CS217" i="1"/>
  <c r="CS215" i="1" s="1"/>
  <c r="W74" i="1"/>
  <c r="BW221" i="1" l="1"/>
  <c r="BW219" i="1" s="1"/>
  <c r="BX221" i="1"/>
  <c r="BX219" i="1" s="1"/>
  <c r="BW143" i="1"/>
  <c r="BW69" i="1" s="1"/>
  <c r="BW68" i="1"/>
  <c r="BW106" i="1"/>
  <c r="BU83" i="1"/>
  <c r="BU99" i="1" s="1"/>
  <c r="BK143" i="1"/>
  <c r="BK69" i="1" s="1"/>
  <c r="BK221" i="1"/>
  <c r="BK219" i="1" s="1"/>
  <c r="BL221" i="1"/>
  <c r="BL219" i="1" s="1"/>
  <c r="BK106" i="1"/>
  <c r="BK68" i="1"/>
  <c r="BU68" i="1"/>
  <c r="BU143" i="1"/>
  <c r="BU69" i="1" s="1"/>
  <c r="BU106" i="1"/>
  <c r="BU221" i="1"/>
  <c r="BU219" i="1" s="1"/>
  <c r="BM83" i="1"/>
  <c r="BN83" i="1"/>
  <c r="BV83" i="1"/>
  <c r="BZ84" i="1" s="1"/>
  <c r="BW83" i="1"/>
  <c r="BY83" i="1"/>
  <c r="BX83" i="1"/>
  <c r="BL99" i="1"/>
  <c r="BL100" i="1"/>
  <c r="BN103" i="1"/>
  <c r="BR99" i="1"/>
  <c r="BR101" i="1"/>
  <c r="BV84" i="1"/>
  <c r="BP103" i="1"/>
  <c r="BT101" i="1"/>
  <c r="BT99" i="1"/>
  <c r="BT100" i="1"/>
  <c r="BS101" i="1"/>
  <c r="BO103" i="1"/>
  <c r="BS100" i="1"/>
  <c r="BS99" i="1"/>
  <c r="BH103" i="1"/>
  <c r="BL101" i="1"/>
  <c r="BK99" i="1"/>
  <c r="BK100" i="1"/>
  <c r="BK101" i="1"/>
  <c r="BG103" i="1"/>
  <c r="BT84" i="1"/>
  <c r="BV103" i="1"/>
  <c r="BI109" i="1"/>
  <c r="BI110" i="1"/>
  <c r="BI108" i="1"/>
  <c r="BQ103" i="1"/>
  <c r="BU101" i="1"/>
  <c r="BU100" i="1"/>
  <c r="BC109" i="1"/>
  <c r="BC108" i="1"/>
  <c r="BC110" i="1"/>
  <c r="AW103" i="1"/>
  <c r="BE84" i="1"/>
  <c r="BQ100" i="1"/>
  <c r="BM103" i="1"/>
  <c r="AQ100" i="1"/>
  <c r="AQ99" i="1"/>
  <c r="BA101" i="1"/>
  <c r="AX84" i="1"/>
  <c r="CD84" i="1"/>
  <c r="BZ101" i="1"/>
  <c r="AN101" i="1"/>
  <c r="AR84" i="1"/>
  <c r="AN100" i="1"/>
  <c r="AN99" i="1"/>
  <c r="BO99" i="1"/>
  <c r="BK103" i="1"/>
  <c r="BO100" i="1"/>
  <c r="BO84" i="1"/>
  <c r="BO101" i="1"/>
  <c r="AP103" i="1"/>
  <c r="BE101" i="1"/>
  <c r="BI84" i="1"/>
  <c r="BE99" i="1"/>
  <c r="BJ100" i="1"/>
  <c r="BJ84" i="1"/>
  <c r="BJ99" i="1"/>
  <c r="AU84" i="1"/>
  <c r="AQ84" i="1"/>
  <c r="AQ101" i="1"/>
  <c r="BQ99" i="1"/>
  <c r="BQ101" i="1"/>
  <c r="AW99" i="1"/>
  <c r="AW100" i="1"/>
  <c r="AS103" i="1"/>
  <c r="BA84" i="1"/>
  <c r="AW101" i="1"/>
  <c r="AV103" i="1"/>
  <c r="AZ101" i="1"/>
  <c r="AZ100" i="1"/>
  <c r="BD84" i="1"/>
  <c r="AZ99" i="1"/>
  <c r="AZ103" i="1"/>
  <c r="BD99" i="1"/>
  <c r="BH84" i="1"/>
  <c r="BD101" i="1"/>
  <c r="BD100" i="1"/>
  <c r="AY101" i="1"/>
  <c r="AU103" i="1"/>
  <c r="BC84" i="1"/>
  <c r="AY84" i="1"/>
  <c r="AT100" i="1"/>
  <c r="BJ101" i="1"/>
  <c r="AM103" i="1"/>
  <c r="BS84" i="1"/>
  <c r="BC101" i="1"/>
  <c r="AY103" i="1"/>
  <c r="BG84" i="1"/>
  <c r="BC100" i="1"/>
  <c r="BC99" i="1"/>
  <c r="BI101" i="1"/>
  <c r="BI99" i="1"/>
  <c r="BI100" i="1"/>
  <c r="BE103" i="1"/>
  <c r="AO101" i="1"/>
  <c r="AO99" i="1"/>
  <c r="AS84" i="1"/>
  <c r="AO100" i="1"/>
  <c r="BP84" i="1"/>
  <c r="BL103" i="1"/>
  <c r="BP100" i="1"/>
  <c r="BP101" i="1"/>
  <c r="BP99" i="1"/>
  <c r="AS100" i="1"/>
  <c r="AO103" i="1"/>
  <c r="AS101" i="1"/>
  <c r="AS99" i="1"/>
  <c r="AW84" i="1"/>
  <c r="AV100" i="1"/>
  <c r="AV99" i="1"/>
  <c r="AZ84" i="1"/>
  <c r="AV101" i="1"/>
  <c r="AR103" i="1"/>
  <c r="BA99" i="1"/>
  <c r="BA100" i="1"/>
  <c r="BC103" i="1"/>
  <c r="BG99" i="1"/>
  <c r="BG100" i="1"/>
  <c r="BG101" i="1"/>
  <c r="BK84" i="1"/>
  <c r="AT101" i="1"/>
  <c r="AT99" i="1"/>
  <c r="AY99" i="1"/>
  <c r="BZ100" i="1"/>
  <c r="CC104" i="1" s="1"/>
  <c r="BA103" i="1"/>
  <c r="BZ99" i="1"/>
  <c r="AX103" i="1"/>
  <c r="BF84" i="1"/>
  <c r="BB101" i="1"/>
  <c r="BB100" i="1"/>
  <c r="BB99" i="1"/>
  <c r="BH101" i="1"/>
  <c r="BH99" i="1"/>
  <c r="BD103" i="1"/>
  <c r="BL84" i="1"/>
  <c r="BH100" i="1"/>
  <c r="AT84" i="1"/>
  <c r="AP101" i="1"/>
  <c r="AP84" i="1"/>
  <c r="AL103" i="1"/>
  <c r="AP100" i="1"/>
  <c r="AP99" i="1"/>
  <c r="AN103" i="1"/>
  <c r="AR101" i="1"/>
  <c r="AR100" i="1"/>
  <c r="AR99" i="1"/>
  <c r="AV84" i="1"/>
  <c r="AX100" i="1"/>
  <c r="BB84" i="1"/>
  <c r="AX99" i="1"/>
  <c r="AT103" i="1"/>
  <c r="AX101" i="1"/>
  <c r="BW108" i="1"/>
  <c r="BW110" i="1"/>
  <c r="BW109" i="1"/>
  <c r="BG108" i="1"/>
  <c r="BG110" i="1"/>
  <c r="BG109" i="1"/>
  <c r="AQ109" i="1"/>
  <c r="AQ110" i="1"/>
  <c r="AQ108" i="1"/>
  <c r="AC208" i="1"/>
  <c r="AC146" i="1"/>
  <c r="AC148" i="1" s="1"/>
  <c r="AC47" i="1" s="1"/>
  <c r="CT148" i="1"/>
  <c r="AD139" i="1"/>
  <c r="AD142" i="1" s="1"/>
  <c r="AD263" i="1" s="1"/>
  <c r="AR123" i="1"/>
  <c r="W75" i="1"/>
  <c r="BU84" i="1" l="1"/>
  <c r="BM84" i="1"/>
  <c r="BQ84" i="1"/>
  <c r="BI103" i="1"/>
  <c r="BM99" i="1"/>
  <c r="BM101" i="1"/>
  <c r="BM100" i="1"/>
  <c r="BK109" i="1"/>
  <c r="BK108" i="1"/>
  <c r="BK110" i="1"/>
  <c r="BU109" i="1"/>
  <c r="BU110" i="1"/>
  <c r="BU108" i="1"/>
  <c r="BN84" i="1"/>
  <c r="BR84" i="1"/>
  <c r="BJ103" i="1"/>
  <c r="BN101" i="1"/>
  <c r="BN99" i="1"/>
  <c r="BN100" i="1"/>
  <c r="BW99" i="1"/>
  <c r="BW84" i="1"/>
  <c r="CA84" i="1"/>
  <c r="BS103" i="1"/>
  <c r="BW101" i="1"/>
  <c r="BW100" i="1"/>
  <c r="BY84" i="1"/>
  <c r="CC84" i="1"/>
  <c r="BY101" i="1"/>
  <c r="BU103" i="1"/>
  <c r="BY100" i="1"/>
  <c r="CB104" i="1" s="1"/>
  <c r="BY99" i="1"/>
  <c r="BX84" i="1"/>
  <c r="BX100" i="1"/>
  <c r="BT103" i="1"/>
  <c r="BX101" i="1"/>
  <c r="CB84" i="1"/>
  <c r="BX99" i="1"/>
  <c r="BV101" i="1"/>
  <c r="BV99" i="1"/>
  <c r="BV100" i="1"/>
  <c r="BV104" i="1" s="1"/>
  <c r="BR103" i="1"/>
  <c r="BT104" i="1"/>
  <c r="BH104" i="1"/>
  <c r="BM104" i="1"/>
  <c r="BG104" i="1"/>
  <c r="BB104" i="1"/>
  <c r="BI104" i="1"/>
  <c r="AW104" i="1"/>
  <c r="BL104" i="1"/>
  <c r="AZ104" i="1"/>
  <c r="AR104" i="1"/>
  <c r="AV104" i="1"/>
  <c r="BJ104" i="1"/>
  <c r="BE104" i="1"/>
  <c r="AS104" i="1"/>
  <c r="AU104" i="1"/>
  <c r="BA104" i="1"/>
  <c r="AT104" i="1"/>
  <c r="AQ104" i="1"/>
  <c r="AP104" i="1"/>
  <c r="AO104" i="1"/>
  <c r="AY104" i="1"/>
  <c r="AX104" i="1"/>
  <c r="BR104" i="1"/>
  <c r="BC104" i="1"/>
  <c r="BZ104" i="1"/>
  <c r="BF104" i="1"/>
  <c r="BS104" i="1"/>
  <c r="BD104" i="1"/>
  <c r="BK104" i="1"/>
  <c r="BQ104" i="1"/>
  <c r="BX104" i="1"/>
  <c r="BU104" i="1"/>
  <c r="CU46" i="1"/>
  <c r="CT152" i="1"/>
  <c r="AD220" i="1"/>
  <c r="AB152" i="1"/>
  <c r="AR124" i="1"/>
  <c r="AR127" i="1" s="1"/>
  <c r="AR125" i="1"/>
  <c r="AR128" i="1" s="1"/>
  <c r="CA241" i="1"/>
  <c r="CB241" i="1"/>
  <c r="W207" i="1"/>
  <c r="W209" i="1" s="1"/>
  <c r="BU241" i="1"/>
  <c r="BN104" i="1" l="1"/>
  <c r="BY104" i="1"/>
  <c r="BW104" i="1"/>
  <c r="BP104" i="1"/>
  <c r="BO104" i="1"/>
  <c r="CA104" i="1"/>
  <c r="CT217" i="1"/>
  <c r="CT215" i="1" s="1"/>
  <c r="CU208" i="1"/>
  <c r="CU146" i="1"/>
  <c r="AB217" i="1"/>
  <c r="AB215" i="1" s="1"/>
  <c r="AE138" i="1"/>
  <c r="CA103" i="1"/>
  <c r="CU148" i="1" l="1"/>
  <c r="CF103" i="1"/>
  <c r="W103" i="1"/>
  <c r="W83" i="1"/>
  <c r="W82" i="1"/>
  <c r="CU152" i="1" l="1"/>
  <c r="CV46" i="1"/>
  <c r="AE139" i="1"/>
  <c r="AE142" i="1" s="1"/>
  <c r="AE263" i="1" s="1"/>
  <c r="W84" i="1"/>
  <c r="X84" i="1"/>
  <c r="X103" i="1"/>
  <c r="W101" i="1"/>
  <c r="V103" i="1"/>
  <c r="W99" i="1"/>
  <c r="W100" i="1"/>
  <c r="CV208" i="1" l="1"/>
  <c r="CV146" i="1"/>
  <c r="CU217" i="1"/>
  <c r="CU215" i="1" s="1"/>
  <c r="AE220" i="1"/>
  <c r="AC152" i="1"/>
  <c r="W134" i="1"/>
  <c r="CV148" i="1" l="1"/>
  <c r="W68" i="1"/>
  <c r="W106" i="1"/>
  <c r="AC217" i="1"/>
  <c r="AC215" i="1" s="1"/>
  <c r="X221" i="1"/>
  <c r="X219" i="1" s="1"/>
  <c r="W221" i="1"/>
  <c r="W219" i="1" s="1"/>
  <c r="W143" i="1"/>
  <c r="W69" i="1" s="1"/>
  <c r="W189" i="1"/>
  <c r="CW46" i="1" l="1"/>
  <c r="CV152" i="1"/>
  <c r="W109" i="1"/>
  <c r="W108" i="1"/>
  <c r="W110" i="1"/>
  <c r="CV217" i="1" l="1"/>
  <c r="CV215" i="1" s="1"/>
  <c r="CW208" i="1"/>
  <c r="CW146" i="1"/>
  <c r="CW148" i="1" l="1"/>
  <c r="CW152" i="1" l="1"/>
  <c r="CX46" i="1"/>
  <c r="AD46" i="1" l="1"/>
  <c r="CX208" i="1"/>
  <c r="CX146" i="1"/>
  <c r="CW217" i="1"/>
  <c r="CW215" i="1" s="1"/>
  <c r="AD208" i="1" l="1"/>
  <c r="AD146" i="1"/>
  <c r="AD148" i="1" s="1"/>
  <c r="CX148" i="1"/>
  <c r="AD152" i="1" l="1"/>
  <c r="AD217" i="1" s="1"/>
  <c r="AD215" i="1" s="1"/>
  <c r="AD47" i="1"/>
  <c r="CX152" i="1"/>
  <c r="CY46" i="1"/>
  <c r="CY208" i="1" l="1"/>
  <c r="CY146" i="1"/>
  <c r="CX217" i="1"/>
  <c r="CX215" i="1" s="1"/>
  <c r="CY148" i="1" l="1"/>
  <c r="W194" i="1"/>
  <c r="CY152" i="1" l="1"/>
  <c r="CZ46" i="1"/>
  <c r="W197" i="1"/>
  <c r="W170" i="1"/>
  <c r="X211" i="1" s="1"/>
  <c r="CZ208" i="1" l="1"/>
  <c r="CZ146" i="1"/>
  <c r="CY217" i="1"/>
  <c r="CY215" i="1" s="1"/>
  <c r="W199" i="1"/>
  <c r="W198" i="1" s="1"/>
  <c r="W211" i="1"/>
  <c r="W162" i="1"/>
  <c r="X210" i="1" s="1"/>
  <c r="X212" i="1" s="1"/>
  <c r="X213" i="1" s="1"/>
  <c r="X227" i="1" s="1"/>
  <c r="W193" i="1"/>
  <c r="CZ148" i="1" l="1"/>
  <c r="W196" i="1"/>
  <c r="W171" i="1"/>
  <c r="W210" i="1"/>
  <c r="W212" i="1" s="1"/>
  <c r="W213" i="1" s="1"/>
  <c r="CZ152" i="1" l="1"/>
  <c r="CZ217" i="1" s="1"/>
  <c r="CZ215" i="1" s="1"/>
  <c r="DA46" i="1"/>
  <c r="W195" i="1"/>
  <c r="W200" i="1"/>
  <c r="W224" i="1"/>
  <c r="W227" i="1"/>
  <c r="DA208" i="1" l="1"/>
  <c r="DA146" i="1"/>
  <c r="W203" i="1"/>
  <c r="W204" i="1" s="1"/>
  <c r="X203" i="1"/>
  <c r="X204" i="1" s="1"/>
  <c r="DA148" i="1" l="1"/>
  <c r="W175" i="1"/>
  <c r="X223" i="1" l="1"/>
  <c r="X224" i="1" s="1"/>
  <c r="X225" i="1" s="1"/>
  <c r="W260" i="1"/>
  <c r="W262" i="1"/>
  <c r="W258" i="1"/>
  <c r="DA152" i="1"/>
  <c r="DA217" i="1" s="1"/>
  <c r="DA215" i="1" s="1"/>
  <c r="DB46" i="1"/>
  <c r="W182" i="1"/>
  <c r="W123" i="1" s="1"/>
  <c r="W179" i="1"/>
  <c r="W225" i="1"/>
  <c r="AE46" i="1" l="1"/>
  <c r="AE208" i="1" s="1"/>
  <c r="DB208" i="1"/>
  <c r="DB146" i="1"/>
  <c r="W125" i="1"/>
  <c r="W128" i="1" s="1"/>
  <c r="W124" i="1"/>
  <c r="W127" i="1" s="1"/>
  <c r="W180" i="1"/>
  <c r="DB148" i="1" l="1"/>
  <c r="DB152" i="1" s="1"/>
  <c r="DB217" i="1" s="1"/>
  <c r="DB215" i="1" s="1"/>
  <c r="AE146" i="1"/>
  <c r="AE148" i="1" s="1"/>
  <c r="C113" i="2"/>
  <c r="C112" i="2"/>
  <c r="C111" i="2"/>
  <c r="AE152" i="1" l="1"/>
  <c r="AE217" i="1" s="1"/>
  <c r="AE215" i="1" s="1"/>
  <c r="AE47" i="1"/>
  <c r="B87" i="1"/>
  <c r="B88" i="1"/>
  <c r="AK193" i="1" l="1"/>
  <c r="AK158" i="1" s="1"/>
  <c r="AM158" i="1" l="1"/>
  <c r="AO158" i="1" l="1"/>
  <c r="AQ158" i="1" l="1"/>
  <c r="AS158" i="1" l="1"/>
  <c r="AU158" i="1" l="1"/>
  <c r="AW158" i="1" l="1"/>
  <c r="AY158" i="1" l="1"/>
  <c r="BA158" i="1" l="1"/>
  <c r="BC158" i="1" l="1"/>
  <c r="BE158" i="1" l="1"/>
  <c r="BG158" i="1" l="1"/>
  <c r="BI158" i="1" l="1"/>
  <c r="BK158" i="1" l="1"/>
  <c r="BM158" i="1" l="1"/>
  <c r="BO158" i="1" l="1"/>
  <c r="BQ158" i="1" l="1"/>
  <c r="BS158" i="1" l="1"/>
  <c r="BU158" i="1" l="1"/>
  <c r="BW158" i="1" l="1"/>
  <c r="BY158" i="1" l="1"/>
  <c r="AK159" i="1" l="1"/>
  <c r="AK162" i="1" s="1"/>
  <c r="AL210" i="1" l="1"/>
  <c r="AK210" i="1"/>
  <c r="AK196" i="1"/>
  <c r="AM159" i="1"/>
  <c r="AM162" i="1" s="1"/>
  <c r="AM196" i="1" l="1"/>
  <c r="AM195" i="1" s="1"/>
  <c r="AN210" i="1"/>
  <c r="AM210" i="1"/>
  <c r="AJ195" i="1"/>
  <c r="AK195" i="1"/>
  <c r="AO159" i="1" l="1"/>
  <c r="AO162" i="1" s="1"/>
  <c r="AP210" i="1" l="1"/>
  <c r="AO196" i="1"/>
  <c r="AO195" i="1" s="1"/>
  <c r="AO210" i="1"/>
  <c r="AQ159" i="1" l="1"/>
  <c r="AQ162" i="1" s="1"/>
  <c r="AQ196" i="1" l="1"/>
  <c r="AQ195" i="1" s="1"/>
  <c r="AR210" i="1"/>
  <c r="AQ210" i="1"/>
  <c r="AS159" i="1" l="1"/>
  <c r="AS162" i="1" s="1"/>
  <c r="AT210" i="1" l="1"/>
  <c r="AS196" i="1"/>
  <c r="AS195" i="1" s="1"/>
  <c r="AS210" i="1"/>
  <c r="AU159" i="1" l="1"/>
  <c r="AU162" i="1" s="1"/>
  <c r="AU196" i="1" l="1"/>
  <c r="AU195" i="1" s="1"/>
  <c r="AV210" i="1"/>
  <c r="AU210" i="1"/>
  <c r="AW159" i="1" l="1"/>
  <c r="AW162" i="1" s="1"/>
  <c r="AW196" i="1" l="1"/>
  <c r="AW195" i="1" s="1"/>
  <c r="AX210" i="1"/>
  <c r="AW210" i="1"/>
  <c r="AY159" i="1" l="1"/>
  <c r="AY162" i="1" s="1"/>
  <c r="AY196" i="1" l="1"/>
  <c r="AY195" i="1" s="1"/>
  <c r="AZ210" i="1"/>
  <c r="AY210" i="1"/>
  <c r="BA159" i="1" l="1"/>
  <c r="BA162" i="1" s="1"/>
  <c r="BB210" i="1" l="1"/>
  <c r="BA196" i="1"/>
  <c r="BA195" i="1" s="1"/>
  <c r="BA210" i="1"/>
  <c r="BC159" i="1" l="1"/>
  <c r="BC162" i="1" s="1"/>
  <c r="BD210" i="1" l="1"/>
  <c r="BC196" i="1"/>
  <c r="BC195" i="1" s="1"/>
  <c r="BC210" i="1"/>
  <c r="BE159" i="1" l="1"/>
  <c r="BE162" i="1" s="1"/>
  <c r="BF210" i="1" l="1"/>
  <c r="BE196" i="1"/>
  <c r="BE195" i="1" s="1"/>
  <c r="BE210" i="1"/>
  <c r="BG159" i="1" l="1"/>
  <c r="BG162" i="1" s="1"/>
  <c r="BG196" i="1" l="1"/>
  <c r="BG195" i="1" s="1"/>
  <c r="BH210" i="1"/>
  <c r="BG210" i="1"/>
  <c r="BI159" i="1" l="1"/>
  <c r="BI162" i="1" s="1"/>
  <c r="BJ210" i="1" l="1"/>
  <c r="BI196" i="1"/>
  <c r="BI195" i="1" s="1"/>
  <c r="BI210" i="1"/>
  <c r="BK159" i="1" l="1"/>
  <c r="BK162" i="1" s="1"/>
  <c r="BL210" i="1" l="1"/>
  <c r="BK196" i="1"/>
  <c r="BK195" i="1" s="1"/>
  <c r="BK210" i="1"/>
  <c r="BM159" i="1" l="1"/>
  <c r="BM162" i="1" s="1"/>
  <c r="BM196" i="1" l="1"/>
  <c r="BM195" i="1" s="1"/>
  <c r="BN210" i="1"/>
  <c r="BM210" i="1"/>
  <c r="BO159" i="1" l="1"/>
  <c r="BO162" i="1" s="1"/>
  <c r="BO196" i="1" l="1"/>
  <c r="BO195" i="1" s="1"/>
  <c r="BP210" i="1"/>
  <c r="BO210" i="1"/>
  <c r="BQ159" i="1" l="1"/>
  <c r="BQ162" i="1" s="1"/>
  <c r="BR210" i="1" l="1"/>
  <c r="BQ196" i="1"/>
  <c r="BQ195" i="1" s="1"/>
  <c r="BQ210" i="1"/>
  <c r="BS159" i="1" l="1"/>
  <c r="BS162" i="1" s="1"/>
  <c r="BT210" i="1" l="1"/>
  <c r="BS196" i="1"/>
  <c r="BS195" i="1" s="1"/>
  <c r="BS210" i="1"/>
  <c r="BU159" i="1" l="1"/>
  <c r="BU162" i="1" s="1"/>
  <c r="BU196" i="1" l="1"/>
  <c r="BU195" i="1" s="1"/>
  <c r="BV210" i="1"/>
  <c r="BU210" i="1"/>
  <c r="BW159" i="1" l="1"/>
  <c r="BW162" i="1" s="1"/>
  <c r="BW196" i="1" l="1"/>
  <c r="BW195" i="1" s="1"/>
  <c r="BX210" i="1"/>
  <c r="BW210" i="1"/>
  <c r="BY159" i="1" l="1"/>
  <c r="BY162" i="1" s="1"/>
  <c r="BZ210" i="1" l="1"/>
  <c r="BY196" i="1"/>
  <c r="BY195" i="1" s="1"/>
  <c r="BY210" i="1"/>
  <c r="AK197" i="1" l="1"/>
  <c r="AK167" i="1" s="1"/>
  <c r="AK170" i="1" s="1"/>
  <c r="AK171" i="1" l="1"/>
  <c r="AK199" i="1"/>
  <c r="AL211" i="1"/>
  <c r="AL212" i="1" s="1"/>
  <c r="AL213" i="1" s="1"/>
  <c r="AL227" i="1" s="1"/>
  <c r="AK211" i="1"/>
  <c r="AK212" i="1" s="1"/>
  <c r="AK213" i="1" s="1"/>
  <c r="AM167" i="1"/>
  <c r="AM170" i="1" s="1"/>
  <c r="AK227" i="1" l="1"/>
  <c r="AK224" i="1"/>
  <c r="AK174" i="1" s="1"/>
  <c r="AK175" i="1" s="1"/>
  <c r="AK179" i="1" s="1"/>
  <c r="AK180" i="1" s="1"/>
  <c r="AN211" i="1"/>
  <c r="AN212" i="1" s="1"/>
  <c r="AN213" i="1" s="1"/>
  <c r="AN227" i="1" s="1"/>
  <c r="AM199" i="1"/>
  <c r="AM198" i="1" s="1"/>
  <c r="AM211" i="1"/>
  <c r="AM212" i="1" s="1"/>
  <c r="AM213" i="1" s="1"/>
  <c r="AM171" i="1"/>
  <c r="AJ198" i="1"/>
  <c r="AJ200" i="1"/>
  <c r="AN203" i="1" s="1"/>
  <c r="AK198" i="1"/>
  <c r="AK200" i="1"/>
  <c r="AO167" i="1"/>
  <c r="AO170" i="1" s="1"/>
  <c r="AM200" i="1" l="1"/>
  <c r="AO199" i="1"/>
  <c r="AO198" i="1" s="1"/>
  <c r="AP211" i="1"/>
  <c r="AP212" i="1" s="1"/>
  <c r="AP213" i="1" s="1"/>
  <c r="AP227" i="1" s="1"/>
  <c r="AO211" i="1"/>
  <c r="AO212" i="1" s="1"/>
  <c r="AO213" i="1" s="1"/>
  <c r="AM227" i="1"/>
  <c r="AM224" i="1"/>
  <c r="AO171" i="1"/>
  <c r="AL223" i="1" l="1"/>
  <c r="AL224" i="1" s="1"/>
  <c r="AL225" i="1" s="1"/>
  <c r="AK225" i="1"/>
  <c r="AO200" i="1"/>
  <c r="AO203" i="1" s="1"/>
  <c r="AO227" i="1"/>
  <c r="AO224" i="1"/>
  <c r="AQ167" i="1"/>
  <c r="AQ170" i="1" s="1"/>
  <c r="AK182" i="1"/>
  <c r="AL51" i="1" s="1"/>
  <c r="AM174" i="1"/>
  <c r="AM175" i="1" s="1"/>
  <c r="AM179" i="1" s="1"/>
  <c r="AN223" i="1" l="1"/>
  <c r="AN224" i="1" s="1"/>
  <c r="AN225" i="1" s="1"/>
  <c r="AM262" i="1"/>
  <c r="AM260" i="1"/>
  <c r="AM258" i="1"/>
  <c r="AQ199" i="1"/>
  <c r="AQ198" i="1" s="1"/>
  <c r="AR211" i="1"/>
  <c r="AR212" i="1" s="1"/>
  <c r="AR213" i="1" s="1"/>
  <c r="AR227" i="1" s="1"/>
  <c r="AQ211" i="1"/>
  <c r="AQ212" i="1" s="1"/>
  <c r="AQ213" i="1" s="1"/>
  <c r="AM225" i="1"/>
  <c r="AQ171" i="1"/>
  <c r="AO174" i="1"/>
  <c r="AO175" i="1" s="1"/>
  <c r="AM182" i="1"/>
  <c r="AO260" i="1" l="1"/>
  <c r="AO262" i="1"/>
  <c r="AO258" i="1"/>
  <c r="AM123" i="1"/>
  <c r="AM124" i="1" s="1"/>
  <c r="AM127" i="1" s="1"/>
  <c r="AN51" i="1"/>
  <c r="AQ200" i="1"/>
  <c r="AQ203" i="1" s="1"/>
  <c r="AQ227" i="1"/>
  <c r="AQ224" i="1"/>
  <c r="AP223" i="1"/>
  <c r="AP224" i="1" s="1"/>
  <c r="AP225" i="1" s="1"/>
  <c r="AO225" i="1"/>
  <c r="AS167" i="1"/>
  <c r="AS170" i="1" s="1"/>
  <c r="AO182" i="1"/>
  <c r="AO179" i="1"/>
  <c r="AM180" i="1"/>
  <c r="AM125" i="1" l="1"/>
  <c r="AM128" i="1" s="1"/>
  <c r="AO123" i="1"/>
  <c r="AO125" i="1" s="1"/>
  <c r="AO128" i="1" s="1"/>
  <c r="AP51" i="1"/>
  <c r="AS199" i="1"/>
  <c r="AS198" i="1" s="1"/>
  <c r="AT211" i="1"/>
  <c r="AT212" i="1" s="1"/>
  <c r="AT213" i="1" s="1"/>
  <c r="AT227" i="1" s="1"/>
  <c r="AS211" i="1"/>
  <c r="AS212" i="1" s="1"/>
  <c r="AS213" i="1" s="1"/>
  <c r="AO180" i="1"/>
  <c r="AS171" i="1"/>
  <c r="AQ174" i="1"/>
  <c r="AQ175" i="1" s="1"/>
  <c r="AQ260" i="1" l="1"/>
  <c r="AQ262" i="1"/>
  <c r="AQ258" i="1"/>
  <c r="AO124" i="1"/>
  <c r="AO127" i="1" s="1"/>
  <c r="AS200" i="1"/>
  <c r="AS203" i="1" s="1"/>
  <c r="AS227" i="1"/>
  <c r="AS224" i="1"/>
  <c r="AR223" i="1"/>
  <c r="AR224" i="1" s="1"/>
  <c r="AR225" i="1" s="1"/>
  <c r="AQ225" i="1"/>
  <c r="AQ179" i="1"/>
  <c r="AQ182" i="1"/>
  <c r="AU167" i="1"/>
  <c r="AU170" i="1" s="1"/>
  <c r="AQ123" i="1" l="1"/>
  <c r="AQ124" i="1" s="1"/>
  <c r="AQ127" i="1" s="1"/>
  <c r="AR51" i="1"/>
  <c r="AU199" i="1"/>
  <c r="AU198" i="1" s="1"/>
  <c r="AV211" i="1"/>
  <c r="AV212" i="1" s="1"/>
  <c r="AV213" i="1" s="1"/>
  <c r="AV227" i="1" s="1"/>
  <c r="AU211" i="1"/>
  <c r="AU212" i="1" s="1"/>
  <c r="AU213" i="1" s="1"/>
  <c r="AU171" i="1"/>
  <c r="AS174" i="1"/>
  <c r="AS175" i="1" s="1"/>
  <c r="AQ180" i="1"/>
  <c r="AS262" i="1" l="1"/>
  <c r="AS260" i="1"/>
  <c r="AS258" i="1"/>
  <c r="AQ125" i="1"/>
  <c r="AQ128" i="1" s="1"/>
  <c r="AU200" i="1"/>
  <c r="AU203" i="1" s="1"/>
  <c r="AU227" i="1"/>
  <c r="AU224" i="1"/>
  <c r="AT223" i="1"/>
  <c r="AT224" i="1" s="1"/>
  <c r="AT225" i="1" s="1"/>
  <c r="AS225" i="1"/>
  <c r="AS182" i="1"/>
  <c r="AS179" i="1"/>
  <c r="AW167" i="1"/>
  <c r="AW170" i="1" s="1"/>
  <c r="AS123" i="1" l="1"/>
  <c r="AS124" i="1" s="1"/>
  <c r="AS127" i="1" s="1"/>
  <c r="AT51" i="1"/>
  <c r="AW199" i="1"/>
  <c r="AW200" i="1" s="1"/>
  <c r="AW203" i="1" s="1"/>
  <c r="AX211" i="1"/>
  <c r="AX212" i="1" s="1"/>
  <c r="AX213" i="1" s="1"/>
  <c r="AX227" i="1" s="1"/>
  <c r="AW211" i="1"/>
  <c r="AW212" i="1" s="1"/>
  <c r="AW213" i="1" s="1"/>
  <c r="AU174" i="1"/>
  <c r="AU175" i="1" s="1"/>
  <c r="AS180" i="1"/>
  <c r="AW171" i="1"/>
  <c r="AU262" i="1" l="1"/>
  <c r="AU260" i="1"/>
  <c r="AU258" i="1"/>
  <c r="AS125" i="1"/>
  <c r="AS128" i="1" s="1"/>
  <c r="AW198" i="1"/>
  <c r="AW227" i="1"/>
  <c r="AW224" i="1"/>
  <c r="AV223" i="1"/>
  <c r="AV224" i="1" s="1"/>
  <c r="AV225" i="1" s="1"/>
  <c r="AU225" i="1"/>
  <c r="AU182" i="1"/>
  <c r="AU179" i="1"/>
  <c r="AY167" i="1"/>
  <c r="AY170" i="1" s="1"/>
  <c r="AU123" i="1" l="1"/>
  <c r="AU125" i="1" s="1"/>
  <c r="AU128" i="1" s="1"/>
  <c r="AV51" i="1"/>
  <c r="AY199" i="1"/>
  <c r="AY198" i="1" s="1"/>
  <c r="AZ211" i="1"/>
  <c r="AZ212" i="1" s="1"/>
  <c r="AZ213" i="1" s="1"/>
  <c r="AZ227" i="1" s="1"/>
  <c r="AY211" i="1"/>
  <c r="AY212" i="1" s="1"/>
  <c r="AY213" i="1" s="1"/>
  <c r="AW174" i="1"/>
  <c r="AW175" i="1" s="1"/>
  <c r="AY171" i="1"/>
  <c r="AU180" i="1"/>
  <c r="AW260" i="1" l="1"/>
  <c r="AW262" i="1"/>
  <c r="AW258" i="1"/>
  <c r="AU124" i="1"/>
  <c r="AU127" i="1" s="1"/>
  <c r="AY200" i="1"/>
  <c r="AY203" i="1" s="1"/>
  <c r="AY227" i="1"/>
  <c r="AY224" i="1"/>
  <c r="AX223" i="1"/>
  <c r="AX224" i="1" s="1"/>
  <c r="AX225" i="1" s="1"/>
  <c r="AW225" i="1"/>
  <c r="BA167" i="1"/>
  <c r="BA170" i="1" s="1"/>
  <c r="AW179" i="1"/>
  <c r="AW182" i="1"/>
  <c r="AW123" i="1" l="1"/>
  <c r="AW125" i="1" s="1"/>
  <c r="AW128" i="1" s="1"/>
  <c r="AX51" i="1"/>
  <c r="BB211" i="1"/>
  <c r="BB212" i="1" s="1"/>
  <c r="BB213" i="1" s="1"/>
  <c r="BB227" i="1" s="1"/>
  <c r="BA199" i="1"/>
  <c r="BA198" i="1" s="1"/>
  <c r="BA211" i="1"/>
  <c r="BA212" i="1" s="1"/>
  <c r="BA213" i="1" s="1"/>
  <c r="AW180" i="1"/>
  <c r="BA171" i="1"/>
  <c r="AY174" i="1"/>
  <c r="AY175" i="1" s="1"/>
  <c r="AY260" i="1" l="1"/>
  <c r="AY262" i="1"/>
  <c r="AY258" i="1"/>
  <c r="AW124" i="1"/>
  <c r="AW127" i="1" s="1"/>
  <c r="BA200" i="1"/>
  <c r="BA203" i="1" s="1"/>
  <c r="BA227" i="1"/>
  <c r="BA224" i="1"/>
  <c r="AZ223" i="1"/>
  <c r="AZ224" i="1" s="1"/>
  <c r="AZ225" i="1" s="1"/>
  <c r="AY225" i="1"/>
  <c r="AY179" i="1"/>
  <c r="AY182" i="1"/>
  <c r="BC167" i="1"/>
  <c r="BC170" i="1" s="1"/>
  <c r="AY123" i="1" l="1"/>
  <c r="AY125" i="1" s="1"/>
  <c r="AY128" i="1" s="1"/>
  <c r="AZ51" i="1"/>
  <c r="BC199" i="1"/>
  <c r="BC198" i="1" s="1"/>
  <c r="BD211" i="1"/>
  <c r="BD212" i="1" s="1"/>
  <c r="BD213" i="1" s="1"/>
  <c r="BD227" i="1" s="1"/>
  <c r="BC211" i="1"/>
  <c r="BC212" i="1" s="1"/>
  <c r="BC213" i="1" s="1"/>
  <c r="AY180" i="1"/>
  <c r="BC171" i="1"/>
  <c r="BA174" i="1"/>
  <c r="BA175" i="1" s="1"/>
  <c r="BA262" i="1" l="1"/>
  <c r="BA260" i="1"/>
  <c r="BA258" i="1"/>
  <c r="AY124" i="1"/>
  <c r="AY127" i="1" s="1"/>
  <c r="BC200" i="1"/>
  <c r="BC203" i="1" s="1"/>
  <c r="BC227" i="1"/>
  <c r="BC224" i="1"/>
  <c r="BB223" i="1"/>
  <c r="BB224" i="1" s="1"/>
  <c r="BB225" i="1" s="1"/>
  <c r="BA225" i="1"/>
  <c r="BE167" i="1"/>
  <c r="BE170" i="1" s="1"/>
  <c r="BA182" i="1"/>
  <c r="BA179" i="1"/>
  <c r="BA123" i="1" l="1"/>
  <c r="BA124" i="1" s="1"/>
  <c r="BA127" i="1" s="1"/>
  <c r="BB51" i="1"/>
  <c r="BE199" i="1"/>
  <c r="BE198" i="1" s="1"/>
  <c r="BF211" i="1"/>
  <c r="BF212" i="1" s="1"/>
  <c r="BF213" i="1" s="1"/>
  <c r="BF227" i="1" s="1"/>
  <c r="BE211" i="1"/>
  <c r="BE212" i="1" s="1"/>
  <c r="BE213" i="1" s="1"/>
  <c r="BC174" i="1"/>
  <c r="BC175" i="1" s="1"/>
  <c r="BA180" i="1"/>
  <c r="BE171" i="1"/>
  <c r="BC262" i="1" l="1"/>
  <c r="BC260" i="1"/>
  <c r="BC258" i="1"/>
  <c r="BA125" i="1"/>
  <c r="BA128" i="1" s="1"/>
  <c r="BE200" i="1"/>
  <c r="BE203" i="1" s="1"/>
  <c r="BE227" i="1"/>
  <c r="BE224" i="1"/>
  <c r="BD223" i="1"/>
  <c r="BD224" i="1" s="1"/>
  <c r="BD225" i="1" s="1"/>
  <c r="BC225" i="1"/>
  <c r="BG167" i="1"/>
  <c r="BG170" i="1" s="1"/>
  <c r="BC179" i="1"/>
  <c r="BC182" i="1"/>
  <c r="BC123" i="1" l="1"/>
  <c r="BC124" i="1" s="1"/>
  <c r="BC127" i="1" s="1"/>
  <c r="BD51" i="1"/>
  <c r="BG199" i="1"/>
  <c r="BG200" i="1" s="1"/>
  <c r="BG203" i="1" s="1"/>
  <c r="BH211" i="1"/>
  <c r="BH212" i="1" s="1"/>
  <c r="BH213" i="1" s="1"/>
  <c r="BH227" i="1" s="1"/>
  <c r="BG211" i="1"/>
  <c r="BG212" i="1" s="1"/>
  <c r="BG213" i="1" s="1"/>
  <c r="BC180" i="1"/>
  <c r="BE174" i="1"/>
  <c r="BE175" i="1" s="1"/>
  <c r="BG171" i="1"/>
  <c r="BE260" i="1" l="1"/>
  <c r="BE262" i="1"/>
  <c r="BE258" i="1"/>
  <c r="BC125" i="1"/>
  <c r="BC128" i="1" s="1"/>
  <c r="BG198" i="1"/>
  <c r="BG227" i="1"/>
  <c r="BG224" i="1"/>
  <c r="BF223" i="1"/>
  <c r="BF224" i="1" s="1"/>
  <c r="BF225" i="1" s="1"/>
  <c r="BE225" i="1"/>
  <c r="BE182" i="1"/>
  <c r="BE179" i="1"/>
  <c r="BI167" i="1"/>
  <c r="BI170" i="1" s="1"/>
  <c r="BE123" i="1" l="1"/>
  <c r="BE124" i="1" s="1"/>
  <c r="BE127" i="1" s="1"/>
  <c r="BF51" i="1"/>
  <c r="BI199" i="1"/>
  <c r="BI198" i="1" s="1"/>
  <c r="BJ211" i="1"/>
  <c r="BJ212" i="1" s="1"/>
  <c r="BJ213" i="1" s="1"/>
  <c r="BJ227" i="1" s="1"/>
  <c r="BI211" i="1"/>
  <c r="BI212" i="1" s="1"/>
  <c r="BI213" i="1" s="1"/>
  <c r="BE180" i="1"/>
  <c r="BG174" i="1"/>
  <c r="BG175" i="1" s="1"/>
  <c r="BI171" i="1"/>
  <c r="BG260" i="1" l="1"/>
  <c r="BG262" i="1"/>
  <c r="BG258" i="1"/>
  <c r="BE125" i="1"/>
  <c r="BE128" i="1" s="1"/>
  <c r="BI200" i="1"/>
  <c r="BI203" i="1" s="1"/>
  <c r="BI227" i="1"/>
  <c r="BI224" i="1"/>
  <c r="BH223" i="1"/>
  <c r="BH224" i="1" s="1"/>
  <c r="BH225" i="1" s="1"/>
  <c r="BG225" i="1"/>
  <c r="BG179" i="1"/>
  <c r="BG182" i="1"/>
  <c r="BK167" i="1"/>
  <c r="BK170" i="1" s="1"/>
  <c r="BG123" i="1" l="1"/>
  <c r="BG124" i="1" s="1"/>
  <c r="BG127" i="1" s="1"/>
  <c r="BH51" i="1"/>
  <c r="BL211" i="1"/>
  <c r="BL212" i="1" s="1"/>
  <c r="BL213" i="1" s="1"/>
  <c r="BL227" i="1" s="1"/>
  <c r="BK199" i="1"/>
  <c r="BK198" i="1" s="1"/>
  <c r="BK211" i="1"/>
  <c r="BK212" i="1" s="1"/>
  <c r="BK213" i="1" s="1"/>
  <c r="BK171" i="1"/>
  <c r="BG180" i="1"/>
  <c r="BI174" i="1"/>
  <c r="BI175" i="1" s="1"/>
  <c r="BI262" i="1" l="1"/>
  <c r="BI260" i="1"/>
  <c r="BI258" i="1"/>
  <c r="BG125" i="1"/>
  <c r="BG128" i="1" s="1"/>
  <c r="BK200" i="1"/>
  <c r="BK203" i="1" s="1"/>
  <c r="BK227" i="1"/>
  <c r="BK224" i="1"/>
  <c r="BJ223" i="1"/>
  <c r="BJ224" i="1" s="1"/>
  <c r="BJ225" i="1" s="1"/>
  <c r="BI225" i="1"/>
  <c r="BI182" i="1"/>
  <c r="BI179" i="1"/>
  <c r="BM167" i="1"/>
  <c r="BM170" i="1" s="1"/>
  <c r="BI123" i="1" l="1"/>
  <c r="BI125" i="1" s="1"/>
  <c r="BI128" i="1" s="1"/>
  <c r="BJ51" i="1"/>
  <c r="BM199" i="1"/>
  <c r="BM198" i="1" s="1"/>
  <c r="BN211" i="1"/>
  <c r="BN212" i="1" s="1"/>
  <c r="BN213" i="1" s="1"/>
  <c r="BN227" i="1" s="1"/>
  <c r="BM211" i="1"/>
  <c r="BM212" i="1" s="1"/>
  <c r="BM213" i="1" s="1"/>
  <c r="BM171" i="1"/>
  <c r="BI180" i="1"/>
  <c r="BK174" i="1"/>
  <c r="BK175" i="1" s="1"/>
  <c r="BK262" i="1" l="1"/>
  <c r="BK260" i="1"/>
  <c r="BK258" i="1"/>
  <c r="BI124" i="1"/>
  <c r="BI127" i="1" s="1"/>
  <c r="BM200" i="1"/>
  <c r="BM203" i="1" s="1"/>
  <c r="BM227" i="1"/>
  <c r="BM224" i="1"/>
  <c r="BL223" i="1"/>
  <c r="BL224" i="1" s="1"/>
  <c r="BL225" i="1" s="1"/>
  <c r="BK225" i="1"/>
  <c r="BK182" i="1"/>
  <c r="BK179" i="1"/>
  <c r="BO167" i="1"/>
  <c r="BO170" i="1" s="1"/>
  <c r="BK123" i="1" l="1"/>
  <c r="BK125" i="1" s="1"/>
  <c r="BK128" i="1" s="1"/>
  <c r="BL51" i="1"/>
  <c r="BO199" i="1"/>
  <c r="BO198" i="1" s="1"/>
  <c r="BP211" i="1"/>
  <c r="BP212" i="1" s="1"/>
  <c r="BP213" i="1" s="1"/>
  <c r="BP227" i="1" s="1"/>
  <c r="BO211" i="1"/>
  <c r="BO212" i="1" s="1"/>
  <c r="BO213" i="1" s="1"/>
  <c r="BM174" i="1"/>
  <c r="BM175" i="1" s="1"/>
  <c r="BK180" i="1"/>
  <c r="BO171" i="1"/>
  <c r="BM260" i="1" l="1"/>
  <c r="BM262" i="1"/>
  <c r="BM258" i="1"/>
  <c r="BK124" i="1"/>
  <c r="BK127" i="1" s="1"/>
  <c r="BO200" i="1"/>
  <c r="BO203" i="1" s="1"/>
  <c r="BO227" i="1"/>
  <c r="BO224" i="1"/>
  <c r="BN223" i="1"/>
  <c r="BN224" i="1" s="1"/>
  <c r="BN225" i="1" s="1"/>
  <c r="BM225" i="1"/>
  <c r="BM179" i="1"/>
  <c r="BM182" i="1"/>
  <c r="BQ167" i="1"/>
  <c r="BQ170" i="1" s="1"/>
  <c r="BM123" i="1" l="1"/>
  <c r="BM124" i="1" s="1"/>
  <c r="BM127" i="1" s="1"/>
  <c r="BN51" i="1"/>
  <c r="BQ199" i="1"/>
  <c r="BQ198" i="1" s="1"/>
  <c r="BR211" i="1"/>
  <c r="BR212" i="1" s="1"/>
  <c r="BR213" i="1" s="1"/>
  <c r="BR227" i="1" s="1"/>
  <c r="BQ211" i="1"/>
  <c r="BQ212" i="1" s="1"/>
  <c r="BQ213" i="1" s="1"/>
  <c r="BO174" i="1"/>
  <c r="BO175" i="1" s="1"/>
  <c r="BQ171" i="1"/>
  <c r="BM180" i="1"/>
  <c r="BO260" i="1" l="1"/>
  <c r="BO262" i="1"/>
  <c r="BO258" i="1"/>
  <c r="BM125" i="1"/>
  <c r="BM128" i="1" s="1"/>
  <c r="BQ200" i="1"/>
  <c r="BQ203" i="1" s="1"/>
  <c r="BQ227" i="1"/>
  <c r="BQ224" i="1"/>
  <c r="BP223" i="1"/>
  <c r="BP224" i="1" s="1"/>
  <c r="BP225" i="1" s="1"/>
  <c r="BO225" i="1"/>
  <c r="BS167" i="1"/>
  <c r="BS170" i="1" s="1"/>
  <c r="BO179" i="1"/>
  <c r="BO182" i="1"/>
  <c r="BO123" i="1" l="1"/>
  <c r="BO124" i="1" s="1"/>
  <c r="BO127" i="1" s="1"/>
  <c r="BP51" i="1"/>
  <c r="BS199" i="1"/>
  <c r="BS198" i="1" s="1"/>
  <c r="BT211" i="1"/>
  <c r="BT212" i="1" s="1"/>
  <c r="BT213" i="1" s="1"/>
  <c r="BT227" i="1" s="1"/>
  <c r="BS211" i="1"/>
  <c r="BS212" i="1" s="1"/>
  <c r="BS213" i="1" s="1"/>
  <c r="BO180" i="1"/>
  <c r="BS171" i="1"/>
  <c r="BQ174" i="1"/>
  <c r="BQ175" i="1" s="1"/>
  <c r="BQ262" i="1" l="1"/>
  <c r="BQ260" i="1"/>
  <c r="BQ258" i="1"/>
  <c r="BO125" i="1"/>
  <c r="BO128" i="1" s="1"/>
  <c r="BS200" i="1"/>
  <c r="BS203" i="1" s="1"/>
  <c r="BS227" i="1"/>
  <c r="BS224" i="1"/>
  <c r="BR223" i="1"/>
  <c r="BR224" i="1" s="1"/>
  <c r="BR225" i="1" s="1"/>
  <c r="BQ225" i="1"/>
  <c r="BQ179" i="1"/>
  <c r="BQ182" i="1"/>
  <c r="BU167" i="1"/>
  <c r="BU170" i="1" s="1"/>
  <c r="BQ123" i="1" l="1"/>
  <c r="BQ124" i="1" s="1"/>
  <c r="BQ127" i="1" s="1"/>
  <c r="BR51" i="1"/>
  <c r="BU199" i="1"/>
  <c r="BU198" i="1" s="1"/>
  <c r="BV211" i="1"/>
  <c r="BV212" i="1" s="1"/>
  <c r="BV213" i="1" s="1"/>
  <c r="BV227" i="1" s="1"/>
  <c r="BU211" i="1"/>
  <c r="BU212" i="1" s="1"/>
  <c r="BU213" i="1" s="1"/>
  <c r="BS174" i="1"/>
  <c r="BS175" i="1" s="1"/>
  <c r="BQ180" i="1"/>
  <c r="BU171" i="1"/>
  <c r="BS262" i="1" l="1"/>
  <c r="BS260" i="1"/>
  <c r="BS258" i="1"/>
  <c r="BQ125" i="1"/>
  <c r="BQ128" i="1" s="1"/>
  <c r="BU200" i="1"/>
  <c r="BU203" i="1" s="1"/>
  <c r="BU227" i="1"/>
  <c r="BU224" i="1"/>
  <c r="BT223" i="1"/>
  <c r="BT224" i="1" s="1"/>
  <c r="BT225" i="1" s="1"/>
  <c r="BS225" i="1"/>
  <c r="BS179" i="1"/>
  <c r="BS182" i="1"/>
  <c r="BW167" i="1"/>
  <c r="BW170" i="1" s="1"/>
  <c r="BS123" i="1" l="1"/>
  <c r="BS125" i="1" s="1"/>
  <c r="BS128" i="1" s="1"/>
  <c r="BT51" i="1"/>
  <c r="BW199" i="1"/>
  <c r="BW198" i="1" s="1"/>
  <c r="BX211" i="1"/>
  <c r="BX212" i="1" s="1"/>
  <c r="BX213" i="1" s="1"/>
  <c r="BX227" i="1" s="1"/>
  <c r="BW211" i="1"/>
  <c r="BW212" i="1" s="1"/>
  <c r="BW213" i="1" s="1"/>
  <c r="BW171" i="1"/>
  <c r="BS180" i="1"/>
  <c r="BU174" i="1"/>
  <c r="BU175" i="1" s="1"/>
  <c r="BU260" i="1" l="1"/>
  <c r="BU262" i="1"/>
  <c r="BU258" i="1"/>
  <c r="BS124" i="1"/>
  <c r="BS127" i="1" s="1"/>
  <c r="BW200" i="1"/>
  <c r="BW203" i="1" s="1"/>
  <c r="BW227" i="1"/>
  <c r="BW224" i="1"/>
  <c r="BV223" i="1"/>
  <c r="BV224" i="1" s="1"/>
  <c r="BV225" i="1" s="1"/>
  <c r="BU225" i="1"/>
  <c r="BU179" i="1"/>
  <c r="BU182" i="1"/>
  <c r="BY167" i="1"/>
  <c r="BY170" i="1" s="1"/>
  <c r="BU123" i="1" l="1"/>
  <c r="BU125" i="1" s="1"/>
  <c r="BU128" i="1" s="1"/>
  <c r="BV51" i="1"/>
  <c r="BZ211" i="1"/>
  <c r="BZ212" i="1" s="1"/>
  <c r="BZ213" i="1" s="1"/>
  <c r="BZ227" i="1" s="1"/>
  <c r="BY199" i="1"/>
  <c r="BY198" i="1" s="1"/>
  <c r="BY211" i="1"/>
  <c r="BY212" i="1" s="1"/>
  <c r="BY213" i="1" s="1"/>
  <c r="BW174" i="1"/>
  <c r="BW175" i="1" s="1"/>
  <c r="BY171" i="1"/>
  <c r="BU180" i="1"/>
  <c r="BW260" i="1" l="1"/>
  <c r="BW262" i="1"/>
  <c r="BW258" i="1"/>
  <c r="BU124" i="1"/>
  <c r="BU127" i="1" s="1"/>
  <c r="BY200" i="1"/>
  <c r="BY203" i="1" s="1"/>
  <c r="BY227" i="1"/>
  <c r="BY224" i="1"/>
  <c r="BX223" i="1"/>
  <c r="BX224" i="1" s="1"/>
  <c r="BX225" i="1" s="1"/>
  <c r="BW225" i="1"/>
  <c r="BW179" i="1"/>
  <c r="BW182" i="1"/>
  <c r="BW123" i="1" l="1"/>
  <c r="BW125" i="1" s="1"/>
  <c r="BW128" i="1" s="1"/>
  <c r="BX51" i="1"/>
  <c r="BW180" i="1"/>
  <c r="BY174" i="1"/>
  <c r="BY175" i="1" s="1"/>
  <c r="BY262" i="1" l="1"/>
  <c r="BY260" i="1"/>
  <c r="BY258" i="1"/>
  <c r="BW124" i="1"/>
  <c r="BW127" i="1" s="1"/>
  <c r="BZ223" i="1"/>
  <c r="BZ224" i="1" s="1"/>
  <c r="BZ225" i="1" s="1"/>
  <c r="BY225" i="1"/>
  <c r="BY182" i="1"/>
  <c r="BY179" i="1"/>
  <c r="BY123" i="1" l="1"/>
  <c r="BY124" i="1" s="1"/>
  <c r="BY127" i="1" s="1"/>
  <c r="BZ51" i="1"/>
  <c r="BY180" i="1"/>
  <c r="CC159" i="1"/>
  <c r="CC158" i="1"/>
  <c r="CA158" i="1"/>
  <c r="CA167" i="1"/>
  <c r="CA170" i="1" s="1"/>
  <c r="CA159" i="1"/>
  <c r="BY125" i="1" l="1"/>
  <c r="BY128" i="1" s="1"/>
  <c r="CA162" i="1"/>
  <c r="CA196" i="1" s="1"/>
  <c r="CA195" i="1" s="1"/>
  <c r="CB211" i="1"/>
  <c r="CA199" i="1"/>
  <c r="CA198" i="1" s="1"/>
  <c r="CA211" i="1"/>
  <c r="CC167" i="1"/>
  <c r="CC170" i="1" s="1"/>
  <c r="CC162" i="1"/>
  <c r="CA171" i="1" l="1"/>
  <c r="CA210" i="1"/>
  <c r="CA212" i="1" s="1"/>
  <c r="CA213" i="1" s="1"/>
  <c r="CA227" i="1" s="1"/>
  <c r="CB210" i="1"/>
  <c r="CB212" i="1" s="1"/>
  <c r="CB213" i="1" s="1"/>
  <c r="CB227" i="1" s="1"/>
  <c r="CA200" i="1"/>
  <c r="CD210" i="1"/>
  <c r="CC196" i="1"/>
  <c r="CC195" i="1" s="1"/>
  <c r="CC210" i="1"/>
  <c r="CC199" i="1"/>
  <c r="CC198" i="1" s="1"/>
  <c r="CD211" i="1"/>
  <c r="CC211" i="1"/>
  <c r="CC171" i="1"/>
  <c r="CA203" i="1" l="1"/>
  <c r="CE203" i="1"/>
  <c r="CC212" i="1"/>
  <c r="CC213" i="1" s="1"/>
  <c r="CC227" i="1" s="1"/>
  <c r="CD212" i="1"/>
  <c r="CD213" i="1" s="1"/>
  <c r="CD227" i="1" s="1"/>
  <c r="CA224" i="1"/>
  <c r="CA174" i="1" s="1"/>
  <c r="CA175" i="1" s="1"/>
  <c r="CC200" i="1"/>
  <c r="CA262" i="1" l="1"/>
  <c r="CA260" i="1"/>
  <c r="CA258" i="1"/>
  <c r="CC203" i="1"/>
  <c r="CG203" i="1"/>
  <c r="CC224" i="1"/>
  <c r="CC174" i="1" s="1"/>
  <c r="CC175" i="1" s="1"/>
  <c r="CB223" i="1"/>
  <c r="CB224" i="1" s="1"/>
  <c r="CB225" i="1" s="1"/>
  <c r="CA225" i="1"/>
  <c r="CA182" i="1"/>
  <c r="CA179" i="1"/>
  <c r="CC260" i="1" l="1"/>
  <c r="CC262" i="1"/>
  <c r="CC258" i="1"/>
  <c r="CA123" i="1"/>
  <c r="CA124" i="1" s="1"/>
  <c r="CA127" i="1" s="1"/>
  <c r="CB51" i="1"/>
  <c r="CD223" i="1"/>
  <c r="CD224" i="1" s="1"/>
  <c r="CD225" i="1" s="1"/>
  <c r="CC225" i="1"/>
  <c r="CC179" i="1"/>
  <c r="CC182" i="1"/>
  <c r="CA180" i="1"/>
  <c r="CA125" i="1" l="1"/>
  <c r="CA128" i="1" s="1"/>
  <c r="CC123" i="1"/>
  <c r="CC124" i="1" s="1"/>
  <c r="CC127" i="1" s="1"/>
  <c r="CD51" i="1"/>
  <c r="CC180" i="1"/>
  <c r="CC125" i="1" l="1"/>
  <c r="CC128" i="1" s="1"/>
  <c r="CE103" i="1"/>
  <c r="CD103" i="1"/>
  <c r="CC103" i="1"/>
  <c r="CB103" i="1"/>
  <c r="Y103" i="1"/>
  <c r="CI159" i="1" l="1"/>
  <c r="CI167" i="1"/>
  <c r="CI170" i="1" s="1"/>
  <c r="CI158" i="1"/>
  <c r="CJ211" i="1" l="1"/>
  <c r="CI162" i="1"/>
  <c r="CI211" i="1"/>
  <c r="CJ210" i="1" l="1"/>
  <c r="CJ212" i="1" s="1"/>
  <c r="CJ213" i="1" s="1"/>
  <c r="CJ227" i="1" s="1"/>
  <c r="CI171" i="1"/>
  <c r="CI210" i="1"/>
  <c r="CI212" i="1" s="1"/>
  <c r="CI213" i="1" s="1"/>
  <c r="CI227" i="1" s="1"/>
  <c r="CI200" i="1" l="1"/>
  <c r="CI203" i="1" s="1"/>
  <c r="CI224" i="1"/>
  <c r="CI174" i="1" s="1"/>
  <c r="CI175" i="1" s="1"/>
  <c r="CI262" i="1" l="1"/>
  <c r="CI260" i="1"/>
  <c r="CI258" i="1"/>
  <c r="CI225" i="1"/>
  <c r="CJ223" i="1"/>
  <c r="CJ224" i="1" s="1"/>
  <c r="CI182" i="1"/>
  <c r="CI179" i="1"/>
  <c r="CI123" i="1" l="1"/>
  <c r="CI125" i="1" s="1"/>
  <c r="CI128" i="1" s="1"/>
  <c r="CJ51" i="1"/>
  <c r="CJ225" i="1"/>
  <c r="CI180" i="1"/>
  <c r="CI124" i="1" l="1"/>
  <c r="CI127" i="1" s="1"/>
  <c r="CJ182" i="1"/>
  <c r="CJ123" i="1" l="1"/>
  <c r="CK51" i="1"/>
  <c r="CJ124" i="1" l="1"/>
  <c r="CJ127" i="1" s="1"/>
  <c r="CJ125" i="1"/>
  <c r="CJ128" i="1" s="1"/>
  <c r="CK245" i="1" l="1"/>
  <c r="CK267" i="1"/>
  <c r="CK266" i="1"/>
  <c r="CK158" i="1" l="1"/>
  <c r="CK167" i="1"/>
  <c r="CK159" i="1"/>
  <c r="CK166" i="1"/>
  <c r="CK239" i="1"/>
  <c r="CK160" i="1"/>
  <c r="CK170" i="1" l="1"/>
  <c r="CK162" i="1"/>
  <c r="CK211" i="1" l="1"/>
  <c r="CL211" i="1"/>
  <c r="CK210" i="1"/>
  <c r="CL210" i="1"/>
  <c r="CK171" i="1"/>
  <c r="CK264" i="1"/>
  <c r="CK265" i="1" s="1"/>
  <c r="CK246" i="1"/>
  <c r="CK247" i="1" s="1"/>
  <c r="CK240" i="1"/>
  <c r="CK212" i="1" l="1"/>
  <c r="CL212" i="1"/>
  <c r="CL213" i="1" s="1"/>
  <c r="CL227" i="1" s="1"/>
  <c r="CK259" i="1"/>
  <c r="CK241" i="1"/>
  <c r="CK248" i="1"/>
  <c r="CK207" i="1" l="1"/>
  <c r="CK209" i="1" s="1"/>
  <c r="CK213" i="1" s="1"/>
  <c r="CK227" i="1" s="1"/>
  <c r="CK133" i="1"/>
  <c r="CK134" i="1" l="1"/>
  <c r="CL221" i="1" s="1"/>
  <c r="CL219" i="1" s="1"/>
  <c r="CK68" i="1" l="1"/>
  <c r="CK106" i="1"/>
  <c r="CG103" i="1"/>
  <c r="CK221" i="1"/>
  <c r="CK219" i="1" s="1"/>
  <c r="CK224" i="1" s="1"/>
  <c r="CK143" i="1"/>
  <c r="CK69" i="1" s="1"/>
  <c r="CK110" i="1" l="1"/>
  <c r="CK109" i="1"/>
  <c r="CK108" i="1"/>
  <c r="CK174" i="1"/>
  <c r="CK175" i="1" s="1"/>
  <c r="CL223" i="1" s="1"/>
  <c r="CL224" i="1" s="1"/>
  <c r="CL225" i="1" s="1"/>
  <c r="CK225" i="1" l="1"/>
  <c r="CK262" i="1"/>
  <c r="CK258" i="1"/>
  <c r="CK260" i="1"/>
  <c r="CK179" i="1"/>
  <c r="CK182" i="1"/>
  <c r="CK123" i="1" l="1"/>
  <c r="CL51" i="1"/>
  <c r="CM51" i="1" s="1"/>
  <c r="CN51" i="1" s="1"/>
  <c r="CO51" i="1" s="1"/>
  <c r="CP51" i="1" s="1"/>
  <c r="CR51" i="1" s="1"/>
  <c r="CS51" i="1" s="1"/>
  <c r="CT51" i="1" s="1"/>
  <c r="CU51" i="1" s="1"/>
  <c r="CV51" i="1" s="1"/>
  <c r="CW51" i="1" s="1"/>
  <c r="CX51" i="1" s="1"/>
  <c r="CY51" i="1" s="1"/>
  <c r="CZ51" i="1" s="1"/>
  <c r="DA51" i="1" s="1"/>
  <c r="DB51" i="1" s="1"/>
  <c r="CK180" i="1"/>
  <c r="CK125" i="1" l="1"/>
  <c r="CK128" i="1" s="1"/>
  <c r="CK124" i="1"/>
  <c r="CK127" i="1" s="1"/>
  <c r="CM9" i="1" l="1"/>
  <c r="CM10" i="1" s="1"/>
  <c r="AA9" i="1"/>
  <c r="AA10" i="1" s="1"/>
  <c r="AA18" i="1" s="1"/>
  <c r="CL10" i="1"/>
  <c r="CN9" i="1" l="1"/>
  <c r="CL11" i="1"/>
  <c r="CL18" i="1"/>
  <c r="CM22" i="1"/>
  <c r="CM267" i="1" s="1"/>
  <c r="CN10" i="1"/>
  <c r="CO9" i="1"/>
  <c r="CM18" i="1" l="1"/>
  <c r="CN18" i="1" s="1"/>
  <c r="CM24" i="1"/>
  <c r="CM11" i="1" s="1"/>
  <c r="CM112" i="1"/>
  <c r="CM113" i="1" s="1"/>
  <c r="CM116" i="1" s="1"/>
  <c r="CM245" i="1"/>
  <c r="CN22" i="1"/>
  <c r="CN112" i="1" s="1"/>
  <c r="CN113" i="1" s="1"/>
  <c r="CN116" i="1" s="1"/>
  <c r="CM117" i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CM118" i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O10" i="1"/>
  <c r="CP9" i="1"/>
  <c r="AB9" i="1" s="1"/>
  <c r="AB10" i="1" s="1"/>
  <c r="AB18" i="1" s="1"/>
  <c r="CO18" i="1" l="1"/>
  <c r="CP18" i="1" s="1"/>
  <c r="CM239" i="1"/>
  <c r="CN267" i="1"/>
  <c r="CM26" i="1"/>
  <c r="CN245" i="1"/>
  <c r="CN24" i="1"/>
  <c r="CN30" i="1" s="1"/>
  <c r="CM158" i="1"/>
  <c r="CM167" i="1"/>
  <c r="CM166" i="1"/>
  <c r="CM170" i="1" s="1"/>
  <c r="CM211" i="1" s="1"/>
  <c r="CM40" i="1"/>
  <c r="CM37" i="1" s="1"/>
  <c r="CM30" i="1"/>
  <c r="CM29" i="1" s="1"/>
  <c r="CM160" i="1"/>
  <c r="CM159" i="1"/>
  <c r="CN11" i="1"/>
  <c r="CO22" i="1"/>
  <c r="CO267" i="1" s="1"/>
  <c r="CQ9" i="1"/>
  <c r="CP10" i="1"/>
  <c r="CO24" i="1" l="1"/>
  <c r="CO11" i="1" s="1"/>
  <c r="CO112" i="1"/>
  <c r="CO113" i="1" s="1"/>
  <c r="CO116" i="1" s="1"/>
  <c r="CQ18" i="1"/>
  <c r="CR18" i="1"/>
  <c r="CN166" i="1"/>
  <c r="CN40" i="1"/>
  <c r="CN37" i="1" s="1"/>
  <c r="CN159" i="1"/>
  <c r="CS18" i="1"/>
  <c r="CT18" i="1" s="1"/>
  <c r="CN26" i="1"/>
  <c r="CN160" i="1"/>
  <c r="CN167" i="1"/>
  <c r="CN158" i="1"/>
  <c r="CN239" i="1"/>
  <c r="CM162" i="1"/>
  <c r="CM210" i="1" s="1"/>
  <c r="CM212" i="1" s="1"/>
  <c r="CM42" i="1"/>
  <c r="CM246" i="1" s="1"/>
  <c r="CM247" i="1" s="1"/>
  <c r="CM32" i="1"/>
  <c r="CM33" i="1"/>
  <c r="CO245" i="1"/>
  <c r="CP22" i="1"/>
  <c r="AB22" i="1" s="1"/>
  <c r="CN33" i="1"/>
  <c r="CN32" i="1"/>
  <c r="CN29" i="1"/>
  <c r="CQ10" i="1"/>
  <c r="CR9" i="1"/>
  <c r="CP267" i="1" l="1"/>
  <c r="CO159" i="1"/>
  <c r="CO160" i="1"/>
  <c r="CO26" i="1"/>
  <c r="CO158" i="1"/>
  <c r="CO166" i="1"/>
  <c r="CO167" i="1"/>
  <c r="CO30" i="1"/>
  <c r="CO29" i="1" s="1"/>
  <c r="CO40" i="1"/>
  <c r="CO37" i="1" s="1"/>
  <c r="CO239" i="1"/>
  <c r="CN170" i="1"/>
  <c r="CN211" i="1" s="1"/>
  <c r="CM48" i="1"/>
  <c r="CM264" i="1"/>
  <c r="CM265" i="1" s="1"/>
  <c r="CM240" i="1"/>
  <c r="CN162" i="1"/>
  <c r="CM45" i="1"/>
  <c r="CM126" i="1"/>
  <c r="CM43" i="1"/>
  <c r="CM44" i="1"/>
  <c r="CM171" i="1"/>
  <c r="CU18" i="1"/>
  <c r="CV18" i="1" s="1"/>
  <c r="CW18" i="1" s="1"/>
  <c r="CN42" i="1"/>
  <c r="CN240" i="1" s="1"/>
  <c r="CP112" i="1"/>
  <c r="CP113" i="1" s="1"/>
  <c r="CP116" i="1" s="1"/>
  <c r="CP245" i="1"/>
  <c r="CP24" i="1"/>
  <c r="CP11" i="1" s="1"/>
  <c r="CQ22" i="1"/>
  <c r="CQ112" i="1" s="1"/>
  <c r="CQ113" i="1" s="1"/>
  <c r="CQ116" i="1" s="1"/>
  <c r="AB267" i="1"/>
  <c r="AB24" i="1"/>
  <c r="CR10" i="1"/>
  <c r="CS9" i="1"/>
  <c r="CO162" i="1" l="1"/>
  <c r="CP158" i="1"/>
  <c r="CN171" i="1"/>
  <c r="CN210" i="1"/>
  <c r="CN212" i="1" s="1"/>
  <c r="CO170" i="1"/>
  <c r="CO42" i="1"/>
  <c r="CO32" i="1"/>
  <c r="CO33" i="1"/>
  <c r="CO210" i="1"/>
  <c r="CN246" i="1"/>
  <c r="CN247" i="1" s="1"/>
  <c r="CP239" i="1"/>
  <c r="CP160" i="1"/>
  <c r="AB160" i="1" s="1"/>
  <c r="CP167" i="1"/>
  <c r="AB167" i="1" s="1"/>
  <c r="AB197" i="1" s="1"/>
  <c r="CP166" i="1"/>
  <c r="CP170" i="1" s="1"/>
  <c r="CP211" i="1" s="1"/>
  <c r="CN48" i="1"/>
  <c r="CP30" i="1"/>
  <c r="CP159" i="1"/>
  <c r="AB159" i="1" s="1"/>
  <c r="AB194" i="1" s="1"/>
  <c r="CX18" i="1"/>
  <c r="CY18" i="1" s="1"/>
  <c r="CZ18" i="1" s="1"/>
  <c r="CN126" i="1"/>
  <c r="CN45" i="1"/>
  <c r="CN44" i="1"/>
  <c r="CP40" i="1"/>
  <c r="CP37" i="1" s="1"/>
  <c r="AB37" i="1" s="1"/>
  <c r="AB40" i="1" s="1"/>
  <c r="AB41" i="1" s="1"/>
  <c r="CN43" i="1"/>
  <c r="CN264" i="1"/>
  <c r="CN265" i="1" s="1"/>
  <c r="CQ245" i="1"/>
  <c r="CP26" i="1"/>
  <c r="CQ24" i="1"/>
  <c r="CQ239" i="1" s="1"/>
  <c r="CQ267" i="1"/>
  <c r="CR22" i="1"/>
  <c r="CR245" i="1" s="1"/>
  <c r="CO171" i="1"/>
  <c r="AB202" i="1"/>
  <c r="AB72" i="1"/>
  <c r="AB25" i="1"/>
  <c r="AB112" i="1"/>
  <c r="AB113" i="1" s="1"/>
  <c r="AB116" i="1" s="1"/>
  <c r="CT9" i="1"/>
  <c r="AC9" i="1" s="1"/>
  <c r="AC10" i="1" s="1"/>
  <c r="AC18" i="1" s="1"/>
  <c r="CS10" i="1"/>
  <c r="CO44" i="1" l="1"/>
  <c r="CO45" i="1"/>
  <c r="CO264" i="1"/>
  <c r="CO265" i="1" s="1"/>
  <c r="CO246" i="1"/>
  <c r="CO247" i="1" s="1"/>
  <c r="CO48" i="1"/>
  <c r="CO43" i="1"/>
  <c r="CO126" i="1"/>
  <c r="CO240" i="1"/>
  <c r="AB158" i="1"/>
  <c r="CO211" i="1"/>
  <c r="CO212" i="1" s="1"/>
  <c r="CQ11" i="1"/>
  <c r="CQ158" i="1"/>
  <c r="CQ26" i="1"/>
  <c r="CQ160" i="1"/>
  <c r="CQ159" i="1"/>
  <c r="CP162" i="1"/>
  <c r="CP29" i="1"/>
  <c r="AB29" i="1" s="1"/>
  <c r="AB30" i="1" s="1"/>
  <c r="CP33" i="1"/>
  <c r="CP32" i="1"/>
  <c r="AB166" i="1"/>
  <c r="AB170" i="1" s="1"/>
  <c r="CQ167" i="1"/>
  <c r="CP42" i="1"/>
  <c r="CQ40" i="1"/>
  <c r="CQ37" i="1" s="1"/>
  <c r="DA18" i="1"/>
  <c r="CQ166" i="1"/>
  <c r="CQ170" i="1" s="1"/>
  <c r="CQ211" i="1" s="1"/>
  <c r="CQ30" i="1"/>
  <c r="CQ29" i="1" s="1"/>
  <c r="CR24" i="1"/>
  <c r="CR11" i="1" s="1"/>
  <c r="CR267" i="1"/>
  <c r="CR112" i="1"/>
  <c r="CR113" i="1" s="1"/>
  <c r="CR116" i="1" s="1"/>
  <c r="CS22" i="1"/>
  <c r="CS112" i="1" s="1"/>
  <c r="CS113" i="1" s="1"/>
  <c r="CS116" i="1" s="1"/>
  <c r="AB193" i="1"/>
  <c r="AB162" i="1"/>
  <c r="CQ162" i="1"/>
  <c r="CT10" i="1"/>
  <c r="CU9" i="1"/>
  <c r="DB18" i="1" l="1"/>
  <c r="CR167" i="1"/>
  <c r="CP171" i="1"/>
  <c r="CP210" i="1"/>
  <c r="CP212" i="1" s="1"/>
  <c r="CP246" i="1"/>
  <c r="CP247" i="1" s="1"/>
  <c r="CP264" i="1"/>
  <c r="CP265" i="1" s="1"/>
  <c r="CP45" i="1"/>
  <c r="CP48" i="1"/>
  <c r="CP126" i="1"/>
  <c r="CP44" i="1"/>
  <c r="CP43" i="1"/>
  <c r="CP240" i="1"/>
  <c r="AB199" i="1"/>
  <c r="AB198" i="1" s="1"/>
  <c r="AB211" i="1"/>
  <c r="AB31" i="1"/>
  <c r="AB42" i="1"/>
  <c r="AB32" i="1"/>
  <c r="AB73" i="1"/>
  <c r="CR159" i="1"/>
  <c r="CR30" i="1"/>
  <c r="CQ33" i="1"/>
  <c r="CR239" i="1"/>
  <c r="CR160" i="1"/>
  <c r="CQ32" i="1"/>
  <c r="CR158" i="1"/>
  <c r="CR162" i="1" s="1"/>
  <c r="CR166" i="1"/>
  <c r="CR170" i="1" s="1"/>
  <c r="CR211" i="1" s="1"/>
  <c r="CR40" i="1"/>
  <c r="CR37" i="1" s="1"/>
  <c r="CQ42" i="1"/>
  <c r="CQ44" i="1" s="1"/>
  <c r="CR26" i="1"/>
  <c r="CS267" i="1"/>
  <c r="CS245" i="1"/>
  <c r="CS24" i="1"/>
  <c r="CS11" i="1" s="1"/>
  <c r="CT22" i="1"/>
  <c r="CT112" i="1" s="1"/>
  <c r="CT113" i="1" s="1"/>
  <c r="CT116" i="1" s="1"/>
  <c r="CM100" i="1"/>
  <c r="CN100" i="1" s="1"/>
  <c r="CO100" i="1" s="1"/>
  <c r="CP100" i="1" s="1"/>
  <c r="CQ100" i="1" s="1"/>
  <c r="CR100" i="1" s="1"/>
  <c r="CS100" i="1" s="1"/>
  <c r="CT100" i="1" s="1"/>
  <c r="CU100" i="1" s="1"/>
  <c r="CV100" i="1" s="1"/>
  <c r="CW100" i="1" s="1"/>
  <c r="CX100" i="1" s="1"/>
  <c r="CY100" i="1" s="1"/>
  <c r="CZ100" i="1" s="1"/>
  <c r="DA100" i="1" s="1"/>
  <c r="DB100" i="1" s="1"/>
  <c r="CM101" i="1"/>
  <c r="CN101" i="1" s="1"/>
  <c r="CO101" i="1" s="1"/>
  <c r="CP101" i="1" s="1"/>
  <c r="CQ101" i="1" s="1"/>
  <c r="CR101" i="1" s="1"/>
  <c r="CS101" i="1" s="1"/>
  <c r="CT101" i="1" s="1"/>
  <c r="CU101" i="1" s="1"/>
  <c r="CV101" i="1" s="1"/>
  <c r="CW101" i="1" s="1"/>
  <c r="CX101" i="1" s="1"/>
  <c r="CY101" i="1" s="1"/>
  <c r="CZ101" i="1" s="1"/>
  <c r="DA101" i="1" s="1"/>
  <c r="DB101" i="1" s="1"/>
  <c r="CH103" i="1"/>
  <c r="AB171" i="1"/>
  <c r="AB196" i="1"/>
  <c r="AB210" i="1"/>
  <c r="CQ171" i="1"/>
  <c r="CQ210" i="1"/>
  <c r="CQ212" i="1" s="1"/>
  <c r="CV9" i="1"/>
  <c r="CU10" i="1"/>
  <c r="CS158" i="1" l="1"/>
  <c r="CQ126" i="1"/>
  <c r="CQ240" i="1"/>
  <c r="AB212" i="1"/>
  <c r="CR32" i="1"/>
  <c r="CR33" i="1"/>
  <c r="CR42" i="1"/>
  <c r="CR126" i="1" s="1"/>
  <c r="CR29" i="1"/>
  <c r="CQ48" i="1"/>
  <c r="CQ45" i="1"/>
  <c r="CQ43" i="1"/>
  <c r="CQ264" i="1"/>
  <c r="CQ265" i="1" s="1"/>
  <c r="CQ246" i="1"/>
  <c r="CQ247" i="1" s="1"/>
  <c r="AB264" i="1"/>
  <c r="AB265" i="1" s="1"/>
  <c r="AB43" i="1"/>
  <c r="AB44" i="1"/>
  <c r="AB48" i="1"/>
  <c r="AB126" i="1"/>
  <c r="AB74" i="1"/>
  <c r="CS160" i="1"/>
  <c r="CS159" i="1"/>
  <c r="CS26" i="1"/>
  <c r="CS166" i="1"/>
  <c r="CS239" i="1"/>
  <c r="CS40" i="1"/>
  <c r="CS37" i="1" s="1"/>
  <c r="CT24" i="1"/>
  <c r="CT239" i="1" s="1"/>
  <c r="CS30" i="1"/>
  <c r="CS32" i="1" s="1"/>
  <c r="CT245" i="1"/>
  <c r="CT267" i="1"/>
  <c r="AC22" i="1"/>
  <c r="AC24" i="1" s="1"/>
  <c r="CS167" i="1"/>
  <c r="CU22" i="1"/>
  <c r="CU112" i="1" s="1"/>
  <c r="CU113" i="1" s="1"/>
  <c r="CU116" i="1" s="1"/>
  <c r="Z103" i="1"/>
  <c r="CR240" i="1"/>
  <c r="CR171" i="1"/>
  <c r="CR210" i="1"/>
  <c r="CR212" i="1" s="1"/>
  <c r="AB195" i="1"/>
  <c r="AB200" i="1"/>
  <c r="AB203" i="1" s="1"/>
  <c r="AB204" i="1" s="1"/>
  <c r="CW9" i="1"/>
  <c r="CV10" i="1"/>
  <c r="CS170" i="1" l="1"/>
  <c r="CS211" i="1" s="1"/>
  <c r="CR246" i="1"/>
  <c r="CR247" i="1" s="1"/>
  <c r="CR44" i="1"/>
  <c r="CR43" i="1"/>
  <c r="CR48" i="1"/>
  <c r="CR45" i="1"/>
  <c r="CR264" i="1"/>
  <c r="CR265" i="1" s="1"/>
  <c r="CS162" i="1"/>
  <c r="CT167" i="1"/>
  <c r="AC167" i="1" s="1"/>
  <c r="CS42" i="1"/>
  <c r="CS240" i="1" s="1"/>
  <c r="CT40" i="1"/>
  <c r="CT37" i="1" s="1"/>
  <c r="AC37" i="1" s="1"/>
  <c r="AC40" i="1" s="1"/>
  <c r="AC41" i="1" s="1"/>
  <c r="CU24" i="1"/>
  <c r="CU239" i="1" s="1"/>
  <c r="CT159" i="1"/>
  <c r="AC159" i="1" s="1"/>
  <c r="AC194" i="1" s="1"/>
  <c r="AC267" i="1"/>
  <c r="CT158" i="1"/>
  <c r="AC158" i="1" s="1"/>
  <c r="CT160" i="1"/>
  <c r="AC160" i="1" s="1"/>
  <c r="CS33" i="1"/>
  <c r="CT166" i="1"/>
  <c r="CS29" i="1"/>
  <c r="CT26" i="1"/>
  <c r="CT11" i="1"/>
  <c r="CT30" i="1"/>
  <c r="CT29" i="1" s="1"/>
  <c r="CU267" i="1"/>
  <c r="CU245" i="1"/>
  <c r="CV22" i="1"/>
  <c r="CM109" i="1"/>
  <c r="CN109" i="1" s="1"/>
  <c r="CO109" i="1" s="1"/>
  <c r="CP109" i="1" s="1"/>
  <c r="CQ109" i="1" s="1"/>
  <c r="CR109" i="1" s="1"/>
  <c r="CS109" i="1" s="1"/>
  <c r="CT109" i="1" s="1"/>
  <c r="CU109" i="1" s="1"/>
  <c r="CV109" i="1" s="1"/>
  <c r="CW109" i="1" s="1"/>
  <c r="CX109" i="1" s="1"/>
  <c r="CY109" i="1" s="1"/>
  <c r="CZ109" i="1" s="1"/>
  <c r="DA109" i="1" s="1"/>
  <c r="DB109" i="1" s="1"/>
  <c r="CM110" i="1"/>
  <c r="CN110" i="1" s="1"/>
  <c r="CO110" i="1" s="1"/>
  <c r="CP110" i="1" s="1"/>
  <c r="CQ110" i="1" s="1"/>
  <c r="CR110" i="1" s="1"/>
  <c r="CS110" i="1" s="1"/>
  <c r="CT110" i="1" s="1"/>
  <c r="CU110" i="1" s="1"/>
  <c r="CV110" i="1" s="1"/>
  <c r="CW110" i="1" s="1"/>
  <c r="CX110" i="1" s="1"/>
  <c r="CY110" i="1" s="1"/>
  <c r="CZ110" i="1" s="1"/>
  <c r="DA110" i="1" s="1"/>
  <c r="DB110" i="1" s="1"/>
  <c r="CU26" i="1"/>
  <c r="AC112" i="1"/>
  <c r="AC113" i="1" s="1"/>
  <c r="AC116" i="1" s="1"/>
  <c r="AC25" i="1"/>
  <c r="AC72" i="1"/>
  <c r="AC202" i="1"/>
  <c r="CX9" i="1"/>
  <c r="AD9" i="1" s="1"/>
  <c r="AD10" i="1" s="1"/>
  <c r="AD18" i="1" s="1"/>
  <c r="CW10" i="1"/>
  <c r="CT170" i="1" l="1"/>
  <c r="CS171" i="1"/>
  <c r="CS45" i="1"/>
  <c r="CS48" i="1"/>
  <c r="CS44" i="1"/>
  <c r="CS126" i="1"/>
  <c r="CS210" i="1"/>
  <c r="CS212" i="1" s="1"/>
  <c r="AC197" i="1"/>
  <c r="CS43" i="1"/>
  <c r="CS246" i="1"/>
  <c r="CS247" i="1" s="1"/>
  <c r="CU160" i="1"/>
  <c r="CU158" i="1"/>
  <c r="CU30" i="1"/>
  <c r="CU167" i="1"/>
  <c r="CS264" i="1"/>
  <c r="CS265" i="1" s="1"/>
  <c r="CU159" i="1"/>
  <c r="AC166" i="1"/>
  <c r="AC170" i="1" s="1"/>
  <c r="AC199" i="1" s="1"/>
  <c r="CU166" i="1"/>
  <c r="CU170" i="1" s="1"/>
  <c r="CT42" i="1"/>
  <c r="CT240" i="1" s="1"/>
  <c r="CT32" i="1"/>
  <c r="CT162" i="1"/>
  <c r="CT33" i="1"/>
  <c r="CU40" i="1"/>
  <c r="CU37" i="1" s="1"/>
  <c r="CU11" i="1"/>
  <c r="AC29" i="1"/>
  <c r="AC30" i="1" s="1"/>
  <c r="AC31" i="1" s="1"/>
  <c r="CV245" i="1"/>
  <c r="CV24" i="1"/>
  <c r="CV11" i="1" s="1"/>
  <c r="CV112" i="1"/>
  <c r="CV113" i="1" s="1"/>
  <c r="CV116" i="1" s="1"/>
  <c r="CV267" i="1"/>
  <c r="CW22" i="1"/>
  <c r="AC162" i="1"/>
  <c r="AC193" i="1"/>
  <c r="CU29" i="1"/>
  <c r="CU32" i="1"/>
  <c r="CU33" i="1"/>
  <c r="CY9" i="1"/>
  <c r="CX10" i="1"/>
  <c r="CU211" i="1" l="1"/>
  <c r="AC198" i="1"/>
  <c r="CT171" i="1"/>
  <c r="CT211" i="1"/>
  <c r="CU162" i="1"/>
  <c r="CT45" i="1"/>
  <c r="CV30" i="1"/>
  <c r="CV29" i="1" s="1"/>
  <c r="CT246" i="1"/>
  <c r="CT247" i="1" s="1"/>
  <c r="AC211" i="1"/>
  <c r="CT48" i="1"/>
  <c r="CT210" i="1"/>
  <c r="CU42" i="1"/>
  <c r="CU126" i="1" s="1"/>
  <c r="CT43" i="1"/>
  <c r="CT44" i="1"/>
  <c r="CT126" i="1"/>
  <c r="CT264" i="1"/>
  <c r="CT265" i="1" s="1"/>
  <c r="CV160" i="1"/>
  <c r="AC42" i="1"/>
  <c r="AC126" i="1" s="1"/>
  <c r="AC32" i="1"/>
  <c r="AC73" i="1"/>
  <c r="CV159" i="1"/>
  <c r="CV166" i="1"/>
  <c r="CV40" i="1"/>
  <c r="CV37" i="1" s="1"/>
  <c r="CV26" i="1"/>
  <c r="CV158" i="1"/>
  <c r="CV239" i="1"/>
  <c r="CV167" i="1"/>
  <c r="CW24" i="1"/>
  <c r="CW11" i="1" s="1"/>
  <c r="CW112" i="1"/>
  <c r="CW113" i="1" s="1"/>
  <c r="CW116" i="1" s="1"/>
  <c r="CW267" i="1"/>
  <c r="CW245" i="1"/>
  <c r="CX22" i="1"/>
  <c r="AD22" i="1" s="1"/>
  <c r="AD267" i="1" s="1"/>
  <c r="CM223" i="1"/>
  <c r="AB223" i="1"/>
  <c r="AC196" i="1"/>
  <c r="AC171" i="1"/>
  <c r="AC210" i="1"/>
  <c r="CY10" i="1"/>
  <c r="CZ9" i="1"/>
  <c r="CT212" i="1" l="1"/>
  <c r="CV32" i="1"/>
  <c r="CU171" i="1"/>
  <c r="CU210" i="1"/>
  <c r="CU212" i="1" s="1"/>
  <c r="AC212" i="1"/>
  <c r="CV42" i="1"/>
  <c r="CV33" i="1"/>
  <c r="CU44" i="1"/>
  <c r="CU43" i="1"/>
  <c r="CU246" i="1"/>
  <c r="CU247" i="1" s="1"/>
  <c r="CV170" i="1"/>
  <c r="CV211" i="1" s="1"/>
  <c r="CU240" i="1"/>
  <c r="AC43" i="1"/>
  <c r="CV162" i="1"/>
  <c r="CV210" i="1" s="1"/>
  <c r="CV212" i="1" s="1"/>
  <c r="CU48" i="1"/>
  <c r="CU264" i="1"/>
  <c r="CU265" i="1" s="1"/>
  <c r="CU45" i="1"/>
  <c r="AC264" i="1"/>
  <c r="AC265" i="1" s="1"/>
  <c r="AC44" i="1"/>
  <c r="AC74" i="1"/>
  <c r="AC48" i="1"/>
  <c r="CW26" i="1"/>
  <c r="CW159" i="1"/>
  <c r="CW158" i="1"/>
  <c r="CW166" i="1"/>
  <c r="CW30" i="1"/>
  <c r="CW29" i="1" s="1"/>
  <c r="CW167" i="1"/>
  <c r="CW160" i="1"/>
  <c r="CW239" i="1"/>
  <c r="CW40" i="1"/>
  <c r="CW37" i="1" s="1"/>
  <c r="AD24" i="1"/>
  <c r="AD202" i="1" s="1"/>
  <c r="CX245" i="1"/>
  <c r="CX24" i="1"/>
  <c r="CX267" i="1"/>
  <c r="CX112" i="1"/>
  <c r="CX113" i="1" s="1"/>
  <c r="CX116" i="1" s="1"/>
  <c r="CY22" i="1"/>
  <c r="CY112" i="1" s="1"/>
  <c r="CY113" i="1" s="1"/>
  <c r="CY116" i="1" s="1"/>
  <c r="CM50" i="1"/>
  <c r="AC195" i="1"/>
  <c r="AC200" i="1"/>
  <c r="AC203" i="1" s="1"/>
  <c r="AC204" i="1" s="1"/>
  <c r="CZ10" i="1"/>
  <c r="DA9" i="1"/>
  <c r="CV240" i="1" l="1"/>
  <c r="CV264" i="1"/>
  <c r="CV265" i="1" s="1"/>
  <c r="CV246" i="1"/>
  <c r="CV247" i="1" s="1"/>
  <c r="CV48" i="1"/>
  <c r="CV44" i="1"/>
  <c r="CV43" i="1"/>
  <c r="CV45" i="1"/>
  <c r="CV126" i="1"/>
  <c r="CV171" i="1"/>
  <c r="CW162" i="1"/>
  <c r="CW210" i="1" s="1"/>
  <c r="CW170" i="1"/>
  <c r="CW211" i="1" s="1"/>
  <c r="CW33" i="1"/>
  <c r="AD112" i="1"/>
  <c r="AD113" i="1" s="1"/>
  <c r="AD116" i="1" s="1"/>
  <c r="CW42" i="1"/>
  <c r="CW240" i="1" s="1"/>
  <c r="AD25" i="1"/>
  <c r="CW32" i="1"/>
  <c r="CX11" i="1"/>
  <c r="CX167" i="1"/>
  <c r="AD167" i="1" s="1"/>
  <c r="AD197" i="1" s="1"/>
  <c r="CY24" i="1"/>
  <c r="CY11" i="1" s="1"/>
  <c r="CY245" i="1"/>
  <c r="CY267" i="1"/>
  <c r="CX26" i="1"/>
  <c r="CX30" i="1"/>
  <c r="CX29" i="1" s="1"/>
  <c r="AD29" i="1" s="1"/>
  <c r="AD30" i="1" s="1"/>
  <c r="AD72" i="1"/>
  <c r="CX166" i="1"/>
  <c r="AD166" i="1" s="1"/>
  <c r="CX159" i="1"/>
  <c r="AD159" i="1" s="1"/>
  <c r="AD194" i="1" s="1"/>
  <c r="CX158" i="1"/>
  <c r="AD158" i="1" s="1"/>
  <c r="CX160" i="1"/>
  <c r="AD160" i="1" s="1"/>
  <c r="CX239" i="1"/>
  <c r="CX40" i="1"/>
  <c r="CX37" i="1" s="1"/>
  <c r="AD37" i="1" s="1"/>
  <c r="AD40" i="1" s="1"/>
  <c r="AD41" i="1" s="1"/>
  <c r="CZ22" i="1"/>
  <c r="CZ267" i="1" s="1"/>
  <c r="CM266" i="1"/>
  <c r="CM52" i="1"/>
  <c r="CM53" i="1" s="1"/>
  <c r="CM55" i="1" s="1"/>
  <c r="CY166" i="1"/>
  <c r="DB9" i="1"/>
  <c r="DB10" i="1" s="1"/>
  <c r="DA10" i="1"/>
  <c r="CW212" i="1" l="1"/>
  <c r="CW171" i="1"/>
  <c r="CW126" i="1"/>
  <c r="CW246" i="1"/>
  <c r="CW247" i="1" s="1"/>
  <c r="CW44" i="1"/>
  <c r="CW264" i="1"/>
  <c r="CW265" i="1" s="1"/>
  <c r="CW43" i="1"/>
  <c r="CW48" i="1"/>
  <c r="CY40" i="1"/>
  <c r="CY37" i="1" s="1"/>
  <c r="CY158" i="1"/>
  <c r="CY30" i="1"/>
  <c r="CY29" i="1" s="1"/>
  <c r="CW45" i="1"/>
  <c r="CY159" i="1"/>
  <c r="CY239" i="1"/>
  <c r="CY167" i="1"/>
  <c r="CY170" i="1" s="1"/>
  <c r="CY26" i="1"/>
  <c r="CY160" i="1"/>
  <c r="AD170" i="1"/>
  <c r="CX170" i="1"/>
  <c r="CX211" i="1" s="1"/>
  <c r="CX32" i="1"/>
  <c r="CX33" i="1"/>
  <c r="CZ24" i="1"/>
  <c r="CZ167" i="1" s="1"/>
  <c r="CX162" i="1"/>
  <c r="CZ112" i="1"/>
  <c r="CZ113" i="1" s="1"/>
  <c r="CZ116" i="1" s="1"/>
  <c r="CZ245" i="1"/>
  <c r="CX42" i="1"/>
  <c r="CX264" i="1" s="1"/>
  <c r="CX265" i="1" s="1"/>
  <c r="AD42" i="1"/>
  <c r="AD264" i="1" s="1"/>
  <c r="AD265" i="1" s="1"/>
  <c r="DB22" i="1"/>
  <c r="DA22" i="1"/>
  <c r="AD73" i="1"/>
  <c r="AD31" i="1"/>
  <c r="CM248" i="1"/>
  <c r="CM62" i="1"/>
  <c r="CM56" i="1"/>
  <c r="CM259" i="1" s="1"/>
  <c r="CM57" i="1"/>
  <c r="CM241" i="1"/>
  <c r="CM58" i="1"/>
  <c r="AD32" i="1"/>
  <c r="AD162" i="1"/>
  <c r="AD193" i="1"/>
  <c r="AE9" i="1"/>
  <c r="AE10" i="1" s="1"/>
  <c r="AE18" i="1" s="1"/>
  <c r="CY32" i="1" l="1"/>
  <c r="CY42" i="1"/>
  <c r="CY240" i="1" s="1"/>
  <c r="CY33" i="1"/>
  <c r="CY162" i="1"/>
  <c r="CZ40" i="1"/>
  <c r="CZ37" i="1" s="1"/>
  <c r="AD44" i="1"/>
  <c r="CY211" i="1"/>
  <c r="AD211" i="1"/>
  <c r="AD199" i="1"/>
  <c r="AD198" i="1" s="1"/>
  <c r="CX210" i="1"/>
  <c r="CX212" i="1" s="1"/>
  <c r="CX171" i="1"/>
  <c r="DB112" i="1"/>
  <c r="DB113" i="1" s="1"/>
  <c r="DB116" i="1" s="1"/>
  <c r="CZ11" i="1"/>
  <c r="CZ166" i="1"/>
  <c r="CZ170" i="1" s="1"/>
  <c r="CZ30" i="1"/>
  <c r="CZ159" i="1"/>
  <c r="CZ239" i="1"/>
  <c r="DB24" i="1"/>
  <c r="DB11" i="1" s="1"/>
  <c r="DB267" i="1"/>
  <c r="DB245" i="1"/>
  <c r="CX44" i="1"/>
  <c r="CZ26" i="1"/>
  <c r="CX48" i="1"/>
  <c r="CZ160" i="1"/>
  <c r="CX246" i="1"/>
  <c r="CX247" i="1" s="1"/>
  <c r="CZ158" i="1"/>
  <c r="AD43" i="1"/>
  <c r="AD126" i="1"/>
  <c r="AD74" i="1"/>
  <c r="CX43" i="1"/>
  <c r="AD48" i="1"/>
  <c r="DA112" i="1"/>
  <c r="DA113" i="1" s="1"/>
  <c r="DA116" i="1" s="1"/>
  <c r="CX240" i="1"/>
  <c r="CX126" i="1"/>
  <c r="CX45" i="1"/>
  <c r="DA245" i="1"/>
  <c r="AE22" i="1"/>
  <c r="DA24" i="1"/>
  <c r="DA11" i="1" s="1"/>
  <c r="DA267" i="1"/>
  <c r="CM207" i="1"/>
  <c r="CM209" i="1" s="1"/>
  <c r="CM213" i="1" s="1"/>
  <c r="CM227" i="1" s="1"/>
  <c r="CM80" i="1"/>
  <c r="CM83" i="1" s="1"/>
  <c r="CM133" i="1"/>
  <c r="AD171" i="1"/>
  <c r="AD196" i="1"/>
  <c r="AD210" i="1"/>
  <c r="CY210" i="1" l="1"/>
  <c r="CY246" i="1"/>
  <c r="CY247" i="1" s="1"/>
  <c r="CY48" i="1"/>
  <c r="CY44" i="1"/>
  <c r="CY43" i="1"/>
  <c r="CY45" i="1"/>
  <c r="CY126" i="1"/>
  <c r="CY264" i="1"/>
  <c r="CY265" i="1" s="1"/>
  <c r="CY171" i="1"/>
  <c r="CZ162" i="1"/>
  <c r="DB158" i="1"/>
  <c r="DB160" i="1"/>
  <c r="AE160" i="1" s="1"/>
  <c r="AD212" i="1"/>
  <c r="DB159" i="1"/>
  <c r="AE159" i="1" s="1"/>
  <c r="AE194" i="1" s="1"/>
  <c r="DB30" i="1"/>
  <c r="DB29" i="1" s="1"/>
  <c r="DB167" i="1"/>
  <c r="AE167" i="1" s="1"/>
  <c r="AE197" i="1" s="1"/>
  <c r="DB166" i="1"/>
  <c r="AE166" i="1" s="1"/>
  <c r="DB40" i="1"/>
  <c r="DB37" i="1" s="1"/>
  <c r="CZ29" i="1"/>
  <c r="CZ33" i="1"/>
  <c r="CZ42" i="1"/>
  <c r="CZ126" i="1" s="1"/>
  <c r="CZ32" i="1"/>
  <c r="AE24" i="1"/>
  <c r="AE112" i="1" s="1"/>
  <c r="AE113" i="1" s="1"/>
  <c r="AE116" i="1" s="1"/>
  <c r="AE267" i="1"/>
  <c r="DA239" i="1"/>
  <c r="DB239" i="1"/>
  <c r="DA40" i="1"/>
  <c r="DA37" i="1" s="1"/>
  <c r="DA167" i="1"/>
  <c r="DA26" i="1"/>
  <c r="DA158" i="1"/>
  <c r="DA159" i="1"/>
  <c r="DB26" i="1"/>
  <c r="DA166" i="1"/>
  <c r="DA160" i="1"/>
  <c r="DA30" i="1"/>
  <c r="CM134" i="1"/>
  <c r="CM93" i="1"/>
  <c r="CI103" i="1"/>
  <c r="CM99" i="1"/>
  <c r="CM92" i="1"/>
  <c r="CM84" i="1"/>
  <c r="CZ210" i="1"/>
  <c r="CZ211" i="1"/>
  <c r="AD200" i="1"/>
  <c r="AD203" i="1" s="1"/>
  <c r="AD204" i="1" s="1"/>
  <c r="AD195" i="1"/>
  <c r="CY212" i="1" l="1"/>
  <c r="CZ171" i="1"/>
  <c r="DB162" i="1"/>
  <c r="AE158" i="1"/>
  <c r="AE37" i="1"/>
  <c r="AE40" i="1" s="1"/>
  <c r="AE41" i="1" s="1"/>
  <c r="AE170" i="1"/>
  <c r="AE199" i="1" s="1"/>
  <c r="AE198" i="1" s="1"/>
  <c r="DB170" i="1"/>
  <c r="DB42" i="1"/>
  <c r="DB48" i="1" s="1"/>
  <c r="DB32" i="1"/>
  <c r="AE72" i="1"/>
  <c r="AE25" i="1"/>
  <c r="AE202" i="1"/>
  <c r="DA162" i="1"/>
  <c r="CZ240" i="1"/>
  <c r="CZ48" i="1"/>
  <c r="CZ44" i="1"/>
  <c r="CZ246" i="1"/>
  <c r="CZ247" i="1" s="1"/>
  <c r="CZ264" i="1"/>
  <c r="CZ265" i="1" s="1"/>
  <c r="CZ43" i="1"/>
  <c r="CZ45" i="1"/>
  <c r="DA42" i="1"/>
  <c r="DA126" i="1" s="1"/>
  <c r="DA170" i="1"/>
  <c r="DA211" i="1" s="1"/>
  <c r="DA29" i="1"/>
  <c r="AE29" i="1" s="1"/>
  <c r="AE30" i="1" s="1"/>
  <c r="DA32" i="1"/>
  <c r="DA33" i="1"/>
  <c r="DB33" i="1"/>
  <c r="CM95" i="1"/>
  <c r="CM121" i="1"/>
  <c r="CM96" i="1"/>
  <c r="CM122" i="1"/>
  <c r="CM143" i="1"/>
  <c r="CM69" i="1" s="1"/>
  <c r="CM106" i="1"/>
  <c r="CM108" i="1" s="1"/>
  <c r="CM221" i="1"/>
  <c r="CM219" i="1" s="1"/>
  <c r="CM224" i="1" s="1"/>
  <c r="CM174" i="1" s="1"/>
  <c r="CM175" i="1" s="1"/>
  <c r="CM68" i="1"/>
  <c r="CZ212" i="1"/>
  <c r="AE193" i="1" l="1"/>
  <c r="AE162" i="1"/>
  <c r="DB171" i="1"/>
  <c r="DB44" i="1"/>
  <c r="DB43" i="1"/>
  <c r="DB246" i="1"/>
  <c r="DB247" i="1" s="1"/>
  <c r="AE211" i="1"/>
  <c r="DA171" i="1"/>
  <c r="DA210" i="1"/>
  <c r="DA212" i="1" s="1"/>
  <c r="DB210" i="1"/>
  <c r="DB126" i="1"/>
  <c r="DB240" i="1"/>
  <c r="DA240" i="1"/>
  <c r="DA48" i="1"/>
  <c r="DA264" i="1"/>
  <c r="DA265" i="1" s="1"/>
  <c r="DA246" i="1"/>
  <c r="DA247" i="1" s="1"/>
  <c r="DA44" i="1"/>
  <c r="DB264" i="1"/>
  <c r="DB265" i="1" s="1"/>
  <c r="DB45" i="1"/>
  <c r="DA43" i="1"/>
  <c r="DA45" i="1"/>
  <c r="DB211" i="1"/>
  <c r="CM225" i="1"/>
  <c r="CM182" i="1"/>
  <c r="CM258" i="1"/>
  <c r="CM179" i="1"/>
  <c r="CM180" i="1" s="1"/>
  <c r="CN223" i="1"/>
  <c r="CM260" i="1"/>
  <c r="CM262" i="1"/>
  <c r="AE32" i="1"/>
  <c r="AE42" i="1"/>
  <c r="AE31" i="1"/>
  <c r="AE73" i="1"/>
  <c r="AE171" i="1" l="1"/>
  <c r="AE196" i="1"/>
  <c r="AE210" i="1"/>
  <c r="DB212" i="1"/>
  <c r="CM123" i="1"/>
  <c r="CN50" i="1"/>
  <c r="AE200" i="1"/>
  <c r="AE203" i="1" s="1"/>
  <c r="AE204" i="1" s="1"/>
  <c r="AE43" i="1"/>
  <c r="AE264" i="1"/>
  <c r="AE265" i="1" s="1"/>
  <c r="AE74" i="1"/>
  <c r="AE48" i="1"/>
  <c r="AE126" i="1"/>
  <c r="AE44" i="1"/>
  <c r="AE212" i="1" l="1"/>
  <c r="AE195" i="1"/>
  <c r="CN266" i="1"/>
  <c r="CN52" i="1"/>
  <c r="CN53" i="1" s="1"/>
  <c r="CN55" i="1" s="1"/>
  <c r="CM124" i="1"/>
  <c r="CM127" i="1" s="1"/>
  <c r="CM125" i="1"/>
  <c r="CM128" i="1" s="1"/>
  <c r="CN62" i="1" l="1"/>
  <c r="CN241" i="1"/>
  <c r="CN57" i="1"/>
  <c r="CN58" i="1"/>
  <c r="CN248" i="1"/>
  <c r="CN56" i="1"/>
  <c r="CN259" i="1" s="1"/>
  <c r="CN207" i="1" l="1"/>
  <c r="CN209" i="1" s="1"/>
  <c r="CN213" i="1" s="1"/>
  <c r="CN227" i="1" s="1"/>
  <c r="CN80" i="1"/>
  <c r="CN83" i="1" s="1"/>
  <c r="CN133" i="1"/>
  <c r="CN134" i="1" s="1"/>
  <c r="CN68" i="1" s="1"/>
  <c r="CN221" i="1" l="1"/>
  <c r="CN219" i="1" s="1"/>
  <c r="CN224" i="1" s="1"/>
  <c r="CN106" i="1"/>
  <c r="CN108" i="1" s="1"/>
  <c r="CN143" i="1"/>
  <c r="CN69" i="1" s="1"/>
  <c r="CN92" i="1"/>
  <c r="CN84" i="1"/>
  <c r="CJ103" i="1"/>
  <c r="CN93" i="1"/>
  <c r="CN99" i="1"/>
  <c r="CN96" i="1" l="1"/>
  <c r="CN122" i="1"/>
  <c r="CN121" i="1"/>
  <c r="CN95" i="1"/>
  <c r="CN174" i="1"/>
  <c r="CN175" i="1" s="1"/>
  <c r="CN225" i="1" s="1"/>
  <c r="CN262" i="1" l="1"/>
  <c r="CN260" i="1"/>
  <c r="CN182" i="1"/>
  <c r="CO223" i="1"/>
  <c r="CN258" i="1"/>
  <c r="CN179" i="1"/>
  <c r="CN180" i="1" s="1"/>
  <c r="CO50" i="1" l="1"/>
  <c r="CN123" i="1"/>
  <c r="CN124" i="1" l="1"/>
  <c r="CN127" i="1" s="1"/>
  <c r="CN125" i="1"/>
  <c r="CN128" i="1" s="1"/>
  <c r="CO266" i="1"/>
  <c r="CO52" i="1"/>
  <c r="CO53" i="1" s="1"/>
  <c r="CO55" i="1" s="1"/>
  <c r="CO62" i="1" l="1"/>
  <c r="CO57" i="1"/>
  <c r="CO248" i="1"/>
  <c r="CO241" i="1"/>
  <c r="CO56" i="1"/>
  <c r="CO259" i="1" s="1"/>
  <c r="CO58" i="1"/>
  <c r="CO80" i="1" l="1"/>
  <c r="CO83" i="1" s="1"/>
  <c r="CO207" i="1"/>
  <c r="CO209" i="1" s="1"/>
  <c r="CO213" i="1" s="1"/>
  <c r="CO227" i="1" s="1"/>
  <c r="CO133" i="1"/>
  <c r="CO134" i="1" s="1"/>
  <c r="CO68" i="1" s="1"/>
  <c r="CO143" i="1" l="1"/>
  <c r="CO69" i="1" s="1"/>
  <c r="CO106" i="1"/>
  <c r="CO108" i="1" s="1"/>
  <c r="CO221" i="1"/>
  <c r="CO219" i="1" s="1"/>
  <c r="CO224" i="1" s="1"/>
  <c r="CO174" i="1" s="1"/>
  <c r="CO175" i="1" s="1"/>
  <c r="CK103" i="1"/>
  <c r="CO84" i="1"/>
  <c r="CO99" i="1"/>
  <c r="CO92" i="1"/>
  <c r="CO93" i="1"/>
  <c r="CO122" i="1" l="1"/>
  <c r="CO96" i="1"/>
  <c r="CO95" i="1"/>
  <c r="CO121" i="1"/>
  <c r="CO225" i="1"/>
  <c r="CO260" i="1"/>
  <c r="CO258" i="1"/>
  <c r="CO179" i="1"/>
  <c r="CO180" i="1" s="1"/>
  <c r="CO182" i="1"/>
  <c r="CP223" i="1"/>
  <c r="CO262" i="1"/>
  <c r="CP50" i="1" l="1"/>
  <c r="CO123" i="1"/>
  <c r="CO125" i="1" s="1"/>
  <c r="CO128" i="1" s="1"/>
  <c r="AB50" i="1" l="1"/>
  <c r="CP266" i="1"/>
  <c r="CP52" i="1"/>
  <c r="CO124" i="1"/>
  <c r="CO127" i="1" s="1"/>
  <c r="CP53" i="1" l="1"/>
  <c r="AB53" i="1" s="1"/>
  <c r="AB51" i="1"/>
  <c r="AB266" i="1"/>
  <c r="AB52" i="1"/>
  <c r="AB55" i="1" l="1"/>
  <c r="AB62" i="1" s="1"/>
  <c r="AB54" i="1"/>
  <c r="CP55" i="1"/>
  <c r="AB57" i="1" l="1"/>
  <c r="AB56" i="1"/>
  <c r="AB259" i="1" s="1"/>
  <c r="CP56" i="1"/>
  <c r="CP259" i="1" s="1"/>
  <c r="CP57" i="1"/>
  <c r="CP62" i="1"/>
  <c r="CP58" i="1"/>
  <c r="CP241" i="1"/>
  <c r="CP248" i="1"/>
  <c r="AB65" i="1"/>
  <c r="AB66" i="1" s="1"/>
  <c r="AB80" i="1"/>
  <c r="AB207" i="1"/>
  <c r="AB209" i="1" s="1"/>
  <c r="AB213" i="1" s="1"/>
  <c r="AB227" i="1" s="1"/>
  <c r="AB75" i="1"/>
  <c r="AB83" i="1" l="1"/>
  <c r="AA103" i="1" s="1"/>
  <c r="AB82" i="1"/>
  <c r="CP207" i="1"/>
  <c r="CP209" i="1" s="1"/>
  <c r="CP213" i="1" s="1"/>
  <c r="CP227" i="1" s="1"/>
  <c r="CP80" i="1"/>
  <c r="CP83" i="1" s="1"/>
  <c r="CL103" i="1" s="1"/>
  <c r="CP133" i="1"/>
  <c r="AB133" i="1" l="1"/>
  <c r="AB134" i="1" s="1"/>
  <c r="CP134" i="1"/>
  <c r="CP92" i="1"/>
  <c r="CP84" i="1"/>
  <c r="CP99" i="1"/>
  <c r="CP93" i="1"/>
  <c r="CP86" i="1"/>
  <c r="AB84" i="1"/>
  <c r="AB99" i="1"/>
  <c r="CP96" i="1" l="1"/>
  <c r="AB93" i="1"/>
  <c r="CP122" i="1"/>
  <c r="CP95" i="1"/>
  <c r="CP121" i="1"/>
  <c r="AB92" i="1"/>
  <c r="CP143" i="1"/>
  <c r="CP69" i="1" s="1"/>
  <c r="CP106" i="1"/>
  <c r="CP108" i="1" s="1"/>
  <c r="CP221" i="1"/>
  <c r="CP219" i="1" s="1"/>
  <c r="CP224" i="1" s="1"/>
  <c r="CP68" i="1"/>
  <c r="AB143" i="1"/>
  <c r="AB69" i="1" s="1"/>
  <c r="AB106" i="1"/>
  <c r="AB108" i="1" s="1"/>
  <c r="AB221" i="1"/>
  <c r="AB219" i="1" s="1"/>
  <c r="AB224" i="1" s="1"/>
  <c r="AB189" i="1"/>
  <c r="AB68" i="1"/>
  <c r="AB117" i="1" l="1"/>
  <c r="AB121" i="1"/>
  <c r="AB100" i="1"/>
  <c r="AB95" i="1"/>
  <c r="AB109" i="1"/>
  <c r="AB101" i="1"/>
  <c r="AB122" i="1"/>
  <c r="AB118" i="1"/>
  <c r="AB96" i="1"/>
  <c r="AB110" i="1"/>
  <c r="CP174" i="1"/>
  <c r="CP175" i="1" l="1"/>
  <c r="AB174" i="1"/>
  <c r="AB175" i="1" s="1"/>
  <c r="AB258" i="1" l="1"/>
  <c r="AB262" i="1"/>
  <c r="AB182" i="1"/>
  <c r="AB123" i="1" s="1"/>
  <c r="AC223" i="1"/>
  <c r="AB179" i="1"/>
  <c r="AB180" i="1" s="1"/>
  <c r="AB260" i="1"/>
  <c r="AB225" i="1"/>
  <c r="CP182" i="1"/>
  <c r="CP260" i="1"/>
  <c r="CQ223" i="1"/>
  <c r="CP258" i="1"/>
  <c r="CP179" i="1"/>
  <c r="CP180" i="1" s="1"/>
  <c r="CP262" i="1"/>
  <c r="CP225" i="1"/>
  <c r="CP123" i="1" l="1"/>
  <c r="CQ50" i="1"/>
  <c r="AB125" i="1"/>
  <c r="AB128" i="1" s="1"/>
  <c r="AB124" i="1"/>
  <c r="AB127" i="1" s="1"/>
  <c r="CQ266" i="1" l="1"/>
  <c r="CQ52" i="1"/>
  <c r="CQ53" i="1" s="1"/>
  <c r="CQ55" i="1" s="1"/>
  <c r="CP124" i="1"/>
  <c r="CP127" i="1" s="1"/>
  <c r="CP125" i="1"/>
  <c r="CP128" i="1" s="1"/>
  <c r="CQ56" i="1" l="1"/>
  <c r="CQ259" i="1" s="1"/>
  <c r="CQ57" i="1"/>
  <c r="CQ58" i="1"/>
  <c r="CQ248" i="1"/>
  <c r="CQ62" i="1"/>
  <c r="CQ241" i="1"/>
  <c r="CQ207" i="1" l="1"/>
  <c r="CQ209" i="1" s="1"/>
  <c r="CQ213" i="1" s="1"/>
  <c r="CQ227" i="1" s="1"/>
  <c r="CQ133" i="1"/>
  <c r="CQ134" i="1" s="1"/>
  <c r="CQ68" i="1" s="1"/>
  <c r="CQ80" i="1"/>
  <c r="CQ83" i="1" s="1"/>
  <c r="CQ99" i="1" l="1"/>
  <c r="CQ84" i="1"/>
  <c r="CQ93" i="1"/>
  <c r="CQ92" i="1"/>
  <c r="CQ143" i="1"/>
  <c r="CQ69" i="1" s="1"/>
  <c r="CQ106" i="1"/>
  <c r="CQ108" i="1" s="1"/>
  <c r="CQ221" i="1"/>
  <c r="CQ219" i="1" s="1"/>
  <c r="CQ224" i="1" s="1"/>
  <c r="CQ174" i="1" l="1"/>
  <c r="CQ175" i="1" s="1"/>
  <c r="CQ225" i="1" s="1"/>
  <c r="CQ121" i="1"/>
  <c r="CQ95" i="1"/>
  <c r="CQ122" i="1"/>
  <c r="CQ96" i="1"/>
  <c r="CQ260" i="1" l="1"/>
  <c r="CQ182" i="1"/>
  <c r="CQ179" i="1"/>
  <c r="CQ180" i="1" s="1"/>
  <c r="CQ262" i="1"/>
  <c r="CQ258" i="1"/>
  <c r="CR223" i="1"/>
  <c r="CQ123" i="1" l="1"/>
  <c r="CR50" i="1"/>
  <c r="CR52" i="1" l="1"/>
  <c r="CR53" i="1" s="1"/>
  <c r="CR55" i="1" s="1"/>
  <c r="CR266" i="1"/>
  <c r="CQ124" i="1"/>
  <c r="CQ127" i="1" s="1"/>
  <c r="CQ125" i="1"/>
  <c r="CQ128" i="1" s="1"/>
  <c r="CR58" i="1" l="1"/>
  <c r="CR241" i="1"/>
  <c r="CR248" i="1"/>
  <c r="CR56" i="1"/>
  <c r="CR259" i="1" s="1"/>
  <c r="CR62" i="1"/>
  <c r="CR57" i="1"/>
  <c r="CR207" i="1" l="1"/>
  <c r="CR209" i="1" s="1"/>
  <c r="CR213" i="1" s="1"/>
  <c r="CR227" i="1" s="1"/>
  <c r="CR133" i="1"/>
  <c r="CR134" i="1" s="1"/>
  <c r="CR68" i="1" s="1"/>
  <c r="CR80" i="1"/>
  <c r="CR83" i="1" s="1"/>
  <c r="CR93" i="1" l="1"/>
  <c r="CR99" i="1"/>
  <c r="CR84" i="1"/>
  <c r="CR92" i="1"/>
  <c r="CR221" i="1"/>
  <c r="CR219" i="1" s="1"/>
  <c r="CR224" i="1" s="1"/>
  <c r="CR174" i="1" s="1"/>
  <c r="CR175" i="1" s="1"/>
  <c r="CR106" i="1"/>
  <c r="CR108" i="1" s="1"/>
  <c r="CR143" i="1"/>
  <c r="CR69" i="1" s="1"/>
  <c r="CR225" i="1" l="1"/>
  <c r="CR182" i="1"/>
  <c r="CR179" i="1"/>
  <c r="CR180" i="1" s="1"/>
  <c r="CR262" i="1"/>
  <c r="CR260" i="1"/>
  <c r="CR258" i="1"/>
  <c r="CS223" i="1"/>
  <c r="CR121" i="1"/>
  <c r="CR95" i="1"/>
  <c r="CR122" i="1"/>
  <c r="CR96" i="1"/>
  <c r="CR123" i="1" l="1"/>
  <c r="CR124" i="1" s="1"/>
  <c r="CR127" i="1" s="1"/>
  <c r="CS50" i="1"/>
  <c r="CS266" i="1" l="1"/>
  <c r="CS52" i="1"/>
  <c r="CR125" i="1"/>
  <c r="CR128" i="1" s="1"/>
  <c r="CS53" i="1" l="1"/>
  <c r="CS55" i="1" s="1"/>
  <c r="CS241" i="1" l="1"/>
  <c r="CS62" i="1"/>
  <c r="CS58" i="1"/>
  <c r="CS248" i="1"/>
  <c r="CS57" i="1"/>
  <c r="CS56" i="1"/>
  <c r="CS259" i="1" s="1"/>
  <c r="CS80" i="1" l="1"/>
  <c r="CS83" i="1" s="1"/>
  <c r="CS207" i="1"/>
  <c r="CS209" i="1" s="1"/>
  <c r="CS213" i="1" s="1"/>
  <c r="CS227" i="1" s="1"/>
  <c r="CS133" i="1"/>
  <c r="CS134" i="1" s="1"/>
  <c r="CS68" i="1" s="1"/>
  <c r="CS221" i="1" l="1"/>
  <c r="CS219" i="1" s="1"/>
  <c r="CS224" i="1" s="1"/>
  <c r="CS174" i="1" s="1"/>
  <c r="CS175" i="1" s="1"/>
  <c r="CS143" i="1"/>
  <c r="CS69" i="1" s="1"/>
  <c r="CS106" i="1"/>
  <c r="CS108" i="1" s="1"/>
  <c r="CS92" i="1"/>
  <c r="CS93" i="1"/>
  <c r="CS99" i="1"/>
  <c r="CS84" i="1"/>
  <c r="CS96" i="1" l="1"/>
  <c r="CS122" i="1"/>
  <c r="CS121" i="1"/>
  <c r="CS95" i="1"/>
  <c r="CS225" i="1"/>
  <c r="CS179" i="1"/>
  <c r="CS180" i="1" s="1"/>
  <c r="CS182" i="1"/>
  <c r="CS260" i="1"/>
  <c r="CS262" i="1"/>
  <c r="CS258" i="1"/>
  <c r="CT223" i="1"/>
  <c r="CS123" i="1" l="1"/>
  <c r="CS125" i="1" s="1"/>
  <c r="CS128" i="1" s="1"/>
  <c r="CT50" i="1"/>
  <c r="CT266" i="1" l="1"/>
  <c r="CT52" i="1"/>
  <c r="CT53" i="1" s="1"/>
  <c r="AC53" i="1" s="1"/>
  <c r="AC50" i="1"/>
  <c r="CS124" i="1"/>
  <c r="CS127" i="1" s="1"/>
  <c r="CT55" i="1" l="1"/>
  <c r="CT58" i="1" s="1"/>
  <c r="AC51" i="1"/>
  <c r="AC266" i="1"/>
  <c r="AC52" i="1"/>
  <c r="AC55" i="1" s="1"/>
  <c r="AC57" i="1" s="1"/>
  <c r="CT62" i="1" l="1"/>
  <c r="CT80" i="1" s="1"/>
  <c r="CT248" i="1"/>
  <c r="CT57" i="1"/>
  <c r="AC75" i="1"/>
  <c r="AC56" i="1"/>
  <c r="AC259" i="1" s="1"/>
  <c r="CT241" i="1"/>
  <c r="AC62" i="1"/>
  <c r="AC65" i="1" s="1"/>
  <c r="AC66" i="1" s="1"/>
  <c r="CT56" i="1"/>
  <c r="CT259" i="1" s="1"/>
  <c r="AC54" i="1"/>
  <c r="CT133" i="1" l="1"/>
  <c r="CT134" i="1" s="1"/>
  <c r="CT207" i="1"/>
  <c r="CT209" i="1" s="1"/>
  <c r="CT213" i="1" s="1"/>
  <c r="CT227" i="1" s="1"/>
  <c r="AC80" i="1"/>
  <c r="AC82" i="1" s="1"/>
  <c r="AC207" i="1"/>
  <c r="AC209" i="1" s="1"/>
  <c r="AC213" i="1" s="1"/>
  <c r="AC227" i="1" s="1"/>
  <c r="CT83" i="1"/>
  <c r="AC83" i="1" l="1"/>
  <c r="AB103" i="1" s="1"/>
  <c r="AC133" i="1"/>
  <c r="AC134" i="1" s="1"/>
  <c r="AC68" i="1" s="1"/>
  <c r="CT86" i="1"/>
  <c r="CT99" i="1"/>
  <c r="CT92" i="1"/>
  <c r="CT93" i="1"/>
  <c r="CT84" i="1"/>
  <c r="CT143" i="1"/>
  <c r="CT69" i="1" s="1"/>
  <c r="CT221" i="1"/>
  <c r="CT219" i="1" s="1"/>
  <c r="CT224" i="1" s="1"/>
  <c r="CT106" i="1"/>
  <c r="CT108" i="1" s="1"/>
  <c r="CT68" i="1"/>
  <c r="AC84" i="1" l="1"/>
  <c r="AC99" i="1"/>
  <c r="AC221" i="1"/>
  <c r="AC219" i="1" s="1"/>
  <c r="AC224" i="1" s="1"/>
  <c r="AC189" i="1"/>
  <c r="AC106" i="1"/>
  <c r="AC108" i="1" s="1"/>
  <c r="AC143" i="1"/>
  <c r="AC69" i="1" s="1"/>
  <c r="CT122" i="1"/>
  <c r="CT96" i="1"/>
  <c r="AC93" i="1"/>
  <c r="CT121" i="1"/>
  <c r="CT95" i="1"/>
  <c r="AC92" i="1"/>
  <c r="CT174" i="1"/>
  <c r="AC117" i="1" l="1"/>
  <c r="AC100" i="1"/>
  <c r="AC95" i="1"/>
  <c r="AC109" i="1"/>
  <c r="AC121" i="1"/>
  <c r="CT175" i="1"/>
  <c r="AC174" i="1"/>
  <c r="AC175" i="1" s="1"/>
  <c r="AC118" i="1"/>
  <c r="AC101" i="1"/>
  <c r="AC110" i="1"/>
  <c r="AC96" i="1"/>
  <c r="AC122" i="1"/>
  <c r="CT260" i="1" l="1"/>
  <c r="CT182" i="1"/>
  <c r="CT258" i="1"/>
  <c r="CU223" i="1"/>
  <c r="CT262" i="1"/>
  <c r="CT179" i="1"/>
  <c r="CT180" i="1" s="1"/>
  <c r="CT225" i="1"/>
  <c r="AD223" i="1"/>
  <c r="AC262" i="1"/>
  <c r="AC182" i="1"/>
  <c r="AC123" i="1" s="1"/>
  <c r="AC260" i="1"/>
  <c r="AC179" i="1"/>
  <c r="AC180" i="1" s="1"/>
  <c r="AC258" i="1"/>
  <c r="AC225" i="1"/>
  <c r="AC124" i="1" l="1"/>
  <c r="AC127" i="1" s="1"/>
  <c r="AC125" i="1"/>
  <c r="AC128" i="1" s="1"/>
  <c r="CT123" i="1"/>
  <c r="CU50" i="1"/>
  <c r="CU266" i="1" l="1"/>
  <c r="CU52" i="1"/>
  <c r="CU53" i="1" s="1"/>
  <c r="CU55" i="1" s="1"/>
  <c r="CT125" i="1"/>
  <c r="CT128" i="1" s="1"/>
  <c r="CT124" i="1"/>
  <c r="CT127" i="1" s="1"/>
  <c r="CU56" i="1" l="1"/>
  <c r="CU259" i="1" s="1"/>
  <c r="CU57" i="1"/>
  <c r="CU58" i="1"/>
  <c r="CU62" i="1"/>
  <c r="CU248" i="1"/>
  <c r="CU241" i="1"/>
  <c r="CU207" i="1" l="1"/>
  <c r="CU209" i="1" s="1"/>
  <c r="CU213" i="1" s="1"/>
  <c r="CU227" i="1" s="1"/>
  <c r="CU80" i="1"/>
  <c r="CU133" i="1"/>
  <c r="CU134" i="1" l="1"/>
  <c r="CU83" i="1"/>
  <c r="CU99" i="1" l="1"/>
  <c r="CU93" i="1"/>
  <c r="CU92" i="1"/>
  <c r="CU84" i="1"/>
  <c r="CU143" i="1"/>
  <c r="CU69" i="1" s="1"/>
  <c r="CU221" i="1"/>
  <c r="CU219" i="1" s="1"/>
  <c r="CU224" i="1" s="1"/>
  <c r="CU106" i="1"/>
  <c r="CU108" i="1" s="1"/>
  <c r="CU68" i="1"/>
  <c r="CU174" i="1" l="1"/>
  <c r="CU175" i="1" s="1"/>
  <c r="CU225" i="1" s="1"/>
  <c r="CU122" i="1"/>
  <c r="CU96" i="1"/>
  <c r="CU121" i="1"/>
  <c r="CU95" i="1"/>
  <c r="CU262" i="1" l="1"/>
  <c r="CU258" i="1"/>
  <c r="CU260" i="1"/>
  <c r="CU179" i="1"/>
  <c r="CU180" i="1" s="1"/>
  <c r="CV223" i="1"/>
  <c r="CU182" i="1"/>
  <c r="CV50" i="1" l="1"/>
  <c r="CU123" i="1"/>
  <c r="CU124" i="1" l="1"/>
  <c r="CU127" i="1" s="1"/>
  <c r="CU125" i="1"/>
  <c r="CU128" i="1" s="1"/>
  <c r="CV266" i="1"/>
  <c r="CV52" i="1"/>
  <c r="CV53" i="1" l="1"/>
  <c r="CV55" i="1" s="1"/>
  <c r="CV62" i="1" l="1"/>
  <c r="CV248" i="1"/>
  <c r="CV56" i="1"/>
  <c r="CV259" i="1" s="1"/>
  <c r="CV58" i="1"/>
  <c r="CV57" i="1"/>
  <c r="CV241" i="1"/>
  <c r="CV207" i="1" l="1"/>
  <c r="CV209" i="1" s="1"/>
  <c r="CV213" i="1" s="1"/>
  <c r="CV227" i="1" s="1"/>
  <c r="CV80" i="1"/>
  <c r="CV133" i="1"/>
  <c r="CV134" i="1" l="1"/>
  <c r="CV83" i="1"/>
  <c r="CV92" i="1" l="1"/>
  <c r="CV93" i="1"/>
  <c r="CV99" i="1"/>
  <c r="CV84" i="1"/>
  <c r="CV106" i="1"/>
  <c r="CV108" i="1" s="1"/>
  <c r="CV143" i="1"/>
  <c r="CV69" i="1" s="1"/>
  <c r="CV221" i="1"/>
  <c r="CV219" i="1" s="1"/>
  <c r="CV224" i="1" s="1"/>
  <c r="CV68" i="1"/>
  <c r="CV122" i="1" l="1"/>
  <c r="CV96" i="1"/>
  <c r="CV174" i="1"/>
  <c r="CV175" i="1" s="1"/>
  <c r="CV225" i="1" s="1"/>
  <c r="CV121" i="1"/>
  <c r="CV95" i="1"/>
  <c r="CV260" i="1" l="1"/>
  <c r="CV258" i="1"/>
  <c r="CV262" i="1"/>
  <c r="CV182" i="1"/>
  <c r="CW223" i="1"/>
  <c r="CV179" i="1"/>
  <c r="CV180" i="1" s="1"/>
  <c r="CV123" i="1" l="1"/>
  <c r="CW50" i="1"/>
  <c r="CW266" i="1" l="1"/>
  <c r="CW52" i="1"/>
  <c r="CV124" i="1"/>
  <c r="CV127" i="1" s="1"/>
  <c r="CV125" i="1"/>
  <c r="CV128" i="1" s="1"/>
  <c r="CW53" i="1" l="1"/>
  <c r="CW55" i="1" s="1"/>
  <c r="CW56" i="1" l="1"/>
  <c r="CW259" i="1" s="1"/>
  <c r="CW58" i="1"/>
  <c r="CW62" i="1"/>
  <c r="CW57" i="1"/>
  <c r="CW248" i="1"/>
  <c r="CW241" i="1"/>
  <c r="CW207" i="1" l="1"/>
  <c r="CW209" i="1" s="1"/>
  <c r="CW213" i="1" s="1"/>
  <c r="CW227" i="1" s="1"/>
  <c r="CW80" i="1"/>
  <c r="CW133" i="1"/>
  <c r="CW134" i="1" l="1"/>
  <c r="CW83" i="1"/>
  <c r="CW99" i="1" l="1"/>
  <c r="CW93" i="1"/>
  <c r="CW92" i="1"/>
  <c r="CW84" i="1"/>
  <c r="CW221" i="1"/>
  <c r="CW219" i="1" s="1"/>
  <c r="CW224" i="1" s="1"/>
  <c r="CW143" i="1"/>
  <c r="CW69" i="1" s="1"/>
  <c r="CW106" i="1"/>
  <c r="CW108" i="1" s="1"/>
  <c r="CW68" i="1"/>
  <c r="CW121" i="1" l="1"/>
  <c r="CW95" i="1"/>
  <c r="CW96" i="1"/>
  <c r="CW122" i="1"/>
  <c r="CW174" i="1"/>
  <c r="CW175" i="1" s="1"/>
  <c r="CW225" i="1" s="1"/>
  <c r="CW260" i="1" l="1"/>
  <c r="CW258" i="1"/>
  <c r="CW262" i="1"/>
  <c r="CW179" i="1"/>
  <c r="CW180" i="1" s="1"/>
  <c r="CW182" i="1"/>
  <c r="CX223" i="1"/>
  <c r="CX50" i="1" l="1"/>
  <c r="CW123" i="1"/>
  <c r="CW125" i="1" l="1"/>
  <c r="CW128" i="1" s="1"/>
  <c r="CW124" i="1"/>
  <c r="CW127" i="1" s="1"/>
  <c r="CX266" i="1"/>
  <c r="CX52" i="1"/>
  <c r="AD50" i="1"/>
  <c r="AD51" i="1" l="1"/>
  <c r="AD266" i="1"/>
  <c r="AD52" i="1"/>
  <c r="CX53" i="1"/>
  <c r="AD53" i="1" s="1"/>
  <c r="AD54" i="1" l="1"/>
  <c r="CX55" i="1"/>
  <c r="AD55" i="1"/>
  <c r="AD56" i="1" l="1"/>
  <c r="AD259" i="1" s="1"/>
  <c r="AD62" i="1"/>
  <c r="AD75" i="1"/>
  <c r="AD57" i="1"/>
  <c r="CX241" i="1"/>
  <c r="CX58" i="1"/>
  <c r="CX62" i="1"/>
  <c r="CX56" i="1"/>
  <c r="CX259" i="1" s="1"/>
  <c r="CX57" i="1"/>
  <c r="CX248" i="1"/>
  <c r="CX80" i="1" l="1"/>
  <c r="CX207" i="1"/>
  <c r="CX209" i="1" s="1"/>
  <c r="CX213" i="1" s="1"/>
  <c r="CX227" i="1" s="1"/>
  <c r="CX133" i="1"/>
  <c r="AD80" i="1"/>
  <c r="AD65" i="1"/>
  <c r="AD66" i="1" s="1"/>
  <c r="AD207" i="1"/>
  <c r="AD209" i="1" s="1"/>
  <c r="AD213" i="1" s="1"/>
  <c r="AD227" i="1" s="1"/>
  <c r="AD133" i="1" l="1"/>
  <c r="AD134" i="1" s="1"/>
  <c r="CX134" i="1"/>
  <c r="AD82" i="1"/>
  <c r="AD83" i="1"/>
  <c r="CX83" i="1"/>
  <c r="CX92" i="1" l="1"/>
  <c r="CX99" i="1"/>
  <c r="CX93" i="1"/>
  <c r="CX84" i="1"/>
  <c r="AD84" i="1"/>
  <c r="AD99" i="1"/>
  <c r="AC103" i="1"/>
  <c r="CX221" i="1"/>
  <c r="CX219" i="1" s="1"/>
  <c r="CX224" i="1" s="1"/>
  <c r="CX143" i="1"/>
  <c r="CX69" i="1" s="1"/>
  <c r="CX68" i="1"/>
  <c r="CX106" i="1"/>
  <c r="CX108" i="1" s="1"/>
  <c r="AD106" i="1"/>
  <c r="AD108" i="1" s="1"/>
  <c r="AD221" i="1"/>
  <c r="AD219" i="1" s="1"/>
  <c r="AD224" i="1" s="1"/>
  <c r="AD189" i="1"/>
  <c r="AD143" i="1"/>
  <c r="AD69" i="1" s="1"/>
  <c r="AD68" i="1"/>
  <c r="CX174" i="1" l="1"/>
  <c r="CX122" i="1"/>
  <c r="CX96" i="1"/>
  <c r="AD93" i="1"/>
  <c r="CX121" i="1"/>
  <c r="CX95" i="1"/>
  <c r="AD92" i="1"/>
  <c r="AD118" i="1" l="1"/>
  <c r="AD122" i="1"/>
  <c r="AD96" i="1"/>
  <c r="AD110" i="1"/>
  <c r="AD101" i="1"/>
  <c r="AD117" i="1"/>
  <c r="AD109" i="1"/>
  <c r="AD121" i="1"/>
  <c r="AD100" i="1"/>
  <c r="AD95" i="1"/>
  <c r="CX175" i="1"/>
  <c r="AD174" i="1"/>
  <c r="AD175" i="1" s="1"/>
  <c r="AD262" i="1" l="1"/>
  <c r="AD182" i="1"/>
  <c r="AD123" i="1" s="1"/>
  <c r="AD125" i="1" s="1"/>
  <c r="AD128" i="1" s="1"/>
  <c r="AE223" i="1"/>
  <c r="AD260" i="1"/>
  <c r="AD179" i="1"/>
  <c r="AD180" i="1" s="1"/>
  <c r="AD258" i="1"/>
  <c r="AD225" i="1"/>
  <c r="CY223" i="1"/>
  <c r="CX262" i="1"/>
  <c r="CX179" i="1"/>
  <c r="CX180" i="1" s="1"/>
  <c r="CX260" i="1"/>
  <c r="CX182" i="1"/>
  <c r="CX258" i="1"/>
  <c r="CX225" i="1"/>
  <c r="AD124" i="1" l="1"/>
  <c r="AD127" i="1" s="1"/>
  <c r="CX123" i="1"/>
  <c r="CY50" i="1"/>
  <c r="CX124" i="1" l="1"/>
  <c r="CX127" i="1" s="1"/>
  <c r="CX125" i="1"/>
  <c r="CX128" i="1" s="1"/>
  <c r="CY266" i="1"/>
  <c r="CY52" i="1"/>
  <c r="CY53" i="1" l="1"/>
  <c r="CY55" i="1" s="1"/>
  <c r="CY56" i="1" l="1"/>
  <c r="CY259" i="1" s="1"/>
  <c r="CY248" i="1"/>
  <c r="CY57" i="1"/>
  <c r="CY62" i="1"/>
  <c r="CY58" i="1"/>
  <c r="CY241" i="1"/>
  <c r="CY80" i="1" l="1"/>
  <c r="CY207" i="1"/>
  <c r="CY209" i="1" s="1"/>
  <c r="CY213" i="1" s="1"/>
  <c r="CY227" i="1" s="1"/>
  <c r="CY133" i="1"/>
  <c r="CY134" i="1" l="1"/>
  <c r="CY83" i="1"/>
  <c r="CY84" i="1" l="1"/>
  <c r="CY92" i="1"/>
  <c r="CY93" i="1"/>
  <c r="CY99" i="1"/>
  <c r="CY106" i="1"/>
  <c r="CY108" i="1" s="1"/>
  <c r="CY221" i="1"/>
  <c r="CY219" i="1" s="1"/>
  <c r="CY224" i="1" s="1"/>
  <c r="CY143" i="1"/>
  <c r="CY69" i="1" s="1"/>
  <c r="CY68" i="1"/>
  <c r="CY174" i="1" l="1"/>
  <c r="CY175" i="1" s="1"/>
  <c r="CY225" i="1" s="1"/>
  <c r="CY122" i="1"/>
  <c r="CY96" i="1"/>
  <c r="CY95" i="1"/>
  <c r="CY121" i="1"/>
  <c r="CY262" i="1" l="1"/>
  <c r="CY260" i="1"/>
  <c r="CY258" i="1"/>
  <c r="CY179" i="1"/>
  <c r="CY180" i="1" s="1"/>
  <c r="CY182" i="1"/>
  <c r="CZ223" i="1"/>
  <c r="CZ50" i="1" l="1"/>
  <c r="CY123" i="1"/>
  <c r="CY124" i="1" l="1"/>
  <c r="CY127" i="1" s="1"/>
  <c r="CY125" i="1"/>
  <c r="CY128" i="1" s="1"/>
  <c r="CZ266" i="1"/>
  <c r="CZ52" i="1"/>
  <c r="CZ53" i="1" l="1"/>
  <c r="CZ55" i="1" s="1"/>
  <c r="CZ248" i="1" l="1"/>
  <c r="CZ57" i="1"/>
  <c r="CZ56" i="1"/>
  <c r="CZ259" i="1" s="1"/>
  <c r="CZ58" i="1"/>
  <c r="CZ62" i="1"/>
  <c r="CZ241" i="1"/>
  <c r="CZ207" i="1" l="1"/>
  <c r="CZ209" i="1" s="1"/>
  <c r="CZ213" i="1" s="1"/>
  <c r="CZ227" i="1" s="1"/>
  <c r="CZ80" i="1"/>
  <c r="CZ133" i="1"/>
  <c r="CZ134" i="1" l="1"/>
  <c r="CZ83" i="1"/>
  <c r="CZ84" i="1" l="1"/>
  <c r="CZ99" i="1"/>
  <c r="CZ93" i="1"/>
  <c r="CZ92" i="1"/>
  <c r="CZ221" i="1"/>
  <c r="CZ219" i="1" s="1"/>
  <c r="CZ224" i="1" s="1"/>
  <c r="CZ106" i="1"/>
  <c r="CZ108" i="1" s="1"/>
  <c r="CZ68" i="1"/>
  <c r="CZ143" i="1"/>
  <c r="CZ69" i="1" s="1"/>
  <c r="CZ174" i="1" l="1"/>
  <c r="CZ175" i="1" s="1"/>
  <c r="CZ225" i="1" s="1"/>
  <c r="CZ121" i="1"/>
  <c r="CZ95" i="1"/>
  <c r="CZ96" i="1"/>
  <c r="CZ122" i="1"/>
  <c r="CZ260" i="1" l="1"/>
  <c r="CZ262" i="1"/>
  <c r="CZ179" i="1"/>
  <c r="CZ180" i="1" s="1"/>
  <c r="CZ182" i="1"/>
  <c r="CZ258" i="1"/>
  <c r="DA223" i="1"/>
  <c r="CZ123" i="1" l="1"/>
  <c r="DA50" i="1"/>
  <c r="DA266" i="1" l="1"/>
  <c r="DA52" i="1"/>
  <c r="CZ125" i="1"/>
  <c r="CZ128" i="1" s="1"/>
  <c r="CZ124" i="1"/>
  <c r="CZ127" i="1" s="1"/>
  <c r="DA53" i="1" l="1"/>
  <c r="DA55" i="1" s="1"/>
  <c r="DA248" i="1" l="1"/>
  <c r="DA62" i="1"/>
  <c r="DA57" i="1"/>
  <c r="DA56" i="1"/>
  <c r="DA259" i="1" s="1"/>
  <c r="DA58" i="1"/>
  <c r="DA241" i="1"/>
  <c r="DA80" i="1" l="1"/>
  <c r="DA83" i="1" s="1"/>
  <c r="DA207" i="1"/>
  <c r="DA209" i="1" s="1"/>
  <c r="DA213" i="1" s="1"/>
  <c r="DA227" i="1" s="1"/>
  <c r="DA133" i="1"/>
  <c r="DA134" i="1" l="1"/>
  <c r="DA84" i="1"/>
  <c r="DA93" i="1"/>
  <c r="DA99" i="1"/>
  <c r="DA92" i="1"/>
  <c r="DA121" i="1" l="1"/>
  <c r="DA95" i="1"/>
  <c r="DA122" i="1"/>
  <c r="DA96" i="1"/>
  <c r="DA143" i="1"/>
  <c r="DA69" i="1" s="1"/>
  <c r="DA106" i="1"/>
  <c r="DA108" i="1" s="1"/>
  <c r="DA221" i="1"/>
  <c r="DA219" i="1" s="1"/>
  <c r="DA224" i="1" s="1"/>
  <c r="DA68" i="1"/>
  <c r="DA174" i="1" l="1"/>
  <c r="DA175" i="1" s="1"/>
  <c r="DA225" i="1" s="1"/>
  <c r="DA262" i="1" l="1"/>
  <c r="DA258" i="1"/>
  <c r="DA260" i="1"/>
  <c r="DB223" i="1"/>
  <c r="DA179" i="1"/>
  <c r="DA180" i="1" s="1"/>
  <c r="DA182" i="1"/>
  <c r="DA123" i="1" l="1"/>
  <c r="DB50" i="1"/>
  <c r="DB266" i="1" l="1"/>
  <c r="DB52" i="1"/>
  <c r="AE50" i="1"/>
  <c r="DA125" i="1"/>
  <c r="DA128" i="1" s="1"/>
  <c r="DA124" i="1"/>
  <c r="DA127" i="1" s="1"/>
  <c r="AE51" i="1" l="1"/>
  <c r="AE266" i="1"/>
  <c r="AE52" i="1"/>
  <c r="DB53" i="1"/>
  <c r="AE53" i="1" s="1"/>
  <c r="AE54" i="1" l="1"/>
  <c r="DB55" i="1"/>
  <c r="DB62" i="1" s="1"/>
  <c r="AE55" i="1"/>
  <c r="DB248" i="1" l="1"/>
  <c r="DB241" i="1"/>
  <c r="DB56" i="1"/>
  <c r="DB259" i="1" s="1"/>
  <c r="DB58" i="1"/>
  <c r="DB57" i="1"/>
  <c r="AE57" i="1"/>
  <c r="AE56" i="1"/>
  <c r="AE259" i="1" s="1"/>
  <c r="AE62" i="1"/>
  <c r="AE75" i="1"/>
  <c r="DB207" i="1"/>
  <c r="DB209" i="1" s="1"/>
  <c r="DB213" i="1" s="1"/>
  <c r="DB227" i="1" s="1"/>
  <c r="DB80" i="1"/>
  <c r="DB83" i="1" s="1"/>
  <c r="DB133" i="1"/>
  <c r="AE133" i="1" l="1"/>
  <c r="AE134" i="1" s="1"/>
  <c r="AE68" i="1" s="1"/>
  <c r="DB134" i="1"/>
  <c r="DB84" i="1"/>
  <c r="DB93" i="1"/>
  <c r="DB99" i="1"/>
  <c r="DB92" i="1"/>
  <c r="AE65" i="1"/>
  <c r="AE66" i="1" s="1"/>
  <c r="AE207" i="1"/>
  <c r="AE209" i="1" s="1"/>
  <c r="AE213" i="1" s="1"/>
  <c r="AE227" i="1" s="1"/>
  <c r="AE80" i="1"/>
  <c r="DB121" i="1" l="1"/>
  <c r="DB95" i="1"/>
  <c r="AE92" i="1"/>
  <c r="DB122" i="1"/>
  <c r="DB96" i="1"/>
  <c r="AE93" i="1"/>
  <c r="DB221" i="1"/>
  <c r="DB219" i="1" s="1"/>
  <c r="DB224" i="1" s="1"/>
  <c r="DB143" i="1"/>
  <c r="DB69" i="1" s="1"/>
  <c r="DB106" i="1"/>
  <c r="DB108" i="1" s="1"/>
  <c r="DB68" i="1"/>
  <c r="AE83" i="1"/>
  <c r="AE82" i="1"/>
  <c r="AE189" i="1"/>
  <c r="AE221" i="1"/>
  <c r="AE219" i="1" s="1"/>
  <c r="AE224" i="1" s="1"/>
  <c r="AE143" i="1"/>
  <c r="AE69" i="1" s="1"/>
  <c r="AE106" i="1"/>
  <c r="AE108" i="1" s="1"/>
  <c r="DB174" i="1" l="1"/>
  <c r="AE118" i="1"/>
  <c r="AE101" i="1"/>
  <c r="AE110" i="1"/>
  <c r="AE122" i="1"/>
  <c r="AE96" i="1"/>
  <c r="AE84" i="1"/>
  <c r="AE99" i="1"/>
  <c r="AD103" i="1"/>
  <c r="AE117" i="1"/>
  <c r="AE95" i="1"/>
  <c r="AE109" i="1"/>
  <c r="AE121" i="1"/>
  <c r="AE100" i="1"/>
  <c r="AE174" i="1" l="1"/>
  <c r="AE175" i="1" s="1"/>
  <c r="DB175" i="1"/>
  <c r="DB258" i="1" l="1"/>
  <c r="DB262" i="1"/>
  <c r="DB260" i="1"/>
  <c r="DB179" i="1"/>
  <c r="DB180" i="1" s="1"/>
  <c r="DB182" i="1"/>
  <c r="DB123" i="1" s="1"/>
  <c r="DB225" i="1"/>
  <c r="AE182" i="1"/>
  <c r="AE123" i="1" s="1"/>
  <c r="AE179" i="1"/>
  <c r="AE180" i="1" s="1"/>
  <c r="AE260" i="1"/>
  <c r="AE262" i="1"/>
  <c r="AE258" i="1"/>
  <c r="AE225" i="1"/>
  <c r="AE124" i="1" l="1"/>
  <c r="AE127" i="1" s="1"/>
  <c r="AE125" i="1"/>
  <c r="AE128" i="1" s="1"/>
  <c r="DB125" i="1"/>
  <c r="DB128" i="1" s="1"/>
  <c r="DB124" i="1"/>
  <c r="DB1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<sst xmlns="http://schemas.openxmlformats.org/spreadsheetml/2006/main" count="676" uniqueCount="537">
  <si>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</si>
  <si>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</si>
  <si>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</si>
  <si>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</si>
  <si>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</si>
  <si>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</si>
  <si>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</si>
  <si>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</si>
  <si>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</si>
  <si>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</si>
  <si>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</si>
  <si>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</si>
  <si>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</si>
  <si>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</si>
  <si>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</si>
  <si>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</si>
  <si>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</si>
  <si>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</si>
  <si>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</si>
  <si>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</si>
  <si>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</si>
  <si>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</si>
  <si>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</si>
  <si>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</si>
  <si>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</si>
  <si>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</si>
  <si>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</si>
  <si>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</si>
  <si>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</si>
  <si>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</si>
  <si>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</si>
  <si>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</si>
  <si>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</si>
  <si>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</si>
  <si>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</si>
  <si>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</si>
  <si>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</si>
  <si>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</si>
  <si>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</si>
  <si>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</si>
  <si>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</si>
  <si>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</si>
  <si>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</si>
  <si>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</si>
  <si>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</si>
  <si>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</si>
  <si>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</si>
  <si>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</si>
  <si>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</si>
  <si>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</si>
  <si>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</si>
  <si>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</si>
  <si>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</si>
  <si>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</si>
  <si>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</si>
  <si>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</si>
  <si>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</si>
  <si>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</si>
  <si>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</si>
  <si>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</si>
  <si>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</si>
  <si>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</si>
  <si>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</si>
  <si>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</si>
  <si>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</si>
  <si>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</si>
  <si>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</si>
  <si>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</si>
  <si>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</si>
  <si>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</si>
  <si>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</si>
  <si>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</si>
  <si>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</si>
  <si>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</si>
  <si>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</si>
  <si>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</si>
  <si>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</si>
  <si>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</si>
  <si>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</si>
  <si>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</si>
  <si>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</si>
  <si>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</si>
  <si>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</si>
  <si>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</si>
  <si>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</si>
  <si>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</si>
  <si>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</si>
  <si>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</si>
  <si>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</si>
  <si>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</si>
  <si>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</si>
  <si>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</si>
  <si>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</si>
  <si>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</si>
  <si>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</si>
  <si>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</si>
  <si>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</si>
  <si>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</si>
  <si>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</si>
  <si>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</si>
  <si>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</si>
  <si>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</si>
  <si>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</si>
  <si>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</si>
  <si>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</si>
  <si>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</si>
  <si>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</si>
  <si>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</si>
  <si>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</si>
  <si>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</si>
  <si>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</si>
  <si>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</si>
  <si>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</si>
  <si>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</si>
  <si>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</si>
  <si>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</si>
  <si>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</si>
  <si>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</si>
  <si>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</si>
  <si>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</si>
  <si>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</si>
  <si>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</si>
  <si>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</si>
  <si>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</si>
  <si>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</si>
  <si>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</si>
  <si>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</si>
  <si>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</si>
  <si>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</si>
  <si>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</si>
  <si>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</si>
  <si>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</si>
  <si>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</si>
  <si>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</si>
  <si>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</si>
  <si>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</si>
  <si>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</si>
  <si>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</si>
  <si>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</si>
  <si>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</si>
  <si>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</si>
  <si>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</si>
  <si>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</si>
  <si>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</si>
  <si>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</si>
  <si>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</si>
  <si>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</si>
  <si>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</si>
  <si>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</si>
  <si>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</si>
  <si>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</si>
  <si>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</si>
  <si>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</si>
  <si>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</si>
  <si>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</si>
  <si>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</si>
  <si>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</si>
  <si>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</si>
  <si>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</si>
  <si>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</si>
  <si>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</si>
  <si>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</si>
  <si>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</si>
  <si>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</si>
  <si>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</si>
  <si>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</si>
  <si>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</si>
  <si>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</si>
  <si>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</si>
  <si>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</si>
  <si>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</si>
  <si>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</si>
  <si>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</si>
  <si>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</si>
  <si>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</si>
  <si>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</si>
  <si>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</si>
  <si>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</si>
  <si>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</si>
  <si>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</si>
  <si>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</si>
  <si>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</si>
  <si>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</si>
  <si>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</si>
  <si>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</si>
  <si>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</si>
  <si>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</si>
  <si>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</si>
  <si>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</si>
  <si>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</si>
  <si>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</si>
  <si>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</si>
  <si>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</si>
  <si>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</si>
  <si>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</si>
  <si>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</si>
  <si>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</si>
  <si>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</si>
  <si>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</si>
  <si>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</si>
  <si>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</si>
  <si>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</si>
  <si>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</si>
  <si>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</si>
  <si>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</si>
  <si>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</si>
  <si>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</si>
  <si>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</si>
  <si>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</si>
  <si>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</si>
  <si>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</si>
  <si>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</si>
  <si>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</si>
  <si>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</si>
  <si>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</si>
  <si>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</si>
  <si>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</si>
  <si>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</si>
  <si>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</si>
  <si>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</si>
  <si>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</si>
  <si>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</si>
  <si>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</si>
  <si>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</si>
  <si>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</si>
  <si>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</si>
  <si>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</si>
  <si>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</si>
  <si>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</si>
  <si>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</si>
  <si>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</si>
  <si>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</si>
  <si>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</si>
  <si>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</si>
  <si>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</si>
  <si>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</si>
  <si>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</si>
  <si>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</si>
  <si>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</si>
  <si>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</si>
  <si>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</si>
  <si>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</si>
  <si>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</si>
  <si>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</si>
  <si>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</si>
  <si>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</si>
  <si>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</si>
  <si>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</si>
  <si>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</si>
  <si>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</si>
  <si>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</si>
  <si>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</si>
  <si>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</si>
  <si>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</si>
  <si>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</si>
  <si>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</si>
  <si>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</si>
  <si>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</si>
  <si>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</si>
  <si>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</si>
  <si>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</si>
  <si>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</si>
  <si>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</si>
  <si>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</si>
  <si>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</si>
  <si>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</si>
  <si>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</si>
  <si>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</si>
  <si>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</si>
  <si>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</si>
  <si>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</si>
  <si>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</si>
  <si>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</si>
  <si>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</si>
  <si>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</si>
  <si>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</si>
  <si>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</si>
  <si>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</si>
  <si>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</si>
  <si>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</si>
  <si>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</si>
  <si>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</si>
  <si>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</si>
  <si>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</si>
  <si>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</si>
  <si>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</si>
  <si>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</si>
  <si>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</si>
  <si>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</si>
  <si>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</si>
  <si>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</si>
  <si>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</si>
  <si>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</si>
  <si>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</si>
  <si>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</si>
  <si>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</si>
  <si>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</si>
  <si>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</si>
  <si>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</si>
  <si>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</si>
  <si>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</si>
  <si>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</si>
  <si>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</si>
  <si>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</si>
  <si>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</si>
  <si>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</si>
  <si>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</si>
  <si>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</si>
  <si>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</si>
  <si>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</si>
  <si>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</si>
  <si>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</si>
  <si>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</si>
  <si>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</si>
  <si>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</si>
  <si>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</si>
  <si>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</si>
  <si>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</si>
  <si>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</si>
  <si>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</si>
  <si>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</si>
  <si>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</si>
  <si>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</si>
  <si>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</si>
  <si>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</si>
  <si>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</si>
  <si>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</si>
  <si>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</si>
  <si>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</si>
  <si>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</si>
  <si>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</si>
  <si>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</si>
  <si>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</si>
  <si>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</si>
  <si>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</si>
  <si>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</si>
  <si>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</si>
  <si>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</si>
  <si>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</si>
  <si>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</si>
  <si>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</si>
  <si>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</si>
  <si>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</si>
  <si>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</si>
  <si>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</si>
  <si>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</si>
  <si>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</si>
  <si>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</si>
  <si>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</si>
  <si>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</si>
  <si>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</si>
  <si>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</si>
  <si>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</si>
  <si>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</si>
  <si>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</si>
  <si>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</si>
  <si>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</si>
  <si>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</si>
  <si>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</si>
  <si>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</si>
  <si>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</si>
  <si>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</si>
  <si>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</si>
  <si>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</si>
  <si>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</si>
  <si>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</si>
  <si>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</si>
  <si>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</si>
  <si>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</si>
  <si>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</si>
  <si>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</si>
  <si>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</si>
  <si>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</si>
  <si>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</si>
  <si>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</si>
  <si>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</si>
  <si>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</si>
  <si>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</si>
  <si>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</si>
  <si>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</si>
  <si>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</si>
  <si>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</si>
  <si>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</si>
  <si>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</si>
  <si>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</si>
  <si>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</si>
  <si>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</si>
  <si>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</si>
  <si>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</si>
  <si>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</si>
  <si>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</si>
  <si>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</si>
  <si>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</si>
  <si>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</si>
  <si>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</si>
  <si>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</si>
  <si>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</si>
  <si>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</si>
  <si>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</si>
  <si>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</si>
  <si>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</si>
  <si>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</si>
  <si>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</si>
  <si>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</si>
  <si>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</si>
  <si>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</si>
  <si>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</si>
  <si>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</si>
  <si>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</si>
  <si>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</si>
  <si>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</si>
  <si>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</si>
  <si>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</si>
  <si>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</si>
  <si>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</si>
  <si>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</si>
  <si>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</si>
  <si>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</si>
  <si>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</si>
  <si>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</si>
  <si>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</si>
  <si>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</si>
  <si>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</si>
  <si>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</si>
  <si>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</si>
  <si>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</si>
  <si>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</si>
  <si>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</si>
  <si>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</si>
  <si>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</si>
  <si>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</si>
  <si>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</si>
  <si>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</si>
  <si>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</si>
  <si>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</si>
  <si>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</si>
  <si>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</si>
  <si>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</si>
  <si>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</si>
  <si>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</si>
  <si>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</si>
  <si>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</si>
  <si>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</si>
  <si>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</si>
  <si>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</si>
  <si>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</si>
  <si>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</si>
  <si>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</si>
  <si>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</si>
  <si>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</si>
  <si>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</si>
  <si>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</si>
  <si>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</si>
  <si>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</si>
  <si>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</si>
  <si>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</si>
  <si>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</si>
  <si>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</si>
  <si>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</si>
  <si>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</si>
  <si>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</si>
  <si>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</si>
  <si>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</si>
  <si>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</si>
  <si>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</si>
  <si>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</si>
  <si>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</si>
  <si>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</si>
  <si>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</si>
  <si>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</si>
  <si>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</si>
  <si>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</si>
  <si>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</si>
  <si>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</si>
  <si>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</si>
  <si>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</si>
  <si>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</si>
  <si>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</si>
  <si>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</si>
  <si>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</si>
  <si>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</si>
  <si>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</si>
  <si>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</si>
  <si>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</si>
  <si>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</si>
  <si>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</si>
  <si>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</si>
  <si>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</si>
  <si>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</si>
  <si>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</si>
  <si>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</si>
  <si>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</si>
  <si>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</si>
  <si>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</si>
  <si>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</si>
  <si>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</si>
  <si>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</si>
  <si>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</si>
  <si>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</si>
  <si>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</si>
  <si>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</si>
  <si>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</si>
  <si>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</si>
  <si>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</si>
  <si>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</si>
  <si>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</si>
  <si>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</si>
  <si>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</si>
  <si>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</si>
  <si>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</si>
  <si>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</si>
  <si>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</si>
  <si>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</si>
  <si>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</si>
  <si>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</si>
  <si>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Tata Consumer Products Ltd.</t>
  </si>
  <si>
    <t>DATE</t>
  </si>
  <si>
    <t>ADJCLOSE</t>
  </si>
  <si>
    <t>ADJHIGH</t>
  </si>
  <si>
    <t>ADJLOW</t>
  </si>
  <si>
    <t>ADJOPEN</t>
  </si>
  <si>
    <t>CLOSE</t>
  </si>
  <si>
    <t>VOLUME</t>
  </si>
  <si>
    <t>Less: Inter segment Revenue</t>
  </si>
  <si>
    <t>Revenue - Branded Business</t>
  </si>
  <si>
    <t>Revenue - India business</t>
  </si>
  <si>
    <t>Revenue - International business</t>
  </si>
  <si>
    <t>Revenue - Non Branded Business</t>
  </si>
  <si>
    <t>Revenue - Others</t>
  </si>
  <si>
    <t>Total Revenue</t>
  </si>
  <si>
    <t>Revenue Growth YoY% Branded Business</t>
  </si>
  <si>
    <t>Revenue Growth YoY% India business</t>
  </si>
  <si>
    <t>Revenue Growth YoY% International business</t>
  </si>
  <si>
    <t>Revenue Growth YoY% Non Branded Business</t>
  </si>
  <si>
    <t>Revenue Growth YoY% Others</t>
  </si>
  <si>
    <t>Total Revenue Growth YoY%</t>
  </si>
  <si>
    <t>Checksum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</si>
</sst>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1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9" fontId="20" fillId="2" borderId="0" xfId="1" applyFont="1" applyFill="1" applyAlignment="1">
      <alignment horizontal="right"/>
    </xf>
    <xf numFmtId="9" fontId="18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18" fillId="7" borderId="0" xfId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8"/>
  <sheetViews>
    <sheetView tabSelected="1" zoomScaleNormal="100" workbookViewId="0">
      <pane xSplit="1" ySplit="1" topLeftCell="BV72" activePane="bottomRight" state="frozen"/>
      <selection pane="topRight" activeCell="B1" sqref="B1"/>
      <selection pane="bottomLeft" activeCell="A2" sqref="A2"/>
      <selection pane="bottomRight" activeCell="CL100" sqref="BW100:CL101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Tata Consumer Products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0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0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 t="s">
        <v>524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>
        <f>+SUM(CA4:CD4)</f>
        <v>13661.899999999998</v>
      </c>
      <c r="Z4" s="156">
        <f>+SUM(CE4:CH4)</f>
        <v>15789.26</v>
      </c>
      <c r="AA4" s="157">
        <f t="shared" ref="AA4:AA9" si="33">SUM(CI4:CL4)</f>
        <v>18029.55</v>
      </c>
      <c r="AB4" s="157">
        <f t="shared" ref="AB4:AB9" si="34">+SUM(CM4:CP4)</f>
        <v>20267.299921947619</v>
      </c>
      <c r="AC4" s="157">
        <f t="shared" ref="AC4:AC9" si="35">+SUM(CQ4:CT4)</f>
        <v>22651.826483327808</v>
      </c>
      <c r="AD4" s="157">
        <f t="shared" ref="AD4:AD9" si="36">+SUM(CU4:CX4)</f>
        <v>25301.813808779993</v>
      </c>
      <c r="AE4" s="157">
        <f t="shared" ref="AE4:AE9" si="37">+SUM(CY4:DB4)</f>
        <v>28259.303820551631</v>
      </c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>
        <f t="shared" ref="CA4:CK4" si="38">SUM(CA5:CA6)</f>
        <v>3372.75</v>
      </c>
      <c r="CB4" s="156">
        <f t="shared" si="38"/>
        <v>3353.8100000000004</v>
      </c>
      <c r="CC4" s="156">
        <f t="shared" si="38"/>
        <v>3403.3099999999986</v>
      </c>
      <c r="CD4" s="156">
        <f t="shared" si="38"/>
        <v>3532.0299999999997</v>
      </c>
      <c r="CE4" s="156">
        <f t="shared" si="38"/>
        <v>3861.51</v>
      </c>
      <c r="CF4" s="156">
        <f t="shared" si="38"/>
        <v>3771.2</v>
      </c>
      <c r="CG4" s="156">
        <f t="shared" si="38"/>
        <v>4026.1499999999996</v>
      </c>
      <c r="CH4" s="156">
        <f t="shared" si="38"/>
        <v>4130.3999999999996</v>
      </c>
      <c r="CI4" s="156">
        <f t="shared" si="38"/>
        <v>4270.8999999999996</v>
      </c>
      <c r="CJ4" s="156">
        <f t="shared" si="38"/>
        <v>4409.8600000000006</v>
      </c>
      <c r="CK4" s="156">
        <f t="shared" si="38"/>
        <v>4602.79</v>
      </c>
      <c r="CL4" s="156">
        <f>SUM(CL5:CL6)</f>
        <v>4746</v>
      </c>
      <c r="CM4" s="157">
        <f t="shared" ref="CM4:DB4" si="39">SUM(CM5:CM6)</f>
        <v>4808.691682972968</v>
      </c>
      <c r="CN4" s="157">
        <f t="shared" si="39"/>
        <v>4986.7303306367858</v>
      </c>
      <c r="CO4" s="157">
        <f t="shared" si="39"/>
        <v>5166.9696432050778</v>
      </c>
      <c r="CP4" s="157">
        <f t="shared" si="39"/>
        <v>5304.908265132789</v>
      </c>
      <c r="CQ4" s="157">
        <f t="shared" si="39"/>
        <v>5386.3475892202468</v>
      </c>
      <c r="CR4" s="157">
        <f t="shared" si="39"/>
        <v>5581.0179921192939</v>
      </c>
      <c r="CS4" s="157">
        <f t="shared" si="39"/>
        <v>5769.3774293757288</v>
      </c>
      <c r="CT4" s="157">
        <f t="shared" si="39"/>
        <v>5915.0834726125377</v>
      </c>
      <c r="CU4" s="157">
        <f t="shared" si="39"/>
        <v>6018.4609317200211</v>
      </c>
      <c r="CV4" s="157">
        <f t="shared" si="39"/>
        <v>6234.5345685179009</v>
      </c>
      <c r="CW4" s="157">
        <f t="shared" si="39"/>
        <v>6443.2595923731869</v>
      </c>
      <c r="CX4" s="157">
        <f t="shared" si="39"/>
        <v>6605.5587161688854</v>
      </c>
      <c r="CY4" s="157">
        <f t="shared" si="39"/>
        <v>6720.3722759325992</v>
      </c>
      <c r="CZ4" s="157">
        <f t="shared" si="39"/>
        <v>6963.2006175782808</v>
      </c>
      <c r="DA4" s="157">
        <f t="shared" si="39"/>
        <v>7197.4339624544627</v>
      </c>
      <c r="DB4" s="157">
        <f t="shared" si="39"/>
        <v>7378.2969645862868</v>
      </c>
      <c r="DE4" s="159"/>
    </row>
    <row r="5" spans="1:110" s="158" customFormat="1" x14ac:dyDescent="0.2">
      <c r="A5" s="155" t="s">
        <v>525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>
        <f t="shared" ref="Y5:Y9" si="40">+SUM(CA5:CD5)</f>
        <v>9736.4699999999975</v>
      </c>
      <c r="Z5" s="156">
        <f t="shared" ref="Z5:Z9" si="41">+SUM(CE5:CH5)</f>
        <v>11240.71</v>
      </c>
      <c r="AA5" s="157">
        <f t="shared" si="33"/>
        <v>12778.880000000001</v>
      </c>
      <c r="AB5" s="157">
        <f t="shared" si="34"/>
        <v>14281.532782742228</v>
      </c>
      <c r="AC5" s="157">
        <f t="shared" si="35"/>
        <v>15888.445643365136</v>
      </c>
      <c r="AD5" s="157">
        <f t="shared" si="36"/>
        <v>17665.054161537286</v>
      </c>
      <c r="AE5" s="157">
        <f t="shared" si="37"/>
        <v>19637.74719371197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>
        <v>2477.9299999999998</v>
      </c>
      <c r="CB5" s="156">
        <v>2404.0700000000002</v>
      </c>
      <c r="CC5" s="156">
        <v>2374.9299999999989</v>
      </c>
      <c r="CD5" s="156">
        <v>2479.54</v>
      </c>
      <c r="CE5" s="156">
        <v>2815.12</v>
      </c>
      <c r="CF5" s="156">
        <v>2655.19</v>
      </c>
      <c r="CG5" s="156">
        <v>2833.68</v>
      </c>
      <c r="CH5" s="156">
        <v>2936.72</v>
      </c>
      <c r="CI5" s="156">
        <v>3125.7</v>
      </c>
      <c r="CJ5" s="156">
        <v>3122.15</v>
      </c>
      <c r="CK5" s="156">
        <v>3203.12</v>
      </c>
      <c r="CL5" s="156">
        <v>3327.91</v>
      </c>
      <c r="CM5" s="157">
        <f t="shared" ref="CM5:DB5" si="42">CI5+(CM14*CI5)</f>
        <v>3508.0501029429161</v>
      </c>
      <c r="CN5" s="157">
        <f t="shared" si="42"/>
        <v>3512.4012701102338</v>
      </c>
      <c r="CO5" s="157">
        <f t="shared" si="42"/>
        <v>3567.2355412265042</v>
      </c>
      <c r="CP5" s="157">
        <f t="shared" si="42"/>
        <v>3693.8458684625748</v>
      </c>
      <c r="CQ5" s="157">
        <f t="shared" si="42"/>
        <v>3912.8219845319036</v>
      </c>
      <c r="CR5" s="157">
        <f t="shared" si="42"/>
        <v>3911.7022873240221</v>
      </c>
      <c r="CS5" s="157">
        <f t="shared" si="42"/>
        <v>3962.8846129008939</v>
      </c>
      <c r="CT5" s="157">
        <f t="shared" si="42"/>
        <v>4101.0367586083166</v>
      </c>
      <c r="CU5" s="157">
        <f t="shared" si="42"/>
        <v>4353.2236204777182</v>
      </c>
      <c r="CV5" s="157">
        <f t="shared" si="42"/>
        <v>4349.2101066567466</v>
      </c>
      <c r="CW5" s="157">
        <f t="shared" si="42"/>
        <v>4404.2967016113225</v>
      </c>
      <c r="CX5" s="157">
        <f t="shared" si="42"/>
        <v>4558.3237327914985</v>
      </c>
      <c r="CY5" s="157">
        <f t="shared" si="42"/>
        <v>4840.0131853281555</v>
      </c>
      <c r="CZ5" s="157">
        <f t="shared" si="42"/>
        <v>4834.756403100535</v>
      </c>
      <c r="DA5" s="157">
        <f t="shared" si="42"/>
        <v>4895.7662942305096</v>
      </c>
      <c r="DB5" s="157">
        <f t="shared" si="42"/>
        <v>5067.211311052768</v>
      </c>
      <c r="DE5" s="159"/>
    </row>
    <row r="6" spans="1:110" s="158" customFormat="1" x14ac:dyDescent="0.2">
      <c r="A6" s="155" t="s">
        <v>526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>
        <f t="shared" si="40"/>
        <v>3925.4299999999994</v>
      </c>
      <c r="Z6" s="156">
        <f t="shared" si="41"/>
        <v>4548.55</v>
      </c>
      <c r="AA6" s="157">
        <f t="shared" si="33"/>
        <v>5250.67</v>
      </c>
      <c r="AB6" s="157">
        <f t="shared" si="34"/>
        <v>5985.7671392053917</v>
      </c>
      <c r="AC6" s="157">
        <f t="shared" si="35"/>
        <v>6763.3808399626714</v>
      </c>
      <c r="AD6" s="157">
        <f t="shared" si="36"/>
        <v>7636.7596472427085</v>
      </c>
      <c r="AE6" s="157">
        <f t="shared" si="37"/>
        <v>8621.5566268396615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>
        <v>894.82</v>
      </c>
      <c r="CB6" s="156">
        <v>949.74</v>
      </c>
      <c r="CC6" s="156">
        <v>1028.3799999999997</v>
      </c>
      <c r="CD6" s="156">
        <v>1052.49</v>
      </c>
      <c r="CE6" s="156">
        <v>1046.3900000000001</v>
      </c>
      <c r="CF6" s="156">
        <v>1116.01</v>
      </c>
      <c r="CG6" s="156">
        <v>1192.47</v>
      </c>
      <c r="CH6" s="156">
        <v>1193.68</v>
      </c>
      <c r="CI6" s="156">
        <v>1145.2</v>
      </c>
      <c r="CJ6" s="156">
        <v>1287.71</v>
      </c>
      <c r="CK6" s="156">
        <v>1399.67</v>
      </c>
      <c r="CL6" s="156">
        <v>1418.09</v>
      </c>
      <c r="CM6" s="157">
        <f t="shared" ref="CM6:DB6" si="43">CI6+(CM15*CI6)</f>
        <v>1300.6415800300522</v>
      </c>
      <c r="CN6" s="157">
        <f t="shared" si="43"/>
        <v>1474.3290605265522</v>
      </c>
      <c r="CO6" s="157">
        <f t="shared" si="43"/>
        <v>1599.7341019785733</v>
      </c>
      <c r="CP6" s="157">
        <f t="shared" si="43"/>
        <v>1611.0623966702144</v>
      </c>
      <c r="CQ6" s="157">
        <f t="shared" si="43"/>
        <v>1473.5256046883433</v>
      </c>
      <c r="CR6" s="157">
        <f t="shared" si="43"/>
        <v>1669.3157047952723</v>
      </c>
      <c r="CS6" s="157">
        <f t="shared" si="43"/>
        <v>1806.4928164748349</v>
      </c>
      <c r="CT6" s="157">
        <f t="shared" si="43"/>
        <v>1814.0467140042208</v>
      </c>
      <c r="CU6" s="157">
        <f t="shared" si="43"/>
        <v>1665.2373112423024</v>
      </c>
      <c r="CV6" s="157">
        <f t="shared" si="43"/>
        <v>1885.3244618611543</v>
      </c>
      <c r="CW6" s="157">
        <f t="shared" si="43"/>
        <v>2038.9628907618646</v>
      </c>
      <c r="CX6" s="157">
        <f t="shared" si="43"/>
        <v>2047.2349833773869</v>
      </c>
      <c r="CY6" s="157">
        <f t="shared" si="43"/>
        <v>1880.3590906044437</v>
      </c>
      <c r="CZ6" s="157">
        <f t="shared" si="43"/>
        <v>2128.4442144777454</v>
      </c>
      <c r="DA6" s="157">
        <f t="shared" si="43"/>
        <v>2301.6676682239531</v>
      </c>
      <c r="DB6" s="157">
        <f t="shared" si="43"/>
        <v>2311.0856535335183</v>
      </c>
      <c r="DE6" s="159"/>
    </row>
    <row r="7" spans="1:110" s="158" customFormat="1" x14ac:dyDescent="0.2">
      <c r="A7" s="155" t="s">
        <v>527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>
        <f t="shared" si="40"/>
        <v>1577.39</v>
      </c>
      <c r="Z7" s="156">
        <f t="shared" si="41"/>
        <v>1909.53</v>
      </c>
      <c r="AA7" s="157">
        <f t="shared" si="33"/>
        <v>2387.2399999999998</v>
      </c>
      <c r="AB7" s="157">
        <f t="shared" si="34"/>
        <v>3017.1716899523458</v>
      </c>
      <c r="AC7" s="157">
        <f t="shared" si="35"/>
        <v>3756.8620176696659</v>
      </c>
      <c r="AD7" s="157">
        <f t="shared" si="36"/>
        <v>4675.459903973524</v>
      </c>
      <c r="AE7" s="157">
        <f t="shared" si="37"/>
        <v>5817.6585653820111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>
        <v>377.05</v>
      </c>
      <c r="CB7" s="156">
        <v>388.28</v>
      </c>
      <c r="CC7" s="156">
        <v>410.56000000000012</v>
      </c>
      <c r="CD7" s="156">
        <v>401.5</v>
      </c>
      <c r="CE7" s="156">
        <v>500.58</v>
      </c>
      <c r="CF7" s="156">
        <v>462.28</v>
      </c>
      <c r="CG7" s="156">
        <v>446.12</v>
      </c>
      <c r="CH7" s="156">
        <v>500.55</v>
      </c>
      <c r="CI7" s="156">
        <v>536</v>
      </c>
      <c r="CJ7" s="156">
        <v>590.16</v>
      </c>
      <c r="CK7" s="156">
        <v>546.66999999999996</v>
      </c>
      <c r="CL7" s="156">
        <v>714.41</v>
      </c>
      <c r="CM7" s="157">
        <f t="shared" ref="CM7:DB7" si="44">CI7+(CM16*CI7)</f>
        <v>660.62306773958153</v>
      </c>
      <c r="CN7" s="157">
        <f t="shared" si="44"/>
        <v>749.56934955620375</v>
      </c>
      <c r="CO7" s="157">
        <f t="shared" si="44"/>
        <v>693.50388512100517</v>
      </c>
      <c r="CP7" s="157">
        <f t="shared" si="44"/>
        <v>913.47538753555546</v>
      </c>
      <c r="CQ7" s="157">
        <f t="shared" si="44"/>
        <v>823.60973399001614</v>
      </c>
      <c r="CR7" s="157">
        <f t="shared" si="44"/>
        <v>937.00376448398072</v>
      </c>
      <c r="CS7" s="157">
        <f t="shared" si="44"/>
        <v>863.65019974202573</v>
      </c>
      <c r="CT7" s="157">
        <f t="shared" si="44"/>
        <v>1132.5983194536429</v>
      </c>
      <c r="CU7" s="157">
        <f t="shared" si="44"/>
        <v>1025.8046915115788</v>
      </c>
      <c r="CV7" s="157">
        <f t="shared" si="44"/>
        <v>1166.7514505640736</v>
      </c>
      <c r="CW7" s="157">
        <f t="shared" si="44"/>
        <v>1074.3622334949885</v>
      </c>
      <c r="CX7" s="157">
        <f t="shared" si="44"/>
        <v>1408.5415284028832</v>
      </c>
      <c r="CY7" s="157">
        <f t="shared" si="44"/>
        <v>1276.6929884023095</v>
      </c>
      <c r="CZ7" s="157">
        <f t="shared" si="44"/>
        <v>1451.8433179392664</v>
      </c>
      <c r="DA7" s="157">
        <f t="shared" si="44"/>
        <v>1336.651528175873</v>
      </c>
      <c r="DB7" s="157">
        <f t="shared" si="44"/>
        <v>1752.4707308645616</v>
      </c>
      <c r="DE7" s="159"/>
    </row>
    <row r="8" spans="1:110" s="158" customFormat="1" x14ac:dyDescent="0.2">
      <c r="A8" s="155" t="s">
        <v>528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>
        <f t="shared" si="40"/>
        <v>57.539999999999992</v>
      </c>
      <c r="Z8" s="156">
        <f t="shared" si="41"/>
        <v>39.65</v>
      </c>
      <c r="AA8" s="157">
        <f t="shared" si="33"/>
        <v>40.6</v>
      </c>
      <c r="AB8" s="157">
        <f t="shared" si="34"/>
        <v>43.365882116506107</v>
      </c>
      <c r="AC8" s="157">
        <f t="shared" si="35"/>
        <v>46.396303669327075</v>
      </c>
      <c r="AD8" s="157">
        <f t="shared" si="36"/>
        <v>49.628292137010895</v>
      </c>
      <c r="AE8" s="157">
        <f t="shared" si="37"/>
        <v>53.08018671841176</v>
      </c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>
        <v>10.99</v>
      </c>
      <c r="CB8" s="156">
        <v>14.89</v>
      </c>
      <c r="CC8" s="156">
        <v>14.749999999999995</v>
      </c>
      <c r="CD8" s="156">
        <v>16.91</v>
      </c>
      <c r="CE8" s="156">
        <v>12.46</v>
      </c>
      <c r="CF8" s="156">
        <v>9.93</v>
      </c>
      <c r="CG8" s="156">
        <v>9.15</v>
      </c>
      <c r="CH8" s="156">
        <v>8.11</v>
      </c>
      <c r="CI8" s="156">
        <v>10.3</v>
      </c>
      <c r="CJ8" s="156">
        <v>11.53</v>
      </c>
      <c r="CK8" s="156">
        <v>10.35</v>
      </c>
      <c r="CL8" s="156">
        <v>8.42</v>
      </c>
      <c r="CM8" s="157">
        <f t="shared" ref="CM8:DB8" si="45">CI8+(CM17*CI8)</f>
        <v>10.704648672158388</v>
      </c>
      <c r="CN8" s="157">
        <f t="shared" si="45"/>
        <v>12.595908518007411</v>
      </c>
      <c r="CO8" s="157">
        <f t="shared" si="45"/>
        <v>11.12910858328847</v>
      </c>
      <c r="CP8" s="157">
        <f t="shared" si="45"/>
        <v>8.9362163430518411</v>
      </c>
      <c r="CQ8" s="157">
        <f t="shared" si="45"/>
        <v>11.422709432271503</v>
      </c>
      <c r="CR8" s="157">
        <f t="shared" si="45"/>
        <v>13.528353450620029</v>
      </c>
      <c r="CS8" s="157">
        <f t="shared" si="45"/>
        <v>11.9017232682884</v>
      </c>
      <c r="CT8" s="157">
        <f t="shared" si="45"/>
        <v>9.5435175181471408</v>
      </c>
      <c r="CU8" s="157">
        <f t="shared" si="45"/>
        <v>12.217985188181517</v>
      </c>
      <c r="CV8" s="157">
        <f t="shared" si="45"/>
        <v>14.478829721572426</v>
      </c>
      <c r="CW8" s="157">
        <f t="shared" si="45"/>
        <v>12.726699679901619</v>
      </c>
      <c r="CX8" s="157">
        <f t="shared" si="45"/>
        <v>10.204777547355333</v>
      </c>
      <c r="CY8" s="157">
        <f t="shared" si="45"/>
        <v>13.068616776646353</v>
      </c>
      <c r="CZ8" s="157">
        <f t="shared" si="45"/>
        <v>15.4868602783552</v>
      </c>
      <c r="DA8" s="157">
        <f t="shared" si="45"/>
        <v>13.610718173895934</v>
      </c>
      <c r="DB8" s="157">
        <f t="shared" si="45"/>
        <v>10.913991489514274</v>
      </c>
      <c r="DE8" s="159"/>
    </row>
    <row r="9" spans="1:110" s="158" customFormat="1" x14ac:dyDescent="0.2">
      <c r="A9" s="155" t="s">
        <v>523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>
        <f t="shared" si="40"/>
        <v>90.98</v>
      </c>
      <c r="Z9" s="156">
        <f t="shared" si="41"/>
        <v>120.14</v>
      </c>
      <c r="AA9" s="157">
        <f t="shared" si="33"/>
        <v>166.72</v>
      </c>
      <c r="AB9" s="157">
        <f t="shared" si="34"/>
        <v>140.84</v>
      </c>
      <c r="AC9" s="157">
        <f t="shared" si="35"/>
        <v>140.84</v>
      </c>
      <c r="AD9" s="157">
        <f t="shared" si="36"/>
        <v>140.84</v>
      </c>
      <c r="AE9" s="157">
        <f t="shared" si="37"/>
        <v>140.84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>
        <v>19.579999999999998</v>
      </c>
      <c r="CB9" s="156">
        <v>23.2</v>
      </c>
      <c r="CC9" s="156">
        <v>24.700000000000003</v>
      </c>
      <c r="CD9" s="156">
        <v>23.5</v>
      </c>
      <c r="CE9" s="156">
        <v>22.48</v>
      </c>
      <c r="CF9" s="156">
        <v>28.96</v>
      </c>
      <c r="CG9" s="156">
        <v>37.86</v>
      </c>
      <c r="CH9" s="156">
        <v>30.84</v>
      </c>
      <c r="CI9" s="156">
        <v>38.049999999999997</v>
      </c>
      <c r="CJ9" s="156">
        <v>45.65</v>
      </c>
      <c r="CK9" s="156">
        <v>47.81</v>
      </c>
      <c r="CL9" s="156">
        <v>35.21</v>
      </c>
      <c r="CM9" s="157">
        <f t="shared" ref="CM9:DB9" si="46">CL9</f>
        <v>35.21</v>
      </c>
      <c r="CN9" s="157">
        <f t="shared" si="46"/>
        <v>35.21</v>
      </c>
      <c r="CO9" s="157">
        <f t="shared" si="46"/>
        <v>35.21</v>
      </c>
      <c r="CP9" s="157">
        <f t="shared" si="46"/>
        <v>35.21</v>
      </c>
      <c r="CQ9" s="157">
        <f t="shared" si="46"/>
        <v>35.21</v>
      </c>
      <c r="CR9" s="157">
        <f t="shared" si="46"/>
        <v>35.21</v>
      </c>
      <c r="CS9" s="157">
        <f t="shared" si="46"/>
        <v>35.21</v>
      </c>
      <c r="CT9" s="157">
        <f t="shared" si="46"/>
        <v>35.21</v>
      </c>
      <c r="CU9" s="157">
        <f t="shared" si="46"/>
        <v>35.21</v>
      </c>
      <c r="CV9" s="157">
        <f t="shared" si="46"/>
        <v>35.21</v>
      </c>
      <c r="CW9" s="157">
        <f t="shared" si="46"/>
        <v>35.21</v>
      </c>
      <c r="CX9" s="157">
        <f t="shared" si="46"/>
        <v>35.21</v>
      </c>
      <c r="CY9" s="157">
        <f t="shared" si="46"/>
        <v>35.21</v>
      </c>
      <c r="CZ9" s="157">
        <f t="shared" si="46"/>
        <v>35.21</v>
      </c>
      <c r="DA9" s="157">
        <f t="shared" si="46"/>
        <v>35.21</v>
      </c>
      <c r="DB9" s="157">
        <f t="shared" si="46"/>
        <v>35.21</v>
      </c>
      <c r="DE9" s="159"/>
    </row>
    <row r="10" spans="1:110" s="109" customFormat="1" x14ac:dyDescent="0.2">
      <c r="A10" s="185" t="s">
        <v>529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>
        <f t="shared" ref="Y10" si="47">+Y4+Y7+Y8-Y9</f>
        <v>15205.849999999999</v>
      </c>
      <c r="Z10" s="107">
        <f>+Z4+Z7+Z8-Z9</f>
        <v>17618.300000000003</v>
      </c>
      <c r="AA10" s="108">
        <f t="shared" ref="AA10:AE10" si="48">+AA4+AA7+AA8-AA9</f>
        <v>20290.669999999998</v>
      </c>
      <c r="AB10" s="108">
        <f t="shared" si="48"/>
        <v>23186.997494016468</v>
      </c>
      <c r="AC10" s="108">
        <f t="shared" si="48"/>
        <v>26314.2448046668</v>
      </c>
      <c r="AD10" s="108">
        <f t="shared" si="48"/>
        <v>29886.062004890526</v>
      </c>
      <c r="AE10" s="108">
        <f t="shared" si="48"/>
        <v>33989.202572652059</v>
      </c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  <c r="BU10" s="107"/>
      <c r="BV10" s="107"/>
      <c r="BW10" s="107"/>
      <c r="BX10" s="107"/>
      <c r="BY10" s="107"/>
      <c r="BZ10" s="107"/>
      <c r="CA10" s="107">
        <f>+CA4+CA7+CA8-CA9</f>
        <v>3741.21</v>
      </c>
      <c r="CB10" s="107">
        <f t="shared" ref="CB10:CI10" si="49">+CB4+CB7+CB8-CB9</f>
        <v>3733.78</v>
      </c>
      <c r="CC10" s="107">
        <f t="shared" si="49"/>
        <v>3803.9199999999987</v>
      </c>
      <c r="CD10" s="107">
        <f t="shared" si="49"/>
        <v>3926.9399999999996</v>
      </c>
      <c r="CE10" s="107">
        <f t="shared" si="49"/>
        <v>4352.0700000000006</v>
      </c>
      <c r="CF10" s="107">
        <f t="shared" si="49"/>
        <v>4214.45</v>
      </c>
      <c r="CG10" s="107">
        <f t="shared" si="49"/>
        <v>4443.5599999999995</v>
      </c>
      <c r="CH10" s="107">
        <f t="shared" si="49"/>
        <v>4608.2199999999993</v>
      </c>
      <c r="CI10" s="107">
        <f t="shared" si="49"/>
        <v>4779.1499999999996</v>
      </c>
      <c r="CJ10" s="107">
        <f>+CJ4+CJ7+CJ8-CJ9</f>
        <v>4965.9000000000005</v>
      </c>
      <c r="CK10" s="107">
        <f>+CK4+CK7+CK8-CK9</f>
        <v>5112</v>
      </c>
      <c r="CL10" s="107">
        <f t="shared" ref="CL10:DB10" si="50">+CL4+CL7+CL8-CL9</f>
        <v>5433.62</v>
      </c>
      <c r="CM10" s="108">
        <f t="shared" si="50"/>
        <v>5444.8093993847078</v>
      </c>
      <c r="CN10" s="108">
        <f t="shared" si="50"/>
        <v>5713.6855887109969</v>
      </c>
      <c r="CO10" s="108">
        <f t="shared" si="50"/>
        <v>5836.3926369093715</v>
      </c>
      <c r="CP10" s="108">
        <f t="shared" si="50"/>
        <v>6192.1098690113959</v>
      </c>
      <c r="CQ10" s="108">
        <f t="shared" si="50"/>
        <v>6186.1700326425344</v>
      </c>
      <c r="CR10" s="108">
        <f t="shared" si="50"/>
        <v>6496.340110053894</v>
      </c>
      <c r="CS10" s="108">
        <f t="shared" si="50"/>
        <v>6609.7193523860424</v>
      </c>
      <c r="CT10" s="108">
        <f t="shared" si="50"/>
        <v>7022.015309584328</v>
      </c>
      <c r="CU10" s="108">
        <f t="shared" si="50"/>
        <v>7021.2736084197822</v>
      </c>
      <c r="CV10" s="108">
        <f t="shared" si="50"/>
        <v>7380.5548488035474</v>
      </c>
      <c r="CW10" s="108">
        <f t="shared" si="50"/>
        <v>7495.1385255480773</v>
      </c>
      <c r="CX10" s="108">
        <f t="shared" si="50"/>
        <v>7989.0950221191242</v>
      </c>
      <c r="CY10" s="108">
        <f t="shared" si="50"/>
        <v>7974.9238811115547</v>
      </c>
      <c r="CZ10" s="108">
        <f t="shared" si="50"/>
        <v>8395.3207957959039</v>
      </c>
      <c r="DA10" s="108">
        <f t="shared" si="50"/>
        <v>8512.4862088042319</v>
      </c>
      <c r="DB10" s="108">
        <f t="shared" si="50"/>
        <v>9106.4716869403637</v>
      </c>
      <c r="DE10" s="117"/>
    </row>
    <row r="11" spans="1:110" s="109" customFormat="1" x14ac:dyDescent="0.2">
      <c r="A11" s="185" t="s">
        <v>536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8"/>
      <c r="AB11" s="108"/>
      <c r="AC11" s="108"/>
      <c r="AD11" s="108"/>
      <c r="AE11" s="108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07"/>
      <c r="BV11" s="107"/>
      <c r="BW11" s="107"/>
      <c r="BX11" s="107"/>
      <c r="BY11" s="107"/>
      <c r="BZ11" s="107"/>
      <c r="CA11" s="107">
        <f>CA10-CA24</f>
        <v>0</v>
      </c>
      <c r="CB11" s="107">
        <f t="shared" ref="CB11:CK11" si="51">CB10-CB24</f>
        <v>0</v>
      </c>
      <c r="CC11" s="107">
        <f t="shared" si="51"/>
        <v>0</v>
      </c>
      <c r="CD11" s="107">
        <f t="shared" si="51"/>
        <v>0</v>
      </c>
      <c r="CE11" s="107">
        <f t="shared" si="51"/>
        <v>0</v>
      </c>
      <c r="CF11" s="107">
        <f t="shared" si="51"/>
        <v>0</v>
      </c>
      <c r="CG11" s="107">
        <f t="shared" si="51"/>
        <v>0</v>
      </c>
      <c r="CH11" s="107">
        <f t="shared" si="51"/>
        <v>0</v>
      </c>
      <c r="CI11" s="107">
        <f t="shared" si="51"/>
        <v>0.23999999999978172</v>
      </c>
      <c r="CJ11" s="107">
        <f t="shared" si="51"/>
        <v>0</v>
      </c>
      <c r="CK11" s="107">
        <f t="shared" si="51"/>
        <v>0</v>
      </c>
      <c r="CL11" s="107">
        <f t="shared" ref="CL11" si="52">CL10-CL24</f>
        <v>0</v>
      </c>
      <c r="CM11" s="108">
        <f t="shared" ref="CM11" si="53">CM10-CM24</f>
        <v>0</v>
      </c>
      <c r="CN11" s="108">
        <f t="shared" ref="CN11" si="54">CN10-CN24</f>
        <v>0</v>
      </c>
      <c r="CO11" s="108">
        <f t="shared" ref="CO11" si="55">CO10-CO24</f>
        <v>0</v>
      </c>
      <c r="CP11" s="108">
        <f t="shared" ref="CP11" si="56">CP10-CP24</f>
        <v>0</v>
      </c>
      <c r="CQ11" s="108">
        <f t="shared" ref="CQ11" si="57">CQ10-CQ24</f>
        <v>0</v>
      </c>
      <c r="CR11" s="108">
        <f t="shared" ref="CR11" si="58">CR10-CR24</f>
        <v>0</v>
      </c>
      <c r="CS11" s="108">
        <f t="shared" ref="CS11" si="59">CS10-CS24</f>
        <v>0</v>
      </c>
      <c r="CT11" s="108">
        <f t="shared" ref="CT11" si="60">CT10-CT24</f>
        <v>0</v>
      </c>
      <c r="CU11" s="108">
        <f t="shared" ref="CU11" si="61">CU10-CU24</f>
        <v>0</v>
      </c>
      <c r="CV11" s="108">
        <f t="shared" ref="CV11" si="62">CV10-CV24</f>
        <v>0</v>
      </c>
      <c r="CW11" s="108">
        <f t="shared" ref="CW11" si="63">CW10-CW24</f>
        <v>0</v>
      </c>
      <c r="CX11" s="108">
        <f t="shared" ref="CX11" si="64">CX10-CX24</f>
        <v>0</v>
      </c>
      <c r="CY11" s="108">
        <f t="shared" ref="CY11" si="65">CY10-CY24</f>
        <v>0</v>
      </c>
      <c r="CZ11" s="108">
        <f t="shared" ref="CZ11" si="66">CZ10-CZ24</f>
        <v>0</v>
      </c>
      <c r="DA11" s="108">
        <f t="shared" ref="DA11" si="67">DA10-DA24</f>
        <v>0</v>
      </c>
      <c r="DB11" s="108">
        <f t="shared" ref="DB11" si="68">DB10-DB24</f>
        <v>0</v>
      </c>
      <c r="DE11" s="117"/>
    </row>
    <row r="12" spans="1:110" s="158" customFormat="1" x14ac:dyDescent="0.2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7"/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07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58" customFormat="1" x14ac:dyDescent="0.2">
      <c r="A13" s="155" t="s">
        <v>530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86">
        <f>+Z4/Y4-1</f>
        <v>0.15571479808811395</v>
      </c>
      <c r="AA13" s="188">
        <f t="shared" ref="AA13:AE13" si="69">+AA4/Z4-1</f>
        <v>0.14188695353677105</v>
      </c>
      <c r="AB13" s="188">
        <f t="shared" si="69"/>
        <v>0.12411568352774305</v>
      </c>
      <c r="AC13" s="188">
        <f t="shared" si="69"/>
        <v>0.11765388436364765</v>
      </c>
      <c r="AD13" s="188">
        <f t="shared" si="69"/>
        <v>0.11698779908113055</v>
      </c>
      <c r="AE13" s="188">
        <f t="shared" si="69"/>
        <v>0.11688845843713214</v>
      </c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86"/>
      <c r="CD13" s="186"/>
      <c r="CE13" s="186">
        <f t="shared" ref="CE13:CL17" si="70">+CE4/CA4-1</f>
        <v>0.14491438736935747</v>
      </c>
      <c r="CF13" s="186">
        <f t="shared" si="70"/>
        <v>0.12445248836397993</v>
      </c>
      <c r="CG13" s="186">
        <f t="shared" si="70"/>
        <v>0.18301006960870492</v>
      </c>
      <c r="CH13" s="186">
        <f t="shared" si="70"/>
        <v>0.16941249083388299</v>
      </c>
      <c r="CI13" s="186">
        <f t="shared" si="70"/>
        <v>0.10601811208568646</v>
      </c>
      <c r="CJ13" s="186">
        <f t="shared" si="70"/>
        <v>0.16935193042002572</v>
      </c>
      <c r="CK13" s="186">
        <f t="shared" si="70"/>
        <v>0.14322367522322832</v>
      </c>
      <c r="CL13" s="186">
        <f t="shared" si="70"/>
        <v>0.14904125508425348</v>
      </c>
      <c r="CM13" s="188">
        <f t="shared" ref="CM13" si="71">+CM4/CI4-1</f>
        <v>0.1259199894572498</v>
      </c>
      <c r="CN13" s="188">
        <f t="shared" ref="CN13" si="72">+CN4/CJ4-1</f>
        <v>0.13081375160136255</v>
      </c>
      <c r="CO13" s="188">
        <f t="shared" ref="CO13" si="73">+CO4/CK4-1</f>
        <v>0.12257340508801784</v>
      </c>
      <c r="CP13" s="188">
        <f t="shared" ref="CP13" si="74">+CP4/CL4-1</f>
        <v>0.11776406766388314</v>
      </c>
      <c r="CQ13" s="188">
        <f t="shared" ref="CQ13" si="75">+CQ4/CM4-1</f>
        <v>0.12012745759781041</v>
      </c>
      <c r="CR13" s="188">
        <f t="shared" ref="CR13" si="76">+CR4/CN4-1</f>
        <v>0.11917381171213637</v>
      </c>
      <c r="CS13" s="188">
        <f t="shared" ref="CS13" si="77">+CS4/CO4-1</f>
        <v>0.11658821858240609</v>
      </c>
      <c r="CT13" s="188">
        <f t="shared" ref="CT13" si="78">+CT4/CP4-1</f>
        <v>0.11502087821012963</v>
      </c>
      <c r="CU13" s="188">
        <f t="shared" ref="CU13" si="79">+CU4/CQ4-1</f>
        <v>0.11735472544787662</v>
      </c>
      <c r="CV13" s="188">
        <f t="shared" ref="CV13" si="80">+CV4/CR4-1</f>
        <v>0.11709630345600175</v>
      </c>
      <c r="CW13" s="188">
        <f t="shared" ref="CW13" si="81">+CW4/CS4-1</f>
        <v>0.1168032723195187</v>
      </c>
      <c r="CX13" s="188">
        <f t="shared" ref="CX13" si="82">+CX4/CT4-1</f>
        <v>0.11673127636377756</v>
      </c>
      <c r="CY13" s="188">
        <f t="shared" ref="CY13" si="83">+CY4/CU4-1</f>
        <v>0.11662638541245429</v>
      </c>
      <c r="CZ13" s="188">
        <f t="shared" ref="CZ13" si="84">+CZ4/CV4-1</f>
        <v>0.11687577333196209</v>
      </c>
      <c r="DA13" s="188">
        <f t="shared" ref="DA13" si="85">+DA4/CW4-1</f>
        <v>0.11704857755133502</v>
      </c>
      <c r="DB13" s="188">
        <f t="shared" ref="DB13" si="86">+DB4/CX4-1</f>
        <v>0.11698302620880741</v>
      </c>
      <c r="DE13" s="159"/>
    </row>
    <row r="14" spans="1:110" s="158" customFormat="1" x14ac:dyDescent="0.2">
      <c r="A14" s="155" t="s">
        <v>531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86">
        <f>+Z5/Y5-1</f>
        <v>0.15449541774380271</v>
      </c>
      <c r="AA14" s="188">
        <f t="shared" ref="AA14:AE14" si="87">+AA5/Z5-1</f>
        <v>0.13683922101006085</v>
      </c>
      <c r="AB14" s="188">
        <f t="shared" si="87"/>
        <v>0.11758877012243851</v>
      </c>
      <c r="AC14" s="188">
        <f t="shared" si="87"/>
        <v>0.11251683450705641</v>
      </c>
      <c r="AD14" s="188">
        <f t="shared" si="87"/>
        <v>0.11181764145154416</v>
      </c>
      <c r="AE14" s="188">
        <f t="shared" si="87"/>
        <v>0.11167206248763706</v>
      </c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86"/>
      <c r="CD14" s="186"/>
      <c r="CE14" s="186">
        <f t="shared" si="70"/>
        <v>0.13607729031893556</v>
      </c>
      <c r="CF14" s="186">
        <f t="shared" si="70"/>
        <v>0.1044561930393042</v>
      </c>
      <c r="CG14" s="186">
        <f t="shared" si="70"/>
        <v>0.19316358797943556</v>
      </c>
      <c r="CH14" s="186">
        <f t="shared" si="70"/>
        <v>0.18438097389031838</v>
      </c>
      <c r="CI14" s="186">
        <f t="shared" si="70"/>
        <v>0.11032566995367876</v>
      </c>
      <c r="CJ14" s="186">
        <f t="shared" si="70"/>
        <v>0.17586688711542298</v>
      </c>
      <c r="CK14" s="186">
        <f t="shared" si="70"/>
        <v>0.13037463651506176</v>
      </c>
      <c r="CL14" s="186">
        <f t="shared" si="70"/>
        <v>0.13320643438938684</v>
      </c>
      <c r="CM14" s="188">
        <f>AVERAGE(CI14:CL14)*0.89</f>
        <v>0.12232463222411495</v>
      </c>
      <c r="CN14" s="188">
        <f t="shared" ref="CN14:CP14" si="88">AVERAGE(CJ14:CM14)*0.89</f>
        <v>0.12499440132928701</v>
      </c>
      <c r="CO14" s="188">
        <f t="shared" si="88"/>
        <v>0.11367527324187174</v>
      </c>
      <c r="CP14" s="188">
        <f t="shared" si="88"/>
        <v>0.10995966491358697</v>
      </c>
      <c r="CQ14" s="188">
        <f>AVERAGE(CM14:CP14)*0.98</f>
        <v>0.11538372306867085</v>
      </c>
      <c r="CR14" s="188">
        <f t="shared" ref="CR14:CT14" si="89">AVERAGE(CN14:CQ14)*0.98</f>
        <v>0.11368320032558706</v>
      </c>
      <c r="CS14" s="188">
        <f t="shared" si="89"/>
        <v>0.11091195607968056</v>
      </c>
      <c r="CT14" s="188">
        <f t="shared" si="89"/>
        <v>0.11023494337494373</v>
      </c>
      <c r="CU14" s="188">
        <f t="shared" ref="CM14:DB18" si="90">AVERAGE(CQ14:CT14)</f>
        <v>0.11255345571222054</v>
      </c>
      <c r="CV14" s="188">
        <f t="shared" si="90"/>
        <v>0.11184588887310797</v>
      </c>
      <c r="CW14" s="188">
        <f t="shared" si="90"/>
        <v>0.1113865610099882</v>
      </c>
      <c r="CX14" s="188">
        <f t="shared" si="90"/>
        <v>0.1115052122425651</v>
      </c>
      <c r="CY14" s="188">
        <f t="shared" si="90"/>
        <v>0.11182277945947046</v>
      </c>
      <c r="CZ14" s="188">
        <f t="shared" si="90"/>
        <v>0.11164011039628292</v>
      </c>
      <c r="DA14" s="188">
        <f t="shared" si="90"/>
        <v>0.11158866577707667</v>
      </c>
      <c r="DB14" s="188">
        <f t="shared" si="90"/>
        <v>0.11163919196884878</v>
      </c>
      <c r="DE14" s="159"/>
    </row>
    <row r="15" spans="1:110" s="158" customFormat="1" x14ac:dyDescent="0.2">
      <c r="A15" s="155" t="s">
        <v>532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86">
        <f>+Z6/Y6-1</f>
        <v>0.15873929735086367</v>
      </c>
      <c r="AA15" s="188">
        <f t="shared" ref="AA15:AE15" si="91">+AA6/Z6-1</f>
        <v>0.15436127996834159</v>
      </c>
      <c r="AB15" s="188">
        <f t="shared" si="91"/>
        <v>0.14000063595796175</v>
      </c>
      <c r="AC15" s="188">
        <f t="shared" si="91"/>
        <v>0.1299104496838992</v>
      </c>
      <c r="AD15" s="188">
        <f t="shared" si="91"/>
        <v>0.12913346563593153</v>
      </c>
      <c r="AE15" s="188">
        <f t="shared" si="91"/>
        <v>0.12895482182060269</v>
      </c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86"/>
      <c r="CD15" s="186"/>
      <c r="CE15" s="186">
        <f t="shared" si="70"/>
        <v>0.16938602176974138</v>
      </c>
      <c r="CF15" s="186">
        <f t="shared" si="70"/>
        <v>0.17506896624339285</v>
      </c>
      <c r="CG15" s="186">
        <f t="shared" si="70"/>
        <v>0.15956164063867484</v>
      </c>
      <c r="CH15" s="186">
        <f t="shared" si="70"/>
        <v>0.13414854297903078</v>
      </c>
      <c r="CI15" s="186">
        <f t="shared" si="70"/>
        <v>9.4429419241391699E-2</v>
      </c>
      <c r="CJ15" s="186">
        <f t="shared" si="70"/>
        <v>0.15385166799580663</v>
      </c>
      <c r="CK15" s="186">
        <f t="shared" si="70"/>
        <v>0.17375699179014981</v>
      </c>
      <c r="CL15" s="186">
        <f t="shared" si="70"/>
        <v>0.18799845854835451</v>
      </c>
      <c r="CM15" s="188">
        <f>AVERAGE(CI15:CL15)*0.89</f>
        <v>0.13573312961059383</v>
      </c>
      <c r="CN15" s="188">
        <f t="shared" ref="CN15:CP15" si="92">AVERAGE(CJ15:CM15)*0.89</f>
        <v>0.14492320516774132</v>
      </c>
      <c r="CO15" s="188">
        <f t="shared" si="92"/>
        <v>0.14293662218849676</v>
      </c>
      <c r="CP15" s="188">
        <f t="shared" si="92"/>
        <v>0.13607908995212897</v>
      </c>
      <c r="CQ15" s="188">
        <f>AVERAGE(CM15:CP15)*0.95</f>
        <v>0.1329221111432532</v>
      </c>
      <c r="CR15" s="188">
        <f t="shared" ref="CR15:CT15" si="93">AVERAGE(CN15:CQ15)*0.95</f>
        <v>0.1322544942572598</v>
      </c>
      <c r="CS15" s="188">
        <f t="shared" si="93"/>
        <v>0.12924567541602044</v>
      </c>
      <c r="CT15" s="188">
        <f t="shared" si="93"/>
        <v>0.12599407555755729</v>
      </c>
      <c r="CU15" s="188">
        <f t="shared" si="90"/>
        <v>0.1301040890935227</v>
      </c>
      <c r="CV15" s="188">
        <f t="shared" si="90"/>
        <v>0.12939958358109005</v>
      </c>
      <c r="CW15" s="188">
        <f t="shared" si="90"/>
        <v>0.12868585591204762</v>
      </c>
      <c r="CX15" s="188">
        <f t="shared" si="90"/>
        <v>0.1285459010360544</v>
      </c>
      <c r="CY15" s="188">
        <f t="shared" si="90"/>
        <v>0.12918385740567867</v>
      </c>
      <c r="CZ15" s="188">
        <f t="shared" si="90"/>
        <v>0.12895379948371768</v>
      </c>
      <c r="DA15" s="188">
        <f t="shared" si="90"/>
        <v>0.12884235345937459</v>
      </c>
      <c r="DB15" s="188">
        <f t="shared" si="90"/>
        <v>0.12888147784620632</v>
      </c>
      <c r="DE15" s="159"/>
    </row>
    <row r="16" spans="1:110" s="158" customFormat="1" x14ac:dyDescent="0.2">
      <c r="A16" s="155" t="s">
        <v>533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86">
        <f>+Z7/Y7-1</f>
        <v>0.21056301865740235</v>
      </c>
      <c r="AA16" s="188">
        <f t="shared" ref="AA16:AE16" si="94">+AA7/Z7-1</f>
        <v>0.25017150817216782</v>
      </c>
      <c r="AB16" s="188">
        <f t="shared" si="94"/>
        <v>0.26387447007939957</v>
      </c>
      <c r="AC16" s="188">
        <f t="shared" si="94"/>
        <v>0.24516017109023158</v>
      </c>
      <c r="AD16" s="188">
        <f t="shared" si="94"/>
        <v>0.24451201081738239</v>
      </c>
      <c r="AE16" s="188">
        <f t="shared" si="94"/>
        <v>0.24429653656911254</v>
      </c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86"/>
      <c r="CD16" s="186"/>
      <c r="CE16" s="186">
        <f t="shared" si="70"/>
        <v>0.32762233125580154</v>
      </c>
      <c r="CF16" s="186">
        <f t="shared" si="70"/>
        <v>0.1905841145565057</v>
      </c>
      <c r="CG16" s="186">
        <f t="shared" si="70"/>
        <v>8.6613406079500965E-2</v>
      </c>
      <c r="CH16" s="186">
        <f t="shared" si="70"/>
        <v>0.24669987546699867</v>
      </c>
      <c r="CI16" s="186">
        <f t="shared" si="70"/>
        <v>7.0757920811858277E-2</v>
      </c>
      <c r="CJ16" s="186">
        <f t="shared" si="70"/>
        <v>0.27662888292809562</v>
      </c>
      <c r="CK16" s="186">
        <f t="shared" si="70"/>
        <v>0.22538778803909243</v>
      </c>
      <c r="CL16" s="186">
        <f t="shared" si="70"/>
        <v>0.42725002497253017</v>
      </c>
      <c r="CM16" s="188">
        <f>AVERAGE(CI16:CL16)*0.93</f>
        <v>0.23250572339474154</v>
      </c>
      <c r="CN16" s="188">
        <f t="shared" ref="CN16:CP16" si="95">AVERAGE(CJ16:CM16)*0.93</f>
        <v>0.27011208749526194</v>
      </c>
      <c r="CO16" s="188">
        <f t="shared" si="95"/>
        <v>0.26859693255712808</v>
      </c>
      <c r="CP16" s="188">
        <f t="shared" si="95"/>
        <v>0.27864305865757133</v>
      </c>
      <c r="CQ16" s="188">
        <f>AVERAGE(CM16:CP16)*0.94</f>
        <v>0.24671658349460518</v>
      </c>
      <c r="CR16" s="188">
        <f t="shared" ref="CR16:CT16" si="96">AVERAGE(CN16:CQ16)*0.94</f>
        <v>0.25005613561807311</v>
      </c>
      <c r="CS16" s="188">
        <f t="shared" si="96"/>
        <v>0.24534298692693376</v>
      </c>
      <c r="CT16" s="188">
        <f t="shared" si="96"/>
        <v>0.23987830970383803</v>
      </c>
      <c r="CU16" s="188">
        <f t="shared" si="90"/>
        <v>0.24549850393586253</v>
      </c>
      <c r="CV16" s="188">
        <f t="shared" si="90"/>
        <v>0.24519398404617687</v>
      </c>
      <c r="CW16" s="188">
        <f t="shared" si="90"/>
        <v>0.2439784461532028</v>
      </c>
      <c r="CX16" s="188">
        <f t="shared" si="90"/>
        <v>0.24363731095977004</v>
      </c>
      <c r="CY16" s="188">
        <f t="shared" si="90"/>
        <v>0.24457706127375306</v>
      </c>
      <c r="CZ16" s="188">
        <f t="shared" si="90"/>
        <v>0.24434670060822566</v>
      </c>
      <c r="DA16" s="188">
        <f t="shared" si="90"/>
        <v>0.24413487974873788</v>
      </c>
      <c r="DB16" s="188">
        <f t="shared" si="90"/>
        <v>0.24417398814762165</v>
      </c>
      <c r="DE16" s="159"/>
    </row>
    <row r="17" spans="1:110" s="158" customFormat="1" x14ac:dyDescent="0.2">
      <c r="A17" s="155" t="s">
        <v>534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86">
        <f>+Z8/Y8-1</f>
        <v>-0.31091414668056994</v>
      </c>
      <c r="AA17" s="188">
        <f>+AA8/Z8-1</f>
        <v>2.3959646910466592E-2</v>
      </c>
      <c r="AB17" s="188">
        <f t="shared" ref="AB17:AE17" si="97">+AB8/AA8-1</f>
        <v>6.8125175283401562E-2</v>
      </c>
      <c r="AC17" s="188">
        <f t="shared" si="97"/>
        <v>6.9880316159129041E-2</v>
      </c>
      <c r="AD17" s="188">
        <f t="shared" si="97"/>
        <v>6.9660473185938487E-2</v>
      </c>
      <c r="AE17" s="188">
        <f t="shared" si="97"/>
        <v>6.9554974244752987E-2</v>
      </c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56"/>
      <c r="CC17" s="186"/>
      <c r="CD17" s="186"/>
      <c r="CE17" s="186">
        <f t="shared" si="70"/>
        <v>0.13375796178343946</v>
      </c>
      <c r="CF17" s="186">
        <f t="shared" si="70"/>
        <v>-0.33310946944257891</v>
      </c>
      <c r="CG17" s="186">
        <f t="shared" si="70"/>
        <v>-0.37966101694915233</v>
      </c>
      <c r="CH17" s="186">
        <f t="shared" si="70"/>
        <v>-0.52040212891780013</v>
      </c>
      <c r="CI17" s="186">
        <f t="shared" si="70"/>
        <v>-0.173354735152488</v>
      </c>
      <c r="CJ17" s="186">
        <f t="shared" si="70"/>
        <v>0.16112789526686799</v>
      </c>
      <c r="CK17" s="186">
        <f t="shared" si="70"/>
        <v>0.13114754098360648</v>
      </c>
      <c r="CL17" s="186">
        <f t="shared" si="70"/>
        <v>3.8224414303329235E-2</v>
      </c>
      <c r="CM17" s="188">
        <f t="shared" si="90"/>
        <v>3.9286278850328926E-2</v>
      </c>
      <c r="CN17" s="188">
        <f t="shared" si="90"/>
        <v>9.2446532351033159E-2</v>
      </c>
      <c r="CO17" s="188">
        <f t="shared" si="90"/>
        <v>7.5276191622074454E-2</v>
      </c>
      <c r="CP17" s="188">
        <f t="shared" si="90"/>
        <v>6.1308354281691443E-2</v>
      </c>
      <c r="CQ17" s="188">
        <f t="shared" si="90"/>
        <v>6.7079339276281999E-2</v>
      </c>
      <c r="CR17" s="188">
        <f t="shared" si="90"/>
        <v>7.4027604382770271E-2</v>
      </c>
      <c r="CS17" s="188">
        <f t="shared" si="90"/>
        <v>6.9422872390704549E-2</v>
      </c>
      <c r="CT17" s="188">
        <f t="shared" si="90"/>
        <v>6.7959542582862062E-2</v>
      </c>
      <c r="CU17" s="188">
        <f t="shared" si="90"/>
        <v>6.9622339658154717E-2</v>
      </c>
      <c r="CV17" s="188">
        <f t="shared" si="90"/>
        <v>7.025808975362291E-2</v>
      </c>
      <c r="CW17" s="188">
        <f t="shared" si="90"/>
        <v>6.9315711096336066E-2</v>
      </c>
      <c r="CX17" s="188">
        <f t="shared" si="90"/>
        <v>6.9288920772743942E-2</v>
      </c>
      <c r="CY17" s="188">
        <f t="shared" si="90"/>
        <v>6.9621265320214412E-2</v>
      </c>
      <c r="CZ17" s="188">
        <f t="shared" si="90"/>
        <v>6.9620996735729329E-2</v>
      </c>
      <c r="DA17" s="188">
        <f t="shared" si="90"/>
        <v>6.9461723481255927E-2</v>
      </c>
      <c r="DB17" s="188">
        <f t="shared" si="90"/>
        <v>6.9498226577485903E-2</v>
      </c>
      <c r="DE17" s="159"/>
    </row>
    <row r="18" spans="1:110" s="109" customFormat="1" x14ac:dyDescent="0.2">
      <c r="A18" s="185" t="s">
        <v>535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86">
        <f>+Z10/Y10-1</f>
        <v>0.15865275535402534</v>
      </c>
      <c r="AA18" s="189">
        <f t="shared" ref="AA18:AE18" si="98">+AA10/Z10-1</f>
        <v>0.15168149026864075</v>
      </c>
      <c r="AB18" s="189">
        <f t="shared" si="98"/>
        <v>0.14274183622406111</v>
      </c>
      <c r="AC18" s="189">
        <f t="shared" si="98"/>
        <v>0.13487073138543848</v>
      </c>
      <c r="AD18" s="189">
        <f t="shared" si="98"/>
        <v>0.13573702102179541</v>
      </c>
      <c r="AE18" s="189">
        <f t="shared" si="98"/>
        <v>0.1372927810659732</v>
      </c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7"/>
      <c r="BF18" s="107"/>
      <c r="BG18" s="107"/>
      <c r="BH18" s="107"/>
      <c r="BI18" s="107"/>
      <c r="BJ18" s="107"/>
      <c r="BK18" s="107"/>
      <c r="BL18" s="107"/>
      <c r="BM18" s="107"/>
      <c r="BN18" s="107"/>
      <c r="BO18" s="107"/>
      <c r="BP18" s="107"/>
      <c r="BQ18" s="107"/>
      <c r="BR18" s="107"/>
      <c r="BS18" s="107"/>
      <c r="BT18" s="107"/>
      <c r="BU18" s="107"/>
      <c r="BV18" s="107"/>
      <c r="BW18" s="107"/>
      <c r="BX18" s="107"/>
      <c r="BY18" s="107"/>
      <c r="BZ18" s="107"/>
      <c r="CA18" s="107"/>
      <c r="CB18" s="107"/>
      <c r="CC18" s="107"/>
      <c r="CD18" s="107"/>
      <c r="CE18" s="187">
        <f t="shared" ref="CE18:CI18" si="99">+CE10/CA10-1</f>
        <v>0.1632787253321788</v>
      </c>
      <c r="CF18" s="187">
        <f t="shared" si="99"/>
        <v>0.1287354905752347</v>
      </c>
      <c r="CG18" s="187">
        <f t="shared" si="99"/>
        <v>0.16815285284653747</v>
      </c>
      <c r="CH18" s="187">
        <f t="shared" si="99"/>
        <v>0.17348877242840466</v>
      </c>
      <c r="CI18" s="187">
        <f t="shared" si="99"/>
        <v>9.8132612756687942E-2</v>
      </c>
      <c r="CJ18" s="187">
        <f>+CJ10/CF10-1</f>
        <v>0.1783032186880853</v>
      </c>
      <c r="CK18" s="187">
        <f>+CK10/CG10-1</f>
        <v>0.15042893535813651</v>
      </c>
      <c r="CL18" s="187">
        <f>+CL10/CH10-1</f>
        <v>0.17911471240522392</v>
      </c>
      <c r="CM18" s="189">
        <f t="shared" si="90"/>
        <v>0.15149486980203342</v>
      </c>
      <c r="CN18" s="189">
        <f t="shared" si="90"/>
        <v>0.16483543406336978</v>
      </c>
      <c r="CO18" s="189">
        <f t="shared" si="90"/>
        <v>0.1614684879071909</v>
      </c>
      <c r="CP18" s="189">
        <f t="shared" si="90"/>
        <v>0.1642283760444545</v>
      </c>
      <c r="CQ18" s="189">
        <f t="shared" si="90"/>
        <v>0.16050679195426215</v>
      </c>
      <c r="CR18" s="189">
        <f t="shared" si="90"/>
        <v>0.16275977249231932</v>
      </c>
      <c r="CS18" s="189">
        <f t="shared" si="90"/>
        <v>0.16224085709955671</v>
      </c>
      <c r="CT18" s="189">
        <f t="shared" si="90"/>
        <v>0.16243394939764816</v>
      </c>
      <c r="CU18" s="189">
        <f t="shared" si="90"/>
        <v>0.16198534273594659</v>
      </c>
      <c r="CV18" s="189">
        <f t="shared" si="90"/>
        <v>0.1623549804313677</v>
      </c>
      <c r="CW18" s="189">
        <f t="shared" si="90"/>
        <v>0.16225378241612981</v>
      </c>
      <c r="CX18" s="189">
        <f t="shared" si="90"/>
        <v>0.16225701374527307</v>
      </c>
      <c r="CY18" s="189">
        <f t="shared" si="90"/>
        <v>0.1622127798321793</v>
      </c>
      <c r="CZ18" s="189">
        <f t="shared" si="90"/>
        <v>0.16226963910623748</v>
      </c>
      <c r="DA18" s="189">
        <f t="shared" si="90"/>
        <v>0.16224830377495492</v>
      </c>
      <c r="DB18" s="189">
        <f t="shared" si="90"/>
        <v>0.16224693411466118</v>
      </c>
      <c r="DE18" s="117"/>
    </row>
    <row r="19" spans="1:110" s="158" customFormat="1" x14ac:dyDescent="0.2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7"/>
      <c r="AB19" s="157"/>
      <c r="AC19" s="157"/>
      <c r="AD19" s="157"/>
      <c r="AE19" s="157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56"/>
      <c r="CD19" s="156"/>
      <c r="CE19" s="156"/>
      <c r="CF19" s="156"/>
      <c r="CG19" s="156"/>
      <c r="CH19" s="156"/>
      <c r="CI19" s="156"/>
      <c r="CJ19" s="156"/>
      <c r="CK19" s="156"/>
      <c r="CL19" s="107"/>
      <c r="CM19" s="157"/>
      <c r="CN19" s="157"/>
      <c r="CO19" s="157"/>
      <c r="CP19" s="157"/>
      <c r="CQ19" s="157"/>
      <c r="CR19" s="157"/>
      <c r="CS19" s="157"/>
      <c r="CT19" s="157"/>
      <c r="CU19" s="157"/>
      <c r="CV19" s="157"/>
      <c r="CW19" s="157"/>
      <c r="CX19" s="157"/>
      <c r="CY19" s="157"/>
      <c r="CZ19" s="157"/>
      <c r="DA19" s="157"/>
      <c r="DB19" s="157"/>
      <c r="DE19" s="159"/>
    </row>
    <row r="20" spans="1:110" s="106" customFormat="1" x14ac:dyDescent="0.2">
      <c r="A20" s="151" t="s">
        <v>500</v>
      </c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57"/>
      <c r="AB20" s="157"/>
      <c r="AC20" s="157"/>
      <c r="AD20" s="105"/>
      <c r="AE20" s="105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04"/>
      <c r="BV20" s="104"/>
      <c r="BW20" s="104"/>
      <c r="BX20" s="104"/>
      <c r="BY20" s="104"/>
      <c r="BZ20" s="104"/>
      <c r="CA20" s="104"/>
      <c r="CB20" s="104"/>
      <c r="CC20" s="104"/>
      <c r="CD20" s="104"/>
      <c r="CE20" s="104"/>
      <c r="CF20" s="104"/>
      <c r="CG20" s="104"/>
      <c r="CH20" s="104"/>
      <c r="CI20" s="104"/>
      <c r="CJ20" s="104"/>
      <c r="CK20" s="104"/>
      <c r="CL20" s="107"/>
      <c r="CM20" s="105"/>
      <c r="CN20" s="105"/>
      <c r="CO20" s="105"/>
      <c r="CP20" s="105"/>
      <c r="CQ20" s="105"/>
      <c r="CR20" s="105"/>
      <c r="CS20" s="105"/>
      <c r="CT20" s="105"/>
      <c r="CU20" s="105"/>
      <c r="CV20" s="105"/>
      <c r="CW20" s="105"/>
      <c r="CX20" s="105"/>
      <c r="CY20" s="105"/>
      <c r="CZ20" s="105"/>
      <c r="DA20" s="105"/>
      <c r="DB20" s="105"/>
      <c r="DE20" s="118"/>
    </row>
    <row r="21" spans="1:110" s="106" customFormat="1" x14ac:dyDescent="0.2">
      <c r="A21" s="151" t="s">
        <v>485</v>
      </c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57"/>
      <c r="AC21" s="157"/>
      <c r="AD21" s="105"/>
      <c r="AE21" s="105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  <c r="BJ21" s="118"/>
      <c r="BK21" s="118"/>
      <c r="BL21" s="118"/>
      <c r="BM21" s="118"/>
      <c r="BN21" s="118"/>
      <c r="BO21" s="118"/>
      <c r="BP21" s="118"/>
      <c r="BQ21" s="118"/>
      <c r="BR21" s="118"/>
      <c r="BS21" s="118"/>
      <c r="BT21" s="118"/>
      <c r="BU21" s="118"/>
      <c r="BV21" s="118"/>
      <c r="BW21" s="118"/>
      <c r="BX21" s="118"/>
      <c r="BY21" s="118"/>
      <c r="BZ21" s="118"/>
      <c r="CA21" s="118"/>
      <c r="CB21" s="118"/>
      <c r="CC21" s="118"/>
      <c r="CD21" s="118"/>
      <c r="CE21" s="118"/>
      <c r="CF21" s="118"/>
      <c r="CG21" s="118"/>
      <c r="CH21" s="118"/>
      <c r="CI21" s="118"/>
      <c r="CJ21" s="160"/>
      <c r="CK21" s="160"/>
      <c r="CL21" s="160"/>
      <c r="CM21" s="105"/>
      <c r="CN21" s="105"/>
      <c r="CO21" s="105"/>
      <c r="CP21" s="105"/>
      <c r="CQ21" s="105"/>
      <c r="CR21" s="105"/>
      <c r="CS21" s="105"/>
      <c r="CT21" s="105"/>
      <c r="CU21" s="105"/>
      <c r="CV21" s="105"/>
      <c r="CW21" s="105"/>
      <c r="CX21" s="105"/>
      <c r="CY21" s="105"/>
      <c r="CZ21" s="105"/>
      <c r="DA21" s="105"/>
      <c r="DB21" s="105"/>
      <c r="DE21" s="118"/>
    </row>
    <row r="22" spans="1:110" s="25" customFormat="1" outlineLevel="1" x14ac:dyDescent="0.2">
      <c r="A22" s="25" t="s">
        <v>430</v>
      </c>
      <c r="B22" s="25">
        <f>'Annual Raw'!C6</f>
        <v>822.87950000000001</v>
      </c>
      <c r="C22" s="25">
        <f>'Annual Raw'!D6</f>
        <v>3027.7712999999999</v>
      </c>
      <c r="D22" s="25">
        <f>'Annual Raw'!E6</f>
        <v>3292.1651999999999</v>
      </c>
      <c r="E22" s="25">
        <f>'Annual Raw'!F6</f>
        <v>3056.5155</v>
      </c>
      <c r="F22" s="25">
        <f>'Annual Raw'!G6</f>
        <v>3047.6684</v>
      </c>
      <c r="G22" s="25">
        <f>'Annual Raw'!H6</f>
        <v>3107.4313000000002</v>
      </c>
      <c r="H22" s="25">
        <f>'Annual Raw'!I6</f>
        <v>4025.7357000000002</v>
      </c>
      <c r="I22" s="25">
        <f>'Annual Raw'!J6</f>
        <v>4311.0407999999998</v>
      </c>
      <c r="J22" s="25">
        <f>'Annual Raw'!K6</f>
        <v>4848.9447</v>
      </c>
      <c r="K22" s="25">
        <f>'Annual Raw'!L6</f>
        <v>5783.8735999999999</v>
      </c>
      <c r="L22" s="25">
        <f>'Annual Raw'!M6</f>
        <v>6004.6871000000001</v>
      </c>
      <c r="M22" s="25">
        <f>'Annual Raw'!N6</f>
        <v>6641.7443999999996</v>
      </c>
      <c r="N22" s="25">
        <f>'Annual Raw'!O6</f>
        <v>7351.915</v>
      </c>
      <c r="O22" s="25">
        <f>'Annual Raw'!P6</f>
        <v>7738.3814000000002</v>
      </c>
      <c r="P22" s="25">
        <f>'Annual Raw'!Q6</f>
        <v>7993.94</v>
      </c>
      <c r="Q22" s="25">
        <f>'Annual Raw'!R6</f>
        <v>6636.54</v>
      </c>
      <c r="R22" s="25">
        <f>'Annual Raw'!S6</f>
        <v>6779.55</v>
      </c>
      <c r="S22" s="25">
        <f>'Annual Raw'!T6</f>
        <v>6815.35</v>
      </c>
      <c r="T22" s="25">
        <f>'Annual Raw'!U6</f>
        <v>7251.5</v>
      </c>
      <c r="U22" s="25">
        <f>'Annual Raw'!V6</f>
        <v>9637.42</v>
      </c>
      <c r="V22" s="25">
        <f>'Annual Raw'!W6</f>
        <v>11602.03</v>
      </c>
      <c r="W22" s="25">
        <f>'Annual Raw'!X6</f>
        <v>12425.37</v>
      </c>
      <c r="X22" s="25">
        <f>'Annual Raw'!Y6</f>
        <v>13783.16</v>
      </c>
      <c r="Y22" s="25">
        <f>'Annual Raw'!Z6</f>
        <v>15205.85</v>
      </c>
      <c r="Z22" s="25">
        <f>'Annual Raw'!AA6</f>
        <v>17618.3</v>
      </c>
      <c r="AA22" s="25">
        <f>'Annual Raw'!AB6</f>
        <v>20290.43</v>
      </c>
      <c r="AB22" s="17">
        <f>+SUM(CM22:CP22)</f>
        <v>23186.997494016468</v>
      </c>
      <c r="AC22" s="17">
        <f>+SUM(CQ22:CT22)</f>
        <v>26314.2448046668</v>
      </c>
      <c r="AD22" s="17">
        <f>+SUM(CU22:CX22)</f>
        <v>29886.062004890529</v>
      </c>
      <c r="AE22" s="17">
        <f>+SUM(CY22:DB22)</f>
        <v>33989.202572652051</v>
      </c>
      <c r="AI22" s="25">
        <f>'QTR Raw'!C6+'QTR Raw'!C8</f>
        <v>1725.1000000000001</v>
      </c>
      <c r="AJ22" s="25">
        <f>'QTR Raw'!D6+'QTR Raw'!D8</f>
        <v>1864.95</v>
      </c>
      <c r="AK22" s="25">
        <f>'QTR Raw'!E6+'QTR Raw'!E8</f>
        <v>1911.4299999999998</v>
      </c>
      <c r="AL22" s="25">
        <f>'QTR Raw'!F6+'QTR Raw'!F8</f>
        <v>1849.5</v>
      </c>
      <c r="AM22" s="25">
        <f>'QTR Raw'!G6+'QTR Raw'!G8</f>
        <v>1813.46</v>
      </c>
      <c r="AN22" s="25">
        <f>'QTR Raw'!H6+'QTR Raw'!H8</f>
        <v>1933.48</v>
      </c>
      <c r="AO22" s="25">
        <f>'QTR Raw'!I6+'QTR Raw'!I8</f>
        <v>2080.7399999999998</v>
      </c>
      <c r="AP22" s="25">
        <f>'QTR Raw'!J6+'QTR Raw'!J8</f>
        <v>1909.93</v>
      </c>
      <c r="AQ22" s="25">
        <f>'QTR Raw'!K6+'QTR Raw'!K8</f>
        <v>1910.66</v>
      </c>
      <c r="AR22" s="25">
        <f>'QTR Raw'!L6+'QTR Raw'!L8</f>
        <v>2019.0800000000002</v>
      </c>
      <c r="AS22" s="25">
        <f>'QTR Raw'!M6+'QTR Raw'!M8</f>
        <v>2141</v>
      </c>
      <c r="AT22" s="25">
        <f>'QTR Raw'!N6+'QTR Raw'!N8</f>
        <v>1922.6499999999999</v>
      </c>
      <c r="AU22" s="25">
        <f>'QTR Raw'!O6+'QTR Raw'!O8</f>
        <v>1672.1799999999998</v>
      </c>
      <c r="AV22" s="25">
        <f>'QTR Raw'!P6+'QTR Raw'!P8</f>
        <v>1669.45</v>
      </c>
      <c r="AW22" s="25">
        <f>'QTR Raw'!Q6+'QTR Raw'!Q8</f>
        <v>1699.61</v>
      </c>
      <c r="AX22" s="25">
        <f>'QTR Raw'!R6+'QTR Raw'!R8</f>
        <v>1598.35</v>
      </c>
      <c r="AY22" s="25">
        <f>'QTR Raw'!S6+'QTR Raw'!S8</f>
        <v>1735.46</v>
      </c>
      <c r="AZ22" s="25">
        <f>'QTR Raw'!T6+'QTR Raw'!T8</f>
        <v>1621.64</v>
      </c>
      <c r="BA22" s="25">
        <f>'QTR Raw'!U6+'QTR Raw'!U8</f>
        <v>1740.82</v>
      </c>
      <c r="BB22" s="25">
        <f>'QTR Raw'!V6+'QTR Raw'!V8</f>
        <v>1681.97</v>
      </c>
      <c r="BC22" s="25">
        <f>'QTR Raw'!W6+'QTR Raw'!W8</f>
        <v>1704.42</v>
      </c>
      <c r="BD22" s="25">
        <f>'QTR Raw'!X6+'QTR Raw'!X8</f>
        <v>1692.14</v>
      </c>
      <c r="BE22" s="25">
        <f>'QTR Raw'!Y6+'QTR Raw'!Y8</f>
        <v>1730.39</v>
      </c>
      <c r="BF22" s="25">
        <f>'QTR Raw'!Z6+'QTR Raw'!Z8</f>
        <v>1688.4</v>
      </c>
      <c r="BG22" s="25">
        <f>'QTR Raw'!AA6+'QTR Raw'!AA8</f>
        <v>1802.59</v>
      </c>
      <c r="BH22" s="25">
        <f>'QTR Raw'!AB6+'QTR Raw'!AB8</f>
        <v>1760.87</v>
      </c>
      <c r="BI22" s="25">
        <f>'QTR Raw'!AC6+'QTR Raw'!AC8</f>
        <v>1912.58</v>
      </c>
      <c r="BJ22" s="25">
        <f>'QTR Raw'!AD6+'QTR Raw'!AD8</f>
        <v>1775.46</v>
      </c>
      <c r="BK22" s="25">
        <f>'QTR Raw'!AE6+'QTR Raw'!AE8</f>
        <v>2392.36</v>
      </c>
      <c r="BL22" s="25">
        <f>'QTR Raw'!AF6+'QTR Raw'!AF8</f>
        <v>2347.0700000000002</v>
      </c>
      <c r="BM22" s="25">
        <f>'QTR Raw'!AG6+'QTR Raw'!AG8</f>
        <v>2492.96</v>
      </c>
      <c r="BN22" s="25">
        <f>'QTR Raw'!AH6+'QTR Raw'!AH8</f>
        <v>2405.0300000000002</v>
      </c>
      <c r="BO22" s="25">
        <f>'QTR Raw'!AI6+'QTR Raw'!AI8</f>
        <v>2713.91</v>
      </c>
      <c r="BP22" s="25">
        <f>'QTR Raw'!AJ6+'QTR Raw'!AJ8</f>
        <v>2781.34</v>
      </c>
      <c r="BQ22" s="25">
        <f>'QTR Raw'!AK6+'QTR Raw'!AK8</f>
        <v>3069.56</v>
      </c>
      <c r="BR22" s="25">
        <f>'QTR Raw'!AL6+'QTR Raw'!AL8</f>
        <v>3037.22</v>
      </c>
      <c r="BS22" s="25">
        <f>'QTR Raw'!AM6+'QTR Raw'!AM8</f>
        <v>3008.46</v>
      </c>
      <c r="BT22" s="25">
        <f>'QTR Raw'!AN6+'QTR Raw'!AN8</f>
        <v>3033.12</v>
      </c>
      <c r="BU22" s="25">
        <f>'QTR Raw'!AO6+'QTR Raw'!AO8</f>
        <v>3208.38</v>
      </c>
      <c r="BV22" s="25">
        <f>'QTR Raw'!AP6+'QTR Raw'!AP8</f>
        <v>3175.41</v>
      </c>
      <c r="BW22" s="25">
        <f>'QTR Raw'!AQ6+'QTR Raw'!AQ8</f>
        <v>3326.83</v>
      </c>
      <c r="BX22" s="25">
        <f>'QTR Raw'!AR6+'QTR Raw'!AR8</f>
        <v>3363.05</v>
      </c>
      <c r="BY22" s="25">
        <f>'QTR Raw'!AS6+'QTR Raw'!AS8</f>
        <v>3474.55</v>
      </c>
      <c r="BZ22" s="25">
        <f>'QTR Raw'!AT6+'QTR Raw'!AT8</f>
        <v>3618.73</v>
      </c>
      <c r="CA22" s="25">
        <f>'QTR Raw'!AU6+'QTR Raw'!AU8</f>
        <v>3741.21</v>
      </c>
      <c r="CB22" s="25">
        <f>'QTR Raw'!AV6+'QTR Raw'!AV8</f>
        <v>3733.78</v>
      </c>
      <c r="CC22" s="25">
        <f>'QTR Raw'!AW6+'QTR Raw'!AW8</f>
        <v>3803.92</v>
      </c>
      <c r="CD22" s="25">
        <f>'QTR Raw'!AX6+'QTR Raw'!AX8</f>
        <v>3926.94</v>
      </c>
      <c r="CE22" s="25">
        <f>'QTR Raw'!AY6+'QTR Raw'!AY8</f>
        <v>4352.07</v>
      </c>
      <c r="CF22" s="25">
        <f>'QTR Raw'!AZ6+'QTR Raw'!AZ8</f>
        <v>4214.45</v>
      </c>
      <c r="CG22" s="25">
        <f>'QTR Raw'!BA6+'QTR Raw'!BA8</f>
        <v>4443.5600000000004</v>
      </c>
      <c r="CH22" s="25">
        <f>'QTR Raw'!BB6+'QTR Raw'!BB8</f>
        <v>4608.22</v>
      </c>
      <c r="CI22" s="25">
        <f>'QTR Raw'!BC6+'QTR Raw'!BC8</f>
        <v>4778.91</v>
      </c>
      <c r="CJ22" s="25">
        <f>'QTR Raw'!BD6+'QTR Raw'!BD8</f>
        <v>4965.8999999999996</v>
      </c>
      <c r="CK22" s="25">
        <f>'QTR Raw'!BE6+'QTR Raw'!BE8</f>
        <v>5112</v>
      </c>
      <c r="CL22" s="25">
        <f>'QTR Raw'!BF6+'QTR Raw'!BF8</f>
        <v>5433.62</v>
      </c>
      <c r="CM22" s="17">
        <f t="shared" ref="CM22:DB22" si="100">CM10</f>
        <v>5444.8093993847078</v>
      </c>
      <c r="CN22" s="17">
        <f t="shared" si="100"/>
        <v>5713.6855887109969</v>
      </c>
      <c r="CO22" s="17">
        <f t="shared" si="100"/>
        <v>5836.3926369093715</v>
      </c>
      <c r="CP22" s="17">
        <f t="shared" si="100"/>
        <v>6192.1098690113959</v>
      </c>
      <c r="CQ22" s="17">
        <f t="shared" si="100"/>
        <v>6186.1700326425344</v>
      </c>
      <c r="CR22" s="17">
        <f t="shared" si="100"/>
        <v>6496.340110053894</v>
      </c>
      <c r="CS22" s="17">
        <f t="shared" si="100"/>
        <v>6609.7193523860424</v>
      </c>
      <c r="CT22" s="17">
        <f t="shared" si="100"/>
        <v>7022.015309584328</v>
      </c>
      <c r="CU22" s="17">
        <f t="shared" si="100"/>
        <v>7021.2736084197822</v>
      </c>
      <c r="CV22" s="17">
        <f t="shared" si="100"/>
        <v>7380.5548488035474</v>
      </c>
      <c r="CW22" s="17">
        <f t="shared" si="100"/>
        <v>7495.1385255480773</v>
      </c>
      <c r="CX22" s="17">
        <f t="shared" si="100"/>
        <v>7989.0950221191242</v>
      </c>
      <c r="CY22" s="17">
        <f t="shared" si="100"/>
        <v>7974.9238811115547</v>
      </c>
      <c r="CZ22" s="17">
        <f t="shared" si="100"/>
        <v>8395.3207957959039</v>
      </c>
      <c r="DA22" s="17">
        <f t="shared" si="100"/>
        <v>8512.4862088042319</v>
      </c>
      <c r="DB22" s="17">
        <f t="shared" si="100"/>
        <v>9106.4716869403637</v>
      </c>
      <c r="DE22" s="119"/>
      <c r="DF22" s="25">
        <v>5336.6263428223929</v>
      </c>
    </row>
    <row r="23" spans="1:110" s="92" customFormat="1" outlineLevel="1" x14ac:dyDescent="0.2">
      <c r="A23" s="92" t="s">
        <v>109</v>
      </c>
      <c r="B23" s="92">
        <f>'Annual Raw'!C7+'Annual Raw'!C8+'Annual Raw'!C9</f>
        <v>13.307700000000001</v>
      </c>
      <c r="C23" s="92">
        <f>'Annual Raw'!D7+'Annual Raw'!D8+'Annual Raw'!D9</f>
        <v>12.5838</v>
      </c>
      <c r="D23" s="92">
        <f>'Annual Raw'!E7+'Annual Raw'!E8+'Annual Raw'!E9</f>
        <v>7.4028999999999998</v>
      </c>
      <c r="E23" s="92">
        <f>'Annual Raw'!F7+'Annual Raw'!F8+'Annual Raw'!F9</f>
        <v>6.9611999999999998</v>
      </c>
      <c r="F23" s="92">
        <f>'Annual Raw'!G7+'Annual Raw'!G8+'Annual Raw'!G9</f>
        <v>6.3284000000000002</v>
      </c>
      <c r="G23" s="92">
        <f>'Annual Raw'!H7+'Annual Raw'!H8+'Annual Raw'!H9</f>
        <v>0.90629999999999999</v>
      </c>
      <c r="H23" s="92">
        <f>'Annual Raw'!I7+'Annual Raw'!I8+'Annual Raw'!I9</f>
        <v>0.84109999999999996</v>
      </c>
      <c r="I23" s="92">
        <f>'Annual Raw'!J7+'Annual Raw'!J8+'Annual Raw'!J9</f>
        <v>1.3945000000000001</v>
      </c>
      <c r="J23" s="92">
        <f>'Annual Raw'!K7+'Annual Raw'!K8+'Annual Raw'!K9</f>
        <v>1.0699000000000001</v>
      </c>
      <c r="K23" s="92">
        <f>'Annual Raw'!L7+'Annual Raw'!L8+'Annual Raw'!L9</f>
        <v>0.92320000000000002</v>
      </c>
      <c r="L23" s="92">
        <f>'Annual Raw'!M7+'Annual Raw'!M8+'Annual Raw'!M9</f>
        <v>1.5173000000000001</v>
      </c>
      <c r="M23" s="92">
        <f>'Annual Raw'!N7+'Annual Raw'!N8+'Annual Raw'!N9</f>
        <v>1.6995</v>
      </c>
      <c r="N23" s="92">
        <f>'Annual Raw'!O7+'Annual Raw'!O8+'Annual Raw'!O9</f>
        <v>0.93740000000000001</v>
      </c>
      <c r="O23" s="92">
        <f>'Annual Raw'!P7+'Annual Raw'!P8+'Annual Raw'!P9</f>
        <v>0.77080000000000004</v>
      </c>
      <c r="P23" s="92">
        <f>'Annual Raw'!Q7+'Annual Raw'!Q8+'Annual Raw'!Q9</f>
        <v>0.55000000000000004</v>
      </c>
      <c r="Q23" s="92">
        <f>'Annual Raw'!R7+'Annual Raw'!R8+'Annual Raw'!R9</f>
        <v>0</v>
      </c>
      <c r="R23" s="92">
        <f>'Annual Raw'!S7+'Annual Raw'!S8+'Annual Raw'!S9</f>
        <v>0</v>
      </c>
      <c r="S23" s="92">
        <f>'Annual Raw'!T7+'Annual Raw'!T8+'Annual Raw'!T9</f>
        <v>0</v>
      </c>
      <c r="T23" s="92">
        <f>'Annual Raw'!U7+'Annual Raw'!U8+'Annual Raw'!U9</f>
        <v>0</v>
      </c>
      <c r="U23" s="92">
        <f>'Annual Raw'!V7+'Annual Raw'!V8+'Annual Raw'!V9</f>
        <v>0</v>
      </c>
      <c r="V23" s="92">
        <f>'Annual Raw'!W7+'Annual Raw'!W8+'Annual Raw'!W9</f>
        <v>0</v>
      </c>
      <c r="W23" s="92">
        <f>'Annual Raw'!X7+'Annual Raw'!X8+'Annual Raw'!X9</f>
        <v>0</v>
      </c>
      <c r="X23" s="92">
        <f>'Annual Raw'!Y7+'Annual Raw'!Y8+'Annual Raw'!Y9</f>
        <v>0</v>
      </c>
      <c r="Y23" s="92">
        <f>'Annual Raw'!Z7+'Annual Raw'!Z8+'Annual Raw'!Z9</f>
        <v>0</v>
      </c>
      <c r="Z23" s="92">
        <f>'Annual Raw'!AA7+'Annual Raw'!AA8+'Annual Raw'!AA9</f>
        <v>0</v>
      </c>
      <c r="AA23" s="92">
        <f>'Annual Raw'!AB7+'Annual Raw'!AB8+'Annual Raw'!AB9</f>
        <v>0</v>
      </c>
      <c r="AB23" s="76">
        <f>+SUM(CM23:CP23)</f>
        <v>0</v>
      </c>
      <c r="AC23" s="76">
        <f>+SUM(CQ23:CT23)</f>
        <v>0</v>
      </c>
      <c r="AD23" s="76">
        <f>+SUM(CU23:CX23)</f>
        <v>0</v>
      </c>
      <c r="AE23" s="76">
        <f>+SUM(CY23:DB23)</f>
        <v>0</v>
      </c>
      <c r="AI23" s="92">
        <f>+'QTR Raw'!C20+'QTR Raw'!C19+'QTR Raw'!C13+'QTR Raw'!C7</f>
        <v>0</v>
      </c>
      <c r="AJ23" s="92">
        <f>+'QTR Raw'!D20+'QTR Raw'!D19+'QTR Raw'!D13+'QTR Raw'!D7</f>
        <v>0</v>
      </c>
      <c r="AK23" s="92">
        <f>+'QTR Raw'!E20+'QTR Raw'!E19+'QTR Raw'!E13+'QTR Raw'!E7</f>
        <v>0</v>
      </c>
      <c r="AL23" s="92">
        <f>+'QTR Raw'!F20+'QTR Raw'!F19+'QTR Raw'!F13+'QTR Raw'!F7</f>
        <v>0</v>
      </c>
      <c r="AM23" s="92">
        <f>+'QTR Raw'!G20+'QTR Raw'!G19+'QTR Raw'!G13+'QTR Raw'!G7</f>
        <v>0</v>
      </c>
      <c r="AN23" s="92">
        <f>+'QTR Raw'!H20+'QTR Raw'!H19+'QTR Raw'!H13+'QTR Raw'!H7</f>
        <v>0</v>
      </c>
      <c r="AO23" s="92">
        <f>+'QTR Raw'!I20+'QTR Raw'!I19+'QTR Raw'!I13+'QTR Raw'!I7</f>
        <v>0</v>
      </c>
      <c r="AP23" s="92">
        <f>+'QTR Raw'!J20+'QTR Raw'!J19+'QTR Raw'!J13+'QTR Raw'!J7</f>
        <v>0</v>
      </c>
      <c r="AQ23" s="92">
        <f>+'QTR Raw'!K20+'QTR Raw'!K19+'QTR Raw'!K13+'QTR Raw'!K7</f>
        <v>0</v>
      </c>
      <c r="AR23" s="92">
        <f>+'QTR Raw'!L20+'QTR Raw'!L19+'QTR Raw'!L13+'QTR Raw'!L7</f>
        <v>0</v>
      </c>
      <c r="AS23" s="92">
        <f>+'QTR Raw'!M20+'QTR Raw'!M19+'QTR Raw'!M13+'QTR Raw'!M7</f>
        <v>0</v>
      </c>
      <c r="AT23" s="92">
        <f>+'QTR Raw'!N20+'QTR Raw'!N19+'QTR Raw'!N13+'QTR Raw'!N7</f>
        <v>0</v>
      </c>
      <c r="AU23" s="92">
        <f>+'QTR Raw'!O20+'QTR Raw'!O19+'QTR Raw'!O13+'QTR Raw'!O7</f>
        <v>0</v>
      </c>
      <c r="AV23" s="92">
        <f>+'QTR Raw'!P20+'QTR Raw'!P19+'QTR Raw'!P13+'QTR Raw'!P7</f>
        <v>0</v>
      </c>
      <c r="AW23" s="92">
        <f>+'QTR Raw'!Q20+'QTR Raw'!Q19+'QTR Raw'!Q13+'QTR Raw'!Q7</f>
        <v>0</v>
      </c>
      <c r="AX23" s="92">
        <f>+'QTR Raw'!R20+'QTR Raw'!R19+'QTR Raw'!R13+'QTR Raw'!R7</f>
        <v>0</v>
      </c>
      <c r="AY23" s="92">
        <f>+'QTR Raw'!S20+'QTR Raw'!S19+'QTR Raw'!S13+'QTR Raw'!S7</f>
        <v>0</v>
      </c>
      <c r="AZ23" s="92">
        <f>+'QTR Raw'!T20+'QTR Raw'!T19+'QTR Raw'!T13+'QTR Raw'!T7</f>
        <v>0</v>
      </c>
      <c r="BA23" s="92">
        <f>+'QTR Raw'!U20+'QTR Raw'!U19+'QTR Raw'!U13+'QTR Raw'!U7</f>
        <v>0</v>
      </c>
      <c r="BB23" s="92">
        <f>+'QTR Raw'!V20+'QTR Raw'!V19+'QTR Raw'!V13+'QTR Raw'!V7</f>
        <v>0</v>
      </c>
      <c r="BC23" s="92">
        <f>+'QTR Raw'!W20+'QTR Raw'!W19+'QTR Raw'!W13+'QTR Raw'!W7</f>
        <v>0</v>
      </c>
      <c r="BD23" s="92">
        <f>+'QTR Raw'!X20+'QTR Raw'!X19+'QTR Raw'!X13+'QTR Raw'!X7</f>
        <v>0</v>
      </c>
      <c r="BE23" s="92">
        <f>+'QTR Raw'!Y20+'QTR Raw'!Y19+'QTR Raw'!Y13+'QTR Raw'!Y7</f>
        <v>0</v>
      </c>
      <c r="BF23" s="92">
        <f>+'QTR Raw'!Z20+'QTR Raw'!Z19+'QTR Raw'!Z13+'QTR Raw'!Z7</f>
        <v>0</v>
      </c>
      <c r="BG23" s="92">
        <f>+'QTR Raw'!AA20+'QTR Raw'!AA19+'QTR Raw'!AA13+'QTR Raw'!AA7</f>
        <v>0</v>
      </c>
      <c r="BH23" s="92">
        <f>+'QTR Raw'!AB20+'QTR Raw'!AB19+'QTR Raw'!AB13+'QTR Raw'!AB7</f>
        <v>0</v>
      </c>
      <c r="BI23" s="92">
        <f>+'QTR Raw'!AC20+'QTR Raw'!AC19+'QTR Raw'!AC13+'QTR Raw'!AC7</f>
        <v>0</v>
      </c>
      <c r="BJ23" s="92">
        <f>+'QTR Raw'!AD20+'QTR Raw'!AD19+'QTR Raw'!AD13+'QTR Raw'!AD7</f>
        <v>0</v>
      </c>
      <c r="BK23" s="92">
        <f>+'QTR Raw'!AE20+'QTR Raw'!AE19+'QTR Raw'!AE13+'QTR Raw'!AE7</f>
        <v>0</v>
      </c>
      <c r="BL23" s="92">
        <f>+'QTR Raw'!AF20+'QTR Raw'!AF19+'QTR Raw'!AF13+'QTR Raw'!AF7</f>
        <v>0</v>
      </c>
      <c r="BM23" s="92">
        <f>+'QTR Raw'!AG20+'QTR Raw'!AG19+'QTR Raw'!AG13+'QTR Raw'!AG7</f>
        <v>0</v>
      </c>
      <c r="BN23" s="92">
        <f>+'QTR Raw'!AH20+'QTR Raw'!AH19+'QTR Raw'!AH13+'QTR Raw'!AH7</f>
        <v>0</v>
      </c>
      <c r="BO23" s="92">
        <f>+'QTR Raw'!AI20+'QTR Raw'!AI19+'QTR Raw'!AI13+'QTR Raw'!AI7</f>
        <v>0</v>
      </c>
      <c r="BP23" s="92">
        <f>+'QTR Raw'!AJ20+'QTR Raw'!AJ19+'QTR Raw'!AJ13+'QTR Raw'!AJ7</f>
        <v>0</v>
      </c>
      <c r="BQ23" s="92">
        <f>+'QTR Raw'!AK20+'QTR Raw'!AK19+'QTR Raw'!AK13+'QTR Raw'!AK7</f>
        <v>0</v>
      </c>
      <c r="BR23" s="92">
        <f>+'QTR Raw'!AL20+'QTR Raw'!AL19+'QTR Raw'!AL13+'QTR Raw'!AL7</f>
        <v>0</v>
      </c>
      <c r="BS23" s="92">
        <f>+'QTR Raw'!AM20+'QTR Raw'!AM19+'QTR Raw'!AM13+'QTR Raw'!AM7</f>
        <v>0</v>
      </c>
      <c r="BT23" s="92">
        <f>+'QTR Raw'!AN20+'QTR Raw'!AN19+'QTR Raw'!AN13+'QTR Raw'!AN7</f>
        <v>0</v>
      </c>
      <c r="BU23" s="92">
        <f>+'QTR Raw'!AO20+'QTR Raw'!AO19+'QTR Raw'!AO13+'QTR Raw'!AO7</f>
        <v>0</v>
      </c>
      <c r="BV23" s="92">
        <f>+'QTR Raw'!AP20+'QTR Raw'!AP19+'QTR Raw'!AP13+'QTR Raw'!AP7</f>
        <v>0</v>
      </c>
      <c r="BW23" s="92">
        <f>+'QTR Raw'!AQ20+'QTR Raw'!AQ19+'QTR Raw'!AQ13+'QTR Raw'!AQ7</f>
        <v>0</v>
      </c>
      <c r="BX23" s="92">
        <f>+'QTR Raw'!AR20+'QTR Raw'!AR19+'QTR Raw'!AR13+'QTR Raw'!AR7</f>
        <v>0</v>
      </c>
      <c r="BY23" s="92">
        <f>+'QTR Raw'!AS20+'QTR Raw'!AS19+'QTR Raw'!AS13+'QTR Raw'!AS7</f>
        <v>0</v>
      </c>
      <c r="BZ23" s="92">
        <f>+'QTR Raw'!AT20+'QTR Raw'!AT19+'QTR Raw'!AT13+'QTR Raw'!AT7</f>
        <v>0</v>
      </c>
      <c r="CA23" s="92">
        <f>+'QTR Raw'!AU20+'QTR Raw'!AU19+'QTR Raw'!AU13+'QTR Raw'!AU7</f>
        <v>0</v>
      </c>
      <c r="CB23" s="92">
        <f>+'QTR Raw'!AV20+'QTR Raw'!AV19+'QTR Raw'!AV13+'QTR Raw'!AV7</f>
        <v>0</v>
      </c>
      <c r="CC23" s="92">
        <f>+'QTR Raw'!AW20+'QTR Raw'!AW19+'QTR Raw'!AW13+'QTR Raw'!AW7</f>
        <v>0</v>
      </c>
      <c r="CD23" s="92">
        <f>+'QTR Raw'!AX20+'QTR Raw'!AX19+'QTR Raw'!AX13+'QTR Raw'!AX7</f>
        <v>0</v>
      </c>
      <c r="CE23" s="92">
        <f>+'QTR Raw'!AY20+'QTR Raw'!AY19+'QTR Raw'!AY13+'QTR Raw'!AY7</f>
        <v>0</v>
      </c>
      <c r="CF23" s="92">
        <f>+'QTR Raw'!AZ20+'QTR Raw'!AZ19+'QTR Raw'!AZ13+'QTR Raw'!AZ7</f>
        <v>0</v>
      </c>
      <c r="CG23" s="92">
        <f>+'QTR Raw'!BA20+'QTR Raw'!BA19+'QTR Raw'!BA13+'QTR Raw'!BA7</f>
        <v>0</v>
      </c>
      <c r="CH23" s="92">
        <f>+'QTR Raw'!BB20+'QTR Raw'!BB19+'QTR Raw'!BB13+'QTR Raw'!BB7</f>
        <v>0</v>
      </c>
      <c r="CI23" s="92">
        <f>+'QTR Raw'!BC20+'QTR Raw'!BC19+'QTR Raw'!BC13+'QTR Raw'!BC7</f>
        <v>0</v>
      </c>
      <c r="CJ23" s="92">
        <f>+'QTR Raw'!BD20+'QTR Raw'!BD19+'QTR Raw'!BD13+'QTR Raw'!BD7</f>
        <v>0</v>
      </c>
      <c r="CK23" s="92">
        <f>+'QTR Raw'!BE20+'QTR Raw'!BE19+'QTR Raw'!BE13+'QTR Raw'!BE7</f>
        <v>0</v>
      </c>
      <c r="CL23" s="92">
        <f>+'QTR Raw'!BF20+'QTR Raw'!BF19+'QTR Raw'!BF13+'QTR Raw'!BF7</f>
        <v>0</v>
      </c>
      <c r="CM23" s="74"/>
      <c r="CN23" s="74"/>
      <c r="CO23" s="74"/>
      <c r="CP23" s="74"/>
      <c r="CQ23" s="74"/>
      <c r="CR23" s="74"/>
      <c r="CS23" s="74"/>
      <c r="CT23" s="74"/>
      <c r="CU23" s="74"/>
      <c r="CV23" s="74"/>
      <c r="CW23" s="74"/>
      <c r="CX23" s="74"/>
      <c r="CY23" s="74"/>
      <c r="CZ23" s="74"/>
      <c r="DA23" s="74"/>
      <c r="DB23" s="74"/>
      <c r="DE23" s="120"/>
      <c r="DF23" s="92">
        <v>0</v>
      </c>
    </row>
    <row r="24" spans="1:110" s="26" customFormat="1" x14ac:dyDescent="0.2">
      <c r="A24" s="26" t="s">
        <v>431</v>
      </c>
      <c r="B24" s="26">
        <f>+B22-B23</f>
        <v>809.57180000000005</v>
      </c>
      <c r="C24" s="26">
        <f>+C22-C23</f>
        <v>3015.1875</v>
      </c>
      <c r="D24" s="26">
        <f t="shared" ref="D24:U24" si="101">+D22-D23</f>
        <v>3284.7622999999999</v>
      </c>
      <c r="E24" s="26">
        <f t="shared" si="101"/>
        <v>3049.5542999999998</v>
      </c>
      <c r="F24" s="26">
        <f t="shared" si="101"/>
        <v>3041.34</v>
      </c>
      <c r="G24" s="26">
        <f t="shared" si="101"/>
        <v>3106.5250000000001</v>
      </c>
      <c r="H24" s="26">
        <f t="shared" si="101"/>
        <v>4024.8946000000001</v>
      </c>
      <c r="I24" s="26">
        <f t="shared" si="101"/>
        <v>4309.6462999999994</v>
      </c>
      <c r="J24" s="26">
        <f t="shared" si="101"/>
        <v>4847.8747999999996</v>
      </c>
      <c r="K24" s="26">
        <f t="shared" si="101"/>
        <v>5782.9503999999997</v>
      </c>
      <c r="L24" s="26">
        <f t="shared" si="101"/>
        <v>6003.1697999999997</v>
      </c>
      <c r="M24" s="26">
        <f t="shared" si="101"/>
        <v>6640.0448999999999</v>
      </c>
      <c r="N24" s="26">
        <f t="shared" si="101"/>
        <v>7350.9776000000002</v>
      </c>
      <c r="O24" s="26">
        <f t="shared" si="101"/>
        <v>7737.6106</v>
      </c>
      <c r="P24" s="26">
        <f t="shared" si="101"/>
        <v>7993.3899999999994</v>
      </c>
      <c r="Q24" s="26">
        <f t="shared" si="101"/>
        <v>6636.54</v>
      </c>
      <c r="R24" s="26">
        <f t="shared" si="101"/>
        <v>6779.55</v>
      </c>
      <c r="S24" s="26">
        <f t="shared" si="101"/>
        <v>6815.35</v>
      </c>
      <c r="T24" s="26">
        <f t="shared" si="101"/>
        <v>7251.5</v>
      </c>
      <c r="U24" s="26">
        <f t="shared" si="101"/>
        <v>9637.42</v>
      </c>
      <c r="V24" s="26">
        <f>+V22-V23</f>
        <v>11602.03</v>
      </c>
      <c r="W24" s="26">
        <f>+W22-W23</f>
        <v>12425.37</v>
      </c>
      <c r="X24" s="26">
        <f>+X22-X23</f>
        <v>13783.16</v>
      </c>
      <c r="Y24" s="26">
        <f>+Y22-Y23</f>
        <v>15205.85</v>
      </c>
      <c r="Z24" s="26">
        <f>+Z22-Z23</f>
        <v>17618.3</v>
      </c>
      <c r="AA24" s="26">
        <f>+AA22-AA23</f>
        <v>20290.43</v>
      </c>
      <c r="AB24" s="27">
        <f t="shared" ref="AB24:AD24" si="102">+AB22-AB23</f>
        <v>23186.997494016468</v>
      </c>
      <c r="AC24" s="27">
        <f t="shared" si="102"/>
        <v>26314.2448046668</v>
      </c>
      <c r="AD24" s="27">
        <f t="shared" si="102"/>
        <v>29886.062004890529</v>
      </c>
      <c r="AE24" s="27">
        <f t="shared" ref="AE24" si="103">+AE22-AE23</f>
        <v>33989.202572652051</v>
      </c>
      <c r="AI24" s="26">
        <f t="shared" ref="AI24" si="104">+AI22-AI23</f>
        <v>1725.1000000000001</v>
      </c>
      <c r="AJ24" s="26">
        <f t="shared" ref="AJ24" si="105">+AJ22-AJ23</f>
        <v>1864.95</v>
      </c>
      <c r="AK24" s="26">
        <f t="shared" ref="AK24:AM24" si="106">+AK22-AK23</f>
        <v>1911.4299999999998</v>
      </c>
      <c r="AL24" s="26">
        <f t="shared" si="106"/>
        <v>1849.5</v>
      </c>
      <c r="AM24" s="26">
        <f t="shared" si="106"/>
        <v>1813.46</v>
      </c>
      <c r="AN24" s="26">
        <f t="shared" ref="AN24:AO24" si="107">+AN22-AN23</f>
        <v>1933.48</v>
      </c>
      <c r="AO24" s="26">
        <f t="shared" si="107"/>
        <v>2080.7399999999998</v>
      </c>
      <c r="AP24" s="26">
        <f t="shared" ref="AP24:AW24" si="108">+AP22-AP23</f>
        <v>1909.93</v>
      </c>
      <c r="AQ24" s="26">
        <f t="shared" si="108"/>
        <v>1910.66</v>
      </c>
      <c r="AR24" s="26">
        <f t="shared" si="108"/>
        <v>2019.0800000000002</v>
      </c>
      <c r="AS24" s="26">
        <f t="shared" si="108"/>
        <v>2141</v>
      </c>
      <c r="AT24" s="26">
        <f t="shared" si="108"/>
        <v>1922.6499999999999</v>
      </c>
      <c r="AU24" s="26">
        <f t="shared" si="108"/>
        <v>1672.1799999999998</v>
      </c>
      <c r="AV24" s="26">
        <f t="shared" si="108"/>
        <v>1669.45</v>
      </c>
      <c r="AW24" s="26">
        <f t="shared" si="108"/>
        <v>1699.61</v>
      </c>
      <c r="AX24" s="26">
        <f t="shared" ref="AX24:CF24" si="109">+AX22-AX23</f>
        <v>1598.35</v>
      </c>
      <c r="AY24" s="26">
        <f t="shared" si="109"/>
        <v>1735.46</v>
      </c>
      <c r="AZ24" s="26">
        <f t="shared" si="109"/>
        <v>1621.64</v>
      </c>
      <c r="BA24" s="26">
        <f t="shared" si="109"/>
        <v>1740.82</v>
      </c>
      <c r="BB24" s="26">
        <f t="shared" si="109"/>
        <v>1681.97</v>
      </c>
      <c r="BC24" s="26">
        <f t="shared" si="109"/>
        <v>1704.42</v>
      </c>
      <c r="BD24" s="26">
        <f t="shared" si="109"/>
        <v>1692.14</v>
      </c>
      <c r="BE24" s="26">
        <f t="shared" si="109"/>
        <v>1730.39</v>
      </c>
      <c r="BF24" s="26">
        <f t="shared" si="109"/>
        <v>1688.4</v>
      </c>
      <c r="BG24" s="26">
        <f t="shared" si="109"/>
        <v>1802.59</v>
      </c>
      <c r="BH24" s="26">
        <f t="shared" si="109"/>
        <v>1760.87</v>
      </c>
      <c r="BI24" s="26">
        <f t="shared" si="109"/>
        <v>1912.58</v>
      </c>
      <c r="BJ24" s="26">
        <f t="shared" si="109"/>
        <v>1775.46</v>
      </c>
      <c r="BK24" s="26">
        <f t="shared" si="109"/>
        <v>2392.36</v>
      </c>
      <c r="BL24" s="26">
        <f t="shared" si="109"/>
        <v>2347.0700000000002</v>
      </c>
      <c r="BM24" s="26">
        <f t="shared" si="109"/>
        <v>2492.96</v>
      </c>
      <c r="BN24" s="26">
        <f t="shared" si="109"/>
        <v>2405.0300000000002</v>
      </c>
      <c r="BO24" s="26">
        <f t="shared" si="109"/>
        <v>2713.91</v>
      </c>
      <c r="BP24" s="26">
        <f t="shared" si="109"/>
        <v>2781.34</v>
      </c>
      <c r="BQ24" s="26">
        <f t="shared" si="109"/>
        <v>3069.56</v>
      </c>
      <c r="BR24" s="26">
        <f t="shared" si="109"/>
        <v>3037.22</v>
      </c>
      <c r="BS24" s="26">
        <f t="shared" si="109"/>
        <v>3008.46</v>
      </c>
      <c r="BT24" s="26">
        <f t="shared" si="109"/>
        <v>3033.12</v>
      </c>
      <c r="BU24" s="26">
        <f t="shared" si="109"/>
        <v>3208.38</v>
      </c>
      <c r="BV24" s="26">
        <f t="shared" si="109"/>
        <v>3175.41</v>
      </c>
      <c r="BW24" s="26">
        <f t="shared" si="109"/>
        <v>3326.83</v>
      </c>
      <c r="BX24" s="26">
        <f t="shared" si="109"/>
        <v>3363.05</v>
      </c>
      <c r="BY24" s="26">
        <f t="shared" si="109"/>
        <v>3474.55</v>
      </c>
      <c r="BZ24" s="26">
        <f t="shared" si="109"/>
        <v>3618.73</v>
      </c>
      <c r="CA24" s="26">
        <f t="shared" si="109"/>
        <v>3741.21</v>
      </c>
      <c r="CB24" s="26">
        <f t="shared" si="109"/>
        <v>3733.78</v>
      </c>
      <c r="CC24" s="26">
        <f t="shared" si="109"/>
        <v>3803.92</v>
      </c>
      <c r="CD24" s="26">
        <f t="shared" si="109"/>
        <v>3926.94</v>
      </c>
      <c r="CE24" s="26">
        <f t="shared" si="109"/>
        <v>4352.07</v>
      </c>
      <c r="CF24" s="26">
        <f t="shared" si="109"/>
        <v>4214.45</v>
      </c>
      <c r="CG24" s="26">
        <f t="shared" ref="CG24:CH24" si="110">+CG22-CG23</f>
        <v>4443.5600000000004</v>
      </c>
      <c r="CH24" s="26">
        <f t="shared" si="110"/>
        <v>4608.22</v>
      </c>
      <c r="CI24" s="26">
        <f t="shared" ref="CI24:CJ24" si="111">+CI22-CI23</f>
        <v>4778.91</v>
      </c>
      <c r="CJ24" s="26">
        <f t="shared" si="111"/>
        <v>4965.8999999999996</v>
      </c>
      <c r="CK24" s="26">
        <f t="shared" ref="CK24:CL24" si="112">+CK22-CK23</f>
        <v>5112</v>
      </c>
      <c r="CL24" s="26">
        <f t="shared" si="112"/>
        <v>5433.62</v>
      </c>
      <c r="CM24" s="27">
        <f t="shared" ref="CM24:DB24" si="113">+CM22-CM23</f>
        <v>5444.8093993847078</v>
      </c>
      <c r="CN24" s="27">
        <f t="shared" si="113"/>
        <v>5713.6855887109969</v>
      </c>
      <c r="CO24" s="27">
        <f t="shared" si="113"/>
        <v>5836.3926369093715</v>
      </c>
      <c r="CP24" s="27">
        <f t="shared" si="113"/>
        <v>6192.1098690113959</v>
      </c>
      <c r="CQ24" s="27">
        <f t="shared" si="113"/>
        <v>6186.1700326425344</v>
      </c>
      <c r="CR24" s="27">
        <f t="shared" si="113"/>
        <v>6496.340110053894</v>
      </c>
      <c r="CS24" s="27">
        <f t="shared" si="113"/>
        <v>6609.7193523860424</v>
      </c>
      <c r="CT24" s="27">
        <f t="shared" si="113"/>
        <v>7022.015309584328</v>
      </c>
      <c r="CU24" s="27">
        <f t="shared" si="113"/>
        <v>7021.2736084197822</v>
      </c>
      <c r="CV24" s="27">
        <f t="shared" si="113"/>
        <v>7380.5548488035474</v>
      </c>
      <c r="CW24" s="27">
        <f t="shared" si="113"/>
        <v>7495.1385255480773</v>
      </c>
      <c r="CX24" s="27">
        <f t="shared" si="113"/>
        <v>7989.0950221191242</v>
      </c>
      <c r="CY24" s="27">
        <f t="shared" si="113"/>
        <v>7974.9238811115547</v>
      </c>
      <c r="CZ24" s="27">
        <f t="shared" si="113"/>
        <v>8395.3207957959039</v>
      </c>
      <c r="DA24" s="27">
        <f t="shared" si="113"/>
        <v>8512.4862088042319</v>
      </c>
      <c r="DB24" s="27">
        <f t="shared" si="113"/>
        <v>9106.4716869403637</v>
      </c>
      <c r="DE24" s="121"/>
      <c r="DF24" s="26">
        <v>5336.6263428223929</v>
      </c>
    </row>
    <row r="25" spans="1:110" s="39" customFormat="1" x14ac:dyDescent="0.2">
      <c r="A25" s="39" t="s">
        <v>484</v>
      </c>
      <c r="C25" s="39">
        <f t="shared" ref="C25" si="114">C24/B24-1</f>
        <v>2.7244225898184693</v>
      </c>
      <c r="D25" s="39">
        <f t="shared" ref="D25" si="115">D24/C24-1</f>
        <v>8.9405650560703043E-2</v>
      </c>
      <c r="E25" s="39">
        <f t="shared" ref="E25" si="116">E24/D24-1</f>
        <v>-7.1605790166308303E-2</v>
      </c>
      <c r="F25" s="39">
        <f t="shared" ref="F25:R25" si="117">F24/E24-1</f>
        <v>-2.6936067345971759E-3</v>
      </c>
      <c r="G25" s="39">
        <f t="shared" si="117"/>
        <v>2.1432986775566043E-2</v>
      </c>
      <c r="H25" s="39">
        <f t="shared" si="117"/>
        <v>0.29562601298878977</v>
      </c>
      <c r="I25" s="39">
        <f t="shared" si="117"/>
        <v>7.0747616595972396E-2</v>
      </c>
      <c r="J25" s="39">
        <f t="shared" si="117"/>
        <v>0.12488925135225148</v>
      </c>
      <c r="K25" s="39">
        <f>K24/J24-1</f>
        <v>0.19288361159822043</v>
      </c>
      <c r="L25" s="39">
        <f t="shared" si="117"/>
        <v>3.8080803874783298E-2</v>
      </c>
      <c r="M25" s="39">
        <f t="shared" si="117"/>
        <v>0.10608980275720348</v>
      </c>
      <c r="N25" s="39">
        <f t="shared" si="117"/>
        <v>0.10706745371556159</v>
      </c>
      <c r="O25" s="39">
        <f t="shared" si="117"/>
        <v>5.2596133608133977E-2</v>
      </c>
      <c r="P25" s="39">
        <f t="shared" si="117"/>
        <v>3.3056638957768003E-2</v>
      </c>
      <c r="Q25" s="39">
        <f t="shared" si="117"/>
        <v>-0.16974650304814343</v>
      </c>
      <c r="R25" s="39">
        <f t="shared" si="117"/>
        <v>2.1548879385945074E-2</v>
      </c>
      <c r="S25" s="39">
        <f t="shared" ref="S25:AA25" si="118">S24/R24-1</f>
        <v>5.2805864696034988E-3</v>
      </c>
      <c r="T25" s="39">
        <f t="shared" si="118"/>
        <v>6.3995246025515984E-2</v>
      </c>
      <c r="U25" s="39">
        <f t="shared" si="118"/>
        <v>0.32902433979176715</v>
      </c>
      <c r="V25" s="39">
        <f t="shared" si="118"/>
        <v>0.20385227581655685</v>
      </c>
      <c r="W25" s="39">
        <f t="shared" si="118"/>
        <v>7.0965167302618593E-2</v>
      </c>
      <c r="X25" s="39">
        <f t="shared" si="118"/>
        <v>0.10927561915661266</v>
      </c>
      <c r="Y25" s="39">
        <f t="shared" si="118"/>
        <v>0.10321943589133409</v>
      </c>
      <c r="Z25" s="39">
        <f t="shared" si="118"/>
        <v>0.1586527553540249</v>
      </c>
      <c r="AA25" s="39">
        <f t="shared" si="118"/>
        <v>0.15166786806899646</v>
      </c>
      <c r="AB25" s="40">
        <f t="shared" ref="AB25" si="119">AB24/AA24-1</f>
        <v>0.14275535284449203</v>
      </c>
      <c r="AC25" s="40">
        <f t="shared" ref="AC25" si="120">AC24/AB24-1</f>
        <v>0.13487073138543848</v>
      </c>
      <c r="AD25" s="40">
        <f t="shared" ref="AD25" si="121">AD24/AC24-1</f>
        <v>0.13573702102179541</v>
      </c>
      <c r="AE25" s="40">
        <f t="shared" ref="AE25" si="122">AE24/AD24-1</f>
        <v>0.13729278106597276</v>
      </c>
      <c r="AM25" s="39">
        <f t="shared" ref="AM25:CI25" si="123">+IF(AI24&lt;0,1-AM24/AI24,AM24/AI24-1)</f>
        <v>5.1220219117732224E-2</v>
      </c>
      <c r="AN25" s="39">
        <f t="shared" si="123"/>
        <v>3.6746293466312752E-2</v>
      </c>
      <c r="AO25" s="39">
        <f t="shared" si="123"/>
        <v>8.8577661750626424E-2</v>
      </c>
      <c r="AP25" s="39">
        <f t="shared" si="123"/>
        <v>3.2673695593403718E-2</v>
      </c>
      <c r="AQ25" s="39">
        <f t="shared" si="123"/>
        <v>5.359919711490746E-2</v>
      </c>
      <c r="AR25" s="39">
        <f t="shared" si="123"/>
        <v>4.4272503465254465E-2</v>
      </c>
      <c r="AS25" s="39">
        <f t="shared" si="123"/>
        <v>2.896085046666097E-2</v>
      </c>
      <c r="AT25" s="39">
        <f t="shared" si="123"/>
        <v>6.6599299450764704E-3</v>
      </c>
      <c r="AU25" s="39">
        <f t="shared" si="123"/>
        <v>-0.12481550877707193</v>
      </c>
      <c r="AV25" s="39">
        <f t="shared" si="123"/>
        <v>-0.17316302474394285</v>
      </c>
      <c r="AW25" s="39">
        <f t="shared" si="123"/>
        <v>-0.20616067258290527</v>
      </c>
      <c r="AX25" s="39">
        <f t="shared" si="123"/>
        <v>-0.16867344550490204</v>
      </c>
      <c r="AY25" s="39">
        <f t="shared" si="123"/>
        <v>3.7842815964788556E-2</v>
      </c>
      <c r="AZ25" s="39">
        <f t="shared" si="123"/>
        <v>-2.8638174249004167E-2</v>
      </c>
      <c r="BA25" s="39">
        <f t="shared" si="123"/>
        <v>2.4246738957760972E-2</v>
      </c>
      <c r="BB25" s="39">
        <f t="shared" si="123"/>
        <v>5.2316451340444825E-2</v>
      </c>
      <c r="BC25" s="39">
        <f t="shared" si="123"/>
        <v>-1.7885747870881485E-2</v>
      </c>
      <c r="BD25" s="39">
        <f t="shared" si="123"/>
        <v>4.347450728891733E-2</v>
      </c>
      <c r="BE25" s="39">
        <f t="shared" si="123"/>
        <v>-5.9914293264092811E-3</v>
      </c>
      <c r="BF25" s="39">
        <f t="shared" si="123"/>
        <v>3.8228981491941205E-3</v>
      </c>
      <c r="BG25" s="39">
        <f t="shared" si="123"/>
        <v>5.7597305828375633E-2</v>
      </c>
      <c r="BH25" s="39">
        <f t="shared" si="123"/>
        <v>4.0617206614109724E-2</v>
      </c>
      <c r="BI25" s="39">
        <f t="shared" si="123"/>
        <v>0.10528840319234378</v>
      </c>
      <c r="BJ25" s="39">
        <f t="shared" si="123"/>
        <v>5.1563610518834402E-2</v>
      </c>
      <c r="BK25" s="39">
        <f t="shared" si="123"/>
        <v>0.32717922544782807</v>
      </c>
      <c r="BL25" s="39">
        <f t="shared" si="123"/>
        <v>0.33290362150527875</v>
      </c>
      <c r="BM25" s="39">
        <f t="shared" si="123"/>
        <v>0.30345397316713552</v>
      </c>
      <c r="BN25" s="39">
        <f t="shared" si="123"/>
        <v>0.35459542879028549</v>
      </c>
      <c r="BO25" s="39">
        <f t="shared" si="123"/>
        <v>0.13440702904245172</v>
      </c>
      <c r="BP25" s="39">
        <f t="shared" si="123"/>
        <v>0.18502643721746681</v>
      </c>
      <c r="BQ25" s="39">
        <f t="shared" si="123"/>
        <v>0.23129131634683264</v>
      </c>
      <c r="BR25" s="39">
        <f t="shared" si="123"/>
        <v>0.26286158592616293</v>
      </c>
      <c r="BS25" s="39">
        <f t="shared" si="123"/>
        <v>0.10853344436624646</v>
      </c>
      <c r="BT25" s="39">
        <f t="shared" si="123"/>
        <v>9.0524711110471889E-2</v>
      </c>
      <c r="BU25" s="39">
        <f t="shared" si="123"/>
        <v>4.5224722761568525E-2</v>
      </c>
      <c r="BV25" s="39">
        <f t="shared" si="123"/>
        <v>4.549884433791429E-2</v>
      </c>
      <c r="BW25" s="39">
        <f t="shared" si="123"/>
        <v>0.10582490709532455</v>
      </c>
      <c r="BX25" s="39">
        <f t="shared" si="123"/>
        <v>0.10877578203302218</v>
      </c>
      <c r="BY25" s="39">
        <f t="shared" si="123"/>
        <v>8.2960871218496601E-2</v>
      </c>
      <c r="BZ25" s="39">
        <f t="shared" si="123"/>
        <v>0.13961031803767088</v>
      </c>
      <c r="CA25" s="39">
        <f t="shared" si="123"/>
        <v>0.12455701072793013</v>
      </c>
      <c r="CB25" s="39">
        <f t="shared" si="123"/>
        <v>0.11023624388575848</v>
      </c>
      <c r="CC25" s="39">
        <f t="shared" si="123"/>
        <v>9.4795009425681087E-2</v>
      </c>
      <c r="CD25" s="39">
        <f t="shared" si="123"/>
        <v>8.5170764328922122E-2</v>
      </c>
      <c r="CE25" s="39">
        <f t="shared" si="123"/>
        <v>0.16327872533217858</v>
      </c>
      <c r="CF25" s="39">
        <f t="shared" si="123"/>
        <v>0.1287354905752347</v>
      </c>
      <c r="CG25" s="39">
        <f t="shared" si="123"/>
        <v>0.16815285284653725</v>
      </c>
      <c r="CH25" s="39">
        <f t="shared" si="123"/>
        <v>0.17348877242840488</v>
      </c>
      <c r="CI25" s="39">
        <f t="shared" si="123"/>
        <v>9.8077466584866491E-2</v>
      </c>
      <c r="CJ25" s="39">
        <f>+IF(CF24&lt;0,1-CJ24/CF24,CJ24/CF24-1)</f>
        <v>0.17830321868808507</v>
      </c>
      <c r="CK25" s="39">
        <f>+IF(CG24&lt;0,1-CK24/CG24,CK24/CG24-1)</f>
        <v>0.15042893535813606</v>
      </c>
      <c r="CL25" s="39">
        <f>+IF(CH24&lt;0,1-CL24/CH24,CL24/CH24-1)</f>
        <v>0.1791147124052237</v>
      </c>
      <c r="CM25" s="40">
        <f t="shared" ref="CM25:CT25" si="124">+AVERAGE(CI25:CL25)*0.95</f>
        <v>0.14390702909612393</v>
      </c>
      <c r="CN25" s="40">
        <f t="shared" si="124"/>
        <v>0.15479155019254759</v>
      </c>
      <c r="CO25" s="40">
        <f t="shared" si="124"/>
        <v>0.14920752892485745</v>
      </c>
      <c r="CP25" s="40">
        <f t="shared" si="124"/>
        <v>0.14891744489695374</v>
      </c>
      <c r="CQ25" s="40">
        <f t="shared" si="124"/>
        <v>0.14174559386373961</v>
      </c>
      <c r="CR25" s="40">
        <f t="shared" si="124"/>
        <v>0.14123225299604836</v>
      </c>
      <c r="CS25" s="40">
        <f t="shared" si="124"/>
        <v>0.13801191991187978</v>
      </c>
      <c r="CT25" s="40">
        <f t="shared" si="124"/>
        <v>0.1353529627712976</v>
      </c>
      <c r="CU25" s="40">
        <f t="shared" ref="CU25" si="125">+AVERAGE(CQ25:CT25)</f>
        <v>0.13908568238574134</v>
      </c>
      <c r="CV25" s="40">
        <f t="shared" ref="CV25" si="126">+AVERAGE(CR25:CU25)</f>
        <v>0.13842070451624178</v>
      </c>
      <c r="CW25" s="40">
        <f t="shared" ref="CW25" si="127">+AVERAGE(CS25:CV25)</f>
        <v>0.13771781739629013</v>
      </c>
      <c r="CX25" s="40">
        <f t="shared" ref="CX25" si="128">+AVERAGE(CT25:CW25)</f>
        <v>0.13764429176739273</v>
      </c>
      <c r="CY25" s="40">
        <f t="shared" ref="CY25" si="129">+AVERAGE(CU25:CX25)</f>
        <v>0.1382171240164165</v>
      </c>
      <c r="CZ25" s="40">
        <f t="shared" ref="CZ25" si="130">+AVERAGE(CV25:CY25)</f>
        <v>0.13799998442408529</v>
      </c>
      <c r="DA25" s="40">
        <f t="shared" ref="DA25" si="131">+AVERAGE(CW25:CZ25)</f>
        <v>0.13789480440104618</v>
      </c>
      <c r="DB25" s="40">
        <f t="shared" ref="DB25" si="132">+AVERAGE(CX25:DA25)</f>
        <v>0.13793905115223518</v>
      </c>
      <c r="DE25" s="122"/>
      <c r="DF25" s="39">
        <v>0.12</v>
      </c>
    </row>
    <row r="26" spans="1:110" s="39" customFormat="1" x14ac:dyDescent="0.2">
      <c r="A26" s="39" t="s">
        <v>446</v>
      </c>
      <c r="AB26" s="40"/>
      <c r="AC26" s="40"/>
      <c r="AD26" s="40"/>
      <c r="AE26" s="40"/>
      <c r="AJ26" s="39">
        <f t="shared" ref="AJ26:AL26" si="133">+IF(AI24&lt;0,1-AJ24/AI24,AJ24/AI24-1)</f>
        <v>8.1067764187583213E-2</v>
      </c>
      <c r="AK26" s="39">
        <f t="shared" si="133"/>
        <v>2.4922920185527664E-2</v>
      </c>
      <c r="AL26" s="39">
        <f t="shared" si="133"/>
        <v>-3.2399826308052049E-2</v>
      </c>
      <c r="AM26" s="39">
        <f t="shared" ref="AM26:CI26" si="134">+IF(AL24&lt;0,1-AM24/AL24,AM24/AL24-1)</f>
        <v>-1.9486347661530123E-2</v>
      </c>
      <c r="AN26" s="39">
        <f t="shared" si="134"/>
        <v>6.6182876931390799E-2</v>
      </c>
      <c r="AO26" s="39">
        <f t="shared" si="134"/>
        <v>7.6163187620249317E-2</v>
      </c>
      <c r="AP26" s="39">
        <f t="shared" si="134"/>
        <v>-8.2090986860443804E-2</v>
      </c>
      <c r="AQ26" s="39">
        <f t="shared" si="134"/>
        <v>3.8221296068452482E-4</v>
      </c>
      <c r="AR26" s="39">
        <f t="shared" si="134"/>
        <v>5.6744789758512715E-2</v>
      </c>
      <c r="AS26" s="39">
        <f t="shared" si="134"/>
        <v>6.0383937238742247E-2</v>
      </c>
      <c r="AT26" s="39">
        <f t="shared" si="134"/>
        <v>-0.1019850537132182</v>
      </c>
      <c r="AU26" s="39">
        <f t="shared" si="134"/>
        <v>-0.13027332067719033</v>
      </c>
      <c r="AV26" s="39">
        <f t="shared" si="134"/>
        <v>-1.6325993613126588E-3</v>
      </c>
      <c r="AW26" s="39">
        <f t="shared" si="134"/>
        <v>1.8065830063793475E-2</v>
      </c>
      <c r="AX26" s="39">
        <f t="shared" si="134"/>
        <v>-5.9578373862238965E-2</v>
      </c>
      <c r="AY26" s="39">
        <f t="shared" si="134"/>
        <v>8.5782212907060451E-2</v>
      </c>
      <c r="AZ26" s="39">
        <f t="shared" si="134"/>
        <v>-6.5584916967259321E-2</v>
      </c>
      <c r="BA26" s="39">
        <f t="shared" si="134"/>
        <v>7.3493500406995205E-2</v>
      </c>
      <c r="BB26" s="39">
        <f t="shared" si="134"/>
        <v>-3.3805907560804593E-2</v>
      </c>
      <c r="BC26" s="39">
        <f t="shared" si="134"/>
        <v>1.3347443771291934E-2</v>
      </c>
      <c r="BD26" s="39">
        <f t="shared" si="134"/>
        <v>-7.2047969397214251E-3</v>
      </c>
      <c r="BE26" s="39">
        <f t="shared" si="134"/>
        <v>2.2604512628978668E-2</v>
      </c>
      <c r="BF26" s="39">
        <f t="shared" si="134"/>
        <v>-2.426620588422268E-2</v>
      </c>
      <c r="BG26" s="39">
        <f t="shared" si="134"/>
        <v>6.7632077706704541E-2</v>
      </c>
      <c r="BH26" s="39">
        <f t="shared" si="134"/>
        <v>-2.3144475449214719E-2</v>
      </c>
      <c r="BI26" s="39">
        <f t="shared" si="134"/>
        <v>8.6156275023141937E-2</v>
      </c>
      <c r="BJ26" s="39">
        <f t="shared" si="134"/>
        <v>-7.1693733072603405E-2</v>
      </c>
      <c r="BK26" s="39">
        <f t="shared" si="134"/>
        <v>0.34745924999718381</v>
      </c>
      <c r="BL26" s="39">
        <f t="shared" si="134"/>
        <v>-1.8931097326489343E-2</v>
      </c>
      <c r="BM26" s="39">
        <f t="shared" si="134"/>
        <v>6.2158350624395453E-2</v>
      </c>
      <c r="BN26" s="39">
        <f t="shared" si="134"/>
        <v>-3.5271324048520514E-2</v>
      </c>
      <c r="BO26" s="39">
        <f t="shared" si="134"/>
        <v>0.12843083038465197</v>
      </c>
      <c r="BP26" s="39">
        <f t="shared" si="134"/>
        <v>2.4846070798221209E-2</v>
      </c>
      <c r="BQ26" s="39">
        <f t="shared" si="134"/>
        <v>0.10362630962054253</v>
      </c>
      <c r="BR26" s="39">
        <f t="shared" si="134"/>
        <v>-1.0535711958717275E-2</v>
      </c>
      <c r="BS26" s="39">
        <f t="shared" si="134"/>
        <v>-9.4691856368651628E-3</v>
      </c>
      <c r="BT26" s="39">
        <f t="shared" si="134"/>
        <v>8.196884784906544E-3</v>
      </c>
      <c r="BU26" s="39">
        <f t="shared" si="134"/>
        <v>5.7782085773065539E-2</v>
      </c>
      <c r="BV26" s="39">
        <f t="shared" si="134"/>
        <v>-1.0276214164157693E-2</v>
      </c>
      <c r="BW26" s="39">
        <f t="shared" si="134"/>
        <v>4.7685180811296801E-2</v>
      </c>
      <c r="BX26" s="39">
        <f t="shared" si="134"/>
        <v>1.0887241007205173E-2</v>
      </c>
      <c r="BY26" s="39">
        <f t="shared" si="134"/>
        <v>3.3154428271955583E-2</v>
      </c>
      <c r="BZ26" s="39">
        <f t="shared" si="134"/>
        <v>4.1496021067476407E-2</v>
      </c>
      <c r="CA26" s="39">
        <f t="shared" si="134"/>
        <v>3.3846128337842396E-2</v>
      </c>
      <c r="CB26" s="39">
        <f t="shared" si="134"/>
        <v>-1.9859884903546954E-3</v>
      </c>
      <c r="CC26" s="39">
        <f t="shared" si="134"/>
        <v>1.8785252478721315E-2</v>
      </c>
      <c r="CD26" s="39">
        <f t="shared" si="134"/>
        <v>3.2340322614565986E-2</v>
      </c>
      <c r="CE26" s="39">
        <f t="shared" si="134"/>
        <v>0.10825986646090846</v>
      </c>
      <c r="CF26" s="39">
        <f t="shared" si="134"/>
        <v>-3.1621734025417791E-2</v>
      </c>
      <c r="CG26" s="39">
        <f t="shared" si="134"/>
        <v>5.4362965511514094E-2</v>
      </c>
      <c r="CH26" s="39">
        <f t="shared" si="134"/>
        <v>3.7055874118949728E-2</v>
      </c>
      <c r="CI26" s="39">
        <f t="shared" si="134"/>
        <v>3.7040332275802612E-2</v>
      </c>
      <c r="CJ26" s="39">
        <f>+IF(CI24&lt;0,1-CJ24/CI24,CJ24/CI24-1)</f>
        <v>3.9128169394275991E-2</v>
      </c>
      <c r="CK26" s="39">
        <f>+IF(CJ24&lt;0,1-CK24/CJ24,CK24/CJ24-1)</f>
        <v>2.9420648824986406E-2</v>
      </c>
      <c r="CL26" s="39">
        <f>+IF(CK24&lt;0,1-CL24/CK24,CL24/CK24-1)</f>
        <v>6.2914710485133085E-2</v>
      </c>
      <c r="CM26" s="40">
        <f t="shared" ref="CM26" si="135">+CM24/CL24-1</f>
        <v>2.0592900101052969E-3</v>
      </c>
      <c r="CN26" s="40">
        <f t="shared" ref="CN26" si="136">+CN24/CM24-1</f>
        <v>4.9382112320896621E-2</v>
      </c>
      <c r="CO26" s="40">
        <f t="shared" ref="CO26" si="137">+CO24/CN24-1</f>
        <v>2.1475988885495845E-2</v>
      </c>
      <c r="CP26" s="40">
        <f t="shared" ref="CP26" si="138">+CP24/CO24-1</f>
        <v>6.0948132559222712E-2</v>
      </c>
      <c r="CQ26" s="40">
        <f t="shared" ref="CQ26" si="139">+CQ24/CP24-1</f>
        <v>-9.5925887855896619E-4</v>
      </c>
      <c r="CR26" s="40">
        <f t="shared" ref="CR26" si="140">+CR24/CQ24-1</f>
        <v>5.0139274506631137E-2</v>
      </c>
      <c r="CS26" s="40">
        <f t="shared" ref="CS26" si="141">+CS24/CR24-1</f>
        <v>1.7452787325078711E-2</v>
      </c>
      <c r="CT26" s="40">
        <f t="shared" ref="CT26" si="142">+CT24/CS24-1</f>
        <v>6.2377225902859434E-2</v>
      </c>
      <c r="CU26" s="40">
        <f t="shared" ref="CU26" si="143">+CU24/CT24-1</f>
        <v>-1.0562511356726478E-4</v>
      </c>
      <c r="CV26" s="40">
        <f t="shared" ref="CV26" si="144">+CV24/CU24-1</f>
        <v>5.1170380250233016E-2</v>
      </c>
      <c r="CW26" s="40">
        <f t="shared" ref="CW26" si="145">+CW24/CV24-1</f>
        <v>1.5525076243164238E-2</v>
      </c>
      <c r="CX26" s="40">
        <f t="shared" ref="CX26" si="146">+CX24/CW24-1</f>
        <v>6.590358468857338E-2</v>
      </c>
      <c r="CY26" s="40">
        <f t="shared" ref="CY26" si="147">+CY24/CX24-1</f>
        <v>-1.7738105465430198E-3</v>
      </c>
      <c r="CZ26" s="40">
        <f t="shared" ref="CZ26" si="148">+CZ24/CY24-1</f>
        <v>5.2714849815689302E-2</v>
      </c>
      <c r="DA26" s="40">
        <f t="shared" ref="DA26" si="149">+DA24/CZ24-1</f>
        <v>1.3956037637894658E-2</v>
      </c>
      <c r="DB26" s="40">
        <f t="shared" ref="DB26" si="150">+DB24/DA24-1</f>
        <v>6.9778142785334341E-2</v>
      </c>
      <c r="DE26" s="122"/>
      <c r="DF26" s="39">
        <v>4.3940990379967237E-2</v>
      </c>
    </row>
    <row r="27" spans="1:110" s="23" customFormat="1" outlineLevel="1" x14ac:dyDescent="0.2">
      <c r="A27" s="23" t="s">
        <v>2</v>
      </c>
      <c r="B27" s="23">
        <f>'Annual Raw'!C11</f>
        <v>-1.7712000000000001</v>
      </c>
      <c r="C27" s="23">
        <f>'Annual Raw'!D11</f>
        <v>-5.4660000000000002</v>
      </c>
      <c r="D27" s="23">
        <f>'Annual Raw'!E11</f>
        <v>9.9361999999999995</v>
      </c>
      <c r="E27" s="23">
        <f>'Annual Raw'!F11</f>
        <v>-0.79049999999999998</v>
      </c>
      <c r="F27" s="23">
        <f>'Annual Raw'!G11</f>
        <v>-23.219200000000001</v>
      </c>
      <c r="G27" s="23">
        <f>'Annual Raw'!H11</f>
        <v>-12.936199999999999</v>
      </c>
      <c r="H27" s="23">
        <f>'Annual Raw'!I11</f>
        <v>-47.308500000000002</v>
      </c>
      <c r="I27" s="23">
        <f>'Annual Raw'!J11</f>
        <v>30.613900000000001</v>
      </c>
      <c r="J27" s="23">
        <f>'Annual Raw'!K11</f>
        <v>-67.97</v>
      </c>
      <c r="K27" s="23">
        <f>'Annual Raw'!L11</f>
        <v>-37.040199999999999</v>
      </c>
      <c r="L27" s="23">
        <f>'Annual Raw'!M11</f>
        <v>-65.873900000000006</v>
      </c>
      <c r="M27" s="23">
        <f>'Annual Raw'!N11</f>
        <v>-65.819800000000001</v>
      </c>
      <c r="N27" s="23">
        <f>'Annual Raw'!O11</f>
        <v>-41.539700000000003</v>
      </c>
      <c r="O27" s="23">
        <f>'Annual Raw'!P11</f>
        <v>-114.1934</v>
      </c>
      <c r="P27" s="23">
        <f>'Annual Raw'!Q11</f>
        <v>-51.25</v>
      </c>
      <c r="Q27" s="23">
        <f>'Annual Raw'!R11</f>
        <v>20.11</v>
      </c>
      <c r="R27" s="23">
        <f>'Annual Raw'!S11</f>
        <v>-0.69</v>
      </c>
      <c r="S27" s="23">
        <f>'Annual Raw'!T11</f>
        <v>-46.8</v>
      </c>
      <c r="T27" s="23">
        <f>'Annual Raw'!U11</f>
        <v>-14.41</v>
      </c>
      <c r="U27" s="23">
        <f>'Annual Raw'!V11</f>
        <v>7.78</v>
      </c>
      <c r="V27" s="23">
        <f>'Annual Raw'!W11</f>
        <v>-149.54</v>
      </c>
      <c r="W27" s="23">
        <f>'Annual Raw'!X11</f>
        <v>-39.78</v>
      </c>
      <c r="X27" s="23">
        <f>'Annual Raw'!Y11</f>
        <v>-273.88</v>
      </c>
      <c r="Y27" s="23">
        <f>'Annual Raw'!Z11</f>
        <v>-121.6</v>
      </c>
      <c r="Z27" s="23">
        <f>'Annual Raw'!AA11</f>
        <v>-362.49</v>
      </c>
      <c r="AA27" s="23">
        <f>'Annual Raw'!AB11</f>
        <v>-40.75</v>
      </c>
      <c r="AB27" s="76">
        <f>+SUM(CM27:CP27)</f>
        <v>0</v>
      </c>
      <c r="AC27" s="76">
        <f>+SUM(CQ27:CT27)</f>
        <v>0</v>
      </c>
      <c r="AD27" s="76">
        <f>+SUM(CU27:CX27)</f>
        <v>0</v>
      </c>
      <c r="AE27" s="76">
        <f>+SUM(CY27:DB27)</f>
        <v>0</v>
      </c>
      <c r="AI27" s="23">
        <f>'QTR Raw'!C10</f>
        <v>-25.48</v>
      </c>
      <c r="AJ27" s="23">
        <f>'QTR Raw'!D10</f>
        <v>40.11</v>
      </c>
      <c r="AK27" s="23">
        <f>'QTR Raw'!E10</f>
        <v>-9.33</v>
      </c>
      <c r="AL27" s="23">
        <f>'QTR Raw'!F10</f>
        <v>-46.84</v>
      </c>
      <c r="AM27" s="23">
        <f>'QTR Raw'!G10</f>
        <v>-6.28</v>
      </c>
      <c r="AN27" s="23">
        <f>'QTR Raw'!H10</f>
        <v>-42.22</v>
      </c>
      <c r="AO27" s="23">
        <f>'QTR Raw'!I10</f>
        <v>-43.34</v>
      </c>
      <c r="AP27" s="23">
        <f>'QTR Raw'!J10</f>
        <v>-22.35</v>
      </c>
      <c r="AQ27" s="23">
        <f>'QTR Raw'!K10</f>
        <v>40.44</v>
      </c>
      <c r="AR27" s="23">
        <f>'QTR Raw'!L10</f>
        <v>-7.31</v>
      </c>
      <c r="AS27" s="23">
        <f>'QTR Raw'!M10</f>
        <v>13.41</v>
      </c>
      <c r="AT27" s="23">
        <f>'QTR Raw'!N10</f>
        <v>-97.79</v>
      </c>
      <c r="AU27" s="23">
        <f>'QTR Raw'!O10</f>
        <v>41.13</v>
      </c>
      <c r="AV27" s="23">
        <f>'QTR Raw'!P10</f>
        <v>-15</v>
      </c>
      <c r="AW27" s="23">
        <f>'QTR Raw'!Q10</f>
        <v>12.45</v>
      </c>
      <c r="AX27" s="23">
        <f>'QTR Raw'!R10</f>
        <v>-18.47</v>
      </c>
      <c r="AY27" s="23">
        <f>'QTR Raw'!S10</f>
        <v>101.97</v>
      </c>
      <c r="AZ27" s="23">
        <f>'QTR Raw'!T10</f>
        <v>2.97</v>
      </c>
      <c r="BA27" s="23">
        <f>'QTR Raw'!U10</f>
        <v>-28.18</v>
      </c>
      <c r="BB27" s="23">
        <f>'QTR Raw'!V10</f>
        <v>-77.45</v>
      </c>
      <c r="BC27" s="23">
        <f>'QTR Raw'!W10</f>
        <v>-10.130000000000001</v>
      </c>
      <c r="BD27" s="23">
        <f>'QTR Raw'!X10</f>
        <v>39.5</v>
      </c>
      <c r="BE27" s="23">
        <f>'QTR Raw'!Y10</f>
        <v>-20.04</v>
      </c>
      <c r="BF27" s="23">
        <f>'QTR Raw'!Z10</f>
        <v>-56.13</v>
      </c>
      <c r="BG27" s="23">
        <f>'QTR Raw'!AA10</f>
        <v>-11.69</v>
      </c>
      <c r="BH27" s="23">
        <f>'QTR Raw'!AB10</f>
        <v>-18.850000000000001</v>
      </c>
      <c r="BI27" s="23">
        <f>'QTR Raw'!AC10</f>
        <v>46.47</v>
      </c>
      <c r="BJ27" s="23">
        <f>'QTR Raw'!AD10</f>
        <v>-30.34</v>
      </c>
      <c r="BK27" s="23">
        <f>'QTR Raw'!AE10</f>
        <v>75.790000000000006</v>
      </c>
      <c r="BL27" s="23">
        <f>'QTR Raw'!AF10</f>
        <v>-18.14</v>
      </c>
      <c r="BM27" s="23">
        <f>'QTR Raw'!AG10</f>
        <v>-5.27</v>
      </c>
      <c r="BN27" s="23">
        <f>'QTR Raw'!AH10</f>
        <v>-44.6</v>
      </c>
      <c r="BO27" s="23">
        <f>'QTR Raw'!AI10</f>
        <v>-46.55</v>
      </c>
      <c r="BP27" s="23">
        <f>'QTR Raw'!AJ10</f>
        <v>-80.94</v>
      </c>
      <c r="BQ27" s="23">
        <f>'QTR Raw'!AK10</f>
        <v>-11.4</v>
      </c>
      <c r="BR27" s="23">
        <f>'QTR Raw'!AL10</f>
        <v>-10.65</v>
      </c>
      <c r="BS27" s="23">
        <f>'QTR Raw'!AM10</f>
        <v>-73.91</v>
      </c>
      <c r="BT27" s="23">
        <f>'QTR Raw'!AN10</f>
        <v>19.12</v>
      </c>
      <c r="BU27" s="23">
        <f>'QTR Raw'!AO10</f>
        <v>93.36</v>
      </c>
      <c r="BV27" s="23">
        <f>'QTR Raw'!AP10</f>
        <v>-78.349999999999994</v>
      </c>
      <c r="BW27" s="23">
        <f>'QTR Raw'!AQ10</f>
        <v>-144.87</v>
      </c>
      <c r="BX27" s="23">
        <f>'QTR Raw'!AR10</f>
        <v>-45.55</v>
      </c>
      <c r="BY27" s="23">
        <f>'QTR Raw'!AS10</f>
        <v>-23.98</v>
      </c>
      <c r="BZ27" s="23">
        <f>'QTR Raw'!AT10</f>
        <v>-59.48</v>
      </c>
      <c r="CA27" s="23">
        <f>'QTR Raw'!AU10</f>
        <v>38.729999999999997</v>
      </c>
      <c r="CB27" s="23">
        <f>'QTR Raw'!AV10</f>
        <v>-8.5500000000000007</v>
      </c>
      <c r="CC27" s="23">
        <f>'QTR Raw'!AW10</f>
        <v>56.23</v>
      </c>
      <c r="CD27" s="23">
        <f>'QTR Raw'!AX10</f>
        <v>-208.01</v>
      </c>
      <c r="CE27" s="23">
        <f>'QTR Raw'!AY10</f>
        <v>-133.80000000000001</v>
      </c>
      <c r="CF27" s="23">
        <f>'QTR Raw'!AZ10</f>
        <v>-102.74</v>
      </c>
      <c r="CG27" s="23">
        <f>'QTR Raw'!BA10</f>
        <v>-47.41</v>
      </c>
      <c r="CH27" s="23">
        <f>'QTR Raw'!BB10</f>
        <v>-78.540000000000006</v>
      </c>
      <c r="CI27" s="23">
        <f>'QTR Raw'!BC10</f>
        <v>-120.88</v>
      </c>
      <c r="CJ27" s="23">
        <f>'QTR Raw'!BD10</f>
        <v>-65.53</v>
      </c>
      <c r="CK27" s="23">
        <f>'QTR Raw'!BE10</f>
        <v>36.770000000000003</v>
      </c>
      <c r="CL27" s="23">
        <f>'QTR Raw'!BF10</f>
        <v>108.89</v>
      </c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E27" s="123"/>
      <c r="DF27" s="23">
        <v>-40.749999999999986</v>
      </c>
    </row>
    <row r="28" spans="1:110" s="23" customFormat="1" outlineLevel="1" x14ac:dyDescent="0.2">
      <c r="A28" s="23" t="s">
        <v>3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76">
        <f>+SUM(CM28:CP28)</f>
        <v>0</v>
      </c>
      <c r="AC28" s="76">
        <f>+SUM(CQ28:CT28)</f>
        <v>0</v>
      </c>
      <c r="AD28" s="76">
        <f>+SUM(CU28:CX28)</f>
        <v>0</v>
      </c>
      <c r="AE28" s="76">
        <f>+SUM(CY28:DB28)</f>
        <v>0</v>
      </c>
      <c r="AI28" s="23">
        <f>'QTR Raw'!C12</f>
        <v>83.9</v>
      </c>
      <c r="AJ28" s="23">
        <f>'QTR Raw'!D12</f>
        <v>67.88</v>
      </c>
      <c r="AK28" s="23">
        <f>'QTR Raw'!E12</f>
        <v>65.73</v>
      </c>
      <c r="AL28" s="23">
        <f>'QTR Raw'!F12</f>
        <v>65.709999999999994</v>
      </c>
      <c r="AM28" s="23">
        <f>'QTR Raw'!G12</f>
        <v>58.46</v>
      </c>
      <c r="AN28" s="23">
        <f>'QTR Raw'!H12</f>
        <v>65.19</v>
      </c>
      <c r="AO28" s="23">
        <f>'QTR Raw'!I12</f>
        <v>66.31</v>
      </c>
      <c r="AP28" s="23">
        <f>'QTR Raw'!J12</f>
        <v>73.599999999999994</v>
      </c>
      <c r="AQ28" s="23">
        <f>'QTR Raw'!K12</f>
        <v>73.5</v>
      </c>
      <c r="AR28" s="23">
        <f>'QTR Raw'!L12</f>
        <v>62.88</v>
      </c>
      <c r="AS28" s="23">
        <f>'QTR Raw'!M12</f>
        <v>60.48</v>
      </c>
      <c r="AT28" s="23">
        <f>'QTR Raw'!N12</f>
        <v>66.61</v>
      </c>
      <c r="AU28" s="23">
        <f>'QTR Raw'!O12</f>
        <v>58.85</v>
      </c>
      <c r="AV28" s="23">
        <f>'QTR Raw'!P12</f>
        <v>84.33</v>
      </c>
      <c r="AW28" s="23">
        <f>'QTR Raw'!Q12</f>
        <v>71.09</v>
      </c>
      <c r="AX28" s="23">
        <f>'QTR Raw'!R12</f>
        <v>74.7</v>
      </c>
      <c r="AY28" s="23">
        <f>'QTR Raw'!S12</f>
        <v>67.88</v>
      </c>
      <c r="AZ28" s="23">
        <f>'QTR Raw'!T12</f>
        <v>57.12</v>
      </c>
      <c r="BA28" s="23">
        <f>'QTR Raw'!U12</f>
        <v>114.26</v>
      </c>
      <c r="BB28" s="23">
        <f>'QTR Raw'!V12</f>
        <v>117.18</v>
      </c>
      <c r="BC28" s="23">
        <f>'QTR Raw'!W12</f>
        <v>127.98</v>
      </c>
      <c r="BD28" s="23">
        <f>'QTR Raw'!X12</f>
        <v>105.93</v>
      </c>
      <c r="BE28" s="23">
        <f>'QTR Raw'!Y12</f>
        <v>110.63</v>
      </c>
      <c r="BF28" s="23">
        <f>'QTR Raw'!Z12</f>
        <v>198.35</v>
      </c>
      <c r="BG28" s="23">
        <f>'QTR Raw'!AA12</f>
        <v>214.69</v>
      </c>
      <c r="BH28" s="23">
        <f>'QTR Raw'!AB12</f>
        <v>174.86</v>
      </c>
      <c r="BI28" s="23">
        <f>'QTR Raw'!AC12</f>
        <v>148.69</v>
      </c>
      <c r="BJ28" s="23">
        <f>'QTR Raw'!AD12</f>
        <v>189.63</v>
      </c>
      <c r="BK28" s="23">
        <f>'QTR Raw'!AE12</f>
        <v>409.91</v>
      </c>
      <c r="BL28" s="23">
        <f>'QTR Raw'!AF12</f>
        <v>436.46</v>
      </c>
      <c r="BM28" s="23">
        <f>'QTR Raw'!AG12</f>
        <v>466.31</v>
      </c>
      <c r="BN28" s="23">
        <f>'QTR Raw'!AH12</f>
        <v>483.56</v>
      </c>
      <c r="BO28" s="23">
        <f>'QTR Raw'!AI12</f>
        <v>533.32000000000005</v>
      </c>
      <c r="BP28" s="23">
        <f>'QTR Raw'!AJ12</f>
        <v>518.98</v>
      </c>
      <c r="BQ28" s="23">
        <f>'QTR Raw'!AK12</f>
        <v>528.4</v>
      </c>
      <c r="BR28" s="23">
        <f>'QTR Raw'!AL12</f>
        <v>533.70000000000005</v>
      </c>
      <c r="BS28" s="23">
        <f>'QTR Raw'!AM12</f>
        <v>542.67999999999995</v>
      </c>
      <c r="BT28" s="23">
        <f>'QTR Raw'!AN12</f>
        <v>485.15</v>
      </c>
      <c r="BU28" s="23">
        <f>'QTR Raw'!AO12</f>
        <v>551.64</v>
      </c>
      <c r="BV28" s="23">
        <f>'QTR Raw'!AP12</f>
        <v>635.91999999999996</v>
      </c>
      <c r="BW28" s="23">
        <f>'QTR Raw'!AQ12</f>
        <v>693.47</v>
      </c>
      <c r="BX28" s="23">
        <f>'QTR Raw'!AR12</f>
        <v>677.49</v>
      </c>
      <c r="BY28" s="23">
        <f>'QTR Raw'!AS12</f>
        <v>705.5</v>
      </c>
      <c r="BZ28" s="23">
        <f>'QTR Raw'!AT12</f>
        <v>826.57</v>
      </c>
      <c r="CA28" s="23">
        <f>'QTR Raw'!AU12</f>
        <v>654.67999999999995</v>
      </c>
      <c r="CB28" s="23">
        <f>'QTR Raw'!AV12</f>
        <v>806.56</v>
      </c>
      <c r="CC28" s="23">
        <f>'QTR Raw'!AW12</f>
        <v>736.38</v>
      </c>
      <c r="CD28" s="23">
        <f>'QTR Raw'!AX12</f>
        <v>757.69</v>
      </c>
      <c r="CE28" s="23">
        <f>'QTR Raw'!AY12</f>
        <v>847.43</v>
      </c>
      <c r="CF28" s="23">
        <f>'QTR Raw'!AZ12</f>
        <v>838.25</v>
      </c>
      <c r="CG28" s="23">
        <f>'QTR Raw'!BA12</f>
        <v>859.18</v>
      </c>
      <c r="CH28" s="23">
        <f>'QTR Raw'!BB12</f>
        <v>889.51</v>
      </c>
      <c r="CI28" s="23">
        <f>'QTR Raw'!BC12</f>
        <v>946.88</v>
      </c>
      <c r="CJ28" s="23">
        <f>'QTR Raw'!BD12</f>
        <v>957.46</v>
      </c>
      <c r="CK28" s="23">
        <f>'QTR Raw'!BE12</f>
        <v>1045.92</v>
      </c>
      <c r="CL28" s="23">
        <f>'QTR Raw'!BF12</f>
        <v>1157.97</v>
      </c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E28" s="123"/>
      <c r="DF28" s="23">
        <v>4108.2300000000005</v>
      </c>
    </row>
    <row r="29" spans="1:110" s="23" customFormat="1" outlineLevel="1" x14ac:dyDescent="0.2">
      <c r="A29" s="23" t="s">
        <v>4</v>
      </c>
      <c r="B29" s="23">
        <f>'Annual Raw'!C12</f>
        <v>168.4365</v>
      </c>
      <c r="C29" s="23">
        <f>'Annual Raw'!D12</f>
        <v>601.03539999999998</v>
      </c>
      <c r="D29" s="23">
        <f>'Annual Raw'!E12</f>
        <v>630.79750000000001</v>
      </c>
      <c r="E29" s="23">
        <f>'Annual Raw'!F12</f>
        <v>652.61180000000002</v>
      </c>
      <c r="F29" s="23">
        <f>'Annual Raw'!G12</f>
        <v>707.7654</v>
      </c>
      <c r="G29" s="23">
        <f>'Annual Raw'!H12</f>
        <v>724.97789999999998</v>
      </c>
      <c r="H29" s="23">
        <f>'Annual Raw'!I12</f>
        <v>1094.2074</v>
      </c>
      <c r="I29" s="23">
        <f>'Annual Raw'!J12</f>
        <v>1385.2392</v>
      </c>
      <c r="J29" s="23">
        <f>'Annual Raw'!K12</f>
        <v>1820.7508</v>
      </c>
      <c r="K29" s="23">
        <f>'Annual Raw'!L12</f>
        <v>2346.6586000000002</v>
      </c>
      <c r="L29" s="23">
        <f>'Annual Raw'!M12</f>
        <v>2587.0772999999999</v>
      </c>
      <c r="M29" s="23">
        <f>'Annual Raw'!N12</f>
        <v>2947.4449</v>
      </c>
      <c r="N29" s="23">
        <f>'Annual Raw'!O12</f>
        <v>3156.0585999999998</v>
      </c>
      <c r="O29" s="23">
        <f>'Annual Raw'!P12</f>
        <v>3306.9611</v>
      </c>
      <c r="P29" s="23">
        <f>'Annual Raw'!Q12</f>
        <v>3416.05</v>
      </c>
      <c r="Q29" s="23">
        <f>'Annual Raw'!R12</f>
        <v>3196.68</v>
      </c>
      <c r="R29" s="23">
        <f>'Annual Raw'!S12</f>
        <v>3165.65</v>
      </c>
      <c r="S29" s="23">
        <f>'Annual Raw'!T12</f>
        <v>3375.75</v>
      </c>
      <c r="T29" s="23">
        <f>'Annual Raw'!U12</f>
        <v>3650.97</v>
      </c>
      <c r="U29" s="23">
        <f>'Annual Raw'!V12</f>
        <v>4847.1000000000004</v>
      </c>
      <c r="V29" s="23">
        <f>'Annual Raw'!W12</f>
        <v>6367.79</v>
      </c>
      <c r="W29" s="23">
        <f>'Annual Raw'!X12</f>
        <v>6323.22</v>
      </c>
      <c r="X29" s="23">
        <f>'Annual Raw'!Y12</f>
        <v>7107.06</v>
      </c>
      <c r="Y29" s="23">
        <f>'Annual Raw'!Z12</f>
        <v>7364.06</v>
      </c>
      <c r="Z29" s="23">
        <f>'Annual Raw'!AA12</f>
        <v>8986.68</v>
      </c>
      <c r="AA29" s="23">
        <f>'Annual Raw'!AB12</f>
        <v>10319.26</v>
      </c>
      <c r="AB29" s="24">
        <f>+SUM(CM29:CP29)</f>
        <v>13364.14911085978</v>
      </c>
      <c r="AC29" s="24">
        <f>+SUM(CQ29:CT29)</f>
        <v>15150.371208042736</v>
      </c>
      <c r="AD29" s="24">
        <f>+SUM(CU29:CX29)</f>
        <v>17204.013207451171</v>
      </c>
      <c r="AE29" s="24">
        <f>+SUM(CY29:DB29)</f>
        <v>19565.597136145287</v>
      </c>
      <c r="AI29" s="23">
        <f>'QTR Raw'!C11</f>
        <v>807.41</v>
      </c>
      <c r="AJ29" s="23">
        <f>'QTR Raw'!D11</f>
        <v>828.5</v>
      </c>
      <c r="AK29" s="23">
        <f>'QTR Raw'!E11</f>
        <v>873.69</v>
      </c>
      <c r="AL29" s="23">
        <f>'QTR Raw'!F11</f>
        <v>815.71</v>
      </c>
      <c r="AM29" s="23">
        <f>'QTR Raw'!G11</f>
        <v>835.04</v>
      </c>
      <c r="AN29" s="23">
        <f>'QTR Raw'!H11</f>
        <v>920.63</v>
      </c>
      <c r="AO29" s="23">
        <f>'QTR Raw'!I11</f>
        <v>940.8</v>
      </c>
      <c r="AP29" s="23">
        <f>'QTR Raw'!J11</f>
        <v>831.62</v>
      </c>
      <c r="AQ29" s="23">
        <f>'QTR Raw'!K11</f>
        <v>820.87</v>
      </c>
      <c r="AR29" s="23">
        <f>'QTR Raw'!L11</f>
        <v>924.92</v>
      </c>
      <c r="AS29" s="23">
        <f>'QTR Raw'!M11</f>
        <v>960.12</v>
      </c>
      <c r="AT29" s="23">
        <f>'QTR Raw'!N11</f>
        <v>919.21</v>
      </c>
      <c r="AU29" s="23">
        <f>'QTR Raw'!O11</f>
        <v>831.84</v>
      </c>
      <c r="AV29" s="23">
        <f>'QTR Raw'!P11</f>
        <v>862.4</v>
      </c>
      <c r="AW29" s="23">
        <f>'QTR Raw'!Q11</f>
        <v>831</v>
      </c>
      <c r="AX29" s="23">
        <f>'QTR Raw'!R11</f>
        <v>789.19</v>
      </c>
      <c r="AY29" s="23">
        <f>'QTR Raw'!S11</f>
        <v>781.97</v>
      </c>
      <c r="AZ29" s="23">
        <f>'QTR Raw'!T11</f>
        <v>783.86</v>
      </c>
      <c r="BA29" s="23">
        <f>'QTR Raw'!U11</f>
        <v>848.47</v>
      </c>
      <c r="BB29" s="23">
        <f>'QTR Raw'!V11</f>
        <v>791.52</v>
      </c>
      <c r="BC29" s="23">
        <f>'QTR Raw'!W11</f>
        <v>791.66</v>
      </c>
      <c r="BD29" s="23">
        <f>'QTR Raw'!X11</f>
        <v>777.08</v>
      </c>
      <c r="BE29" s="23">
        <f>'QTR Raw'!Y11</f>
        <v>836.92</v>
      </c>
      <c r="BF29" s="23">
        <f>'QTR Raw'!Z11</f>
        <v>797.56</v>
      </c>
      <c r="BG29" s="23">
        <f>'QTR Raw'!AA11</f>
        <v>777.36</v>
      </c>
      <c r="BH29" s="23">
        <f>'QTR Raw'!AB11</f>
        <v>842</v>
      </c>
      <c r="BI29" s="23">
        <f>'QTR Raw'!AC11</f>
        <v>861.77</v>
      </c>
      <c r="BJ29" s="23">
        <f>'QTR Raw'!AD11</f>
        <v>813.05</v>
      </c>
      <c r="BK29" s="23">
        <f>'QTR Raw'!AE11</f>
        <v>879.21</v>
      </c>
      <c r="BL29" s="23">
        <f>'QTR Raw'!AF11</f>
        <v>907.68</v>
      </c>
      <c r="BM29" s="23">
        <f>'QTR Raw'!AG11</f>
        <v>946.79</v>
      </c>
      <c r="BN29" s="23">
        <f>'QTR Raw'!AH11</f>
        <v>872.98</v>
      </c>
      <c r="BO29" s="23">
        <f>'QTR Raw'!AI11</f>
        <v>1013.85</v>
      </c>
      <c r="BP29" s="23">
        <f>'QTR Raw'!AJ11</f>
        <v>1208.1099999999999</v>
      </c>
      <c r="BQ29" s="23">
        <f>'QTR Raw'!AK11</f>
        <v>1392.56</v>
      </c>
      <c r="BR29" s="23">
        <f>'QTR Raw'!AL11</f>
        <v>1322.93</v>
      </c>
      <c r="BS29" s="23">
        <f>'QTR Raw'!AM11</f>
        <v>1313.64</v>
      </c>
      <c r="BT29" s="23">
        <f>'QTR Raw'!AN11</f>
        <v>1232.02</v>
      </c>
      <c r="BU29" s="23">
        <f>'QTR Raw'!AO11</f>
        <v>1161.58</v>
      </c>
      <c r="BV29" s="23">
        <f>'QTR Raw'!AP11</f>
        <v>1201.1199999999999</v>
      </c>
      <c r="BW29" s="23">
        <f>'QTR Raw'!AQ11</f>
        <v>1360.48</v>
      </c>
      <c r="BX29" s="23">
        <f>'QTR Raw'!AR11</f>
        <v>1327.27</v>
      </c>
      <c r="BY29" s="23">
        <f>'QTR Raw'!AS11</f>
        <v>1350.5</v>
      </c>
      <c r="BZ29" s="23">
        <f>'QTR Raw'!AT11</f>
        <v>1338.31</v>
      </c>
      <c r="CA29" s="23">
        <f>'QTR Raw'!AU11</f>
        <v>1469.92</v>
      </c>
      <c r="CB29" s="23">
        <f>'QTR Raw'!AV11</f>
        <v>1348.9</v>
      </c>
      <c r="CC29" s="23">
        <f>'QTR Raw'!AW11</f>
        <v>1345.18</v>
      </c>
      <c r="CD29" s="23">
        <f>'QTR Raw'!AX11</f>
        <v>1566.2</v>
      </c>
      <c r="CE29" s="23">
        <f>'QTR Raw'!AY11</f>
        <v>1683.8</v>
      </c>
      <c r="CF29" s="23">
        <f>'QTR Raw'!AZ11</f>
        <v>1641.37</v>
      </c>
      <c r="CG29" s="23">
        <f>'QTR Raw'!BA11</f>
        <v>1806.67</v>
      </c>
      <c r="CH29" s="23">
        <f>'QTR Raw'!BB11</f>
        <v>1865.56</v>
      </c>
      <c r="CI29" s="23">
        <f>'QTR Raw'!BC11</f>
        <v>2036.7</v>
      </c>
      <c r="CJ29" s="23">
        <f>'QTR Raw'!BD11</f>
        <v>1984.4</v>
      </c>
      <c r="CK29" s="23">
        <f>'QTR Raw'!BE11</f>
        <v>1842.53</v>
      </c>
      <c r="CL29" s="23">
        <f>'QTR Raw'!BF11</f>
        <v>1924.53</v>
      </c>
      <c r="CM29" s="24">
        <f t="shared" ref="CM29:DB29" si="151">+CM24-CM30</f>
        <v>3159.6089031416491</v>
      </c>
      <c r="CN29" s="24">
        <f t="shared" si="151"/>
        <v>3288.6146384790127</v>
      </c>
      <c r="CO29" s="24">
        <f t="shared" si="151"/>
        <v>3353.864509633705</v>
      </c>
      <c r="CP29" s="24">
        <f t="shared" si="151"/>
        <v>3562.0610596054139</v>
      </c>
      <c r="CQ29" s="24">
        <f t="shared" si="151"/>
        <v>3565.9718109701066</v>
      </c>
      <c r="CR29" s="24">
        <f t="shared" si="151"/>
        <v>3738.5064449880119</v>
      </c>
      <c r="CS29" s="24">
        <f t="shared" si="151"/>
        <v>3803.6065016435205</v>
      </c>
      <c r="CT29" s="24">
        <f t="shared" si="151"/>
        <v>4042.2864504410977</v>
      </c>
      <c r="CU29" s="24">
        <f t="shared" si="151"/>
        <v>4042.5633101102644</v>
      </c>
      <c r="CV29" s="24">
        <f t="shared" si="151"/>
        <v>4248.1619960082298</v>
      </c>
      <c r="CW29" s="24">
        <f t="shared" si="151"/>
        <v>4314.3203372832977</v>
      </c>
      <c r="CX29" s="24">
        <f t="shared" si="151"/>
        <v>4598.9675640493788</v>
      </c>
      <c r="CY29" s="24">
        <f t="shared" si="151"/>
        <v>4590.8031174195985</v>
      </c>
      <c r="CZ29" s="24">
        <f t="shared" si="151"/>
        <v>4832.5873417405674</v>
      </c>
      <c r="DA29" s="24">
        <f t="shared" si="151"/>
        <v>4900.1167424258765</v>
      </c>
      <c r="DB29" s="24">
        <f t="shared" si="151"/>
        <v>5242.0899345592443</v>
      </c>
      <c r="DE29" s="123"/>
      <c r="DF29" s="23">
        <v>3021.2484483970534</v>
      </c>
    </row>
    <row r="30" spans="1:110" s="31" customFormat="1" x14ac:dyDescent="0.2">
      <c r="A30" s="31" t="s">
        <v>5</v>
      </c>
      <c r="B30" s="31">
        <f t="shared" ref="B30:T30" si="152">B24-B27-B29-B28</f>
        <v>642.90650000000005</v>
      </c>
      <c r="C30" s="31">
        <f t="shared" si="152"/>
        <v>2419.6180999999997</v>
      </c>
      <c r="D30" s="31">
        <f t="shared" si="152"/>
        <v>2644.0285999999996</v>
      </c>
      <c r="E30" s="31">
        <f t="shared" si="152"/>
        <v>2397.7329999999997</v>
      </c>
      <c r="F30" s="31">
        <f t="shared" si="152"/>
        <v>2356.7938000000004</v>
      </c>
      <c r="G30" s="31">
        <f t="shared" si="152"/>
        <v>2394.4833000000003</v>
      </c>
      <c r="H30" s="31">
        <f t="shared" si="152"/>
        <v>2977.9957000000004</v>
      </c>
      <c r="I30" s="31">
        <f t="shared" si="152"/>
        <v>2893.7931999999992</v>
      </c>
      <c r="J30" s="31">
        <f t="shared" si="152"/>
        <v>3095.0940000000001</v>
      </c>
      <c r="K30" s="31">
        <f t="shared" si="152"/>
        <v>3473.3319999999999</v>
      </c>
      <c r="L30" s="31">
        <f t="shared" si="152"/>
        <v>3481.9663999999993</v>
      </c>
      <c r="M30" s="31">
        <f t="shared" si="152"/>
        <v>3758.4198000000001</v>
      </c>
      <c r="N30" s="31">
        <f t="shared" si="152"/>
        <v>4236.458700000001</v>
      </c>
      <c r="O30" s="31">
        <f t="shared" si="152"/>
        <v>4544.8428999999996</v>
      </c>
      <c r="P30" s="31">
        <f t="shared" si="152"/>
        <v>4628.5899999999992</v>
      </c>
      <c r="Q30" s="31">
        <f t="shared" si="152"/>
        <v>3419.7500000000005</v>
      </c>
      <c r="R30" s="31">
        <f t="shared" si="152"/>
        <v>3614.5899999999997</v>
      </c>
      <c r="S30" s="31">
        <f t="shared" si="152"/>
        <v>3486.4000000000005</v>
      </c>
      <c r="T30" s="31">
        <f t="shared" si="152"/>
        <v>3614.94</v>
      </c>
      <c r="U30" s="31">
        <f t="shared" ref="U30:Z30" si="153">U24-U27-U29-U28</f>
        <v>4782.5399999999991</v>
      </c>
      <c r="V30" s="31">
        <f t="shared" si="153"/>
        <v>5383.7800000000016</v>
      </c>
      <c r="W30" s="31">
        <f t="shared" si="153"/>
        <v>6141.9300000000012</v>
      </c>
      <c r="X30" s="31">
        <f t="shared" si="153"/>
        <v>6949.9799999999987</v>
      </c>
      <c r="Y30" s="31">
        <f t="shared" si="153"/>
        <v>7963.39</v>
      </c>
      <c r="Z30" s="31">
        <f t="shared" si="153"/>
        <v>8994.11</v>
      </c>
      <c r="AA30" s="31">
        <f t="shared" ref="AA30" si="154">AA24-AA27-AA29-AA28</f>
        <v>10011.92</v>
      </c>
      <c r="AB30" s="32">
        <f t="shared" ref="AA30:AD30" si="155">AB24-AB27-AB29-AB28</f>
        <v>9822.8483831566882</v>
      </c>
      <c r="AC30" s="32">
        <f t="shared" si="155"/>
        <v>11163.873596624064</v>
      </c>
      <c r="AD30" s="32">
        <f t="shared" si="155"/>
        <v>12682.048797439358</v>
      </c>
      <c r="AE30" s="32">
        <f t="shared" ref="AE30" si="156">AE24-AE27-AE29-AE28</f>
        <v>14423.605436506765</v>
      </c>
      <c r="AI30" s="31">
        <f t="shared" ref="AI30" si="157">AI24-AI27-AI29-AI28</f>
        <v>859.27000000000021</v>
      </c>
      <c r="AJ30" s="31">
        <f t="shared" ref="AJ30" si="158">AJ24-AJ27-AJ29-AJ28</f>
        <v>928.46000000000015</v>
      </c>
      <c r="AK30" s="31">
        <f t="shared" ref="AK30:AM30" si="159">AK24-AK27-AK29-AK28</f>
        <v>981.33999999999969</v>
      </c>
      <c r="AL30" s="31">
        <f t="shared" si="159"/>
        <v>1014.9199999999998</v>
      </c>
      <c r="AM30" s="31">
        <f t="shared" si="159"/>
        <v>926.24</v>
      </c>
      <c r="AN30" s="31">
        <f t="shared" ref="AN30:AO30" si="160">AN24-AN27-AN29-AN28</f>
        <v>989.88000000000011</v>
      </c>
      <c r="AO30" s="31">
        <f t="shared" si="160"/>
        <v>1116.97</v>
      </c>
      <c r="AP30" s="31">
        <f t="shared" ref="AP30:CD30" si="161">AP24-AP27-AP29-AP28</f>
        <v>1027.06</v>
      </c>
      <c r="AQ30" s="31">
        <f t="shared" si="161"/>
        <v>975.84999999999991</v>
      </c>
      <c r="AR30" s="31">
        <f t="shared" si="161"/>
        <v>1038.5900000000001</v>
      </c>
      <c r="AS30" s="31">
        <f t="shared" si="161"/>
        <v>1106.9900000000002</v>
      </c>
      <c r="AT30" s="31">
        <f t="shared" si="161"/>
        <v>1034.6199999999999</v>
      </c>
      <c r="AU30" s="31">
        <f t="shared" si="161"/>
        <v>740.35999999999967</v>
      </c>
      <c r="AV30" s="31">
        <f t="shared" si="161"/>
        <v>737.72</v>
      </c>
      <c r="AW30" s="31">
        <f t="shared" si="161"/>
        <v>785.06999999999982</v>
      </c>
      <c r="AX30" s="31">
        <f t="shared" si="161"/>
        <v>752.92999999999984</v>
      </c>
      <c r="AY30" s="31">
        <f t="shared" si="161"/>
        <v>783.64</v>
      </c>
      <c r="AZ30" s="31">
        <f t="shared" si="161"/>
        <v>777.69</v>
      </c>
      <c r="BA30" s="31">
        <f t="shared" si="161"/>
        <v>806.27</v>
      </c>
      <c r="BB30" s="31">
        <f t="shared" si="161"/>
        <v>850.72</v>
      </c>
      <c r="BC30" s="31">
        <f t="shared" si="161"/>
        <v>794.9100000000002</v>
      </c>
      <c r="BD30" s="31">
        <f t="shared" si="161"/>
        <v>769.63000000000011</v>
      </c>
      <c r="BE30" s="31">
        <f t="shared" si="161"/>
        <v>802.88000000000011</v>
      </c>
      <c r="BF30" s="31">
        <f t="shared" si="161"/>
        <v>748.62000000000023</v>
      </c>
      <c r="BG30" s="31">
        <f t="shared" si="161"/>
        <v>822.23</v>
      </c>
      <c r="BH30" s="31">
        <f t="shared" si="161"/>
        <v>762.85999999999979</v>
      </c>
      <c r="BI30" s="31">
        <f t="shared" si="161"/>
        <v>855.64999999999986</v>
      </c>
      <c r="BJ30" s="31">
        <f t="shared" si="161"/>
        <v>803.12</v>
      </c>
      <c r="BK30" s="31">
        <f t="shared" si="161"/>
        <v>1027.45</v>
      </c>
      <c r="BL30" s="31">
        <f t="shared" si="161"/>
        <v>1021.0700000000002</v>
      </c>
      <c r="BM30" s="31">
        <f t="shared" si="161"/>
        <v>1085.1300000000001</v>
      </c>
      <c r="BN30" s="31">
        <f t="shared" si="161"/>
        <v>1093.0900000000001</v>
      </c>
      <c r="BO30" s="31">
        <f t="shared" si="161"/>
        <v>1213.29</v>
      </c>
      <c r="BP30" s="31">
        <f t="shared" si="161"/>
        <v>1135.1900000000003</v>
      </c>
      <c r="BQ30" s="31">
        <f t="shared" si="161"/>
        <v>1160</v>
      </c>
      <c r="BR30" s="31">
        <f t="shared" si="161"/>
        <v>1191.2399999999998</v>
      </c>
      <c r="BS30" s="31">
        <f t="shared" si="161"/>
        <v>1226.0499999999997</v>
      </c>
      <c r="BT30" s="31">
        <f t="shared" si="161"/>
        <v>1296.83</v>
      </c>
      <c r="BU30" s="31">
        <f t="shared" si="161"/>
        <v>1401.8000000000002</v>
      </c>
      <c r="BV30" s="31">
        <f t="shared" si="161"/>
        <v>1416.7199999999998</v>
      </c>
      <c r="BW30" s="31">
        <f t="shared" si="161"/>
        <v>1417.7499999999998</v>
      </c>
      <c r="BX30" s="31">
        <f t="shared" si="161"/>
        <v>1403.8400000000004</v>
      </c>
      <c r="BY30" s="31">
        <f t="shared" si="161"/>
        <v>1442.5300000000002</v>
      </c>
      <c r="BZ30" s="31">
        <f t="shared" si="161"/>
        <v>1513.33</v>
      </c>
      <c r="CA30" s="31">
        <f t="shared" si="161"/>
        <v>1577.88</v>
      </c>
      <c r="CB30" s="31">
        <f t="shared" si="161"/>
        <v>1586.8700000000003</v>
      </c>
      <c r="CC30" s="31">
        <f t="shared" si="161"/>
        <v>1666.13</v>
      </c>
      <c r="CD30" s="31">
        <f t="shared" si="161"/>
        <v>1811.06</v>
      </c>
      <c r="CE30" s="31">
        <f t="shared" ref="CE30:CF30" si="162">CE24-CE27-CE29-CE28</f>
        <v>1954.6399999999999</v>
      </c>
      <c r="CF30" s="31">
        <f t="shared" si="162"/>
        <v>1837.5699999999997</v>
      </c>
      <c r="CG30" s="31">
        <f t="shared" ref="CG30:CH30" si="163">CG24-CG27-CG29-CG28</f>
        <v>1825.1200000000003</v>
      </c>
      <c r="CH30" s="31">
        <f t="shared" si="163"/>
        <v>1931.6900000000003</v>
      </c>
      <c r="CI30" s="31">
        <f t="shared" ref="CI30:CJ30" si="164">CI24-CI27-CI29-CI28</f>
        <v>1916.21</v>
      </c>
      <c r="CJ30" s="31">
        <f t="shared" si="164"/>
        <v>2089.5699999999993</v>
      </c>
      <c r="CK30" s="31">
        <f t="shared" ref="CK30:CL30" si="165">CK24-CK27-CK29-CK28</f>
        <v>2186.7799999999997</v>
      </c>
      <c r="CL30" s="31">
        <f t="shared" si="165"/>
        <v>2242.2299999999996</v>
      </c>
      <c r="CM30" s="32">
        <f t="shared" ref="CM30:DB30" si="166">+CM31*CM24</f>
        <v>2285.2004962430588</v>
      </c>
      <c r="CN30" s="32">
        <f t="shared" si="166"/>
        <v>2425.0709502319842</v>
      </c>
      <c r="CO30" s="32">
        <f t="shared" si="166"/>
        <v>2482.5281272756665</v>
      </c>
      <c r="CP30" s="32">
        <f t="shared" si="166"/>
        <v>2630.048809405982</v>
      </c>
      <c r="CQ30" s="32">
        <f t="shared" si="166"/>
        <v>2620.1982216724277</v>
      </c>
      <c r="CR30" s="32">
        <f t="shared" si="166"/>
        <v>2757.8336650658821</v>
      </c>
      <c r="CS30" s="32">
        <f t="shared" si="166"/>
        <v>2806.1128507425219</v>
      </c>
      <c r="CT30" s="32">
        <f t="shared" si="166"/>
        <v>2979.7288591432302</v>
      </c>
      <c r="CU30" s="32">
        <f t="shared" si="166"/>
        <v>2978.7102983095178</v>
      </c>
      <c r="CV30" s="32">
        <f t="shared" si="166"/>
        <v>3132.3928527953176</v>
      </c>
      <c r="CW30" s="32">
        <f t="shared" si="166"/>
        <v>3180.81818826478</v>
      </c>
      <c r="CX30" s="32">
        <f t="shared" si="166"/>
        <v>3390.1274580697459</v>
      </c>
      <c r="CY30" s="32">
        <f t="shared" si="166"/>
        <v>3384.1207636919557</v>
      </c>
      <c r="CZ30" s="32">
        <f t="shared" si="166"/>
        <v>3562.7334540553366</v>
      </c>
      <c r="DA30" s="32">
        <f t="shared" si="166"/>
        <v>3612.3694663783558</v>
      </c>
      <c r="DB30" s="32">
        <f t="shared" si="166"/>
        <v>3864.3817523811194</v>
      </c>
      <c r="DE30" s="124"/>
      <c r="DF30" s="31">
        <v>2315.3778944253395</v>
      </c>
    </row>
    <row r="31" spans="1:110" s="41" customFormat="1" x14ac:dyDescent="0.2">
      <c r="A31" s="41" t="s">
        <v>6</v>
      </c>
      <c r="B31" s="41">
        <f>B30/B24</f>
        <v>0.79413153966084293</v>
      </c>
      <c r="C31" s="41">
        <f t="shared" ref="C31:U31" si="167">C30/C24</f>
        <v>0.80247682772630213</v>
      </c>
      <c r="D31" s="41">
        <f t="shared" si="167"/>
        <v>0.80493757493502638</v>
      </c>
      <c r="E31" s="41">
        <f t="shared" si="167"/>
        <v>0.78625686383088833</v>
      </c>
      <c r="F31" s="41">
        <f t="shared" si="167"/>
        <v>0.77491954204396751</v>
      </c>
      <c r="G31" s="41">
        <f t="shared" si="167"/>
        <v>0.77079157579610669</v>
      </c>
      <c r="H31" s="41">
        <f t="shared" si="167"/>
        <v>0.73989408318915983</v>
      </c>
      <c r="I31" s="41">
        <f t="shared" si="167"/>
        <v>0.67146883956578973</v>
      </c>
      <c r="J31" s="41">
        <f t="shared" si="167"/>
        <v>0.63844346805325924</v>
      </c>
      <c r="K31" s="41">
        <f t="shared" si="167"/>
        <v>0.6006159070636331</v>
      </c>
      <c r="L31" s="41">
        <f t="shared" si="167"/>
        <v>0.58002130807627661</v>
      </c>
      <c r="M31" s="41">
        <f t="shared" si="167"/>
        <v>0.56602325083675264</v>
      </c>
      <c r="N31" s="41">
        <f t="shared" si="167"/>
        <v>0.57631228532107093</v>
      </c>
      <c r="O31" s="41">
        <f t="shared" si="167"/>
        <v>0.587370331094201</v>
      </c>
      <c r="P31" s="41">
        <f t="shared" si="167"/>
        <v>0.5790521918735354</v>
      </c>
      <c r="Q31" s="41">
        <f t="shared" si="167"/>
        <v>0.51529110048308313</v>
      </c>
      <c r="R31" s="41">
        <f t="shared" si="167"/>
        <v>0.53316075550737141</v>
      </c>
      <c r="S31" s="41">
        <f t="shared" si="167"/>
        <v>0.51155113090303517</v>
      </c>
      <c r="T31" s="41">
        <f t="shared" si="167"/>
        <v>0.49850927394332206</v>
      </c>
      <c r="U31" s="41">
        <f t="shared" si="167"/>
        <v>0.4962469208564117</v>
      </c>
      <c r="V31" s="41">
        <f>V30/V24</f>
        <v>0.46403775890943233</v>
      </c>
      <c r="W31" s="41">
        <f>W30/W24</f>
        <v>0.494305602167179</v>
      </c>
      <c r="X31" s="41">
        <f>X30/X24</f>
        <v>0.5042370544925836</v>
      </c>
      <c r="Y31" s="41">
        <f>Y30/Y24</f>
        <v>0.52370567906430754</v>
      </c>
      <c r="Z31" s="41">
        <f>Z30/Z24</f>
        <v>0.51049817519283935</v>
      </c>
      <c r="AA31" s="41">
        <f>AA30/AA24</f>
        <v>0.49343064686159926</v>
      </c>
      <c r="AB31" s="42">
        <f t="shared" ref="AA31:AD31" si="168">AB30/AB24</f>
        <v>0.42363606524266578</v>
      </c>
      <c r="AC31" s="42">
        <f t="shared" si="168"/>
        <v>0.42425209917649487</v>
      </c>
      <c r="AD31" s="42">
        <f t="shared" si="168"/>
        <v>0.42434659994227675</v>
      </c>
      <c r="AE31" s="42">
        <f t="shared" ref="AE31" si="169">AE30/AE24</f>
        <v>0.42435845341402911</v>
      </c>
      <c r="AI31" s="41">
        <f t="shared" ref="AI31" si="170">AI30/AI24</f>
        <v>0.49809866094719157</v>
      </c>
      <c r="AJ31" s="41">
        <f t="shared" ref="AJ31" si="171">AJ30/AJ24</f>
        <v>0.49784712726882763</v>
      </c>
      <c r="AK31" s="41">
        <f t="shared" ref="AK31:AM31" si="172">AK30/AK24</f>
        <v>0.51340619326891368</v>
      </c>
      <c r="AL31" s="41">
        <f t="shared" si="172"/>
        <v>0.54875371722087041</v>
      </c>
      <c r="AM31" s="41">
        <f t="shared" si="172"/>
        <v>0.51075843966781731</v>
      </c>
      <c r="AN31" s="41">
        <f t="shared" ref="AN31:AO31" si="173">AN30/AN24</f>
        <v>0.51196805759563069</v>
      </c>
      <c r="AO31" s="41">
        <f t="shared" si="173"/>
        <v>0.5368138258504187</v>
      </c>
      <c r="AP31" s="41">
        <f t="shared" ref="AP31:CD31" si="174">AP30/AP24</f>
        <v>0.53774745671307322</v>
      </c>
      <c r="AQ31" s="41">
        <f t="shared" si="174"/>
        <v>0.51073974438152259</v>
      </c>
      <c r="AR31" s="41">
        <f t="shared" si="174"/>
        <v>0.51438774095132445</v>
      </c>
      <c r="AS31" s="41">
        <f t="shared" si="174"/>
        <v>0.51704343764595995</v>
      </c>
      <c r="AT31" s="41">
        <f t="shared" si="174"/>
        <v>0.53812186305359788</v>
      </c>
      <c r="AU31" s="41">
        <f t="shared" si="174"/>
        <v>0.44275137844011991</v>
      </c>
      <c r="AV31" s="41">
        <f t="shared" si="174"/>
        <v>0.44189403695827967</v>
      </c>
      <c r="AW31" s="41">
        <f t="shared" si="174"/>
        <v>0.46191185036567206</v>
      </c>
      <c r="AX31" s="41">
        <f t="shared" si="174"/>
        <v>0.47106703788281656</v>
      </c>
      <c r="AY31" s="41">
        <f t="shared" si="174"/>
        <v>0.45154598780726724</v>
      </c>
      <c r="AZ31" s="41">
        <f t="shared" si="174"/>
        <v>0.47957006487259812</v>
      </c>
      <c r="BA31" s="41">
        <f t="shared" si="174"/>
        <v>0.46315529463126576</v>
      </c>
      <c r="BB31" s="41">
        <f t="shared" si="174"/>
        <v>0.50578785590706132</v>
      </c>
      <c r="BC31" s="41">
        <f t="shared" si="174"/>
        <v>0.46638152568029018</v>
      </c>
      <c r="BD31" s="41">
        <f t="shared" si="174"/>
        <v>0.45482643280106849</v>
      </c>
      <c r="BE31" s="41">
        <f t="shared" si="174"/>
        <v>0.46398788712371203</v>
      </c>
      <c r="BF31" s="41">
        <f t="shared" si="174"/>
        <v>0.44339019189765472</v>
      </c>
      <c r="BG31" s="41">
        <f t="shared" si="174"/>
        <v>0.45613811238273821</v>
      </c>
      <c r="BH31" s="41">
        <f t="shared" si="174"/>
        <v>0.43322902883233849</v>
      </c>
      <c r="BI31" s="41">
        <f t="shared" si="174"/>
        <v>0.4473799788767005</v>
      </c>
      <c r="BJ31" s="41">
        <f t="shared" si="174"/>
        <v>0.45234474446059048</v>
      </c>
      <c r="BK31" s="41">
        <f t="shared" si="174"/>
        <v>0.42947131702586566</v>
      </c>
      <c r="BL31" s="41">
        <f t="shared" si="174"/>
        <v>0.43504028426932306</v>
      </c>
      <c r="BM31" s="41">
        <f t="shared" si="174"/>
        <v>0.43527774212181508</v>
      </c>
      <c r="BN31" s="41">
        <f t="shared" si="174"/>
        <v>0.45450160704856074</v>
      </c>
      <c r="BO31" s="41">
        <f t="shared" si="174"/>
        <v>0.44706346194236363</v>
      </c>
      <c r="BP31" s="41">
        <f t="shared" si="174"/>
        <v>0.4081449948585934</v>
      </c>
      <c r="BQ31" s="41">
        <f t="shared" si="174"/>
        <v>0.37790432504984428</v>
      </c>
      <c r="BR31" s="41">
        <f t="shared" si="174"/>
        <v>0.39221393247772629</v>
      </c>
      <c r="BS31" s="41">
        <f t="shared" si="174"/>
        <v>0.40753408720740836</v>
      </c>
      <c r="BT31" s="41">
        <f t="shared" si="174"/>
        <v>0.42755644353009442</v>
      </c>
      <c r="BU31" s="41">
        <f t="shared" si="174"/>
        <v>0.43691832014910958</v>
      </c>
      <c r="BV31" s="41">
        <f t="shared" si="174"/>
        <v>0.44615341011082027</v>
      </c>
      <c r="BW31" s="41">
        <f t="shared" si="174"/>
        <v>0.42615643119726582</v>
      </c>
      <c r="BX31" s="41">
        <f t="shared" si="174"/>
        <v>0.41743060614620664</v>
      </c>
      <c r="BY31" s="41">
        <f t="shared" si="174"/>
        <v>0.41517030982429382</v>
      </c>
      <c r="BZ31" s="41">
        <f t="shared" si="174"/>
        <v>0.41819367568179994</v>
      </c>
      <c r="CA31" s="41">
        <f t="shared" si="174"/>
        <v>0.42175659746445671</v>
      </c>
      <c r="CB31" s="41">
        <f t="shared" si="174"/>
        <v>0.42500361563884326</v>
      </c>
      <c r="CC31" s="41">
        <f t="shared" si="174"/>
        <v>0.43800342804265074</v>
      </c>
      <c r="CD31" s="41">
        <f t="shared" si="174"/>
        <v>0.46118860996093647</v>
      </c>
      <c r="CE31" s="41">
        <f t="shared" ref="CE31:CF31" si="175">CE30/CE24</f>
        <v>0.44912880537307537</v>
      </c>
      <c r="CF31" s="41">
        <f t="shared" si="175"/>
        <v>0.43601656206622447</v>
      </c>
      <c r="CG31" s="41">
        <f t="shared" ref="CG31:CH31" si="176">CG30/CG24</f>
        <v>0.41073373601346674</v>
      </c>
      <c r="CH31" s="41">
        <f t="shared" si="176"/>
        <v>0.41918354592445678</v>
      </c>
      <c r="CI31" s="41">
        <f t="shared" ref="CI31:CJ31" si="177">CI30/CI24</f>
        <v>0.40097218821865238</v>
      </c>
      <c r="CJ31" s="41">
        <f t="shared" si="177"/>
        <v>0.42078374514186739</v>
      </c>
      <c r="CK31" s="41">
        <f t="shared" ref="CK31:CL31" si="178">CK30/CK24</f>
        <v>0.42777386541471041</v>
      </c>
      <c r="CL31" s="41">
        <f t="shared" si="178"/>
        <v>0.41265859592684062</v>
      </c>
      <c r="CM31" s="42">
        <f>AVERAGE(CI31:CL31)*1.01</f>
        <v>0.41970256966227293</v>
      </c>
      <c r="CN31" s="42">
        <f t="shared" ref="CN31:CP31" si="179">AVERAGE(CJ31:CM31)*1.01</f>
        <v>0.42443199097678708</v>
      </c>
      <c r="CO31" s="42">
        <f t="shared" si="179"/>
        <v>0.42535317305010428</v>
      </c>
      <c r="CP31" s="42">
        <f t="shared" si="179"/>
        <v>0.42474194822804129</v>
      </c>
      <c r="CQ31" s="42">
        <f t="shared" ref="CQ31:DB31" si="180">AVERAGE(CM31:CP31)</f>
        <v>0.42355742047930139</v>
      </c>
      <c r="CR31" s="42">
        <f t="shared" si="180"/>
        <v>0.4245211331835585</v>
      </c>
      <c r="CS31" s="42">
        <f t="shared" si="180"/>
        <v>0.42454341873525137</v>
      </c>
      <c r="CT31" s="42">
        <f t="shared" si="180"/>
        <v>0.42434098015653809</v>
      </c>
      <c r="CU31" s="42">
        <f t="shared" si="180"/>
        <v>0.42424073813866237</v>
      </c>
      <c r="CV31" s="42">
        <f t="shared" si="180"/>
        <v>0.42441156755350257</v>
      </c>
      <c r="CW31" s="42">
        <f t="shared" si="180"/>
        <v>0.42438417614598856</v>
      </c>
      <c r="CX31" s="42">
        <f t="shared" si="180"/>
        <v>0.42434436549867288</v>
      </c>
      <c r="CY31" s="42">
        <f t="shared" si="180"/>
        <v>0.42434521183420659</v>
      </c>
      <c r="CZ31" s="42">
        <f t="shared" si="180"/>
        <v>0.42437133025809265</v>
      </c>
      <c r="DA31" s="42">
        <f t="shared" si="180"/>
        <v>0.4243612709342402</v>
      </c>
      <c r="DB31" s="42">
        <f t="shared" si="180"/>
        <v>0.42435554463130309</v>
      </c>
      <c r="DE31" s="125"/>
      <c r="DF31" s="41">
        <v>0.43386546962191863</v>
      </c>
    </row>
    <row r="32" spans="1:110" s="39" customFormat="1" x14ac:dyDescent="0.2">
      <c r="A32" s="39" t="s">
        <v>447</v>
      </c>
      <c r="C32" s="39">
        <f t="shared" ref="C32:AE32" si="181">+IF(B30&lt;0,1-C30/B30,C30/B30-1)</f>
        <v>2.763561419895427</v>
      </c>
      <c r="D32" s="39">
        <f t="shared" si="181"/>
        <v>9.2746247847955932E-2</v>
      </c>
      <c r="E32" s="39">
        <f t="shared" si="181"/>
        <v>-9.3151639887707693E-2</v>
      </c>
      <c r="F32" s="39">
        <f t="shared" si="181"/>
        <v>-1.707412793667995E-2</v>
      </c>
      <c r="G32" s="39">
        <f t="shared" si="181"/>
        <v>1.5991852999613254E-2</v>
      </c>
      <c r="H32" s="39">
        <f t="shared" si="181"/>
        <v>0.24369031932692953</v>
      </c>
      <c r="I32" s="39">
        <f t="shared" si="181"/>
        <v>-2.827488971861214E-2</v>
      </c>
      <c r="J32" s="39">
        <f t="shared" si="181"/>
        <v>6.9562952874449024E-2</v>
      </c>
      <c r="K32" s="39">
        <f t="shared" si="181"/>
        <v>0.12220565837418818</v>
      </c>
      <c r="L32" s="39">
        <f t="shared" si="181"/>
        <v>2.485912662538281E-3</v>
      </c>
      <c r="M32" s="39">
        <f t="shared" si="181"/>
        <v>7.9395769011441519E-2</v>
      </c>
      <c r="N32" s="39">
        <f t="shared" si="181"/>
        <v>0.12719145955968014</v>
      </c>
      <c r="O32" s="39">
        <f t="shared" si="181"/>
        <v>7.2792920181187881E-2</v>
      </c>
      <c r="P32" s="39">
        <f t="shared" si="181"/>
        <v>1.8426841552652951E-2</v>
      </c>
      <c r="Q32" s="39">
        <f t="shared" si="181"/>
        <v>-0.26116808790581991</v>
      </c>
      <c r="R32" s="39">
        <f t="shared" si="181"/>
        <v>5.6974925067621696E-2</v>
      </c>
      <c r="S32" s="39">
        <f t="shared" si="181"/>
        <v>-3.5464603177676857E-2</v>
      </c>
      <c r="T32" s="39">
        <f t="shared" si="181"/>
        <v>3.6868976594768066E-2</v>
      </c>
      <c r="U32" s="39">
        <f t="shared" si="181"/>
        <v>0.3229929127454394</v>
      </c>
      <c r="V32" s="39">
        <f t="shared" si="181"/>
        <v>0.12571562391532587</v>
      </c>
      <c r="W32" s="39">
        <f t="shared" si="181"/>
        <v>0.140821133107222</v>
      </c>
      <c r="X32" s="39">
        <f t="shared" si="181"/>
        <v>0.13156288007189887</v>
      </c>
      <c r="Y32" s="39">
        <f t="shared" si="181"/>
        <v>0.14581480810016756</v>
      </c>
      <c r="Z32" s="39">
        <f t="shared" si="181"/>
        <v>0.12943231462982485</v>
      </c>
      <c r="AA32" s="39">
        <f t="shared" si="181"/>
        <v>0.11316405959010956</v>
      </c>
      <c r="AB32" s="40">
        <f t="shared" si="181"/>
        <v>-1.8884651180124501E-2</v>
      </c>
      <c r="AC32" s="40">
        <f t="shared" si="181"/>
        <v>0.13652101316832321</v>
      </c>
      <c r="AD32" s="40">
        <f t="shared" si="181"/>
        <v>0.13599000272399975</v>
      </c>
      <c r="AE32" s="40">
        <f t="shared" si="181"/>
        <v>0.13732454959635909</v>
      </c>
      <c r="AM32" s="39">
        <f>+IF(AI30&lt;0,1-AM30/AI30,AM30/AI30-1)</f>
        <v>7.7938249909806911E-2</v>
      </c>
      <c r="AN32" s="39">
        <f t="shared" ref="AN32" si="182">+IF(AJ30&lt;0,1-AN30/AJ30,AN30/AJ30-1)</f>
        <v>6.6152553691058325E-2</v>
      </c>
      <c r="AO32" s="39">
        <f t="shared" ref="AO32" si="183">+IF(AK30&lt;0,1-AO30/AK30,AO30/AK30-1)</f>
        <v>0.13820897955856326</v>
      </c>
      <c r="AP32" s="39">
        <f t="shared" ref="AP32" si="184">+IF(AL30&lt;0,1-AP30/AL30,AP30/AL30-1)</f>
        <v>1.196153391400312E-2</v>
      </c>
      <c r="AQ32" s="39">
        <f t="shared" ref="AQ32" si="185">+IF(AM30&lt;0,1-AQ30/AM30,AQ30/AM30-1)</f>
        <v>5.3560632233546235E-2</v>
      </c>
      <c r="AR32" s="39">
        <f t="shared" ref="AR32" si="186">+IF(AN30&lt;0,1-AR30/AN30,AR30/AN30-1)</f>
        <v>4.9207984806239224E-2</v>
      </c>
      <c r="AS32" s="39">
        <f t="shared" ref="AS32" si="187">+IF(AO30&lt;0,1-AS30/AO30,AS30/AO30-1)</f>
        <v>-8.9348863443062809E-3</v>
      </c>
      <c r="AT32" s="39">
        <f t="shared" ref="AT32" si="188">+IF(AP30&lt;0,1-AT30/AP30,AT30/AP30-1)</f>
        <v>7.3608163106342328E-3</v>
      </c>
      <c r="AU32" s="39">
        <f t="shared" ref="AU32" si="189">+IF(AQ30&lt;0,1-AU30/AQ30,AU30/AQ30-1)</f>
        <v>-0.24131782548547442</v>
      </c>
      <c r="AV32" s="39">
        <f t="shared" ref="AV32" si="190">+IF(AR30&lt;0,1-AV30/AR30,AV30/AR30-1)</f>
        <v>-0.2896908308379631</v>
      </c>
      <c r="AW32" s="39">
        <f t="shared" ref="AW32" si="191">+IF(AS30&lt;0,1-AW30/AS30,AW30/AS30-1)</f>
        <v>-0.29080660168565242</v>
      </c>
      <c r="AX32" s="39">
        <f t="shared" ref="AX32" si="192">+IF(AT30&lt;0,1-AX30/AT30,AX30/AT30-1)</f>
        <v>-0.27226421294774905</v>
      </c>
      <c r="AY32" s="39">
        <f t="shared" ref="AY32" si="193">+IF(AU30&lt;0,1-AY30/AU30,AY30/AU30-1)</f>
        <v>5.8458047436382721E-2</v>
      </c>
      <c r="AZ32" s="39">
        <f t="shared" ref="AZ32" si="194">+IF(AV30&lt;0,1-AZ30/AV30,AZ30/AV30-1)</f>
        <v>5.4180447866399195E-2</v>
      </c>
      <c r="BA32" s="39">
        <f t="shared" ref="BA32" si="195">+IF(AW30&lt;0,1-BA30/AW30,BA30/AW30-1)</f>
        <v>2.7003961430191126E-2</v>
      </c>
      <c r="BB32" s="39">
        <f t="shared" ref="BB32" si="196">+IF(AX30&lt;0,1-BB30/AX30,BB30/AX30-1)</f>
        <v>0.12987927164543867</v>
      </c>
      <c r="BC32" s="39">
        <f t="shared" ref="BC32" si="197">+IF(AY30&lt;0,1-BC30/AY30,BC30/AY30-1)</f>
        <v>1.4381603797662512E-2</v>
      </c>
      <c r="BD32" s="39">
        <f t="shared" ref="BD32" si="198">+IF(AZ30&lt;0,1-BD30/AZ30,BD30/AZ30-1)</f>
        <v>-1.0364026797309966E-2</v>
      </c>
      <c r="BE32" s="39">
        <f t="shared" ref="BE32" si="199">+IF(BA30&lt;0,1-BE30/BA30,BE30/BA30-1)</f>
        <v>-4.204546863953551E-3</v>
      </c>
      <c r="BF32" s="39">
        <f t="shared" ref="BF32" si="200">+IF(BB30&lt;0,1-BF30/BB30,BF30/BB30-1)</f>
        <v>-0.12001598645852896</v>
      </c>
      <c r="BG32" s="39">
        <f t="shared" ref="BG32" si="201">+IF(BC30&lt;0,1-BG30/BC30,BG30/BC30-1)</f>
        <v>3.436867066711935E-2</v>
      </c>
      <c r="BH32" s="39">
        <f t="shared" ref="BH32" si="202">+IF(BD30&lt;0,1-BH30/BD30,BH30/BD30-1)</f>
        <v>-8.7964346504169066E-3</v>
      </c>
      <c r="BI32" s="39">
        <f t="shared" ref="BI32" si="203">+IF(BE30&lt;0,1-BI30/BE30,BI30/BE30-1)</f>
        <v>6.5725886807492806E-2</v>
      </c>
      <c r="BJ32" s="39">
        <f t="shared" ref="BJ32" si="204">+IF(BF30&lt;0,1-BJ30/BF30,BJ30/BF30-1)</f>
        <v>7.2800619807111389E-2</v>
      </c>
      <c r="BK32" s="39">
        <f t="shared" ref="BK32" si="205">+IF(BG30&lt;0,1-BK30/BG30,BK30/BG30-1)</f>
        <v>0.24958953090984282</v>
      </c>
      <c r="BL32" s="39">
        <f t="shared" ref="BL32" si="206">+IF(BH30&lt;0,1-BL30/BH30,BL30/BH30-1)</f>
        <v>0.33847626038853851</v>
      </c>
      <c r="BM32" s="39">
        <f t="shared" ref="BM32" si="207">+IF(BI30&lt;0,1-BM30/BI30,BM30/BI30-1)</f>
        <v>0.2681937708175075</v>
      </c>
      <c r="BN32" s="39">
        <f t="shared" ref="BN32" si="208">+IF(BJ30&lt;0,1-BN30/BJ30,BN30/BJ30-1)</f>
        <v>0.36105438788723987</v>
      </c>
      <c r="BO32" s="39">
        <f t="shared" ref="BO32" si="209">+IF(BK30&lt;0,1-BO30/BK30,BO30/BK30-1)</f>
        <v>0.18087498175093675</v>
      </c>
      <c r="BP32" s="39">
        <f t="shared" ref="BP32" si="210">+IF(BL30&lt;0,1-BP30/BL30,BP30/BL30-1)</f>
        <v>0.11176510915020521</v>
      </c>
      <c r="BQ32" s="39">
        <f t="shared" ref="BQ32" si="211">+IF(BM30&lt;0,1-BQ30/BM30,BQ30/BM30-1)</f>
        <v>6.8996341452176146E-2</v>
      </c>
      <c r="BR32" s="39">
        <f t="shared" ref="BR32" si="212">+IF(BN30&lt;0,1-BR30/BN30,BR30/BN30-1)</f>
        <v>8.9791325508420838E-2</v>
      </c>
      <c r="BS32" s="39">
        <f t="shared" ref="BS32" si="213">+IF(BO30&lt;0,1-BS30/BO30,BS30/BO30-1)</f>
        <v>1.0516859118594679E-2</v>
      </c>
      <c r="BT32" s="39">
        <f t="shared" ref="BT32" si="214">+IF(BP30&lt;0,1-BT30/BP30,BT30/BP30-1)</f>
        <v>0.14239026066121063</v>
      </c>
      <c r="BU32" s="39">
        <f t="shared" ref="BU32" si="215">+IF(BQ30&lt;0,1-BU30/BQ30,BU30/BQ30-1)</f>
        <v>0.20844827586206915</v>
      </c>
      <c r="BV32" s="39">
        <f t="shared" ref="BV32" si="216">+IF(BR30&lt;0,1-BV30/BR30,BV30/BR30-1)</f>
        <v>0.18928175682482129</v>
      </c>
      <c r="BW32" s="39">
        <f t="shared" ref="BW32" si="217">+IF(BS30&lt;0,1-BW30/BS30,BW30/BS30-1)</f>
        <v>0.15635577668121203</v>
      </c>
      <c r="BX32" s="39">
        <f t="shared" ref="BX32" si="218">+IF(BT30&lt;0,1-BX30/BT30,BX30/BT30-1)</f>
        <v>8.2516598166298083E-2</v>
      </c>
      <c r="BY32" s="39">
        <f t="shared" ref="BY32" si="219">+IF(BU30&lt;0,1-BY30/BU30,BY30/BU30-1)</f>
        <v>2.9055500071336837E-2</v>
      </c>
      <c r="BZ32" s="39">
        <f t="shared" ref="BZ32" si="220">+IF(BV30&lt;0,1-BZ30/BV30,BZ30/BV30-1)</f>
        <v>6.8192726862047692E-2</v>
      </c>
      <c r="CA32" s="39">
        <f t="shared" ref="CA32" si="221">+IF(BW30&lt;0,1-CA30/BW30,CA30/BW30-1)</f>
        <v>0.11294657026979404</v>
      </c>
      <c r="CB32" s="39">
        <f t="shared" ref="CB32" si="222">+IF(BX30&lt;0,1-CB30/BX30,CB30/BX30-1)</f>
        <v>0.13037810576703901</v>
      </c>
      <c r="CC32" s="39">
        <f t="shared" ref="CC32" si="223">+IF(BY30&lt;0,1-CC30/BY30,CC30/BY30-1)</f>
        <v>0.15500544182789944</v>
      </c>
      <c r="CD32" s="39">
        <f t="shared" ref="CD32" si="224">+IF(BZ30&lt;0,1-CD30/BZ30,CD30/BZ30-1)</f>
        <v>0.19673831880686965</v>
      </c>
      <c r="CE32" s="39">
        <f t="shared" ref="CE32" si="225">+IF(CA30&lt;0,1-CE30/CA30,CE30/CA30-1)</f>
        <v>0.23877607929627076</v>
      </c>
      <c r="CF32" s="39">
        <f t="shared" ref="CF32" si="226">+IF(CB30&lt;0,1-CF30/CB30,CF30/CB30-1)</f>
        <v>0.15798395583759173</v>
      </c>
      <c r="CG32" s="39">
        <f t="shared" ref="CG32" si="227">+IF(CC30&lt;0,1-CG30/CC30,CG30/CC30-1)</f>
        <v>9.5424726762017409E-2</v>
      </c>
      <c r="CH32" s="39">
        <f t="shared" ref="CH32:CL32" si="228">+IF(CD30&lt;0,1-CH30/CD30,CH30/CD30-1)</f>
        <v>6.6607401190463156E-2</v>
      </c>
      <c r="CI32" s="39">
        <f t="shared" si="228"/>
        <v>-1.9660909425776585E-2</v>
      </c>
      <c r="CJ32" s="39">
        <f t="shared" si="228"/>
        <v>0.13713763285208169</v>
      </c>
      <c r="CK32" s="39">
        <f t="shared" si="228"/>
        <v>0.19815683352327484</v>
      </c>
      <c r="CL32" s="39">
        <f t="shared" si="228"/>
        <v>0.16076078459794241</v>
      </c>
      <c r="CM32" s="40">
        <f t="shared" ref="CM32" si="229">+CM30/CI30-1</f>
        <v>0.19256266079555928</v>
      </c>
      <c r="CN32" s="40">
        <f t="shared" ref="CN32" si="230">+CN30/CJ30-1</f>
        <v>0.16055980428125638</v>
      </c>
      <c r="CO32" s="40">
        <f t="shared" ref="CO32" si="231">+CO30/CK30-1</f>
        <v>0.13524365838157792</v>
      </c>
      <c r="CP32" s="40">
        <f t="shared" ref="CP32" si="232">+CP30/CL30-1</f>
        <v>0.17296120799649572</v>
      </c>
      <c r="CQ32" s="40">
        <f t="shared" ref="CQ32" si="233">+CQ30/CM30-1</f>
        <v>0.14659445680154359</v>
      </c>
      <c r="CR32" s="40">
        <f t="shared" ref="CR32" si="234">+CR30/CN30-1</f>
        <v>0.13721772338333671</v>
      </c>
      <c r="CS32" s="40">
        <f t="shared" ref="CS32" si="235">+CS30/CO30-1</f>
        <v>0.13034483674590147</v>
      </c>
      <c r="CT32" s="40">
        <f t="shared" ref="CT32" si="236">+CT30/CP30-1</f>
        <v>0.13295572632974295</v>
      </c>
      <c r="CU32" s="40">
        <f t="shared" ref="CU32" si="237">+CU30/CQ30-1</f>
        <v>0.1368263185860259</v>
      </c>
      <c r="CV32" s="40">
        <f t="shared" ref="CV32" si="238">+CV30/CR30-1</f>
        <v>0.13581645349901383</v>
      </c>
      <c r="CW32" s="40">
        <f t="shared" ref="CW32" si="239">+CW30/CS30-1</f>
        <v>0.13353181338487796</v>
      </c>
      <c r="CX32" s="40">
        <f t="shared" ref="CX32" si="240">+CX30/CT30-1</f>
        <v>0.13773018228394074</v>
      </c>
      <c r="CY32" s="40">
        <f t="shared" ref="CY32" si="241">+CY30/CU30-1</f>
        <v>0.13610268363879396</v>
      </c>
      <c r="CZ32" s="40">
        <f t="shared" ref="CZ32" si="242">+CZ30/CV30-1</f>
        <v>0.13738398134703544</v>
      </c>
      <c r="DA32" s="40">
        <f t="shared" ref="DA32" si="243">+DA30/CW30-1</f>
        <v>0.13567304151671689</v>
      </c>
      <c r="DB32" s="40">
        <f t="shared" ref="DB32" si="244">+DB30/CX30-1</f>
        <v>0.13989276219762026</v>
      </c>
      <c r="DE32" s="122"/>
      <c r="DF32" s="39">
        <v>0.19862808961341583</v>
      </c>
    </row>
    <row r="33" spans="1:110" s="39" customFormat="1" x14ac:dyDescent="0.2">
      <c r="A33" s="39" t="s">
        <v>448</v>
      </c>
      <c r="AB33" s="40"/>
      <c r="AC33" s="40"/>
      <c r="AD33" s="40"/>
      <c r="AE33" s="40"/>
      <c r="AJ33" s="39">
        <f>+IF(AI30&lt;0,1-AJ30/AI30,AJ30/AI30-1)</f>
        <v>8.0521838304607352E-2</v>
      </c>
      <c r="AK33" s="39">
        <f t="shared" ref="AK33" si="245">+IF(AJ30&lt;0,1-AK30/AJ30,AK30/AJ30-1)</f>
        <v>5.6954526850913956E-2</v>
      </c>
      <c r="AL33" s="39">
        <f t="shared" ref="AL33" si="246">+IF(AK30&lt;0,1-AL30/AK30,AL30/AK30-1)</f>
        <v>3.4218517537245141E-2</v>
      </c>
      <c r="AM33" s="39">
        <f t="shared" ref="AM33" si="247">+IF(AL30&lt;0,1-AM30/AL30,AM30/AL30-1)</f>
        <v>-8.7376344933590699E-2</v>
      </c>
      <c r="AN33" s="39">
        <f t="shared" ref="AN33" si="248">+IF(AM30&lt;0,1-AN30/AM30,AN30/AM30-1)</f>
        <v>6.8707894282259652E-2</v>
      </c>
      <c r="AO33" s="39">
        <f t="shared" ref="AO33" si="249">+IF(AN30&lt;0,1-AO30/AN30,AO30/AN30-1)</f>
        <v>0.12838929971309643</v>
      </c>
      <c r="AP33" s="39">
        <f t="shared" ref="AP33" si="250">+IF(AO30&lt;0,1-AP30/AO30,AP30/AO30-1)</f>
        <v>-8.0494552226111793E-2</v>
      </c>
      <c r="AQ33" s="39">
        <f t="shared" ref="AQ33" si="251">+IF(AP30&lt;0,1-AQ30/AP30,AQ30/AP30-1)</f>
        <v>-4.9860767627986746E-2</v>
      </c>
      <c r="AR33" s="39">
        <f t="shared" ref="AR33" si="252">+IF(AQ30&lt;0,1-AR30/AQ30,AR30/AQ30-1)</f>
        <v>6.4292667930522462E-2</v>
      </c>
      <c r="AS33" s="39">
        <f t="shared" ref="AS33" si="253">+IF(AR30&lt;0,1-AS30/AR30,AS30/AR30-1)</f>
        <v>6.5858519723856368E-2</v>
      </c>
      <c r="AT33" s="39">
        <f t="shared" ref="AT33" si="254">+IF(AS30&lt;0,1-AT30/AS30,AT30/AS30-1)</f>
        <v>-6.5375477646591462E-2</v>
      </c>
      <c r="AU33" s="39">
        <f t="shared" ref="AU33" si="255">+IF(AT30&lt;0,1-AU30/AT30,AU30/AT30-1)</f>
        <v>-0.28441360112891712</v>
      </c>
      <c r="AV33" s="39">
        <f t="shared" ref="AV33" si="256">+IF(AU30&lt;0,1-AV30/AU30,AV30/AU30-1)</f>
        <v>-3.56583283807832E-3</v>
      </c>
      <c r="AW33" s="39">
        <f t="shared" ref="AW33" si="257">+IF(AV30&lt;0,1-AW30/AV30,AW30/AV30-1)</f>
        <v>6.4184243344358016E-2</v>
      </c>
      <c r="AX33" s="39">
        <f t="shared" ref="AX33" si="258">+IF(AW30&lt;0,1-AX30/AW30,AX30/AW30-1)</f>
        <v>-4.0939024545581959E-2</v>
      </c>
      <c r="AY33" s="39">
        <f t="shared" ref="AY33" si="259">+IF(AX30&lt;0,1-AY30/AX30,AY30/AX30-1)</f>
        <v>4.0787324186843499E-2</v>
      </c>
      <c r="AZ33" s="39">
        <f t="shared" ref="AZ33" si="260">+IF(AY30&lt;0,1-AZ30/AY30,AZ30/AY30-1)</f>
        <v>-7.5927721913122692E-3</v>
      </c>
      <c r="BA33" s="39">
        <f t="shared" ref="BA33" si="261">+IF(AZ30&lt;0,1-BA30/AZ30,BA30/AZ30-1)</f>
        <v>3.6749861770113856E-2</v>
      </c>
      <c r="BB33" s="39">
        <f t="shared" ref="BB33" si="262">+IF(BA30&lt;0,1-BB30/BA30,BB30/BA30-1)</f>
        <v>5.513041536954133E-2</v>
      </c>
      <c r="BC33" s="39">
        <f t="shared" ref="BC33" si="263">+IF(BB30&lt;0,1-BC30/BB30,BC30/BB30-1)</f>
        <v>-6.5603253714500487E-2</v>
      </c>
      <c r="BD33" s="39">
        <f t="shared" ref="BD33" si="264">+IF(BC30&lt;0,1-BD30/BC30,BD30/BC30-1)</f>
        <v>-3.1802342403542627E-2</v>
      </c>
      <c r="BE33" s="39">
        <f t="shared" ref="BE33" si="265">+IF(BD30&lt;0,1-BE30/BD30,BE30/BD30-1)</f>
        <v>4.3202577862089475E-2</v>
      </c>
      <c r="BF33" s="39">
        <f t="shared" ref="BF33" si="266">+IF(BE30&lt;0,1-BF30/BE30,BF30/BE30-1)</f>
        <v>-6.758170585890777E-2</v>
      </c>
      <c r="BG33" s="39">
        <f t="shared" ref="BG33" si="267">+IF(BF30&lt;0,1-BG30/BF30,BG30/BF30-1)</f>
        <v>9.8327589431219886E-2</v>
      </c>
      <c r="BH33" s="39">
        <f t="shared" ref="BH33" si="268">+IF(BG30&lt;0,1-BH30/BG30,BH30/BG30-1)</f>
        <v>-7.2206073726329922E-2</v>
      </c>
      <c r="BI33" s="39">
        <f t="shared" ref="BI33" si="269">+IF(BH30&lt;0,1-BI30/BH30,BI30/BH30-1)</f>
        <v>0.12163437590121395</v>
      </c>
      <c r="BJ33" s="39">
        <f t="shared" ref="BJ33" si="270">+IF(BI30&lt;0,1-BJ30/BI30,BJ30/BI30-1)</f>
        <v>-6.139192426810014E-2</v>
      </c>
      <c r="BK33" s="39">
        <f t="shared" ref="BK33" si="271">+IF(BJ30&lt;0,1-BK30/BJ30,BK30/BJ30-1)</f>
        <v>0.27932313975495582</v>
      </c>
      <c r="BL33" s="39">
        <f t="shared" ref="BL33" si="272">+IF(BK30&lt;0,1-BL30/BK30,BL30/BK30-1)</f>
        <v>-6.2095479098738249E-3</v>
      </c>
      <c r="BM33" s="39">
        <f t="shared" ref="BM33" si="273">+IF(BL30&lt;0,1-BM30/BL30,BM30/BL30-1)</f>
        <v>6.2738108063110198E-2</v>
      </c>
      <c r="BN33" s="39">
        <f t="shared" ref="BN33" si="274">+IF(BM30&lt;0,1-BN30/BM30,BN30/BM30-1)</f>
        <v>7.3355266189305546E-3</v>
      </c>
      <c r="BO33" s="39">
        <f t="shared" ref="BO33" si="275">+IF(BN30&lt;0,1-BO30/BN30,BO30/BN30-1)</f>
        <v>0.10996349797363414</v>
      </c>
      <c r="BP33" s="39">
        <f t="shared" ref="BP33" si="276">+IF(BO30&lt;0,1-BP30/BO30,BP30/BO30-1)</f>
        <v>-6.4370430812089152E-2</v>
      </c>
      <c r="BQ33" s="39">
        <f t="shared" ref="BQ33" si="277">+IF(BP30&lt;0,1-BQ30/BP30,BQ30/BP30-1)</f>
        <v>2.1855372228437364E-2</v>
      </c>
      <c r="BR33" s="39">
        <f t="shared" ref="BR33" si="278">+IF(BQ30&lt;0,1-BR30/BQ30,BR30/BQ30-1)</f>
        <v>2.6931034482758465E-2</v>
      </c>
      <c r="BS33" s="39">
        <f t="shared" ref="BS33" si="279">+IF(BR30&lt;0,1-BS30/BR30,BS30/BR30-1)</f>
        <v>2.9221651388469105E-2</v>
      </c>
      <c r="BT33" s="39">
        <f t="shared" ref="BT33" si="280">+IF(BS30&lt;0,1-BT30/BS30,BT30/BS30-1)</f>
        <v>5.7730108886260956E-2</v>
      </c>
      <c r="BU33" s="39">
        <f t="shared" ref="BU33" si="281">+IF(BT30&lt;0,1-BU30/BT30,BU30/BT30-1)</f>
        <v>8.0943531534588331E-2</v>
      </c>
      <c r="BV33" s="39">
        <f t="shared" ref="BV33" si="282">+IF(BU30&lt;0,1-BV30/BU30,BV30/BU30-1)</f>
        <v>1.0643458410614759E-2</v>
      </c>
      <c r="BW33" s="39">
        <f t="shared" ref="BW33" si="283">+IF(BV30&lt;0,1-BW30/BV30,BW30/BV30-1)</f>
        <v>7.2703145293351312E-4</v>
      </c>
      <c r="BX33" s="39">
        <f t="shared" ref="BX33" si="284">+IF(BW30&lt;0,1-BX30/BW30,BX30/BW30-1)</f>
        <v>-9.8113207547165793E-3</v>
      </c>
      <c r="BY33" s="39">
        <f t="shared" ref="BY33" si="285">+IF(BX30&lt;0,1-BY30/BX30,BY30/BX30-1)</f>
        <v>2.7560120811488398E-2</v>
      </c>
      <c r="BZ33" s="39">
        <f t="shared" ref="BZ33" si="286">+IF(BY30&lt;0,1-BZ30/BY30,BZ30/BY30-1)</f>
        <v>4.9080435068941108E-2</v>
      </c>
      <c r="CA33" s="39">
        <f t="shared" ref="CA33" si="287">+IF(BZ30&lt;0,1-CA30/BZ30,CA30/BZ30-1)</f>
        <v>4.2654278974182835E-2</v>
      </c>
      <c r="CB33" s="39">
        <f t="shared" ref="CB33" si="288">+IF(CA30&lt;0,1-CB30/CA30,CB30/CA30-1)</f>
        <v>5.6975181889624693E-3</v>
      </c>
      <c r="CC33" s="39">
        <f t="shared" ref="CC33" si="289">+IF(CB30&lt;0,1-CC30/CB30,CC30/CB30-1)</f>
        <v>4.9947380692810128E-2</v>
      </c>
      <c r="CD33" s="39">
        <f t="shared" ref="CD33" si="290">+IF(CC30&lt;0,1-CD30/CC30,CD30/CC30-1)</f>
        <v>8.6986009495057415E-2</v>
      </c>
      <c r="CE33" s="39">
        <f t="shared" ref="CE33" si="291">+IF(CD30&lt;0,1-CE30/CD30,CE30/CD30-1)</f>
        <v>7.9279537950150747E-2</v>
      </c>
      <c r="CF33" s="39">
        <f t="shared" ref="CF33" si="292">+IF(CE30&lt;0,1-CF30/CE30,CF30/CE30-1)</f>
        <v>-5.989338190152671E-2</v>
      </c>
      <c r="CG33" s="39">
        <f t="shared" ref="CG33" si="293">+IF(CF30&lt;0,1-CG30/CF30,CG30/CF30-1)</f>
        <v>-6.7752520992394594E-3</v>
      </c>
      <c r="CH33" s="39">
        <f t="shared" ref="CH33:CL33" si="294">+IF(CG30&lt;0,1-CH30/CG30,CH30/CG30-1)</f>
        <v>5.8390681160690683E-2</v>
      </c>
      <c r="CI33" s="39">
        <f t="shared" si="294"/>
        <v>-8.0137082036974006E-3</v>
      </c>
      <c r="CJ33" s="39">
        <f t="shared" si="294"/>
        <v>9.047025117288765E-2</v>
      </c>
      <c r="CK33" s="39">
        <f t="shared" si="294"/>
        <v>4.6521533138397242E-2</v>
      </c>
      <c r="CL33" s="39">
        <f t="shared" si="294"/>
        <v>2.5356917476837992E-2</v>
      </c>
      <c r="CM33" s="40">
        <f t="shared" ref="CM33" si="295">+CM30/CL30-1</f>
        <v>1.9164178627107509E-2</v>
      </c>
      <c r="CN33" s="40">
        <f t="shared" ref="CN33" si="296">+CN30/CM30-1</f>
        <v>6.1207081925142681E-2</v>
      </c>
      <c r="CO33" s="40">
        <f t="shared" ref="CO33" si="297">+CO30/CN30-1</f>
        <v>2.3692988049766495E-2</v>
      </c>
      <c r="CP33" s="40">
        <f t="shared" ref="CP33" si="298">+CP30/CO30-1</f>
        <v>5.9423569267754939E-2</v>
      </c>
      <c r="CQ33" s="40">
        <f t="shared" ref="CQ33" si="299">+CQ30/CP30-1</f>
        <v>-3.7454011113120522E-3</v>
      </c>
      <c r="CR33" s="40">
        <f t="shared" ref="CR33" si="300">+CR30/CQ30-1</f>
        <v>5.2528637816418255E-2</v>
      </c>
      <c r="CS33" s="40">
        <f t="shared" ref="CS33" si="301">+CS30/CR30-1</f>
        <v>1.7506199263647826E-2</v>
      </c>
      <c r="CT33" s="40">
        <f t="shared" ref="CT33" si="302">+CT30/CS30-1</f>
        <v>6.1870643710842943E-2</v>
      </c>
      <c r="CU33" s="40">
        <f t="shared" ref="CU33" si="303">+CU30/CT30-1</f>
        <v>-3.418300395309215E-4</v>
      </c>
      <c r="CV33" s="40">
        <f t="shared" ref="CV33" si="304">+CV30/CU30-1</f>
        <v>5.1593656010461286E-2</v>
      </c>
      <c r="CW33" s="40">
        <f t="shared" ref="CW33" si="305">+CW30/CV30-1</f>
        <v>1.5459534530047225E-2</v>
      </c>
      <c r="CX33" s="40">
        <f t="shared" ref="CX33" si="306">+CX30/CW30-1</f>
        <v>6.5803594363609275E-2</v>
      </c>
      <c r="CY33" s="40">
        <f t="shared" ref="CY33" si="307">+CY30/CX30-1</f>
        <v>-1.7718196298172062E-3</v>
      </c>
      <c r="CZ33" s="40">
        <f t="shared" ref="CZ33" si="308">+CZ30/CY30-1</f>
        <v>5.2779644355398503E-2</v>
      </c>
      <c r="DA33" s="40">
        <f t="shared" ref="DA33" si="309">+DA30/CZ30-1</f>
        <v>1.3932002762238715E-2</v>
      </c>
      <c r="DB33" s="40">
        <f t="shared" ref="DB33" si="310">+DB30/DA30-1</f>
        <v>6.9763707269794528E-2</v>
      </c>
      <c r="DE33" s="122"/>
      <c r="DF33" s="39">
        <v>5.8806964772560422E-2</v>
      </c>
    </row>
    <row r="34" spans="1:110" s="23" customFormat="1" outlineLevel="1" x14ac:dyDescent="0.2">
      <c r="A34" s="23" t="s">
        <v>8</v>
      </c>
      <c r="B34" s="23">
        <f>'Annual Raw'!C14</f>
        <v>160.4127</v>
      </c>
      <c r="C34" s="23">
        <f>'Annual Raw'!D14</f>
        <v>427.52670000000001</v>
      </c>
      <c r="D34" s="23">
        <f>'Annual Raw'!E14</f>
        <v>422.24950000000001</v>
      </c>
      <c r="E34" s="23">
        <f>'Annual Raw'!F14</f>
        <v>456.36200000000002</v>
      </c>
      <c r="F34" s="23">
        <f>'Annual Raw'!G14</f>
        <v>406.57729999999998</v>
      </c>
      <c r="G34" s="23">
        <f>'Annual Raw'!H14</f>
        <v>371.14589999999998</v>
      </c>
      <c r="H34" s="23">
        <f>'Annual Raw'!I14</f>
        <v>463.024</v>
      </c>
      <c r="I34" s="23">
        <f>'Annual Raw'!J14</f>
        <v>479.87110000000001</v>
      </c>
      <c r="J34" s="23">
        <f>'Annual Raw'!K14</f>
        <v>545.55110000000002</v>
      </c>
      <c r="K34" s="23">
        <f>'Annual Raw'!L14</f>
        <v>608.52539999999999</v>
      </c>
      <c r="L34" s="23">
        <f>'Annual Raw'!M14</f>
        <v>614.56939999999997</v>
      </c>
      <c r="M34" s="23">
        <f>'Annual Raw'!N14</f>
        <v>681.3338</v>
      </c>
      <c r="N34" s="23">
        <f>'Annual Raw'!O14</f>
        <v>740.10630000000003</v>
      </c>
      <c r="O34" s="23">
        <f>'Annual Raw'!P14</f>
        <v>792.5308</v>
      </c>
      <c r="P34" s="23">
        <f>'Annual Raw'!Q14</f>
        <v>857.67</v>
      </c>
      <c r="Q34" s="23">
        <f>'Annual Raw'!R14</f>
        <v>805.06</v>
      </c>
      <c r="R34" s="23">
        <f>'Annual Raw'!S14</f>
        <v>834.95</v>
      </c>
      <c r="S34" s="23">
        <f>'Annual Raw'!T14</f>
        <v>821.37</v>
      </c>
      <c r="T34" s="23">
        <f>'Annual Raw'!U14</f>
        <v>806.3</v>
      </c>
      <c r="U34" s="23">
        <f>'Annual Raw'!V14</f>
        <v>884.8</v>
      </c>
      <c r="V34" s="23">
        <f>'Annual Raw'!W14</f>
        <v>970.23</v>
      </c>
      <c r="W34" s="23">
        <f>'Annual Raw'!X14</f>
        <v>1048</v>
      </c>
      <c r="X34" s="23">
        <f>'Annual Raw'!Y14</f>
        <v>1120.3599999999999</v>
      </c>
      <c r="Y34" s="23">
        <f>'Annual Raw'!Z14</f>
        <v>1258.5899999999999</v>
      </c>
      <c r="Z34" s="23">
        <f>'Annual Raw'!AA14</f>
        <v>1430.1</v>
      </c>
      <c r="AA34" s="23">
        <f>'Annual Raw'!AB14</f>
        <v>1661</v>
      </c>
      <c r="AB34" s="76">
        <f t="shared" ref="AB34:AB39" si="311">+SUM(CM34:CP34)</f>
        <v>1777.27</v>
      </c>
      <c r="AC34" s="76">
        <f t="shared" ref="AC34:AC39" si="312">+SUM(CQ34:CT34)</f>
        <v>1901.6789000000003</v>
      </c>
      <c r="AD34" s="76">
        <f t="shared" ref="AD34:AD39" si="313">+SUM(CU34:CX34)</f>
        <v>2034.7964230000002</v>
      </c>
      <c r="AE34" s="76">
        <f t="shared" ref="AE34:AE39" si="314">+SUM(CY34:DB34)</f>
        <v>2177.2321726100008</v>
      </c>
      <c r="AI34" s="23">
        <f>'QTR Raw'!C16</f>
        <v>174.73</v>
      </c>
      <c r="AJ34" s="23">
        <f>'QTR Raw'!D16</f>
        <v>178.03</v>
      </c>
      <c r="AK34" s="23">
        <f>'QTR Raw'!E16</f>
        <v>185.06</v>
      </c>
      <c r="AL34" s="23">
        <f>'QTR Raw'!F16</f>
        <v>202.29</v>
      </c>
      <c r="AM34" s="23">
        <f>'QTR Raw'!G16</f>
        <v>186.68</v>
      </c>
      <c r="AN34" s="23">
        <f>'QTR Raw'!H16</f>
        <v>200.72</v>
      </c>
      <c r="AO34" s="23">
        <f>'QTR Raw'!I16</f>
        <v>205.39</v>
      </c>
      <c r="AP34" s="23">
        <f>'QTR Raw'!J16</f>
        <v>196.07</v>
      </c>
      <c r="AQ34" s="23">
        <f>'QTR Raw'!K16</f>
        <v>209.02</v>
      </c>
      <c r="AR34" s="23">
        <f>'QTR Raw'!L16</f>
        <v>214.49</v>
      </c>
      <c r="AS34" s="23">
        <f>'QTR Raw'!M16</f>
        <v>212.89</v>
      </c>
      <c r="AT34" s="23">
        <f>'QTR Raw'!N16</f>
        <v>221.27</v>
      </c>
      <c r="AU34" s="23">
        <f>'QTR Raw'!O16</f>
        <v>191.87</v>
      </c>
      <c r="AV34" s="23">
        <f>'QTR Raw'!P16</f>
        <v>198.65</v>
      </c>
      <c r="AW34" s="23">
        <f>'QTR Raw'!Q16</f>
        <v>215.55</v>
      </c>
      <c r="AX34" s="23">
        <f>'QTR Raw'!R16</f>
        <v>198.99</v>
      </c>
      <c r="AY34" s="23">
        <f>'QTR Raw'!S16</f>
        <v>208.7</v>
      </c>
      <c r="AZ34" s="23">
        <f>'QTR Raw'!T16</f>
        <v>208.71</v>
      </c>
      <c r="BA34" s="23">
        <f>'QTR Raw'!U16</f>
        <v>204.33</v>
      </c>
      <c r="BB34" s="23">
        <f>'QTR Raw'!V16</f>
        <v>213.21</v>
      </c>
      <c r="BC34" s="23">
        <f>'QTR Raw'!W16</f>
        <v>203.22</v>
      </c>
      <c r="BD34" s="23">
        <f>'QTR Raw'!X16</f>
        <v>200.74</v>
      </c>
      <c r="BE34" s="23">
        <f>'QTR Raw'!Y16</f>
        <v>206.71</v>
      </c>
      <c r="BF34" s="23">
        <f>'QTR Raw'!Z16</f>
        <v>210.7</v>
      </c>
      <c r="BG34" s="23">
        <f>'QTR Raw'!AA16</f>
        <v>203.2</v>
      </c>
      <c r="BH34" s="23">
        <f>'QTR Raw'!AB16</f>
        <v>194.95</v>
      </c>
      <c r="BI34" s="23">
        <f>'QTR Raw'!AC16</f>
        <v>205.14</v>
      </c>
      <c r="BJ34" s="23">
        <f>'QTR Raw'!AD16</f>
        <v>203.01</v>
      </c>
      <c r="BK34" s="23">
        <f>'QTR Raw'!AE16</f>
        <v>213.76</v>
      </c>
      <c r="BL34" s="23">
        <f>'QTR Raw'!AF16</f>
        <v>220.05</v>
      </c>
      <c r="BM34" s="23">
        <f>'QTR Raw'!AG16</f>
        <v>219.42</v>
      </c>
      <c r="BN34" s="23">
        <f>'QTR Raw'!AH16</f>
        <v>231.57</v>
      </c>
      <c r="BO34" s="23">
        <f>'QTR Raw'!AI16</f>
        <v>229.05</v>
      </c>
      <c r="BP34" s="23">
        <f>'QTR Raw'!AJ16</f>
        <v>229.73</v>
      </c>
      <c r="BQ34" s="23">
        <f>'QTR Raw'!AK16</f>
        <v>241.23</v>
      </c>
      <c r="BR34" s="23">
        <f>'QTR Raw'!AL16</f>
        <v>270.22000000000003</v>
      </c>
      <c r="BS34" s="23">
        <f>'QTR Raw'!AM16</f>
        <v>265.41000000000003</v>
      </c>
      <c r="BT34" s="23">
        <f>'QTR Raw'!AN16</f>
        <v>255.64</v>
      </c>
      <c r="BU34" s="23">
        <f>'QTR Raw'!AO16</f>
        <v>258.91000000000003</v>
      </c>
      <c r="BV34" s="23">
        <f>'QTR Raw'!AP16</f>
        <v>268.04000000000002</v>
      </c>
      <c r="BW34" s="23">
        <f>'QTR Raw'!AQ16</f>
        <v>277.44</v>
      </c>
      <c r="BX34" s="23">
        <f>'QTR Raw'!AR16</f>
        <v>273.83</v>
      </c>
      <c r="BY34" s="23">
        <f>'QTR Raw'!AS16</f>
        <v>283.02</v>
      </c>
      <c r="BZ34" s="23">
        <f>'QTR Raw'!AT16</f>
        <v>286.07</v>
      </c>
      <c r="CA34" s="23">
        <f>'QTR Raw'!AU16</f>
        <v>295.75</v>
      </c>
      <c r="CB34" s="23">
        <f>'QTR Raw'!AV16</f>
        <v>304.14999999999998</v>
      </c>
      <c r="CC34" s="23">
        <f>'QTR Raw'!AW16</f>
        <v>317.43</v>
      </c>
      <c r="CD34" s="23">
        <f>'QTR Raw'!AX16</f>
        <v>341.26</v>
      </c>
      <c r="CE34" s="23">
        <f>'QTR Raw'!AY16</f>
        <v>344.99</v>
      </c>
      <c r="CF34" s="23">
        <f>'QTR Raw'!AZ16</f>
        <v>363.54</v>
      </c>
      <c r="CG34" s="23">
        <f>'QTR Raw'!BA16</f>
        <v>377.95</v>
      </c>
      <c r="CH34" s="23">
        <f>'QTR Raw'!BB16</f>
        <v>343.62</v>
      </c>
      <c r="CI34" s="23">
        <f>'QTR Raw'!BC16</f>
        <v>385.64</v>
      </c>
      <c r="CJ34" s="23">
        <f>'QTR Raw'!BD16</f>
        <v>406.7</v>
      </c>
      <c r="CK34" s="23">
        <f>'QTR Raw'!BE16</f>
        <v>434.49</v>
      </c>
      <c r="CL34" s="23">
        <f>'QTR Raw'!BF16</f>
        <v>434.17</v>
      </c>
      <c r="CM34" s="24">
        <f t="shared" ref="CM34:DB34" si="315">CI34*107%</f>
        <v>412.63479999999998</v>
      </c>
      <c r="CN34" s="24">
        <f t="shared" si="315"/>
        <v>435.16900000000004</v>
      </c>
      <c r="CO34" s="24">
        <f t="shared" si="315"/>
        <v>464.90430000000003</v>
      </c>
      <c r="CP34" s="24">
        <f t="shared" si="315"/>
        <v>464.56190000000004</v>
      </c>
      <c r="CQ34" s="24">
        <f t="shared" si="315"/>
        <v>441.51923600000003</v>
      </c>
      <c r="CR34" s="24">
        <f t="shared" si="315"/>
        <v>465.63083000000006</v>
      </c>
      <c r="CS34" s="24">
        <f t="shared" si="315"/>
        <v>497.44760100000008</v>
      </c>
      <c r="CT34" s="24">
        <f t="shared" si="315"/>
        <v>497.08123300000005</v>
      </c>
      <c r="CU34" s="24">
        <f t="shared" si="315"/>
        <v>472.42558252000009</v>
      </c>
      <c r="CV34" s="24">
        <f t="shared" si="315"/>
        <v>498.22498810000008</v>
      </c>
      <c r="CW34" s="24">
        <f t="shared" si="315"/>
        <v>532.26893307000012</v>
      </c>
      <c r="CX34" s="24">
        <f t="shared" si="315"/>
        <v>531.87691931000006</v>
      </c>
      <c r="CY34" s="24">
        <f t="shared" si="315"/>
        <v>505.49537329640015</v>
      </c>
      <c r="CZ34" s="24">
        <f t="shared" si="315"/>
        <v>533.10073726700011</v>
      </c>
      <c r="DA34" s="24">
        <f t="shared" si="315"/>
        <v>569.52775838490015</v>
      </c>
      <c r="DB34" s="24">
        <f t="shared" si="315"/>
        <v>569.10830366170012</v>
      </c>
      <c r="DE34" s="123"/>
      <c r="DF34" s="23">
        <v>367.67340000000002</v>
      </c>
    </row>
    <row r="35" spans="1:110" s="23" customFormat="1" outlineLevel="1" x14ac:dyDescent="0.2">
      <c r="A35" s="23" t="s">
        <v>10</v>
      </c>
      <c r="B35" s="23">
        <f>'Annual Raw'!C17</f>
        <v>19.936199999999999</v>
      </c>
      <c r="C35" s="23">
        <f>'Annual Raw'!D17</f>
        <v>68.129599999999996</v>
      </c>
      <c r="D35" s="23">
        <f>'Annual Raw'!E17</f>
        <v>70.09</v>
      </c>
      <c r="E35" s="23">
        <f>'Annual Raw'!F17</f>
        <v>75.336399999999998</v>
      </c>
      <c r="F35" s="23">
        <f>'Annual Raw'!G17</f>
        <v>75.881500000000003</v>
      </c>
      <c r="G35" s="23">
        <f>'Annual Raw'!H17</f>
        <v>66.560599999999994</v>
      </c>
      <c r="H35" s="23">
        <f>'Annual Raw'!I17</f>
        <v>82.153300000000002</v>
      </c>
      <c r="I35" s="23">
        <f>'Annual Raw'!J17</f>
        <v>80.287999999999997</v>
      </c>
      <c r="J35" s="23">
        <f>'Annual Raw'!K17</f>
        <v>87.974299999999999</v>
      </c>
      <c r="K35" s="23">
        <f>'Annual Raw'!L17</f>
        <v>88.276399999999995</v>
      </c>
      <c r="L35" s="23">
        <f>'Annual Raw'!M17</f>
        <v>94.374600000000001</v>
      </c>
      <c r="M35" s="23">
        <f>'Annual Raw'!N17</f>
        <v>95.965199999999996</v>
      </c>
      <c r="N35" s="23">
        <f>'Annual Raw'!O17</f>
        <v>197.30510000000001</v>
      </c>
      <c r="O35" s="23">
        <f>'Annual Raw'!P17</f>
        <v>247.7611</v>
      </c>
      <c r="P35" s="23">
        <f>'Annual Raw'!Q17</f>
        <v>279.06</v>
      </c>
      <c r="Q35" s="23">
        <f>'Annual Raw'!R17</f>
        <v>263.79000000000002</v>
      </c>
      <c r="R35" s="23">
        <f>'Annual Raw'!S17</f>
        <v>261.04000000000002</v>
      </c>
      <c r="S35" s="23">
        <f>'Annual Raw'!T17</f>
        <v>245.8</v>
      </c>
      <c r="T35" s="23">
        <f>'Annual Raw'!U17</f>
        <v>292.04000000000002</v>
      </c>
      <c r="U35" s="23">
        <f>'Annual Raw'!V17</f>
        <v>276.44</v>
      </c>
      <c r="V35" s="23">
        <f>'Annual Raw'!W17</f>
        <v>323.64999999999998</v>
      </c>
      <c r="W35" s="23">
        <f>'Annual Raw'!X17</f>
        <v>349.65</v>
      </c>
      <c r="X35" s="23">
        <f>'Annual Raw'!Y17</f>
        <v>405.63</v>
      </c>
      <c r="Y35" s="23">
        <f>'Annual Raw'!Z17</f>
        <v>401.42</v>
      </c>
      <c r="Z35" s="23">
        <f>'Annual Raw'!AA17</f>
        <v>516.79</v>
      </c>
      <c r="AA35" s="23">
        <f>'Annual Raw'!AB17</f>
        <v>568.58000000000004</v>
      </c>
      <c r="AB35" s="76">
        <f t="shared" si="311"/>
        <v>0</v>
      </c>
      <c r="AC35" s="76">
        <f t="shared" si="312"/>
        <v>0</v>
      </c>
      <c r="AD35" s="76">
        <f t="shared" si="313"/>
        <v>0</v>
      </c>
      <c r="AE35" s="76">
        <f t="shared" si="314"/>
        <v>0</v>
      </c>
      <c r="AI35" s="23">
        <f>'QTR Raw'!C17</f>
        <v>0</v>
      </c>
      <c r="AJ35" s="23">
        <f>'QTR Raw'!D17</f>
        <v>0</v>
      </c>
      <c r="AK35" s="23">
        <f>'QTR Raw'!E17</f>
        <v>0</v>
      </c>
      <c r="AL35" s="23">
        <f>'QTR Raw'!F17</f>
        <v>0</v>
      </c>
      <c r="AM35" s="23">
        <f>'QTR Raw'!G17</f>
        <v>0</v>
      </c>
      <c r="AN35" s="23">
        <f>'QTR Raw'!H17</f>
        <v>0</v>
      </c>
      <c r="AO35" s="23">
        <f>'QTR Raw'!I17</f>
        <v>0</v>
      </c>
      <c r="AP35" s="23">
        <f>'QTR Raw'!J17</f>
        <v>0</v>
      </c>
      <c r="AQ35" s="23">
        <f>'QTR Raw'!K17</f>
        <v>0</v>
      </c>
      <c r="AR35" s="23">
        <f>'QTR Raw'!L17</f>
        <v>0</v>
      </c>
      <c r="AS35" s="23">
        <f>'QTR Raw'!M17</f>
        <v>0</v>
      </c>
      <c r="AT35" s="23">
        <f>'QTR Raw'!N17</f>
        <v>0</v>
      </c>
      <c r="AU35" s="23">
        <f>'QTR Raw'!O17</f>
        <v>0</v>
      </c>
      <c r="AV35" s="23">
        <f>'QTR Raw'!P17</f>
        <v>0</v>
      </c>
      <c r="AW35" s="23">
        <f>'QTR Raw'!Q17</f>
        <v>0</v>
      </c>
      <c r="AX35" s="23">
        <f>'QTR Raw'!R17</f>
        <v>0</v>
      </c>
      <c r="AY35" s="23">
        <f>'QTR Raw'!S17</f>
        <v>0</v>
      </c>
      <c r="AZ35" s="23">
        <f>'QTR Raw'!T17</f>
        <v>0</v>
      </c>
      <c r="BA35" s="23">
        <f>'QTR Raw'!U17</f>
        <v>0</v>
      </c>
      <c r="BB35" s="23">
        <f>'QTR Raw'!V17</f>
        <v>0</v>
      </c>
      <c r="BC35" s="23">
        <f>'QTR Raw'!W17</f>
        <v>0</v>
      </c>
      <c r="BD35" s="23">
        <f>'QTR Raw'!X17</f>
        <v>0</v>
      </c>
      <c r="BE35" s="23">
        <f>'QTR Raw'!Y17</f>
        <v>0</v>
      </c>
      <c r="BF35" s="23">
        <f>'QTR Raw'!Z17</f>
        <v>0</v>
      </c>
      <c r="BG35" s="23">
        <f>'QTR Raw'!AA17</f>
        <v>0</v>
      </c>
      <c r="BH35" s="23">
        <f>'QTR Raw'!AB17</f>
        <v>0</v>
      </c>
      <c r="BI35" s="23">
        <f>'QTR Raw'!AC17</f>
        <v>0</v>
      </c>
      <c r="BJ35" s="23">
        <f>'QTR Raw'!AD17</f>
        <v>0</v>
      </c>
      <c r="BK35" s="23">
        <f>'QTR Raw'!AE17</f>
        <v>0</v>
      </c>
      <c r="BL35" s="23">
        <f>'QTR Raw'!AF17</f>
        <v>0</v>
      </c>
      <c r="BM35" s="23">
        <f>'QTR Raw'!AG17</f>
        <v>0</v>
      </c>
      <c r="BN35" s="23">
        <f>'QTR Raw'!AH17</f>
        <v>0</v>
      </c>
      <c r="BO35" s="23">
        <f>'QTR Raw'!AI17</f>
        <v>0</v>
      </c>
      <c r="BP35" s="23">
        <f>'QTR Raw'!AJ17</f>
        <v>0</v>
      </c>
      <c r="BQ35" s="23">
        <f>'QTR Raw'!AK17</f>
        <v>0</v>
      </c>
      <c r="BR35" s="23">
        <f>'QTR Raw'!AL17</f>
        <v>0</v>
      </c>
      <c r="BS35" s="23">
        <f>'QTR Raw'!AM17</f>
        <v>0</v>
      </c>
      <c r="BT35" s="23">
        <f>'QTR Raw'!AN17</f>
        <v>0</v>
      </c>
      <c r="BU35" s="23">
        <f>'QTR Raw'!AO17</f>
        <v>0</v>
      </c>
      <c r="BV35" s="23">
        <f>'QTR Raw'!AP17</f>
        <v>0</v>
      </c>
      <c r="BW35" s="23">
        <f>'QTR Raw'!AQ17</f>
        <v>0</v>
      </c>
      <c r="BX35" s="23">
        <f>'QTR Raw'!AR17</f>
        <v>0</v>
      </c>
      <c r="BY35" s="23">
        <f>'QTR Raw'!AS17</f>
        <v>0</v>
      </c>
      <c r="BZ35" s="23">
        <f>'QTR Raw'!AT17</f>
        <v>0</v>
      </c>
      <c r="CA35" s="23">
        <f>'QTR Raw'!AU17</f>
        <v>0</v>
      </c>
      <c r="CB35" s="23">
        <f>'QTR Raw'!AV17</f>
        <v>0</v>
      </c>
      <c r="CC35" s="23">
        <f>'QTR Raw'!AW17</f>
        <v>0</v>
      </c>
      <c r="CD35" s="23">
        <f>'QTR Raw'!AX17</f>
        <v>0</v>
      </c>
      <c r="CE35" s="23">
        <f>'QTR Raw'!AY17</f>
        <v>0</v>
      </c>
      <c r="CF35" s="23">
        <f>'QTR Raw'!AZ17</f>
        <v>0</v>
      </c>
      <c r="CG35" s="23">
        <f>'QTR Raw'!BA17</f>
        <v>0</v>
      </c>
      <c r="CH35" s="23">
        <f>'QTR Raw'!BB17</f>
        <v>0</v>
      </c>
      <c r="CI35" s="23">
        <f>'QTR Raw'!BC17</f>
        <v>0</v>
      </c>
      <c r="CJ35" s="23">
        <f>'QTR Raw'!BD17</f>
        <v>0</v>
      </c>
      <c r="CK35" s="23">
        <f>'QTR Raw'!BE17</f>
        <v>0</v>
      </c>
      <c r="CL35" s="23">
        <f>'QTR Raw'!BF17</f>
        <v>0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0</v>
      </c>
    </row>
    <row r="36" spans="1:110" s="23" customFormat="1" outlineLevel="1" x14ac:dyDescent="0.2">
      <c r="A36" s="23" t="s">
        <v>12</v>
      </c>
      <c r="B36" s="23">
        <f>'Annual Raw'!C19-'Annual Raw'!C20</f>
        <v>39.4253</v>
      </c>
      <c r="C36" s="23">
        <f>'Annual Raw'!D19-'Annual Raw'!D20</f>
        <v>93.954700000000003</v>
      </c>
      <c r="D36" s="23">
        <f>'Annual Raw'!E19-'Annual Raw'!E20</f>
        <v>177.8177</v>
      </c>
      <c r="E36" s="23">
        <f>'Annual Raw'!F19-'Annual Raw'!F20</f>
        <v>91.039100000000005</v>
      </c>
      <c r="F36" s="23">
        <f>'Annual Raw'!G19-'Annual Raw'!G20</f>
        <v>106.99760000000001</v>
      </c>
      <c r="G36" s="23">
        <f>'Annual Raw'!H19-'Annual Raw'!H20</f>
        <v>105.7299</v>
      </c>
      <c r="H36" s="23">
        <f>'Annual Raw'!I19-'Annual Raw'!I20</f>
        <v>144.3108</v>
      </c>
      <c r="I36" s="23">
        <f>'Annual Raw'!J19-'Annual Raw'!J20</f>
        <v>159.73259999999999</v>
      </c>
      <c r="J36" s="23">
        <f>'Annual Raw'!K19-'Annual Raw'!K20</f>
        <v>218.86199999999999</v>
      </c>
      <c r="K36" s="23">
        <f>'Annual Raw'!L19-'Annual Raw'!L20</f>
        <v>275.62819999999999</v>
      </c>
      <c r="L36" s="23">
        <f>'Annual Raw'!M19-'Annual Raw'!M20</f>
        <v>270.25349999999997</v>
      </c>
      <c r="M36" s="23">
        <f>'Annual Raw'!N19-'Annual Raw'!N20</f>
        <v>298.20490000000001</v>
      </c>
      <c r="N36" s="23">
        <f>'Annual Raw'!O19-'Annual Raw'!O20</f>
        <v>277.9828</v>
      </c>
      <c r="O36" s="23">
        <f>'Annual Raw'!P19-'Annual Raw'!P20</f>
        <v>286.35599999999999</v>
      </c>
      <c r="P36" s="23">
        <f>'Annual Raw'!Q19-'Annual Raw'!Q20</f>
        <v>299.39999999999998</v>
      </c>
      <c r="Q36" s="23">
        <f>'Annual Raw'!R19-'Annual Raw'!R20</f>
        <v>359.26</v>
      </c>
      <c r="R36" s="23">
        <f>'Annual Raw'!S19-'Annual Raw'!S20</f>
        <v>380.79</v>
      </c>
      <c r="S36" s="23">
        <f>'Annual Raw'!T19-'Annual Raw'!T20</f>
        <v>316.36</v>
      </c>
      <c r="T36" s="23">
        <f>'Annual Raw'!U19-'Annual Raw'!U20</f>
        <v>384.55</v>
      </c>
      <c r="U36" s="23">
        <f>'Annual Raw'!V19-'Annual Raw'!V20</f>
        <v>429.32</v>
      </c>
      <c r="V36" s="23">
        <f>'Annual Raw'!W19-'Annual Raw'!W20</f>
        <v>409.22</v>
      </c>
      <c r="W36" s="23">
        <f>'Annual Raw'!X19-'Annual Raw'!X20</f>
        <v>419.83</v>
      </c>
      <c r="X36" s="23">
        <f>'Annual Raw'!Y19-'Annual Raw'!Y20</f>
        <v>465.18</v>
      </c>
      <c r="Y36" s="23">
        <f>'Annual Raw'!Z19-'Annual Raw'!Z20</f>
        <v>644.52</v>
      </c>
      <c r="Z36" s="23">
        <f>'Annual Raw'!AA19-'Annual Raw'!AA20</f>
        <v>792.83</v>
      </c>
      <c r="AA36" s="23">
        <f>'Annual Raw'!AB19-'Annual Raw'!AB20</f>
        <v>860.36</v>
      </c>
      <c r="AB36" s="76">
        <f t="shared" si="311"/>
        <v>0</v>
      </c>
      <c r="AC36" s="76">
        <f t="shared" si="312"/>
        <v>0</v>
      </c>
      <c r="AD36" s="76">
        <f t="shared" si="313"/>
        <v>0</v>
      </c>
      <c r="AE36" s="76">
        <f t="shared" si="314"/>
        <v>0</v>
      </c>
      <c r="AI36" s="23">
        <f>+'QTR Raw'!C21</f>
        <v>0</v>
      </c>
      <c r="AJ36" s="23">
        <f>+'QTR Raw'!D21</f>
        <v>0</v>
      </c>
      <c r="AK36" s="23">
        <f>+'QTR Raw'!E21</f>
        <v>0</v>
      </c>
      <c r="AL36" s="23">
        <f>+'QTR Raw'!F21</f>
        <v>0</v>
      </c>
      <c r="AM36" s="23">
        <f>+'QTR Raw'!G21</f>
        <v>0</v>
      </c>
      <c r="AN36" s="23">
        <f>+'QTR Raw'!H21</f>
        <v>0</v>
      </c>
      <c r="AO36" s="23">
        <f>+'QTR Raw'!I21</f>
        <v>0</v>
      </c>
      <c r="AP36" s="23">
        <f>+'QTR Raw'!J21</f>
        <v>0</v>
      </c>
      <c r="AQ36" s="23">
        <f>+'QTR Raw'!K21</f>
        <v>0</v>
      </c>
      <c r="AR36" s="23">
        <f>+'QTR Raw'!L21</f>
        <v>0</v>
      </c>
      <c r="AS36" s="23">
        <f>+'QTR Raw'!M21</f>
        <v>0</v>
      </c>
      <c r="AT36" s="23">
        <f>+'QTR Raw'!N21</f>
        <v>0</v>
      </c>
      <c r="AU36" s="23">
        <f>+'QTR Raw'!O21</f>
        <v>0</v>
      </c>
      <c r="AV36" s="23">
        <f>+'QTR Raw'!P21</f>
        <v>0</v>
      </c>
      <c r="AW36" s="23">
        <f>+'QTR Raw'!Q21</f>
        <v>0</v>
      </c>
      <c r="AX36" s="23">
        <f>+'QTR Raw'!R21</f>
        <v>0</v>
      </c>
      <c r="AY36" s="23">
        <f>+'QTR Raw'!S21</f>
        <v>0</v>
      </c>
      <c r="AZ36" s="23">
        <f>+'QTR Raw'!T21</f>
        <v>0</v>
      </c>
      <c r="BA36" s="23">
        <f>+'QTR Raw'!U21</f>
        <v>0</v>
      </c>
      <c r="BB36" s="23">
        <f>+'QTR Raw'!V21</f>
        <v>0</v>
      </c>
      <c r="BC36" s="23">
        <f>+'QTR Raw'!W21</f>
        <v>0</v>
      </c>
      <c r="BD36" s="23">
        <f>+'QTR Raw'!X21</f>
        <v>0</v>
      </c>
      <c r="BE36" s="23">
        <f>+'QTR Raw'!Y21</f>
        <v>0</v>
      </c>
      <c r="BF36" s="23">
        <f>+'QTR Raw'!Z21</f>
        <v>0</v>
      </c>
      <c r="BG36" s="23">
        <f>+'QTR Raw'!AA21</f>
        <v>0</v>
      </c>
      <c r="BH36" s="23">
        <f>+'QTR Raw'!AB21</f>
        <v>0</v>
      </c>
      <c r="BI36" s="23">
        <f>+'QTR Raw'!AC21</f>
        <v>0</v>
      </c>
      <c r="BJ36" s="23">
        <f>+'QTR Raw'!AD21</f>
        <v>0</v>
      </c>
      <c r="BK36" s="23">
        <f>+'QTR Raw'!AE21</f>
        <v>0</v>
      </c>
      <c r="BL36" s="23">
        <f>+'QTR Raw'!AF21</f>
        <v>0</v>
      </c>
      <c r="BM36" s="23">
        <f>+'QTR Raw'!AG21</f>
        <v>0</v>
      </c>
      <c r="BN36" s="23">
        <f>+'QTR Raw'!AH21</f>
        <v>0</v>
      </c>
      <c r="BO36" s="23">
        <f>+'QTR Raw'!AI21</f>
        <v>0</v>
      </c>
      <c r="BP36" s="23">
        <f>+'QTR Raw'!AJ21</f>
        <v>0</v>
      </c>
      <c r="BQ36" s="23">
        <f>+'QTR Raw'!AK21</f>
        <v>0</v>
      </c>
      <c r="BR36" s="23">
        <f>+'QTR Raw'!AL21</f>
        <v>0</v>
      </c>
      <c r="BS36" s="23">
        <f>+'QTR Raw'!AM21</f>
        <v>0</v>
      </c>
      <c r="BT36" s="23">
        <f>+'QTR Raw'!AN21</f>
        <v>0</v>
      </c>
      <c r="BU36" s="23">
        <f>+'QTR Raw'!AO21</f>
        <v>0</v>
      </c>
      <c r="BV36" s="23">
        <f>+'QTR Raw'!AP21</f>
        <v>0</v>
      </c>
      <c r="BW36" s="23">
        <f>+'QTR Raw'!AQ21</f>
        <v>0</v>
      </c>
      <c r="BX36" s="23">
        <f>+'QTR Raw'!AR21</f>
        <v>0</v>
      </c>
      <c r="BY36" s="23">
        <f>+'QTR Raw'!AS21</f>
        <v>0</v>
      </c>
      <c r="BZ36" s="23">
        <f>+'QTR Raw'!AT21</f>
        <v>0</v>
      </c>
      <c r="CA36" s="23">
        <f>+'QTR Raw'!AU21</f>
        <v>0</v>
      </c>
      <c r="CB36" s="23">
        <f>+'QTR Raw'!AV21</f>
        <v>0</v>
      </c>
      <c r="CC36" s="23">
        <f>+'QTR Raw'!AW21</f>
        <v>0</v>
      </c>
      <c r="CD36" s="23">
        <f>+'QTR Raw'!AX21</f>
        <v>0</v>
      </c>
      <c r="CE36" s="23">
        <f>+'QTR Raw'!AY21</f>
        <v>0</v>
      </c>
      <c r="CF36" s="23">
        <f>+'QTR Raw'!AZ21</f>
        <v>0</v>
      </c>
      <c r="CG36" s="23">
        <f>+'QTR Raw'!BA21</f>
        <v>0</v>
      </c>
      <c r="CH36" s="23">
        <f>+'QTR Raw'!BB21</f>
        <v>0</v>
      </c>
      <c r="CI36" s="23">
        <f>+'QTR Raw'!BC21</f>
        <v>0</v>
      </c>
      <c r="CJ36" s="23">
        <f>+'QTR Raw'!BD21</f>
        <v>0</v>
      </c>
      <c r="CK36" s="23">
        <f>+'QTR Raw'!BE21</f>
        <v>0</v>
      </c>
      <c r="CL36" s="23">
        <f>+'QTR Raw'!BF21</f>
        <v>0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E36" s="123"/>
      <c r="DF36" s="23">
        <v>0</v>
      </c>
    </row>
    <row r="37" spans="1:110" s="23" customFormat="1" outlineLevel="1" x14ac:dyDescent="0.2">
      <c r="A37" s="23" t="s">
        <v>9</v>
      </c>
      <c r="B37" s="23">
        <f>'Annual Raw'!C15+'Annual Raw'!C16</f>
        <v>193.85599999999999</v>
      </c>
      <c r="C37" s="23">
        <f>'Annual Raw'!D15+'Annual Raw'!D16</f>
        <v>500.59769999999997</v>
      </c>
      <c r="D37" s="23">
        <f>'Annual Raw'!E15+'Annual Raw'!E16</f>
        <v>486.73259999999999</v>
      </c>
      <c r="E37" s="23">
        <f>'Annual Raw'!F15+'Annual Raw'!F16</f>
        <v>527.60680000000002</v>
      </c>
      <c r="F37" s="23">
        <f>'Annual Raw'!G15+'Annual Raw'!G16</f>
        <v>471.57810000000001</v>
      </c>
      <c r="G37" s="23">
        <f>'Annual Raw'!H15+'Annual Raw'!H16</f>
        <v>462.54610000000002</v>
      </c>
      <c r="H37" s="23">
        <f>'Annual Raw'!I15+'Annual Raw'!I16</f>
        <v>553.94870000000003</v>
      </c>
      <c r="I37" s="23">
        <f>'Annual Raw'!J15+'Annual Raw'!J16</f>
        <v>419.59910000000002</v>
      </c>
      <c r="J37" s="23">
        <f>'Annual Raw'!K15+'Annual Raw'!K16</f>
        <v>462.76850000000002</v>
      </c>
      <c r="K37" s="23">
        <f>'Annual Raw'!L15+'Annual Raw'!L16</f>
        <v>535.41989999999998</v>
      </c>
      <c r="L37" s="23">
        <f>'Annual Raw'!M15+'Annual Raw'!M16</f>
        <v>538.97320000000002</v>
      </c>
      <c r="M37" s="23">
        <f>'Annual Raw'!N15+'Annual Raw'!N16</f>
        <v>598.70280000000002</v>
      </c>
      <c r="N37" s="23">
        <f>'Annual Raw'!O15+'Annual Raw'!O16</f>
        <v>620.43089999999995</v>
      </c>
      <c r="O37" s="23">
        <f>'Annual Raw'!P15+'Annual Raw'!P16</f>
        <v>674.31590000000006</v>
      </c>
      <c r="P37" s="23">
        <f>'Annual Raw'!Q15+'Annual Raw'!Q16</f>
        <v>669.69</v>
      </c>
      <c r="Q37" s="23">
        <f>'Annual Raw'!R15+'Annual Raw'!R16</f>
        <v>534.72</v>
      </c>
      <c r="R37" s="23">
        <f>'Annual Raw'!S15+'Annual Raw'!S16</f>
        <v>535.96</v>
      </c>
      <c r="S37" s="23">
        <f>'Annual Raw'!T15+'Annual Raw'!T16</f>
        <v>507.88</v>
      </c>
      <c r="T37" s="23">
        <f>'Annual Raw'!U15+'Annual Raw'!U16</f>
        <v>517.48</v>
      </c>
      <c r="U37" s="23">
        <f>'Annual Raw'!V15+'Annual Raw'!V16</f>
        <v>722.71</v>
      </c>
      <c r="V37" s="23">
        <f>'Annual Raw'!W15+'Annual Raw'!W16</f>
        <v>856.03</v>
      </c>
      <c r="W37" s="23">
        <f>'Annual Raw'!X15+'Annual Raw'!X16</f>
        <v>1043.07</v>
      </c>
      <c r="X37" s="23">
        <f>'Annual Raw'!Y15+'Annual Raw'!Y16</f>
        <v>1458.01</v>
      </c>
      <c r="Y37" s="23">
        <f>'Annual Raw'!Z15+'Annual Raw'!Z16</f>
        <v>1556.9</v>
      </c>
      <c r="Z37" s="23">
        <f>'Annual Raw'!AA15+'Annual Raw'!AA16</f>
        <v>1708.97</v>
      </c>
      <c r="AA37" s="23">
        <f>'Annual Raw'!AB15+'Annual Raw'!AB16</f>
        <v>1913.85</v>
      </c>
      <c r="AB37" s="76">
        <f t="shared" si="311"/>
        <v>4661.7408839675554</v>
      </c>
      <c r="AC37" s="76">
        <f t="shared" si="312"/>
        <v>5397.4717441638531</v>
      </c>
      <c r="AD37" s="76">
        <f t="shared" si="313"/>
        <v>6252.3511911932383</v>
      </c>
      <c r="AE37" s="76">
        <f t="shared" si="314"/>
        <v>7246.990841917248</v>
      </c>
      <c r="AI37" s="23">
        <f>'QTR Raw'!C14</f>
        <v>223.2</v>
      </c>
      <c r="AJ37" s="23">
        <f>'QTR Raw'!D14</f>
        <v>260.07</v>
      </c>
      <c r="AK37" s="23">
        <f>'QTR Raw'!E14</f>
        <v>269.83</v>
      </c>
      <c r="AL37" s="23">
        <f>'QTR Raw'!F14</f>
        <v>283.33</v>
      </c>
      <c r="AM37" s="23">
        <f>'QTR Raw'!G14</f>
        <v>244.77</v>
      </c>
      <c r="AN37" s="23">
        <f>'QTR Raw'!H14</f>
        <v>264.93</v>
      </c>
      <c r="AO37" s="23">
        <f>'QTR Raw'!I14</f>
        <v>314.61</v>
      </c>
      <c r="AP37" s="23">
        <f>'QTR Raw'!J14</f>
        <v>292.83</v>
      </c>
      <c r="AQ37" s="23">
        <f>'QTR Raw'!K14</f>
        <v>279.73</v>
      </c>
      <c r="AR37" s="23">
        <f>'QTR Raw'!L14</f>
        <v>283.32</v>
      </c>
      <c r="AS37" s="23">
        <f>'QTR Raw'!M14</f>
        <v>317.82</v>
      </c>
      <c r="AT37" s="23">
        <f>'QTR Raw'!N14</f>
        <v>317.08</v>
      </c>
      <c r="AU37" s="23">
        <f>'QTR Raw'!O14</f>
        <v>223.95</v>
      </c>
      <c r="AV37" s="23">
        <f>'QTR Raw'!P14</f>
        <v>245.49</v>
      </c>
      <c r="AW37" s="23">
        <f>'QTR Raw'!Q14</f>
        <v>249.84</v>
      </c>
      <c r="AX37" s="23">
        <f>'QTR Raw'!R14</f>
        <v>259.89</v>
      </c>
      <c r="AY37" s="23">
        <f>'QTR Raw'!S14</f>
        <v>232.51</v>
      </c>
      <c r="AZ37" s="23">
        <f>'QTR Raw'!T14</f>
        <v>247.25</v>
      </c>
      <c r="BA37" s="23">
        <f>'QTR Raw'!U14</f>
        <v>241.36</v>
      </c>
      <c r="BB37" s="23">
        <f>'QTR Raw'!V14</f>
        <v>286.19</v>
      </c>
      <c r="BC37" s="23">
        <f>'QTR Raw'!W14</f>
        <v>229.33</v>
      </c>
      <c r="BD37" s="23">
        <f>'QTR Raw'!X14</f>
        <v>226.17</v>
      </c>
      <c r="BE37" s="23">
        <f>'QTR Raw'!Y14</f>
        <v>234.41</v>
      </c>
      <c r="BF37" s="23">
        <f>'QTR Raw'!Z14</f>
        <v>256.94</v>
      </c>
      <c r="BG37" s="23">
        <f>'QTR Raw'!AA14</f>
        <v>252.21</v>
      </c>
      <c r="BH37" s="23">
        <f>'QTR Raw'!AB14</f>
        <v>256.61</v>
      </c>
      <c r="BI37" s="23">
        <f>'QTR Raw'!AC14</f>
        <v>299.06</v>
      </c>
      <c r="BJ37" s="23">
        <f>'QTR Raw'!AD14</f>
        <v>296.25</v>
      </c>
      <c r="BK37" s="23">
        <f>'QTR Raw'!AE14</f>
        <v>331.54</v>
      </c>
      <c r="BL37" s="23">
        <f>'QTR Raw'!AF14</f>
        <v>323.55</v>
      </c>
      <c r="BM37" s="23">
        <f>'QTR Raw'!AG14</f>
        <v>346.19</v>
      </c>
      <c r="BN37" s="23">
        <f>'QTR Raw'!AH14</f>
        <v>371.79</v>
      </c>
      <c r="BO37" s="23">
        <f>'QTR Raw'!AI14</f>
        <v>367.83</v>
      </c>
      <c r="BP37" s="23">
        <f>'QTR Raw'!AJ14</f>
        <v>339.5</v>
      </c>
      <c r="BQ37" s="23">
        <f>'QTR Raw'!AK14</f>
        <v>347.73</v>
      </c>
      <c r="BR37" s="23">
        <f>'QTR Raw'!AL14</f>
        <v>404.4</v>
      </c>
      <c r="BS37" s="23">
        <f>'QTR Raw'!AM14</f>
        <v>402.94</v>
      </c>
      <c r="BT37" s="23">
        <f>'QTR Raw'!AN14</f>
        <v>416.01</v>
      </c>
      <c r="BU37" s="23">
        <f>'QTR Raw'!AO14</f>
        <v>435.89</v>
      </c>
      <c r="BV37" s="23">
        <f>'QTR Raw'!AP14</f>
        <v>704.35</v>
      </c>
      <c r="BW37" s="23">
        <f>'QTR Raw'!AQ14</f>
        <v>683.01</v>
      </c>
      <c r="BX37" s="23">
        <f>'QTR Raw'!AR14</f>
        <v>696.17</v>
      </c>
      <c r="BY37" s="23">
        <f>'QTR Raw'!AS14</f>
        <v>705.85</v>
      </c>
      <c r="BZ37" s="23">
        <f>'QTR Raw'!AT14</f>
        <v>715.59</v>
      </c>
      <c r="CA37" s="23">
        <f>'QTR Raw'!AU14</f>
        <v>737.1</v>
      </c>
      <c r="CB37" s="23">
        <f>'QTR Raw'!AV14</f>
        <v>745.63</v>
      </c>
      <c r="CC37" s="23">
        <f>'QTR Raw'!AW14</f>
        <v>776.32</v>
      </c>
      <c r="CD37" s="23">
        <f>'QTR Raw'!AX14</f>
        <v>840.2</v>
      </c>
      <c r="CE37" s="23">
        <f>'QTR Raw'!AY14</f>
        <v>942.27</v>
      </c>
      <c r="CF37" s="23">
        <f>'QTR Raw'!AZ14</f>
        <v>847.74</v>
      </c>
      <c r="CG37" s="23">
        <f>'QTR Raw'!BA14</f>
        <v>882.44</v>
      </c>
      <c r="CH37" s="23">
        <f>'QTR Raw'!BB14</f>
        <v>967.12</v>
      </c>
      <c r="CI37" s="23">
        <f>'QTR Raw'!BC14</f>
        <v>923.63</v>
      </c>
      <c r="CJ37" s="23">
        <f>'QTR Raw'!BD14</f>
        <v>1011.09</v>
      </c>
      <c r="CK37" s="23">
        <f>'QTR Raw'!BE14</f>
        <v>1031.6199999999999</v>
      </c>
      <c r="CL37" s="23">
        <f>'QTR Raw'!BF14</f>
        <v>1015.65</v>
      </c>
      <c r="CM37" s="24">
        <f t="shared" ref="CM37:DB37" si="316">CM40-CM34-CM35-CM36-CM38-CM39</f>
        <v>1102.5129563660039</v>
      </c>
      <c r="CN37" s="24">
        <f t="shared" si="316"/>
        <v>1160.9499641809448</v>
      </c>
      <c r="CO37" s="24">
        <f t="shared" si="316"/>
        <v>1156.5121649944895</v>
      </c>
      <c r="CP37" s="24">
        <f t="shared" si="316"/>
        <v>1241.7657984261173</v>
      </c>
      <c r="CQ37" s="24">
        <f t="shared" si="316"/>
        <v>1276.6897797792906</v>
      </c>
      <c r="CR37" s="24">
        <f t="shared" si="316"/>
        <v>1337.8773330370332</v>
      </c>
      <c r="CS37" s="24">
        <f t="shared" si="316"/>
        <v>1334.676374203051</v>
      </c>
      <c r="CT37" s="24">
        <f t="shared" si="316"/>
        <v>1448.2282571444784</v>
      </c>
      <c r="CU37" s="24">
        <f t="shared" si="316"/>
        <v>1475.2504225775911</v>
      </c>
      <c r="CV37" s="24">
        <f t="shared" si="316"/>
        <v>1548.4618069265332</v>
      </c>
      <c r="CW37" s="24">
        <f t="shared" si="316"/>
        <v>1545.6098487008057</v>
      </c>
      <c r="CX37" s="24">
        <f t="shared" si="316"/>
        <v>1683.0291129883085</v>
      </c>
      <c r="CY37" s="24">
        <f t="shared" si="316"/>
        <v>1705.9026795683001</v>
      </c>
      <c r="CZ37" s="24">
        <f t="shared" si="316"/>
        <v>1794.655787882803</v>
      </c>
      <c r="DA37" s="24">
        <f t="shared" si="316"/>
        <v>1790.6306201756965</v>
      </c>
      <c r="DB37" s="24">
        <f t="shared" si="316"/>
        <v>1955.8017542904495</v>
      </c>
      <c r="DE37" s="123"/>
      <c r="DF37" s="23">
        <v>1125.7806127034855</v>
      </c>
    </row>
    <row r="38" spans="1:110" s="23" customFormat="1" outlineLevel="1" x14ac:dyDescent="0.2">
      <c r="A38" s="23" t="s">
        <v>7</v>
      </c>
      <c r="B38" s="23">
        <f>'Annual Raw'!C13</f>
        <v>36.538499999999999</v>
      </c>
      <c r="C38" s="23">
        <f>'Annual Raw'!D13</f>
        <v>54.365600000000001</v>
      </c>
      <c r="D38" s="23">
        <f>'Annual Raw'!E13</f>
        <v>57.346899999999998</v>
      </c>
      <c r="E38" s="23">
        <f>'Annual Raw'!F13</f>
        <v>59.2502</v>
      </c>
      <c r="F38" s="23">
        <f>'Annual Raw'!G13</f>
        <v>64.241</v>
      </c>
      <c r="G38" s="23">
        <f>'Annual Raw'!H13</f>
        <v>65.070099999999996</v>
      </c>
      <c r="H38" s="23">
        <f>'Annual Raw'!I13</f>
        <v>72.382300000000001</v>
      </c>
      <c r="I38" s="23">
        <f>'Annual Raw'!J13</f>
        <v>48.482199999999999</v>
      </c>
      <c r="J38" s="23">
        <f>'Annual Raw'!K13</f>
        <v>58.811599999999999</v>
      </c>
      <c r="K38" s="23">
        <f>'Annual Raw'!L13</f>
        <v>58.627299999999998</v>
      </c>
      <c r="L38" s="23">
        <f>'Annual Raw'!M13</f>
        <v>70.810599999999994</v>
      </c>
      <c r="M38" s="23">
        <f>'Annual Raw'!N13</f>
        <v>79.571299999999994</v>
      </c>
      <c r="N38" s="23">
        <f>'Annual Raw'!O13</f>
        <v>85.249700000000004</v>
      </c>
      <c r="O38" s="23">
        <f>'Annual Raw'!P13</f>
        <v>91.401300000000006</v>
      </c>
      <c r="P38" s="23">
        <f>'Annual Raw'!Q13</f>
        <v>84.78</v>
      </c>
      <c r="Q38" s="23">
        <f>'Annual Raw'!R13</f>
        <v>81.260000000000005</v>
      </c>
      <c r="R38" s="23">
        <f>'Annual Raw'!S13</f>
        <v>83.19</v>
      </c>
      <c r="S38" s="23">
        <f>'Annual Raw'!T13</f>
        <v>87.07</v>
      </c>
      <c r="T38" s="23">
        <f>'Annual Raw'!U13</f>
        <v>89.28</v>
      </c>
      <c r="U38" s="23">
        <f>'Annual Raw'!V13</f>
        <v>103.84</v>
      </c>
      <c r="V38" s="23">
        <f>'Annual Raw'!W13</f>
        <v>97.36</v>
      </c>
      <c r="W38" s="23">
        <f>'Annual Raw'!X13</f>
        <v>123.9</v>
      </c>
      <c r="X38" s="23">
        <f>'Annual Raw'!Y13</f>
        <v>149.43</v>
      </c>
      <c r="Y38" s="23">
        <f>'Annual Raw'!Z13</f>
        <v>156.9</v>
      </c>
      <c r="Z38" s="23">
        <f>'Annual Raw'!AA13</f>
        <v>156.21</v>
      </c>
      <c r="AA38" s="23">
        <f>'Annual Raw'!AB13</f>
        <v>161.94999999999999</v>
      </c>
      <c r="AB38" s="76">
        <f t="shared" si="311"/>
        <v>0</v>
      </c>
      <c r="AC38" s="76">
        <f t="shared" si="312"/>
        <v>0</v>
      </c>
      <c r="AD38" s="76">
        <f t="shared" si="313"/>
        <v>0</v>
      </c>
      <c r="AE38" s="76">
        <f t="shared" si="314"/>
        <v>0</v>
      </c>
      <c r="AI38" s="23">
        <f>'QTR Raw'!C15</f>
        <v>0</v>
      </c>
      <c r="AJ38" s="23">
        <f>'QTR Raw'!D15</f>
        <v>0</v>
      </c>
      <c r="AK38" s="23">
        <f>'QTR Raw'!E15</f>
        <v>0</v>
      </c>
      <c r="AL38" s="23">
        <f>'QTR Raw'!F15</f>
        <v>0</v>
      </c>
      <c r="AM38" s="23">
        <f>'QTR Raw'!G15</f>
        <v>0</v>
      </c>
      <c r="AN38" s="23">
        <f>'QTR Raw'!H15</f>
        <v>0</v>
      </c>
      <c r="AO38" s="23">
        <f>'QTR Raw'!I15</f>
        <v>0</v>
      </c>
      <c r="AP38" s="23">
        <f>'QTR Raw'!J15</f>
        <v>0</v>
      </c>
      <c r="AQ38" s="23">
        <f>'QTR Raw'!K15</f>
        <v>0</v>
      </c>
      <c r="AR38" s="23">
        <f>'QTR Raw'!L15</f>
        <v>0</v>
      </c>
      <c r="AS38" s="23">
        <f>'QTR Raw'!M15</f>
        <v>0</v>
      </c>
      <c r="AT38" s="23">
        <f>'QTR Raw'!N15</f>
        <v>0</v>
      </c>
      <c r="AU38" s="23">
        <f>'QTR Raw'!O15</f>
        <v>0</v>
      </c>
      <c r="AV38" s="23">
        <f>'QTR Raw'!P15</f>
        <v>0</v>
      </c>
      <c r="AW38" s="23">
        <f>'QTR Raw'!Q15</f>
        <v>0</v>
      </c>
      <c r="AX38" s="23">
        <f>'QTR Raw'!R15</f>
        <v>0</v>
      </c>
      <c r="AY38" s="23">
        <f>'QTR Raw'!S15</f>
        <v>0</v>
      </c>
      <c r="AZ38" s="23">
        <f>'QTR Raw'!T15</f>
        <v>0</v>
      </c>
      <c r="BA38" s="23">
        <f>'QTR Raw'!U15</f>
        <v>0</v>
      </c>
      <c r="BB38" s="23">
        <f>'QTR Raw'!V15</f>
        <v>0</v>
      </c>
      <c r="BC38" s="23">
        <f>'QTR Raw'!W15</f>
        <v>0</v>
      </c>
      <c r="BD38" s="23">
        <f>'QTR Raw'!X15</f>
        <v>0</v>
      </c>
      <c r="BE38" s="23">
        <f>'QTR Raw'!Y15</f>
        <v>0</v>
      </c>
      <c r="BF38" s="23">
        <f>'QTR Raw'!Z15</f>
        <v>0</v>
      </c>
      <c r="BG38" s="23">
        <f>'QTR Raw'!AA15</f>
        <v>0</v>
      </c>
      <c r="BH38" s="23">
        <f>'QTR Raw'!AB15</f>
        <v>0</v>
      </c>
      <c r="BI38" s="23">
        <f>'QTR Raw'!AC15</f>
        <v>0</v>
      </c>
      <c r="BJ38" s="23">
        <f>'QTR Raw'!AD15</f>
        <v>0</v>
      </c>
      <c r="BK38" s="23">
        <f>'QTR Raw'!AE15</f>
        <v>0</v>
      </c>
      <c r="BL38" s="23">
        <f>'QTR Raw'!AF15</f>
        <v>0</v>
      </c>
      <c r="BM38" s="23">
        <f>'QTR Raw'!AG15</f>
        <v>0</v>
      </c>
      <c r="BN38" s="23">
        <f>'QTR Raw'!AH15</f>
        <v>0</v>
      </c>
      <c r="BO38" s="23">
        <f>'QTR Raw'!AI15</f>
        <v>0</v>
      </c>
      <c r="BP38" s="23">
        <f>'QTR Raw'!AJ15</f>
        <v>0</v>
      </c>
      <c r="BQ38" s="23">
        <f>'QTR Raw'!AK15</f>
        <v>0</v>
      </c>
      <c r="BR38" s="23">
        <f>'QTR Raw'!AL15</f>
        <v>0</v>
      </c>
      <c r="BS38" s="23">
        <f>'QTR Raw'!AM15</f>
        <v>0</v>
      </c>
      <c r="BT38" s="23">
        <f>'QTR Raw'!AN15</f>
        <v>0</v>
      </c>
      <c r="BU38" s="23">
        <f>'QTR Raw'!AO15</f>
        <v>0</v>
      </c>
      <c r="BV38" s="23">
        <f>'QTR Raw'!AP15</f>
        <v>0</v>
      </c>
      <c r="BW38" s="23">
        <f>'QTR Raw'!AQ15</f>
        <v>0</v>
      </c>
      <c r="BX38" s="23">
        <f>'QTR Raw'!AR15</f>
        <v>0</v>
      </c>
      <c r="BY38" s="23">
        <f>'QTR Raw'!AS15</f>
        <v>0</v>
      </c>
      <c r="BZ38" s="23">
        <f>'QTR Raw'!AT15</f>
        <v>0</v>
      </c>
      <c r="CA38" s="23">
        <f>'QTR Raw'!AU15</f>
        <v>0</v>
      </c>
      <c r="CB38" s="23">
        <f>'QTR Raw'!AV15</f>
        <v>0</v>
      </c>
      <c r="CC38" s="23">
        <f>'QTR Raw'!AW15</f>
        <v>0</v>
      </c>
      <c r="CD38" s="23">
        <f>'QTR Raw'!AX15</f>
        <v>0</v>
      </c>
      <c r="CE38" s="23">
        <f>'QTR Raw'!AY15</f>
        <v>0</v>
      </c>
      <c r="CF38" s="23">
        <f>'QTR Raw'!AZ15</f>
        <v>0</v>
      </c>
      <c r="CG38" s="23">
        <f>'QTR Raw'!BA15</f>
        <v>0</v>
      </c>
      <c r="CH38" s="23">
        <f>'QTR Raw'!BB15</f>
        <v>0</v>
      </c>
      <c r="CI38" s="23">
        <f>'QTR Raw'!BC15</f>
        <v>0</v>
      </c>
      <c r="CJ38" s="23">
        <f>'QTR Raw'!BD15</f>
        <v>0</v>
      </c>
      <c r="CK38" s="23">
        <f>'QTR Raw'!BE15</f>
        <v>0</v>
      </c>
      <c r="CL38" s="23">
        <f>'QTR Raw'!BF15</f>
        <v>0</v>
      </c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E38" s="123"/>
      <c r="DF38" s="23">
        <v>0</v>
      </c>
    </row>
    <row r="39" spans="1:110" s="23" customFormat="1" outlineLevel="1" x14ac:dyDescent="0.2">
      <c r="A39" s="23" t="s">
        <v>11</v>
      </c>
      <c r="B39" s="23">
        <f>'Annual Raw'!C18</f>
        <v>88.072800000000001</v>
      </c>
      <c r="C39" s="23">
        <f>'Annual Raw'!D18</f>
        <v>921.60040000000004</v>
      </c>
      <c r="D39" s="23">
        <f>'Annual Raw'!E18</f>
        <v>1100.7235000000001</v>
      </c>
      <c r="E39" s="23">
        <f>'Annual Raw'!F18</f>
        <v>728.05309999999997</v>
      </c>
      <c r="F39" s="23">
        <f>'Annual Raw'!G18</f>
        <v>711.36569999999995</v>
      </c>
      <c r="G39" s="23">
        <f>'Annual Raw'!H18</f>
        <v>779.27470000000005</v>
      </c>
      <c r="H39" s="23">
        <f>'Annual Raw'!I18</f>
        <v>982.03440000000001</v>
      </c>
      <c r="I39" s="23">
        <f>'Annual Raw'!J18</f>
        <v>1024.5843</v>
      </c>
      <c r="J39" s="23">
        <f>'Annual Raw'!K18</f>
        <v>1101.7520999999999</v>
      </c>
      <c r="K39" s="23">
        <f>'Annual Raw'!L18</f>
        <v>1223.3981000000001</v>
      </c>
      <c r="L39" s="23">
        <f>'Annual Raw'!M18</f>
        <v>1284.8706999999999</v>
      </c>
      <c r="M39" s="23">
        <f>'Annual Raw'!N18</f>
        <v>1381.5876000000001</v>
      </c>
      <c r="N39" s="23">
        <f>'Annual Raw'!O18</f>
        <v>1546.8942</v>
      </c>
      <c r="O39" s="23">
        <f>'Annual Raw'!P18</f>
        <v>1700.5908999999999</v>
      </c>
      <c r="P39" s="23">
        <f>'Annual Raw'!Q18</f>
        <v>1663.14</v>
      </c>
      <c r="Q39" s="23">
        <f>'Annual Raw'!R18</f>
        <v>721.33</v>
      </c>
      <c r="R39" s="23">
        <f>'Annual Raw'!S18</f>
        <v>727.53</v>
      </c>
      <c r="S39" s="23">
        <f>'Annual Raw'!T18</f>
        <v>669.01</v>
      </c>
      <c r="T39" s="23">
        <f>'Annual Raw'!U18</f>
        <v>739.38</v>
      </c>
      <c r="U39" s="23">
        <f>'Annual Raw'!V18</f>
        <v>1073.28</v>
      </c>
      <c r="V39" s="23">
        <f>'Annual Raw'!W18</f>
        <v>1183.53</v>
      </c>
      <c r="W39" s="23">
        <f>'Annual Raw'!X18</f>
        <v>1438.7</v>
      </c>
      <c r="X39" s="23">
        <f>'Annual Raw'!Y18</f>
        <v>1499.82</v>
      </c>
      <c r="Y39" s="23">
        <f>'Annual Raw'!Z18</f>
        <v>1665.11</v>
      </c>
      <c r="Z39" s="23">
        <f>'Annual Raw'!AA18</f>
        <v>1909.86</v>
      </c>
      <c r="AA39" s="23">
        <f>'Annual Raw'!AB18</f>
        <v>2054.38</v>
      </c>
      <c r="AB39" s="76">
        <f t="shared" si="311"/>
        <v>0</v>
      </c>
      <c r="AC39" s="76">
        <f t="shared" si="312"/>
        <v>0</v>
      </c>
      <c r="AD39" s="76">
        <f t="shared" si="313"/>
        <v>0</v>
      </c>
      <c r="AE39" s="76">
        <f t="shared" si="314"/>
        <v>0</v>
      </c>
      <c r="AI39" s="23">
        <f>'QTR Raw'!C18</f>
        <v>280.56</v>
      </c>
      <c r="AJ39" s="23">
        <f>'QTR Raw'!D18</f>
        <v>329.19</v>
      </c>
      <c r="AK39" s="23">
        <f>'QTR Raw'!E18</f>
        <v>323.22000000000003</v>
      </c>
      <c r="AL39" s="23">
        <f>'QTR Raw'!F18</f>
        <v>305.99</v>
      </c>
      <c r="AM39" s="23">
        <f>'QTR Raw'!G18</f>
        <v>287.67</v>
      </c>
      <c r="AN39" s="23">
        <f>'QTR Raw'!H18</f>
        <v>366.37</v>
      </c>
      <c r="AO39" s="23">
        <f>'QTR Raw'!I18</f>
        <v>400.71</v>
      </c>
      <c r="AP39" s="23">
        <f>'QTR Raw'!J18</f>
        <v>347.51</v>
      </c>
      <c r="AQ39" s="23">
        <f>'QTR Raw'!K18</f>
        <v>285.8</v>
      </c>
      <c r="AR39" s="23">
        <f>'QTR Raw'!L18</f>
        <v>354.8</v>
      </c>
      <c r="AS39" s="23">
        <f>'QTR Raw'!M18</f>
        <v>377.06</v>
      </c>
      <c r="AT39" s="23">
        <f>'QTR Raw'!N18</f>
        <v>307.91000000000003</v>
      </c>
      <c r="AU39" s="23">
        <f>'QTR Raw'!O18</f>
        <v>141.91999999999999</v>
      </c>
      <c r="AV39" s="23">
        <f>'QTR Raw'!P18</f>
        <v>152.84</v>
      </c>
      <c r="AW39" s="23">
        <f>'QTR Raw'!Q18</f>
        <v>148.76</v>
      </c>
      <c r="AX39" s="23">
        <f>'QTR Raw'!R18</f>
        <v>134</v>
      </c>
      <c r="AY39" s="23">
        <f>'QTR Raw'!S18</f>
        <v>103.94</v>
      </c>
      <c r="AZ39" s="23">
        <f>'QTR Raw'!T18</f>
        <v>135.75</v>
      </c>
      <c r="BA39" s="23">
        <f>'QTR Raw'!U18</f>
        <v>179.1</v>
      </c>
      <c r="BB39" s="23">
        <f>'QTR Raw'!V18</f>
        <v>165.86</v>
      </c>
      <c r="BC39" s="23">
        <f>'QTR Raw'!W18</f>
        <v>118.19</v>
      </c>
      <c r="BD39" s="23">
        <f>'QTR Raw'!X18</f>
        <v>128.76</v>
      </c>
      <c r="BE39" s="23">
        <f>'QTR Raw'!Y18</f>
        <v>126.68</v>
      </c>
      <c r="BF39" s="23">
        <f>'QTR Raw'!Z18</f>
        <v>135.28</v>
      </c>
      <c r="BG39" s="23">
        <f>'QTR Raw'!AA18</f>
        <v>118.05</v>
      </c>
      <c r="BH39" s="23">
        <f>'QTR Raw'!AB18</f>
        <v>144.65</v>
      </c>
      <c r="BI39" s="23">
        <f>'QTR Raw'!AC18</f>
        <v>155.22999999999999</v>
      </c>
      <c r="BJ39" s="23">
        <f>'QTR Raw'!AD18</f>
        <v>129.59</v>
      </c>
      <c r="BK39" s="23">
        <f>'QTR Raw'!AE18</f>
        <v>131.28</v>
      </c>
      <c r="BL39" s="23">
        <f>'QTR Raw'!AF18</f>
        <v>162.68</v>
      </c>
      <c r="BM39" s="23">
        <f>'QTR Raw'!AG18</f>
        <v>201.39</v>
      </c>
      <c r="BN39" s="23">
        <f>'QTR Raw'!AH18</f>
        <v>181.37</v>
      </c>
      <c r="BO39" s="23">
        <f>'QTR Raw'!AI18</f>
        <v>133.76</v>
      </c>
      <c r="BP39" s="23">
        <f>'QTR Raw'!AJ18</f>
        <v>166.38</v>
      </c>
      <c r="BQ39" s="23">
        <f>'QTR Raw'!AK18</f>
        <v>209.71</v>
      </c>
      <c r="BR39" s="23">
        <f>'QTR Raw'!AL18</f>
        <v>216.42</v>
      </c>
      <c r="BS39" s="23">
        <f>'QTR Raw'!AM18</f>
        <v>158.21</v>
      </c>
      <c r="BT39" s="23">
        <f>'QTR Raw'!AN18</f>
        <v>211.88</v>
      </c>
      <c r="BU39" s="23">
        <f>'QTR Raw'!AO18</f>
        <v>245.34</v>
      </c>
      <c r="BV39" s="23">
        <f>'QTR Raw'!AP18</f>
        <v>0</v>
      </c>
      <c r="BW39" s="23">
        <f>'QTR Raw'!AQ18</f>
        <v>0</v>
      </c>
      <c r="BX39" s="23">
        <f>'QTR Raw'!AR18</f>
        <v>0</v>
      </c>
      <c r="BY39" s="23">
        <f>'QTR Raw'!AS18</f>
        <v>0</v>
      </c>
      <c r="BZ39" s="23">
        <f>'QTR Raw'!AT18</f>
        <v>0</v>
      </c>
      <c r="CA39" s="23">
        <f>'QTR Raw'!AU18</f>
        <v>0</v>
      </c>
      <c r="CB39" s="23">
        <f>'QTR Raw'!AV18</f>
        <v>0</v>
      </c>
      <c r="CC39" s="23">
        <f>'QTR Raw'!AW18</f>
        <v>0</v>
      </c>
      <c r="CD39" s="23">
        <f>'QTR Raw'!AX18</f>
        <v>0</v>
      </c>
      <c r="CE39" s="23">
        <f>'QTR Raw'!AY18</f>
        <v>0</v>
      </c>
      <c r="CF39" s="23">
        <f>'QTR Raw'!AZ18</f>
        <v>0</v>
      </c>
      <c r="CG39" s="23">
        <f>'QTR Raw'!BA18</f>
        <v>0</v>
      </c>
      <c r="CH39" s="23">
        <f>'QTR Raw'!BB18</f>
        <v>0</v>
      </c>
      <c r="CI39" s="23">
        <f>'QTR Raw'!BC18</f>
        <v>0</v>
      </c>
      <c r="CJ39" s="23">
        <f>'QTR Raw'!BD18</f>
        <v>0</v>
      </c>
      <c r="CK39" s="23">
        <f>'QTR Raw'!BE18</f>
        <v>0</v>
      </c>
      <c r="CL39" s="23">
        <f>'QTR Raw'!BF18</f>
        <v>0</v>
      </c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E39" s="123"/>
      <c r="DF39" s="23">
        <v>0</v>
      </c>
    </row>
    <row r="40" spans="1:110" s="22" customFormat="1" x14ac:dyDescent="0.2">
      <c r="A40" s="33" t="s">
        <v>348</v>
      </c>
      <c r="B40" s="22">
        <f t="shared" ref="B40:E40" si="317">+SUM(B34:B39)</f>
        <v>538.24149999999997</v>
      </c>
      <c r="C40" s="22">
        <f t="shared" si="317"/>
        <v>2066.1747</v>
      </c>
      <c r="D40" s="22">
        <f t="shared" si="317"/>
        <v>2314.9602000000004</v>
      </c>
      <c r="E40" s="22">
        <f t="shared" si="317"/>
        <v>1937.6475999999998</v>
      </c>
      <c r="F40" s="22">
        <f t="shared" ref="F40:AE40" si="318">+SUM(F34:F39)</f>
        <v>1836.6412</v>
      </c>
      <c r="G40" s="22">
        <f t="shared" si="318"/>
        <v>1850.3272999999999</v>
      </c>
      <c r="H40" s="22">
        <f t="shared" si="318"/>
        <v>2297.8535000000002</v>
      </c>
      <c r="I40" s="22">
        <f t="shared" si="318"/>
        <v>2212.5572999999999</v>
      </c>
      <c r="J40" s="22">
        <f t="shared" si="318"/>
        <v>2475.7195999999999</v>
      </c>
      <c r="K40" s="22">
        <f t="shared" si="318"/>
        <v>2789.8753000000002</v>
      </c>
      <c r="L40" s="22">
        <f t="shared" si="318"/>
        <v>2873.8519999999999</v>
      </c>
      <c r="M40" s="22">
        <f t="shared" si="318"/>
        <v>3135.3656000000001</v>
      </c>
      <c r="N40" s="22">
        <f t="shared" si="318"/>
        <v>3467.9690000000001</v>
      </c>
      <c r="O40" s="22">
        <f t="shared" si="318"/>
        <v>3792.9560000000001</v>
      </c>
      <c r="P40" s="22">
        <f t="shared" si="318"/>
        <v>3853.7400000000007</v>
      </c>
      <c r="Q40" s="22">
        <f t="shared" si="318"/>
        <v>2765.42</v>
      </c>
      <c r="R40" s="22">
        <f t="shared" si="318"/>
        <v>2823.46</v>
      </c>
      <c r="S40" s="22">
        <f t="shared" si="318"/>
        <v>2647.4900000000002</v>
      </c>
      <c r="T40" s="22">
        <f t="shared" si="318"/>
        <v>2829.03</v>
      </c>
      <c r="U40" s="22">
        <f t="shared" si="318"/>
        <v>3490.3900000000003</v>
      </c>
      <c r="V40" s="22">
        <f t="shared" si="318"/>
        <v>3840.0200000000004</v>
      </c>
      <c r="W40" s="22">
        <f t="shared" si="318"/>
        <v>4423.1500000000005</v>
      </c>
      <c r="X40" s="22">
        <f t="shared" si="318"/>
        <v>5098.4299999999994</v>
      </c>
      <c r="Y40" s="22">
        <f t="shared" si="318"/>
        <v>5683.44</v>
      </c>
      <c r="Z40" s="22">
        <f t="shared" ref="Z40:AA40" si="319">+SUM(Z34:Z39)</f>
        <v>6514.7599999999993</v>
      </c>
      <c r="AA40" s="22">
        <f t="shared" si="319"/>
        <v>7220.12</v>
      </c>
      <c r="AB40" s="21">
        <f t="shared" si="318"/>
        <v>6439.0108839675559</v>
      </c>
      <c r="AC40" s="21">
        <f t="shared" si="318"/>
        <v>7299.1506441638539</v>
      </c>
      <c r="AD40" s="21">
        <f t="shared" si="318"/>
        <v>8287.147614193238</v>
      </c>
      <c r="AE40" s="21">
        <f t="shared" si="318"/>
        <v>9424.2230145272479</v>
      </c>
      <c r="AI40" s="22">
        <f t="shared" ref="AI40:BN40" si="320">+SUM(AI34:AI39)</f>
        <v>678.49</v>
      </c>
      <c r="AJ40" s="22">
        <f t="shared" si="320"/>
        <v>767.29</v>
      </c>
      <c r="AK40" s="22">
        <f t="shared" si="320"/>
        <v>778.11</v>
      </c>
      <c r="AL40" s="22">
        <f t="shared" si="320"/>
        <v>791.61</v>
      </c>
      <c r="AM40" s="22">
        <f t="shared" si="320"/>
        <v>719.12000000000012</v>
      </c>
      <c r="AN40" s="22">
        <f t="shared" si="320"/>
        <v>832.02</v>
      </c>
      <c r="AO40" s="22">
        <f t="shared" si="320"/>
        <v>920.71</v>
      </c>
      <c r="AP40" s="22">
        <f t="shared" si="320"/>
        <v>836.41</v>
      </c>
      <c r="AQ40" s="22">
        <f t="shared" si="320"/>
        <v>774.55</v>
      </c>
      <c r="AR40" s="22">
        <f t="shared" si="320"/>
        <v>852.61</v>
      </c>
      <c r="AS40" s="22">
        <f t="shared" si="320"/>
        <v>907.77</v>
      </c>
      <c r="AT40" s="22">
        <f t="shared" si="320"/>
        <v>846.26</v>
      </c>
      <c r="AU40" s="22">
        <f t="shared" si="320"/>
        <v>557.74</v>
      </c>
      <c r="AV40" s="22">
        <f t="shared" si="320"/>
        <v>596.98</v>
      </c>
      <c r="AW40" s="22">
        <f t="shared" si="320"/>
        <v>614.15</v>
      </c>
      <c r="AX40" s="22">
        <f t="shared" si="320"/>
        <v>592.88</v>
      </c>
      <c r="AY40" s="22">
        <f t="shared" si="320"/>
        <v>545.15</v>
      </c>
      <c r="AZ40" s="22">
        <f t="shared" si="320"/>
        <v>591.71</v>
      </c>
      <c r="BA40" s="22">
        <f t="shared" si="320"/>
        <v>624.79000000000008</v>
      </c>
      <c r="BB40" s="22">
        <f t="shared" si="320"/>
        <v>665.26</v>
      </c>
      <c r="BC40" s="22">
        <f t="shared" si="320"/>
        <v>550.74</v>
      </c>
      <c r="BD40" s="22">
        <f t="shared" si="320"/>
        <v>555.66999999999996</v>
      </c>
      <c r="BE40" s="22">
        <f t="shared" si="320"/>
        <v>567.79999999999995</v>
      </c>
      <c r="BF40" s="22">
        <f t="shared" si="320"/>
        <v>602.91999999999996</v>
      </c>
      <c r="BG40" s="22">
        <f t="shared" si="320"/>
        <v>573.45999999999992</v>
      </c>
      <c r="BH40" s="22">
        <f t="shared" si="320"/>
        <v>596.21</v>
      </c>
      <c r="BI40" s="22">
        <f t="shared" si="320"/>
        <v>659.43</v>
      </c>
      <c r="BJ40" s="22">
        <f t="shared" si="320"/>
        <v>628.85</v>
      </c>
      <c r="BK40" s="22">
        <f t="shared" si="320"/>
        <v>676.57999999999993</v>
      </c>
      <c r="BL40" s="22">
        <f t="shared" si="320"/>
        <v>706.28</v>
      </c>
      <c r="BM40" s="22">
        <f t="shared" si="320"/>
        <v>767</v>
      </c>
      <c r="BN40" s="22">
        <f t="shared" si="320"/>
        <v>784.73</v>
      </c>
      <c r="BO40" s="22">
        <f t="shared" ref="BO40:CH40" si="321">+SUM(BO34:BO39)</f>
        <v>730.64</v>
      </c>
      <c r="BP40" s="22">
        <f t="shared" si="321"/>
        <v>735.61</v>
      </c>
      <c r="BQ40" s="22">
        <f t="shared" si="321"/>
        <v>798.67000000000007</v>
      </c>
      <c r="BR40" s="22">
        <f t="shared" si="321"/>
        <v>891.04</v>
      </c>
      <c r="BS40" s="22">
        <f t="shared" si="321"/>
        <v>826.56000000000006</v>
      </c>
      <c r="BT40" s="22">
        <f t="shared" si="321"/>
        <v>883.53</v>
      </c>
      <c r="BU40" s="22">
        <f t="shared" si="321"/>
        <v>940.14</v>
      </c>
      <c r="BV40" s="22">
        <f t="shared" si="321"/>
        <v>972.3900000000001</v>
      </c>
      <c r="BW40" s="22">
        <f t="shared" si="321"/>
        <v>960.45</v>
      </c>
      <c r="BX40" s="22">
        <f t="shared" si="321"/>
        <v>970</v>
      </c>
      <c r="BY40" s="22">
        <f t="shared" si="321"/>
        <v>988.87</v>
      </c>
      <c r="BZ40" s="22">
        <f t="shared" si="321"/>
        <v>1001.6600000000001</v>
      </c>
      <c r="CA40" s="22">
        <f t="shared" si="321"/>
        <v>1032.8499999999999</v>
      </c>
      <c r="CB40" s="22">
        <f t="shared" si="321"/>
        <v>1049.78</v>
      </c>
      <c r="CC40" s="22">
        <f t="shared" si="321"/>
        <v>1093.75</v>
      </c>
      <c r="CD40" s="22">
        <f t="shared" si="321"/>
        <v>1181.46</v>
      </c>
      <c r="CE40" s="22">
        <f t="shared" si="321"/>
        <v>1287.26</v>
      </c>
      <c r="CF40" s="22">
        <f t="shared" si="321"/>
        <v>1211.28</v>
      </c>
      <c r="CG40" s="22">
        <f t="shared" si="321"/>
        <v>1260.3900000000001</v>
      </c>
      <c r="CH40" s="22">
        <f t="shared" si="321"/>
        <v>1310.74</v>
      </c>
      <c r="CI40" s="22">
        <f t="shared" ref="CI40:CJ40" si="322">+SUM(CI34:CI39)</f>
        <v>1309.27</v>
      </c>
      <c r="CJ40" s="22">
        <f t="shared" si="322"/>
        <v>1417.79</v>
      </c>
      <c r="CK40" s="22">
        <f t="shared" ref="CK40:CL40" si="323">+SUM(CK34:CK39)</f>
        <v>1466.11</v>
      </c>
      <c r="CL40" s="22">
        <f t="shared" si="323"/>
        <v>1449.82</v>
      </c>
      <c r="CM40" s="21">
        <f t="shared" ref="CM40:DB40" si="324">CM41*CM24</f>
        <v>1515.1477563660039</v>
      </c>
      <c r="CN40" s="21">
        <f t="shared" si="324"/>
        <v>1596.1189641809449</v>
      </c>
      <c r="CO40" s="21">
        <f t="shared" si="324"/>
        <v>1621.4164649944894</v>
      </c>
      <c r="CP40" s="21">
        <f t="shared" si="324"/>
        <v>1706.3276984261174</v>
      </c>
      <c r="CQ40" s="21">
        <f t="shared" si="324"/>
        <v>1718.2090157792907</v>
      </c>
      <c r="CR40" s="21">
        <f t="shared" si="324"/>
        <v>1803.5081630370332</v>
      </c>
      <c r="CS40" s="21">
        <f t="shared" si="324"/>
        <v>1832.123975203051</v>
      </c>
      <c r="CT40" s="21">
        <f t="shared" si="324"/>
        <v>1945.3094901444786</v>
      </c>
      <c r="CU40" s="21">
        <f t="shared" si="324"/>
        <v>1947.6760050975911</v>
      </c>
      <c r="CV40" s="21">
        <f t="shared" si="324"/>
        <v>2046.6867950265332</v>
      </c>
      <c r="CW40" s="21">
        <f t="shared" si="324"/>
        <v>2077.8787817708057</v>
      </c>
      <c r="CX40" s="21">
        <f t="shared" si="324"/>
        <v>2214.9060322983087</v>
      </c>
      <c r="CY40" s="21">
        <f t="shared" si="324"/>
        <v>2211.3980528647003</v>
      </c>
      <c r="CZ40" s="21">
        <f t="shared" si="324"/>
        <v>2327.7565251498031</v>
      </c>
      <c r="DA40" s="21">
        <f t="shared" si="324"/>
        <v>2360.1583785605967</v>
      </c>
      <c r="DB40" s="21">
        <f t="shared" si="324"/>
        <v>2524.9100579521496</v>
      </c>
      <c r="DE40" s="126"/>
      <c r="DF40" s="22">
        <v>1493.4540127034854</v>
      </c>
    </row>
    <row r="41" spans="1:110" s="44" customFormat="1" x14ac:dyDescent="0.2">
      <c r="A41" s="43" t="s">
        <v>349</v>
      </c>
      <c r="B41" s="44">
        <f t="shared" ref="B41:E41" si="325">B40/B24</f>
        <v>0.66484714512042042</v>
      </c>
      <c r="C41" s="44">
        <f t="shared" si="325"/>
        <v>0.68525579255021452</v>
      </c>
      <c r="D41" s="44">
        <f t="shared" si="325"/>
        <v>0.70475729705007895</v>
      </c>
      <c r="E41" s="44">
        <f t="shared" si="325"/>
        <v>0.63538714493458925</v>
      </c>
      <c r="F41" s="44">
        <f t="shared" ref="F41:AE41" si="326">F40/F24</f>
        <v>0.60389210019267825</v>
      </c>
      <c r="G41" s="44">
        <f t="shared" si="326"/>
        <v>0.59562607736940787</v>
      </c>
      <c r="H41" s="44">
        <f t="shared" si="326"/>
        <v>0.57091022954986204</v>
      </c>
      <c r="I41" s="44">
        <f t="shared" si="326"/>
        <v>0.51339649381435326</v>
      </c>
      <c r="J41" s="44">
        <f t="shared" si="326"/>
        <v>0.51068142271330941</v>
      </c>
      <c r="K41" s="44">
        <f t="shared" si="326"/>
        <v>0.48243113065607485</v>
      </c>
      <c r="L41" s="44">
        <f t="shared" si="326"/>
        <v>0.47872242427658801</v>
      </c>
      <c r="M41" s="44">
        <f t="shared" si="326"/>
        <v>0.47219042148344509</v>
      </c>
      <c r="N41" s="44">
        <f t="shared" si="326"/>
        <v>0.47176976841828494</v>
      </c>
      <c r="O41" s="44">
        <f t="shared" si="326"/>
        <v>0.49019732267219551</v>
      </c>
      <c r="P41" s="44">
        <f t="shared" si="326"/>
        <v>0.48211584821959158</v>
      </c>
      <c r="Q41" s="44">
        <f t="shared" si="326"/>
        <v>0.41669604944745303</v>
      </c>
      <c r="R41" s="44">
        <f t="shared" si="326"/>
        <v>0.41646716964990299</v>
      </c>
      <c r="S41" s="44">
        <f t="shared" si="326"/>
        <v>0.38845987366752993</v>
      </c>
      <c r="T41" s="44">
        <f t="shared" si="326"/>
        <v>0.3901303178652693</v>
      </c>
      <c r="U41" s="44">
        <f t="shared" si="326"/>
        <v>0.36217058092311016</v>
      </c>
      <c r="V41" s="44">
        <f t="shared" si="326"/>
        <v>0.33097828569655485</v>
      </c>
      <c r="W41" s="44">
        <f t="shared" si="326"/>
        <v>0.35597732703331975</v>
      </c>
      <c r="X41" s="44">
        <f t="shared" si="326"/>
        <v>0.36990283795588236</v>
      </c>
      <c r="Y41" s="44">
        <f t="shared" si="326"/>
        <v>0.37376667532561475</v>
      </c>
      <c r="Z41" s="44">
        <f t="shared" ref="Z41:AA41" si="327">Z40/Z24</f>
        <v>0.36977233898843814</v>
      </c>
      <c r="AA41" s="44">
        <f t="shared" si="327"/>
        <v>0.3558386884851627</v>
      </c>
      <c r="AB41" s="52">
        <f t="shared" si="326"/>
        <v>0.27769920989680436</v>
      </c>
      <c r="AC41" s="52">
        <f t="shared" si="326"/>
        <v>0.27738400620447823</v>
      </c>
      <c r="AD41" s="52">
        <f t="shared" si="326"/>
        <v>0.27729138796664266</v>
      </c>
      <c r="AE41" s="52">
        <f t="shared" si="326"/>
        <v>0.27727108320305355</v>
      </c>
      <c r="AI41" s="44">
        <f t="shared" ref="AI41:BN41" si="328">AI40/AI24</f>
        <v>0.39330473595733578</v>
      </c>
      <c r="AJ41" s="44">
        <f t="shared" si="328"/>
        <v>0.411426579801067</v>
      </c>
      <c r="AK41" s="44">
        <f t="shared" si="328"/>
        <v>0.40708265539412902</v>
      </c>
      <c r="AL41" s="44">
        <f t="shared" si="328"/>
        <v>0.42801297648012976</v>
      </c>
      <c r="AM41" s="44">
        <f t="shared" si="328"/>
        <v>0.39654582951926159</v>
      </c>
      <c r="AN41" s="44">
        <f t="shared" si="328"/>
        <v>0.43032252725655296</v>
      </c>
      <c r="AO41" s="44">
        <f t="shared" si="328"/>
        <v>0.44249161356056027</v>
      </c>
      <c r="AP41" s="44">
        <f t="shared" si="328"/>
        <v>0.43792704444665509</v>
      </c>
      <c r="AQ41" s="44">
        <f t="shared" si="328"/>
        <v>0.4053834800540127</v>
      </c>
      <c r="AR41" s="44">
        <f t="shared" si="328"/>
        <v>0.42227648235830179</v>
      </c>
      <c r="AS41" s="44">
        <f t="shared" si="328"/>
        <v>0.42399346099953295</v>
      </c>
      <c r="AT41" s="44">
        <f t="shared" si="328"/>
        <v>0.44015291394689626</v>
      </c>
      <c r="AU41" s="44">
        <f t="shared" si="328"/>
        <v>0.33354064753794449</v>
      </c>
      <c r="AV41" s="44">
        <f t="shared" si="328"/>
        <v>0.35759082332504716</v>
      </c>
      <c r="AW41" s="44">
        <f t="shared" si="328"/>
        <v>0.3613476032736922</v>
      </c>
      <c r="AX41" s="44">
        <f t="shared" si="328"/>
        <v>0.37093252416554573</v>
      </c>
      <c r="AY41" s="44">
        <f t="shared" si="328"/>
        <v>0.31412420914339712</v>
      </c>
      <c r="AZ41" s="44">
        <f t="shared" si="328"/>
        <v>0.36488369798475617</v>
      </c>
      <c r="BA41" s="44">
        <f t="shared" si="328"/>
        <v>0.35890557323560168</v>
      </c>
      <c r="BB41" s="44">
        <f t="shared" si="328"/>
        <v>0.39552429591490929</v>
      </c>
      <c r="BC41" s="44">
        <f t="shared" si="328"/>
        <v>0.32312458196923294</v>
      </c>
      <c r="BD41" s="44">
        <f t="shared" si="328"/>
        <v>0.32838299431489115</v>
      </c>
      <c r="BE41" s="44">
        <f t="shared" si="328"/>
        <v>0.32813412005386067</v>
      </c>
      <c r="BF41" s="44">
        <f t="shared" si="328"/>
        <v>0.3570954750059227</v>
      </c>
      <c r="BG41" s="44">
        <f t="shared" si="328"/>
        <v>0.31813113353563482</v>
      </c>
      <c r="BH41" s="44">
        <f t="shared" si="328"/>
        <v>0.33858831145967622</v>
      </c>
      <c r="BI41" s="44">
        <f t="shared" si="328"/>
        <v>0.3447855775967541</v>
      </c>
      <c r="BJ41" s="44">
        <f t="shared" si="328"/>
        <v>0.35418990008223222</v>
      </c>
      <c r="BK41" s="44">
        <f t="shared" si="328"/>
        <v>0.28280860740022401</v>
      </c>
      <c r="BL41" s="44">
        <f t="shared" si="328"/>
        <v>0.30091987030638195</v>
      </c>
      <c r="BM41" s="44">
        <f t="shared" si="328"/>
        <v>0.30766638855015727</v>
      </c>
      <c r="BN41" s="44">
        <f t="shared" si="328"/>
        <v>0.32628699018307461</v>
      </c>
      <c r="BO41" s="44">
        <f t="shared" ref="BO41:CH41" si="329">BO40/BO24</f>
        <v>0.26922042366917104</v>
      </c>
      <c r="BP41" s="44">
        <f t="shared" si="329"/>
        <v>0.26448043029618817</v>
      </c>
      <c r="BQ41" s="44">
        <f t="shared" si="329"/>
        <v>0.26019038559272339</v>
      </c>
      <c r="BR41" s="44">
        <f t="shared" si="329"/>
        <v>0.29337354554493911</v>
      </c>
      <c r="BS41" s="44">
        <f t="shared" si="329"/>
        <v>0.27474521848387551</v>
      </c>
      <c r="BT41" s="44">
        <f t="shared" si="329"/>
        <v>0.29129411299256214</v>
      </c>
      <c r="BU41" s="44">
        <f t="shared" si="329"/>
        <v>0.29302638714865442</v>
      </c>
      <c r="BV41" s="44">
        <f t="shared" si="329"/>
        <v>0.30622502291042736</v>
      </c>
      <c r="BW41" s="44">
        <f t="shared" si="329"/>
        <v>0.28869825028630863</v>
      </c>
      <c r="BX41" s="44">
        <f t="shared" si="329"/>
        <v>0.28842865850938876</v>
      </c>
      <c r="BY41" s="44">
        <f t="shared" si="329"/>
        <v>0.28460376163819773</v>
      </c>
      <c r="BZ41" s="44">
        <f t="shared" si="329"/>
        <v>0.27679876641805279</v>
      </c>
      <c r="CA41" s="44">
        <f t="shared" si="329"/>
        <v>0.27607378361546125</v>
      </c>
      <c r="CB41" s="44">
        <f t="shared" si="329"/>
        <v>0.2811574329499863</v>
      </c>
      <c r="CC41" s="44">
        <f t="shared" si="329"/>
        <v>0.28753233506488041</v>
      </c>
      <c r="CD41" s="44">
        <f t="shared" si="329"/>
        <v>0.30086021176794148</v>
      </c>
      <c r="CE41" s="44">
        <f t="shared" si="329"/>
        <v>0.2957810880799252</v>
      </c>
      <c r="CF41" s="44">
        <f t="shared" si="329"/>
        <v>0.28741116871715172</v>
      </c>
      <c r="CG41" s="44">
        <f t="shared" si="329"/>
        <v>0.2836441951948438</v>
      </c>
      <c r="CH41" s="44">
        <f t="shared" si="329"/>
        <v>0.28443520491643193</v>
      </c>
      <c r="CI41" s="44">
        <f t="shared" ref="CI41:CJ41" si="330">CI40/CI24</f>
        <v>0.27396833169069934</v>
      </c>
      <c r="CJ41" s="44">
        <f t="shared" si="330"/>
        <v>0.28550514508951047</v>
      </c>
      <c r="CK41" s="44">
        <f t="shared" ref="CK41:CL41" si="331">CK40/CK24</f>
        <v>0.28679773082942095</v>
      </c>
      <c r="CL41" s="44">
        <f t="shared" si="331"/>
        <v>0.26682395898130529</v>
      </c>
      <c r="CM41" s="52">
        <f>AVERAGE(CI41:CL41)</f>
        <v>0.27827379164773403</v>
      </c>
      <c r="CN41" s="52">
        <f t="shared" ref="CN41:DB41" si="332">AVERAGE(CJ41:CM41)</f>
        <v>0.2793501566369927</v>
      </c>
      <c r="CO41" s="52">
        <f t="shared" si="332"/>
        <v>0.27781140952386324</v>
      </c>
      <c r="CP41" s="52">
        <f t="shared" si="332"/>
        <v>0.27556482919747383</v>
      </c>
      <c r="CQ41" s="52">
        <f t="shared" si="332"/>
        <v>0.27775004675151593</v>
      </c>
      <c r="CR41" s="52">
        <f t="shared" si="332"/>
        <v>0.27761911052746147</v>
      </c>
      <c r="CS41" s="52">
        <f t="shared" si="332"/>
        <v>0.2771863490000786</v>
      </c>
      <c r="CT41" s="52">
        <f t="shared" si="332"/>
        <v>0.27703008386913247</v>
      </c>
      <c r="CU41" s="52">
        <f t="shared" si="332"/>
        <v>0.27739639753704709</v>
      </c>
      <c r="CV41" s="52">
        <f t="shared" si="332"/>
        <v>0.27730798523342987</v>
      </c>
      <c r="CW41" s="52">
        <f t="shared" si="332"/>
        <v>0.27723020390992203</v>
      </c>
      <c r="CX41" s="52">
        <f t="shared" si="332"/>
        <v>0.27724116763738282</v>
      </c>
      <c r="CY41" s="52">
        <f t="shared" si="332"/>
        <v>0.27729393857944545</v>
      </c>
      <c r="CZ41" s="52">
        <f t="shared" si="332"/>
        <v>0.27726832384004502</v>
      </c>
      <c r="DA41" s="52">
        <f t="shared" si="332"/>
        <v>0.27725840849169886</v>
      </c>
      <c r="DB41" s="52">
        <f t="shared" si="332"/>
        <v>0.27726545963714305</v>
      </c>
      <c r="DE41" s="128"/>
      <c r="DF41" s="44">
        <v>0.2798498371002005</v>
      </c>
    </row>
    <row r="42" spans="1:110" s="26" customFormat="1" x14ac:dyDescent="0.2">
      <c r="A42" s="34" t="s">
        <v>13</v>
      </c>
      <c r="B42" s="26">
        <f t="shared" ref="B42:E42" si="333">B30-B40</f>
        <v>104.66500000000008</v>
      </c>
      <c r="C42" s="26">
        <f t="shared" si="333"/>
        <v>353.44339999999966</v>
      </c>
      <c r="D42" s="26">
        <f t="shared" si="333"/>
        <v>329.0683999999992</v>
      </c>
      <c r="E42" s="26">
        <f t="shared" si="333"/>
        <v>460.08539999999994</v>
      </c>
      <c r="F42" s="26">
        <f t="shared" ref="F42:AE42" si="334">F30-F40</f>
        <v>520.15260000000035</v>
      </c>
      <c r="G42" s="26">
        <f t="shared" si="334"/>
        <v>544.1560000000004</v>
      </c>
      <c r="H42" s="26">
        <f t="shared" si="334"/>
        <v>680.14220000000023</v>
      </c>
      <c r="I42" s="26">
        <f t="shared" si="334"/>
        <v>681.23589999999922</v>
      </c>
      <c r="J42" s="26">
        <f t="shared" si="334"/>
        <v>619.37440000000015</v>
      </c>
      <c r="K42" s="26">
        <f t="shared" si="334"/>
        <v>683.45669999999973</v>
      </c>
      <c r="L42" s="26">
        <f t="shared" si="334"/>
        <v>608.11439999999948</v>
      </c>
      <c r="M42" s="26">
        <f t="shared" si="334"/>
        <v>623.05420000000004</v>
      </c>
      <c r="N42" s="26">
        <f t="shared" si="334"/>
        <v>768.48970000000099</v>
      </c>
      <c r="O42" s="26">
        <f t="shared" si="334"/>
        <v>751.88689999999951</v>
      </c>
      <c r="P42" s="26">
        <f t="shared" si="334"/>
        <v>774.84999999999854</v>
      </c>
      <c r="Q42" s="26">
        <f t="shared" si="334"/>
        <v>654.33000000000038</v>
      </c>
      <c r="R42" s="26">
        <f t="shared" si="334"/>
        <v>791.12999999999965</v>
      </c>
      <c r="S42" s="26">
        <f t="shared" si="334"/>
        <v>838.91000000000031</v>
      </c>
      <c r="T42" s="26">
        <f t="shared" si="334"/>
        <v>785.90999999999985</v>
      </c>
      <c r="U42" s="26">
        <f t="shared" si="334"/>
        <v>1292.1499999999987</v>
      </c>
      <c r="V42" s="26">
        <f t="shared" si="334"/>
        <v>1543.7600000000011</v>
      </c>
      <c r="W42" s="26">
        <f t="shared" si="334"/>
        <v>1718.7800000000007</v>
      </c>
      <c r="X42" s="26">
        <f t="shared" si="334"/>
        <v>1851.5499999999993</v>
      </c>
      <c r="Y42" s="26">
        <f t="shared" si="334"/>
        <v>2279.9500000000007</v>
      </c>
      <c r="Z42" s="26">
        <f t="shared" ref="Z42:AA42" si="335">Z30-Z40</f>
        <v>2479.3500000000013</v>
      </c>
      <c r="AA42" s="26">
        <f t="shared" si="335"/>
        <v>2791.8</v>
      </c>
      <c r="AB42" s="27">
        <f t="shared" si="334"/>
        <v>3383.8374991891324</v>
      </c>
      <c r="AC42" s="27">
        <f t="shared" si="334"/>
        <v>3864.7229524602099</v>
      </c>
      <c r="AD42" s="27">
        <f t="shared" si="334"/>
        <v>4394.9011832461201</v>
      </c>
      <c r="AE42" s="27">
        <f t="shared" si="334"/>
        <v>4999.3824219795169</v>
      </c>
      <c r="AI42" s="26">
        <f t="shared" ref="AI42:BN42" si="336">AI30-AI40</f>
        <v>180.7800000000002</v>
      </c>
      <c r="AJ42" s="26">
        <f t="shared" si="336"/>
        <v>161.17000000000019</v>
      </c>
      <c r="AK42" s="26">
        <f t="shared" si="336"/>
        <v>203.22999999999968</v>
      </c>
      <c r="AL42" s="26">
        <f t="shared" si="336"/>
        <v>223.30999999999983</v>
      </c>
      <c r="AM42" s="26">
        <f t="shared" si="336"/>
        <v>207.11999999999989</v>
      </c>
      <c r="AN42" s="26">
        <f t="shared" si="336"/>
        <v>157.86000000000013</v>
      </c>
      <c r="AO42" s="26">
        <f t="shared" si="336"/>
        <v>196.26</v>
      </c>
      <c r="AP42" s="26">
        <f t="shared" si="336"/>
        <v>190.64999999999998</v>
      </c>
      <c r="AQ42" s="26">
        <f t="shared" si="336"/>
        <v>201.29999999999995</v>
      </c>
      <c r="AR42" s="26">
        <f t="shared" si="336"/>
        <v>185.98000000000013</v>
      </c>
      <c r="AS42" s="26">
        <f t="shared" si="336"/>
        <v>199.22000000000025</v>
      </c>
      <c r="AT42" s="26">
        <f t="shared" si="336"/>
        <v>188.3599999999999</v>
      </c>
      <c r="AU42" s="26">
        <f t="shared" si="336"/>
        <v>182.61999999999966</v>
      </c>
      <c r="AV42" s="26">
        <f t="shared" si="336"/>
        <v>140.74</v>
      </c>
      <c r="AW42" s="26">
        <f t="shared" si="336"/>
        <v>170.91999999999985</v>
      </c>
      <c r="AX42" s="26">
        <f t="shared" si="336"/>
        <v>160.04999999999984</v>
      </c>
      <c r="AY42" s="26">
        <f t="shared" si="336"/>
        <v>238.49</v>
      </c>
      <c r="AZ42" s="26">
        <f t="shared" si="336"/>
        <v>185.98000000000002</v>
      </c>
      <c r="BA42" s="26">
        <f t="shared" si="336"/>
        <v>181.4799999999999</v>
      </c>
      <c r="BB42" s="26">
        <f t="shared" si="336"/>
        <v>185.46000000000004</v>
      </c>
      <c r="BC42" s="26">
        <f t="shared" si="336"/>
        <v>244.17000000000019</v>
      </c>
      <c r="BD42" s="26">
        <f t="shared" si="336"/>
        <v>213.96000000000015</v>
      </c>
      <c r="BE42" s="26">
        <f t="shared" si="336"/>
        <v>235.08000000000015</v>
      </c>
      <c r="BF42" s="26">
        <f t="shared" si="336"/>
        <v>145.70000000000027</v>
      </c>
      <c r="BG42" s="26">
        <f t="shared" si="336"/>
        <v>248.7700000000001</v>
      </c>
      <c r="BH42" s="26">
        <f t="shared" si="336"/>
        <v>166.64999999999975</v>
      </c>
      <c r="BI42" s="26">
        <f t="shared" si="336"/>
        <v>196.21999999999991</v>
      </c>
      <c r="BJ42" s="26">
        <f t="shared" si="336"/>
        <v>174.26999999999998</v>
      </c>
      <c r="BK42" s="26">
        <f t="shared" si="336"/>
        <v>350.87000000000012</v>
      </c>
      <c r="BL42" s="26">
        <f t="shared" si="336"/>
        <v>314.79000000000019</v>
      </c>
      <c r="BM42" s="26">
        <f t="shared" si="336"/>
        <v>318.13000000000011</v>
      </c>
      <c r="BN42" s="26">
        <f t="shared" si="336"/>
        <v>308.36000000000013</v>
      </c>
      <c r="BO42" s="26">
        <f t="shared" ref="BO42:CT42" si="337">BO30-BO40</f>
        <v>482.65</v>
      </c>
      <c r="BP42" s="26">
        <f t="shared" si="337"/>
        <v>399.58000000000027</v>
      </c>
      <c r="BQ42" s="26">
        <f t="shared" si="337"/>
        <v>361.32999999999993</v>
      </c>
      <c r="BR42" s="26">
        <f t="shared" si="337"/>
        <v>300.19999999999982</v>
      </c>
      <c r="BS42" s="26">
        <f t="shared" si="337"/>
        <v>399.48999999999967</v>
      </c>
      <c r="BT42" s="26">
        <f t="shared" si="337"/>
        <v>413.29999999999995</v>
      </c>
      <c r="BU42" s="26">
        <f t="shared" si="337"/>
        <v>461.6600000000002</v>
      </c>
      <c r="BV42" s="26">
        <f t="shared" si="337"/>
        <v>444.3299999999997</v>
      </c>
      <c r="BW42" s="26">
        <f t="shared" si="337"/>
        <v>457.29999999999973</v>
      </c>
      <c r="BX42" s="26">
        <f t="shared" si="337"/>
        <v>433.84000000000037</v>
      </c>
      <c r="BY42" s="26">
        <f t="shared" si="337"/>
        <v>453.6600000000002</v>
      </c>
      <c r="BZ42" s="26">
        <f t="shared" si="337"/>
        <v>511.66999999999985</v>
      </c>
      <c r="CA42" s="26">
        <f t="shared" si="337"/>
        <v>545.0300000000002</v>
      </c>
      <c r="CB42" s="26">
        <f t="shared" si="337"/>
        <v>537.09000000000037</v>
      </c>
      <c r="CC42" s="26">
        <f t="shared" si="337"/>
        <v>572.38000000000011</v>
      </c>
      <c r="CD42" s="26">
        <f t="shared" si="337"/>
        <v>629.59999999999991</v>
      </c>
      <c r="CE42" s="26">
        <f t="shared" si="337"/>
        <v>667.37999999999988</v>
      </c>
      <c r="CF42" s="26">
        <f t="shared" si="337"/>
        <v>626.28999999999974</v>
      </c>
      <c r="CG42" s="26">
        <f t="shared" si="337"/>
        <v>564.73000000000025</v>
      </c>
      <c r="CH42" s="26">
        <f t="shared" si="337"/>
        <v>620.95000000000027</v>
      </c>
      <c r="CI42" s="26">
        <f t="shared" ref="CI42:CJ42" si="338">CI30-CI40</f>
        <v>606.94000000000005</v>
      </c>
      <c r="CJ42" s="26">
        <f t="shared" si="338"/>
        <v>671.77999999999929</v>
      </c>
      <c r="CK42" s="26">
        <f t="shared" ref="CK42:CL42" si="339">CK30-CK40</f>
        <v>720.66999999999985</v>
      </c>
      <c r="CL42" s="26">
        <f t="shared" si="339"/>
        <v>792.40999999999963</v>
      </c>
      <c r="CM42" s="27">
        <f t="shared" si="337"/>
        <v>770.05273987705482</v>
      </c>
      <c r="CN42" s="27">
        <f t="shared" si="337"/>
        <v>828.95198605103928</v>
      </c>
      <c r="CO42" s="27">
        <f t="shared" si="337"/>
        <v>861.11166228117713</v>
      </c>
      <c r="CP42" s="27">
        <f t="shared" si="337"/>
        <v>923.72111097986453</v>
      </c>
      <c r="CQ42" s="27">
        <f t="shared" si="337"/>
        <v>901.98920589313707</v>
      </c>
      <c r="CR42" s="27">
        <f t="shared" si="337"/>
        <v>954.32550202884886</v>
      </c>
      <c r="CS42" s="27">
        <f t="shared" si="337"/>
        <v>973.98887553947088</v>
      </c>
      <c r="CT42" s="27">
        <f t="shared" si="337"/>
        <v>1034.4193689987517</v>
      </c>
      <c r="CU42" s="27">
        <f t="shared" ref="CU42:DB42" si="340">CU30-CU40</f>
        <v>1031.0342932119268</v>
      </c>
      <c r="CV42" s="27">
        <f t="shared" si="340"/>
        <v>1085.7060577687844</v>
      </c>
      <c r="CW42" s="27">
        <f t="shared" si="340"/>
        <v>1102.9394064939743</v>
      </c>
      <c r="CX42" s="27">
        <f t="shared" si="340"/>
        <v>1175.2214257714372</v>
      </c>
      <c r="CY42" s="27">
        <f t="shared" si="340"/>
        <v>1172.7227108272555</v>
      </c>
      <c r="CZ42" s="27">
        <f t="shared" si="340"/>
        <v>1234.9769289055334</v>
      </c>
      <c r="DA42" s="27">
        <f t="shared" si="340"/>
        <v>1252.2110878177591</v>
      </c>
      <c r="DB42" s="27">
        <f t="shared" si="340"/>
        <v>1339.4716944289698</v>
      </c>
      <c r="DE42" s="121"/>
      <c r="DF42" s="26">
        <v>821.92388172185406</v>
      </c>
    </row>
    <row r="43" spans="1:110" s="168" customFormat="1" x14ac:dyDescent="0.2">
      <c r="A43" s="165" t="s">
        <v>14</v>
      </c>
      <c r="B43" s="166">
        <f t="shared" ref="B43:E43" si="341">B42/B24</f>
        <v>0.12928439454042256</v>
      </c>
      <c r="C43" s="166">
        <f t="shared" si="341"/>
        <v>0.1172210351760876</v>
      </c>
      <c r="D43" s="166">
        <f t="shared" si="341"/>
        <v>0.10018027788494747</v>
      </c>
      <c r="E43" s="166">
        <f t="shared" si="341"/>
        <v>0.15086971889629902</v>
      </c>
      <c r="F43" s="166">
        <f t="shared" ref="F43:AE43" si="342">F42/F24</f>
        <v>0.17102744185128935</v>
      </c>
      <c r="G43" s="166">
        <f t="shared" si="342"/>
        <v>0.17516549842669876</v>
      </c>
      <c r="H43" s="166">
        <f t="shared" si="342"/>
        <v>0.16898385363929783</v>
      </c>
      <c r="I43" s="166">
        <f t="shared" si="342"/>
        <v>0.15807234575143655</v>
      </c>
      <c r="J43" s="166">
        <f t="shared" si="342"/>
        <v>0.12776204533994984</v>
      </c>
      <c r="K43" s="166">
        <f t="shared" si="342"/>
        <v>0.11818477640755828</v>
      </c>
      <c r="L43" s="166">
        <f t="shared" si="342"/>
        <v>0.10129888379968854</v>
      </c>
      <c r="M43" s="166">
        <f t="shared" si="342"/>
        <v>9.3832829353307542E-2</v>
      </c>
      <c r="N43" s="166">
        <f t="shared" si="342"/>
        <v>0.10454251690278596</v>
      </c>
      <c r="O43" s="166">
        <f t="shared" si="342"/>
        <v>9.7173008422005561E-2</v>
      </c>
      <c r="P43" s="166">
        <f t="shared" si="342"/>
        <v>9.6936343653943893E-2</v>
      </c>
      <c r="Q43" s="166">
        <f t="shared" si="342"/>
        <v>9.8595051035630071E-2</v>
      </c>
      <c r="R43" s="166">
        <f t="shared" si="342"/>
        <v>0.11669358585746836</v>
      </c>
      <c r="S43" s="166">
        <f t="shared" si="342"/>
        <v>0.12309125723550518</v>
      </c>
      <c r="T43" s="166">
        <f t="shared" si="342"/>
        <v>0.1083789560780528</v>
      </c>
      <c r="U43" s="166">
        <f t="shared" si="342"/>
        <v>0.13407633993330151</v>
      </c>
      <c r="V43" s="166">
        <f t="shared" si="342"/>
        <v>0.1330594732128775</v>
      </c>
      <c r="W43" s="166">
        <f t="shared" si="342"/>
        <v>0.13832827513385923</v>
      </c>
      <c r="X43" s="166">
        <f t="shared" si="342"/>
        <v>0.13433421653670125</v>
      </c>
      <c r="Y43" s="166">
        <f t="shared" si="342"/>
        <v>0.14993900373869271</v>
      </c>
      <c r="Z43" s="166">
        <f t="shared" ref="Z43:AA43" si="343">Z42/Z24</f>
        <v>0.14072583620440118</v>
      </c>
      <c r="AA43" s="166">
        <f t="shared" si="343"/>
        <v>0.13759195837643659</v>
      </c>
      <c r="AB43" s="167">
        <f t="shared" si="342"/>
        <v>0.1459368553458614</v>
      </c>
      <c r="AC43" s="167">
        <f t="shared" si="342"/>
        <v>0.14686809297201667</v>
      </c>
      <c r="AD43" s="167">
        <f t="shared" si="342"/>
        <v>0.14705521197563406</v>
      </c>
      <c r="AE43" s="167">
        <f t="shared" si="342"/>
        <v>0.14708737021097562</v>
      </c>
      <c r="AI43" s="166">
        <f t="shared" ref="AI43:BN43" si="344">AI42/AI24</f>
        <v>0.10479392498985576</v>
      </c>
      <c r="AJ43" s="166">
        <f t="shared" si="344"/>
        <v>8.6420547467760622E-2</v>
      </c>
      <c r="AK43" s="166">
        <f t="shared" si="344"/>
        <v>0.10632353787478468</v>
      </c>
      <c r="AL43" s="166">
        <f t="shared" si="344"/>
        <v>0.12074074074074065</v>
      </c>
      <c r="AM43" s="166">
        <f t="shared" si="344"/>
        <v>0.11421261014855574</v>
      </c>
      <c r="AN43" s="166">
        <f t="shared" si="344"/>
        <v>8.1645530339077788E-2</v>
      </c>
      <c r="AO43" s="166">
        <f t="shared" si="344"/>
        <v>9.4322212289858418E-2</v>
      </c>
      <c r="AP43" s="166">
        <f t="shared" si="344"/>
        <v>9.9820412266418121E-2</v>
      </c>
      <c r="AQ43" s="166">
        <f t="shared" si="344"/>
        <v>0.10535626432750984</v>
      </c>
      <c r="AR43" s="166">
        <f t="shared" si="344"/>
        <v>9.2111258593022619E-2</v>
      </c>
      <c r="AS43" s="166">
        <f t="shared" si="344"/>
        <v>9.3049976646427016E-2</v>
      </c>
      <c r="AT43" s="166">
        <f t="shared" si="344"/>
        <v>9.7968949106701647E-2</v>
      </c>
      <c r="AU43" s="166">
        <f t="shared" si="344"/>
        <v>0.10921073090217541</v>
      </c>
      <c r="AV43" s="166">
        <f t="shared" si="344"/>
        <v>8.430321363323251E-2</v>
      </c>
      <c r="AW43" s="166">
        <f t="shared" si="344"/>
        <v>0.10056424709197984</v>
      </c>
      <c r="AX43" s="166">
        <f t="shared" si="344"/>
        <v>0.10013451371727085</v>
      </c>
      <c r="AY43" s="166">
        <f t="shared" si="344"/>
        <v>0.13742177866387009</v>
      </c>
      <c r="AZ43" s="166">
        <f t="shared" si="344"/>
        <v>0.11468636688784194</v>
      </c>
      <c r="BA43" s="166">
        <f t="shared" si="344"/>
        <v>0.10424972139566406</v>
      </c>
      <c r="BB43" s="166">
        <f t="shared" si="344"/>
        <v>0.11026355999215208</v>
      </c>
      <c r="BC43" s="166">
        <f t="shared" si="344"/>
        <v>0.14325694371105724</v>
      </c>
      <c r="BD43" s="166">
        <f t="shared" si="344"/>
        <v>0.12644343848617734</v>
      </c>
      <c r="BE43" s="166">
        <f t="shared" si="344"/>
        <v>0.13585376706985139</v>
      </c>
      <c r="BF43" s="166">
        <f t="shared" si="344"/>
        <v>8.6294716891731973E-2</v>
      </c>
      <c r="BG43" s="166">
        <f t="shared" si="344"/>
        <v>0.13800697884710339</v>
      </c>
      <c r="BH43" s="166">
        <f t="shared" si="344"/>
        <v>9.4640717372662247E-2</v>
      </c>
      <c r="BI43" s="166">
        <f t="shared" si="344"/>
        <v>0.10259440127994642</v>
      </c>
      <c r="BJ43" s="166">
        <f t="shared" si="344"/>
        <v>9.8154844378358266E-2</v>
      </c>
      <c r="BK43" s="166">
        <f t="shared" si="344"/>
        <v>0.14666270962564168</v>
      </c>
      <c r="BL43" s="166">
        <f t="shared" si="344"/>
        <v>0.13412041396294111</v>
      </c>
      <c r="BM43" s="166">
        <f t="shared" si="344"/>
        <v>0.12761135357165784</v>
      </c>
      <c r="BN43" s="166">
        <f t="shared" si="344"/>
        <v>0.12821461686548613</v>
      </c>
      <c r="BO43" s="166">
        <f t="shared" ref="BO43:CT43" si="345">BO42/BO24</f>
        <v>0.17784303827319256</v>
      </c>
      <c r="BP43" s="166">
        <f t="shared" si="345"/>
        <v>0.14366456456240526</v>
      </c>
      <c r="BQ43" s="166">
        <f t="shared" si="345"/>
        <v>0.11771393945712087</v>
      </c>
      <c r="BR43" s="166">
        <f t="shared" si="345"/>
        <v>9.8840386932787169E-2</v>
      </c>
      <c r="BS43" s="166">
        <f t="shared" si="345"/>
        <v>0.13278886872353285</v>
      </c>
      <c r="BT43" s="166">
        <f t="shared" si="345"/>
        <v>0.13626233053753231</v>
      </c>
      <c r="BU43" s="166">
        <f t="shared" si="345"/>
        <v>0.14389193300045511</v>
      </c>
      <c r="BV43" s="166">
        <f t="shared" si="345"/>
        <v>0.13992838720039294</v>
      </c>
      <c r="BW43" s="166">
        <f t="shared" si="345"/>
        <v>0.13745818091095721</v>
      </c>
      <c r="BX43" s="166">
        <f t="shared" si="345"/>
        <v>0.12900194763681788</v>
      </c>
      <c r="BY43" s="166">
        <f t="shared" si="345"/>
        <v>0.13056654818609609</v>
      </c>
      <c r="BZ43" s="166">
        <f t="shared" si="345"/>
        <v>0.14139490926374718</v>
      </c>
      <c r="CA43" s="166">
        <f t="shared" si="345"/>
        <v>0.14568281384899542</v>
      </c>
      <c r="CB43" s="166">
        <f t="shared" si="345"/>
        <v>0.14384618268885696</v>
      </c>
      <c r="CC43" s="166">
        <f t="shared" si="345"/>
        <v>0.15047109297777034</v>
      </c>
      <c r="CD43" s="166">
        <f t="shared" si="345"/>
        <v>0.16032839819299502</v>
      </c>
      <c r="CE43" s="166">
        <f t="shared" si="345"/>
        <v>0.15334771729315014</v>
      </c>
      <c r="CF43" s="166">
        <f t="shared" si="345"/>
        <v>0.14860539334907277</v>
      </c>
      <c r="CG43" s="166">
        <f t="shared" si="345"/>
        <v>0.12708954081862295</v>
      </c>
      <c r="CH43" s="166">
        <f t="shared" si="345"/>
        <v>0.13474834100802485</v>
      </c>
      <c r="CI43" s="166">
        <f t="shared" ref="CI43:CJ43" si="346">CI42/CI24</f>
        <v>0.12700385652795304</v>
      </c>
      <c r="CJ43" s="166">
        <f t="shared" si="346"/>
        <v>0.13527860005235695</v>
      </c>
      <c r="CK43" s="166">
        <f t="shared" ref="CK43:CL43" si="347">CK42/CK24</f>
        <v>0.14097613458528949</v>
      </c>
      <c r="CL43" s="166">
        <f t="shared" si="347"/>
        <v>0.14583463694553533</v>
      </c>
      <c r="CM43" s="167">
        <f t="shared" si="345"/>
        <v>0.14142877801453893</v>
      </c>
      <c r="CN43" s="167">
        <f t="shared" si="345"/>
        <v>0.14508183433979435</v>
      </c>
      <c r="CO43" s="167">
        <f t="shared" si="345"/>
        <v>0.14754176352624107</v>
      </c>
      <c r="CP43" s="167">
        <f t="shared" si="345"/>
        <v>0.14917711903056746</v>
      </c>
      <c r="CQ43" s="167">
        <f t="shared" si="345"/>
        <v>0.14580737372778552</v>
      </c>
      <c r="CR43" s="167">
        <f t="shared" si="345"/>
        <v>0.146902022656097</v>
      </c>
      <c r="CS43" s="167">
        <f t="shared" si="345"/>
        <v>0.14735706973517274</v>
      </c>
      <c r="CT43" s="167">
        <f t="shared" si="345"/>
        <v>0.14731089628740565</v>
      </c>
      <c r="CU43" s="167">
        <f t="shared" ref="CU43:DB43" si="348">CU42/CU24</f>
        <v>0.14684434060161528</v>
      </c>
      <c r="CV43" s="167">
        <f t="shared" si="348"/>
        <v>0.1471035823200727</v>
      </c>
      <c r="CW43" s="167">
        <f t="shared" si="348"/>
        <v>0.14715397223606652</v>
      </c>
      <c r="CX43" s="167">
        <f t="shared" si="348"/>
        <v>0.14710319786129009</v>
      </c>
      <c r="CY43" s="167">
        <f t="shared" si="348"/>
        <v>0.14705127325476114</v>
      </c>
      <c r="CZ43" s="167">
        <f t="shared" si="348"/>
        <v>0.1471030064180476</v>
      </c>
      <c r="DA43" s="167">
        <f t="shared" si="348"/>
        <v>0.14710286244254134</v>
      </c>
      <c r="DB43" s="167">
        <f t="shared" si="348"/>
        <v>0.14709008499416001</v>
      </c>
      <c r="DE43" s="169"/>
      <c r="DF43" s="168">
        <v>0.1540156325217181</v>
      </c>
    </row>
    <row r="44" spans="1:110" s="38" customFormat="1" x14ac:dyDescent="0.2">
      <c r="A44" s="39" t="s">
        <v>449</v>
      </c>
      <c r="B44" s="39"/>
      <c r="C44" s="39">
        <f t="shared" ref="C44:E44" si="349">+IF(B42&lt;0,1-C42/B42,C42/B42-1)</f>
        <v>2.376901543018195</v>
      </c>
      <c r="D44" s="39">
        <f t="shared" si="349"/>
        <v>-6.8964366005986988E-2</v>
      </c>
      <c r="E44" s="39">
        <f t="shared" si="349"/>
        <v>0.39814518805209209</v>
      </c>
      <c r="F44" s="39">
        <f t="shared" ref="F44:Y44" si="350">+IF(E42&lt;0,1-F42/E42,F42/E42-1)</f>
        <v>0.13055663144277219</v>
      </c>
      <c r="G44" s="39">
        <f t="shared" si="350"/>
        <v>4.6146842292050572E-2</v>
      </c>
      <c r="H44" s="39">
        <f t="shared" si="350"/>
        <v>0.24990296900153575</v>
      </c>
      <c r="I44" s="39">
        <f t="shared" si="350"/>
        <v>1.6080460821266129E-3</v>
      </c>
      <c r="J44" s="39">
        <f t="shared" si="350"/>
        <v>-9.0807751030148487E-2</v>
      </c>
      <c r="K44" s="39">
        <f t="shared" si="350"/>
        <v>0.10346294583696003</v>
      </c>
      <c r="L44" s="39">
        <f t="shared" si="350"/>
        <v>-0.11023712255655738</v>
      </c>
      <c r="M44" s="39">
        <f t="shared" si="350"/>
        <v>2.4567416920238339E-2</v>
      </c>
      <c r="N44" s="39">
        <f t="shared" si="350"/>
        <v>0.23342351275378759</v>
      </c>
      <c r="O44" s="39">
        <f t="shared" si="350"/>
        <v>-2.1604453514473154E-2</v>
      </c>
      <c r="P44" s="39">
        <f t="shared" si="350"/>
        <v>3.0540630512380318E-2</v>
      </c>
      <c r="Q44" s="39">
        <f t="shared" si="350"/>
        <v>-0.15553978189326756</v>
      </c>
      <c r="R44" s="39">
        <f t="shared" si="350"/>
        <v>0.20906881848608383</v>
      </c>
      <c r="S44" s="39">
        <f t="shared" si="350"/>
        <v>6.0394625409225577E-2</v>
      </c>
      <c r="T44" s="39">
        <f t="shared" si="350"/>
        <v>-6.3177218056764683E-2</v>
      </c>
      <c r="U44" s="39">
        <f t="shared" si="350"/>
        <v>0.64414500388085028</v>
      </c>
      <c r="V44" s="39">
        <f t="shared" si="350"/>
        <v>0.19472197500290411</v>
      </c>
      <c r="W44" s="39">
        <f t="shared" si="350"/>
        <v>0.1133725449551739</v>
      </c>
      <c r="X44" s="39">
        <f t="shared" si="350"/>
        <v>7.7246651694806046E-2</v>
      </c>
      <c r="Y44" s="39">
        <f t="shared" si="350"/>
        <v>0.23137371391536909</v>
      </c>
      <c r="Z44" s="39">
        <f t="shared" ref="Z44:AE44" si="351">+IF(Y42&lt;0,1-Z42/Y42,Z42/Y42-1)</f>
        <v>8.7458058290752261E-2</v>
      </c>
      <c r="AA44" s="39">
        <f t="shared" si="351"/>
        <v>0.12602093290580152</v>
      </c>
      <c r="AB44" s="40">
        <f t="shared" si="351"/>
        <v>0.21206300565553837</v>
      </c>
      <c r="AC44" s="40">
        <f t="shared" si="351"/>
        <v>0.14211245468681999</v>
      </c>
      <c r="AD44" s="40">
        <f t="shared" si="351"/>
        <v>0.13718401999512242</v>
      </c>
      <c r="AE44" s="40">
        <f t="shared" si="351"/>
        <v>0.13754148581036363</v>
      </c>
      <c r="AI44" s="39"/>
      <c r="AJ44" s="39"/>
      <c r="AK44" s="39"/>
      <c r="AL44" s="39"/>
      <c r="AM44" s="39">
        <f>+IF(AI42&lt;0,1-AM42/AI42,AM42/AI42-1)</f>
        <v>0.1457019581812129</v>
      </c>
      <c r="AN44" s="39">
        <f t="shared" ref="AN44" si="352">+IF(AJ42&lt;0,1-AN42/AJ42,AN42/AJ42-1)</f>
        <v>-2.0537320841347961E-2</v>
      </c>
      <c r="AO44" s="39">
        <f t="shared" ref="AO44" si="353">+IF(AK42&lt;0,1-AO42/AK42,AO42/AK42-1)</f>
        <v>-3.429611769915708E-2</v>
      </c>
      <c r="AP44" s="39">
        <f t="shared" ref="AP44" si="354">+IF(AL42&lt;0,1-AP42/AL42,AP42/AL42-1)</f>
        <v>-0.14625408624781644</v>
      </c>
      <c r="AQ44" s="39">
        <f t="shared" ref="AQ44" si="355">+IF(AM42&lt;0,1-AQ42/AM42,AQ42/AM42-1)</f>
        <v>-2.8099652375434214E-2</v>
      </c>
      <c r="AR44" s="39">
        <f t="shared" ref="AR44" si="356">+IF(AN42&lt;0,1-AR42/AN42,AR42/AN42-1)</f>
        <v>0.1781325224882806</v>
      </c>
      <c r="AS44" s="39">
        <f t="shared" ref="AS44" si="357">+IF(AO42&lt;0,1-AS42/AO42,AS42/AO42-1)</f>
        <v>1.5082034036483671E-2</v>
      </c>
      <c r="AT44" s="39">
        <f t="shared" ref="AT44" si="358">+IF(AP42&lt;0,1-AT42/AP42,AT42/AP42-1)</f>
        <v>-1.2011539470233812E-2</v>
      </c>
      <c r="AU44" s="39">
        <f t="shared" ref="AU44" si="359">+IF(AQ42&lt;0,1-AU42/AQ42,AU42/AQ42-1)</f>
        <v>-9.2796820665674629E-2</v>
      </c>
      <c r="AV44" s="39">
        <f t="shared" ref="AV44" si="360">+IF(AR42&lt;0,1-AV42/AR42,AV42/AR42-1)</f>
        <v>-0.24325196257662163</v>
      </c>
      <c r="AW44" s="39">
        <f t="shared" ref="AW44" si="361">+IF(AS42&lt;0,1-AW42/AS42,AW42/AS42-1)</f>
        <v>-0.14205401064150369</v>
      </c>
      <c r="AX44" s="39">
        <f t="shared" ref="AX44" si="362">+IF(AT42&lt;0,1-AX42/AT42,AX42/AT42-1)</f>
        <v>-0.15029730303673861</v>
      </c>
      <c r="AY44" s="39">
        <f t="shared" ref="AY44" si="363">+IF(AU42&lt;0,1-AY42/AU42,AY42/AU42-1)</f>
        <v>0.30593582302048206</v>
      </c>
      <c r="AZ44" s="39">
        <f t="shared" ref="AZ44" si="364">+IF(AV42&lt;0,1-AZ42/AV42,AZ42/AV42-1)</f>
        <v>0.32144379707261628</v>
      </c>
      <c r="BA44" s="39">
        <f t="shared" ref="BA44" si="365">+IF(AW42&lt;0,1-BA42/AW42,BA42/AW42-1)</f>
        <v>6.1783290428270909E-2</v>
      </c>
      <c r="BB44" s="39">
        <f t="shared" ref="BB44" si="366">+IF(AX42&lt;0,1-BB42/AX42,BB42/AX42-1)</f>
        <v>0.15876288659793958</v>
      </c>
      <c r="BC44" s="39">
        <f t="shared" ref="BC44" si="367">+IF(AY42&lt;0,1-BC42/AY42,BC42/AY42-1)</f>
        <v>2.3816512222735398E-2</v>
      </c>
      <c r="BD44" s="39">
        <f t="shared" ref="BD44" si="368">+IF(AZ42&lt;0,1-BD42/AZ42,BD42/AZ42-1)</f>
        <v>0.15044628454672604</v>
      </c>
      <c r="BE44" s="39">
        <f t="shared" ref="BE44" si="369">+IF(BA42&lt;0,1-BE42/BA42,BE42/BA42-1)</f>
        <v>0.29534934979061211</v>
      </c>
      <c r="BF44" s="39">
        <f t="shared" ref="BF44" si="370">+IF(BB42&lt;0,1-BF42/BB42,BF42/BB42-1)</f>
        <v>-0.21438585139652622</v>
      </c>
      <c r="BG44" s="39">
        <f t="shared" ref="BG44" si="371">+IF(BC42&lt;0,1-BG42/BC42,BG42/BC42-1)</f>
        <v>1.883933325142273E-2</v>
      </c>
      <c r="BH44" s="39">
        <f t="shared" ref="BH44" si="372">+IF(BD42&lt;0,1-BH42/BD42,BH42/BD42-1)</f>
        <v>-0.221116096466631</v>
      </c>
      <c r="BI44" s="39">
        <f t="shared" ref="BI44" si="373">+IF(BE42&lt;0,1-BI42/BE42,BI42/BE42-1)</f>
        <v>-0.16530542793942582</v>
      </c>
      <c r="BJ44" s="39">
        <f t="shared" ref="BJ44" si="374">+IF(BF42&lt;0,1-BJ42/BF42,BJ42/BF42-1)</f>
        <v>0.19608785175016918</v>
      </c>
      <c r="BK44" s="39">
        <f t="shared" ref="BK44" si="375">+IF(BG42&lt;0,1-BK42/BG42,BK42/BG42-1)</f>
        <v>0.41041926277284224</v>
      </c>
      <c r="BL44" s="39">
        <f t="shared" ref="BL44" si="376">+IF(BH42&lt;0,1-BL42/BH42,BL42/BH42-1)</f>
        <v>0.88892889288929289</v>
      </c>
      <c r="BM44" s="39">
        <f t="shared" ref="BM44" si="377">+IF(BI42&lt;0,1-BM42/BI42,BM42/BI42-1)</f>
        <v>0.62129242686780262</v>
      </c>
      <c r="BN44" s="39">
        <f t="shared" ref="BN44" si="378">+IF(BJ42&lt;0,1-BN42/BJ42,BN42/BJ42-1)</f>
        <v>0.76943822803695516</v>
      </c>
      <c r="BO44" s="39">
        <f t="shared" ref="BO44" si="379">+IF(BK42&lt;0,1-BO42/BK42,BO42/BK42-1)</f>
        <v>0.37558069940433736</v>
      </c>
      <c r="BP44" s="39">
        <f t="shared" ref="BP44" si="380">+IF(BL42&lt;0,1-BP42/BL42,BP42/BL42-1)</f>
        <v>0.26935417262301864</v>
      </c>
      <c r="BQ44" s="39">
        <f t="shared" ref="BQ44" si="381">+IF(BM42&lt;0,1-BQ42/BM42,BQ42/BM42-1)</f>
        <v>0.13579354351994399</v>
      </c>
      <c r="BR44" s="39">
        <f t="shared" ref="BR44" si="382">+IF(BN42&lt;0,1-BR42/BN42,BR42/BN42-1)</f>
        <v>-2.646257620962611E-2</v>
      </c>
      <c r="BS44" s="39">
        <f t="shared" ref="BS44" si="383">+IF(BO42&lt;0,1-BS42/BO42,BS42/BO42-1)</f>
        <v>-0.17229876722262571</v>
      </c>
      <c r="BT44" s="39">
        <f t="shared" ref="BT44" si="384">+IF(BP42&lt;0,1-BT42/BP42,BT42/BP42-1)</f>
        <v>3.4336052855497456E-2</v>
      </c>
      <c r="BU44" s="39">
        <f t="shared" ref="BU44" si="385">+IF(BQ42&lt;0,1-BU42/BQ42,BU42/BQ42-1)</f>
        <v>0.27766861317908909</v>
      </c>
      <c r="BV44" s="39">
        <f t="shared" ref="BV44" si="386">+IF(BR42&lt;0,1-BV42/BR42,BV42/BR42-1)</f>
        <v>0.48011325782811443</v>
      </c>
      <c r="BW44" s="39">
        <f t="shared" ref="BW44" si="387">+IF(BS42&lt;0,1-BW42/BS42,BW42/BS42-1)</f>
        <v>0.14470950461838861</v>
      </c>
      <c r="BX44" s="39">
        <f t="shared" ref="BX44" si="388">+IF(BT42&lt;0,1-BX42/BT42,BX42/BT42-1)</f>
        <v>4.9697556254537645E-2</v>
      </c>
      <c r="BY44" s="39">
        <f t="shared" ref="BY44" si="389">+IF(BU42&lt;0,1-BY42/BU42,BY42/BU42-1)</f>
        <v>-1.7328770090542789E-2</v>
      </c>
      <c r="BZ44" s="39">
        <f t="shared" ref="BZ44" si="390">+IF(BV42&lt;0,1-BZ42/BV42,BZ42/BV42-1)</f>
        <v>0.15155402516147953</v>
      </c>
      <c r="CA44" s="39">
        <f t="shared" ref="CA44" si="391">+IF(BW42&lt;0,1-CA42/BW42,CA42/BW42-1)</f>
        <v>0.19184342882134375</v>
      </c>
      <c r="CB44" s="39">
        <f t="shared" ref="CB44" si="392">+IF(BX42&lt;0,1-CB42/BX42,CB42/BX42-1)</f>
        <v>0.23799096441084244</v>
      </c>
      <c r="CC44" s="39">
        <f t="shared" ref="CC44" si="393">+IF(BY42&lt;0,1-CC42/BY42,CC42/BY42-1)</f>
        <v>0.26169377948243144</v>
      </c>
      <c r="CD44" s="39">
        <f t="shared" ref="CD44" si="394">+IF(BZ42&lt;0,1-CD42/BZ42,CD42/BZ42-1)</f>
        <v>0.23048058318838338</v>
      </c>
      <c r="CE44" s="39">
        <f t="shared" ref="CE44" si="395">+IF(CA42&lt;0,1-CE42/CA42,CE42/CA42-1)</f>
        <v>0.22448305597856932</v>
      </c>
      <c r="CF44" s="39">
        <f t="shared" ref="CF44" si="396">+IF(CB42&lt;0,1-CF42/CB42,CF42/CB42-1)</f>
        <v>0.16608017278295883</v>
      </c>
      <c r="CG44" s="39">
        <f t="shared" ref="CG44" si="397">+IF(CC42&lt;0,1-CG42/CC42,CG42/CC42-1)</f>
        <v>-1.3365246863971225E-2</v>
      </c>
      <c r="CH44" s="39">
        <f t="shared" ref="CH44:CL44" si="398">+IF(CD42&lt;0,1-CH42/CD42,CH42/CD42-1)</f>
        <v>-1.3738881829732597E-2</v>
      </c>
      <c r="CI44" s="39">
        <f t="shared" si="398"/>
        <v>-9.0563097485690025E-2</v>
      </c>
      <c r="CJ44" s="39">
        <f t="shared" si="398"/>
        <v>7.2634083252166803E-2</v>
      </c>
      <c r="CK44" s="39">
        <f t="shared" si="398"/>
        <v>0.27613195686434144</v>
      </c>
      <c r="CL44" s="39">
        <f t="shared" si="398"/>
        <v>0.2761252918914554</v>
      </c>
      <c r="CM44" s="40">
        <f t="shared" ref="CM44" si="399">+CM42/CI42-1</f>
        <v>0.26874607024920882</v>
      </c>
      <c r="CN44" s="40">
        <f t="shared" ref="CN44" si="400">+CN42/CJ42-1</f>
        <v>0.233963479191164</v>
      </c>
      <c r="CO44" s="40">
        <f t="shared" ref="CO44" si="401">+CO42/CK42-1</f>
        <v>0.19487652085028828</v>
      </c>
      <c r="CP44" s="40">
        <f t="shared" ref="CP44" si="402">+CP42/CL42-1</f>
        <v>0.16571107252541606</v>
      </c>
      <c r="CQ44" s="40">
        <f t="shared" ref="CQ44" si="403">+CQ42/CM42-1</f>
        <v>0.17133432449983488</v>
      </c>
      <c r="CR44" s="40">
        <f t="shared" ref="CR44" si="404">+CR42/CN42-1</f>
        <v>0.15124339899957762</v>
      </c>
      <c r="CS44" s="40">
        <f t="shared" ref="CS44" si="405">+CS42/CO42-1</f>
        <v>0.13108313149454953</v>
      </c>
      <c r="CT44" s="40">
        <f t="shared" ref="CT44" si="406">+CT42/CP42-1</f>
        <v>0.11983948044822834</v>
      </c>
      <c r="CU44" s="40">
        <f t="shared" ref="CU44" si="407">+CU42/CQ42-1</f>
        <v>0.14306721907055531</v>
      </c>
      <c r="CV44" s="40">
        <f t="shared" ref="CV44" si="408">+CV42/CR42-1</f>
        <v>0.13766849514198976</v>
      </c>
      <c r="CW44" s="40">
        <f t="shared" ref="CW44" si="409">+CW42/CS42-1</f>
        <v>0.1323942543831218</v>
      </c>
      <c r="CX44" s="40">
        <f t="shared" ref="CX44" si="410">+CX42/CT42-1</f>
        <v>0.13611699567166125</v>
      </c>
      <c r="CY44" s="40">
        <f t="shared" ref="CY44" si="411">+CY42/CU42-1</f>
        <v>0.13742357412180173</v>
      </c>
      <c r="CZ44" s="40">
        <f t="shared" ref="CZ44" si="412">+CZ42/CV42-1</f>
        <v>0.13748737060886729</v>
      </c>
      <c r="DA44" s="40">
        <f t="shared" ref="DA44" si="413">+DA42/CW42-1</f>
        <v>0.13533987492412658</v>
      </c>
      <c r="DB44" s="40">
        <f t="shared" ref="DB44" si="414">+DB42/CX42-1</f>
        <v>0.13976112505753169</v>
      </c>
      <c r="DE44" s="122"/>
      <c r="DF44" s="38">
        <v>0.32365549838449748</v>
      </c>
    </row>
    <row r="45" spans="1:110" s="38" customFormat="1" x14ac:dyDescent="0.2">
      <c r="A45" s="39" t="s">
        <v>450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40"/>
      <c r="AC45" s="40"/>
      <c r="AD45" s="40"/>
      <c r="AE45" s="40"/>
      <c r="AI45" s="39"/>
      <c r="AJ45" s="39">
        <f>+IF(AI42&lt;0,1-AJ42/AI42,AJ42/AI42-1)</f>
        <v>-0.10847438875981852</v>
      </c>
      <c r="AK45" s="39">
        <f t="shared" ref="AK45:AM45" si="415">+IF(AJ42&lt;0,1-AK42/AJ42,AK42/AJ42-1)</f>
        <v>0.26096668114413002</v>
      </c>
      <c r="AL45" s="39">
        <f t="shared" si="415"/>
        <v>9.8804310387246908E-2</v>
      </c>
      <c r="AM45" s="39">
        <f t="shared" si="415"/>
        <v>-7.2500111951994795E-2</v>
      </c>
      <c r="AN45" s="39">
        <f t="shared" ref="AN45" si="416">+IF(AM42&lt;0,1-AN42/AM42,AN42/AM42-1)</f>
        <v>-0.23783314020857371</v>
      </c>
      <c r="AO45" s="39">
        <f t="shared" ref="AO45" si="417">+IF(AN42&lt;0,1-AO42/AN42,AO42/AN42-1)</f>
        <v>0.24325351577346921</v>
      </c>
      <c r="AP45" s="39">
        <f t="shared" ref="AP45" si="418">+IF(AO42&lt;0,1-AP42/AO42,AP42/AO42-1)</f>
        <v>-2.858453072454914E-2</v>
      </c>
      <c r="AQ45" s="39">
        <f t="shared" ref="AQ45" si="419">+IF(AP42&lt;0,1-AQ42/AP42,AQ42/AP42-1)</f>
        <v>5.5861526357198876E-2</v>
      </c>
      <c r="AR45" s="39">
        <f t="shared" ref="AR45" si="420">+IF(AQ42&lt;0,1-AR42/AQ42,AR42/AQ42-1)</f>
        <v>-7.6105315449576882E-2</v>
      </c>
      <c r="AS45" s="39">
        <f t="shared" ref="AS45" si="421">+IF(AR42&lt;0,1-AS42/AR42,AS42/AR42-1)</f>
        <v>7.1190450586085197E-2</v>
      </c>
      <c r="AT45" s="39">
        <f t="shared" ref="AT45" si="422">+IF(AS42&lt;0,1-AT42/AS42,AT42/AS42-1)</f>
        <v>-5.4512599136634532E-2</v>
      </c>
      <c r="AU45" s="39">
        <f t="shared" ref="AU45" si="423">+IF(AT42&lt;0,1-AU42/AT42,AU42/AT42-1)</f>
        <v>-3.0473561265662807E-2</v>
      </c>
      <c r="AV45" s="39">
        <f t="shared" ref="AV45" si="424">+IF(AU42&lt;0,1-AV42/AU42,AV42/AU42-1)</f>
        <v>-0.22932866060672286</v>
      </c>
      <c r="AW45" s="39">
        <f t="shared" ref="AW45" si="425">+IF(AV42&lt;0,1-AW42/AV42,AW42/AV42-1)</f>
        <v>0.21443797072616055</v>
      </c>
      <c r="AX45" s="39">
        <f t="shared" ref="AX45" si="426">+IF(AW42&lt;0,1-AX42/AW42,AX42/AW42-1)</f>
        <v>-6.3597004446524719E-2</v>
      </c>
      <c r="AY45" s="39">
        <f t="shared" ref="AY45" si="427">+IF(AX42&lt;0,1-AY42/AX42,AY42/AX42-1)</f>
        <v>0.49009684473602144</v>
      </c>
      <c r="AZ45" s="39">
        <f t="shared" ref="AZ45" si="428">+IF(AY42&lt;0,1-AZ42/AY42,AZ42/AY42-1)</f>
        <v>-0.22017694662249987</v>
      </c>
      <c r="BA45" s="39">
        <f t="shared" ref="BA45" si="429">+IF(AZ42&lt;0,1-BA42/AZ42,BA42/AZ42-1)</f>
        <v>-2.4196150123669824E-2</v>
      </c>
      <c r="BB45" s="39">
        <f t="shared" ref="BB45" si="430">+IF(BA42&lt;0,1-BB42/BA42,BB42/BA42-1)</f>
        <v>2.1930791271766115E-2</v>
      </c>
      <c r="BC45" s="39">
        <f t="shared" ref="BC45" si="431">+IF(BB42&lt;0,1-BC42/BB42,BC42/BB42-1)</f>
        <v>0.31656421869945084</v>
      </c>
      <c r="BD45" s="39">
        <f t="shared" ref="BD45" si="432">+IF(BC42&lt;0,1-BD42/BC42,BD42/BC42-1)</f>
        <v>-0.12372527337510753</v>
      </c>
      <c r="BE45" s="39">
        <f t="shared" ref="BE45" si="433">+IF(BD42&lt;0,1-BE42/BD42,BE42/BD42-1)</f>
        <v>9.8710039259674698E-2</v>
      </c>
      <c r="BF45" s="39">
        <f t="shared" ref="BF45" si="434">+IF(BE42&lt;0,1-BF42/BE42,BF42/BE42-1)</f>
        <v>-0.38021099200272168</v>
      </c>
      <c r="BG45" s="39">
        <f t="shared" ref="BG45" si="435">+IF(BF42&lt;0,1-BG42/BF42,BG42/BF42-1)</f>
        <v>0.70741249142072493</v>
      </c>
      <c r="BH45" s="39">
        <f t="shared" ref="BH45" si="436">+IF(BG42&lt;0,1-BH42/BG42,BH42/BG42-1)</f>
        <v>-0.33010411223218361</v>
      </c>
      <c r="BI45" s="39">
        <f t="shared" ref="BI45" si="437">+IF(BH42&lt;0,1-BI42/BH42,BI42/BH42-1)</f>
        <v>0.1774377437743786</v>
      </c>
      <c r="BJ45" s="39">
        <f t="shared" ref="BJ45" si="438">+IF(BI42&lt;0,1-BJ42/BI42,BJ42/BI42-1)</f>
        <v>-0.11186423402303503</v>
      </c>
      <c r="BK45" s="39">
        <f t="shared" ref="BK45" si="439">+IF(BJ42&lt;0,1-BK42/BJ42,BK42/BJ42-1)</f>
        <v>1.0133700579560463</v>
      </c>
      <c r="BL45" s="39">
        <f t="shared" ref="BL45" si="440">+IF(BK42&lt;0,1-BL42/BK42,BL42/BK42-1)</f>
        <v>-0.10283010801721415</v>
      </c>
      <c r="BM45" s="39">
        <f t="shared" ref="BM45" si="441">+IF(BL42&lt;0,1-BM42/BL42,BM42/BL42-1)</f>
        <v>1.0610248101909026E-2</v>
      </c>
      <c r="BN45" s="39">
        <f t="shared" ref="BN45" si="442">+IF(BM42&lt;0,1-BN42/BM42,BN42/BM42-1)</f>
        <v>-3.0710715745135619E-2</v>
      </c>
      <c r="BO45" s="39">
        <f t="shared" ref="BO45" si="443">+IF(BN42&lt;0,1-BO42/BN42,BO42/BN42-1)</f>
        <v>0.56521598132053374</v>
      </c>
      <c r="BP45" s="39">
        <f t="shared" ref="BP45" si="444">+IF(BO42&lt;0,1-BP42/BO42,BP42/BO42-1)</f>
        <v>-0.17211229669532724</v>
      </c>
      <c r="BQ45" s="39">
        <f t="shared" ref="BQ45" si="445">+IF(BP42&lt;0,1-BQ42/BP42,BQ42/BP42-1)</f>
        <v>-9.5725511787377537E-2</v>
      </c>
      <c r="BR45" s="39">
        <f t="shared" ref="BR45" si="446">+IF(BQ42&lt;0,1-BR42/BQ42,BR42/BQ42-1)</f>
        <v>-0.16918052749564139</v>
      </c>
      <c r="BS45" s="39">
        <f t="shared" ref="BS45" si="447">+IF(BR42&lt;0,1-BS42/BR42,BS42/BR42-1)</f>
        <v>0.33074616922051936</v>
      </c>
      <c r="BT45" s="39">
        <f t="shared" ref="BT45" si="448">+IF(BS42&lt;0,1-BT42/BS42,BT42/BS42-1)</f>
        <v>3.4569075571354135E-2</v>
      </c>
      <c r="BU45" s="39">
        <f t="shared" ref="BU45" si="449">+IF(BT42&lt;0,1-BU42/BT42,BU42/BT42-1)</f>
        <v>0.11700943624485904</v>
      </c>
      <c r="BV45" s="39">
        <f t="shared" ref="BV45" si="450">+IF(BU42&lt;0,1-BV42/BU42,BV42/BU42-1)</f>
        <v>-3.7538448208639497E-2</v>
      </c>
      <c r="BW45" s="39">
        <f t="shared" ref="BW45" si="451">+IF(BV42&lt;0,1-BW42/BV42,BW42/BV42-1)</f>
        <v>2.9190016429230692E-2</v>
      </c>
      <c r="BX45" s="39">
        <f t="shared" ref="BX45" si="452">+IF(BW42&lt;0,1-BX42/BW42,BX42/BW42-1)</f>
        <v>-5.1301115241634276E-2</v>
      </c>
      <c r="BY45" s="39">
        <f t="shared" ref="BY45" si="453">+IF(BX42&lt;0,1-BY42/BX42,BY42/BX42-1)</f>
        <v>4.568504517794536E-2</v>
      </c>
      <c r="BZ45" s="39">
        <f t="shared" ref="BZ45" si="454">+IF(BY42&lt;0,1-BZ42/BY42,BZ42/BY42-1)</f>
        <v>0.12787109288894682</v>
      </c>
      <c r="CA45" s="39">
        <f t="shared" ref="CA45" si="455">+IF(BZ42&lt;0,1-CA42/BZ42,CA42/BZ42-1)</f>
        <v>6.5198272323959472E-2</v>
      </c>
      <c r="CB45" s="39">
        <f t="shared" ref="CB45" si="456">+IF(CA42&lt;0,1-CB42/CA42,CB42/CA42-1)</f>
        <v>-1.4568005430893427E-2</v>
      </c>
      <c r="CC45" s="39">
        <f t="shared" ref="CC45" si="457">+IF(CB42&lt;0,1-CC42/CB42,CC42/CB42-1)</f>
        <v>6.5705933828594354E-2</v>
      </c>
      <c r="CD45" s="39">
        <f t="shared" ref="CD45" si="458">+IF(CC42&lt;0,1-CD42/CC42,CD42/CC42-1)</f>
        <v>9.9968552360319762E-2</v>
      </c>
      <c r="CE45" s="39">
        <f t="shared" ref="CE45" si="459">+IF(CD42&lt;0,1-CE42/CD42,CE42/CD42-1)</f>
        <v>6.0006353240152466E-2</v>
      </c>
      <c r="CF45" s="39">
        <f t="shared" ref="CF45" si="460">+IF(CE42&lt;0,1-CF42/CE42,CF42/CE42-1)</f>
        <v>-6.1569121040486952E-2</v>
      </c>
      <c r="CG45" s="39">
        <f t="shared" ref="CG45" si="461">+IF(CF42&lt;0,1-CG42/CF42,CG42/CF42-1)</f>
        <v>-9.8293122994139281E-2</v>
      </c>
      <c r="CH45" s="39">
        <f t="shared" ref="CH45:CI45" si="462">+IF(CG42&lt;0,1-CH42/CG42,CH42/CG42-1)</f>
        <v>9.9551998300072553E-2</v>
      </c>
      <c r="CI45" s="39">
        <f t="shared" si="462"/>
        <v>-2.2562203075932374E-2</v>
      </c>
      <c r="CJ45" s="39">
        <f>+IF(CI42&gt;1,CJ42/CI42-1,1-CJ42/CI42)</f>
        <v>0.10683098823606829</v>
      </c>
      <c r="CK45" s="39">
        <f>+IF(CJ42&gt;1,CK42/CJ42-1,1-CK42/CJ42)</f>
        <v>7.2776801929203883E-2</v>
      </c>
      <c r="CL45" s="39">
        <f>+IF(CK42&gt;1,CL42/CK42-1,1-CL42/CK42)</f>
        <v>9.9546255567735331E-2</v>
      </c>
      <c r="CM45" s="40">
        <f t="shared" ref="CM45" si="463">+CM42/CL42-1</f>
        <v>-2.8214257925751607E-2</v>
      </c>
      <c r="CN45" s="40">
        <f t="shared" ref="CN45" si="464">+CN42/CM42-1</f>
        <v>7.6487288628293459E-2</v>
      </c>
      <c r="CO45" s="40">
        <f t="shared" ref="CO45" si="465">+CO42/CN42-1</f>
        <v>3.8795583786872978E-2</v>
      </c>
      <c r="CP45" s="40">
        <f t="shared" ref="CP45" si="466">+CP42/CO42-1</f>
        <v>7.2707700337989012E-2</v>
      </c>
      <c r="CQ45" s="40">
        <f t="shared" ref="CQ45" si="467">+CQ42/CP42-1</f>
        <v>-2.3526478748195689E-2</v>
      </c>
      <c r="CR45" s="40">
        <f t="shared" ref="CR45" si="468">+CR42/CQ42-1</f>
        <v>5.8023195614507417E-2</v>
      </c>
      <c r="CS45" s="40">
        <f t="shared" ref="CS45" si="469">+CS42/CR42-1</f>
        <v>2.0604472445532096E-2</v>
      </c>
      <c r="CT45" s="40">
        <f t="shared" ref="CT45" si="470">+CT42/CS42-1</f>
        <v>6.2044336415864709E-2</v>
      </c>
      <c r="CU45" s="40">
        <f t="shared" ref="CU45" si="471">+CU42/CT42-1</f>
        <v>-3.2724404514017369E-3</v>
      </c>
      <c r="CV45" s="40">
        <f t="shared" ref="CV45" si="472">+CV42/CU42-1</f>
        <v>5.3026135907217498E-2</v>
      </c>
      <c r="CW45" s="40">
        <f t="shared" ref="CW45" si="473">+CW42/CV42-1</f>
        <v>1.5872941485290948E-2</v>
      </c>
      <c r="CX45" s="40">
        <f t="shared" ref="CX45" si="474">+CX42/CW42-1</f>
        <v>6.5535802648699626E-2</v>
      </c>
      <c r="CY45" s="40">
        <f t="shared" ref="CY45" si="475">+CY42/CX42-1</f>
        <v>-2.1261652394922725E-3</v>
      </c>
      <c r="CZ45" s="40">
        <f t="shared" ref="CZ45" si="476">+CZ42/CY42-1</f>
        <v>5.3085198660783872E-2</v>
      </c>
      <c r="DA45" s="40">
        <f t="shared" ref="DA45" si="477">+DA42/CZ42-1</f>
        <v>1.3955045239184338E-2</v>
      </c>
      <c r="DB45" s="40">
        <f t="shared" ref="DB45" si="478">+DB42/DA42-1</f>
        <v>6.968522117407594E-2</v>
      </c>
      <c r="DE45" s="122"/>
      <c r="DF45" s="38">
        <v>0.1404996485518395</v>
      </c>
    </row>
    <row r="46" spans="1:110" s="23" customFormat="1" x14ac:dyDescent="0.2">
      <c r="A46" s="23" t="s">
        <v>15</v>
      </c>
      <c r="B46" s="23">
        <f>'Annual Raw'!C27</f>
        <v>20.3748</v>
      </c>
      <c r="C46" s="23">
        <f>'Annual Raw'!D27</f>
        <v>92.024100000000004</v>
      </c>
      <c r="D46" s="23">
        <f>'Annual Raw'!E27</f>
        <v>88.768299999999996</v>
      </c>
      <c r="E46" s="23">
        <f>'Annual Raw'!F27</f>
        <v>82.676400000000001</v>
      </c>
      <c r="F46" s="23">
        <f>'Annual Raw'!G27</f>
        <v>77.852500000000006</v>
      </c>
      <c r="G46" s="23">
        <f>'Annual Raw'!H27</f>
        <v>75.836500000000001</v>
      </c>
      <c r="H46" s="23">
        <f>'Annual Raw'!I27</f>
        <v>96.704999999999998</v>
      </c>
      <c r="I46" s="23">
        <f>'Annual Raw'!J27</f>
        <v>91.629599999999996</v>
      </c>
      <c r="J46" s="23">
        <f>'Annual Raw'!K27</f>
        <v>98.687399999999997</v>
      </c>
      <c r="K46" s="23">
        <f>'Annual Raw'!L27</f>
        <v>102.9233</v>
      </c>
      <c r="L46" s="23">
        <f>'Annual Raw'!M27</f>
        <v>99.439099999999996</v>
      </c>
      <c r="M46" s="23">
        <f>'Annual Raw'!N27</f>
        <v>96.135499999999993</v>
      </c>
      <c r="N46" s="23">
        <f>'Annual Raw'!O27</f>
        <v>105.09569999999999</v>
      </c>
      <c r="O46" s="23">
        <f>'Annual Raw'!P27</f>
        <v>129.05860000000001</v>
      </c>
      <c r="P46" s="23">
        <f>'Annual Raw'!Q27</f>
        <v>133.1</v>
      </c>
      <c r="Q46" s="23">
        <f>'Annual Raw'!R27</f>
        <v>116.79</v>
      </c>
      <c r="R46" s="23">
        <f>'Annual Raw'!S27</f>
        <v>126.04</v>
      </c>
      <c r="S46" s="23">
        <f>'Annual Raw'!T27</f>
        <v>116.04</v>
      </c>
      <c r="T46" s="23">
        <f>'Annual Raw'!U27</f>
        <v>122.57</v>
      </c>
      <c r="U46" s="23">
        <f>'Annual Raw'!V27</f>
        <v>241.71</v>
      </c>
      <c r="V46" s="23">
        <f>'Annual Raw'!W27</f>
        <v>254.74</v>
      </c>
      <c r="W46" s="23">
        <f>'Annual Raw'!X27</f>
        <v>278.01</v>
      </c>
      <c r="X46" s="23">
        <f>'Annual Raw'!Y27</f>
        <v>304.08</v>
      </c>
      <c r="Y46" s="23">
        <f>'Annual Raw'!Z27</f>
        <v>377.15</v>
      </c>
      <c r="Z46" s="23">
        <f>'Annual Raw'!AA27</f>
        <v>600.74</v>
      </c>
      <c r="AA46" s="23">
        <f>'Annual Raw'!AB27</f>
        <v>626.67999999999995</v>
      </c>
      <c r="AB46" s="76">
        <f>+SUM(CM46:CP46)</f>
        <v>654.71407048359856</v>
      </c>
      <c r="AC46" s="76">
        <f>+SUM(CQ46:CT46)</f>
        <v>655.07662725789817</v>
      </c>
      <c r="AD46" s="76">
        <f>+SUM(CU46:CX46)</f>
        <v>655.41431661499462</v>
      </c>
      <c r="AE46" s="76">
        <f>+SUM(CY46:DB46)</f>
        <v>655.72884418689432</v>
      </c>
      <c r="AI46" s="23">
        <f>'QTR Raw'!C28</f>
        <v>24.99</v>
      </c>
      <c r="AJ46" s="23">
        <f>'QTR Raw'!D28</f>
        <v>25.06</v>
      </c>
      <c r="AK46" s="23">
        <f>'QTR Raw'!E28</f>
        <v>24.59</v>
      </c>
      <c r="AL46" s="23">
        <f>'QTR Raw'!F28</f>
        <v>30.46</v>
      </c>
      <c r="AM46" s="23">
        <f>'QTR Raw'!G28</f>
        <v>28.78</v>
      </c>
      <c r="AN46" s="23">
        <f>'QTR Raw'!H28</f>
        <v>31.48</v>
      </c>
      <c r="AO46" s="23">
        <f>'QTR Raw'!I28</f>
        <v>32.159999999999997</v>
      </c>
      <c r="AP46" s="23">
        <f>'QTR Raw'!J28</f>
        <v>36.64</v>
      </c>
      <c r="AQ46" s="23">
        <f>'QTR Raw'!K28</f>
        <v>35</v>
      </c>
      <c r="AR46" s="23">
        <f>'QTR Raw'!L28</f>
        <v>34.409999999999997</v>
      </c>
      <c r="AS46" s="23">
        <f>'QTR Raw'!M28</f>
        <v>38.04</v>
      </c>
      <c r="AT46" s="23">
        <f>'QTR Raw'!N28</f>
        <v>25.66</v>
      </c>
      <c r="AU46" s="23">
        <f>'QTR Raw'!O28</f>
        <v>29.62</v>
      </c>
      <c r="AV46" s="23">
        <f>'QTR Raw'!P28</f>
        <v>30.24</v>
      </c>
      <c r="AW46" s="23">
        <f>'QTR Raw'!Q28</f>
        <v>32.32</v>
      </c>
      <c r="AX46" s="23">
        <f>'QTR Raw'!R28</f>
        <v>24.61</v>
      </c>
      <c r="AY46" s="23">
        <f>'QTR Raw'!S28</f>
        <v>36.25</v>
      </c>
      <c r="AZ46" s="23">
        <f>'QTR Raw'!T28</f>
        <v>27.51</v>
      </c>
      <c r="BA46" s="23">
        <f>'QTR Raw'!U28</f>
        <v>31.08</v>
      </c>
      <c r="BB46" s="23">
        <f>'QTR Raw'!V28</f>
        <v>31.2</v>
      </c>
      <c r="BC46" s="23">
        <f>'QTR Raw'!W28</f>
        <v>29.05</v>
      </c>
      <c r="BD46" s="23">
        <f>'QTR Raw'!X28</f>
        <v>29.47</v>
      </c>
      <c r="BE46" s="23">
        <f>'QTR Raw'!Y28</f>
        <v>29.05</v>
      </c>
      <c r="BF46" s="23">
        <f>'QTR Raw'!Z28</f>
        <v>28.47</v>
      </c>
      <c r="BG46" s="23">
        <f>'QTR Raw'!AA28</f>
        <v>29.49</v>
      </c>
      <c r="BH46" s="23">
        <f>'QTR Raw'!AB28</f>
        <v>30.48</v>
      </c>
      <c r="BI46" s="23">
        <f>'QTR Raw'!AC28</f>
        <v>29.62</v>
      </c>
      <c r="BJ46" s="23">
        <f>'QTR Raw'!AD28</f>
        <v>32.979999999999997</v>
      </c>
      <c r="BK46" s="23">
        <f>'QTR Raw'!AE28</f>
        <v>57.57</v>
      </c>
      <c r="BL46" s="23">
        <f>'QTR Raw'!AF28</f>
        <v>58.66</v>
      </c>
      <c r="BM46" s="23">
        <f>'QTR Raw'!AG28</f>
        <v>61.44</v>
      </c>
      <c r="BN46" s="23">
        <f>'QTR Raw'!AH28</f>
        <v>64.040000000000006</v>
      </c>
      <c r="BO46" s="23">
        <f>'QTR Raw'!AI28</f>
        <v>61.9</v>
      </c>
      <c r="BP46" s="23">
        <f>'QTR Raw'!AJ28</f>
        <v>62.57</v>
      </c>
      <c r="BQ46" s="23">
        <f>'QTR Raw'!AK28</f>
        <v>64.400000000000006</v>
      </c>
      <c r="BR46" s="23">
        <f>'QTR Raw'!AL28</f>
        <v>65.87</v>
      </c>
      <c r="BS46" s="23">
        <f>'QTR Raw'!AM28</f>
        <v>66.790000000000006</v>
      </c>
      <c r="BT46" s="23">
        <f>'QTR Raw'!AN28</f>
        <v>69.31</v>
      </c>
      <c r="BU46" s="23">
        <f>'QTR Raw'!AO28</f>
        <v>69.8</v>
      </c>
      <c r="BV46" s="23">
        <f>'QTR Raw'!AP28</f>
        <v>72.11</v>
      </c>
      <c r="BW46" s="23">
        <f>'QTR Raw'!AQ28</f>
        <v>72.92</v>
      </c>
      <c r="BX46" s="23">
        <f>'QTR Raw'!AR28</f>
        <v>73.14</v>
      </c>
      <c r="BY46" s="23">
        <f>'QTR Raw'!AS28</f>
        <v>75.16</v>
      </c>
      <c r="BZ46" s="23">
        <f>'QTR Raw'!AT28</f>
        <v>82.86</v>
      </c>
      <c r="CA46" s="23">
        <f>'QTR Raw'!AU28</f>
        <v>81.95</v>
      </c>
      <c r="CB46" s="23">
        <f>'QTR Raw'!AV28</f>
        <v>93.93</v>
      </c>
      <c r="CC46" s="23">
        <f>'QTR Raw'!AW28</f>
        <v>85.51</v>
      </c>
      <c r="CD46" s="23">
        <f>'QTR Raw'!AX28</f>
        <v>115.76</v>
      </c>
      <c r="CE46" s="23">
        <f>'QTR Raw'!AY28</f>
        <v>148</v>
      </c>
      <c r="CF46" s="23">
        <f>'QTR Raw'!AZ28</f>
        <v>149.33000000000001</v>
      </c>
      <c r="CG46" s="23">
        <f>'QTR Raw'!BA28</f>
        <v>150.32</v>
      </c>
      <c r="CH46" s="23">
        <f>'QTR Raw'!BB28</f>
        <v>153.09</v>
      </c>
      <c r="CI46" s="23">
        <f>'QTR Raw'!BC28</f>
        <v>148.93</v>
      </c>
      <c r="CJ46" s="23">
        <f>'QTR Raw'!BD28</f>
        <v>153.28</v>
      </c>
      <c r="CK46" s="23">
        <f>'QTR Raw'!BE28</f>
        <v>159.29</v>
      </c>
      <c r="CL46" s="23">
        <f>'QTR Raw'!BF28</f>
        <v>165.18</v>
      </c>
      <c r="CM46" s="24">
        <f t="shared" ref="CM46:DB46" si="479">CM47*CL148</f>
        <v>163.64310036997992</v>
      </c>
      <c r="CN46" s="24">
        <f t="shared" si="479"/>
        <v>163.66699106237712</v>
      </c>
      <c r="CO46" s="24">
        <f t="shared" si="479"/>
        <v>163.69046111556818</v>
      </c>
      <c r="CP46" s="24">
        <f t="shared" si="479"/>
        <v>163.71351793567337</v>
      </c>
      <c r="CQ46" s="24">
        <f t="shared" si="479"/>
        <v>163.7361687984147</v>
      </c>
      <c r="CR46" s="24">
        <f t="shared" si="479"/>
        <v>163.75842085141184</v>
      </c>
      <c r="CS46" s="24">
        <f t="shared" si="479"/>
        <v>163.78028111643772</v>
      </c>
      <c r="CT46" s="24">
        <f t="shared" si="479"/>
        <v>163.80175649163388</v>
      </c>
      <c r="CU46" s="24">
        <f t="shared" si="479"/>
        <v>163.82285375368775</v>
      </c>
      <c r="CV46" s="24">
        <f t="shared" si="479"/>
        <v>163.84357955997069</v>
      </c>
      <c r="CW46" s="24">
        <f t="shared" si="479"/>
        <v>163.86394045063892</v>
      </c>
      <c r="CX46" s="24">
        <f t="shared" si="479"/>
        <v>163.88394285069725</v>
      </c>
      <c r="CY46" s="24">
        <f t="shared" si="479"/>
        <v>163.90359307202667</v>
      </c>
      <c r="CZ46" s="24">
        <f t="shared" si="479"/>
        <v>163.92289731537591</v>
      </c>
      <c r="DA46" s="24">
        <f t="shared" si="479"/>
        <v>163.94186167231823</v>
      </c>
      <c r="DB46" s="24">
        <f t="shared" si="479"/>
        <v>163.96049212717355</v>
      </c>
      <c r="DE46" s="123"/>
      <c r="DF46" s="23">
        <v>156.63056983213286</v>
      </c>
    </row>
    <row r="47" spans="1:110" s="46" customFormat="1" x14ac:dyDescent="0.2">
      <c r="A47" s="46" t="s">
        <v>483</v>
      </c>
      <c r="B47" s="46">
        <f t="shared" ref="B47:D47" si="480">+B46/B148</f>
        <v>6.2773955161548628E-2</v>
      </c>
      <c r="C47" s="46">
        <f t="shared" si="480"/>
        <v>3.6637869941595423E-2</v>
      </c>
      <c r="D47" s="46">
        <f t="shared" si="480"/>
        <v>3.4439363600204914E-2</v>
      </c>
      <c r="E47" s="46">
        <f t="shared" ref="E47:AE47" si="481">+E46/E148</f>
        <v>0.12658300719080351</v>
      </c>
      <c r="F47" s="46">
        <f t="shared" si="481"/>
        <v>0.12283474232433736</v>
      </c>
      <c r="G47" s="46">
        <f t="shared" si="481"/>
        <v>0.12986157904515486</v>
      </c>
      <c r="H47" s="46">
        <f t="shared" si="481"/>
        <v>0.10812840965645235</v>
      </c>
      <c r="I47" s="46">
        <f t="shared" si="481"/>
        <v>0.1268912599610697</v>
      </c>
      <c r="J47" s="46">
        <f t="shared" si="481"/>
        <v>0.13430005428483435</v>
      </c>
      <c r="K47" s="46">
        <f t="shared" si="481"/>
        <v>0.1433083735243903</v>
      </c>
      <c r="L47" s="46">
        <f t="shared" si="481"/>
        <v>0.13795223152655989</v>
      </c>
      <c r="M47" s="46">
        <f t="shared" si="481"/>
        <v>0.1240601333960502</v>
      </c>
      <c r="N47" s="46">
        <f t="shared" si="481"/>
        <v>0.1256796365545389</v>
      </c>
      <c r="O47" s="46">
        <f t="shared" si="481"/>
        <v>0.12999915690008784</v>
      </c>
      <c r="P47" s="46">
        <f t="shared" si="481"/>
        <v>0.12927727109375753</v>
      </c>
      <c r="Q47" s="46">
        <f t="shared" si="481"/>
        <v>0.12264636387503282</v>
      </c>
      <c r="R47" s="46">
        <f t="shared" si="481"/>
        <v>0.13916000529965114</v>
      </c>
      <c r="S47" s="46">
        <f t="shared" si="481"/>
        <v>0.1247058064932134</v>
      </c>
      <c r="T47" s="46">
        <f t="shared" si="481"/>
        <v>0.12450733411888994</v>
      </c>
      <c r="U47" s="46">
        <f t="shared" si="481"/>
        <v>5.7834213850924535E-2</v>
      </c>
      <c r="V47" s="46">
        <f t="shared" si="481"/>
        <v>5.7982560164246744E-2</v>
      </c>
      <c r="W47" s="46">
        <f t="shared" si="481"/>
        <v>6.0264678148336796E-2</v>
      </c>
      <c r="X47" s="46">
        <f t="shared" si="481"/>
        <v>6.3487821479127599E-2</v>
      </c>
      <c r="Y47" s="46">
        <f t="shared" si="481"/>
        <v>4.2988875210869457E-2</v>
      </c>
      <c r="Z47" s="46">
        <f t="shared" si="481"/>
        <v>6.0697607216542757E-2</v>
      </c>
      <c r="AA47" s="46">
        <f t="shared" ref="AA47" si="482">+AA46/AA148</f>
        <v>6.3412205645455078E-2</v>
      </c>
      <c r="AB47" s="110">
        <f t="shared" si="481"/>
        <v>7.0402496997803987E-2</v>
      </c>
      <c r="AC47" s="110">
        <f t="shared" si="481"/>
        <v>7.0404210042424281E-2</v>
      </c>
      <c r="AD47" s="110">
        <f t="shared" si="481"/>
        <v>7.0405803961155727E-2</v>
      </c>
      <c r="AE47" s="110">
        <f t="shared" si="481"/>
        <v>7.0407287142727759E-2</v>
      </c>
      <c r="AI47" s="46" t="e">
        <f t="shared" ref="AI47:BN47" si="483">+AI46/AH148</f>
        <v>#DIV/0!</v>
      </c>
      <c r="AJ47" s="46" t="e">
        <f t="shared" si="483"/>
        <v>#DIV/0!</v>
      </c>
      <c r="AK47" s="46">
        <f t="shared" si="483"/>
        <v>2.90672246060735E-2</v>
      </c>
      <c r="AL47" s="46">
        <f t="shared" si="483"/>
        <v>3.6006004941073561E-2</v>
      </c>
      <c r="AM47" s="46">
        <f t="shared" si="483"/>
        <v>3.1050070666422121E-2</v>
      </c>
      <c r="AN47" s="46">
        <f t="shared" si="483"/>
        <v>3.3963037685162213E-2</v>
      </c>
      <c r="AO47" s="46">
        <f t="shared" si="483"/>
        <v>3.126975021147918E-2</v>
      </c>
      <c r="AP47" s="46">
        <f t="shared" si="483"/>
        <v>3.5625735315565843E-2</v>
      </c>
      <c r="AQ47" s="46">
        <f t="shared" si="483"/>
        <v>3.3259528855016963E-2</v>
      </c>
      <c r="AR47" s="46">
        <f t="shared" si="483"/>
        <v>3.2698868225746677E-2</v>
      </c>
      <c r="AS47" s="46">
        <f t="shared" si="483"/>
        <v>3.5376503082889268E-2</v>
      </c>
      <c r="AT47" s="46">
        <f t="shared" si="483"/>
        <v>2.3863329892401121E-2</v>
      </c>
      <c r="AU47" s="46">
        <f t="shared" si="483"/>
        <v>2.7508962237866152E-2</v>
      </c>
      <c r="AV47" s="46">
        <f t="shared" si="483"/>
        <v>2.8084774411649978E-2</v>
      </c>
      <c r="AW47" s="46">
        <f t="shared" si="483"/>
        <v>2.9425957117494426E-2</v>
      </c>
      <c r="AX47" s="46">
        <f t="shared" si="483"/>
        <v>2.2406336777894116E-2</v>
      </c>
      <c r="AY47" s="46">
        <f t="shared" si="483"/>
        <v>3.7817536904699807E-2</v>
      </c>
      <c r="AZ47" s="46">
        <f t="shared" si="483"/>
        <v>2.8699598351677014E-2</v>
      </c>
      <c r="BA47" s="46">
        <f t="shared" si="483"/>
        <v>3.3535466885344957E-2</v>
      </c>
      <c r="BB47" s="46">
        <f t="shared" si="483"/>
        <v>3.366494745246984E-2</v>
      </c>
      <c r="BC47" s="46">
        <f t="shared" si="483"/>
        <v>2.8678045746665746E-2</v>
      </c>
      <c r="BD47" s="46">
        <f t="shared" si="483"/>
        <v>2.9092668094810308E-2</v>
      </c>
      <c r="BE47" s="46">
        <f t="shared" si="483"/>
        <v>2.9103842107899614E-2</v>
      </c>
      <c r="BF47" s="46">
        <f t="shared" si="483"/>
        <v>2.8522767119170466E-2</v>
      </c>
      <c r="BG47" s="46">
        <f t="shared" si="483"/>
        <v>2.8631345935397429E-2</v>
      </c>
      <c r="BH47" s="46">
        <f t="shared" si="483"/>
        <v>2.959252031573122E-2</v>
      </c>
      <c r="BI47" s="46">
        <f t="shared" si="483"/>
        <v>2.8100600529376608E-2</v>
      </c>
      <c r="BJ47" s="46">
        <f t="shared" si="483"/>
        <v>3.1288244613735326E-2</v>
      </c>
      <c r="BK47" s="46">
        <f t="shared" si="483"/>
        <v>5.2925764192139735E-2</v>
      </c>
      <c r="BL47" s="46">
        <f t="shared" si="483"/>
        <v>5.3927832682142032E-2</v>
      </c>
      <c r="BM47" s="46">
        <f t="shared" si="483"/>
        <v>4.0134827937602882E-2</v>
      </c>
      <c r="BN47" s="46">
        <f t="shared" si="483"/>
        <v>4.1833241880274888E-2</v>
      </c>
      <c r="BO47" s="46">
        <f t="shared" ref="BO47:CL47" si="484">+BO46/BN148</f>
        <v>1.5527404991847484E-2</v>
      </c>
      <c r="BP47" s="46">
        <f t="shared" si="484"/>
        <v>1.5695472218738241E-2</v>
      </c>
      <c r="BQ47" s="46">
        <f t="shared" si="484"/>
        <v>1.6373561275002099E-2</v>
      </c>
      <c r="BR47" s="46">
        <f t="shared" si="484"/>
        <v>1.6747305608453233E-2</v>
      </c>
      <c r="BS47" s="46">
        <f t="shared" si="484"/>
        <v>1.658694799163575E-2</v>
      </c>
      <c r="BT47" s="46">
        <f t="shared" si="484"/>
        <v>1.7212776842345765E-2</v>
      </c>
      <c r="BU47" s="46">
        <f t="shared" si="484"/>
        <v>1.729096633711439E-2</v>
      </c>
      <c r="BV47" s="46">
        <f t="shared" si="484"/>
        <v>1.7863203188672187E-2</v>
      </c>
      <c r="BW47" s="46">
        <f t="shared" si="484"/>
        <v>1.7068329494597682E-2</v>
      </c>
      <c r="BX47" s="46">
        <f t="shared" si="484"/>
        <v>1.7119824728947814E-2</v>
      </c>
      <c r="BY47" s="46">
        <f t="shared" si="484"/>
        <v>1.7581821201580399E-2</v>
      </c>
      <c r="BZ47" s="46">
        <f t="shared" si="484"/>
        <v>1.9383045566297923E-2</v>
      </c>
      <c r="CA47" s="46">
        <f t="shared" si="484"/>
        <v>1.8396548318158144E-2</v>
      </c>
      <c r="CB47" s="46">
        <f t="shared" si="484"/>
        <v>2.1085878993588707E-2</v>
      </c>
      <c r="CC47" s="46">
        <f t="shared" si="484"/>
        <v>1.8893104050163614E-2</v>
      </c>
      <c r="CD47" s="46">
        <f t="shared" si="484"/>
        <v>2.5576724650297505E-2</v>
      </c>
      <c r="CE47" s="46">
        <f t="shared" si="484"/>
        <v>1.7785896264961784E-2</v>
      </c>
      <c r="CF47" s="46">
        <f t="shared" si="484"/>
        <v>1.7945728981396913E-2</v>
      </c>
      <c r="CG47" s="46">
        <f t="shared" si="484"/>
        <v>1.5611061088973286E-2</v>
      </c>
      <c r="CH47" s="46">
        <f t="shared" si="484"/>
        <v>1.5898731653212615E-2</v>
      </c>
      <c r="CI47" s="46">
        <f t="shared" si="484"/>
        <v>1.504759903245949E-2</v>
      </c>
      <c r="CJ47" s="46">
        <f t="shared" si="484"/>
        <v>1.5723718831840941E-2</v>
      </c>
      <c r="CK47" s="46">
        <f t="shared" si="484"/>
        <v>1.669552494109558E-2</v>
      </c>
      <c r="CL47" s="46">
        <f t="shared" si="484"/>
        <v>1.760682357681374E-2</v>
      </c>
      <c r="CM47" s="47">
        <f t="shared" ref="CM47" si="485">CL47</f>
        <v>1.760682357681374E-2</v>
      </c>
      <c r="CN47" s="47">
        <f t="shared" ref="CN47" si="486">CM47</f>
        <v>1.760682357681374E-2</v>
      </c>
      <c r="CO47" s="47">
        <f t="shared" ref="CO47" si="487">CN47</f>
        <v>1.760682357681374E-2</v>
      </c>
      <c r="CP47" s="47">
        <f t="shared" ref="CP47" si="488">CO47</f>
        <v>1.760682357681374E-2</v>
      </c>
      <c r="CQ47" s="47">
        <f t="shared" ref="CQ47" si="489">CP47</f>
        <v>1.760682357681374E-2</v>
      </c>
      <c r="CR47" s="47">
        <f t="shared" ref="CR47" si="490">CQ47</f>
        <v>1.760682357681374E-2</v>
      </c>
      <c r="CS47" s="47">
        <f t="shared" ref="CS47" si="491">CR47</f>
        <v>1.760682357681374E-2</v>
      </c>
      <c r="CT47" s="47">
        <f t="shared" ref="CT47" si="492">CS47</f>
        <v>1.760682357681374E-2</v>
      </c>
      <c r="CU47" s="47">
        <f t="shared" ref="CU47" si="493">CT47</f>
        <v>1.760682357681374E-2</v>
      </c>
      <c r="CV47" s="47">
        <f t="shared" ref="CV47" si="494">CU47</f>
        <v>1.760682357681374E-2</v>
      </c>
      <c r="CW47" s="47">
        <f t="shared" ref="CW47" si="495">CV47</f>
        <v>1.760682357681374E-2</v>
      </c>
      <c r="CX47" s="47">
        <f t="shared" ref="CX47" si="496">CW47</f>
        <v>1.760682357681374E-2</v>
      </c>
      <c r="CY47" s="47">
        <f t="shared" ref="CY47" si="497">CX47</f>
        <v>1.760682357681374E-2</v>
      </c>
      <c r="CZ47" s="47">
        <f t="shared" ref="CZ47" si="498">CY47</f>
        <v>1.760682357681374E-2</v>
      </c>
      <c r="DA47" s="47">
        <f t="shared" ref="DA47" si="499">CZ47</f>
        <v>1.760682357681374E-2</v>
      </c>
      <c r="DB47" s="47">
        <f t="shared" ref="DB47" si="500">DA47</f>
        <v>1.760682357681374E-2</v>
      </c>
      <c r="DE47" s="130"/>
      <c r="DF47" s="46">
        <v>1.669552494109558E-2</v>
      </c>
    </row>
    <row r="48" spans="1:110" s="26" customFormat="1" x14ac:dyDescent="0.2">
      <c r="A48" s="34" t="s">
        <v>16</v>
      </c>
      <c r="B48" s="26">
        <f>B42-B46</f>
        <v>84.290200000000084</v>
      </c>
      <c r="C48" s="26">
        <f t="shared" ref="C48:T48" si="501">C42-C46</f>
        <v>261.41929999999968</v>
      </c>
      <c r="D48" s="26">
        <f>D42-D46</f>
        <v>240.30009999999919</v>
      </c>
      <c r="E48" s="26">
        <f t="shared" si="501"/>
        <v>377.40899999999993</v>
      </c>
      <c r="F48" s="26">
        <f t="shared" si="501"/>
        <v>442.30010000000033</v>
      </c>
      <c r="G48" s="26">
        <f t="shared" si="501"/>
        <v>468.3195000000004</v>
      </c>
      <c r="H48" s="26">
        <f t="shared" si="501"/>
        <v>583.43720000000019</v>
      </c>
      <c r="I48" s="26">
        <f t="shared" si="501"/>
        <v>589.60629999999924</v>
      </c>
      <c r="J48" s="26">
        <f t="shared" si="501"/>
        <v>520.68700000000013</v>
      </c>
      <c r="K48" s="26">
        <f t="shared" si="501"/>
        <v>580.53339999999969</v>
      </c>
      <c r="L48" s="26">
        <f t="shared" si="501"/>
        <v>508.67529999999948</v>
      </c>
      <c r="M48" s="26">
        <f t="shared" si="501"/>
        <v>526.91870000000006</v>
      </c>
      <c r="N48" s="26">
        <f t="shared" si="501"/>
        <v>663.39400000000103</v>
      </c>
      <c r="O48" s="26">
        <f t="shared" si="501"/>
        <v>622.82829999999944</v>
      </c>
      <c r="P48" s="26">
        <f t="shared" si="501"/>
        <v>641.74999999999852</v>
      </c>
      <c r="Q48" s="26">
        <f t="shared" si="501"/>
        <v>537.54000000000042</v>
      </c>
      <c r="R48" s="26">
        <f t="shared" si="501"/>
        <v>665.08999999999969</v>
      </c>
      <c r="S48" s="26">
        <f t="shared" si="501"/>
        <v>722.87000000000035</v>
      </c>
      <c r="T48" s="26">
        <f t="shared" si="501"/>
        <v>663.33999999999992</v>
      </c>
      <c r="U48" s="26">
        <f t="shared" ref="U48:Z48" si="502">U42-U46</f>
        <v>1050.4399999999987</v>
      </c>
      <c r="V48" s="26">
        <f t="shared" si="502"/>
        <v>1289.0200000000011</v>
      </c>
      <c r="W48" s="26">
        <f t="shared" si="502"/>
        <v>1440.7700000000007</v>
      </c>
      <c r="X48" s="26">
        <f t="shared" si="502"/>
        <v>1547.4699999999993</v>
      </c>
      <c r="Y48" s="26">
        <f t="shared" si="502"/>
        <v>1902.8000000000006</v>
      </c>
      <c r="Z48" s="26">
        <f t="shared" si="502"/>
        <v>1878.6100000000013</v>
      </c>
      <c r="AA48" s="26">
        <f t="shared" ref="AA48" si="503">AA42-AA46</f>
        <v>2165.1200000000003</v>
      </c>
      <c r="AB48" s="27">
        <f t="shared" ref="AA48:AD48" si="504">AB42-AB46</f>
        <v>2729.123428705534</v>
      </c>
      <c r="AC48" s="27">
        <f t="shared" si="504"/>
        <v>3209.6463252023118</v>
      </c>
      <c r="AD48" s="27">
        <f t="shared" si="504"/>
        <v>3739.4868666311254</v>
      </c>
      <c r="AE48" s="27">
        <f t="shared" ref="AE48" si="505">AE42-AE46</f>
        <v>4343.6535777926229</v>
      </c>
      <c r="AI48" s="26">
        <f t="shared" ref="AI48" si="506">AI42-AI46</f>
        <v>155.79000000000019</v>
      </c>
      <c r="AJ48" s="26">
        <f t="shared" ref="AJ48" si="507">AJ42-AJ46</f>
        <v>136.11000000000018</v>
      </c>
      <c r="AK48" s="26">
        <f t="shared" ref="AK48:AM48" si="508">AK42-AK46</f>
        <v>178.63999999999967</v>
      </c>
      <c r="AL48" s="26">
        <f t="shared" si="508"/>
        <v>192.84999999999982</v>
      </c>
      <c r="AM48" s="26">
        <f t="shared" si="508"/>
        <v>178.33999999999989</v>
      </c>
      <c r="AN48" s="26">
        <f t="shared" ref="AN48:AO48" si="509">AN42-AN46</f>
        <v>126.38000000000012</v>
      </c>
      <c r="AO48" s="26">
        <f t="shared" si="509"/>
        <v>164.1</v>
      </c>
      <c r="AP48" s="26">
        <f t="shared" ref="AP48:CD48" si="510">AP42-AP46</f>
        <v>154.01</v>
      </c>
      <c r="AQ48" s="26">
        <f t="shared" si="510"/>
        <v>166.29999999999995</v>
      </c>
      <c r="AR48" s="26">
        <f t="shared" si="510"/>
        <v>151.57000000000014</v>
      </c>
      <c r="AS48" s="26">
        <f t="shared" si="510"/>
        <v>161.18000000000026</v>
      </c>
      <c r="AT48" s="26">
        <f t="shared" si="510"/>
        <v>162.6999999999999</v>
      </c>
      <c r="AU48" s="26">
        <f t="shared" si="510"/>
        <v>152.99999999999966</v>
      </c>
      <c r="AV48" s="26">
        <f t="shared" si="510"/>
        <v>110.50000000000001</v>
      </c>
      <c r="AW48" s="26">
        <f t="shared" si="510"/>
        <v>138.59999999999985</v>
      </c>
      <c r="AX48" s="26">
        <f t="shared" si="510"/>
        <v>135.43999999999983</v>
      </c>
      <c r="AY48" s="26">
        <f t="shared" si="510"/>
        <v>202.24</v>
      </c>
      <c r="AZ48" s="26">
        <f t="shared" si="510"/>
        <v>158.47000000000003</v>
      </c>
      <c r="BA48" s="26">
        <f t="shared" si="510"/>
        <v>150.39999999999992</v>
      </c>
      <c r="BB48" s="26">
        <f t="shared" si="510"/>
        <v>154.26000000000005</v>
      </c>
      <c r="BC48" s="26">
        <f t="shared" si="510"/>
        <v>215.12000000000018</v>
      </c>
      <c r="BD48" s="26">
        <f t="shared" si="510"/>
        <v>184.49000000000015</v>
      </c>
      <c r="BE48" s="26">
        <f t="shared" si="510"/>
        <v>206.03000000000014</v>
      </c>
      <c r="BF48" s="26">
        <f t="shared" si="510"/>
        <v>117.23000000000027</v>
      </c>
      <c r="BG48" s="26">
        <f t="shared" si="510"/>
        <v>219.28000000000009</v>
      </c>
      <c r="BH48" s="26">
        <f t="shared" si="510"/>
        <v>136.16999999999976</v>
      </c>
      <c r="BI48" s="26">
        <f t="shared" si="510"/>
        <v>166.59999999999991</v>
      </c>
      <c r="BJ48" s="26">
        <f t="shared" si="510"/>
        <v>141.29</v>
      </c>
      <c r="BK48" s="26">
        <f t="shared" si="510"/>
        <v>293.30000000000013</v>
      </c>
      <c r="BL48" s="26">
        <f t="shared" si="510"/>
        <v>256.13000000000022</v>
      </c>
      <c r="BM48" s="26">
        <f t="shared" si="510"/>
        <v>256.69000000000011</v>
      </c>
      <c r="BN48" s="26">
        <f t="shared" si="510"/>
        <v>244.32000000000011</v>
      </c>
      <c r="BO48" s="26">
        <f t="shared" si="510"/>
        <v>420.75</v>
      </c>
      <c r="BP48" s="26">
        <f t="shared" si="510"/>
        <v>337.01000000000028</v>
      </c>
      <c r="BQ48" s="26">
        <f t="shared" si="510"/>
        <v>296.92999999999995</v>
      </c>
      <c r="BR48" s="26">
        <f t="shared" si="510"/>
        <v>234.32999999999981</v>
      </c>
      <c r="BS48" s="26">
        <f t="shared" si="510"/>
        <v>332.69999999999965</v>
      </c>
      <c r="BT48" s="26">
        <f t="shared" si="510"/>
        <v>343.98999999999995</v>
      </c>
      <c r="BU48" s="26">
        <f t="shared" si="510"/>
        <v>391.86000000000018</v>
      </c>
      <c r="BV48" s="26">
        <f t="shared" si="510"/>
        <v>372.21999999999969</v>
      </c>
      <c r="BW48" s="26">
        <f t="shared" si="510"/>
        <v>384.37999999999971</v>
      </c>
      <c r="BX48" s="26">
        <f t="shared" si="510"/>
        <v>360.70000000000039</v>
      </c>
      <c r="BY48" s="26">
        <f t="shared" si="510"/>
        <v>378.50000000000023</v>
      </c>
      <c r="BZ48" s="26">
        <f t="shared" si="510"/>
        <v>428.80999999999983</v>
      </c>
      <c r="CA48" s="26">
        <f t="shared" si="510"/>
        <v>463.08000000000021</v>
      </c>
      <c r="CB48" s="26">
        <f t="shared" si="510"/>
        <v>443.16000000000037</v>
      </c>
      <c r="CC48" s="26">
        <f t="shared" si="510"/>
        <v>486.87000000000012</v>
      </c>
      <c r="CD48" s="26">
        <f t="shared" si="510"/>
        <v>513.83999999999992</v>
      </c>
      <c r="CE48" s="26">
        <f t="shared" ref="CE48:CF48" si="511">CE42-CE46</f>
        <v>519.37999999999988</v>
      </c>
      <c r="CF48" s="26">
        <f t="shared" si="511"/>
        <v>476.9599999999997</v>
      </c>
      <c r="CG48" s="26">
        <f t="shared" ref="CG48:CH48" si="512">CG42-CG46</f>
        <v>414.41000000000025</v>
      </c>
      <c r="CH48" s="26">
        <f t="shared" si="512"/>
        <v>467.86000000000024</v>
      </c>
      <c r="CI48" s="26">
        <f t="shared" ref="CI48:CJ48" si="513">CI42-CI46</f>
        <v>458.01000000000005</v>
      </c>
      <c r="CJ48" s="26">
        <f t="shared" si="513"/>
        <v>518.49999999999932</v>
      </c>
      <c r="CK48" s="26">
        <f t="shared" ref="CK48:CL48" si="514">CK42-CK46</f>
        <v>561.37999999999988</v>
      </c>
      <c r="CL48" s="26">
        <f t="shared" si="514"/>
        <v>627.22999999999956</v>
      </c>
      <c r="CM48" s="27">
        <f t="shared" ref="CM48:DB48" si="515">CM42-CM46</f>
        <v>606.40963950707487</v>
      </c>
      <c r="CN48" s="27">
        <f t="shared" si="515"/>
        <v>665.28499498866222</v>
      </c>
      <c r="CO48" s="27">
        <f t="shared" si="515"/>
        <v>697.42120116560898</v>
      </c>
      <c r="CP48" s="27">
        <f t="shared" si="515"/>
        <v>760.00759304419114</v>
      </c>
      <c r="CQ48" s="27">
        <f t="shared" si="515"/>
        <v>738.25303709472234</v>
      </c>
      <c r="CR48" s="27">
        <f t="shared" si="515"/>
        <v>790.56708117743699</v>
      </c>
      <c r="CS48" s="27">
        <f t="shared" si="515"/>
        <v>810.20859442303322</v>
      </c>
      <c r="CT48" s="27">
        <f t="shared" si="515"/>
        <v>870.61761250711777</v>
      </c>
      <c r="CU48" s="27">
        <f t="shared" si="515"/>
        <v>867.21143945823906</v>
      </c>
      <c r="CV48" s="27">
        <f t="shared" si="515"/>
        <v>921.86247820881363</v>
      </c>
      <c r="CW48" s="27">
        <f t="shared" si="515"/>
        <v>939.07546604333538</v>
      </c>
      <c r="CX48" s="27">
        <f t="shared" si="515"/>
        <v>1011.3374829207399</v>
      </c>
      <c r="CY48" s="27">
        <f t="shared" si="515"/>
        <v>1008.8191177552288</v>
      </c>
      <c r="CZ48" s="27">
        <f t="shared" si="515"/>
        <v>1071.0540315901576</v>
      </c>
      <c r="DA48" s="27">
        <f t="shared" si="515"/>
        <v>1088.2692261454408</v>
      </c>
      <c r="DB48" s="27">
        <f t="shared" si="515"/>
        <v>1175.5112023017964</v>
      </c>
      <c r="DE48" s="121"/>
      <c r="DF48" s="26">
        <v>665.29331188972117</v>
      </c>
    </row>
    <row r="49" spans="1:110" s="23" customFormat="1" x14ac:dyDescent="0.2">
      <c r="A49" s="23" t="s">
        <v>17</v>
      </c>
      <c r="B49" s="23">
        <f>'Annual Raw'!C23</f>
        <v>79.9499</v>
      </c>
      <c r="C49" s="23">
        <f>'Annual Raw'!D23</f>
        <v>57.207000000000001</v>
      </c>
      <c r="D49" s="23">
        <f>'Annual Raw'!E23</f>
        <v>121.0239</v>
      </c>
      <c r="E49" s="23">
        <f>'Annual Raw'!F23</f>
        <v>66.148200000000003</v>
      </c>
      <c r="F49" s="23">
        <f>'Annual Raw'!G23</f>
        <v>49.148299999999999</v>
      </c>
      <c r="G49" s="23">
        <f>'Annual Raw'!H23</f>
        <v>54.956800000000001</v>
      </c>
      <c r="H49" s="23">
        <f>'Annual Raw'!I23</f>
        <v>130.3544</v>
      </c>
      <c r="I49" s="23">
        <f>'Annual Raw'!J23</f>
        <v>209.7192</v>
      </c>
      <c r="J49" s="23">
        <f>'Annual Raw'!K23</f>
        <v>215.37039999999999</v>
      </c>
      <c r="K49" s="23">
        <f>'Annual Raw'!L23</f>
        <v>193.3972</v>
      </c>
      <c r="L49" s="23">
        <f>'Annual Raw'!M23</f>
        <v>97.192599999999999</v>
      </c>
      <c r="M49" s="23">
        <f>'Annual Raw'!N23</f>
        <v>94.516999999999996</v>
      </c>
      <c r="N49" s="23">
        <f>'Annual Raw'!O23</f>
        <v>86.006200000000007</v>
      </c>
      <c r="O49" s="23">
        <f>'Annual Raw'!P23</f>
        <v>81.8018</v>
      </c>
      <c r="P49" s="23">
        <f>'Annual Raw'!Q23</f>
        <v>69.98</v>
      </c>
      <c r="Q49" s="23">
        <f>'Annual Raw'!R23</f>
        <v>82</v>
      </c>
      <c r="R49" s="23">
        <f>'Annual Raw'!S23</f>
        <v>83.1</v>
      </c>
      <c r="S49" s="23">
        <f>'Annual Raw'!T23</f>
        <v>94.15</v>
      </c>
      <c r="T49" s="23">
        <f>'Annual Raw'!U23</f>
        <v>157.13</v>
      </c>
      <c r="U49" s="23">
        <f>'Annual Raw'!V23</f>
        <v>111.59</v>
      </c>
      <c r="V49" s="23">
        <f>'Annual Raw'!W23</f>
        <v>121.38</v>
      </c>
      <c r="W49" s="23">
        <f>'Annual Raw'!X23</f>
        <v>140.06</v>
      </c>
      <c r="X49" s="23">
        <f>'Annual Raw'!Y23</f>
        <v>173.8</v>
      </c>
      <c r="Y49" s="23">
        <f>'Annual Raw'!Z23</f>
        <v>249.77</v>
      </c>
      <c r="Z49" s="23">
        <f>'Annual Raw'!AA23</f>
        <v>193.25</v>
      </c>
      <c r="AA49" s="23">
        <f>'Annual Raw'!AB23</f>
        <v>164.75</v>
      </c>
      <c r="AB49" s="76">
        <f t="shared" ref="AB49:AB50" si="516">+SUM(CM49:CP49)</f>
        <v>0</v>
      </c>
      <c r="AC49" s="76">
        <f t="shared" ref="AC49:AC50" si="517">+SUM(CQ49:CT49)</f>
        <v>0</v>
      </c>
      <c r="AD49" s="76">
        <f t="shared" ref="AD49:AD50" si="518">+SUM(CU49:CX49)</f>
        <v>0</v>
      </c>
      <c r="AE49" s="76">
        <f t="shared" ref="AE49:AE50" si="519">+SUM(CY49:DB49)</f>
        <v>0</v>
      </c>
      <c r="AI49" s="23">
        <f>'QTR Raw'!C23</f>
        <v>18.63</v>
      </c>
      <c r="AJ49" s="23">
        <f>'QTR Raw'!D23</f>
        <v>34.130000000000003</v>
      </c>
      <c r="AK49" s="23">
        <f>'QTR Raw'!E23</f>
        <v>17.23</v>
      </c>
      <c r="AL49" s="23">
        <f>'QTR Raw'!F23</f>
        <v>16.02</v>
      </c>
      <c r="AM49" s="23">
        <f>'QTR Raw'!G23</f>
        <v>18.34</v>
      </c>
      <c r="AN49" s="23">
        <f>'QTR Raw'!H23</f>
        <v>32.29</v>
      </c>
      <c r="AO49" s="23">
        <f>'QTR Raw'!I23</f>
        <v>14.95</v>
      </c>
      <c r="AP49" s="23">
        <f>'QTR Raw'!J23</f>
        <v>16.22</v>
      </c>
      <c r="AQ49" s="23">
        <f>'QTR Raw'!K23</f>
        <v>17.989999999999998</v>
      </c>
      <c r="AR49" s="23">
        <f>'QTR Raw'!L23</f>
        <v>31.91</v>
      </c>
      <c r="AS49" s="23">
        <f>'QTR Raw'!M23</f>
        <v>11.61</v>
      </c>
      <c r="AT49" s="23">
        <f>'QTR Raw'!N23</f>
        <v>8.4700000000000006</v>
      </c>
      <c r="AU49" s="23">
        <f>'QTR Raw'!O23</f>
        <v>13.07</v>
      </c>
      <c r="AV49" s="23">
        <f>'QTR Raw'!P23</f>
        <v>33.25</v>
      </c>
      <c r="AW49" s="23">
        <f>'QTR Raw'!Q23</f>
        <v>9.34</v>
      </c>
      <c r="AX49" s="23">
        <f>'QTR Raw'!R23</f>
        <v>26.34</v>
      </c>
      <c r="AY49" s="23">
        <f>'QTR Raw'!S23</f>
        <v>21.04</v>
      </c>
      <c r="AZ49" s="23">
        <f>'QTR Raw'!T23</f>
        <v>34.700000000000003</v>
      </c>
      <c r="BA49" s="23">
        <f>'QTR Raw'!U23</f>
        <v>16.809999999999999</v>
      </c>
      <c r="BB49" s="23">
        <f>'QTR Raw'!V23</f>
        <v>10.27</v>
      </c>
      <c r="BC49" s="23">
        <f>'QTR Raw'!W23</f>
        <v>14.34</v>
      </c>
      <c r="BD49" s="23">
        <f>'QTR Raw'!X23</f>
        <v>33.54</v>
      </c>
      <c r="BE49" s="23">
        <f>'QTR Raw'!Y23</f>
        <v>20.55</v>
      </c>
      <c r="BF49" s="23">
        <f>'QTR Raw'!Z23</f>
        <v>25.72</v>
      </c>
      <c r="BG49" s="23">
        <f>'QTR Raw'!AA23</f>
        <v>28.52</v>
      </c>
      <c r="BH49" s="23">
        <f>'QTR Raw'!AB23</f>
        <v>70.790000000000006</v>
      </c>
      <c r="BI49" s="23">
        <f>'QTR Raw'!AC23</f>
        <v>22.59</v>
      </c>
      <c r="BJ49" s="23">
        <f>'QTR Raw'!AD23</f>
        <v>35.229999999999997</v>
      </c>
      <c r="BK49" s="23">
        <f>'QTR Raw'!AE23</f>
        <v>33.090000000000003</v>
      </c>
      <c r="BL49" s="23">
        <f>'QTR Raw'!AF23</f>
        <v>28.03</v>
      </c>
      <c r="BM49" s="23">
        <f>'QTR Raw'!AG23</f>
        <v>28.54</v>
      </c>
      <c r="BN49" s="23">
        <f>'QTR Raw'!AH23</f>
        <v>21.93</v>
      </c>
      <c r="BO49" s="23">
        <f>'QTR Raw'!AI23</f>
        <v>32.71</v>
      </c>
      <c r="BP49" s="23">
        <f>'QTR Raw'!AJ23</f>
        <v>26.22</v>
      </c>
      <c r="BQ49" s="23">
        <f>'QTR Raw'!AK23</f>
        <v>19.489999999999998</v>
      </c>
      <c r="BR49" s="23">
        <f>'QTR Raw'!AL23</f>
        <v>42.96</v>
      </c>
      <c r="BS49" s="23">
        <f>'QTR Raw'!AM23</f>
        <v>28.01</v>
      </c>
      <c r="BT49" s="23">
        <f>'QTR Raw'!AN23</f>
        <v>39.619999999999997</v>
      </c>
      <c r="BU49" s="23">
        <f>'QTR Raw'!AO23</f>
        <v>25.04</v>
      </c>
      <c r="BV49" s="23">
        <f>'QTR Raw'!AP23</f>
        <v>47.39</v>
      </c>
      <c r="BW49" s="23">
        <f>'QTR Raw'!AQ23</f>
        <v>35.340000000000003</v>
      </c>
      <c r="BX49" s="23">
        <f>'QTR Raw'!AR23</f>
        <v>29.31</v>
      </c>
      <c r="BY49" s="23">
        <f>'QTR Raw'!AS23</f>
        <v>48.93</v>
      </c>
      <c r="BZ49" s="23">
        <f>'QTR Raw'!AT23</f>
        <v>55.3</v>
      </c>
      <c r="CA49" s="23">
        <f>'QTR Raw'!AU23</f>
        <v>57.75</v>
      </c>
      <c r="CB49" s="23">
        <f>'QTR Raw'!AV23</f>
        <v>89.83</v>
      </c>
      <c r="CC49" s="23">
        <f>'QTR Raw'!AW23</f>
        <v>59.59</v>
      </c>
      <c r="CD49" s="23">
        <f>'QTR Raw'!AX23</f>
        <v>38.450000000000003</v>
      </c>
      <c r="CE49" s="23">
        <f>'QTR Raw'!AY23</f>
        <v>39.17</v>
      </c>
      <c r="CF49" s="23">
        <f>'QTR Raw'!AZ23</f>
        <v>45.97</v>
      </c>
      <c r="CG49" s="23">
        <f>'QTR Raw'!BA23</f>
        <v>51.6</v>
      </c>
      <c r="CH49" s="23">
        <f>'QTR Raw'!BB23</f>
        <v>56.51</v>
      </c>
      <c r="CI49" s="23">
        <f>'QTR Raw'!BC23</f>
        <v>41.17</v>
      </c>
      <c r="CJ49" s="23">
        <f>'QTR Raw'!BD23</f>
        <v>38.01</v>
      </c>
      <c r="CK49" s="23">
        <f>'QTR Raw'!BE23</f>
        <v>33.01</v>
      </c>
      <c r="CL49" s="23">
        <f>'QTR Raw'!BF23</f>
        <v>52.56</v>
      </c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E49" s="123"/>
      <c r="DF49" s="23">
        <v>164.75</v>
      </c>
    </row>
    <row r="50" spans="1:110" s="23" customFormat="1" x14ac:dyDescent="0.2">
      <c r="A50" s="23" t="s">
        <v>18</v>
      </c>
      <c r="B50" s="23">
        <f>'Annual Raw'!C25</f>
        <v>36.6312</v>
      </c>
      <c r="C50" s="23">
        <f>'Annual Raw'!D25</f>
        <v>191.9768</v>
      </c>
      <c r="D50" s="23">
        <f>'Annual Raw'!E25</f>
        <v>182.41120000000001</v>
      </c>
      <c r="E50" s="23">
        <f>'Annual Raw'!F25</f>
        <v>145.2182</v>
      </c>
      <c r="F50" s="23">
        <f>'Annual Raw'!G25</f>
        <v>134.92250000000001</v>
      </c>
      <c r="G50" s="23">
        <f>'Annual Raw'!H25</f>
        <v>112.1362</v>
      </c>
      <c r="H50" s="23">
        <f>'Annual Raw'!I25</f>
        <v>285.8338</v>
      </c>
      <c r="I50" s="23">
        <f>'Annual Raw'!J25</f>
        <v>306.2527</v>
      </c>
      <c r="J50" s="23">
        <f>'Annual Raw'!K25</f>
        <v>210.12799999999999</v>
      </c>
      <c r="K50" s="23">
        <f>'Annual Raw'!L25</f>
        <v>149.07859999999999</v>
      </c>
      <c r="L50" s="23">
        <f>'Annual Raw'!M25</f>
        <v>121.02249999999999</v>
      </c>
      <c r="M50" s="23">
        <f>'Annual Raw'!N25</f>
        <v>70.352500000000006</v>
      </c>
      <c r="N50" s="23">
        <f>'Annual Raw'!O25</f>
        <v>84.444800000000001</v>
      </c>
      <c r="O50" s="23">
        <f>'Annual Raw'!P25</f>
        <v>86.531499999999994</v>
      </c>
      <c r="P50" s="23">
        <f>'Annual Raw'!Q25</f>
        <v>81.86</v>
      </c>
      <c r="Q50" s="23">
        <f>'Annual Raw'!R25</f>
        <v>116.9</v>
      </c>
      <c r="R50" s="23">
        <f>'Annual Raw'!S25</f>
        <v>91.53</v>
      </c>
      <c r="S50" s="23">
        <f>'Annual Raw'!T25</f>
        <v>42.76</v>
      </c>
      <c r="T50" s="23">
        <f>'Annual Raw'!U25</f>
        <v>52.47</v>
      </c>
      <c r="U50" s="23">
        <f>'Annual Raw'!V25</f>
        <v>77.86</v>
      </c>
      <c r="V50" s="23">
        <f>'Annual Raw'!W25</f>
        <v>68.69</v>
      </c>
      <c r="W50" s="23">
        <f>'Annual Raw'!X25</f>
        <v>72.78</v>
      </c>
      <c r="X50" s="23">
        <f>'Annual Raw'!Y25</f>
        <v>87.16</v>
      </c>
      <c r="Y50" s="23">
        <f>'Annual Raw'!Z25</f>
        <v>129.81</v>
      </c>
      <c r="Z50" s="23">
        <f>'Annual Raw'!AA25</f>
        <v>290.2</v>
      </c>
      <c r="AA50" s="23">
        <f>'Annual Raw'!AB25</f>
        <v>137.03</v>
      </c>
      <c r="AB50" s="76">
        <f t="shared" si="516"/>
        <v>-203.34266978985832</v>
      </c>
      <c r="AC50" s="76">
        <f t="shared" si="517"/>
        <v>-305.09895193830488</v>
      </c>
      <c r="AD50" s="76">
        <f t="shared" si="518"/>
        <v>-463.30846997466881</v>
      </c>
      <c r="AE50" s="76">
        <f t="shared" si="519"/>
        <v>-653.34924915655074</v>
      </c>
      <c r="AI50" s="23">
        <f>'QTR Raw'!C25</f>
        <v>21.19</v>
      </c>
      <c r="AJ50" s="23">
        <f>'QTR Raw'!D25</f>
        <v>10.96</v>
      </c>
      <c r="AK50" s="23">
        <f>'QTR Raw'!E25</f>
        <v>23.83</v>
      </c>
      <c r="AL50" s="23">
        <f>'QTR Raw'!F25</f>
        <v>28.46</v>
      </c>
      <c r="AM50" s="23">
        <f>'QTR Raw'!G25</f>
        <v>20.37</v>
      </c>
      <c r="AN50" s="23">
        <f>'QTR Raw'!H25</f>
        <v>18.13</v>
      </c>
      <c r="AO50" s="23">
        <f>'QTR Raw'!I25</f>
        <v>27.79</v>
      </c>
      <c r="AP50" s="23">
        <f>'QTR Raw'!J25</f>
        <v>20.239999999999998</v>
      </c>
      <c r="AQ50" s="23">
        <f>'QTR Raw'!K25</f>
        <v>15.11</v>
      </c>
      <c r="AR50" s="23">
        <f>'QTR Raw'!L25</f>
        <v>21.6</v>
      </c>
      <c r="AS50" s="23">
        <f>'QTR Raw'!M25</f>
        <v>26.78</v>
      </c>
      <c r="AT50" s="23">
        <f>'QTR Raw'!N25</f>
        <v>18.37</v>
      </c>
      <c r="AU50" s="23">
        <f>'QTR Raw'!O25</f>
        <v>21.18</v>
      </c>
      <c r="AV50" s="23">
        <f>'QTR Raw'!P25</f>
        <v>20.95</v>
      </c>
      <c r="AW50" s="23">
        <f>'QTR Raw'!Q25</f>
        <v>30.34</v>
      </c>
      <c r="AX50" s="23">
        <f>'QTR Raw'!R25</f>
        <v>44.43</v>
      </c>
      <c r="AY50" s="23">
        <f>'QTR Raw'!S25</f>
        <v>22.04</v>
      </c>
      <c r="AZ50" s="23">
        <f>'QTR Raw'!T25</f>
        <v>23.15</v>
      </c>
      <c r="BA50" s="23">
        <f>'QTR Raw'!U25</f>
        <v>21.57</v>
      </c>
      <c r="BB50" s="23">
        <f>'QTR Raw'!V25</f>
        <v>24.77</v>
      </c>
      <c r="BC50" s="23">
        <f>'QTR Raw'!W25</f>
        <v>11.06</v>
      </c>
      <c r="BD50" s="23">
        <f>'QTR Raw'!X25</f>
        <v>9.6199999999999992</v>
      </c>
      <c r="BE50" s="23">
        <f>'QTR Raw'!Y25</f>
        <v>8.5</v>
      </c>
      <c r="BF50" s="23">
        <f>'QTR Raw'!Z25</f>
        <v>13.58</v>
      </c>
      <c r="BG50" s="23">
        <f>'QTR Raw'!AA25</f>
        <v>12.57</v>
      </c>
      <c r="BH50" s="23">
        <f>'QTR Raw'!AB25</f>
        <v>11.47</v>
      </c>
      <c r="BI50" s="23">
        <f>'QTR Raw'!AC25</f>
        <v>12.95</v>
      </c>
      <c r="BJ50" s="23">
        <f>'QTR Raw'!AD25</f>
        <v>15.48</v>
      </c>
      <c r="BK50" s="23">
        <f>'QTR Raw'!AE25</f>
        <v>18.63</v>
      </c>
      <c r="BL50" s="23">
        <f>'QTR Raw'!AF25</f>
        <v>20.41</v>
      </c>
      <c r="BM50" s="23">
        <f>'QTR Raw'!AG25</f>
        <v>20.12</v>
      </c>
      <c r="BN50" s="23">
        <f>'QTR Raw'!AH25</f>
        <v>18.7</v>
      </c>
      <c r="BO50" s="23">
        <f>'QTR Raw'!AI25</f>
        <v>17.28</v>
      </c>
      <c r="BP50" s="23">
        <f>'QTR Raw'!AJ25</f>
        <v>17.87</v>
      </c>
      <c r="BQ50" s="23">
        <f>'QTR Raw'!AK25</f>
        <v>18.09</v>
      </c>
      <c r="BR50" s="23">
        <f>'QTR Raw'!AL25</f>
        <v>15.45</v>
      </c>
      <c r="BS50" s="23">
        <f>'QTR Raw'!AM25</f>
        <v>20.43</v>
      </c>
      <c r="BT50" s="23">
        <f>'QTR Raw'!AN25</f>
        <v>19.78</v>
      </c>
      <c r="BU50" s="23">
        <f>'QTR Raw'!AO25</f>
        <v>16.16</v>
      </c>
      <c r="BV50" s="23">
        <f>'QTR Raw'!AP25</f>
        <v>16.41</v>
      </c>
      <c r="BW50" s="23">
        <f>'QTR Raw'!AQ25</f>
        <v>16.27</v>
      </c>
      <c r="BX50" s="23">
        <f>'QTR Raw'!AR25</f>
        <v>19.55</v>
      </c>
      <c r="BY50" s="23">
        <f>'QTR Raw'!AS25</f>
        <v>23.68</v>
      </c>
      <c r="BZ50" s="23">
        <f>'QTR Raw'!AT25</f>
        <v>27.66</v>
      </c>
      <c r="CA50" s="23">
        <f>'QTR Raw'!AU25</f>
        <v>26.23</v>
      </c>
      <c r="CB50" s="23">
        <f>'QTR Raw'!AV25</f>
        <v>27.56</v>
      </c>
      <c r="CC50" s="23">
        <f>'QTR Raw'!AW25</f>
        <v>33.19</v>
      </c>
      <c r="CD50" s="23">
        <f>'QTR Raw'!AX25</f>
        <v>42.83</v>
      </c>
      <c r="CE50" s="23">
        <f>'QTR Raw'!AY25</f>
        <v>93.6</v>
      </c>
      <c r="CF50" s="23">
        <f>'QTR Raw'!AZ25</f>
        <v>98.69</v>
      </c>
      <c r="CG50" s="23">
        <f>'QTR Raw'!BA25</f>
        <v>57.92</v>
      </c>
      <c r="CH50" s="23">
        <f>'QTR Raw'!BB25</f>
        <v>39.99</v>
      </c>
      <c r="CI50" s="23">
        <f>'QTR Raw'!BC25</f>
        <v>33.76</v>
      </c>
      <c r="CJ50" s="23">
        <f>'QTR Raw'!BD25</f>
        <v>33.229999999999997</v>
      </c>
      <c r="CK50" s="23">
        <f>'QTR Raw'!BE25</f>
        <v>31.62</v>
      </c>
      <c r="CL50" s="23">
        <f>'QTR Raw'!BF25</f>
        <v>38.42</v>
      </c>
      <c r="CM50" s="24">
        <f t="shared" ref="CM50:DB50" si="520">CM51*CL182</f>
        <v>-38.188872427974644</v>
      </c>
      <c r="CN50" s="24">
        <f t="shared" si="520"/>
        <v>-46.277244346190685</v>
      </c>
      <c r="CO50" s="24">
        <f t="shared" si="520"/>
        <v>-54.773355552260853</v>
      </c>
      <c r="CP50" s="24">
        <f t="shared" si="520"/>
        <v>-64.103197463432139</v>
      </c>
      <c r="CQ50" s="24">
        <f t="shared" si="520"/>
        <v>-62.967021425929168</v>
      </c>
      <c r="CR50" s="24">
        <f t="shared" si="520"/>
        <v>-71.656209513292737</v>
      </c>
      <c r="CS50" s="24">
        <f t="shared" si="520"/>
        <v>-80.494475636040917</v>
      </c>
      <c r="CT50" s="24">
        <f t="shared" si="520"/>
        <v>-89.981245363042021</v>
      </c>
      <c r="CU50" s="24">
        <f t="shared" si="520"/>
        <v>-99.733573598669722</v>
      </c>
      <c r="CV50" s="24">
        <f t="shared" si="520"/>
        <v>-110.28116029761638</v>
      </c>
      <c r="CW50" s="24">
        <f t="shared" si="520"/>
        <v>-120.94798011400449</v>
      </c>
      <c r="CX50" s="24">
        <f t="shared" si="520"/>
        <v>-132.34575596437821</v>
      </c>
      <c r="CY50" s="24">
        <f t="shared" si="520"/>
        <v>-144.03998405240711</v>
      </c>
      <c r="CZ50" s="24">
        <f t="shared" si="520"/>
        <v>-156.71052103475299</v>
      </c>
      <c r="DA50" s="24">
        <f t="shared" si="520"/>
        <v>-169.48394441855189</v>
      </c>
      <c r="DB50" s="24">
        <f t="shared" si="520"/>
        <v>-183.11479965083879</v>
      </c>
      <c r="DE50" s="123"/>
      <c r="DF50" s="23">
        <v>-3.748224396699718</v>
      </c>
    </row>
    <row r="51" spans="1:110" s="46" customFormat="1" x14ac:dyDescent="0.2">
      <c r="A51" s="46" t="s">
        <v>482</v>
      </c>
      <c r="B51" s="46">
        <f t="shared" ref="B51:D51" si="521">+B50/B142</f>
        <v>0.15324861357011135</v>
      </c>
      <c r="C51" s="46">
        <f t="shared" si="521"/>
        <v>0.1109212895233737</v>
      </c>
      <c r="D51" s="46">
        <f t="shared" si="521"/>
        <v>0.10297093552834621</v>
      </c>
      <c r="E51" s="46">
        <f t="shared" ref="E51:AE51" si="522">+E50/E142</f>
        <v>8.0801593795304355E-2</v>
      </c>
      <c r="F51" s="46">
        <f t="shared" si="522"/>
        <v>8.2655055149418052E-2</v>
      </c>
      <c r="G51" s="46">
        <f t="shared" si="522"/>
        <v>6.6022045775423227E-2</v>
      </c>
      <c r="H51" s="46">
        <f t="shared" si="522"/>
        <v>6.2439656630362023E-2</v>
      </c>
      <c r="I51" s="46">
        <f t="shared" si="522"/>
        <v>0.1173693898117906</v>
      </c>
      <c r="J51" s="46">
        <f t="shared" si="522"/>
        <v>8.6434336407054196E-2</v>
      </c>
      <c r="K51" s="46">
        <f t="shared" si="522"/>
        <v>8.2969646671098282E-2</v>
      </c>
      <c r="L51" s="46">
        <f t="shared" si="522"/>
        <v>0.11620102881201735</v>
      </c>
      <c r="M51" s="46">
        <f t="shared" si="522"/>
        <v>7.6811099884945763E-2</v>
      </c>
      <c r="N51" s="46">
        <f t="shared" si="522"/>
        <v>6.0805176354870628E-2</v>
      </c>
      <c r="O51" s="46">
        <f t="shared" si="522"/>
        <v>6.0170765747858609E-2</v>
      </c>
      <c r="P51" s="46">
        <f t="shared" si="522"/>
        <v>6.1826393661775038E-2</v>
      </c>
      <c r="Q51" s="46">
        <f t="shared" si="522"/>
        <v>8.6333591817141175E-2</v>
      </c>
      <c r="R51" s="46">
        <f t="shared" si="522"/>
        <v>0.11636747355573636</v>
      </c>
      <c r="S51" s="46">
        <f t="shared" si="522"/>
        <v>4.005320444369509E-2</v>
      </c>
      <c r="T51" s="46">
        <f t="shared" si="522"/>
        <v>4.5981947243887468E-2</v>
      </c>
      <c r="U51" s="46">
        <f t="shared" si="522"/>
        <v>6.1971203209194602E-2</v>
      </c>
      <c r="V51" s="46">
        <f t="shared" si="522"/>
        <v>5.6926672412649995E-2</v>
      </c>
      <c r="W51" s="46">
        <f t="shared" si="522"/>
        <v>7.2017336407445148E-2</v>
      </c>
      <c r="X51" s="46">
        <f t="shared" si="522"/>
        <v>7.3688304222113241E-2</v>
      </c>
      <c r="Y51" s="46">
        <f t="shared" si="522"/>
        <v>4.394603652859827E-2</v>
      </c>
      <c r="Z51" s="46">
        <f t="shared" si="522"/>
        <v>0.15697941741270655</v>
      </c>
      <c r="AA51" s="46">
        <f t="shared" ref="AA51" si="523">+AA50/AA142</f>
        <v>6.4627342228259083E-2</v>
      </c>
      <c r="AB51" s="110">
        <f t="shared" si="522"/>
        <v>-9.5902330220514129E-2</v>
      </c>
      <c r="AC51" s="110">
        <f t="shared" si="522"/>
        <v>-0.14389355893162079</v>
      </c>
      <c r="AD51" s="110">
        <f t="shared" si="522"/>
        <v>-0.21850977921844864</v>
      </c>
      <c r="AE51" s="110">
        <f t="shared" si="522"/>
        <v>-0.30813855009717955</v>
      </c>
      <c r="AI51" s="46" t="e">
        <f t="shared" ref="AI51:BN51" si="524">(AI50-AI49)/AH182</f>
        <v>#DIV/0!</v>
      </c>
      <c r="AJ51" s="46" t="e">
        <f t="shared" si="524"/>
        <v>#DIV/0!</v>
      </c>
      <c r="AK51" s="46">
        <f t="shared" si="524"/>
        <v>2.7240084196623875E-2</v>
      </c>
      <c r="AL51" s="46">
        <f t="shared" si="524"/>
        <v>5.6789872237522243E-2</v>
      </c>
      <c r="AM51" s="46">
        <f t="shared" si="524"/>
        <v>6.3993443036378566E-3</v>
      </c>
      <c r="AN51" s="46">
        <f t="shared" si="524"/>
        <v>-7.8600915634884583E-2</v>
      </c>
      <c r="AO51" s="46">
        <f t="shared" si="524"/>
        <v>2.628777331913848E-2</v>
      </c>
      <c r="AP51" s="46">
        <f t="shared" si="524"/>
        <v>8.1556794780913554E-3</v>
      </c>
      <c r="AQ51" s="46">
        <f t="shared" si="524"/>
        <v>-4.2793462109955412E-3</v>
      </c>
      <c r="AR51" s="46">
        <f t="shared" si="524"/>
        <v>-1.7889782965651559E-2</v>
      </c>
      <c r="AS51" s="46">
        <f t="shared" si="524"/>
        <v>1.6683896795196097E-2</v>
      </c>
      <c r="AT51" s="46">
        <f t="shared" si="524"/>
        <v>1.0693968293707803E-2</v>
      </c>
      <c r="AU51" s="46">
        <f t="shared" si="524"/>
        <v>1.1303608513247939E-2</v>
      </c>
      <c r="AV51" s="46">
        <f t="shared" si="524"/>
        <v>-2.720803529489587E-2</v>
      </c>
      <c r="AW51" s="46">
        <f t="shared" si="524"/>
        <v>2.2047475564047916E-2</v>
      </c>
      <c r="AX51" s="46">
        <f t="shared" si="524"/>
        <v>1.9548199311070786E-2</v>
      </c>
      <c r="AY51" s="46">
        <f t="shared" si="524"/>
        <v>4.1960389392413549E-3</v>
      </c>
      <c r="AZ51" s="46">
        <f t="shared" si="524"/>
        <v>-4.3237416134465856E-2</v>
      </c>
      <c r="BA51" s="46">
        <f t="shared" si="524"/>
        <v>-4.4623605512327816E-2</v>
      </c>
      <c r="BB51" s="46">
        <f t="shared" si="524"/>
        <v>-0.11344432427047263</v>
      </c>
      <c r="BC51" s="46">
        <f t="shared" si="524"/>
        <v>-0.11248285322359407</v>
      </c>
      <c r="BD51" s="46">
        <f t="shared" si="524"/>
        <v>0.30735144903472639</v>
      </c>
      <c r="BE51" s="46">
        <f t="shared" si="524"/>
        <v>2.2828022581745155E-2</v>
      </c>
      <c r="BF51" s="46">
        <f t="shared" si="524"/>
        <v>1.8301298828358483E-2</v>
      </c>
      <c r="BG51" s="46">
        <f t="shared" si="524"/>
        <v>2.1252781516076163E-2</v>
      </c>
      <c r="BH51" s="46">
        <f t="shared" si="524"/>
        <v>7.6773419886052505E-2</v>
      </c>
      <c r="BI51" s="46">
        <f t="shared" si="524"/>
        <v>4.4575973365393512E-2</v>
      </c>
      <c r="BJ51" s="46">
        <f t="shared" si="524"/>
        <v>0.11556383704617532</v>
      </c>
      <c r="BK51" s="46">
        <f t="shared" si="524"/>
        <v>2.8927521155500444E-2</v>
      </c>
      <c r="BL51" s="46">
        <f t="shared" si="524"/>
        <v>7.0029353349395959E-2</v>
      </c>
      <c r="BM51" s="46">
        <f t="shared" si="524"/>
        <v>2.4109494903218412E-2</v>
      </c>
      <c r="BN51" s="46">
        <f t="shared" si="524"/>
        <v>7.8413747061880264E-3</v>
      </c>
      <c r="BO51" s="46">
        <f t="shared" ref="BO51:CL51" si="525">(BO50-BO49)/BN182</f>
        <v>1.2125450873456812E-2</v>
      </c>
      <c r="BP51" s="46">
        <f t="shared" si="525"/>
        <v>6.0376688229733253E-3</v>
      </c>
      <c r="BQ51" s="46">
        <f t="shared" si="525"/>
        <v>1.0182410612981107E-3</v>
      </c>
      <c r="BR51" s="46">
        <f t="shared" si="525"/>
        <v>1.9695060902904359E-2</v>
      </c>
      <c r="BS51" s="46">
        <f t="shared" si="525"/>
        <v>3.458975997079494E-3</v>
      </c>
      <c r="BT51" s="46">
        <f t="shared" si="525"/>
        <v>8.3024192473716181E-3</v>
      </c>
      <c r="BU51" s="46">
        <f t="shared" si="525"/>
        <v>4.4706462802511209E-3</v>
      </c>
      <c r="BV51" s="46">
        <f t="shared" si="525"/>
        <v>1.4284411966717347E-2</v>
      </c>
      <c r="BW51" s="46">
        <f t="shared" si="525"/>
        <v>1.0669546194603126E-2</v>
      </c>
      <c r="BX51" s="46">
        <f t="shared" si="525"/>
        <v>4.9137960184408008E-3</v>
      </c>
      <c r="BY51" s="46">
        <f t="shared" si="525"/>
        <v>2.0697060607550943E-2</v>
      </c>
      <c r="BZ51" s="46">
        <f t="shared" si="525"/>
        <v>1.8180853284219055E-2</v>
      </c>
      <c r="CA51" s="46">
        <f t="shared" si="525"/>
        <v>1.3305978403113733E-2</v>
      </c>
      <c r="CB51" s="46">
        <f t="shared" si="525"/>
        <v>2.3529497539866419E-2</v>
      </c>
      <c r="CC51" s="46">
        <f t="shared" si="525"/>
        <v>1.3402852167555959E-2</v>
      </c>
      <c r="CD51" s="46">
        <f t="shared" si="525"/>
        <v>-1.9736125821486752E-3</v>
      </c>
      <c r="CE51" s="46">
        <f t="shared" si="525"/>
        <v>0.20876802700214767</v>
      </c>
      <c r="CF51" s="46">
        <f t="shared" si="525"/>
        <v>0.71036087667414782</v>
      </c>
      <c r="CG51" s="46">
        <f t="shared" si="525"/>
        <v>-4.1038961038962007</v>
      </c>
      <c r="CH51" s="46">
        <f t="shared" si="525"/>
        <v>8.9569210547154693E-2</v>
      </c>
      <c r="CI51" s="46">
        <f t="shared" si="525"/>
        <v>5.8742855330854698E-3</v>
      </c>
      <c r="CJ51" s="46">
        <f t="shared" si="525"/>
        <v>2.7283111949717807E-3</v>
      </c>
      <c r="CK51" s="46">
        <f t="shared" si="525"/>
        <v>4.6685027204943844E-3</v>
      </c>
      <c r="CL51" s="46">
        <f t="shared" si="525"/>
        <v>1.7611706632589607E-2</v>
      </c>
      <c r="CM51" s="47">
        <f t="shared" ref="CM51" si="526">+CL51</f>
        <v>1.7611706632589607E-2</v>
      </c>
      <c r="CN51" s="47">
        <f t="shared" ref="CN51" si="527">+CM51</f>
        <v>1.7611706632589607E-2</v>
      </c>
      <c r="CO51" s="47">
        <f t="shared" ref="CO51" si="528">+CN51</f>
        <v>1.7611706632589607E-2</v>
      </c>
      <c r="CP51" s="47">
        <f t="shared" ref="CP51" si="529">+CO51</f>
        <v>1.7611706632589607E-2</v>
      </c>
      <c r="CQ51" s="47">
        <v>1.4999999999999999E-2</v>
      </c>
      <c r="CR51" s="47">
        <f t="shared" ref="CR51" si="530">+CQ51</f>
        <v>1.4999999999999999E-2</v>
      </c>
      <c r="CS51" s="47">
        <f t="shared" ref="CS51" si="531">+CR51</f>
        <v>1.4999999999999999E-2</v>
      </c>
      <c r="CT51" s="47">
        <f t="shared" ref="CT51" si="532">+CS51</f>
        <v>1.4999999999999999E-2</v>
      </c>
      <c r="CU51" s="47">
        <f t="shared" ref="CU51" si="533">+CT51</f>
        <v>1.4999999999999999E-2</v>
      </c>
      <c r="CV51" s="47">
        <f t="shared" ref="CV51" si="534">+CU51</f>
        <v>1.4999999999999999E-2</v>
      </c>
      <c r="CW51" s="47">
        <f t="shared" ref="CW51" si="535">+CV51</f>
        <v>1.4999999999999999E-2</v>
      </c>
      <c r="CX51" s="47">
        <f t="shared" ref="CX51" si="536">+CW51</f>
        <v>1.4999999999999999E-2</v>
      </c>
      <c r="CY51" s="47">
        <f t="shared" ref="CY51" si="537">+CX51</f>
        <v>1.4999999999999999E-2</v>
      </c>
      <c r="CZ51" s="47">
        <f t="shared" ref="CZ51" si="538">+CY51</f>
        <v>1.4999999999999999E-2</v>
      </c>
      <c r="DA51" s="47">
        <f t="shared" ref="DA51" si="539">+CZ51</f>
        <v>1.4999999999999999E-2</v>
      </c>
      <c r="DB51" s="47">
        <f t="shared" ref="DB51" si="540">+DA51</f>
        <v>1.4999999999999999E-2</v>
      </c>
      <c r="DE51" s="130"/>
      <c r="DF51" s="46">
        <v>4.6685027204943844E-3</v>
      </c>
    </row>
    <row r="52" spans="1:110" s="26" customFormat="1" x14ac:dyDescent="0.2">
      <c r="A52" s="26" t="s">
        <v>20</v>
      </c>
      <c r="B52" s="26">
        <f>B48+B49-B50</f>
        <v>127.60890000000009</v>
      </c>
      <c r="C52" s="26">
        <f t="shared" ref="C52:T52" si="541">C48+C49-C50</f>
        <v>126.64949999999968</v>
      </c>
      <c r="D52" s="26">
        <f>D48+D49-D50</f>
        <v>178.91279999999915</v>
      </c>
      <c r="E52" s="26">
        <f t="shared" si="541"/>
        <v>298.33899999999994</v>
      </c>
      <c r="F52" s="26">
        <f t="shared" si="541"/>
        <v>356.52590000000032</v>
      </c>
      <c r="G52" s="26">
        <f t="shared" si="541"/>
        <v>411.14010000000042</v>
      </c>
      <c r="H52" s="26">
        <f t="shared" si="541"/>
        <v>427.95780000000025</v>
      </c>
      <c r="I52" s="26">
        <f t="shared" si="541"/>
        <v>493.07279999999923</v>
      </c>
      <c r="J52" s="26">
        <f t="shared" si="541"/>
        <v>525.92940000000021</v>
      </c>
      <c r="K52" s="26">
        <f t="shared" si="541"/>
        <v>624.85199999999963</v>
      </c>
      <c r="L52" s="26">
        <f t="shared" si="541"/>
        <v>484.84539999999953</v>
      </c>
      <c r="M52" s="26">
        <f t="shared" si="541"/>
        <v>551.08320000000003</v>
      </c>
      <c r="N52" s="26">
        <f t="shared" si="541"/>
        <v>664.95540000000108</v>
      </c>
      <c r="O52" s="26">
        <f t="shared" si="541"/>
        <v>618.09859999999935</v>
      </c>
      <c r="P52" s="26">
        <f t="shared" si="541"/>
        <v>629.86999999999853</v>
      </c>
      <c r="Q52" s="26">
        <f t="shared" si="541"/>
        <v>502.64000000000044</v>
      </c>
      <c r="R52" s="26">
        <f t="shared" si="541"/>
        <v>656.65999999999974</v>
      </c>
      <c r="S52" s="26">
        <f t="shared" si="541"/>
        <v>774.26000000000033</v>
      </c>
      <c r="T52" s="26">
        <f t="shared" si="541"/>
        <v>767.99999999999989</v>
      </c>
      <c r="U52" s="26">
        <f t="shared" ref="U52:Z52" si="542">U48+U49-U50</f>
        <v>1084.1699999999987</v>
      </c>
      <c r="V52" s="26">
        <f t="shared" si="542"/>
        <v>1341.7100000000009</v>
      </c>
      <c r="W52" s="26">
        <f t="shared" si="542"/>
        <v>1508.0500000000006</v>
      </c>
      <c r="X52" s="26">
        <f t="shared" si="542"/>
        <v>1634.1099999999992</v>
      </c>
      <c r="Y52" s="26">
        <f t="shared" si="542"/>
        <v>2022.7600000000007</v>
      </c>
      <c r="Z52" s="26">
        <f t="shared" si="542"/>
        <v>1781.6600000000014</v>
      </c>
      <c r="AA52" s="26">
        <f t="shared" ref="AA52" si="543">AA48+AA49-AA50</f>
        <v>2192.84</v>
      </c>
      <c r="AB52" s="27">
        <f t="shared" ref="AB52:AD52" si="544">AB48+AB49-AB50</f>
        <v>2932.4660984953925</v>
      </c>
      <c r="AC52" s="27">
        <f t="shared" si="544"/>
        <v>3514.7452771406165</v>
      </c>
      <c r="AD52" s="27">
        <f t="shared" si="544"/>
        <v>4202.7953366057945</v>
      </c>
      <c r="AE52" s="27">
        <f t="shared" ref="AE52" si="545">AE48+AE49-AE50</f>
        <v>4997.0028269491741</v>
      </c>
      <c r="AI52" s="26">
        <f>AI48+AI49-AI50</f>
        <v>153.23000000000019</v>
      </c>
      <c r="AJ52" s="26">
        <f t="shared" ref="AJ52" si="546">AJ48+AJ49-AJ50</f>
        <v>159.28000000000017</v>
      </c>
      <c r="AK52" s="26">
        <f t="shared" ref="AK52:AM52" si="547">AK48+AK49-AK50</f>
        <v>172.03999999999968</v>
      </c>
      <c r="AL52" s="26">
        <f t="shared" si="547"/>
        <v>180.40999999999983</v>
      </c>
      <c r="AM52" s="26">
        <f t="shared" si="547"/>
        <v>176.30999999999989</v>
      </c>
      <c r="AN52" s="26">
        <f t="shared" ref="AN52:AO52" si="548">AN48+AN49-AN50</f>
        <v>140.54000000000013</v>
      </c>
      <c r="AO52" s="26">
        <f t="shared" si="548"/>
        <v>151.26</v>
      </c>
      <c r="AP52" s="26">
        <f t="shared" ref="AP52:CD52" si="549">AP48+AP49-AP50</f>
        <v>149.98999999999998</v>
      </c>
      <c r="AQ52" s="26">
        <f t="shared" si="549"/>
        <v>169.17999999999995</v>
      </c>
      <c r="AR52" s="26">
        <f t="shared" si="549"/>
        <v>161.88000000000014</v>
      </c>
      <c r="AS52" s="26">
        <f t="shared" si="549"/>
        <v>146.01000000000025</v>
      </c>
      <c r="AT52" s="26">
        <f t="shared" si="549"/>
        <v>152.7999999999999</v>
      </c>
      <c r="AU52" s="26">
        <f t="shared" si="549"/>
        <v>144.88999999999965</v>
      </c>
      <c r="AV52" s="26">
        <f t="shared" si="549"/>
        <v>122.8</v>
      </c>
      <c r="AW52" s="26">
        <f t="shared" si="549"/>
        <v>117.59999999999985</v>
      </c>
      <c r="AX52" s="26">
        <f t="shared" si="549"/>
        <v>117.34999999999982</v>
      </c>
      <c r="AY52" s="26">
        <f t="shared" si="549"/>
        <v>201.24</v>
      </c>
      <c r="AZ52" s="26">
        <f t="shared" si="549"/>
        <v>170.02</v>
      </c>
      <c r="BA52" s="26">
        <f t="shared" si="549"/>
        <v>145.63999999999993</v>
      </c>
      <c r="BB52" s="26">
        <f t="shared" si="549"/>
        <v>139.76000000000005</v>
      </c>
      <c r="BC52" s="26">
        <f t="shared" si="549"/>
        <v>218.40000000000018</v>
      </c>
      <c r="BD52" s="26">
        <f t="shared" si="549"/>
        <v>208.41000000000014</v>
      </c>
      <c r="BE52" s="26">
        <f t="shared" si="549"/>
        <v>218.08000000000015</v>
      </c>
      <c r="BF52" s="26">
        <f t="shared" si="549"/>
        <v>129.37000000000026</v>
      </c>
      <c r="BG52" s="26">
        <f t="shared" si="549"/>
        <v>235.2300000000001</v>
      </c>
      <c r="BH52" s="26">
        <f t="shared" si="549"/>
        <v>195.48999999999975</v>
      </c>
      <c r="BI52" s="26">
        <f t="shared" si="549"/>
        <v>176.23999999999992</v>
      </c>
      <c r="BJ52" s="26">
        <f t="shared" si="549"/>
        <v>161.04</v>
      </c>
      <c r="BK52" s="26">
        <f t="shared" si="549"/>
        <v>307.7600000000001</v>
      </c>
      <c r="BL52" s="26">
        <f t="shared" si="549"/>
        <v>263.75000000000017</v>
      </c>
      <c r="BM52" s="26">
        <f t="shared" si="549"/>
        <v>265.11000000000013</v>
      </c>
      <c r="BN52" s="26">
        <f t="shared" si="549"/>
        <v>247.55000000000013</v>
      </c>
      <c r="BO52" s="26">
        <f t="shared" si="549"/>
        <v>436.17999999999995</v>
      </c>
      <c r="BP52" s="26">
        <f t="shared" si="549"/>
        <v>345.36000000000024</v>
      </c>
      <c r="BQ52" s="26">
        <f t="shared" si="549"/>
        <v>298.33</v>
      </c>
      <c r="BR52" s="26">
        <f t="shared" si="549"/>
        <v>261.8399999999998</v>
      </c>
      <c r="BS52" s="26">
        <f t="shared" si="549"/>
        <v>340.27999999999963</v>
      </c>
      <c r="BT52" s="26">
        <f t="shared" si="549"/>
        <v>363.82999999999993</v>
      </c>
      <c r="BU52" s="26">
        <f t="shared" si="549"/>
        <v>400.74000000000018</v>
      </c>
      <c r="BV52" s="26">
        <f t="shared" si="549"/>
        <v>403.19999999999965</v>
      </c>
      <c r="BW52" s="26">
        <f t="shared" si="549"/>
        <v>403.4499999999997</v>
      </c>
      <c r="BX52" s="26">
        <f t="shared" si="549"/>
        <v>370.46000000000038</v>
      </c>
      <c r="BY52" s="26">
        <f t="shared" si="549"/>
        <v>403.75000000000023</v>
      </c>
      <c r="BZ52" s="26">
        <f t="shared" si="549"/>
        <v>456.44999999999982</v>
      </c>
      <c r="CA52" s="26">
        <f t="shared" si="549"/>
        <v>494.60000000000014</v>
      </c>
      <c r="CB52" s="26">
        <f t="shared" si="549"/>
        <v>505.43000000000035</v>
      </c>
      <c r="CC52" s="26">
        <f t="shared" si="549"/>
        <v>513.27000000000021</v>
      </c>
      <c r="CD52" s="26">
        <f t="shared" si="549"/>
        <v>509.46</v>
      </c>
      <c r="CE52" s="26">
        <f t="shared" ref="CE52:CF52" si="550">CE48+CE49-CE50</f>
        <v>464.94999999999982</v>
      </c>
      <c r="CF52" s="26">
        <f t="shared" si="550"/>
        <v>424.23999999999972</v>
      </c>
      <c r="CG52" s="26">
        <f t="shared" ref="CG52:CH52" si="551">CG48+CG49-CG50</f>
        <v>408.09000000000026</v>
      </c>
      <c r="CH52" s="26">
        <f t="shared" si="551"/>
        <v>484.38000000000022</v>
      </c>
      <c r="CI52" s="26">
        <f t="shared" ref="CI52:CJ52" si="552">CI48+CI49-CI50</f>
        <v>465.42000000000007</v>
      </c>
      <c r="CJ52" s="26">
        <f t="shared" si="552"/>
        <v>523.27999999999929</v>
      </c>
      <c r="CK52" s="26">
        <f t="shared" ref="CK52:CL52" si="553">CK48+CK49-CK50</f>
        <v>562.76999999999987</v>
      </c>
      <c r="CL52" s="26">
        <f t="shared" si="553"/>
        <v>641.36999999999955</v>
      </c>
      <c r="CM52" s="27">
        <f t="shared" ref="CM52:DB52" si="554">CM48+CM49-CM50</f>
        <v>644.59851193504949</v>
      </c>
      <c r="CN52" s="27">
        <f t="shared" si="554"/>
        <v>711.56223933485285</v>
      </c>
      <c r="CO52" s="27">
        <f t="shared" si="554"/>
        <v>752.19455671786977</v>
      </c>
      <c r="CP52" s="27">
        <f t="shared" si="554"/>
        <v>824.11079050762328</v>
      </c>
      <c r="CQ52" s="27">
        <f t="shared" si="554"/>
        <v>801.22005852065149</v>
      </c>
      <c r="CR52" s="27">
        <f t="shared" si="554"/>
        <v>862.22329069072975</v>
      </c>
      <c r="CS52" s="27">
        <f t="shared" si="554"/>
        <v>890.70307005907409</v>
      </c>
      <c r="CT52" s="27">
        <f t="shared" si="554"/>
        <v>960.5988578701598</v>
      </c>
      <c r="CU52" s="27">
        <f t="shared" si="554"/>
        <v>966.94501305690881</v>
      </c>
      <c r="CV52" s="27">
        <f t="shared" si="554"/>
        <v>1032.1436385064301</v>
      </c>
      <c r="CW52" s="27">
        <f t="shared" si="554"/>
        <v>1060.0234461573398</v>
      </c>
      <c r="CX52" s="27">
        <f t="shared" si="554"/>
        <v>1143.683238885118</v>
      </c>
      <c r="CY52" s="27">
        <f t="shared" si="554"/>
        <v>1152.8591018076359</v>
      </c>
      <c r="CZ52" s="27">
        <f t="shared" si="554"/>
        <v>1227.7645526249105</v>
      </c>
      <c r="DA52" s="27">
        <f t="shared" si="554"/>
        <v>1257.7531705639926</v>
      </c>
      <c r="DB52" s="27">
        <f t="shared" si="554"/>
        <v>1358.6260019526353</v>
      </c>
      <c r="DE52" s="121"/>
      <c r="DF52" s="26">
        <v>669.04153628642086</v>
      </c>
    </row>
    <row r="53" spans="1:110" s="23" customFormat="1" x14ac:dyDescent="0.2">
      <c r="A53" s="23" t="s">
        <v>21</v>
      </c>
      <c r="B53" s="23">
        <f>'Annual Raw'!C30</f>
        <v>27.4</v>
      </c>
      <c r="C53" s="23">
        <f>'Annual Raw'!D30</f>
        <v>23.160799999999998</v>
      </c>
      <c r="D53" s="23">
        <f>'Annual Raw'!E30</f>
        <v>61.831299999999999</v>
      </c>
      <c r="E53" s="23">
        <f>'Annual Raw'!F30</f>
        <v>90.643199999999993</v>
      </c>
      <c r="F53" s="23">
        <f>'Annual Raw'!G30</f>
        <v>93.8489</v>
      </c>
      <c r="G53" s="23">
        <f>'Annual Raw'!H30</f>
        <v>117.8601</v>
      </c>
      <c r="H53" s="23">
        <f>'Annual Raw'!I30</f>
        <v>107.60339999999999</v>
      </c>
      <c r="I53" s="23">
        <f>'Annual Raw'!J30</f>
        <v>153.39760000000001</v>
      </c>
      <c r="J53" s="23">
        <f>'Annual Raw'!K30</f>
        <v>424.41250000000002</v>
      </c>
      <c r="K53" s="23">
        <f>'Annual Raw'!L30</f>
        <v>247.6755</v>
      </c>
      <c r="L53" s="23">
        <f>'Annual Raw'!M30</f>
        <v>202.31270000000001</v>
      </c>
      <c r="M53" s="23">
        <f>'Annual Raw'!N30</f>
        <v>141.7097</v>
      </c>
      <c r="N53" s="23">
        <f>'Annual Raw'!O30</f>
        <v>164.07079999999999</v>
      </c>
      <c r="O53" s="23">
        <f>'Annual Raw'!P30</f>
        <v>184.48939999999999</v>
      </c>
      <c r="P53" s="23">
        <f>'Annual Raw'!Q30</f>
        <v>215.52</v>
      </c>
      <c r="Q53" s="23">
        <f>'Annual Raw'!R30</f>
        <v>200.01</v>
      </c>
      <c r="R53" s="23">
        <f>'Annual Raw'!S30</f>
        <v>198.31</v>
      </c>
      <c r="S53" s="23">
        <f>'Annual Raw'!T30</f>
        <v>185.87</v>
      </c>
      <c r="T53" s="23">
        <f>'Annual Raw'!U30</f>
        <v>260.88</v>
      </c>
      <c r="U53" s="23">
        <f>'Annual Raw'!V30</f>
        <v>274.19</v>
      </c>
      <c r="V53" s="23">
        <f>'Annual Raw'!W30</f>
        <v>317.27</v>
      </c>
      <c r="W53" s="23">
        <f>'Annual Raw'!X30</f>
        <v>377.04</v>
      </c>
      <c r="X53" s="23">
        <f>'Annual Raw'!Y30</f>
        <v>447.04</v>
      </c>
      <c r="Y53" s="23">
        <f>'Annual Raw'!Z30</f>
        <v>394.73</v>
      </c>
      <c r="Z53" s="23">
        <f>'Annual Raw'!AA30</f>
        <v>396.24</v>
      </c>
      <c r="AA53" s="23">
        <f>'Annual Raw'!AB30</f>
        <v>535.28</v>
      </c>
      <c r="AB53" s="24">
        <f>+SUM(CM53:CP53)</f>
        <v>711.50753898340452</v>
      </c>
      <c r="AC53" s="24">
        <f>+SUM(CQ53:CT53)</f>
        <v>864.32365032441601</v>
      </c>
      <c r="AD53" s="24">
        <f>+SUM(CU53:CX53)</f>
        <v>1034.4120893384554</v>
      </c>
      <c r="AE53" s="24">
        <f>+SUM(CY53:DB53)</f>
        <v>1230.1481510516039</v>
      </c>
      <c r="AI53" s="23">
        <f>'QTR Raw'!C29</f>
        <v>49.25</v>
      </c>
      <c r="AJ53" s="23">
        <f>'QTR Raw'!D29</f>
        <v>19.96</v>
      </c>
      <c r="AK53" s="23">
        <f>'QTR Raw'!E29</f>
        <v>67.02</v>
      </c>
      <c r="AL53" s="23">
        <f>'QTR Raw'!F29</f>
        <v>27.84</v>
      </c>
      <c r="AM53" s="23">
        <f>'QTR Raw'!G29</f>
        <v>62.05</v>
      </c>
      <c r="AN53" s="23">
        <f>'QTR Raw'!H29</f>
        <v>72.03</v>
      </c>
      <c r="AO53" s="23">
        <f>'QTR Raw'!I29</f>
        <v>11.39</v>
      </c>
      <c r="AP53" s="23">
        <f>'QTR Raw'!J29</f>
        <v>39.020000000000003</v>
      </c>
      <c r="AQ53" s="23">
        <f>'QTR Raw'!K29</f>
        <v>54.06</v>
      </c>
      <c r="AR53" s="23">
        <f>'QTR Raw'!L29</f>
        <v>68.13</v>
      </c>
      <c r="AS53" s="23">
        <f>'QTR Raw'!M29</f>
        <v>57.75</v>
      </c>
      <c r="AT53" s="23">
        <f>'QTR Raw'!N29</f>
        <v>35.58</v>
      </c>
      <c r="AU53" s="23">
        <f>'QTR Raw'!O29</f>
        <v>56.16</v>
      </c>
      <c r="AV53" s="23">
        <f>'QTR Raw'!P29</f>
        <v>45.06</v>
      </c>
      <c r="AW53" s="23">
        <f>'QTR Raw'!Q29</f>
        <v>46.57</v>
      </c>
      <c r="AX53" s="23">
        <f>'QTR Raw'!R29</f>
        <v>52.22</v>
      </c>
      <c r="AY53" s="23">
        <f>'QTR Raw'!S29</f>
        <v>73.209999999999994</v>
      </c>
      <c r="AZ53" s="23">
        <f>'QTR Raw'!T29</f>
        <v>61.88</v>
      </c>
      <c r="BA53" s="23">
        <f>'QTR Raw'!U29</f>
        <v>50.32</v>
      </c>
      <c r="BB53" s="23">
        <f>'QTR Raw'!V29</f>
        <v>12.9</v>
      </c>
      <c r="BC53" s="23">
        <f>'QTR Raw'!W29</f>
        <v>80.540000000000006</v>
      </c>
      <c r="BD53" s="23">
        <f>'QTR Raw'!X29</f>
        <v>72.75</v>
      </c>
      <c r="BE53" s="23">
        <f>'QTR Raw'!Y29</f>
        <v>19.559999999999999</v>
      </c>
      <c r="BF53" s="23">
        <f>'QTR Raw'!Z29</f>
        <v>13.02</v>
      </c>
      <c r="BG53" s="23">
        <f>'QTR Raw'!AA29</f>
        <v>83.45</v>
      </c>
      <c r="BH53" s="23">
        <f>'QTR Raw'!AB29</f>
        <v>63.68</v>
      </c>
      <c r="BI53" s="23">
        <f>'QTR Raw'!AC29</f>
        <v>54.92</v>
      </c>
      <c r="BJ53" s="23">
        <f>'QTR Raw'!AD29</f>
        <v>58.83</v>
      </c>
      <c r="BK53" s="23">
        <f>'QTR Raw'!AE29</f>
        <v>102.18</v>
      </c>
      <c r="BL53" s="23">
        <f>'QTR Raw'!AF29</f>
        <v>63.6</v>
      </c>
      <c r="BM53" s="23">
        <f>'QTR Raw'!AG29</f>
        <v>75.040000000000006</v>
      </c>
      <c r="BN53" s="23">
        <f>'QTR Raw'!AH29</f>
        <v>33.369999999999997</v>
      </c>
      <c r="BO53" s="23">
        <f>'QTR Raw'!AI29</f>
        <v>110.4</v>
      </c>
      <c r="BP53" s="23">
        <f>'QTR Raw'!AJ29</f>
        <v>87.13</v>
      </c>
      <c r="BQ53" s="23">
        <f>'QTR Raw'!AK29</f>
        <v>55.17</v>
      </c>
      <c r="BR53" s="23">
        <f>'QTR Raw'!AL29</f>
        <v>64.569999999999993</v>
      </c>
      <c r="BS53" s="23">
        <f>'QTR Raw'!AM29</f>
        <v>95.71</v>
      </c>
      <c r="BT53" s="23">
        <f>'QTR Raw'!AN29</f>
        <v>86.13</v>
      </c>
      <c r="BU53" s="23">
        <f>'QTR Raw'!AO29</f>
        <v>99.88</v>
      </c>
      <c r="BV53" s="23">
        <f>'QTR Raw'!AP29</f>
        <v>95.32</v>
      </c>
      <c r="BW53" s="23">
        <f>'QTR Raw'!AQ29</f>
        <v>102.97</v>
      </c>
      <c r="BX53" s="23">
        <f>'QTR Raw'!AR29</f>
        <v>126.7</v>
      </c>
      <c r="BY53" s="23">
        <f>'QTR Raw'!AS29</f>
        <v>112.87</v>
      </c>
      <c r="BZ53" s="23">
        <f>'QTR Raw'!AT29</f>
        <v>104.5</v>
      </c>
      <c r="CA53" s="23">
        <f>'QTR Raw'!AU29</f>
        <v>130.87</v>
      </c>
      <c r="CB53" s="23">
        <f>'QTR Raw'!AV29</f>
        <v>131.69999999999999</v>
      </c>
      <c r="CC53" s="23">
        <f>'QTR Raw'!AW29</f>
        <v>106.21</v>
      </c>
      <c r="CD53" s="23">
        <f>'QTR Raw'!AX29</f>
        <v>25.95</v>
      </c>
      <c r="CE53" s="23">
        <f>'QTR Raw'!AY29</f>
        <v>133.69999999999999</v>
      </c>
      <c r="CF53" s="23">
        <f>'QTR Raw'!AZ29</f>
        <v>37.729999999999997</v>
      </c>
      <c r="CG53" s="23">
        <f>'QTR Raw'!BA29</f>
        <v>102.18</v>
      </c>
      <c r="CH53" s="23">
        <f>'QTR Raw'!BB29</f>
        <v>122.63</v>
      </c>
      <c r="CI53" s="23">
        <f>'QTR Raw'!BC29</f>
        <v>118.98</v>
      </c>
      <c r="CJ53" s="23">
        <f>'QTR Raw'!BD29</f>
        <v>126.23</v>
      </c>
      <c r="CK53" s="23">
        <f>'QTR Raw'!BE29</f>
        <v>137.12</v>
      </c>
      <c r="CL53" s="23">
        <f>'QTR Raw'!BF29</f>
        <v>152.94999999999999</v>
      </c>
      <c r="CM53" s="24">
        <f t="shared" ref="CM53:DB53" si="555">+CM52*CM54</f>
        <v>157.76456728572842</v>
      </c>
      <c r="CN53" s="24">
        <f t="shared" si="555"/>
        <v>172.21635054391581</v>
      </c>
      <c r="CO53" s="24">
        <f t="shared" si="555"/>
        <v>182.20034623184802</v>
      </c>
      <c r="CP53" s="24">
        <f t="shared" si="555"/>
        <v>199.32627492191227</v>
      </c>
      <c r="CQ53" s="24">
        <f t="shared" si="555"/>
        <v>196.4143457490355</v>
      </c>
      <c r="CR53" s="24">
        <f t="shared" si="555"/>
        <v>211.45502998854656</v>
      </c>
      <c r="CS53" s="24">
        <f t="shared" si="555"/>
        <v>219.16331107625015</v>
      </c>
      <c r="CT53" s="24">
        <f t="shared" si="555"/>
        <v>237.29096351058379</v>
      </c>
      <c r="CU53" s="24">
        <f t="shared" si="555"/>
        <v>237.73999698645736</v>
      </c>
      <c r="CV53" s="24">
        <f t="shared" si="555"/>
        <v>253.95677205497492</v>
      </c>
      <c r="CW53" s="24">
        <f t="shared" si="555"/>
        <v>261.02959567214361</v>
      </c>
      <c r="CX53" s="24">
        <f t="shared" si="555"/>
        <v>281.68572462487958</v>
      </c>
      <c r="CY53" s="24">
        <f t="shared" si="555"/>
        <v>283.73617584337177</v>
      </c>
      <c r="CZ53" s="24">
        <f t="shared" si="555"/>
        <v>302.24769726767869</v>
      </c>
      <c r="DA53" s="24">
        <f t="shared" si="555"/>
        <v>309.67088507157888</v>
      </c>
      <c r="DB53" s="24">
        <f t="shared" si="555"/>
        <v>334.49339286897447</v>
      </c>
      <c r="DE53" s="123"/>
      <c r="DF53" s="23">
        <v>166.20487202733301</v>
      </c>
    </row>
    <row r="54" spans="1:110" s="90" customFormat="1" x14ac:dyDescent="0.2">
      <c r="A54" s="90" t="s">
        <v>106</v>
      </c>
      <c r="B54" s="90">
        <f t="shared" ref="B54:E54" si="556">B53/B52</f>
        <v>0.21471856586805449</v>
      </c>
      <c r="C54" s="90">
        <f t="shared" si="556"/>
        <v>0.18287320518438729</v>
      </c>
      <c r="D54" s="90">
        <f t="shared" si="556"/>
        <v>0.34559461368890482</v>
      </c>
      <c r="E54" s="90">
        <f t="shared" si="556"/>
        <v>0.30382618430711378</v>
      </c>
      <c r="F54" s="90">
        <f t="shared" ref="F54:T54" si="557">F53/F52</f>
        <v>0.26323164740626115</v>
      </c>
      <c r="G54" s="90">
        <f t="shared" si="557"/>
        <v>0.286666515866489</v>
      </c>
      <c r="H54" s="90">
        <f t="shared" si="557"/>
        <v>0.25143460406610169</v>
      </c>
      <c r="I54" s="90">
        <f t="shared" si="557"/>
        <v>0.31110537835386631</v>
      </c>
      <c r="J54" s="90">
        <f t="shared" si="557"/>
        <v>0.80697618349535094</v>
      </c>
      <c r="K54" s="90">
        <f t="shared" si="557"/>
        <v>0.39637466151984813</v>
      </c>
      <c r="L54" s="90">
        <f t="shared" si="557"/>
        <v>0.4172725986469093</v>
      </c>
      <c r="M54" s="90">
        <f t="shared" si="557"/>
        <v>0.25714755956995239</v>
      </c>
      <c r="N54" s="90">
        <f t="shared" si="557"/>
        <v>0.24673955576569456</v>
      </c>
      <c r="O54" s="90">
        <f t="shared" si="557"/>
        <v>0.29847891582346275</v>
      </c>
      <c r="P54" s="90">
        <f t="shared" si="557"/>
        <v>0.3421658437455356</v>
      </c>
      <c r="Q54" s="90">
        <f t="shared" si="557"/>
        <v>0.39791898774470758</v>
      </c>
      <c r="R54" s="90">
        <f t="shared" si="557"/>
        <v>0.30199798982730802</v>
      </c>
      <c r="S54" s="90">
        <f t="shared" si="557"/>
        <v>0.24006147805646672</v>
      </c>
      <c r="T54" s="90">
        <f t="shared" si="557"/>
        <v>0.33968750000000003</v>
      </c>
      <c r="U54" s="90">
        <f t="shared" ref="U54:Z54" si="558">U53/U52</f>
        <v>0.25290314249610329</v>
      </c>
      <c r="V54" s="90">
        <f t="shared" si="558"/>
        <v>0.23646689672134796</v>
      </c>
      <c r="W54" s="90">
        <f t="shared" si="558"/>
        <v>0.25001823546964613</v>
      </c>
      <c r="X54" s="90">
        <f t="shared" si="558"/>
        <v>0.2735678748676651</v>
      </c>
      <c r="Y54" s="90">
        <f t="shared" si="558"/>
        <v>0.19514425834008972</v>
      </c>
      <c r="Z54" s="90">
        <f t="shared" si="558"/>
        <v>0.22239933545120824</v>
      </c>
      <c r="AA54" s="90">
        <f t="shared" ref="AA54" si="559">AA53/AA52</f>
        <v>0.24410353696576126</v>
      </c>
      <c r="AB54" s="91">
        <f t="shared" ref="AA54:AD54" si="560">AB53/AB52</f>
        <v>0.24263112175396304</v>
      </c>
      <c r="AC54" s="91">
        <f t="shared" si="560"/>
        <v>0.24591359605654761</v>
      </c>
      <c r="AD54" s="91">
        <f t="shared" si="560"/>
        <v>0.24612478279131561</v>
      </c>
      <c r="AE54" s="91">
        <f t="shared" ref="AE54" si="561">AE53/AE52</f>
        <v>0.24617719734264143</v>
      </c>
      <c r="AI54" s="90">
        <f t="shared" ref="AI54" si="562">AI53/AI52</f>
        <v>0.32141225608562252</v>
      </c>
      <c r="AJ54" s="90">
        <f t="shared" ref="AJ54" si="563">AJ53/AJ52</f>
        <v>0.12531391260673017</v>
      </c>
      <c r="AK54" s="90">
        <f t="shared" ref="AK54:AM54" si="564">AK53/AK52</f>
        <v>0.38956056730992861</v>
      </c>
      <c r="AL54" s="90">
        <f t="shared" si="564"/>
        <v>0.15431517099939043</v>
      </c>
      <c r="AM54" s="90">
        <f t="shared" si="564"/>
        <v>0.35193692927230469</v>
      </c>
      <c r="AN54" s="90">
        <f t="shared" ref="AN54:AO54" si="565">AN53/AN52</f>
        <v>0.51252312508894216</v>
      </c>
      <c r="AO54" s="90">
        <f t="shared" si="565"/>
        <v>7.5300806558244088E-2</v>
      </c>
      <c r="AP54" s="90">
        <f t="shared" ref="AP54:CD54" si="566">AP53/AP52</f>
        <v>0.26015067671178083</v>
      </c>
      <c r="AQ54" s="90">
        <f t="shared" si="566"/>
        <v>0.31954131694053683</v>
      </c>
      <c r="AR54" s="90">
        <f t="shared" si="566"/>
        <v>0.42086730911786469</v>
      </c>
      <c r="AS54" s="90">
        <f t="shared" si="566"/>
        <v>0.39552085473597631</v>
      </c>
      <c r="AT54" s="90">
        <f t="shared" si="566"/>
        <v>0.23285340314136141</v>
      </c>
      <c r="AU54" s="90">
        <f t="shared" si="566"/>
        <v>0.38760438953689097</v>
      </c>
      <c r="AV54" s="90">
        <f t="shared" si="566"/>
        <v>0.3669381107491857</v>
      </c>
      <c r="AW54" s="90">
        <f t="shared" si="566"/>
        <v>0.39600340136054474</v>
      </c>
      <c r="AX54" s="90">
        <f t="shared" si="566"/>
        <v>0.44499360886237815</v>
      </c>
      <c r="AY54" s="90">
        <f t="shared" si="566"/>
        <v>0.36379447425959049</v>
      </c>
      <c r="AZ54" s="90">
        <f t="shared" si="566"/>
        <v>0.36395718150805789</v>
      </c>
      <c r="BA54" s="90">
        <f t="shared" si="566"/>
        <v>0.34550947541884114</v>
      </c>
      <c r="BB54" s="90">
        <f t="shared" si="566"/>
        <v>9.2301087578706323E-2</v>
      </c>
      <c r="BC54" s="90">
        <f t="shared" si="566"/>
        <v>0.36877289377289352</v>
      </c>
      <c r="BD54" s="90">
        <f t="shared" si="566"/>
        <v>0.34907154167266424</v>
      </c>
      <c r="BE54" s="90">
        <f t="shared" si="566"/>
        <v>8.969185619955973E-2</v>
      </c>
      <c r="BF54" s="90">
        <f t="shared" si="566"/>
        <v>0.10064157068872207</v>
      </c>
      <c r="BG54" s="90">
        <f t="shared" si="566"/>
        <v>0.35475917187433559</v>
      </c>
      <c r="BH54" s="90">
        <f t="shared" si="566"/>
        <v>0.3257455624328614</v>
      </c>
      <c r="BI54" s="90">
        <f t="shared" si="566"/>
        <v>0.31162051747616898</v>
      </c>
      <c r="BJ54" s="90">
        <f t="shared" si="566"/>
        <v>0.36531296572280181</v>
      </c>
      <c r="BK54" s="90">
        <f t="shared" si="566"/>
        <v>0.33201195736937866</v>
      </c>
      <c r="BL54" s="90">
        <f t="shared" si="566"/>
        <v>0.24113744075829369</v>
      </c>
      <c r="BM54" s="90">
        <f t="shared" si="566"/>
        <v>0.28305231790577484</v>
      </c>
      <c r="BN54" s="90">
        <f t="shared" si="566"/>
        <v>0.13480105029287004</v>
      </c>
      <c r="BO54" s="90">
        <f t="shared" si="566"/>
        <v>0.25310651565867309</v>
      </c>
      <c r="BP54" s="90">
        <f t="shared" si="566"/>
        <v>0.25228746814917746</v>
      </c>
      <c r="BQ54" s="90">
        <f t="shared" si="566"/>
        <v>0.18492944055240843</v>
      </c>
      <c r="BR54" s="90">
        <f t="shared" si="566"/>
        <v>0.24660097769630324</v>
      </c>
      <c r="BS54" s="90">
        <f t="shared" si="566"/>
        <v>0.28126836722698983</v>
      </c>
      <c r="BT54" s="90">
        <f t="shared" si="566"/>
        <v>0.23673144050792957</v>
      </c>
      <c r="BU54" s="90">
        <f t="shared" si="566"/>
        <v>0.24923890802016258</v>
      </c>
      <c r="BV54" s="90">
        <f t="shared" si="566"/>
        <v>0.23640873015873035</v>
      </c>
      <c r="BW54" s="90">
        <f t="shared" si="566"/>
        <v>0.25522369562523256</v>
      </c>
      <c r="BX54" s="90">
        <f t="shared" si="566"/>
        <v>0.34200723424931134</v>
      </c>
      <c r="BY54" s="90">
        <f t="shared" si="566"/>
        <v>0.27955417956656331</v>
      </c>
      <c r="BZ54" s="90">
        <f t="shared" si="566"/>
        <v>0.22894073830649586</v>
      </c>
      <c r="CA54" s="90">
        <f t="shared" si="566"/>
        <v>0.26459765467044072</v>
      </c>
      <c r="CB54" s="90">
        <f t="shared" si="566"/>
        <v>0.2605702075460497</v>
      </c>
      <c r="CC54" s="90">
        <f t="shared" si="566"/>
        <v>0.20692812749624945</v>
      </c>
      <c r="CD54" s="90">
        <f t="shared" si="566"/>
        <v>5.0936285478742196E-2</v>
      </c>
      <c r="CE54" s="90">
        <f t="shared" ref="CE54:CF54" si="567">CE53/CE52</f>
        <v>0.2875578019141844</v>
      </c>
      <c r="CF54" s="90">
        <f t="shared" si="567"/>
        <v>8.8935508202904065E-2</v>
      </c>
      <c r="CG54" s="90">
        <f t="shared" ref="CG54:CH54" si="568">CG53/CG52</f>
        <v>0.25038594427699756</v>
      </c>
      <c r="CH54" s="90">
        <f t="shared" si="568"/>
        <v>0.25316899954581101</v>
      </c>
      <c r="CI54" s="90">
        <f t="shared" ref="CI54:CJ54" si="569">CI53/CI52</f>
        <v>0.25564006703622533</v>
      </c>
      <c r="CJ54" s="90">
        <f t="shared" si="569"/>
        <v>0.24122840544259322</v>
      </c>
      <c r="CK54" s="90">
        <f t="shared" ref="CK54:CL54" si="570">CK53/CK52</f>
        <v>0.24365193595962834</v>
      </c>
      <c r="CL54" s="90">
        <f t="shared" si="570"/>
        <v>0.23847389182531159</v>
      </c>
      <c r="CM54" s="91">
        <f t="shared" ref="CM54:DB54" si="571">AVERAGE(CI54:CL54)</f>
        <v>0.24474857506593961</v>
      </c>
      <c r="CN54" s="91">
        <f t="shared" si="571"/>
        <v>0.24202570207336818</v>
      </c>
      <c r="CO54" s="91">
        <f t="shared" si="571"/>
        <v>0.24222502623106193</v>
      </c>
      <c r="CP54" s="91">
        <f t="shared" si="571"/>
        <v>0.24186829879892033</v>
      </c>
      <c r="CQ54" s="91">
        <f>AVERAGE(CM54:CP54)*1.01</f>
        <v>0.24514406954774573</v>
      </c>
      <c r="CR54" s="91">
        <f t="shared" ref="CR54:CT54" si="572">AVERAGE(CN54:CQ54)*1.01</f>
        <v>0.24524393190440177</v>
      </c>
      <c r="CS54" s="91">
        <f t="shared" si="572"/>
        <v>0.24605653493673776</v>
      </c>
      <c r="CT54" s="91">
        <f t="shared" si="572"/>
        <v>0.24702399088492091</v>
      </c>
      <c r="CU54" s="91">
        <f t="shared" si="571"/>
        <v>0.24586713181845155</v>
      </c>
      <c r="CV54" s="91">
        <f t="shared" si="571"/>
        <v>0.24604789738612801</v>
      </c>
      <c r="CW54" s="91">
        <f t="shared" si="571"/>
        <v>0.24624888875655954</v>
      </c>
      <c r="CX54" s="91">
        <f t="shared" si="571"/>
        <v>0.246296977211515</v>
      </c>
      <c r="CY54" s="91">
        <f t="shared" si="571"/>
        <v>0.2461152237931635</v>
      </c>
      <c r="CZ54" s="91">
        <f t="shared" si="571"/>
        <v>0.24617724678684152</v>
      </c>
      <c r="DA54" s="91">
        <f t="shared" si="571"/>
        <v>0.24620958413701988</v>
      </c>
      <c r="DB54" s="91">
        <f t="shared" si="571"/>
        <v>0.24619975798213498</v>
      </c>
      <c r="DE54" s="127"/>
      <c r="DF54" s="90">
        <v>0.24842235199606449</v>
      </c>
    </row>
    <row r="55" spans="1:110" s="26" customFormat="1" x14ac:dyDescent="0.2">
      <c r="A55" s="26" t="s">
        <v>22</v>
      </c>
      <c r="B55" s="26">
        <f t="shared" ref="B55:E55" si="573">B52-B53</f>
        <v>100.20890000000009</v>
      </c>
      <c r="C55" s="26">
        <f t="shared" si="573"/>
        <v>103.48869999999968</v>
      </c>
      <c r="D55" s="26">
        <f t="shared" si="573"/>
        <v>117.08149999999915</v>
      </c>
      <c r="E55" s="26">
        <f t="shared" si="573"/>
        <v>207.69579999999996</v>
      </c>
      <c r="F55" s="26">
        <f t="shared" ref="F55:T55" si="574">F52-F53</f>
        <v>262.67700000000031</v>
      </c>
      <c r="G55" s="26">
        <f t="shared" si="574"/>
        <v>293.28000000000043</v>
      </c>
      <c r="H55" s="26">
        <f t="shared" si="574"/>
        <v>320.35440000000028</v>
      </c>
      <c r="I55" s="26">
        <f t="shared" si="574"/>
        <v>339.67519999999922</v>
      </c>
      <c r="J55" s="26">
        <f t="shared" si="574"/>
        <v>101.51690000000019</v>
      </c>
      <c r="K55" s="26">
        <f t="shared" si="574"/>
        <v>377.17649999999963</v>
      </c>
      <c r="L55" s="26">
        <f t="shared" si="574"/>
        <v>282.53269999999952</v>
      </c>
      <c r="M55" s="26">
        <f t="shared" si="574"/>
        <v>409.37350000000004</v>
      </c>
      <c r="N55" s="26">
        <f t="shared" si="574"/>
        <v>500.88460000000111</v>
      </c>
      <c r="O55" s="26">
        <f t="shared" si="574"/>
        <v>433.60919999999936</v>
      </c>
      <c r="P55" s="26">
        <f t="shared" si="574"/>
        <v>414.34999999999854</v>
      </c>
      <c r="Q55" s="26">
        <f t="shared" si="574"/>
        <v>302.63000000000045</v>
      </c>
      <c r="R55" s="26">
        <f t="shared" si="574"/>
        <v>458.34999999999974</v>
      </c>
      <c r="S55" s="26">
        <f t="shared" si="574"/>
        <v>588.39000000000033</v>
      </c>
      <c r="T55" s="26">
        <f t="shared" si="574"/>
        <v>507.11999999999989</v>
      </c>
      <c r="U55" s="26">
        <f t="shared" ref="U55:Z55" si="575">U52-U53</f>
        <v>809.97999999999865</v>
      </c>
      <c r="V55" s="26">
        <f t="shared" si="575"/>
        <v>1024.440000000001</v>
      </c>
      <c r="W55" s="26">
        <f t="shared" si="575"/>
        <v>1131.0100000000007</v>
      </c>
      <c r="X55" s="26">
        <f t="shared" si="575"/>
        <v>1187.0699999999993</v>
      </c>
      <c r="Y55" s="26">
        <f t="shared" si="575"/>
        <v>1628.0300000000007</v>
      </c>
      <c r="Z55" s="26">
        <f t="shared" si="575"/>
        <v>1385.4200000000014</v>
      </c>
      <c r="AA55" s="26">
        <f t="shared" ref="AA55" si="576">AA52-AA53</f>
        <v>1657.5600000000002</v>
      </c>
      <c r="AB55" s="27">
        <f t="shared" ref="AA55:AD55" si="577">AB52-AB53</f>
        <v>2220.9585595119879</v>
      </c>
      <c r="AC55" s="27">
        <f t="shared" si="577"/>
        <v>2650.4216268162004</v>
      </c>
      <c r="AD55" s="27">
        <f t="shared" si="577"/>
        <v>3168.3832472673394</v>
      </c>
      <c r="AE55" s="27">
        <f t="shared" ref="AE55" si="578">AE52-AE53</f>
        <v>3766.8546758975699</v>
      </c>
      <c r="AI55" s="26">
        <f>AI52-AI53</f>
        <v>103.98000000000019</v>
      </c>
      <c r="AJ55" s="26">
        <f t="shared" ref="AJ55" si="579">AJ52-AJ53</f>
        <v>139.32000000000016</v>
      </c>
      <c r="AK55" s="26">
        <f t="shared" ref="AK55:AM55" si="580">AK52-AK53</f>
        <v>105.01999999999968</v>
      </c>
      <c r="AL55" s="26">
        <f t="shared" si="580"/>
        <v>152.56999999999982</v>
      </c>
      <c r="AM55" s="26">
        <f t="shared" si="580"/>
        <v>114.25999999999989</v>
      </c>
      <c r="AN55" s="26">
        <f t="shared" ref="AN55:AO55" si="581">AN52-AN53</f>
        <v>68.510000000000133</v>
      </c>
      <c r="AO55" s="26">
        <f t="shared" si="581"/>
        <v>139.87</v>
      </c>
      <c r="AP55" s="26">
        <f t="shared" ref="AP55:CD55" si="582">AP52-AP53</f>
        <v>110.96999999999997</v>
      </c>
      <c r="AQ55" s="26">
        <f t="shared" si="582"/>
        <v>115.11999999999995</v>
      </c>
      <c r="AR55" s="26">
        <f t="shared" si="582"/>
        <v>93.750000000000142</v>
      </c>
      <c r="AS55" s="26">
        <f t="shared" si="582"/>
        <v>88.260000000000247</v>
      </c>
      <c r="AT55" s="26">
        <f t="shared" si="582"/>
        <v>117.2199999999999</v>
      </c>
      <c r="AU55" s="26">
        <f t="shared" si="582"/>
        <v>88.729999999999649</v>
      </c>
      <c r="AV55" s="26">
        <f t="shared" si="582"/>
        <v>77.739999999999995</v>
      </c>
      <c r="AW55" s="26">
        <f t="shared" si="582"/>
        <v>71.029999999999859</v>
      </c>
      <c r="AX55" s="26">
        <f t="shared" si="582"/>
        <v>65.129999999999825</v>
      </c>
      <c r="AY55" s="26">
        <f t="shared" si="582"/>
        <v>128.03000000000003</v>
      </c>
      <c r="AZ55" s="26">
        <f t="shared" si="582"/>
        <v>108.14000000000001</v>
      </c>
      <c r="BA55" s="26">
        <f t="shared" si="582"/>
        <v>95.319999999999936</v>
      </c>
      <c r="BB55" s="26">
        <f t="shared" si="582"/>
        <v>126.86000000000004</v>
      </c>
      <c r="BC55" s="26">
        <f t="shared" si="582"/>
        <v>137.86000000000018</v>
      </c>
      <c r="BD55" s="26">
        <f t="shared" si="582"/>
        <v>135.66000000000014</v>
      </c>
      <c r="BE55" s="26">
        <f t="shared" si="582"/>
        <v>198.52000000000015</v>
      </c>
      <c r="BF55" s="26">
        <f t="shared" si="582"/>
        <v>116.35000000000026</v>
      </c>
      <c r="BG55" s="26">
        <f t="shared" si="582"/>
        <v>151.78000000000009</v>
      </c>
      <c r="BH55" s="26">
        <f t="shared" si="582"/>
        <v>131.80999999999975</v>
      </c>
      <c r="BI55" s="26">
        <f t="shared" si="582"/>
        <v>121.31999999999992</v>
      </c>
      <c r="BJ55" s="26">
        <f t="shared" si="582"/>
        <v>102.21</v>
      </c>
      <c r="BK55" s="26">
        <f t="shared" si="582"/>
        <v>205.5800000000001</v>
      </c>
      <c r="BL55" s="26">
        <f t="shared" si="582"/>
        <v>200.15000000000018</v>
      </c>
      <c r="BM55" s="26">
        <f t="shared" si="582"/>
        <v>190.07000000000011</v>
      </c>
      <c r="BN55" s="26">
        <f t="shared" si="582"/>
        <v>214.18000000000012</v>
      </c>
      <c r="BO55" s="26">
        <f t="shared" si="582"/>
        <v>325.77999999999997</v>
      </c>
      <c r="BP55" s="26">
        <f t="shared" si="582"/>
        <v>258.23000000000025</v>
      </c>
      <c r="BQ55" s="26">
        <f t="shared" si="582"/>
        <v>243.15999999999997</v>
      </c>
      <c r="BR55" s="26">
        <f t="shared" si="582"/>
        <v>197.26999999999981</v>
      </c>
      <c r="BS55" s="26">
        <f t="shared" si="582"/>
        <v>244.56999999999965</v>
      </c>
      <c r="BT55" s="26">
        <f t="shared" si="582"/>
        <v>277.69999999999993</v>
      </c>
      <c r="BU55" s="26">
        <f t="shared" si="582"/>
        <v>300.86000000000018</v>
      </c>
      <c r="BV55" s="26">
        <f t="shared" si="582"/>
        <v>307.87999999999965</v>
      </c>
      <c r="BW55" s="26">
        <f t="shared" si="582"/>
        <v>300.47999999999968</v>
      </c>
      <c r="BX55" s="26">
        <f t="shared" si="582"/>
        <v>243.76000000000039</v>
      </c>
      <c r="BY55" s="26">
        <f t="shared" si="582"/>
        <v>290.88000000000022</v>
      </c>
      <c r="BZ55" s="26">
        <f t="shared" si="582"/>
        <v>351.94999999999982</v>
      </c>
      <c r="CA55" s="26">
        <f t="shared" si="582"/>
        <v>363.73000000000013</v>
      </c>
      <c r="CB55" s="26">
        <f t="shared" si="582"/>
        <v>373.73000000000036</v>
      </c>
      <c r="CC55" s="26">
        <f t="shared" si="582"/>
        <v>407.06000000000023</v>
      </c>
      <c r="CD55" s="26">
        <f t="shared" si="582"/>
        <v>483.51</v>
      </c>
      <c r="CE55" s="26">
        <f t="shared" ref="CE55:CF55" si="583">CE52-CE53</f>
        <v>331.24999999999983</v>
      </c>
      <c r="CF55" s="26">
        <f t="shared" si="583"/>
        <v>386.50999999999971</v>
      </c>
      <c r="CG55" s="26">
        <f t="shared" ref="CG55:CH55" si="584">CG52-CG53</f>
        <v>305.91000000000025</v>
      </c>
      <c r="CH55" s="26">
        <f t="shared" si="584"/>
        <v>361.75000000000023</v>
      </c>
      <c r="CI55" s="26">
        <f t="shared" ref="CI55:CJ55" si="585">CI52-CI53</f>
        <v>346.44000000000005</v>
      </c>
      <c r="CJ55" s="26">
        <f t="shared" si="585"/>
        <v>397.04999999999927</v>
      </c>
      <c r="CK55" s="26">
        <f t="shared" ref="CK55:CL55" si="586">CK52-CK53</f>
        <v>425.64999999999986</v>
      </c>
      <c r="CL55" s="26">
        <f t="shared" si="586"/>
        <v>488.41999999999956</v>
      </c>
      <c r="CM55" s="27">
        <f t="shared" ref="CM55:DB55" si="587">CM52-CM53</f>
        <v>486.8339446493211</v>
      </c>
      <c r="CN55" s="27">
        <f t="shared" si="587"/>
        <v>539.34588879093701</v>
      </c>
      <c r="CO55" s="27">
        <f t="shared" si="587"/>
        <v>569.99421048602176</v>
      </c>
      <c r="CP55" s="27">
        <f t="shared" si="587"/>
        <v>624.78451558571101</v>
      </c>
      <c r="CQ55" s="27">
        <f t="shared" si="587"/>
        <v>604.80571277161596</v>
      </c>
      <c r="CR55" s="27">
        <f t="shared" si="587"/>
        <v>650.76826070218317</v>
      </c>
      <c r="CS55" s="27">
        <f t="shared" si="587"/>
        <v>671.53975898282397</v>
      </c>
      <c r="CT55" s="27">
        <f t="shared" si="587"/>
        <v>723.30789435957604</v>
      </c>
      <c r="CU55" s="27">
        <f t="shared" si="587"/>
        <v>729.20501607045139</v>
      </c>
      <c r="CV55" s="27">
        <f t="shared" si="587"/>
        <v>778.18686645145522</v>
      </c>
      <c r="CW55" s="27">
        <f t="shared" si="587"/>
        <v>798.99385048519616</v>
      </c>
      <c r="CX55" s="27">
        <f t="shared" si="587"/>
        <v>861.9975142602384</v>
      </c>
      <c r="CY55" s="27">
        <f t="shared" si="587"/>
        <v>869.12292596426414</v>
      </c>
      <c r="CZ55" s="27">
        <f t="shared" si="587"/>
        <v>925.51685535723186</v>
      </c>
      <c r="DA55" s="27">
        <f t="shared" si="587"/>
        <v>948.0822854924138</v>
      </c>
      <c r="DB55" s="27">
        <f t="shared" si="587"/>
        <v>1024.1326090836608</v>
      </c>
      <c r="DE55" s="121"/>
      <c r="DF55" s="26">
        <v>502.83666425908785</v>
      </c>
    </row>
    <row r="56" spans="1:110" s="45" customFormat="1" x14ac:dyDescent="0.2">
      <c r="A56" s="45" t="s">
        <v>107</v>
      </c>
      <c r="B56" s="45">
        <f t="shared" ref="B56:E56" si="588">+B55/B24</f>
        <v>0.12378012672872261</v>
      </c>
      <c r="C56" s="45">
        <f t="shared" si="588"/>
        <v>3.4322475799597761E-2</v>
      </c>
      <c r="D56" s="45">
        <f t="shared" si="588"/>
        <v>3.5643827256541256E-2</v>
      </c>
      <c r="E56" s="45">
        <f t="shared" si="588"/>
        <v>6.8106936151292652E-2</v>
      </c>
      <c r="F56" s="45">
        <f t="shared" ref="F56:AE56" si="589">+F55/F24</f>
        <v>8.6368837420347705E-2</v>
      </c>
      <c r="G56" s="45">
        <f t="shared" si="589"/>
        <v>9.4407738550309567E-2</v>
      </c>
      <c r="H56" s="45">
        <f t="shared" si="589"/>
        <v>7.9593239534769503E-2</v>
      </c>
      <c r="I56" s="45">
        <f t="shared" si="589"/>
        <v>7.8817419424883961E-2</v>
      </c>
      <c r="J56" s="45">
        <f t="shared" si="589"/>
        <v>2.0940495410483827E-2</v>
      </c>
      <c r="K56" s="45">
        <f t="shared" si="589"/>
        <v>6.5222157188136981E-2</v>
      </c>
      <c r="L56" s="45">
        <f t="shared" si="589"/>
        <v>4.7063919464680068E-2</v>
      </c>
      <c r="M56" s="45">
        <f t="shared" si="589"/>
        <v>6.1652218646894998E-2</v>
      </c>
      <c r="N56" s="45">
        <f t="shared" si="589"/>
        <v>6.8138501741591639E-2</v>
      </c>
      <c r="O56" s="45">
        <f t="shared" si="589"/>
        <v>5.603916020276329E-2</v>
      </c>
      <c r="P56" s="45">
        <f t="shared" si="589"/>
        <v>5.183657997420351E-2</v>
      </c>
      <c r="Q56" s="45">
        <f t="shared" si="589"/>
        <v>4.5600568971180831E-2</v>
      </c>
      <c r="R56" s="45">
        <f t="shared" si="589"/>
        <v>6.760773207661272E-2</v>
      </c>
      <c r="S56" s="45">
        <f t="shared" si="589"/>
        <v>8.6333056996339183E-2</v>
      </c>
      <c r="T56" s="45">
        <f t="shared" si="589"/>
        <v>6.9933117286078733E-2</v>
      </c>
      <c r="U56" s="45">
        <f t="shared" si="589"/>
        <v>8.4045315032446305E-2</v>
      </c>
      <c r="V56" s="45">
        <f t="shared" si="589"/>
        <v>8.8298340893791946E-2</v>
      </c>
      <c r="W56" s="45">
        <f t="shared" si="589"/>
        <v>9.1024251189300645E-2</v>
      </c>
      <c r="X56" s="45">
        <f t="shared" si="589"/>
        <v>8.6124662269029692E-2</v>
      </c>
      <c r="Y56" s="45">
        <f t="shared" si="589"/>
        <v>0.10706603050799532</v>
      </c>
      <c r="Z56" s="45">
        <f t="shared" ref="Z56:AA56" si="590">+Z55/Z24</f>
        <v>7.8635282632263132E-2</v>
      </c>
      <c r="AA56" s="45">
        <f t="shared" si="590"/>
        <v>8.1691713778367439E-2</v>
      </c>
      <c r="AB56" s="48">
        <f t="shared" si="589"/>
        <v>9.5784655175173858E-2</v>
      </c>
      <c r="AC56" s="48">
        <f t="shared" si="589"/>
        <v>0.1007219339369432</v>
      </c>
      <c r="AD56" s="48">
        <f t="shared" si="589"/>
        <v>0.10601541436770318</v>
      </c>
      <c r="AE56" s="48">
        <f t="shared" si="589"/>
        <v>0.11082503827048909</v>
      </c>
      <c r="AI56" s="45">
        <f t="shared" ref="AI56:BN56" si="591">+AI55/AI24</f>
        <v>6.0274766680192556E-2</v>
      </c>
      <c r="AJ56" s="45">
        <f t="shared" si="591"/>
        <v>7.4704415667980459E-2</v>
      </c>
      <c r="AK56" s="45">
        <f t="shared" si="591"/>
        <v>5.4943157740539643E-2</v>
      </c>
      <c r="AL56" s="45">
        <f t="shared" si="591"/>
        <v>8.2492565558258887E-2</v>
      </c>
      <c r="AM56" s="45">
        <f t="shared" si="591"/>
        <v>6.300662821347032E-2</v>
      </c>
      <c r="AN56" s="45">
        <f t="shared" si="591"/>
        <v>3.5433518836502129E-2</v>
      </c>
      <c r="AO56" s="45">
        <f t="shared" si="591"/>
        <v>6.7221277045666453E-2</v>
      </c>
      <c r="AP56" s="45">
        <f t="shared" si="591"/>
        <v>5.8101605818014254E-2</v>
      </c>
      <c r="AQ56" s="45">
        <f t="shared" si="591"/>
        <v>6.0251431442538153E-2</v>
      </c>
      <c r="AR56" s="45">
        <f t="shared" si="591"/>
        <v>4.6432038354101937E-2</v>
      </c>
      <c r="AS56" s="45">
        <f t="shared" si="591"/>
        <v>4.1223727230266349E-2</v>
      </c>
      <c r="AT56" s="45">
        <f t="shared" si="591"/>
        <v>6.0967934881543652E-2</v>
      </c>
      <c r="AU56" s="45">
        <f t="shared" si="591"/>
        <v>5.3062469351385415E-2</v>
      </c>
      <c r="AV56" s="45">
        <f t="shared" si="591"/>
        <v>4.6566234388571083E-2</v>
      </c>
      <c r="AW56" s="45">
        <f t="shared" si="591"/>
        <v>4.1791940503997899E-2</v>
      </c>
      <c r="AX56" s="45">
        <f t="shared" si="591"/>
        <v>4.0748271655144261E-2</v>
      </c>
      <c r="AY56" s="45">
        <f t="shared" si="591"/>
        <v>7.3772947806345301E-2</v>
      </c>
      <c r="AZ56" s="45">
        <f t="shared" si="591"/>
        <v>6.6685577563454279E-2</v>
      </c>
      <c r="BA56" s="45">
        <f t="shared" si="591"/>
        <v>5.4755804735699236E-2</v>
      </c>
      <c r="BB56" s="45">
        <f t="shared" si="591"/>
        <v>7.5423461773991243E-2</v>
      </c>
      <c r="BC56" s="45">
        <f t="shared" si="591"/>
        <v>8.0883819715797847E-2</v>
      </c>
      <c r="BD56" s="45">
        <f t="shared" si="591"/>
        <v>8.0170671457444498E-2</v>
      </c>
      <c r="BE56" s="45">
        <f t="shared" si="591"/>
        <v>0.11472558209421006</v>
      </c>
      <c r="BF56" s="45">
        <f t="shared" si="591"/>
        <v>6.8911395403932874E-2</v>
      </c>
      <c r="BG56" s="45">
        <f t="shared" si="591"/>
        <v>8.4201066243571807E-2</v>
      </c>
      <c r="BH56" s="45">
        <f t="shared" si="591"/>
        <v>7.485504324566819E-2</v>
      </c>
      <c r="BI56" s="45">
        <f t="shared" si="591"/>
        <v>6.3432640726139522E-2</v>
      </c>
      <c r="BJ56" s="45">
        <f t="shared" si="591"/>
        <v>5.7568179514041425E-2</v>
      </c>
      <c r="BK56" s="45">
        <f t="shared" si="591"/>
        <v>8.5931883161397146E-2</v>
      </c>
      <c r="BL56" s="45">
        <f t="shared" si="591"/>
        <v>8.5276536277145612E-2</v>
      </c>
      <c r="BM56" s="45">
        <f t="shared" si="591"/>
        <v>7.6242699441627662E-2</v>
      </c>
      <c r="BN56" s="45">
        <f t="shared" si="591"/>
        <v>8.9055022182675525E-2</v>
      </c>
      <c r="BO56" s="45">
        <f t="shared" ref="BO56:CT56" si="592">+BO55/BO24</f>
        <v>0.12004082670390691</v>
      </c>
      <c r="BP56" s="45">
        <f t="shared" si="592"/>
        <v>9.2843737191425801E-2</v>
      </c>
      <c r="BQ56" s="45">
        <f t="shared" si="592"/>
        <v>7.921656524062079E-2</v>
      </c>
      <c r="BR56" s="45">
        <f t="shared" si="592"/>
        <v>6.4950843205299522E-2</v>
      </c>
      <c r="BS56" s="45">
        <f t="shared" si="592"/>
        <v>8.1294084016406948E-2</v>
      </c>
      <c r="BT56" s="45">
        <f t="shared" si="592"/>
        <v>9.1555889644985997E-2</v>
      </c>
      <c r="BU56" s="45">
        <f t="shared" si="592"/>
        <v>9.3773181480996698E-2</v>
      </c>
      <c r="BV56" s="45">
        <f t="shared" si="592"/>
        <v>9.6957558236574065E-2</v>
      </c>
      <c r="BW56" s="45">
        <f t="shared" si="592"/>
        <v>9.0320214738955601E-2</v>
      </c>
      <c r="BX56" s="45">
        <f t="shared" si="592"/>
        <v>7.248182453427704E-2</v>
      </c>
      <c r="BY56" s="45">
        <f t="shared" si="592"/>
        <v>8.3717315911413043E-2</v>
      </c>
      <c r="BZ56" s="45">
        <f t="shared" si="592"/>
        <v>9.7257877763745795E-2</v>
      </c>
      <c r="CA56" s="45">
        <f t="shared" si="592"/>
        <v>9.7222556338724675E-2</v>
      </c>
      <c r="CB56" s="45">
        <f t="shared" si="592"/>
        <v>0.10009427443502304</v>
      </c>
      <c r="CC56" s="45">
        <f t="shared" si="592"/>
        <v>0.10701066268480941</v>
      </c>
      <c r="CD56" s="45">
        <f t="shared" si="592"/>
        <v>0.1231264037647634</v>
      </c>
      <c r="CE56" s="45">
        <f t="shared" si="592"/>
        <v>7.6113205899721245E-2</v>
      </c>
      <c r="CF56" s="45">
        <f t="shared" si="592"/>
        <v>9.1710662126730583E-2</v>
      </c>
      <c r="CG56" s="45">
        <f t="shared" si="592"/>
        <v>6.8843449846519508E-2</v>
      </c>
      <c r="CH56" s="45">
        <f t="shared" si="592"/>
        <v>7.8501026426689741E-2</v>
      </c>
      <c r="CI56" s="45">
        <f t="shared" ref="CI56:CJ56" si="593">+CI55/CI24</f>
        <v>7.2493518396454432E-2</v>
      </c>
      <c r="CJ56" s="45">
        <f t="shared" si="593"/>
        <v>7.9955295112668259E-2</v>
      </c>
      <c r="CK56" s="45">
        <f t="shared" ref="CK56:CL56" si="594">+CK55/CK24</f>
        <v>8.3264866979655683E-2</v>
      </c>
      <c r="CL56" s="45">
        <f t="shared" si="594"/>
        <v>8.9888508949834467E-2</v>
      </c>
      <c r="CM56" s="48">
        <f t="shared" si="592"/>
        <v>8.9412486083412929E-2</v>
      </c>
      <c r="CN56" s="48">
        <f t="shared" si="592"/>
        <v>9.4395444134442313E-2</v>
      </c>
      <c r="CO56" s="48">
        <f t="shared" si="592"/>
        <v>9.766207415199861E-2</v>
      </c>
      <c r="CP56" s="48">
        <f t="shared" si="592"/>
        <v>0.10090010171047906</v>
      </c>
      <c r="CQ56" s="48">
        <f t="shared" si="592"/>
        <v>9.7767392357507227E-2</v>
      </c>
      <c r="CR56" s="48">
        <f t="shared" si="592"/>
        <v>0.10017459826264921</v>
      </c>
      <c r="CS56" s="48">
        <f t="shared" si="592"/>
        <v>0.10159883093075728</v>
      </c>
      <c r="CT56" s="48">
        <f t="shared" si="592"/>
        <v>0.10300574158138551</v>
      </c>
      <c r="CU56" s="48">
        <f t="shared" ref="CU56:DB56" si="595">+CU55/CU24</f>
        <v>0.10385651617336236</v>
      </c>
      <c r="CV56" s="48">
        <f t="shared" si="595"/>
        <v>0.10543744777909293</v>
      </c>
      <c r="CW56" s="48">
        <f t="shared" si="595"/>
        <v>0.10660161219992531</v>
      </c>
      <c r="CX56" s="48">
        <f t="shared" si="595"/>
        <v>0.10789676576303779</v>
      </c>
      <c r="CY56" s="48">
        <f t="shared" si="595"/>
        <v>0.10898197135433031</v>
      </c>
      <c r="CZ56" s="48">
        <f t="shared" si="595"/>
        <v>0.11024198811088907</v>
      </c>
      <c r="DA56" s="48">
        <f t="shared" si="595"/>
        <v>0.11137548563800764</v>
      </c>
      <c r="DB56" s="48">
        <f t="shared" si="595"/>
        <v>0.11246206481401293</v>
      </c>
      <c r="DE56" s="129"/>
      <c r="DF56" s="45">
        <v>9.4223697136935305E-2</v>
      </c>
    </row>
    <row r="57" spans="1:110" s="39" customFormat="1" x14ac:dyDescent="0.2">
      <c r="A57" s="39" t="s">
        <v>451</v>
      </c>
      <c r="C57" s="39">
        <f t="shared" ref="C57:E57" si="596">+IF(B55&lt;0,1-C55/B55,C55/B55-1)</f>
        <v>3.272962780750599E-2</v>
      </c>
      <c r="D57" s="39">
        <f t="shared" si="596"/>
        <v>0.13134574112922004</v>
      </c>
      <c r="E57" s="39">
        <f t="shared" si="596"/>
        <v>0.77394208307889345</v>
      </c>
      <c r="F57" s="39">
        <f t="shared" ref="F57:AE57" si="597">+IF(E55&lt;0,1-F55/E55,F55/E55-1)</f>
        <v>0.26471984508112523</v>
      </c>
      <c r="G57" s="39">
        <f t="shared" si="597"/>
        <v>0.11650429995774303</v>
      </c>
      <c r="H57" s="39">
        <f t="shared" si="597"/>
        <v>9.2315875613747433E-2</v>
      </c>
      <c r="I57" s="39">
        <f t="shared" si="597"/>
        <v>6.0310705893219962E-2</v>
      </c>
      <c r="J57" s="39">
        <f t="shared" si="597"/>
        <v>-0.70113537873827581</v>
      </c>
      <c r="K57" s="39">
        <f t="shared" si="597"/>
        <v>2.7154060062905678</v>
      </c>
      <c r="L57" s="39">
        <f t="shared" si="597"/>
        <v>-0.25092708586033385</v>
      </c>
      <c r="M57" s="39">
        <f t="shared" si="597"/>
        <v>0.44894201626926988</v>
      </c>
      <c r="N57" s="39">
        <f t="shared" si="597"/>
        <v>0.22353938396110418</v>
      </c>
      <c r="O57" s="39">
        <f t="shared" si="597"/>
        <v>-0.13431317313409441</v>
      </c>
      <c r="P57" s="39">
        <f t="shared" si="597"/>
        <v>-4.4416031763165664E-2</v>
      </c>
      <c r="Q57" s="39">
        <f t="shared" si="597"/>
        <v>-0.26962712682514423</v>
      </c>
      <c r="R57" s="39">
        <f t="shared" si="597"/>
        <v>0.51455572811683914</v>
      </c>
      <c r="S57" s="39">
        <f t="shared" si="597"/>
        <v>0.28371331951565537</v>
      </c>
      <c r="T57" s="39">
        <f t="shared" si="597"/>
        <v>-0.13812267373680787</v>
      </c>
      <c r="U57" s="39">
        <f t="shared" si="597"/>
        <v>0.59721564915601588</v>
      </c>
      <c r="V57" s="39">
        <f t="shared" si="597"/>
        <v>0.26477196967826688</v>
      </c>
      <c r="W57" s="39">
        <f t="shared" si="597"/>
        <v>0.10402756628011356</v>
      </c>
      <c r="X57" s="39">
        <f t="shared" si="597"/>
        <v>4.9566316831856971E-2</v>
      </c>
      <c r="Y57" s="39">
        <f t="shared" si="597"/>
        <v>0.37146924781184065</v>
      </c>
      <c r="Z57" s="39">
        <f t="shared" ref="Z57:AA57" si="598">+IF(Y55&lt;0,1-Z55/Y55,Z55/Y55-1)</f>
        <v>-0.14902059544357238</v>
      </c>
      <c r="AA57" s="39">
        <f t="shared" si="598"/>
        <v>0.19643140708232765</v>
      </c>
      <c r="AB57" s="40">
        <f t="shared" si="597"/>
        <v>0.33989632925021573</v>
      </c>
      <c r="AC57" s="40">
        <f t="shared" si="597"/>
        <v>0.1933683388485099</v>
      </c>
      <c r="AD57" s="40">
        <f t="shared" si="597"/>
        <v>0.19542612209716115</v>
      </c>
      <c r="AE57" s="40">
        <f t="shared" si="597"/>
        <v>0.18888858509979789</v>
      </c>
      <c r="AM57" s="39">
        <f>+IF(AI55&lt;0,1-AM55/AI55,AM55/AI55-1)</f>
        <v>9.8865166378146574E-2</v>
      </c>
      <c r="AN57" s="39">
        <f t="shared" ref="AN57" si="599">+IF(AJ55&lt;0,1-AN55/AJ55,AN55/AJ55-1)</f>
        <v>-0.50825437840941678</v>
      </c>
      <c r="AO57" s="39">
        <f t="shared" ref="AO57" si="600">+IF(AK55&lt;0,1-AO55/AK55,AO55/AK55-1)</f>
        <v>0.33184155398972037</v>
      </c>
      <c r="AP57" s="39">
        <f t="shared" ref="AP57" si="601">+IF(AL55&lt;0,1-AP55/AL55,AP55/AL55-1)</f>
        <v>-0.27266172904240615</v>
      </c>
      <c r="AQ57" s="39">
        <f t="shared" ref="AQ57" si="602">+IF(AM55&lt;0,1-AQ55/AM55,AQ55/AM55-1)</f>
        <v>7.5266935060394058E-3</v>
      </c>
      <c r="AR57" s="39">
        <f t="shared" ref="AR57" si="603">+IF(AN55&lt;0,1-AR55/AN55,AR55/AN55-1)</f>
        <v>0.36841337031090293</v>
      </c>
      <c r="AS57" s="39">
        <f t="shared" ref="AS57" si="604">+IF(AO55&lt;0,1-AS55/AO55,AS55/AO55-1)</f>
        <v>-0.3689854865231984</v>
      </c>
      <c r="AT57" s="39">
        <f t="shared" ref="AT57" si="605">+IF(AP55&lt;0,1-AT55/AP55,AT55/AP55-1)</f>
        <v>5.6321528340992355E-2</v>
      </c>
      <c r="AU57" s="39">
        <f t="shared" ref="AU57" si="606">+IF(AQ55&lt;0,1-AU55/AQ55,AU55/AQ55-1)</f>
        <v>-0.22923905489923824</v>
      </c>
      <c r="AV57" s="39">
        <f t="shared" ref="AV57" si="607">+IF(AR55&lt;0,1-AV55/AR55,AV55/AR55-1)</f>
        <v>-0.17077333333333466</v>
      </c>
      <c r="AW57" s="39">
        <f t="shared" ref="AW57" si="608">+IF(AS55&lt;0,1-AW55/AS55,AW55/AS55-1)</f>
        <v>-0.19521867210514776</v>
      </c>
      <c r="AX57" s="39">
        <f t="shared" ref="AX57" si="609">+IF(AT55&lt;0,1-AX55/AT55,AX55/AT55-1)</f>
        <v>-0.44437809247568771</v>
      </c>
      <c r="AY57" s="39">
        <f t="shared" ref="AY57" si="610">+IF(AU55&lt;0,1-AY55/AU55,AY55/AU55-1)</f>
        <v>0.4429167136256118</v>
      </c>
      <c r="AZ57" s="39">
        <f t="shared" ref="AZ57" si="611">+IF(AV55&lt;0,1-AZ55/AV55,AZ55/AV55-1)</f>
        <v>0.39104708001029098</v>
      </c>
      <c r="BA57" s="39">
        <f t="shared" ref="BA57" si="612">+IF(AW55&lt;0,1-BA55/AW55,BA55/AW55-1)</f>
        <v>0.341968182458118</v>
      </c>
      <c r="BB57" s="39">
        <f t="shared" ref="BB57" si="613">+IF(AX55&lt;0,1-BB55/AX55,BB55/AX55-1)</f>
        <v>0.94779671426378598</v>
      </c>
      <c r="BC57" s="39">
        <f t="shared" ref="BC57" si="614">+IF(AY55&lt;0,1-BC55/AY55,BC55/AY55-1)</f>
        <v>7.6778879950012868E-2</v>
      </c>
      <c r="BD57" s="39">
        <f t="shared" ref="BD57" si="615">+IF(AZ55&lt;0,1-BD55/AZ55,BD55/AZ55-1)</f>
        <v>0.25448492694655189</v>
      </c>
      <c r="BE57" s="39">
        <f t="shared" ref="BE57" si="616">+IF(BA55&lt;0,1-BE55/BA55,BE55/BA55-1)</f>
        <v>1.0826689047419249</v>
      </c>
      <c r="BF57" s="39">
        <f t="shared" ref="BF57" si="617">+IF(BB55&lt;0,1-BF55/BB55,BF55/BB55-1)</f>
        <v>-8.2847233170422308E-2</v>
      </c>
      <c r="BG57" s="39">
        <f t="shared" ref="BG57" si="618">+IF(BC55&lt;0,1-BG55/BC55,BG55/BC55-1)</f>
        <v>0.10097200058029809</v>
      </c>
      <c r="BH57" s="39">
        <f t="shared" ref="BH57" si="619">+IF(BD55&lt;0,1-BH55/BD55,BH55/BD55-1)</f>
        <v>-2.837977296181915E-2</v>
      </c>
      <c r="BI57" s="39">
        <f t="shared" ref="BI57" si="620">+IF(BE55&lt;0,1-BI55/BE55,BI55/BE55-1)</f>
        <v>-0.38887769494257596</v>
      </c>
      <c r="BJ57" s="39">
        <f t="shared" ref="BJ57" si="621">+IF(BF55&lt;0,1-BJ55/BF55,BJ55/BF55-1)</f>
        <v>-0.12152986678126543</v>
      </c>
      <c r="BK57" s="39">
        <f t="shared" ref="BK57" si="622">+IF(BG55&lt;0,1-BK55/BG55,BK55/BG55-1)</f>
        <v>0.35446040321517969</v>
      </c>
      <c r="BL57" s="39">
        <f t="shared" ref="BL57" si="623">+IF(BH55&lt;0,1-BL55/BH55,BL55/BH55-1)</f>
        <v>0.51847356042789294</v>
      </c>
      <c r="BM57" s="39">
        <f t="shared" ref="BM57" si="624">+IF(BI55&lt;0,1-BM55/BI55,BM55/BI55-1)</f>
        <v>0.56668315199472663</v>
      </c>
      <c r="BN57" s="39">
        <f t="shared" ref="BN57" si="625">+IF(BJ55&lt;0,1-BN55/BJ55,BN55/BJ55-1)</f>
        <v>1.0954896781136889</v>
      </c>
      <c r="BO57" s="39">
        <f t="shared" ref="BO57" si="626">+IF(BK55&lt;0,1-BO55/BK55,BO55/BK55-1)</f>
        <v>0.5846872263838887</v>
      </c>
      <c r="BP57" s="39">
        <f t="shared" ref="BP57" si="627">+IF(BL55&lt;0,1-BP55/BL55,BP55/BL55-1)</f>
        <v>0.29018236322757951</v>
      </c>
      <c r="BQ57" s="39">
        <f t="shared" ref="BQ57" si="628">+IF(BM55&lt;0,1-BQ55/BM55,BQ55/BM55-1)</f>
        <v>0.2793181459462295</v>
      </c>
      <c r="BR57" s="39">
        <f t="shared" ref="BR57" si="629">+IF(BN55&lt;0,1-BR55/BN55,BR55/BN55-1)</f>
        <v>-7.8952283126343725E-2</v>
      </c>
      <c r="BS57" s="39">
        <f t="shared" ref="BS57" si="630">+IF(BO55&lt;0,1-BS55/BO55,BS55/BO55-1)</f>
        <v>-0.24927865430658824</v>
      </c>
      <c r="BT57" s="39">
        <f t="shared" ref="BT57" si="631">+IF(BP55&lt;0,1-BT55/BP55,BT55/BP55-1)</f>
        <v>7.5397901095920927E-2</v>
      </c>
      <c r="BU57" s="39">
        <f t="shared" ref="BU57" si="632">+IF(BQ55&lt;0,1-BU55/BQ55,BU55/BQ55-1)</f>
        <v>0.23729231781543114</v>
      </c>
      <c r="BV57" s="39">
        <f t="shared" ref="BV57" si="633">+IF(BR55&lt;0,1-BV55/BR55,BV55/BR55-1)</f>
        <v>0.56070360419729282</v>
      </c>
      <c r="BW57" s="39">
        <f t="shared" ref="BW57" si="634">+IF(BS55&lt;0,1-BW55/BS55,BW55/BS55-1)</f>
        <v>0.22860530727399153</v>
      </c>
      <c r="BX57" s="39">
        <f t="shared" ref="BX57" si="635">+IF(BT55&lt;0,1-BX55/BT55,BX55/BT55-1)</f>
        <v>-0.12221822110190694</v>
      </c>
      <c r="BY57" s="39">
        <f t="shared" ref="BY57" si="636">+IF(BU55&lt;0,1-BY55/BU55,BY55/BU55-1)</f>
        <v>-3.3171574818852467E-2</v>
      </c>
      <c r="BZ57" s="39">
        <f t="shared" ref="BZ57" si="637">+IF(BV55&lt;0,1-BZ55/BV55,BZ55/BV55-1)</f>
        <v>0.14314018448746335</v>
      </c>
      <c r="CA57" s="39">
        <f t="shared" ref="CA57" si="638">+IF(BW55&lt;0,1-CA55/BW55,CA55/BW55-1)</f>
        <v>0.21049653887114128</v>
      </c>
      <c r="CB57" s="39">
        <f t="shared" ref="CB57" si="639">+IF(BX55&lt;0,1-CB55/BX55,CB55/BX55-1)</f>
        <v>0.53318838201509577</v>
      </c>
      <c r="CC57" s="39">
        <f t="shared" ref="CC57" si="640">+IF(BY55&lt;0,1-CC55/BY55,CC55/BY55-1)</f>
        <v>0.39940869086908659</v>
      </c>
      <c r="CD57" s="39">
        <f t="shared" ref="CD57" si="641">+IF(BZ55&lt;0,1-CD55/BZ55,CD55/BZ55-1)</f>
        <v>0.37380309703082903</v>
      </c>
      <c r="CE57" s="39">
        <f t="shared" ref="CE57" si="642">+IF(CA55&lt;0,1-CE55/CA55,CE55/CA55-1)</f>
        <v>-8.9297006020950365E-2</v>
      </c>
      <c r="CF57" s="39">
        <f t="shared" ref="CF57" si="643">+IF(CB55&lt;0,1-CF55/CB55,CF55/CB55-1)</f>
        <v>3.4195809809218769E-2</v>
      </c>
      <c r="CG57" s="39">
        <f t="shared" ref="CG57" si="644">+IF(CC55&lt;0,1-CG55/CC55,CG55/CC55-1)</f>
        <v>-0.24848916621628236</v>
      </c>
      <c r="CH57" s="39">
        <f t="shared" ref="CH57:CL57" si="645">+IF(CD55&lt;0,1-CH55/CD55,CH55/CD55-1)</f>
        <v>-0.25182519492874966</v>
      </c>
      <c r="CI57" s="39">
        <f t="shared" si="645"/>
        <v>4.5856603773585691E-2</v>
      </c>
      <c r="CJ57" s="39">
        <f t="shared" si="645"/>
        <v>2.7269669607512315E-2</v>
      </c>
      <c r="CK57" s="39">
        <f t="shared" si="645"/>
        <v>0.39142231375240932</v>
      </c>
      <c r="CL57" s="39">
        <f t="shared" si="645"/>
        <v>0.35015894955079263</v>
      </c>
      <c r="CM57" s="40">
        <f t="shared" ref="CM57" si="646">+CM55/CI55-1</f>
        <v>0.40524750216291716</v>
      </c>
      <c r="CN57" s="40">
        <f t="shared" ref="CN57" si="647">+CN55/CJ55-1</f>
        <v>0.35838279509114224</v>
      </c>
      <c r="CO57" s="40">
        <f t="shared" ref="CO57" si="648">+CO55/CK55-1</f>
        <v>0.33911479028784663</v>
      </c>
      <c r="CP57" s="40">
        <f t="shared" ref="CP57" si="649">+CP55/CL55-1</f>
        <v>0.27919519181383157</v>
      </c>
      <c r="CQ57" s="40">
        <f t="shared" ref="CQ57" si="650">+CQ55/CM55-1</f>
        <v>0.24232445050082307</v>
      </c>
      <c r="CR57" s="40">
        <f t="shared" ref="CR57" si="651">+CR55/CN55-1</f>
        <v>0.20658796929188439</v>
      </c>
      <c r="CS57" s="40">
        <f t="shared" ref="CS57" si="652">+CS55/CO55-1</f>
        <v>0.17815189457839664</v>
      </c>
      <c r="CT57" s="40">
        <f t="shared" ref="CT57" si="653">+CT55/CP55-1</f>
        <v>0.15769177422955694</v>
      </c>
      <c r="CU57" s="40">
        <f t="shared" ref="CU57" si="654">+CU55/CQ55-1</f>
        <v>0.20568473589436898</v>
      </c>
      <c r="CV57" s="40">
        <f t="shared" ref="CV57" si="655">+CV55/CR55-1</f>
        <v>0.19579720377233301</v>
      </c>
      <c r="CW57" s="40">
        <f t="shared" ref="CW57" si="656">+CW55/CS55-1</f>
        <v>0.18979381309518573</v>
      </c>
      <c r="CX57" s="40">
        <f t="shared" ref="CX57" si="657">+CX55/CT55-1</f>
        <v>0.19174354515162517</v>
      </c>
      <c r="CY57" s="40">
        <f t="shared" ref="CY57" si="658">+CY55/CU55-1</f>
        <v>0.19187732778883504</v>
      </c>
      <c r="CZ57" s="40">
        <f t="shared" ref="CZ57" si="659">+CZ55/CV55-1</f>
        <v>0.18932469212389025</v>
      </c>
      <c r="DA57" s="40">
        <f t="shared" ref="DA57" si="660">+DA55/CW55-1</f>
        <v>0.18659522212427837</v>
      </c>
      <c r="DB57" s="40">
        <f t="shared" ref="DB57" si="661">+DB55/CX55-1</f>
        <v>0.18809229973541841</v>
      </c>
      <c r="DE57" s="122"/>
      <c r="DF57" s="39">
        <v>0.39001151142802359</v>
      </c>
    </row>
    <row r="58" spans="1:110" s="39" customFormat="1" x14ac:dyDescent="0.2">
      <c r="A58" s="39" t="s">
        <v>452</v>
      </c>
      <c r="AB58" s="40"/>
      <c r="AC58" s="40"/>
      <c r="AD58" s="40"/>
      <c r="AE58" s="40"/>
      <c r="AJ58" s="39">
        <f>+IF(AI55&lt;0,1-AJ55/AI55,AJ55/AI55-1)</f>
        <v>0.33987305251009725</v>
      </c>
      <c r="AK58" s="39">
        <f t="shared" ref="AK58:AM58" si="662">+IF(AJ55&lt;0,1-AK55/AJ55,AK55/AJ55-1)</f>
        <v>-0.24619580821131526</v>
      </c>
      <c r="AL58" s="39">
        <f t="shared" si="662"/>
        <v>0.45277090078080628</v>
      </c>
      <c r="AM58" s="39">
        <f t="shared" si="662"/>
        <v>-0.25109785672150475</v>
      </c>
      <c r="AN58" s="39">
        <f t="shared" ref="AN58" si="663">+IF(AM55&lt;0,1-AN55/AM55,AN55/AM55-1)</f>
        <v>-0.40040259058287941</v>
      </c>
      <c r="AO58" s="39">
        <f t="shared" ref="AO58" si="664">+IF(AN55&lt;0,1-AO55/AN55,AO55/AN55-1)</f>
        <v>1.0415997664574475</v>
      </c>
      <c r="AP58" s="39">
        <f t="shared" ref="AP58" si="665">+IF(AO55&lt;0,1-AP55/AO55,AP55/AO55-1)</f>
        <v>-0.20662043325945545</v>
      </c>
      <c r="AQ58" s="39">
        <f t="shared" ref="AQ58" si="666">+IF(AP55&lt;0,1-AQ55/AP55,AQ55/AP55-1)</f>
        <v>3.7397494818419252E-2</v>
      </c>
      <c r="AR58" s="39">
        <f t="shared" ref="AR58" si="667">+IF(AQ55&lt;0,1-AR55/AQ55,AR55/AQ55-1)</f>
        <v>-0.18563238359972045</v>
      </c>
      <c r="AS58" s="39">
        <f t="shared" ref="AS58" si="668">+IF(AR55&lt;0,1-AS55/AR55,AS55/AR55-1)</f>
        <v>-5.8559999999998835E-2</v>
      </c>
      <c r="AT58" s="39">
        <f t="shared" ref="AT58" si="669">+IF(AS55&lt;0,1-AT55/AS55,AT55/AS55-1)</f>
        <v>0.32812145932471748</v>
      </c>
      <c r="AU58" s="39">
        <f t="shared" ref="AU58" si="670">+IF(AT55&lt;0,1-AU55/AT55,AU55/AT55-1)</f>
        <v>-0.24304726155946321</v>
      </c>
      <c r="AV58" s="39">
        <f t="shared" ref="AV58" si="671">+IF(AU55&lt;0,1-AV55/AU55,AV55/AU55-1)</f>
        <v>-0.12385889777977799</v>
      </c>
      <c r="AW58" s="39">
        <f t="shared" ref="AW58" si="672">+IF(AV55&lt;0,1-AW55/AV55,AW55/AV55-1)</f>
        <v>-8.6313352199641535E-2</v>
      </c>
      <c r="AX58" s="39">
        <f t="shared" ref="AX58" si="673">+IF(AW55&lt;0,1-AX55/AW55,AX55/AW55-1)</f>
        <v>-8.3063494298184493E-2</v>
      </c>
      <c r="AY58" s="39">
        <f t="shared" ref="AY58" si="674">+IF(AX55&lt;0,1-AY55/AX55,AY55/AX55-1)</f>
        <v>0.96576078612007321</v>
      </c>
      <c r="AZ58" s="39">
        <f t="shared" ref="AZ58" si="675">+IF(AY55&lt;0,1-AZ55/AY55,AZ55/AY55-1)</f>
        <v>-0.15535421385612758</v>
      </c>
      <c r="BA58" s="39">
        <f t="shared" ref="BA58" si="676">+IF(AZ55&lt;0,1-BA55/AZ55,BA55/AZ55-1)</f>
        <v>-0.11855002774181689</v>
      </c>
      <c r="BB58" s="39">
        <f t="shared" ref="BB58" si="677">+IF(BA55&lt;0,1-BB55/BA55,BB55/BA55-1)</f>
        <v>0.33088543852287167</v>
      </c>
      <c r="BC58" s="39">
        <f t="shared" ref="BC58" si="678">+IF(BB55&lt;0,1-BC55/BB55,BC55/BB55-1)</f>
        <v>8.6709758789217606E-2</v>
      </c>
      <c r="BD58" s="39">
        <f t="shared" ref="BD58" si="679">+IF(BC55&lt;0,1-BD55/BC55,BD55/BC55-1)</f>
        <v>-1.5958218482518771E-2</v>
      </c>
      <c r="BE58" s="39">
        <f t="shared" ref="BE58" si="680">+IF(BD55&lt;0,1-BE55/BD55,BE55/BD55-1)</f>
        <v>0.46336429308565497</v>
      </c>
      <c r="BF58" s="39">
        <f t="shared" ref="BF58" si="681">+IF(BE55&lt;0,1-BF55/BE55,BF55/BE55-1)</f>
        <v>-0.41391295587346277</v>
      </c>
      <c r="BG58" s="39">
        <f t="shared" ref="BG58" si="682">+IF(BF55&lt;0,1-BG55/BF55,BG55/BF55-1)</f>
        <v>0.30451224752900519</v>
      </c>
      <c r="BH58" s="39">
        <f t="shared" ref="BH58" si="683">+IF(BG55&lt;0,1-BH55/BG55,BH55/BG55-1)</f>
        <v>-0.13157201212281144</v>
      </c>
      <c r="BI58" s="39">
        <f t="shared" ref="BI58" si="684">+IF(BH55&lt;0,1-BI55/BH55,BI55/BH55-1)</f>
        <v>-7.9584250056898953E-2</v>
      </c>
      <c r="BJ58" s="39">
        <f t="shared" ref="BJ58" si="685">+IF(BI55&lt;0,1-BJ55/BI55,BJ55/BI55-1)</f>
        <v>-0.15751730959446042</v>
      </c>
      <c r="BK58" s="39">
        <f t="shared" ref="BK58" si="686">+IF(BJ55&lt;0,1-BK55/BJ55,BK55/BJ55-1)</f>
        <v>1.0113491830544969</v>
      </c>
      <c r="BL58" s="39">
        <f t="shared" ref="BL58" si="687">+IF(BK55&lt;0,1-BL55/BK55,BL55/BK55-1)</f>
        <v>-2.6413075201867531E-2</v>
      </c>
      <c r="BM58" s="39">
        <f t="shared" ref="BM58" si="688">+IF(BL55&lt;0,1-BM55/BL55,BM55/BL55-1)</f>
        <v>-5.03622283287537E-2</v>
      </c>
      <c r="BN58" s="39">
        <f t="shared" ref="BN58" si="689">+IF(BM55&lt;0,1-BN55/BM55,BN55/BM55-1)</f>
        <v>0.12684800336718061</v>
      </c>
      <c r="BO58" s="39">
        <f t="shared" ref="BO58" si="690">+IF(BN55&lt;0,1-BO55/BN55,BO55/BN55-1)</f>
        <v>0.52105705481370701</v>
      </c>
      <c r="BP58" s="39">
        <f t="shared" ref="BP58" si="691">+IF(BO55&lt;0,1-BP55/BO55,BP55/BO55-1)</f>
        <v>-0.20734851740438254</v>
      </c>
      <c r="BQ58" s="39">
        <f t="shared" ref="BQ58" si="692">+IF(BP55&lt;0,1-BQ55/BP55,BQ55/BP55-1)</f>
        <v>-5.8358827401929547E-2</v>
      </c>
      <c r="BR58" s="39">
        <f t="shared" ref="BR58" si="693">+IF(BQ55&lt;0,1-BR55/BQ55,BR55/BQ55-1)</f>
        <v>-0.18872347425563485</v>
      </c>
      <c r="BS58" s="39">
        <f t="shared" ref="BS58" si="694">+IF(BR55&lt;0,1-BS55/BR55,BS55/BR55-1)</f>
        <v>0.23977290008617569</v>
      </c>
      <c r="BT58" s="39">
        <f t="shared" ref="BT58" si="695">+IF(BS55&lt;0,1-BT55/BS55,BT55/BS55-1)</f>
        <v>0.13546223984953309</v>
      </c>
      <c r="BU58" s="39">
        <f t="shared" ref="BU58" si="696">+IF(BT55&lt;0,1-BU55/BT55,BU55/BT55-1)</f>
        <v>8.3399351818510103E-2</v>
      </c>
      <c r="BV58" s="39">
        <f t="shared" ref="BV58" si="697">+IF(BU55&lt;0,1-BV55/BU55,BV55/BU55-1)</f>
        <v>2.3333111746325352E-2</v>
      </c>
      <c r="BW58" s="39">
        <f t="shared" ref="BW58" si="698">+IF(BV55&lt;0,1-BW55/BV55,BW55/BV55-1)</f>
        <v>-2.4035338443549437E-2</v>
      </c>
      <c r="BX58" s="39">
        <f t="shared" ref="BX58" si="699">+IF(BW55&lt;0,1-BX55/BW55,BX55/BW55-1)</f>
        <v>-0.18876464323748454</v>
      </c>
      <c r="BY58" s="39">
        <f t="shared" ref="BY58" si="700">+IF(BX55&lt;0,1-BY55/BX55,BY55/BX55-1)</f>
        <v>0.19330489005579166</v>
      </c>
      <c r="BZ58" s="39">
        <f t="shared" ref="BZ58" si="701">+IF(BY55&lt;0,1-BZ55/BY55,BZ55/BY55-1)</f>
        <v>0.20994911991198961</v>
      </c>
      <c r="CA58" s="39">
        <f t="shared" ref="CA58" si="702">+IF(BZ55&lt;0,1-CA55/BZ55,CA55/BZ55-1)</f>
        <v>3.3470663446513171E-2</v>
      </c>
      <c r="CB58" s="39">
        <f t="shared" ref="CB58" si="703">+IF(CA55&lt;0,1-CB55/CA55,CB55/CA55-1)</f>
        <v>2.749292057295305E-2</v>
      </c>
      <c r="CC58" s="39">
        <f t="shared" ref="CC58" si="704">+IF(CB55&lt;0,1-CC55/CB55,CC55/CB55-1)</f>
        <v>8.9182029807614693E-2</v>
      </c>
      <c r="CD58" s="39">
        <f t="shared" ref="CD58" si="705">+IF(CC55&lt;0,1-CD55/CC55,CD55/CC55-1)</f>
        <v>0.18781015083771369</v>
      </c>
      <c r="CE58" s="39">
        <f t="shared" ref="CE58" si="706">+IF(CD55&lt;0,1-CE55/CD55,CE55/CD55-1)</f>
        <v>-0.31490558623399756</v>
      </c>
      <c r="CF58" s="39">
        <f t="shared" ref="CF58" si="707">+IF(CE55&lt;0,1-CF55/CE55,CF55/CE55-1)</f>
        <v>0.1668226415094336</v>
      </c>
      <c r="CG58" s="39">
        <f t="shared" ref="CG58" si="708">+IF(CF55&lt;0,1-CG55/CF55,CG55/CF55-1)</f>
        <v>-0.20853276758686579</v>
      </c>
      <c r="CH58" s="39">
        <f t="shared" ref="CH58:CL58" si="709">+IF(CG55&lt;0,1-CH55/CG55,CH55/CG55-1)</f>
        <v>0.18253734758589113</v>
      </c>
      <c r="CI58" s="39">
        <f t="shared" si="709"/>
        <v>-4.2322045611610681E-2</v>
      </c>
      <c r="CJ58" s="39">
        <f t="shared" si="709"/>
        <v>0.14608590232074592</v>
      </c>
      <c r="CK58" s="39">
        <f t="shared" si="709"/>
        <v>7.203123032363834E-2</v>
      </c>
      <c r="CL58" s="39">
        <f t="shared" si="709"/>
        <v>0.14746857746975151</v>
      </c>
      <c r="CM58" s="40">
        <f t="shared" ref="CM58" si="710">+CM55/CL55-1</f>
        <v>-3.247318600136051E-3</v>
      </c>
      <c r="CN58" s="40">
        <f t="shared" ref="CN58" si="711">+CN55/CM55-1</f>
        <v>0.10786417980661067</v>
      </c>
      <c r="CO58" s="40">
        <f t="shared" ref="CO58" si="712">+CO55/CN55-1</f>
        <v>5.6824984359832076E-2</v>
      </c>
      <c r="CP58" s="40">
        <f t="shared" ref="CP58" si="713">+CP55/CO55-1</f>
        <v>9.612431861890447E-2</v>
      </c>
      <c r="CQ58" s="40">
        <f t="shared" ref="CQ58" si="714">+CQ55/CP55-1</f>
        <v>-3.1977109412459903E-2</v>
      </c>
      <c r="CR58" s="40">
        <f t="shared" ref="CR58" si="715">+CR55/CQ55-1</f>
        <v>7.5995558507436556E-2</v>
      </c>
      <c r="CS58" s="40">
        <f t="shared" ref="CS58" si="716">+CS55/CR55-1</f>
        <v>3.1918425551713536E-2</v>
      </c>
      <c r="CT58" s="40">
        <f t="shared" ref="CT58" si="717">+CT55/CS55-1</f>
        <v>7.7088712446698349E-2</v>
      </c>
      <c r="CU58" s="40">
        <f t="shared" ref="CU58" si="718">+CU55/CT55-1</f>
        <v>8.1529895593033253E-3</v>
      </c>
      <c r="CV58" s="40">
        <f t="shared" ref="CV58" si="719">+CV55/CU55-1</f>
        <v>6.7171576307795799E-2</v>
      </c>
      <c r="CW58" s="40">
        <f t="shared" ref="CW58" si="720">+CW55/CV55-1</f>
        <v>2.6737773317379476E-2</v>
      </c>
      <c r="CX58" s="40">
        <f t="shared" ref="CX58" si="721">+CX55/CW55-1</f>
        <v>7.8853753050518005E-2</v>
      </c>
      <c r="CY58" s="40">
        <f t="shared" ref="CY58" si="722">+CY55/CX55-1</f>
        <v>8.266162704820168E-3</v>
      </c>
      <c r="CZ58" s="40">
        <f t="shared" ref="CZ58" si="723">+CZ55/CY55-1</f>
        <v>6.488602211292549E-2</v>
      </c>
      <c r="DA58" s="40">
        <f t="shared" ref="DA58" si="724">+DA55/CZ55-1</f>
        <v>2.4381436172193904E-2</v>
      </c>
      <c r="DB58" s="40">
        <f t="shared" ref="DB58" si="725">+DB55/DA55-1</f>
        <v>8.0214897751990089E-2</v>
      </c>
      <c r="DE58" s="122"/>
      <c r="DF58" s="39">
        <v>0.18133833961961243</v>
      </c>
    </row>
    <row r="59" spans="1:110" s="75" customFormat="1" x14ac:dyDescent="0.2">
      <c r="A59" s="23" t="s">
        <v>23</v>
      </c>
      <c r="B59" s="75">
        <f>'Annual Raw'!C32</f>
        <v>0</v>
      </c>
      <c r="C59" s="75">
        <f>'Annual Raw'!D32</f>
        <v>-4.8212999999999999</v>
      </c>
      <c r="D59" s="75">
        <f>'Annual Raw'!E32</f>
        <v>-10.692500000000001</v>
      </c>
      <c r="E59" s="75">
        <f>'Annual Raw'!F32</f>
        <v>-8.3902999999999999</v>
      </c>
      <c r="F59" s="75">
        <f>'Annual Raw'!G32</f>
        <v>-16.025200000000002</v>
      </c>
      <c r="G59" s="75">
        <f>'Annual Raw'!H32</f>
        <v>-13.091900000000001</v>
      </c>
      <c r="H59" s="75">
        <f>'Annual Raw'!I32</f>
        <v>-32.601999999999997</v>
      </c>
      <c r="I59" s="75">
        <f>'Annual Raw'!J32</f>
        <v>-392.2002</v>
      </c>
      <c r="J59" s="75">
        <f>'Annual Raw'!K32</f>
        <v>-156.28020000000001</v>
      </c>
      <c r="K59" s="75">
        <f>'Annual Raw'!L32</f>
        <v>-36.044400000000003</v>
      </c>
      <c r="L59" s="75">
        <f>'Annual Raw'!M32</f>
        <v>-57.963099999999997</v>
      </c>
      <c r="M59" s="75">
        <f>'Annual Raw'!N32</f>
        <v>-60.650300000000001</v>
      </c>
      <c r="N59" s="75">
        <f>'Annual Raw'!O32</f>
        <v>-72.307299999999998</v>
      </c>
      <c r="O59" s="75">
        <f>'Annual Raw'!P32</f>
        <v>-28.985299999999999</v>
      </c>
      <c r="P59" s="75">
        <f>'Annual Raw'!Q32</f>
        <v>-25.66</v>
      </c>
      <c r="Q59" s="75">
        <f>'Annual Raw'!R32</f>
        <v>31.57</v>
      </c>
      <c r="R59" s="75">
        <f>'Annual Raw'!S32</f>
        <v>-65.36</v>
      </c>
      <c r="S59" s="75">
        <f>'Annual Raw'!T32</f>
        <v>-60.94</v>
      </c>
      <c r="T59" s="75">
        <f>'Annual Raw'!U32</f>
        <v>-48.79</v>
      </c>
      <c r="U59" s="75">
        <f>'Annual Raw'!V32</f>
        <v>-0.35</v>
      </c>
      <c r="V59" s="75">
        <f>'Annual Raw'!W32</f>
        <v>-73.77</v>
      </c>
      <c r="W59" s="75">
        <f>'Annual Raw'!X32</f>
        <v>-79.38</v>
      </c>
      <c r="X59" s="75">
        <f>'Annual Raw'!Y32</f>
        <v>-116.37</v>
      </c>
      <c r="Y59" s="75">
        <f>'Annual Raw'!Z32</f>
        <v>-65.069999999999993</v>
      </c>
      <c r="Z59" s="75">
        <f>'Annual Raw'!AA32</f>
        <v>-8.6300000000000008</v>
      </c>
      <c r="AA59" s="75">
        <f>'Annual Raw'!AB32</f>
        <v>-4.5</v>
      </c>
      <c r="AB59" s="76">
        <f t="shared" ref="AB59:AB60" si="726">+SUM(CM59:CP59)</f>
        <v>-19.760000000000002</v>
      </c>
      <c r="AC59" s="76">
        <f t="shared" ref="AC59:AC60" si="727">+SUM(CQ59:CT59)</f>
        <v>-19.760000000000002</v>
      </c>
      <c r="AD59" s="76">
        <f t="shared" ref="AD59:AD60" si="728">+SUM(CU59:CX59)</f>
        <v>-19.760000000000002</v>
      </c>
      <c r="AE59" s="76">
        <f t="shared" ref="AE59:AE60" si="729">+SUM(CY59:DB59)</f>
        <v>-19.760000000000002</v>
      </c>
      <c r="AI59" s="75">
        <f>'QTR Raw'!C34</f>
        <v>-14.48</v>
      </c>
      <c r="AJ59" s="75">
        <f>'QTR Raw'!D34</f>
        <v>-20.71</v>
      </c>
      <c r="AK59" s="75">
        <f>'QTR Raw'!E34</f>
        <v>-17.97</v>
      </c>
      <c r="AL59" s="75">
        <f>'QTR Raw'!F34</f>
        <v>-19.149999999999999</v>
      </c>
      <c r="AM59" s="75">
        <f>'QTR Raw'!G34</f>
        <v>-15</v>
      </c>
      <c r="AN59" s="75">
        <f>'QTR Raw'!H34</f>
        <v>15.39</v>
      </c>
      <c r="AO59" s="75">
        <f>'QTR Raw'!I34</f>
        <v>-18.96</v>
      </c>
      <c r="AP59" s="75">
        <f>'QTR Raw'!J34</f>
        <v>-10.42</v>
      </c>
      <c r="AQ59" s="75">
        <f>'QTR Raw'!K34</f>
        <v>-15.22</v>
      </c>
      <c r="AR59" s="75">
        <f>'QTR Raw'!L34</f>
        <v>-13.03</v>
      </c>
      <c r="AS59" s="75">
        <f>'QTR Raw'!M34</f>
        <v>-10.63</v>
      </c>
      <c r="AT59" s="75">
        <f>'QTR Raw'!N34</f>
        <v>13.22</v>
      </c>
      <c r="AU59" s="75">
        <f>'QTR Raw'!O34</f>
        <v>-6.33</v>
      </c>
      <c r="AV59" s="75">
        <f>'QTR Raw'!P34</f>
        <v>-6.77</v>
      </c>
      <c r="AW59" s="75">
        <f>'QTR Raw'!Q34</f>
        <v>-8.16</v>
      </c>
      <c r="AX59" s="75">
        <f>'QTR Raw'!R34</f>
        <v>52.83</v>
      </c>
      <c r="AY59" s="75">
        <f>'QTR Raw'!S34</f>
        <v>-15.87</v>
      </c>
      <c r="AZ59" s="75">
        <f>'QTR Raw'!T34</f>
        <v>-12.87</v>
      </c>
      <c r="BA59" s="75">
        <f>'QTR Raw'!U34</f>
        <v>-16.91</v>
      </c>
      <c r="BB59" s="75">
        <f>'QTR Raw'!V34</f>
        <v>-19.71</v>
      </c>
      <c r="BC59" s="75">
        <f>'QTR Raw'!W34</f>
        <v>-17.37</v>
      </c>
      <c r="BD59" s="75">
        <f>'QTR Raw'!X34</f>
        <v>-10.69</v>
      </c>
      <c r="BE59" s="75">
        <f>'QTR Raw'!Y34</f>
        <v>-20.77</v>
      </c>
      <c r="BF59" s="75">
        <f>'QTR Raw'!Z34</f>
        <v>-12.11</v>
      </c>
      <c r="BG59" s="75">
        <f>'QTR Raw'!AA34</f>
        <v>-11.9</v>
      </c>
      <c r="BH59" s="75">
        <f>'QTR Raw'!AB34</f>
        <v>-14.23</v>
      </c>
      <c r="BI59" s="75">
        <f>'QTR Raw'!AC34</f>
        <v>-9.57</v>
      </c>
      <c r="BJ59" s="75">
        <f>'QTR Raw'!AD34</f>
        <v>-13.09</v>
      </c>
      <c r="BK59" s="75">
        <f>'QTR Raw'!AE34</f>
        <v>-16.350000000000001</v>
      </c>
      <c r="BL59" s="75">
        <f>'QTR Raw'!AF34</f>
        <v>-14.73</v>
      </c>
      <c r="BM59" s="75">
        <f>'QTR Raw'!AG34</f>
        <v>-15.26</v>
      </c>
      <c r="BN59" s="75">
        <f>'QTR Raw'!AH34</f>
        <v>45.99</v>
      </c>
      <c r="BO59" s="75">
        <f>'QTR Raw'!AI34</f>
        <v>-17.989999999999998</v>
      </c>
      <c r="BP59" s="75">
        <f>'QTR Raw'!AJ34</f>
        <v>-16.12</v>
      </c>
      <c r="BQ59" s="75">
        <f>'QTR Raw'!AK34</f>
        <v>-19.21</v>
      </c>
      <c r="BR59" s="75">
        <f>'QTR Raw'!AL34</f>
        <v>-20.45</v>
      </c>
      <c r="BS59" s="75">
        <f>'QTR Raw'!AM34</f>
        <v>-15.09</v>
      </c>
      <c r="BT59" s="75">
        <f>'QTR Raw'!AN34</f>
        <v>-17.760000000000002</v>
      </c>
      <c r="BU59" s="75">
        <f>'QTR Raw'!AO34</f>
        <v>-25.02</v>
      </c>
      <c r="BV59" s="75">
        <f>'QTR Raw'!AP34</f>
        <v>-21.51</v>
      </c>
      <c r="BW59" s="75">
        <f>'QTR Raw'!AQ34</f>
        <v>-21.26</v>
      </c>
      <c r="BX59" s="75">
        <f>'QTR Raw'!AR34</f>
        <v>-61.47</v>
      </c>
      <c r="BY59" s="75">
        <f>'QTR Raw'!AS34</f>
        <v>-12.67</v>
      </c>
      <c r="BZ59" s="75">
        <f>'QTR Raw'!AT34</f>
        <v>-20.97</v>
      </c>
      <c r="CA59" s="75">
        <f>'QTR Raw'!AU34</f>
        <v>-21.12</v>
      </c>
      <c r="CB59" s="75">
        <f>'QTR Raw'!AV34</f>
        <v>-25.68</v>
      </c>
      <c r="CC59" s="75">
        <f>'QTR Raw'!AW34</f>
        <v>-22.64</v>
      </c>
      <c r="CD59" s="75">
        <f>'QTR Raw'!AX34</f>
        <v>4.37</v>
      </c>
      <c r="CE59" s="75">
        <f>'QTR Raw'!AY34</f>
        <v>1.07</v>
      </c>
      <c r="CF59" s="75">
        <f>'QTR Raw'!AZ34</f>
        <v>-2.79</v>
      </c>
      <c r="CG59" s="75">
        <f>'QTR Raw'!BA34</f>
        <v>-3.04</v>
      </c>
      <c r="CH59" s="75">
        <f>'QTR Raw'!BB34</f>
        <v>-3.87</v>
      </c>
      <c r="CI59" s="75">
        <f>'QTR Raw'!BC34</f>
        <v>2.4</v>
      </c>
      <c r="CJ59" s="75">
        <f>'QTR Raw'!BD34</f>
        <v>-2.0499999999999998</v>
      </c>
      <c r="CK59" s="75">
        <f>'QTR Raw'!BE34</f>
        <v>0.09</v>
      </c>
      <c r="CL59" s="75">
        <f>'QTR Raw'!BF34</f>
        <v>-4.9400000000000004</v>
      </c>
      <c r="CM59" s="76">
        <f t="shared" ref="CM59" si="730">+CL59</f>
        <v>-4.9400000000000004</v>
      </c>
      <c r="CN59" s="76">
        <f t="shared" ref="CN59:CN60" si="731">+CM59</f>
        <v>-4.9400000000000004</v>
      </c>
      <c r="CO59" s="76">
        <f t="shared" ref="CO59:CO60" si="732">+CN59</f>
        <v>-4.9400000000000004</v>
      </c>
      <c r="CP59" s="76">
        <f t="shared" ref="CP59:CP60" si="733">+CO59</f>
        <v>-4.9400000000000004</v>
      </c>
      <c r="CQ59" s="76">
        <f t="shared" ref="CQ59:CQ60" si="734">+CP59</f>
        <v>-4.9400000000000004</v>
      </c>
      <c r="CR59" s="76">
        <f t="shared" ref="CR59:CR60" si="735">+CQ59</f>
        <v>-4.9400000000000004</v>
      </c>
      <c r="CS59" s="76">
        <f t="shared" ref="CS59:CS60" si="736">+CR59</f>
        <v>-4.9400000000000004</v>
      </c>
      <c r="CT59" s="76">
        <f t="shared" ref="CT59:CT60" si="737">+CS59</f>
        <v>-4.9400000000000004</v>
      </c>
      <c r="CU59" s="76">
        <f t="shared" ref="CU59:CU60" si="738">+CT59</f>
        <v>-4.9400000000000004</v>
      </c>
      <c r="CV59" s="76">
        <f t="shared" ref="CV59:CV60" si="739">+CU59</f>
        <v>-4.9400000000000004</v>
      </c>
      <c r="CW59" s="76">
        <f t="shared" ref="CW59:CW60" si="740">+CV59</f>
        <v>-4.9400000000000004</v>
      </c>
      <c r="CX59" s="76">
        <f t="shared" ref="CX59:CX60" si="741">+CW59</f>
        <v>-4.9400000000000004</v>
      </c>
      <c r="CY59" s="76">
        <f t="shared" ref="CY59:CY60" si="742">+CX59</f>
        <v>-4.9400000000000004</v>
      </c>
      <c r="CZ59" s="76">
        <f t="shared" ref="CZ59:CZ60" si="743">+CY59</f>
        <v>-4.9400000000000004</v>
      </c>
      <c r="DA59" s="76">
        <f t="shared" ref="DA59:DA60" si="744">+CZ59</f>
        <v>-4.9400000000000004</v>
      </c>
      <c r="DB59" s="76">
        <f t="shared" ref="DB59:DB60" si="745">+DA59</f>
        <v>-4.9400000000000004</v>
      </c>
      <c r="DE59" s="131"/>
      <c r="DF59" s="75">
        <v>0.09</v>
      </c>
    </row>
    <row r="60" spans="1:110" s="75" customFormat="1" x14ac:dyDescent="0.2">
      <c r="A60" s="23" t="s">
        <v>24</v>
      </c>
      <c r="B60" s="75">
        <f>'Annual Raw'!C33+'Annual Raw'!C28</f>
        <v>0</v>
      </c>
      <c r="C60" s="75">
        <f>'Annual Raw'!D33+'Annual Raw'!D28</f>
        <v>0</v>
      </c>
      <c r="D60" s="75">
        <f>'Annual Raw'!E33+'Annual Raw'!E28</f>
        <v>-23.050699999999999</v>
      </c>
      <c r="E60" s="75">
        <f>'Annual Raw'!F33+'Annual Raw'!F28</f>
        <v>2.9344999999999999</v>
      </c>
      <c r="F60" s="75">
        <f>'Annual Raw'!G33+'Annual Raw'!G28</f>
        <v>11.6225</v>
      </c>
      <c r="G60" s="75">
        <f>'Annual Raw'!H33+'Annual Raw'!H28</f>
        <v>11.7005</v>
      </c>
      <c r="H60" s="75">
        <f>'Annual Raw'!I33+'Annual Raw'!I28</f>
        <v>17.946300000000001</v>
      </c>
      <c r="I60" s="75">
        <f>'Annual Raw'!J33+'Annual Raw'!J28</f>
        <v>28.8673</v>
      </c>
      <c r="J60" s="75">
        <f>'Annual Raw'!K33+'Annual Raw'!K28</f>
        <v>24.932200000000002</v>
      </c>
      <c r="K60" s="75">
        <f>'Annual Raw'!L33+'Annual Raw'!L28</f>
        <v>33.038400000000003</v>
      </c>
      <c r="L60" s="75">
        <f>'Annual Raw'!M33+'Annual Raw'!M28</f>
        <v>20.246400000000001</v>
      </c>
      <c r="M60" s="75">
        <f>'Annual Raw'!N33+'Annual Raw'!N28</f>
        <v>-15.114800000000001</v>
      </c>
      <c r="N60" s="75">
        <f>'Annual Raw'!O33+'Annual Raw'!O28</f>
        <v>-27.6615</v>
      </c>
      <c r="O60" s="75">
        <f>'Annual Raw'!P33+'Annual Raw'!P28</f>
        <v>-12.871</v>
      </c>
      <c r="P60" s="75">
        <f>'Annual Raw'!Q33+'Annual Raw'!Q28</f>
        <v>-10.88</v>
      </c>
      <c r="Q60" s="75">
        <f>'Annual Raw'!R33+'Annual Raw'!R28</f>
        <v>-6.84</v>
      </c>
      <c r="R60" s="75">
        <f>'Annual Raw'!S33+'Annual Raw'!S28</f>
        <v>-8.85</v>
      </c>
      <c r="S60" s="75">
        <f>'Annual Raw'!T33+'Annual Raw'!T28</f>
        <v>-10.76</v>
      </c>
      <c r="T60" s="75">
        <f>'Annual Raw'!U33+'Annual Raw'!U28</f>
        <v>-16.850000000000001</v>
      </c>
      <c r="U60" s="75">
        <f>'Annual Raw'!V33+'Annual Raw'!V28</f>
        <v>-75.08</v>
      </c>
      <c r="V60" s="75">
        <f>'Annual Raw'!W33+'Annual Raw'!W28</f>
        <v>-63.33</v>
      </c>
      <c r="W60" s="75">
        <f>'Annual Raw'!X33+'Annual Raw'!X28</f>
        <v>-63.79</v>
      </c>
      <c r="X60" s="75">
        <f>'Annual Raw'!Y33+'Annual Raw'!Y28</f>
        <v>-26.38</v>
      </c>
      <c r="Y60" s="75">
        <f>'Annual Raw'!Z33+'Annual Raw'!Z28</f>
        <v>-85.59</v>
      </c>
      <c r="Z60" s="75">
        <f>'Annual Raw'!AA33+'Annual Raw'!AA28</f>
        <v>-93.21</v>
      </c>
      <c r="AA60" s="75">
        <f>'Annual Raw'!AB33+'Annual Raw'!AB28</f>
        <v>-90.7</v>
      </c>
      <c r="AB60" s="76">
        <f t="shared" si="726"/>
        <v>-80</v>
      </c>
      <c r="AC60" s="76">
        <f t="shared" si="727"/>
        <v>-80</v>
      </c>
      <c r="AD60" s="76">
        <f t="shared" si="728"/>
        <v>-80</v>
      </c>
      <c r="AE60" s="76">
        <f t="shared" si="729"/>
        <v>-80</v>
      </c>
      <c r="AI60" s="75">
        <f>'QTR Raw'!C35</f>
        <v>-6.43</v>
      </c>
      <c r="AJ60" s="75">
        <f>'QTR Raw'!D35</f>
        <v>11.66</v>
      </c>
      <c r="AK60" s="75">
        <f>'QTR Raw'!E35</f>
        <v>5.27</v>
      </c>
      <c r="AL60" s="75">
        <f>'QTR Raw'!F35</f>
        <v>-38.159999999999997</v>
      </c>
      <c r="AM60" s="75">
        <f>'QTR Raw'!G35</f>
        <v>-9.26</v>
      </c>
      <c r="AN60" s="75">
        <f>'QTR Raw'!H35</f>
        <v>4.08</v>
      </c>
      <c r="AO60" s="75">
        <f>'QTR Raw'!I35</f>
        <v>11.84</v>
      </c>
      <c r="AP60" s="75">
        <f>'QTR Raw'!J35</f>
        <v>-19.53</v>
      </c>
      <c r="AQ60" s="75">
        <f>'QTR Raw'!K35</f>
        <v>0.02</v>
      </c>
      <c r="AR60" s="75">
        <f>'QTR Raw'!L35</f>
        <v>6.51</v>
      </c>
      <c r="AS60" s="75">
        <f>'QTR Raw'!M35</f>
        <v>6.61</v>
      </c>
      <c r="AT60" s="75">
        <f>'QTR Raw'!N35</f>
        <v>-24.02</v>
      </c>
      <c r="AU60" s="75">
        <f>'QTR Raw'!O35</f>
        <v>-7.29</v>
      </c>
      <c r="AV60" s="75">
        <f>'QTR Raw'!P35</f>
        <v>14.24</v>
      </c>
      <c r="AW60" s="75">
        <f>'QTR Raw'!Q35</f>
        <v>5.48</v>
      </c>
      <c r="AX60" s="75">
        <f>'QTR Raw'!R35</f>
        <v>-19.27</v>
      </c>
      <c r="AY60" s="75">
        <f>'QTR Raw'!S35</f>
        <v>-6.77</v>
      </c>
      <c r="AZ60" s="75">
        <f>'QTR Raw'!T35</f>
        <v>31.48</v>
      </c>
      <c r="BA60" s="75">
        <f>'QTR Raw'!U35</f>
        <v>-0.32</v>
      </c>
      <c r="BB60" s="75">
        <f>'QTR Raw'!V35</f>
        <v>-33.24</v>
      </c>
      <c r="BC60" s="75">
        <f>'QTR Raw'!W35</f>
        <v>-1.1599999999999999</v>
      </c>
      <c r="BD60" s="75">
        <f>'QTR Raw'!X35</f>
        <v>31.01</v>
      </c>
      <c r="BE60" s="75">
        <f>'QTR Raw'!Y35</f>
        <v>2.5299999999999998</v>
      </c>
      <c r="BF60" s="75">
        <f>'QTR Raw'!Z35</f>
        <v>-43.14</v>
      </c>
      <c r="BG60" s="75">
        <f>'QTR Raw'!AA35</f>
        <v>-5.46</v>
      </c>
      <c r="BH60" s="75">
        <f>'QTR Raw'!AB35</f>
        <v>58.87</v>
      </c>
      <c r="BI60" s="75">
        <f>'QTR Raw'!AC35</f>
        <v>-12.43</v>
      </c>
      <c r="BJ60" s="75">
        <f>'QTR Raw'!AD35</f>
        <v>-57.83</v>
      </c>
      <c r="BK60" s="75">
        <f>'QTR Raw'!AE35</f>
        <v>-7.43</v>
      </c>
      <c r="BL60" s="75">
        <f>'QTR Raw'!AF35</f>
        <v>9.24</v>
      </c>
      <c r="BM60" s="75">
        <f>'QTR Raw'!AG35</f>
        <v>-4.62</v>
      </c>
      <c r="BN60" s="75">
        <f>'QTR Raw'!AH35</f>
        <v>-72.27</v>
      </c>
      <c r="BO60" s="75">
        <f>'QTR Raw'!AI35</f>
        <v>-43.54</v>
      </c>
      <c r="BP60" s="75">
        <f>'QTR Raw'!AJ35</f>
        <v>38.85</v>
      </c>
      <c r="BQ60" s="75">
        <f>'QTR Raw'!AK35</f>
        <v>0.35</v>
      </c>
      <c r="BR60" s="75">
        <f>'QTR Raw'!AL35</f>
        <v>-58.99</v>
      </c>
      <c r="BS60" s="75">
        <f>'QTR Raw'!AM35</f>
        <v>-40.409999999999997</v>
      </c>
      <c r="BT60" s="75">
        <f>'QTR Raw'!AN35</f>
        <v>24.41</v>
      </c>
      <c r="BU60" s="75">
        <f>'QTR Raw'!AO35</f>
        <v>2.39</v>
      </c>
      <c r="BV60" s="75">
        <f>'QTR Raw'!AP35</f>
        <v>-50.18</v>
      </c>
      <c r="BW60" s="75">
        <f>'QTR Raw'!AQ35</f>
        <v>0.21</v>
      </c>
      <c r="BX60" s="75">
        <f>'QTR Raw'!AR35</f>
        <v>34.450000000000003</v>
      </c>
      <c r="BY60" s="75">
        <f>'QTR Raw'!AS35</f>
        <v>-5.0199999999999996</v>
      </c>
      <c r="BZ60" s="75">
        <f>'QTR Raw'!AT35</f>
        <v>-56.02</v>
      </c>
      <c r="CA60" s="75">
        <f>'QTR Raw'!AU35</f>
        <v>-20.86</v>
      </c>
      <c r="CB60" s="75">
        <f>'QTR Raw'!AV35</f>
        <v>4.74</v>
      </c>
      <c r="CC60" s="75">
        <f>'QTR Raw'!AW35</f>
        <v>-14.02</v>
      </c>
      <c r="CD60" s="75">
        <f>'QTR Raw'!AX35</f>
        <v>-55.45</v>
      </c>
      <c r="CE60" s="75">
        <f>'QTR Raw'!AY35</f>
        <v>-24.9</v>
      </c>
      <c r="CF60" s="75">
        <f>'QTR Raw'!AZ35</f>
        <v>7.87</v>
      </c>
      <c r="CG60" s="75">
        <f>'QTR Raw'!BA35</f>
        <v>-17.829999999999998</v>
      </c>
      <c r="CH60" s="75">
        <f>'QTR Raw'!BB35</f>
        <v>-58.35</v>
      </c>
      <c r="CI60" s="75">
        <f>'QTR Raw'!BC35</f>
        <v>-14.69</v>
      </c>
      <c r="CJ60" s="75">
        <f>'QTR Raw'!BD35</f>
        <v>9.4600000000000009</v>
      </c>
      <c r="CK60" s="75">
        <f>'QTR Raw'!BE35</f>
        <v>-18.27</v>
      </c>
      <c r="CL60" s="75">
        <f>'QTR Raw'!BF35</f>
        <v>-67.2</v>
      </c>
      <c r="CM60" s="76">
        <v>-20</v>
      </c>
      <c r="CN60" s="76">
        <f t="shared" si="731"/>
        <v>-20</v>
      </c>
      <c r="CO60" s="76">
        <f t="shared" si="732"/>
        <v>-20</v>
      </c>
      <c r="CP60" s="76">
        <f t="shared" si="733"/>
        <v>-20</v>
      </c>
      <c r="CQ60" s="76">
        <f t="shared" si="734"/>
        <v>-20</v>
      </c>
      <c r="CR60" s="76">
        <f t="shared" si="735"/>
        <v>-20</v>
      </c>
      <c r="CS60" s="76">
        <f t="shared" si="736"/>
        <v>-20</v>
      </c>
      <c r="CT60" s="76">
        <f t="shared" si="737"/>
        <v>-20</v>
      </c>
      <c r="CU60" s="76">
        <f t="shared" si="738"/>
        <v>-20</v>
      </c>
      <c r="CV60" s="76">
        <f t="shared" si="739"/>
        <v>-20</v>
      </c>
      <c r="CW60" s="76">
        <f t="shared" si="740"/>
        <v>-20</v>
      </c>
      <c r="CX60" s="76">
        <f t="shared" si="741"/>
        <v>-20</v>
      </c>
      <c r="CY60" s="76">
        <f t="shared" si="742"/>
        <v>-20</v>
      </c>
      <c r="CZ60" s="76">
        <f t="shared" si="743"/>
        <v>-20</v>
      </c>
      <c r="DA60" s="76">
        <f t="shared" si="744"/>
        <v>-20</v>
      </c>
      <c r="DB60" s="76">
        <f t="shared" si="745"/>
        <v>-20</v>
      </c>
      <c r="DE60" s="131"/>
      <c r="DF60" s="75">
        <v>-18.27</v>
      </c>
    </row>
    <row r="61" spans="1:110" s="23" customFormat="1" x14ac:dyDescent="0.2">
      <c r="A61" s="23" t="s">
        <v>19</v>
      </c>
      <c r="B61" s="75">
        <f>'Annual Raw'!C29+'Annual Raw'!C31+'Annual Raw'!C34+'Annual Raw'!C36</f>
        <v>0</v>
      </c>
      <c r="C61" s="75">
        <f>'Annual Raw'!D29+'Annual Raw'!D31+'Annual Raw'!D34+'Annual Raw'!D36</f>
        <v>0</v>
      </c>
      <c r="D61" s="75">
        <f>'Annual Raw'!E29+'Annual Raw'!E31+'Annual Raw'!E34+'Annual Raw'!E36</f>
        <v>0</v>
      </c>
      <c r="E61" s="75">
        <f>'Annual Raw'!F29+'Annual Raw'!F31+'Annual Raw'!F34+'Annual Raw'!F36</f>
        <v>2.7629999999999999</v>
      </c>
      <c r="F61" s="75">
        <f>'Annual Raw'!G29+'Annual Raw'!G31+'Annual Raw'!G34+'Annual Raw'!G36</f>
        <v>-42.8078</v>
      </c>
      <c r="G61" s="75">
        <f>'Annual Raw'!H29+'Annual Raw'!H31+'Annual Raw'!H34+'Annual Raw'!H36</f>
        <v>7.2586000000000004</v>
      </c>
      <c r="H61" s="75">
        <f>'Annual Raw'!I29+'Annual Raw'!I31+'Annual Raw'!I34+'Annual Raw'!I36</f>
        <v>137.65360000000001</v>
      </c>
      <c r="I61" s="75">
        <f>'Annual Raw'!J29+'Annual Raw'!J31+'Annual Raw'!J34+'Annual Raw'!J36</f>
        <v>1566.2048</v>
      </c>
      <c r="J61" s="75">
        <f>'Annual Raw'!K29+'Annual Raw'!K31+'Annual Raw'!K34+'Annual Raw'!K36</f>
        <v>730.37750000000005</v>
      </c>
      <c r="K61" s="75">
        <f>'Annual Raw'!L29+'Annual Raw'!L31+'Annual Raw'!L34+'Annual Raw'!L36</f>
        <v>16.130800000000001</v>
      </c>
      <c r="L61" s="75">
        <f>'Annual Raw'!M29+'Annual Raw'!M31+'Annual Raw'!M34+'Annual Raw'!M36</f>
        <v>9.5112000000000005</v>
      </c>
      <c r="M61" s="75">
        <f>'Annual Raw'!N29+'Annual Raw'!N31+'Annual Raw'!N34+'Annual Raw'!N36</f>
        <v>22.535599999999999</v>
      </c>
      <c r="N61" s="75">
        <f>'Annual Raw'!O29+'Annual Raw'!O31+'Annual Raw'!O34+'Annual Raw'!O36</f>
        <v>-28.165700000000001</v>
      </c>
      <c r="O61" s="75">
        <f>'Annual Raw'!P29+'Annual Raw'!P31+'Annual Raw'!P34+'Annual Raw'!P36</f>
        <v>88.762100000000004</v>
      </c>
      <c r="P61" s="75">
        <f>'Annual Raw'!Q29+'Annual Raw'!Q31+'Annual Raw'!Q34+'Annual Raw'!Q36</f>
        <v>-129.99</v>
      </c>
      <c r="Q61" s="75">
        <f>'Annual Raw'!R29+'Annual Raw'!R31+'Annual Raw'!R34+'Annual Raw'!R36</f>
        <v>-332.88</v>
      </c>
      <c r="R61" s="75">
        <f>'Annual Raw'!S29+'Annual Raw'!S31+'Annual Raw'!S34+'Annual Raw'!S36</f>
        <v>5.3</v>
      </c>
      <c r="S61" s="75">
        <f>'Annual Raw'!T29+'Annual Raw'!T31+'Annual Raw'!T34+'Annual Raw'!T36</f>
        <v>-21.13</v>
      </c>
      <c r="T61" s="75">
        <f>'Annual Raw'!U29+'Annual Raw'!U31+'Annual Raw'!U34+'Annual Raw'!U36</f>
        <v>-33.29</v>
      </c>
      <c r="U61" s="75">
        <f>'Annual Raw'!V29+'Annual Raw'!V31+'Annual Raw'!V34+'Annual Raw'!V36</f>
        <v>-274.79000000000002</v>
      </c>
      <c r="V61" s="75">
        <f>'Annual Raw'!W29+'Annual Raw'!W31+'Annual Raw'!W34+'Annual Raw'!W36</f>
        <v>-30.65</v>
      </c>
      <c r="W61" s="75">
        <f>'Annual Raw'!X29+'Annual Raw'!X31+'Annual Raw'!X34+'Annual Raw'!X36</f>
        <v>-52.06</v>
      </c>
      <c r="X61" s="75">
        <f>'Annual Raw'!Y29+'Annual Raw'!Y31+'Annual Raw'!Y34+'Annual Raw'!Y36</f>
        <v>159.44999999999999</v>
      </c>
      <c r="Y61" s="75">
        <f>'Annual Raw'!Z29+'Annual Raw'!Z31+'Annual Raw'!Z34+'Annual Raw'!Z36</f>
        <v>-327.04000000000002</v>
      </c>
      <c r="Z61" s="75">
        <f>'Annual Raw'!AA29+'Annual Raw'!AA31+'Annual Raw'!AA34+'Annual Raw'!AA36</f>
        <v>-5.1100000000000003</v>
      </c>
      <c r="AA61" s="75">
        <f>'Annual Raw'!AB29+'Annual Raw'!AB31+'Annual Raw'!AB34+'Annual Raw'!AB36</f>
        <v>-20.059999999999999</v>
      </c>
      <c r="AB61" s="76">
        <f>+SUM(CM61:CP61)</f>
        <v>0</v>
      </c>
      <c r="AC61" s="76">
        <f>+SUM(CQ61:CT61)</f>
        <v>0</v>
      </c>
      <c r="AD61" s="76">
        <f>+SUM(CU61:CX61)</f>
        <v>0</v>
      </c>
      <c r="AE61" s="76">
        <f>+SUM(CY61:DB61)</f>
        <v>0</v>
      </c>
      <c r="AI61" s="75">
        <f>'QTR Raw'!C26+'QTR Raw'!C31+'QTR Raw'!C32+'QTR Raw'!C33+'QTR Raw'!C36+'QTR Raw'!C37+'QTR Raw'!C39</f>
        <v>-5.38</v>
      </c>
      <c r="AJ61" s="75">
        <f>'QTR Raw'!D26+'QTR Raw'!D31+'QTR Raw'!D32+'QTR Raw'!D33+'QTR Raw'!D36+'QTR Raw'!D37+'QTR Raw'!D39</f>
        <v>-11.23</v>
      </c>
      <c r="AK61" s="75">
        <f>'QTR Raw'!E26+'QTR Raw'!E31+'QTR Raw'!E32+'QTR Raw'!E33+'QTR Raw'!E36+'QTR Raw'!E37+'QTR Raw'!E39</f>
        <v>-12.06</v>
      </c>
      <c r="AL61" s="75">
        <f>'QTR Raw'!F26+'QTR Raw'!F31+'QTR Raw'!F32+'QTR Raw'!F33+'QTR Raw'!F36+'QTR Raw'!F37+'QTR Raw'!F39</f>
        <v>0.5</v>
      </c>
      <c r="AM61" s="75">
        <f>'QTR Raw'!G26+'QTR Raw'!G31+'QTR Raw'!G32+'QTR Raw'!G33+'QTR Raw'!G36+'QTR Raw'!G37+'QTR Raw'!G39</f>
        <v>21.63</v>
      </c>
      <c r="AN61" s="75">
        <f>'QTR Raw'!H26+'QTR Raw'!H31+'QTR Raw'!H32+'QTR Raw'!H33+'QTR Raw'!H36+'QTR Raw'!H37+'QTR Raw'!H39</f>
        <v>92.05</v>
      </c>
      <c r="AO61" s="75">
        <f>'QTR Raw'!I26+'QTR Raw'!I31+'QTR Raw'!I32+'QTR Raw'!I33+'QTR Raw'!I36+'QTR Raw'!I37+'QTR Raw'!I39</f>
        <v>-13.2</v>
      </c>
      <c r="AP61" s="75">
        <f>'QTR Raw'!J26+'QTR Raw'!J31+'QTR Raw'!J32+'QTR Raw'!J33+'QTR Raw'!J36+'QTR Raw'!J37+'QTR Raw'!J39</f>
        <v>-11.72</v>
      </c>
      <c r="AQ61" s="75">
        <f>'QTR Raw'!K26+'QTR Raw'!K31+'QTR Raw'!K32+'QTR Raw'!K33+'QTR Raw'!K36+'QTR Raw'!K37+'QTR Raw'!K39</f>
        <v>-2.69</v>
      </c>
      <c r="AR61" s="75">
        <f>'QTR Raw'!L26+'QTR Raw'!L31+'QTR Raw'!L32+'QTR Raw'!L33+'QTR Raw'!L36+'QTR Raw'!L37+'QTR Raw'!L39</f>
        <v>-24.78</v>
      </c>
      <c r="AS61" s="75">
        <f>'QTR Raw'!M26+'QTR Raw'!M31+'QTR Raw'!M32+'QTR Raw'!M33+'QTR Raw'!M36+'QTR Raw'!M37+'QTR Raw'!M39</f>
        <v>0</v>
      </c>
      <c r="AT61" s="75">
        <f>'QTR Raw'!N26+'QTR Raw'!N31+'QTR Raw'!N32+'QTR Raw'!N33+'QTR Raw'!N36+'QTR Raw'!N37+'QTR Raw'!N39</f>
        <v>-102.52</v>
      </c>
      <c r="AU61" s="75">
        <f>'QTR Raw'!O26+'QTR Raw'!O31+'QTR Raw'!O32+'QTR Raw'!O33+'QTR Raw'!O36+'QTR Raw'!O37+'QTR Raw'!O39</f>
        <v>-2.78</v>
      </c>
      <c r="AV61" s="75">
        <f>'QTR Raw'!P26+'QTR Raw'!P31+'QTR Raw'!P32+'QTR Raw'!P33+'QTR Raw'!P36+'QTR Raw'!P37+'QTR Raw'!P39</f>
        <v>-4.7699999999999996</v>
      </c>
      <c r="AW61" s="75">
        <f>'QTR Raw'!Q26+'QTR Raw'!Q31+'QTR Raw'!Q32+'QTR Raw'!Q33+'QTR Raw'!Q36+'QTR Raw'!Q37+'QTR Raw'!Q39</f>
        <v>-10.57</v>
      </c>
      <c r="AX61" s="75">
        <f>'QTR Raw'!R26+'QTR Raw'!R31+'QTR Raw'!R32+'QTR Raw'!R33+'QTR Raw'!R36+'QTR Raw'!R37+'QTR Raw'!R39</f>
        <v>-314.76</v>
      </c>
      <c r="AY61" s="75">
        <f>'QTR Raw'!S26+'QTR Raw'!S31+'QTR Raw'!S32+'QTR Raw'!S33+'QTR Raw'!S36+'QTR Raw'!S37+'QTR Raw'!S39</f>
        <v>-1.74</v>
      </c>
      <c r="AZ61" s="75">
        <f>'QTR Raw'!T26+'QTR Raw'!T31+'QTR Raw'!T32+'QTR Raw'!T33+'QTR Raw'!T36+'QTR Raw'!T37+'QTR Raw'!T39</f>
        <v>0</v>
      </c>
      <c r="BA61" s="75">
        <f>'QTR Raw'!U26+'QTR Raw'!U31+'QTR Raw'!U32+'QTR Raw'!U33+'QTR Raw'!U36+'QTR Raw'!U37+'QTR Raw'!U39</f>
        <v>49.54</v>
      </c>
      <c r="BB61" s="75">
        <f>'QTR Raw'!V26+'QTR Raw'!V31+'QTR Raw'!V32+'QTR Raw'!V33+'QTR Raw'!V36+'QTR Raw'!V37+'QTR Raw'!V39</f>
        <v>-42.5</v>
      </c>
      <c r="BC61" s="75">
        <f>'QTR Raw'!W26+'QTR Raw'!W31+'QTR Raw'!W32+'QTR Raw'!W33+'QTR Raw'!W36+'QTR Raw'!W37+'QTR Raw'!W39</f>
        <v>5.1100000000000003</v>
      </c>
      <c r="BD61" s="75">
        <f>'QTR Raw'!X26+'QTR Raw'!X31+'QTR Raw'!X32+'QTR Raw'!X33+'QTR Raw'!X36+'QTR Raw'!X37+'QTR Raw'!X39</f>
        <v>-12.18</v>
      </c>
      <c r="BE61" s="75">
        <f>'QTR Raw'!Y26+'QTR Raw'!Y31+'QTR Raw'!Y32+'QTR Raw'!Y33+'QTR Raw'!Y36+'QTR Raw'!Y37+'QTR Raw'!Y39</f>
        <v>-12.41</v>
      </c>
      <c r="BF61" s="75">
        <f>'QTR Raw'!Z26+'QTR Raw'!Z31+'QTR Raw'!Z32+'QTR Raw'!Z33+'QTR Raw'!Z36+'QTR Raw'!Z37+'QTR Raw'!Z39</f>
        <v>-1.65</v>
      </c>
      <c r="BG61" s="75">
        <f>'QTR Raw'!AA26+'QTR Raw'!AA31+'QTR Raw'!AA32+'QTR Raw'!AA33+'QTR Raw'!AA36+'QTR Raw'!AA37+'QTR Raw'!AA39</f>
        <v>-18.18</v>
      </c>
      <c r="BH61" s="75">
        <f>'QTR Raw'!AB26+'QTR Raw'!AB31+'QTR Raw'!AB32+'QTR Raw'!AB33+'QTR Raw'!AB36+'QTR Raw'!AB37+'QTR Raw'!AB39</f>
        <v>-6.72</v>
      </c>
      <c r="BI61" s="75">
        <f>'QTR Raw'!AC26+'QTR Raw'!AC31+'QTR Raw'!AC32+'QTR Raw'!AC33+'QTR Raw'!AC36+'QTR Raw'!AC37+'QTR Raw'!AC39</f>
        <v>0</v>
      </c>
      <c r="BJ61" s="75">
        <f>'QTR Raw'!AD26+'QTR Raw'!AD31+'QTR Raw'!AD32+'QTR Raw'!AD33+'QTR Raw'!AD36+'QTR Raw'!AD37+'QTR Raw'!AD39</f>
        <v>-8.39</v>
      </c>
      <c r="BK61" s="75">
        <f>'QTR Raw'!AE26+'QTR Raw'!AE31+'QTR Raw'!AE32+'QTR Raw'!AE33+'QTR Raw'!AE36+'QTR Raw'!AE37+'QTR Raw'!AE39</f>
        <v>-8.06</v>
      </c>
      <c r="BL61" s="75">
        <f>'QTR Raw'!AF26+'QTR Raw'!AF31+'QTR Raw'!AF32+'QTR Raw'!AF33+'QTR Raw'!AF36+'QTR Raw'!AF37+'QTR Raw'!AF39</f>
        <v>-1.5</v>
      </c>
      <c r="BM61" s="75">
        <f>'QTR Raw'!AG26+'QTR Raw'!AG31+'QTR Raw'!AG32+'QTR Raw'!AG33+'QTR Raw'!AG36+'QTR Raw'!AG37+'QTR Raw'!AG39</f>
        <v>-0.84</v>
      </c>
      <c r="BN61" s="75">
        <f>'QTR Raw'!AH26+'QTR Raw'!AH31+'QTR Raw'!AH32+'QTR Raw'!AH33+'QTR Raw'!AH36+'QTR Raw'!AH37+'QTR Raw'!AH39</f>
        <v>-264.39</v>
      </c>
      <c r="BO61" s="75">
        <f>'QTR Raw'!AI26+'QTR Raw'!AI31+'QTR Raw'!AI32+'QTR Raw'!AI33+'QTR Raw'!AI36+'QTR Raw'!AI37+'QTR Raw'!AI39</f>
        <v>63.31</v>
      </c>
      <c r="BP61" s="75">
        <f>'QTR Raw'!AJ26+'QTR Raw'!AJ31+'QTR Raw'!AJ32+'QTR Raw'!AJ33+'QTR Raw'!AJ36+'QTR Raw'!AJ37+'QTR Raw'!AJ39</f>
        <v>-23.9</v>
      </c>
      <c r="BQ61" s="75">
        <f>'QTR Raw'!AK26+'QTR Raw'!AK31+'QTR Raw'!AK32+'QTR Raw'!AK33+'QTR Raw'!AK36+'QTR Raw'!AK37+'QTR Raw'!AK39</f>
        <v>-6.13</v>
      </c>
      <c r="BR61" s="75">
        <f>'QTR Raw'!AL26+'QTR Raw'!AL31+'QTR Raw'!AL32+'QTR Raw'!AL33+'QTR Raw'!AL36+'QTR Raw'!AL37+'QTR Raw'!AL39</f>
        <v>-63.93</v>
      </c>
      <c r="BS61" s="75">
        <f>'QTR Raw'!AM26+'QTR Raw'!AM31+'QTR Raw'!AM32+'QTR Raw'!AM33+'QTR Raw'!AM36+'QTR Raw'!AM37+'QTR Raw'!AM39</f>
        <v>-3.92</v>
      </c>
      <c r="BT61" s="75">
        <f>'QTR Raw'!AN26+'QTR Raw'!AN31+'QTR Raw'!AN32+'QTR Raw'!AN33+'QTR Raw'!AN36+'QTR Raw'!AN37+'QTR Raw'!AN39</f>
        <v>-16.309999999999999</v>
      </c>
      <c r="BU61" s="75">
        <f>'QTR Raw'!AO26+'QTR Raw'!AO31+'QTR Raw'!AO32+'QTR Raw'!AO33+'QTR Raw'!AO36+'QTR Raw'!AO37+'QTR Raw'!AO39</f>
        <v>-13.18</v>
      </c>
      <c r="BV61" s="75">
        <f>'QTR Raw'!AP26+'QTR Raw'!AP31+'QTR Raw'!AP32+'QTR Raw'!AP33+'QTR Raw'!AP36+'QTR Raw'!AP37+'QTR Raw'!AP39</f>
        <v>-18.649999999999999</v>
      </c>
      <c r="BW61" s="75">
        <f>'QTR Raw'!AQ26+'QTR Raw'!AQ31+'QTR Raw'!AQ32+'QTR Raw'!AQ33+'QTR Raw'!AQ36+'QTR Raw'!AQ37+'QTR Raw'!AQ39</f>
        <v>-23.97</v>
      </c>
      <c r="BX61" s="75">
        <f>'QTR Raw'!AR26+'QTR Raw'!AR31+'QTR Raw'!AR32+'QTR Raw'!AR33+'QTR Raw'!AR36+'QTR Raw'!AR37+'QTR Raw'!AR39</f>
        <v>111.22</v>
      </c>
      <c r="BY61" s="75">
        <f>'QTR Raw'!AS26+'QTR Raw'!AS31+'QTR Raw'!AS32+'QTR Raw'!AS33+'QTR Raw'!AS36+'QTR Raw'!AS37+'QTR Raw'!AS39</f>
        <v>78.569999999999993</v>
      </c>
      <c r="BZ61" s="75">
        <f>'QTR Raw'!AT26+'QTR Raw'!AT31+'QTR Raw'!AT32+'QTR Raw'!AT33+'QTR Raw'!AT36+'QTR Raw'!AT37+'QTR Raw'!AT39</f>
        <v>-6.37</v>
      </c>
      <c r="CA61" s="75">
        <f>'QTR Raw'!AU26+'QTR Raw'!AU31+'QTR Raw'!AU32+'QTR Raw'!AU33+'QTR Raw'!AU36+'QTR Raw'!AU37+'QTR Raw'!AU39</f>
        <v>-5.16</v>
      </c>
      <c r="CB61" s="75">
        <f>'QTR Raw'!AV26+'QTR Raw'!AV31+'QTR Raw'!AV32+'QTR Raw'!AV33+'QTR Raw'!AV36+'QTR Raw'!AV37+'QTR Raw'!AV39</f>
        <v>-14.55</v>
      </c>
      <c r="CC61" s="75">
        <f>'QTR Raw'!AW26+'QTR Raw'!AW31+'QTR Raw'!AW32+'QTR Raw'!AW33+'QTR Raw'!AW36+'QTR Raw'!AW37+'QTR Raw'!AW39</f>
        <v>-91.53</v>
      </c>
      <c r="CD61" s="75">
        <f>'QTR Raw'!AX26+'QTR Raw'!AX31+'QTR Raw'!AX32+'QTR Raw'!AX33+'QTR Raw'!AX36+'QTR Raw'!AX37+'QTR Raw'!AX39</f>
        <v>-215.8</v>
      </c>
      <c r="CE61" s="75">
        <f>'QTR Raw'!AY26+'QTR Raw'!AY31+'QTR Raw'!AY32+'QTR Raw'!AY33+'QTR Raw'!AY36+'QTR Raw'!AY37+'QTR Raw'!AY39</f>
        <v>-17.100000000000001</v>
      </c>
      <c r="CF61" s="75">
        <f>'QTR Raw'!AZ26+'QTR Raw'!AZ31+'QTR Raw'!AZ32+'QTR Raw'!AZ33+'QTR Raw'!AZ36+'QTR Raw'!AZ37+'QTR Raw'!AZ39</f>
        <v>-27.17</v>
      </c>
      <c r="CG61" s="75">
        <f>'QTR Raw'!BA26+'QTR Raw'!BA31+'QTR Raw'!BA32+'QTR Raw'!BA33+'QTR Raw'!BA36+'QTR Raw'!BA37+'QTR Raw'!BA39</f>
        <v>-6.16</v>
      </c>
      <c r="CH61" s="75">
        <f>'QTR Raw'!BB26+'QTR Raw'!BB31+'QTR Raw'!BB32+'QTR Raw'!BB33+'QTR Raw'!BB36+'QTR Raw'!BB37+'QTR Raw'!BB39</f>
        <v>45.32</v>
      </c>
      <c r="CI61" s="75">
        <f>'QTR Raw'!BC26+'QTR Raw'!BC31+'QTR Raw'!BC32+'QTR Raw'!BC33+'QTR Raw'!BC36+'QTR Raw'!BC37+'QTR Raw'!BC39</f>
        <v>0</v>
      </c>
      <c r="CJ61" s="75">
        <f>'QTR Raw'!BD26+'QTR Raw'!BD31+'QTR Raw'!BD32+'QTR Raw'!BD33+'QTR Raw'!BD36+'QTR Raw'!BD37+'QTR Raw'!BD39</f>
        <v>0</v>
      </c>
      <c r="CK61" s="75">
        <f>'QTR Raw'!BE26+'QTR Raw'!BE31+'QTR Raw'!BE32+'QTR Raw'!BE33+'QTR Raw'!BE36+'QTR Raw'!BE37+'QTR Raw'!BE39</f>
        <v>-22.86</v>
      </c>
      <c r="CL61" s="75">
        <f>'QTR Raw'!BF26+'QTR Raw'!BF31+'QTR Raw'!BF32+'QTR Raw'!BF33+'QTR Raw'!BF36+'QTR Raw'!BF37+'QTR Raw'!BF39</f>
        <v>2.8</v>
      </c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E61" s="123"/>
      <c r="DF61" s="23">
        <v>-20.059999999999999</v>
      </c>
    </row>
    <row r="62" spans="1:110" s="26" customFormat="1" x14ac:dyDescent="0.2">
      <c r="A62" s="35" t="s">
        <v>25</v>
      </c>
      <c r="B62" s="26">
        <f>B55+B59+B60+B61</f>
        <v>100.20890000000009</v>
      </c>
      <c r="C62" s="26">
        <f>C55+C59+C60+C61</f>
        <v>98.667399999999688</v>
      </c>
      <c r="D62" s="26">
        <f>D55+D59+D60+D61</f>
        <v>83.338299999999151</v>
      </c>
      <c r="E62" s="26">
        <f t="shared" ref="E62:U62" si="746">E55+E59+E60+E61</f>
        <v>205.00299999999996</v>
      </c>
      <c r="F62" s="26">
        <f t="shared" si="746"/>
        <v>215.46650000000028</v>
      </c>
      <c r="G62" s="26">
        <f t="shared" si="746"/>
        <v>299.1472000000004</v>
      </c>
      <c r="H62" s="26">
        <f t="shared" si="746"/>
        <v>443.35230000000035</v>
      </c>
      <c r="I62" s="26">
        <f t="shared" si="746"/>
        <v>1542.5470999999993</v>
      </c>
      <c r="J62" s="26">
        <f t="shared" si="746"/>
        <v>700.54640000000029</v>
      </c>
      <c r="K62" s="26">
        <f t="shared" si="746"/>
        <v>390.30129999999969</v>
      </c>
      <c r="L62" s="26">
        <f t="shared" si="746"/>
        <v>254.32719999999952</v>
      </c>
      <c r="M62" s="26">
        <f t="shared" si="746"/>
        <v>356.14400000000001</v>
      </c>
      <c r="N62" s="26">
        <f t="shared" si="746"/>
        <v>372.75010000000111</v>
      </c>
      <c r="O62" s="26">
        <f t="shared" si="746"/>
        <v>480.51499999999942</v>
      </c>
      <c r="P62" s="26">
        <f t="shared" si="746"/>
        <v>247.81999999999852</v>
      </c>
      <c r="Q62" s="26">
        <f t="shared" si="746"/>
        <v>-5.5199999999995271</v>
      </c>
      <c r="R62" s="26">
        <f t="shared" si="746"/>
        <v>389.43999999999971</v>
      </c>
      <c r="S62" s="26">
        <f t="shared" si="746"/>
        <v>495.56000000000029</v>
      </c>
      <c r="T62" s="26">
        <f t="shared" si="746"/>
        <v>408.18999999999983</v>
      </c>
      <c r="U62" s="26">
        <f t="shared" si="746"/>
        <v>459.75999999999857</v>
      </c>
      <c r="V62" s="26">
        <f>V55+V59+V60+V61</f>
        <v>856.69000000000096</v>
      </c>
      <c r="W62" s="26">
        <f>W55+W59+W60+W61</f>
        <v>935.78000000000065</v>
      </c>
      <c r="X62" s="26">
        <f>X55+X59+X60+X61</f>
        <v>1203.7699999999993</v>
      </c>
      <c r="Y62" s="26">
        <f>Y55+Y59+Y60+Y61</f>
        <v>1150.3300000000008</v>
      </c>
      <c r="Z62" s="26">
        <f>Z55+Z59+Z60+Z61</f>
        <v>1278.4700000000014</v>
      </c>
      <c r="AA62" s="26">
        <f>AA55+AA59+AA60+AA61</f>
        <v>1542.3000000000002</v>
      </c>
      <c r="AB62" s="27">
        <f t="shared" ref="AA62:AD62" si="747">AB55+AB59+AB60+AB61</f>
        <v>2121.1985595119877</v>
      </c>
      <c r="AC62" s="27">
        <f t="shared" si="747"/>
        <v>2550.6616268162002</v>
      </c>
      <c r="AD62" s="27">
        <f t="shared" si="747"/>
        <v>3068.6232472673391</v>
      </c>
      <c r="AE62" s="27">
        <f t="shared" ref="AE62" si="748">AE55+AE59+AE60+AE61</f>
        <v>3667.0946758975697</v>
      </c>
      <c r="AI62" s="26">
        <f t="shared" ref="AI62" si="749">AI55+AI59+AI60+AI61</f>
        <v>77.690000000000197</v>
      </c>
      <c r="AJ62" s="26">
        <f t="shared" ref="AJ62" si="750">AJ55+AJ59+AJ60+AJ61</f>
        <v>119.04000000000015</v>
      </c>
      <c r="AK62" s="26">
        <f t="shared" ref="AK62:AM62" si="751">AK55+AK59+AK60+AK61</f>
        <v>80.259999999999678</v>
      </c>
      <c r="AL62" s="26">
        <f t="shared" si="751"/>
        <v>95.75999999999982</v>
      </c>
      <c r="AM62" s="26">
        <f t="shared" si="751"/>
        <v>111.62999999999988</v>
      </c>
      <c r="AN62" s="26">
        <f t="shared" ref="AN62:AO62" si="752">AN55+AN59+AN60+AN61</f>
        <v>180.03000000000014</v>
      </c>
      <c r="AO62" s="26">
        <f t="shared" si="752"/>
        <v>119.55</v>
      </c>
      <c r="AP62" s="26">
        <f t="shared" ref="AP62:CD62" si="753">AP55+AP59+AP60+AP61</f>
        <v>69.299999999999969</v>
      </c>
      <c r="AQ62" s="26">
        <f t="shared" si="753"/>
        <v>97.229999999999947</v>
      </c>
      <c r="AR62" s="26">
        <f t="shared" si="753"/>
        <v>62.450000000000145</v>
      </c>
      <c r="AS62" s="26">
        <f t="shared" si="753"/>
        <v>84.240000000000251</v>
      </c>
      <c r="AT62" s="26">
        <f t="shared" si="753"/>
        <v>3.8999999999999204</v>
      </c>
      <c r="AU62" s="26">
        <f t="shared" si="753"/>
        <v>72.329999999999643</v>
      </c>
      <c r="AV62" s="26">
        <f t="shared" si="753"/>
        <v>80.44</v>
      </c>
      <c r="AW62" s="26">
        <f t="shared" si="753"/>
        <v>57.779999999999866</v>
      </c>
      <c r="AX62" s="26">
        <f t="shared" si="753"/>
        <v>-216.07000000000016</v>
      </c>
      <c r="AY62" s="26">
        <f t="shared" si="753"/>
        <v>103.65000000000003</v>
      </c>
      <c r="AZ62" s="26">
        <f t="shared" si="753"/>
        <v>126.75000000000001</v>
      </c>
      <c r="BA62" s="26">
        <f t="shared" si="753"/>
        <v>127.62999999999994</v>
      </c>
      <c r="BB62" s="26">
        <f t="shared" si="753"/>
        <v>31.410000000000025</v>
      </c>
      <c r="BC62" s="26">
        <f t="shared" si="753"/>
        <v>124.44000000000018</v>
      </c>
      <c r="BD62" s="26">
        <f t="shared" si="753"/>
        <v>143.80000000000013</v>
      </c>
      <c r="BE62" s="26">
        <f t="shared" si="753"/>
        <v>167.87000000000015</v>
      </c>
      <c r="BF62" s="26">
        <f t="shared" si="753"/>
        <v>59.450000000000266</v>
      </c>
      <c r="BG62" s="26">
        <f t="shared" si="753"/>
        <v>116.24000000000007</v>
      </c>
      <c r="BH62" s="26">
        <f t="shared" si="753"/>
        <v>169.72999999999973</v>
      </c>
      <c r="BI62" s="26">
        <f t="shared" si="753"/>
        <v>99.319999999999908</v>
      </c>
      <c r="BJ62" s="26">
        <f t="shared" si="753"/>
        <v>22.899999999999991</v>
      </c>
      <c r="BK62" s="26">
        <f t="shared" si="753"/>
        <v>173.74000000000009</v>
      </c>
      <c r="BL62" s="26">
        <f t="shared" si="753"/>
        <v>193.1600000000002</v>
      </c>
      <c r="BM62" s="26">
        <f t="shared" si="753"/>
        <v>169.35000000000011</v>
      </c>
      <c r="BN62" s="26">
        <f t="shared" si="753"/>
        <v>-76.489999999999839</v>
      </c>
      <c r="BO62" s="26">
        <f t="shared" si="753"/>
        <v>327.55999999999995</v>
      </c>
      <c r="BP62" s="26">
        <f t="shared" si="753"/>
        <v>257.06000000000029</v>
      </c>
      <c r="BQ62" s="26">
        <f t="shared" si="753"/>
        <v>218.16999999999996</v>
      </c>
      <c r="BR62" s="26">
        <f t="shared" si="753"/>
        <v>53.899999999999814</v>
      </c>
      <c r="BS62" s="26">
        <f t="shared" si="753"/>
        <v>185.14999999999966</v>
      </c>
      <c r="BT62" s="26">
        <f t="shared" si="753"/>
        <v>268.03999999999996</v>
      </c>
      <c r="BU62" s="26">
        <f t="shared" si="753"/>
        <v>265.05000000000018</v>
      </c>
      <c r="BV62" s="26">
        <f t="shared" si="753"/>
        <v>217.53999999999965</v>
      </c>
      <c r="BW62" s="26">
        <f t="shared" si="753"/>
        <v>255.45999999999967</v>
      </c>
      <c r="BX62" s="26">
        <f t="shared" si="753"/>
        <v>327.96000000000038</v>
      </c>
      <c r="BY62" s="26">
        <f t="shared" si="753"/>
        <v>351.76000000000022</v>
      </c>
      <c r="BZ62" s="26">
        <f t="shared" si="753"/>
        <v>268.5899999999998</v>
      </c>
      <c r="CA62" s="26">
        <f t="shared" si="753"/>
        <v>316.59000000000009</v>
      </c>
      <c r="CB62" s="26">
        <f t="shared" si="753"/>
        <v>338.24000000000035</v>
      </c>
      <c r="CC62" s="26">
        <f t="shared" si="753"/>
        <v>278.87000000000023</v>
      </c>
      <c r="CD62" s="26">
        <f t="shared" si="753"/>
        <v>216.63</v>
      </c>
      <c r="CE62" s="26">
        <f t="shared" ref="CE62:CF62" si="754">CE55+CE59+CE60+CE61</f>
        <v>290.31999999999982</v>
      </c>
      <c r="CF62" s="26">
        <f t="shared" si="754"/>
        <v>364.41999999999967</v>
      </c>
      <c r="CG62" s="26">
        <f t="shared" ref="CG62:CH62" si="755">CG55+CG59+CG60+CG61</f>
        <v>278.88000000000022</v>
      </c>
      <c r="CH62" s="26">
        <f t="shared" si="755"/>
        <v>344.85000000000019</v>
      </c>
      <c r="CI62" s="26">
        <f t="shared" ref="CI62:CJ62" si="756">CI55+CI59+CI60+CI61</f>
        <v>334.15000000000003</v>
      </c>
      <c r="CJ62" s="26">
        <f t="shared" si="756"/>
        <v>404.45999999999924</v>
      </c>
      <c r="CK62" s="26">
        <f t="shared" ref="CK62:CL62" si="757">CK55+CK59+CK60+CK61</f>
        <v>384.60999999999984</v>
      </c>
      <c r="CL62" s="26">
        <f t="shared" si="757"/>
        <v>419.07999999999959</v>
      </c>
      <c r="CM62" s="27">
        <f t="shared" ref="CM62:DB62" si="758">CM55+CM59+CM60+CM61</f>
        <v>461.8939446493211</v>
      </c>
      <c r="CN62" s="27">
        <f t="shared" si="758"/>
        <v>514.40588879093696</v>
      </c>
      <c r="CO62" s="27">
        <f t="shared" si="758"/>
        <v>545.0542104860217</v>
      </c>
      <c r="CP62" s="27">
        <f t="shared" si="758"/>
        <v>599.84451558571095</v>
      </c>
      <c r="CQ62" s="27">
        <f t="shared" si="758"/>
        <v>579.8657127716159</v>
      </c>
      <c r="CR62" s="27">
        <f t="shared" si="758"/>
        <v>625.82826070218312</v>
      </c>
      <c r="CS62" s="27">
        <f t="shared" si="758"/>
        <v>646.59975898282391</v>
      </c>
      <c r="CT62" s="27">
        <f t="shared" si="758"/>
        <v>698.36789435957598</v>
      </c>
      <c r="CU62" s="27">
        <f t="shared" si="758"/>
        <v>704.26501607045134</v>
      </c>
      <c r="CV62" s="27">
        <f t="shared" si="758"/>
        <v>753.24686645145516</v>
      </c>
      <c r="CW62" s="27">
        <f t="shared" si="758"/>
        <v>774.05385048519611</v>
      </c>
      <c r="CX62" s="27">
        <f t="shared" si="758"/>
        <v>837.05751426023835</v>
      </c>
      <c r="CY62" s="27">
        <f t="shared" si="758"/>
        <v>844.18292596426409</v>
      </c>
      <c r="CZ62" s="27">
        <f t="shared" si="758"/>
        <v>900.57685535723181</v>
      </c>
      <c r="DA62" s="27">
        <f t="shared" si="758"/>
        <v>923.14228549241375</v>
      </c>
      <c r="DB62" s="27">
        <f t="shared" si="758"/>
        <v>999.19260908366073</v>
      </c>
      <c r="DE62" s="121"/>
      <c r="DF62" s="26">
        <v>484.65666425908785</v>
      </c>
    </row>
    <row r="63" spans="1:110" s="25" customFormat="1" x14ac:dyDescent="0.2">
      <c r="A63" s="151" t="s">
        <v>486</v>
      </c>
      <c r="AB63" s="17"/>
      <c r="AC63" s="17"/>
      <c r="AD63" s="17"/>
      <c r="AE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E63" s="119"/>
    </row>
    <row r="64" spans="1:110" s="1" customFormat="1" x14ac:dyDescent="0.2">
      <c r="AB64" s="20"/>
      <c r="AC64" s="20"/>
      <c r="AD64" s="20"/>
      <c r="AE64" s="20"/>
      <c r="BV64" s="183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E64" s="119"/>
    </row>
    <row r="65" spans="1:110" s="22" customFormat="1" x14ac:dyDescent="0.2">
      <c r="A65" s="22" t="s">
        <v>434</v>
      </c>
      <c r="B65" s="22">
        <f>'Annual Raw'!C35</f>
        <v>100.2089</v>
      </c>
      <c r="C65" s="22">
        <f>'Annual Raw'!D35</f>
        <v>98.667400000000001</v>
      </c>
      <c r="D65" s="22">
        <f>'Annual Raw'!E35</f>
        <v>83.338300000000004</v>
      </c>
      <c r="E65" s="22">
        <f>'Annual Raw'!F35</f>
        <v>205.00299999999999</v>
      </c>
      <c r="F65" s="22">
        <f>'Annual Raw'!G35</f>
        <v>215.4665</v>
      </c>
      <c r="G65" s="22">
        <f>'Annual Raw'!H35</f>
        <v>299.1472</v>
      </c>
      <c r="H65" s="22">
        <f>'Annual Raw'!I35</f>
        <v>443.35230000000001</v>
      </c>
      <c r="I65" s="22">
        <f>'Annual Raw'!J35</f>
        <v>1542.5471</v>
      </c>
      <c r="J65" s="22">
        <f>'Annual Raw'!K35</f>
        <v>700.54639999999995</v>
      </c>
      <c r="K65" s="22">
        <f>'Annual Raw'!L35</f>
        <v>390.30130000000003</v>
      </c>
      <c r="L65" s="22">
        <f>'Annual Raw'!M35</f>
        <v>254.3272</v>
      </c>
      <c r="M65" s="22">
        <f>'Annual Raw'!N35</f>
        <v>356.14400000000001</v>
      </c>
      <c r="N65" s="22">
        <f>'Annual Raw'!O35</f>
        <v>372.75009999999997</v>
      </c>
      <c r="O65" s="22">
        <f>'Annual Raw'!P35</f>
        <v>480.51499999999999</v>
      </c>
      <c r="P65" s="22">
        <f>'Annual Raw'!Q35</f>
        <v>247.82</v>
      </c>
      <c r="Q65" s="22">
        <f>'Annual Raw'!R35</f>
        <v>-5.52</v>
      </c>
      <c r="R65" s="22">
        <f>'Annual Raw'!S35</f>
        <v>389.44</v>
      </c>
      <c r="S65" s="22">
        <f>'Annual Raw'!T35</f>
        <v>495.56</v>
      </c>
      <c r="T65" s="22">
        <f>'Annual Raw'!U35</f>
        <v>408.19</v>
      </c>
      <c r="U65" s="22">
        <f>'Annual Raw'!V35</f>
        <v>459.76</v>
      </c>
      <c r="V65" s="22">
        <f>'Annual Raw'!W35</f>
        <v>856.69</v>
      </c>
      <c r="W65" s="22">
        <f>'Annual Raw'!X35</f>
        <v>935.78</v>
      </c>
      <c r="X65" s="22">
        <f>'Annual Raw'!Y35</f>
        <v>1203.77</v>
      </c>
      <c r="Y65" s="22">
        <f>'Annual Raw'!Z35</f>
        <v>1150.33</v>
      </c>
      <c r="Z65" s="22">
        <f>'Annual Raw'!AA35</f>
        <v>1278.47</v>
      </c>
      <c r="AA65" s="22">
        <f>'Annual Raw'!AB35</f>
        <v>1542.3</v>
      </c>
      <c r="AB65" s="21">
        <f t="shared" ref="AA65:AD65" si="759">+AB62</f>
        <v>2121.1985595119877</v>
      </c>
      <c r="AC65" s="21">
        <f t="shared" si="759"/>
        <v>2550.6616268162002</v>
      </c>
      <c r="AD65" s="21">
        <f t="shared" si="759"/>
        <v>3068.6232472673391</v>
      </c>
      <c r="AE65" s="21">
        <f t="shared" ref="AE65" si="760">+AE62</f>
        <v>3667.0946758975697</v>
      </c>
      <c r="AI65" s="22">
        <f>'QTR Raw'!C42</f>
        <v>77.69</v>
      </c>
      <c r="AJ65" s="22">
        <f>'QTR Raw'!D42</f>
        <v>119.04</v>
      </c>
      <c r="AK65" s="22">
        <f>'QTR Raw'!E42</f>
        <v>80.260000000000005</v>
      </c>
      <c r="AL65" s="22">
        <f>'QTR Raw'!F42</f>
        <v>95.76</v>
      </c>
      <c r="AM65" s="22">
        <f>'QTR Raw'!G42</f>
        <v>111.63</v>
      </c>
      <c r="AN65" s="22">
        <f>'QTR Raw'!H42</f>
        <v>180.03</v>
      </c>
      <c r="AO65" s="22">
        <f>'QTR Raw'!I42</f>
        <v>119.55</v>
      </c>
      <c r="AP65" s="22">
        <f>'QTR Raw'!J42</f>
        <v>69.3</v>
      </c>
      <c r="AQ65" s="22">
        <f>'QTR Raw'!K42</f>
        <v>97.23</v>
      </c>
      <c r="AR65" s="22">
        <f>'QTR Raw'!L42</f>
        <v>62.45</v>
      </c>
      <c r="AS65" s="22">
        <f>'QTR Raw'!M42</f>
        <v>84.24</v>
      </c>
      <c r="AT65" s="22">
        <f>'QTR Raw'!N42</f>
        <v>3.9</v>
      </c>
      <c r="AU65" s="22">
        <f>'QTR Raw'!O42</f>
        <v>72.33</v>
      </c>
      <c r="AV65" s="22">
        <f>'QTR Raw'!P42</f>
        <v>80.44</v>
      </c>
      <c r="AW65" s="22">
        <f>'QTR Raw'!Q42</f>
        <v>57.78</v>
      </c>
      <c r="AX65" s="22">
        <f>'QTR Raw'!R42</f>
        <v>-216.07</v>
      </c>
      <c r="AY65" s="22">
        <f>'QTR Raw'!S42</f>
        <v>103.65</v>
      </c>
      <c r="AZ65" s="22">
        <f>'QTR Raw'!T42</f>
        <v>126.75</v>
      </c>
      <c r="BA65" s="22">
        <f>'QTR Raw'!U42</f>
        <v>127.63</v>
      </c>
      <c r="BB65" s="22">
        <f>'QTR Raw'!V42</f>
        <v>31.41</v>
      </c>
      <c r="BC65" s="22">
        <f>'QTR Raw'!W42</f>
        <v>124.44</v>
      </c>
      <c r="BD65" s="22">
        <f>'QTR Raw'!X42</f>
        <v>143.80000000000001</v>
      </c>
      <c r="BE65" s="22">
        <f>'QTR Raw'!Y42</f>
        <v>167.87</v>
      </c>
      <c r="BF65" s="22">
        <f>'QTR Raw'!Z42</f>
        <v>59.45</v>
      </c>
      <c r="BG65" s="22">
        <f>'QTR Raw'!AA42</f>
        <v>116.24</v>
      </c>
      <c r="BH65" s="22">
        <f>'QTR Raw'!AB42</f>
        <v>169.73</v>
      </c>
      <c r="BI65" s="22">
        <f>'QTR Raw'!AC42</f>
        <v>99.32</v>
      </c>
      <c r="BJ65" s="22">
        <f>'QTR Raw'!AD42</f>
        <v>22.9</v>
      </c>
      <c r="BK65" s="22">
        <f>'QTR Raw'!AE42</f>
        <v>173.74</v>
      </c>
      <c r="BL65" s="22">
        <f>'QTR Raw'!AF42</f>
        <v>193.16</v>
      </c>
      <c r="BM65" s="22">
        <f>'QTR Raw'!AG42</f>
        <v>169.35</v>
      </c>
      <c r="BN65" s="22">
        <f>'QTR Raw'!AH42</f>
        <v>-76.489999999999995</v>
      </c>
      <c r="BO65" s="22">
        <f>'QTR Raw'!AI42</f>
        <v>327.56</v>
      </c>
      <c r="BP65" s="22">
        <f>'QTR Raw'!AJ42</f>
        <v>257.06</v>
      </c>
      <c r="BQ65" s="22">
        <f>'QTR Raw'!AK42</f>
        <v>218.17</v>
      </c>
      <c r="BR65" s="22">
        <f>'QTR Raw'!AL42</f>
        <v>53.9</v>
      </c>
      <c r="BS65" s="22">
        <f>'QTR Raw'!AM42</f>
        <v>185.15</v>
      </c>
      <c r="BT65" s="22">
        <f>'QTR Raw'!AN42</f>
        <v>268.04000000000002</v>
      </c>
      <c r="BU65" s="22">
        <f>'QTR Raw'!AO42</f>
        <v>265.05</v>
      </c>
      <c r="BV65" s="22">
        <f>'QTR Raw'!AP42</f>
        <v>217.54</v>
      </c>
      <c r="BW65" s="22">
        <f>'QTR Raw'!AQ42</f>
        <v>255.46</v>
      </c>
      <c r="BX65" s="22">
        <f>'QTR Raw'!AR42</f>
        <v>327.96</v>
      </c>
      <c r="BY65" s="22">
        <f>'QTR Raw'!AS42</f>
        <v>351.76</v>
      </c>
      <c r="BZ65" s="22">
        <f>'QTR Raw'!AT42</f>
        <v>268.58999999999997</v>
      </c>
      <c r="CA65" s="22">
        <f>'QTR Raw'!AU42</f>
        <v>316.58999999999997</v>
      </c>
      <c r="CB65" s="22">
        <f>'QTR Raw'!AV42</f>
        <v>338.24</v>
      </c>
      <c r="CC65" s="22">
        <f>'QTR Raw'!AW42</f>
        <v>278.87</v>
      </c>
      <c r="CD65" s="22">
        <f>'QTR Raw'!AX42</f>
        <v>216.63</v>
      </c>
      <c r="CE65" s="22">
        <f>'QTR Raw'!AY42</f>
        <v>290.32</v>
      </c>
      <c r="CF65" s="22">
        <f>'QTR Raw'!AZ42</f>
        <v>364.42</v>
      </c>
      <c r="CG65" s="22">
        <f>'QTR Raw'!BA42</f>
        <v>278.88</v>
      </c>
      <c r="CH65" s="22">
        <f>'QTR Raw'!BB42</f>
        <v>344.85</v>
      </c>
      <c r="CI65" s="22">
        <f>'QTR Raw'!BC42</f>
        <v>334.15</v>
      </c>
      <c r="CJ65" s="22">
        <f>'QTR Raw'!BD42</f>
        <v>404.46</v>
      </c>
      <c r="CK65" s="22">
        <f>'QTR Raw'!BE42</f>
        <v>384.61</v>
      </c>
      <c r="CL65" s="22">
        <f>'QTR Raw'!BF42</f>
        <v>419.08</v>
      </c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E65" s="119"/>
      <c r="DF65" s="22">
        <v>1542.3000000000006</v>
      </c>
    </row>
    <row r="66" spans="1:110" s="25" customFormat="1" x14ac:dyDescent="0.2">
      <c r="A66" s="36" t="s">
        <v>435</v>
      </c>
      <c r="B66" s="25">
        <f t="shared" ref="B66:V66" si="761">B65-B62</f>
        <v>0</v>
      </c>
      <c r="C66" s="25">
        <f>C65-C62</f>
        <v>3.1263880373444408E-13</v>
      </c>
      <c r="D66" s="25">
        <f t="shared" si="761"/>
        <v>8.5265128291212022E-13</v>
      </c>
      <c r="E66" s="25">
        <f t="shared" si="761"/>
        <v>0</v>
      </c>
      <c r="F66" s="25">
        <f t="shared" si="761"/>
        <v>-2.8421709430404007E-13</v>
      </c>
      <c r="G66" s="25">
        <f t="shared" si="761"/>
        <v>0</v>
      </c>
      <c r="H66" s="25">
        <f t="shared" si="761"/>
        <v>0</v>
      </c>
      <c r="I66" s="25">
        <f t="shared" si="761"/>
        <v>0</v>
      </c>
      <c r="J66" s="25">
        <f t="shared" si="761"/>
        <v>0</v>
      </c>
      <c r="K66" s="25">
        <f t="shared" si="761"/>
        <v>0</v>
      </c>
      <c r="L66" s="25">
        <f t="shared" si="761"/>
        <v>4.8316906031686813E-13</v>
      </c>
      <c r="M66" s="25">
        <f t="shared" si="761"/>
        <v>0</v>
      </c>
      <c r="N66" s="25">
        <f t="shared" si="761"/>
        <v>-1.1368683772161603E-12</v>
      </c>
      <c r="O66" s="25">
        <f t="shared" si="761"/>
        <v>5.6843418860808015E-13</v>
      </c>
      <c r="P66" s="25">
        <f t="shared" si="761"/>
        <v>1.4779288903810084E-12</v>
      </c>
      <c r="Q66" s="25">
        <f t="shared" si="761"/>
        <v>-4.7251091928046662E-13</v>
      </c>
      <c r="R66" s="25">
        <f t="shared" si="761"/>
        <v>0</v>
      </c>
      <c r="S66" s="25">
        <f t="shared" si="761"/>
        <v>0</v>
      </c>
      <c r="T66" s="25">
        <f t="shared" si="761"/>
        <v>0</v>
      </c>
      <c r="U66" s="25">
        <f t="shared" si="761"/>
        <v>1.4210854715202004E-12</v>
      </c>
      <c r="V66" s="25">
        <f t="shared" si="761"/>
        <v>-9.0949470177292824E-13</v>
      </c>
      <c r="W66" s="25">
        <f t="shared" ref="W66" si="762">W65-W62</f>
        <v>0</v>
      </c>
      <c r="X66" s="25">
        <f t="shared" ref="X66:Y66" si="763">X65-X62</f>
        <v>0</v>
      </c>
      <c r="Y66" s="25">
        <f t="shared" si="763"/>
        <v>0</v>
      </c>
      <c r="Z66" s="25">
        <f t="shared" ref="Z66:AA66" si="764">Z65-Z62</f>
        <v>0</v>
      </c>
      <c r="AA66" s="25">
        <f t="shared" si="764"/>
        <v>0</v>
      </c>
      <c r="AB66" s="17">
        <f t="shared" ref="AA66:AD66" si="765">AB65-AB62</f>
        <v>0</v>
      </c>
      <c r="AC66" s="17">
        <f t="shared" si="765"/>
        <v>0</v>
      </c>
      <c r="AD66" s="17">
        <f t="shared" si="765"/>
        <v>0</v>
      </c>
      <c r="AE66" s="17">
        <f t="shared" ref="AE66" si="766">AE65-AE62</f>
        <v>0</v>
      </c>
      <c r="AI66" s="25">
        <f t="shared" ref="AI66" si="767">AI65-AI62</f>
        <v>-1.9895196601282805E-13</v>
      </c>
      <c r="AJ66" s="25">
        <f t="shared" ref="AJ66" si="768">AJ65-AJ62</f>
        <v>-1.4210854715202004E-13</v>
      </c>
      <c r="AK66" s="25">
        <f t="shared" ref="AK66:AM66" si="769">AK65-AK62</f>
        <v>3.2684965844964609E-13</v>
      </c>
      <c r="AL66" s="25">
        <f t="shared" si="769"/>
        <v>1.8474111129762605E-13</v>
      </c>
      <c r="AM66" s="25">
        <f t="shared" si="769"/>
        <v>1.1368683772161603E-13</v>
      </c>
      <c r="AN66" s="25">
        <f t="shared" ref="AN66:AO66" si="770">AN65-AN62</f>
        <v>0</v>
      </c>
      <c r="AO66" s="25">
        <f t="shared" si="770"/>
        <v>0</v>
      </c>
      <c r="AP66" s="25">
        <f t="shared" ref="AP66:CD66" si="771">AP65-AP62</f>
        <v>0</v>
      </c>
      <c r="AQ66" s="25">
        <f t="shared" si="771"/>
        <v>0</v>
      </c>
      <c r="AR66" s="25">
        <f t="shared" si="771"/>
        <v>-1.4210854715202004E-13</v>
      </c>
      <c r="AS66" s="25">
        <f t="shared" si="771"/>
        <v>-2.5579538487363607E-13</v>
      </c>
      <c r="AT66" s="25">
        <f t="shared" si="771"/>
        <v>7.9491968563161208E-14</v>
      </c>
      <c r="AU66" s="25">
        <f t="shared" si="771"/>
        <v>3.5527136788005009E-13</v>
      </c>
      <c r="AV66" s="25">
        <f t="shared" si="771"/>
        <v>0</v>
      </c>
      <c r="AW66" s="25">
        <f t="shared" si="771"/>
        <v>1.3500311979441904E-13</v>
      </c>
      <c r="AX66" s="25">
        <f t="shared" si="771"/>
        <v>0</v>
      </c>
      <c r="AY66" s="25">
        <f t="shared" si="771"/>
        <v>0</v>
      </c>
      <c r="AZ66" s="25">
        <f t="shared" si="771"/>
        <v>0</v>
      </c>
      <c r="BA66" s="25">
        <f t="shared" si="771"/>
        <v>0</v>
      </c>
      <c r="BB66" s="25">
        <f t="shared" si="771"/>
        <v>0</v>
      </c>
      <c r="BC66" s="25">
        <f t="shared" si="771"/>
        <v>-1.8474111129762605E-13</v>
      </c>
      <c r="BD66" s="25">
        <f t="shared" si="771"/>
        <v>0</v>
      </c>
      <c r="BE66" s="25">
        <f t="shared" si="771"/>
        <v>0</v>
      </c>
      <c r="BF66" s="25">
        <f t="shared" si="771"/>
        <v>-2.6290081223123707E-13</v>
      </c>
      <c r="BG66" s="25">
        <f t="shared" si="771"/>
        <v>0</v>
      </c>
      <c r="BH66" s="25">
        <f t="shared" si="771"/>
        <v>2.5579538487363607E-13</v>
      </c>
      <c r="BI66" s="25">
        <f t="shared" si="771"/>
        <v>0</v>
      </c>
      <c r="BJ66" s="25">
        <f t="shared" si="771"/>
        <v>0</v>
      </c>
      <c r="BK66" s="25">
        <f t="shared" si="771"/>
        <v>0</v>
      </c>
      <c r="BL66" s="25">
        <f t="shared" si="771"/>
        <v>0</v>
      </c>
      <c r="BM66" s="25">
        <f t="shared" si="771"/>
        <v>0</v>
      </c>
      <c r="BN66" s="25">
        <f t="shared" si="771"/>
        <v>-1.5631940186722204E-13</v>
      </c>
      <c r="BO66" s="25">
        <f t="shared" si="771"/>
        <v>0</v>
      </c>
      <c r="BP66" s="25">
        <f t="shared" si="771"/>
        <v>0</v>
      </c>
      <c r="BQ66" s="25">
        <f t="shared" si="771"/>
        <v>0</v>
      </c>
      <c r="BR66" s="25">
        <f t="shared" si="771"/>
        <v>1.8474111129762605E-13</v>
      </c>
      <c r="BS66" s="25">
        <f t="shared" si="771"/>
        <v>3.4106051316484809E-13</v>
      </c>
      <c r="BT66" s="25">
        <f t="shared" si="771"/>
        <v>0</v>
      </c>
      <c r="BU66" s="25">
        <f t="shared" si="771"/>
        <v>0</v>
      </c>
      <c r="BV66" s="25">
        <f t="shared" si="771"/>
        <v>3.4106051316484809E-13</v>
      </c>
      <c r="BW66" s="25">
        <f t="shared" si="771"/>
        <v>3.4106051316484809E-13</v>
      </c>
      <c r="BX66" s="25">
        <f t="shared" si="771"/>
        <v>0</v>
      </c>
      <c r="BY66" s="25">
        <f t="shared" si="771"/>
        <v>0</v>
      </c>
      <c r="BZ66" s="25">
        <f t="shared" si="771"/>
        <v>0</v>
      </c>
      <c r="CA66" s="25">
        <f t="shared" si="771"/>
        <v>0</v>
      </c>
      <c r="CB66" s="25">
        <f t="shared" si="771"/>
        <v>0</v>
      </c>
      <c r="CC66" s="25">
        <f t="shared" si="771"/>
        <v>0</v>
      </c>
      <c r="CD66" s="25">
        <f t="shared" si="771"/>
        <v>0</v>
      </c>
      <c r="CE66" s="25">
        <f t="shared" ref="CE66:CF66" si="772">CE65-CE62</f>
        <v>0</v>
      </c>
      <c r="CF66" s="25">
        <f t="shared" si="772"/>
        <v>0</v>
      </c>
      <c r="CG66" s="25">
        <f t="shared" ref="CG66:CH66" si="773">CG65-CG62</f>
        <v>0</v>
      </c>
      <c r="CH66" s="25">
        <f t="shared" si="773"/>
        <v>0</v>
      </c>
      <c r="CI66" s="25">
        <f t="shared" ref="CI66:CJ66" si="774">CI65-CI62</f>
        <v>0</v>
      </c>
      <c r="CJ66" s="25">
        <f t="shared" si="774"/>
        <v>7.3896444519050419E-13</v>
      </c>
      <c r="CK66" s="25">
        <f t="shared" ref="CK66:CL66" si="775">CK65-CK62</f>
        <v>0</v>
      </c>
      <c r="CL66" s="25">
        <f t="shared" si="775"/>
        <v>0</v>
      </c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E66" s="119"/>
      <c r="DF66" s="25">
        <v>0</v>
      </c>
    </row>
    <row r="67" spans="1:110" s="1" customFormat="1" x14ac:dyDescent="0.2">
      <c r="A67" s="150" t="s">
        <v>487</v>
      </c>
      <c r="AB67" s="20"/>
      <c r="AC67" s="20"/>
      <c r="AD67" s="20"/>
      <c r="AE67" s="20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E67" s="119"/>
    </row>
    <row r="68" spans="1:110" s="38" customFormat="1" x14ac:dyDescent="0.2">
      <c r="A68" s="38" t="s">
        <v>350</v>
      </c>
      <c r="B68" s="39">
        <f t="shared" ref="B68:AE68" si="776">(B62-B61)/B134</f>
        <v>0.11171766258799641</v>
      </c>
      <c r="C68" s="39">
        <f t="shared" si="776"/>
        <v>9.1329021771627633E-2</v>
      </c>
      <c r="D68" s="39">
        <f t="shared" si="776"/>
        <v>7.0432168567376038E-2</v>
      </c>
      <c r="E68" s="39">
        <f t="shared" si="776"/>
        <v>0.15060372179745357</v>
      </c>
      <c r="F68" s="39">
        <f t="shared" si="776"/>
        <v>0.17005500243223282</v>
      </c>
      <c r="G68" s="39">
        <f t="shared" si="776"/>
        <v>0.18598756147657869</v>
      </c>
      <c r="H68" s="39">
        <f t="shared" si="776"/>
        <v>0.14325177475739312</v>
      </c>
      <c r="I68" s="39">
        <f t="shared" si="776"/>
        <v>-6.9291599372204695E-3</v>
      </c>
      <c r="J68" s="39">
        <f t="shared" si="776"/>
        <v>-8.1664416575112902E-3</v>
      </c>
      <c r="K68" s="39">
        <f t="shared" si="776"/>
        <v>0.10049604158876614</v>
      </c>
      <c r="L68" s="39">
        <f t="shared" si="776"/>
        <v>6.1867154023982948E-2</v>
      </c>
      <c r="M68" s="39">
        <f t="shared" si="776"/>
        <v>7.3067705183175541E-2</v>
      </c>
      <c r="N68" s="39">
        <f t="shared" si="776"/>
        <v>8.3348419585811712E-2</v>
      </c>
      <c r="O68" s="39">
        <f t="shared" si="776"/>
        <v>6.6979510097964684E-2</v>
      </c>
      <c r="P68" s="39">
        <f t="shared" si="776"/>
        <v>6.8782895395600147E-2</v>
      </c>
      <c r="Q68" s="39">
        <f t="shared" si="776"/>
        <v>5.2401327321011028E-2</v>
      </c>
      <c r="R68" s="39">
        <f t="shared" si="776"/>
        <v>6.1310350331178633E-2</v>
      </c>
      <c r="S68" s="39">
        <f t="shared" si="776"/>
        <v>7.3481142272029176E-2</v>
      </c>
      <c r="T68" s="39">
        <f t="shared" si="776"/>
        <v>6.0215311885799844E-2</v>
      </c>
      <c r="U68" s="39">
        <f t="shared" si="776"/>
        <v>5.3171005714136702E-2</v>
      </c>
      <c r="V68" s="39">
        <f t="shared" si="776"/>
        <v>6.1050561732043318E-2</v>
      </c>
      <c r="W68" s="39">
        <f t="shared" si="776"/>
        <v>6.5238668228773888E-2</v>
      </c>
      <c r="X68" s="39">
        <f t="shared" si="776"/>
        <v>6.4160386220556809E-2</v>
      </c>
      <c r="Y68" s="39">
        <f t="shared" si="776"/>
        <v>9.2009050376818835E-2</v>
      </c>
      <c r="Z68" s="39">
        <f t="shared" si="776"/>
        <v>6.4175534521135918E-2</v>
      </c>
      <c r="AA68" s="39">
        <f t="shared" ref="AA68" si="777">(AA62-AA61)/AA134</f>
        <v>7.1708908719804398E-2</v>
      </c>
      <c r="AB68" s="40">
        <f t="shared" si="776"/>
        <v>8.872067597538881E-2</v>
      </c>
      <c r="AC68" s="40">
        <f t="shared" si="776"/>
        <v>9.6399108552930685E-2</v>
      </c>
      <c r="AD68" s="40">
        <f t="shared" si="776"/>
        <v>0.10392244145269892</v>
      </c>
      <c r="AE68" s="40">
        <f t="shared" si="776"/>
        <v>0.11047093637417187</v>
      </c>
      <c r="AF68" s="39"/>
      <c r="AG68" s="39"/>
      <c r="AH68" s="39"/>
      <c r="AI68" s="39"/>
      <c r="AJ68" s="39"/>
      <c r="AK68" s="39"/>
      <c r="AL68" s="39">
        <f t="shared" ref="AL68:BQ68" si="778">(SUM(AI62:AL62)-SUM(AI61:AL61))/AL134</f>
        <v>8.3349271951635273E-2</v>
      </c>
      <c r="AM68" s="39">
        <f t="shared" si="778"/>
        <v>8.2866866460100483E-2</v>
      </c>
      <c r="AN68" s="39">
        <f t="shared" si="778"/>
        <v>6.1423686664594267E-2</v>
      </c>
      <c r="AO68" s="39">
        <f t="shared" si="778"/>
        <v>6.6873661670235535E-2</v>
      </c>
      <c r="AP68" s="39">
        <f t="shared" si="778"/>
        <v>6.6978978773605063E-2</v>
      </c>
      <c r="AQ68" s="39">
        <f t="shared" si="778"/>
        <v>6.755206791701425E-2</v>
      </c>
      <c r="AR68" s="39">
        <f t="shared" si="778"/>
        <v>6.662257510244643E-2</v>
      </c>
      <c r="AS68" s="39">
        <f t="shared" si="778"/>
        <v>5.7753006381493388E-2</v>
      </c>
      <c r="AT68" s="39">
        <f t="shared" si="778"/>
        <v>6.8782895395600466E-2</v>
      </c>
      <c r="AU68" s="39">
        <f t="shared" si="778"/>
        <v>6.3430797538956918E-2</v>
      </c>
      <c r="AV68" s="39">
        <f t="shared" si="778"/>
        <v>5.988469406732376E-2</v>
      </c>
      <c r="AW68" s="39">
        <f t="shared" si="778"/>
        <v>5.6615377337291314E-2</v>
      </c>
      <c r="AX68" s="39">
        <f t="shared" si="778"/>
        <v>5.2401327321010847E-2</v>
      </c>
      <c r="AY68" s="39">
        <f t="shared" si="778"/>
        <v>5.6313987800000583E-2</v>
      </c>
      <c r="AZ68" s="39">
        <f t="shared" si="778"/>
        <v>6.57975634561275E-2</v>
      </c>
      <c r="BA68" s="39">
        <f t="shared" si="778"/>
        <v>6.6014251536059831E-2</v>
      </c>
      <c r="BB68" s="39">
        <f t="shared" si="778"/>
        <v>6.1310350331178674E-2</v>
      </c>
      <c r="BC68" s="39">
        <f t="shared" si="778"/>
        <v>6.2297924550152289E-2</v>
      </c>
      <c r="BD68" s="39">
        <f t="shared" si="778"/>
        <v>6.4247384983634109E-2</v>
      </c>
      <c r="BE68" s="39">
        <f t="shared" si="778"/>
        <v>7.7652048430240816E-2</v>
      </c>
      <c r="BF68" s="39">
        <f t="shared" si="778"/>
        <v>7.3481142272029232E-2</v>
      </c>
      <c r="BG68" s="39">
        <f t="shared" si="778"/>
        <v>7.4397300443210912E-2</v>
      </c>
      <c r="BH68" s="39">
        <f t="shared" si="778"/>
        <v>7.4724712670117988E-2</v>
      </c>
      <c r="BI68" s="39">
        <f t="shared" si="778"/>
        <v>6.2924411664962127E-2</v>
      </c>
      <c r="BJ68" s="39">
        <f t="shared" si="778"/>
        <v>6.021531188579983E-2</v>
      </c>
      <c r="BK68" s="39">
        <f t="shared" si="778"/>
        <v>6.5134176189771908E-2</v>
      </c>
      <c r="BL68" s="39">
        <f t="shared" si="778"/>
        <v>6.9415430275186679E-2</v>
      </c>
      <c r="BM68" s="39">
        <f t="shared" si="778"/>
        <v>7.7324560053838517E-2</v>
      </c>
      <c r="BN68" s="39">
        <f t="shared" si="778"/>
        <v>5.3171005714136847E-2</v>
      </c>
      <c r="BO68" s="39">
        <f t="shared" si="778"/>
        <v>5.776946236924093E-2</v>
      </c>
      <c r="BP68" s="39">
        <f t="shared" si="778"/>
        <v>6.4009126951789466E-2</v>
      </c>
      <c r="BQ68" s="39">
        <f t="shared" si="778"/>
        <v>6.6810558386403027E-2</v>
      </c>
      <c r="BR68" s="39">
        <f t="shared" ref="BR68:CW68" si="779">(SUM(BO62:BR62)-SUM(BO61:BR61))/BR134</f>
        <v>6.1050561732043256E-2</v>
      </c>
      <c r="BS68" s="39">
        <f t="shared" si="779"/>
        <v>5.5175187470362749E-2</v>
      </c>
      <c r="BT68" s="39">
        <f t="shared" si="779"/>
        <v>5.5887341316749717E-2</v>
      </c>
      <c r="BU68" s="39">
        <f t="shared" si="779"/>
        <v>5.8520103918480511E-2</v>
      </c>
      <c r="BV68" s="39">
        <f t="shared" si="779"/>
        <v>6.5238668228773805E-2</v>
      </c>
      <c r="BW68" s="39">
        <f t="shared" si="779"/>
        <v>7.0024809383402359E-2</v>
      </c>
      <c r="BX68" s="39">
        <f t="shared" si="779"/>
        <v>6.7872889864971489E-2</v>
      </c>
      <c r="BY68" s="39">
        <f t="shared" si="779"/>
        <v>6.5975732897847333E-2</v>
      </c>
      <c r="BZ68" s="39">
        <f t="shared" si="779"/>
        <v>6.416038622055685E-2</v>
      </c>
      <c r="CA68" s="39">
        <f t="shared" si="779"/>
        <v>6.5486672331603754E-2</v>
      </c>
      <c r="CB68" s="39">
        <f t="shared" si="779"/>
        <v>7.5688160001881874E-2</v>
      </c>
      <c r="CC68" s="39">
        <f t="shared" si="779"/>
        <v>8.03192078465641E-2</v>
      </c>
      <c r="CD68" s="39">
        <f t="shared" si="779"/>
        <v>9.2009050376818807E-2</v>
      </c>
      <c r="CE68" s="39">
        <f t="shared" si="779"/>
        <v>8.949838840015148E-2</v>
      </c>
      <c r="CF68" s="39">
        <f t="shared" si="779"/>
        <v>7.8499547612538897E-2</v>
      </c>
      <c r="CG68" s="39">
        <f t="shared" si="779"/>
        <v>7.2974146746821705E-2</v>
      </c>
      <c r="CH68" s="39">
        <f t="shared" si="779"/>
        <v>6.4175534521135849E-2</v>
      </c>
      <c r="CI68" s="39">
        <f t="shared" si="779"/>
        <v>6.4435464954170671E-2</v>
      </c>
      <c r="CJ68" s="39">
        <f t="shared" si="779"/>
        <v>6.5135557551964735E-2</v>
      </c>
      <c r="CK68" s="39">
        <f t="shared" si="779"/>
        <v>6.9840078149231377E-2</v>
      </c>
      <c r="CL68" s="39">
        <f t="shared" si="779"/>
        <v>7.1708908719804343E-2</v>
      </c>
      <c r="CM68" s="40">
        <f t="shared" si="779"/>
        <v>7.5961694507410679E-2</v>
      </c>
      <c r="CN68" s="40">
        <f t="shared" si="779"/>
        <v>7.9074999532634402E-2</v>
      </c>
      <c r="CO68" s="40">
        <f t="shared" si="779"/>
        <v>8.3128563352700677E-2</v>
      </c>
      <c r="CP68" s="40">
        <f t="shared" si="779"/>
        <v>8.8720675975388921E-2</v>
      </c>
      <c r="CQ68" s="40">
        <f t="shared" si="779"/>
        <v>9.1437274950836894E-2</v>
      </c>
      <c r="CR68" s="40">
        <f t="shared" si="779"/>
        <v>9.359533138610758E-2</v>
      </c>
      <c r="CS68" s="40">
        <f t="shared" si="779"/>
        <v>9.5187924619234712E-2</v>
      </c>
      <c r="CT68" s="40">
        <f t="shared" si="779"/>
        <v>9.6399108552930643E-2</v>
      </c>
      <c r="CU68" s="40">
        <f t="shared" si="779"/>
        <v>9.8479417080762299E-2</v>
      </c>
      <c r="CV68" s="40">
        <f t="shared" si="779"/>
        <v>0.10038648016720078</v>
      </c>
      <c r="CW68" s="40">
        <f t="shared" si="779"/>
        <v>0.10212046038494484</v>
      </c>
      <c r="CX68" s="40">
        <f t="shared" ref="CX68:DB68" si="780">(SUM(CU62:CX62)-SUM(CU61:CX61))/CX134</f>
        <v>0.10392244145269898</v>
      </c>
      <c r="CY68" s="40">
        <f t="shared" si="780"/>
        <v>0.10564073533494225</v>
      </c>
      <c r="CZ68" s="40">
        <f t="shared" si="780"/>
        <v>0.10730967551244187</v>
      </c>
      <c r="DA68" s="40">
        <f t="shared" si="780"/>
        <v>0.10886348552596913</v>
      </c>
      <c r="DB68" s="40">
        <f t="shared" si="780"/>
        <v>0.11047093637417189</v>
      </c>
      <c r="DE68" s="122"/>
      <c r="DF68" s="38">
        <v>7.6981395020708346E-2</v>
      </c>
    </row>
    <row r="69" spans="1:110" s="38" customFormat="1" x14ac:dyDescent="0.2">
      <c r="A69" s="38" t="s">
        <v>351</v>
      </c>
      <c r="B69" s="39">
        <f t="shared" ref="B69:AE69" si="781">+B48/B143</f>
        <v>7.419815958367447E-2</v>
      </c>
      <c r="C69" s="39">
        <f t="shared" si="781"/>
        <v>9.0690137419412092E-2</v>
      </c>
      <c r="D69" s="39">
        <f t="shared" si="781"/>
        <v>7.9110860145390483E-2</v>
      </c>
      <c r="E69" s="39">
        <f t="shared" si="781"/>
        <v>0.11715730992494627</v>
      </c>
      <c r="F69" s="39">
        <f t="shared" si="781"/>
        <v>0.13613701653595003</v>
      </c>
      <c r="G69" s="39">
        <f t="shared" si="781"/>
        <v>0.13894116642883303</v>
      </c>
      <c r="H69" s="39">
        <f t="shared" si="781"/>
        <v>7.926659193021901E-2</v>
      </c>
      <c r="I69" s="39">
        <f t="shared" si="781"/>
        <v>8.3612369143644241E-2</v>
      </c>
      <c r="J69" s="39">
        <f t="shared" si="781"/>
        <v>7.3275152788559297E-2</v>
      </c>
      <c r="K69" s="39">
        <f t="shared" si="781"/>
        <v>8.8265086174456636E-2</v>
      </c>
      <c r="L69" s="39">
        <f t="shared" si="781"/>
        <v>8.3297982782533586E-2</v>
      </c>
      <c r="M69" s="39">
        <f t="shared" si="781"/>
        <v>8.047533346746942E-2</v>
      </c>
      <c r="N69" s="39">
        <f t="shared" si="781"/>
        <v>9.459753362007374E-2</v>
      </c>
      <c r="O69" s="39">
        <f t="shared" si="781"/>
        <v>7.5852776402118877E-2</v>
      </c>
      <c r="P69" s="39">
        <f t="shared" si="781"/>
        <v>8.3419666893278538E-2</v>
      </c>
      <c r="Q69" s="39">
        <f t="shared" si="781"/>
        <v>6.3516558568543796E-2</v>
      </c>
      <c r="R69" s="39">
        <f t="shared" si="781"/>
        <v>8.343285379524204E-2</v>
      </c>
      <c r="S69" s="39">
        <f t="shared" si="781"/>
        <v>7.9364573978230699E-2</v>
      </c>
      <c r="T69" s="39">
        <f t="shared" si="781"/>
        <v>6.9821808815774378E-2</v>
      </c>
      <c r="U69" s="39">
        <f t="shared" si="781"/>
        <v>6.498751525020223E-2</v>
      </c>
      <c r="V69" s="39">
        <f t="shared" si="781"/>
        <v>7.6573868577756082E-2</v>
      </c>
      <c r="W69" s="39">
        <f t="shared" si="781"/>
        <v>8.3261529748644147E-2</v>
      </c>
      <c r="X69" s="39">
        <f t="shared" si="781"/>
        <v>8.4516403873356724E-2</v>
      </c>
      <c r="Y69" s="39">
        <f t="shared" si="781"/>
        <v>9.3320346562380183E-2</v>
      </c>
      <c r="Z69" s="39">
        <f t="shared" si="781"/>
        <v>8.0838850292289488E-2</v>
      </c>
      <c r="AA69" s="39">
        <f t="shared" ref="AA69" si="782">+AA48/AA143</f>
        <v>8.5546859102846914E-2</v>
      </c>
      <c r="AB69" s="40">
        <f t="shared" si="781"/>
        <v>9.949277286539264E-2</v>
      </c>
      <c r="AC69" s="40">
        <f t="shared" si="781"/>
        <v>0.1070559051925427</v>
      </c>
      <c r="AD69" s="40">
        <f t="shared" si="781"/>
        <v>0.11314753645282928</v>
      </c>
      <c r="AE69" s="40">
        <f t="shared" si="781"/>
        <v>0.11830169613167818</v>
      </c>
      <c r="AF69" s="39"/>
      <c r="AG69" s="39"/>
      <c r="AH69" s="39"/>
      <c r="AI69" s="39"/>
      <c r="AJ69" s="39"/>
      <c r="AK69" s="39"/>
      <c r="AL69" s="39">
        <f t="shared" ref="AL69:BQ69" si="783">+SUM(AI48:AL48)/AL143</f>
        <v>9.9895194297124151E-2</v>
      </c>
      <c r="AM69" s="39">
        <f t="shared" si="783"/>
        <v>0.10158326780195152</v>
      </c>
      <c r="AN69" s="39">
        <f t="shared" si="783"/>
        <v>8.1476679723788192E-2</v>
      </c>
      <c r="AO69" s="39">
        <f t="shared" si="783"/>
        <v>7.8592656117486906E-2</v>
      </c>
      <c r="AP69" s="39">
        <f t="shared" si="783"/>
        <v>7.6194053039663534E-2</v>
      </c>
      <c r="AQ69" s="39">
        <f t="shared" si="783"/>
        <v>7.3842802203714211E-2</v>
      </c>
      <c r="AR69" s="39">
        <f t="shared" si="783"/>
        <v>7.4623293055826087E-2</v>
      </c>
      <c r="AS69" s="39">
        <f t="shared" si="783"/>
        <v>7.3553640269647919E-2</v>
      </c>
      <c r="AT69" s="39">
        <f t="shared" si="783"/>
        <v>8.4053920246025565E-2</v>
      </c>
      <c r="AU69" s="39">
        <f t="shared" si="783"/>
        <v>8.1539473564706741E-2</v>
      </c>
      <c r="AV69" s="39">
        <f t="shared" si="783"/>
        <v>7.1920705762790721E-2</v>
      </c>
      <c r="AW69" s="39">
        <f t="shared" si="783"/>
        <v>6.8670112330589159E-2</v>
      </c>
      <c r="AX69" s="39">
        <f t="shared" si="783"/>
        <v>6.7011401686940947E-2</v>
      </c>
      <c r="AY69" s="39">
        <f t="shared" si="783"/>
        <v>7.221667710734532E-2</v>
      </c>
      <c r="AZ69" s="39">
        <f t="shared" si="783"/>
        <v>8.0411005064721486E-2</v>
      </c>
      <c r="BA69" s="39">
        <f t="shared" si="783"/>
        <v>8.0602634187085839E-2</v>
      </c>
      <c r="BB69" s="39">
        <f t="shared" si="783"/>
        <v>8.3638265163104492E-2</v>
      </c>
      <c r="BC69" s="39">
        <f t="shared" si="783"/>
        <v>8.3944221184513945E-2</v>
      </c>
      <c r="BD69" s="39">
        <f t="shared" si="783"/>
        <v>8.3094998749333418E-2</v>
      </c>
      <c r="BE69" s="39">
        <f t="shared" si="783"/>
        <v>8.7917300583685798E-2</v>
      </c>
      <c r="BF69" s="39">
        <f t="shared" si="783"/>
        <v>7.946403248607764E-2</v>
      </c>
      <c r="BG69" s="39">
        <f t="shared" si="783"/>
        <v>7.8912977881398894E-2</v>
      </c>
      <c r="BH69" s="39">
        <f t="shared" si="783"/>
        <v>7.0290832188936336E-2</v>
      </c>
      <c r="BI69" s="39">
        <f t="shared" si="783"/>
        <v>6.5533169452571274E-2</v>
      </c>
      <c r="BJ69" s="39">
        <f t="shared" si="783"/>
        <v>7.000011607942784E-2</v>
      </c>
      <c r="BK69" s="39">
        <f t="shared" si="783"/>
        <v>7.6410283512659535E-2</v>
      </c>
      <c r="BL69" s="39">
        <f t="shared" si="783"/>
        <v>8.9829764360848871E-2</v>
      </c>
      <c r="BM69" s="39">
        <f t="shared" si="783"/>
        <v>9.7538602187954973E-2</v>
      </c>
      <c r="BN69" s="39">
        <f t="shared" si="783"/>
        <v>6.5286041289486979E-2</v>
      </c>
      <c r="BO69" s="39">
        <f t="shared" si="783"/>
        <v>7.1746570857573452E-2</v>
      </c>
      <c r="BP69" s="39">
        <f t="shared" si="783"/>
        <v>7.6937228775747227E-2</v>
      </c>
      <c r="BQ69" s="39">
        <f t="shared" si="783"/>
        <v>7.8351931972469091E-2</v>
      </c>
      <c r="BR69" s="39">
        <f t="shared" ref="BR69:CW69" si="784">+SUM(BO48:BR48)/BR143</f>
        <v>7.6573868577756027E-2</v>
      </c>
      <c r="BS69" s="39">
        <f t="shared" si="784"/>
        <v>7.056713064294079E-2</v>
      </c>
      <c r="BT69" s="39">
        <f t="shared" si="784"/>
        <v>7.3437235922021948E-2</v>
      </c>
      <c r="BU69" s="39">
        <f t="shared" si="784"/>
        <v>7.7952397391614928E-2</v>
      </c>
      <c r="BV69" s="39">
        <f t="shared" si="784"/>
        <v>8.3261529748644078E-2</v>
      </c>
      <c r="BW69" s="39">
        <f t="shared" si="784"/>
        <v>8.4993345524188732E-2</v>
      </c>
      <c r="BX69" s="39">
        <f t="shared" si="784"/>
        <v>8.8965183461657937E-2</v>
      </c>
      <c r="BY69" s="39">
        <f t="shared" si="784"/>
        <v>8.6386277991943511E-2</v>
      </c>
      <c r="BZ69" s="39">
        <f t="shared" si="784"/>
        <v>8.4785113901374706E-2</v>
      </c>
      <c r="CA69" s="39">
        <f t="shared" si="784"/>
        <v>8.7569236815275661E-2</v>
      </c>
      <c r="CB69" s="39">
        <f t="shared" si="784"/>
        <v>9.4643139221601572E-2</v>
      </c>
      <c r="CC69" s="39">
        <f t="shared" si="784"/>
        <v>9.910222065082884E-2</v>
      </c>
      <c r="CD69" s="39">
        <f t="shared" si="784"/>
        <v>9.3523877904735583E-2</v>
      </c>
      <c r="CE69" s="39">
        <f t="shared" si="784"/>
        <v>9.4933342359636963E-2</v>
      </c>
      <c r="CF69" s="39">
        <f t="shared" si="784"/>
        <v>8.7155891232869293E-2</v>
      </c>
      <c r="CG69" s="39">
        <f t="shared" si="784"/>
        <v>8.2983578255309276E-2</v>
      </c>
      <c r="CH69" s="39">
        <f t="shared" si="784"/>
        <v>8.0838850292289446E-2</v>
      </c>
      <c r="CI69" s="39">
        <f t="shared" si="784"/>
        <v>7.7089563952131859E-2</v>
      </c>
      <c r="CJ69" s="39">
        <f t="shared" si="784"/>
        <v>7.8433242414831406E-2</v>
      </c>
      <c r="CK69" s="39">
        <f t="shared" si="784"/>
        <v>8.3283195251186576E-2</v>
      </c>
      <c r="CL69" s="39">
        <f t="shared" si="784"/>
        <v>8.5546859102846873E-2</v>
      </c>
      <c r="CM69" s="40">
        <f t="shared" si="784"/>
        <v>8.9771987857234517E-2</v>
      </c>
      <c r="CN69" s="40">
        <f t="shared" si="784"/>
        <v>9.359941633478995E-2</v>
      </c>
      <c r="CO69" s="40">
        <f t="shared" si="784"/>
        <v>9.6768360968674028E-2</v>
      </c>
      <c r="CP69" s="40">
        <f t="shared" si="784"/>
        <v>9.9492772865392765E-2</v>
      </c>
      <c r="CQ69" s="40">
        <f t="shared" si="784"/>
        <v>0.10214005347053234</v>
      </c>
      <c r="CR69" s="40">
        <f t="shared" si="784"/>
        <v>0.1042828045595343</v>
      </c>
      <c r="CS69" s="40">
        <f t="shared" si="784"/>
        <v>0.10583178110104283</v>
      </c>
      <c r="CT69" s="40">
        <f t="shared" si="784"/>
        <v>0.10705590519254266</v>
      </c>
      <c r="CU69" s="40">
        <f t="shared" si="784"/>
        <v>0.10880145377597186</v>
      </c>
      <c r="CV69" s="40">
        <f t="shared" si="784"/>
        <v>0.11037089814782622</v>
      </c>
      <c r="CW69" s="40">
        <f t="shared" si="784"/>
        <v>0.11171924812360065</v>
      </c>
      <c r="CX69" s="40">
        <f t="shared" ref="CX69:DB69" si="785">+SUM(CU48:CX48)/CX143</f>
        <v>0.11314753645282936</v>
      </c>
      <c r="CY69" s="40">
        <f t="shared" si="785"/>
        <v>0.11450738428532746</v>
      </c>
      <c r="CZ69" s="40">
        <f t="shared" si="785"/>
        <v>0.11583141446919418</v>
      </c>
      <c r="DA69" s="40">
        <f t="shared" si="785"/>
        <v>0.11701472286824489</v>
      </c>
      <c r="DB69" s="40">
        <f t="shared" si="785"/>
        <v>0.11830169613167821</v>
      </c>
      <c r="DE69" s="122"/>
      <c r="DF69" s="38">
        <v>8.9676414830868675E-2</v>
      </c>
    </row>
    <row r="70" spans="1:110" s="1" customFormat="1" x14ac:dyDescent="0.2">
      <c r="A70" s="150" t="s">
        <v>488</v>
      </c>
      <c r="AB70" s="20"/>
      <c r="AC70" s="20"/>
      <c r="AD70" s="20"/>
      <c r="AE70" s="20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E70" s="119"/>
    </row>
    <row r="71" spans="1:110" s="8" customFormat="1" x14ac:dyDescent="0.2">
      <c r="A71" s="12" t="s">
        <v>26</v>
      </c>
      <c r="AB71" s="58"/>
      <c r="AC71" s="58"/>
      <c r="AD71" s="58"/>
      <c r="AE71" s="58"/>
      <c r="CM71" s="54"/>
      <c r="CN71" s="54"/>
      <c r="CO71" s="54"/>
      <c r="CP71" s="54"/>
      <c r="CQ71" s="54"/>
      <c r="CR71" s="54"/>
      <c r="CS71" s="54"/>
      <c r="CT71" s="54"/>
      <c r="CU71" s="54"/>
      <c r="CV71" s="54"/>
      <c r="CW71" s="54"/>
      <c r="CX71" s="54"/>
      <c r="CY71" s="54"/>
      <c r="CZ71" s="54"/>
      <c r="DA71" s="54"/>
      <c r="DB71" s="54"/>
      <c r="DE71" s="132"/>
    </row>
    <row r="72" spans="1:110" s="9" customFormat="1" x14ac:dyDescent="0.2">
      <c r="A72" s="9" t="s">
        <v>453</v>
      </c>
      <c r="N72" s="9">
        <f>N24-SUM(AI24:AL24)</f>
        <v>-2.3999999993975507E-3</v>
      </c>
      <c r="O72" s="9">
        <f>O24-SUM(AM24:AP24)</f>
        <v>5.9999999939464033E-4</v>
      </c>
      <c r="P72" s="9">
        <f>P24-SUM(AQ24:AT24)</f>
        <v>0</v>
      </c>
      <c r="Q72" s="9">
        <f>Q24-SUM(AU24:AX24)</f>
        <v>-3.0500000000001819</v>
      </c>
      <c r="R72" s="9">
        <f>R24-SUM(AY24:BB24)</f>
        <v>-0.34000000000014552</v>
      </c>
      <c r="S72" s="9">
        <f>S24-SUM(BC24:BF24)</f>
        <v>0</v>
      </c>
      <c r="T72" s="9">
        <f>T24-SUM(BG24:BJ24)</f>
        <v>0</v>
      </c>
      <c r="U72" s="9">
        <f>U24-SUM(BK24:BN24)</f>
        <v>0</v>
      </c>
      <c r="V72" s="9">
        <f>V24-SUM(BO24:BR24)</f>
        <v>0</v>
      </c>
      <c r="W72" s="9">
        <f>W24-SUM(BS24:BV24)</f>
        <v>0</v>
      </c>
      <c r="X72" s="9">
        <f>X24-SUM(BW24:BZ24)</f>
        <v>0</v>
      </c>
      <c r="Y72" s="9">
        <f>Y24-SUM(CA24:CD24)</f>
        <v>0</v>
      </c>
      <c r="Z72" s="9">
        <f>Z24-SUM(CE24:CH24)</f>
        <v>0</v>
      </c>
      <c r="AA72" s="9">
        <f>AA24-SUM(CF24:CI24)</f>
        <v>2245.2900000000009</v>
      </c>
      <c r="AB72" s="15">
        <f>AB24-SUM(CM24:CP24)</f>
        <v>0</v>
      </c>
      <c r="AC72" s="15">
        <f>AC24-SUM(CQ24:CT24)</f>
        <v>0</v>
      </c>
      <c r="AD72" s="15">
        <f>AD24-SUM(CU24:CX24)</f>
        <v>0</v>
      </c>
      <c r="AE72" s="15">
        <f>AE24-SUM(CY24:DB24)</f>
        <v>0</v>
      </c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E72" s="133"/>
      <c r="DF72" s="9">
        <v>0</v>
      </c>
    </row>
    <row r="73" spans="1:110" s="9" customFormat="1" x14ac:dyDescent="0.2">
      <c r="A73" s="9" t="s">
        <v>454</v>
      </c>
      <c r="N73" s="9">
        <f>N30-SUM(AI30:AL30)</f>
        <v>452.46870000000126</v>
      </c>
      <c r="O73" s="9">
        <f>O30-SUM(AM30:AP30)</f>
        <v>484.69289999999955</v>
      </c>
      <c r="P73" s="9">
        <f>P30-SUM(AQ30:AT30)</f>
        <v>472.53999999999905</v>
      </c>
      <c r="Q73" s="9">
        <f>Q30-SUM(AU30:AX30)</f>
        <v>403.67000000000098</v>
      </c>
      <c r="R73" s="9">
        <f>R30-SUM(AY30:BB30)</f>
        <v>396.27</v>
      </c>
      <c r="S73" s="9">
        <f>S30-SUM(BC30:BF30)</f>
        <v>370.35999999999967</v>
      </c>
      <c r="T73" s="9">
        <f>T30-SUM(BG30:BJ30)</f>
        <v>371.08000000000038</v>
      </c>
      <c r="U73" s="9">
        <f>U30-SUM(BK30:BN30)</f>
        <v>555.79999999999836</v>
      </c>
      <c r="V73" s="9">
        <f>V30-SUM(BO30:BR30)</f>
        <v>684.06000000000131</v>
      </c>
      <c r="W73" s="9">
        <f>W30-SUM(BS30:BV30)</f>
        <v>800.53000000000156</v>
      </c>
      <c r="X73" s="9">
        <f>X30-SUM(BW30:BZ30)</f>
        <v>1172.5299999999979</v>
      </c>
      <c r="Y73" s="9">
        <f>Y30-SUM(CA30:CD30)</f>
        <v>1321.4499999999998</v>
      </c>
      <c r="Z73" s="9">
        <f>Z30-SUM(CE30:CH30)</f>
        <v>1445.0900000000001</v>
      </c>
      <c r="AA73" s="9">
        <f>AA30-SUM(CF30:CI30)</f>
        <v>2501.33</v>
      </c>
      <c r="AB73" s="15">
        <f>AB30-SUM(CM30:CP30)</f>
        <v>0</v>
      </c>
      <c r="AC73" s="15">
        <f>AC30-SUM(CQ30:CT30)</f>
        <v>0</v>
      </c>
      <c r="AD73" s="15">
        <f>AD30-SUM(CU30:CX30)</f>
        <v>0</v>
      </c>
      <c r="AE73" s="15">
        <f>AE30-SUM(CY30:DB30)</f>
        <v>0</v>
      </c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  <c r="DB73" s="59"/>
      <c r="DE73" s="133"/>
      <c r="DF73" s="9">
        <v>0</v>
      </c>
    </row>
    <row r="74" spans="1:110" s="9" customFormat="1" x14ac:dyDescent="0.2">
      <c r="A74" s="9" t="s">
        <v>455</v>
      </c>
      <c r="N74" s="9">
        <f>N42-SUM(AI42:AL42)</f>
        <v>-2.999999989015123E-4</v>
      </c>
      <c r="O74" s="9">
        <f>O42-SUM(AM42:AP42)</f>
        <v>-3.1000000004723915E-3</v>
      </c>
      <c r="P74" s="9">
        <f>P42-SUM(AQ42:AT42)</f>
        <v>-1.0000000001696208E-2</v>
      </c>
      <c r="Q74" s="9">
        <f>Q42-SUM(AU42:AX42)</f>
        <v>1.0231815394945443E-12</v>
      </c>
      <c r="R74" s="9">
        <f>R42-SUM(AY42:BB42)</f>
        <v>-0.28000000000031378</v>
      </c>
      <c r="S74" s="9">
        <f>S42-SUM(BC42:BF42)</f>
        <v>0</v>
      </c>
      <c r="T74" s="9">
        <f>T42-SUM(BG42:BJ42)</f>
        <v>0</v>
      </c>
      <c r="U74" s="9">
        <f>U42-SUM(BK42:BN42)</f>
        <v>-1.8189894035458565E-12</v>
      </c>
      <c r="V74" s="9">
        <f>V42-SUM(BO42:BR42)</f>
        <v>0</v>
      </c>
      <c r="W74" s="9">
        <f>W42-SUM(BS42:BV42)</f>
        <v>0</v>
      </c>
      <c r="X74" s="9">
        <f>X42-SUM(BW42:BZ42)</f>
        <v>-4.9200000000007549</v>
      </c>
      <c r="Y74" s="9">
        <f>Y42-SUM(CA42:CD42)</f>
        <v>-4.1499999999996362</v>
      </c>
      <c r="Z74" s="9">
        <f>Z42-SUM(CE42:CH42)</f>
        <v>0</v>
      </c>
      <c r="AA74" s="9">
        <f>AA42-SUM(CF42:CI42)</f>
        <v>372.88999999999987</v>
      </c>
      <c r="AB74" s="15">
        <f>AB42-SUM(CM42:CP42)</f>
        <v>-3.637978807091713E-12</v>
      </c>
      <c r="AC74" s="15">
        <f>AC42-SUM(CQ42:CT42)</f>
        <v>0</v>
      </c>
      <c r="AD74" s="15">
        <f>AD42-SUM(CU42:CX42)</f>
        <v>0</v>
      </c>
      <c r="AE74" s="15">
        <f>AE42-SUM(CY42:DB42)</f>
        <v>0</v>
      </c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E74" s="133"/>
      <c r="DF74" s="9">
        <v>0</v>
      </c>
    </row>
    <row r="75" spans="1:110" s="9" customFormat="1" x14ac:dyDescent="0.2">
      <c r="A75" s="9" t="s">
        <v>456</v>
      </c>
      <c r="N75" s="9">
        <f>N62-SUM(AI62:AL62)</f>
        <v>1.0000000128229658E-4</v>
      </c>
      <c r="O75" s="9">
        <f>O62-SUM(AM62:AP62)</f>
        <v>4.9999999994270183E-3</v>
      </c>
      <c r="P75" s="9">
        <f>P62-SUM(AQ62:AT62)</f>
        <v>-1.7621459846850485E-12</v>
      </c>
      <c r="Q75" s="9">
        <f>Q62-SUM(AU62:AX62)</f>
        <v>1.1368683772161603E-12</v>
      </c>
      <c r="R75" s="9">
        <f>R62-SUM(AY62:BB62)</f>
        <v>0</v>
      </c>
      <c r="S75" s="9">
        <f>S62-SUM(BC62:BF62)</f>
        <v>-4.5474735088646412E-13</v>
      </c>
      <c r="T75" s="9">
        <f>T62-SUM(BG62:BJ62)</f>
        <v>0</v>
      </c>
      <c r="U75" s="9">
        <f>U62-SUM(BK62:BN62)</f>
        <v>-2.0463630789890885E-12</v>
      </c>
      <c r="V75" s="9">
        <f>V62-SUM(BO62:BR62)</f>
        <v>9.0949470177292824E-13</v>
      </c>
      <c r="W75" s="9">
        <f>W55-SUM(BS55:BV55)</f>
        <v>0</v>
      </c>
      <c r="X75" s="9">
        <f>X55-SUM(BW55:BZ55)</f>
        <v>0</v>
      </c>
      <c r="Y75" s="9">
        <f>Y55-SUM(CA55:CD55)</f>
        <v>0</v>
      </c>
      <c r="Z75" s="9">
        <f>Z55-SUM(CE55:CH55)</f>
        <v>0</v>
      </c>
      <c r="AA75" s="9">
        <f>AA55-SUM(CF55:CI55)</f>
        <v>256.95000000000005</v>
      </c>
      <c r="AB75" s="15">
        <f>AB55-SUM(CM55:CP55)</f>
        <v>0</v>
      </c>
      <c r="AC75" s="15">
        <f>AC55-SUM(CQ55:CT55)</f>
        <v>0</v>
      </c>
      <c r="AD75" s="15">
        <f>AD55-SUM(CU55:CX55)</f>
        <v>0</v>
      </c>
      <c r="AE75" s="15">
        <f>AE55-SUM(CY55:DB55)</f>
        <v>0</v>
      </c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E75" s="133"/>
      <c r="DF75" s="9">
        <v>1.8189894035458565E-12</v>
      </c>
    </row>
    <row r="76" spans="1:110" s="8" customFormat="1" x14ac:dyDescent="0.2">
      <c r="A76" s="149" t="s">
        <v>489</v>
      </c>
      <c r="AB76" s="58"/>
      <c r="AC76" s="58"/>
      <c r="AD76" s="58"/>
      <c r="AE76" s="58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E76" s="132"/>
    </row>
    <row r="77" spans="1:110" s="3" customFormat="1" x14ac:dyDescent="0.2">
      <c r="A77" s="3" t="s">
        <v>27</v>
      </c>
      <c r="B77" s="3">
        <f>'Annual Raw'!C104</f>
        <v>56.219900000000003</v>
      </c>
      <c r="C77" s="3">
        <f>'Annual Raw'!D104</f>
        <v>56.219900000000003</v>
      </c>
      <c r="D77" s="3">
        <f>'Annual Raw'!E104</f>
        <v>56.219900000000003</v>
      </c>
      <c r="E77" s="3">
        <f t="shared" ref="E77:Y77" si="786">+F77</f>
        <v>98.96</v>
      </c>
      <c r="F77" s="3">
        <f t="shared" si="786"/>
        <v>98.96</v>
      </c>
      <c r="G77" s="3">
        <f t="shared" si="786"/>
        <v>98.96</v>
      </c>
      <c r="H77" s="3">
        <f t="shared" si="786"/>
        <v>98.96</v>
      </c>
      <c r="I77" s="3">
        <f t="shared" si="786"/>
        <v>98.96</v>
      </c>
      <c r="J77" s="3">
        <f t="shared" si="786"/>
        <v>98.96</v>
      </c>
      <c r="K77" s="3">
        <f t="shared" si="786"/>
        <v>98.96</v>
      </c>
      <c r="L77" s="3">
        <f t="shared" si="786"/>
        <v>98.96</v>
      </c>
      <c r="M77" s="3">
        <f t="shared" si="786"/>
        <v>98.96</v>
      </c>
      <c r="N77" s="3">
        <f t="shared" si="786"/>
        <v>98.96</v>
      </c>
      <c r="O77" s="3">
        <f t="shared" si="786"/>
        <v>98.96</v>
      </c>
      <c r="P77" s="3">
        <f t="shared" si="786"/>
        <v>98.96</v>
      </c>
      <c r="Q77" s="3">
        <f t="shared" si="786"/>
        <v>98.96</v>
      </c>
      <c r="R77" s="3">
        <f t="shared" si="786"/>
        <v>98.96</v>
      </c>
      <c r="S77" s="3">
        <f t="shared" si="786"/>
        <v>98.96</v>
      </c>
      <c r="T77" s="3">
        <f t="shared" si="786"/>
        <v>98.96</v>
      </c>
      <c r="U77" s="3">
        <f t="shared" si="786"/>
        <v>98.96</v>
      </c>
      <c r="V77" s="3">
        <f t="shared" si="786"/>
        <v>98.96</v>
      </c>
      <c r="W77" s="3">
        <f t="shared" si="786"/>
        <v>98.96</v>
      </c>
      <c r="X77" s="3">
        <f t="shared" si="786"/>
        <v>98.96</v>
      </c>
      <c r="Y77" s="3">
        <f t="shared" si="786"/>
        <v>98.96</v>
      </c>
      <c r="Z77" s="3">
        <f>+AA77</f>
        <v>98.96</v>
      </c>
      <c r="AA77" s="3">
        <f>+AB77</f>
        <v>98.96</v>
      </c>
      <c r="AB77" s="37">
        <f>CP77</f>
        <v>98.96</v>
      </c>
      <c r="AC77" s="37">
        <f>CT77</f>
        <v>98.96</v>
      </c>
      <c r="AD77" s="37">
        <f>CX77</f>
        <v>98.96</v>
      </c>
      <c r="AE77" s="37">
        <f>DB77</f>
        <v>98.96</v>
      </c>
      <c r="AI77" s="3">
        <f t="shared" ref="AI77:CH77" si="787">+AJ77</f>
        <v>98.95</v>
      </c>
      <c r="AJ77" s="3">
        <f t="shared" si="787"/>
        <v>98.95</v>
      </c>
      <c r="AK77" s="3">
        <f t="shared" si="787"/>
        <v>98.95</v>
      </c>
      <c r="AL77" s="3">
        <f t="shared" si="787"/>
        <v>98.95</v>
      </c>
      <c r="AM77" s="3">
        <f t="shared" si="787"/>
        <v>98.95</v>
      </c>
      <c r="AN77" s="3">
        <f t="shared" si="787"/>
        <v>98.95</v>
      </c>
      <c r="AO77" s="3">
        <f t="shared" si="787"/>
        <v>98.95</v>
      </c>
      <c r="AP77" s="3">
        <f t="shared" si="787"/>
        <v>98.95</v>
      </c>
      <c r="AQ77" s="3">
        <f t="shared" si="787"/>
        <v>98.95</v>
      </c>
      <c r="AR77" s="3">
        <f t="shared" si="787"/>
        <v>98.95</v>
      </c>
      <c r="AS77" s="3">
        <f t="shared" si="787"/>
        <v>98.95</v>
      </c>
      <c r="AT77" s="3">
        <f t="shared" si="787"/>
        <v>98.95</v>
      </c>
      <c r="AU77" s="3">
        <f t="shared" si="787"/>
        <v>98.95</v>
      </c>
      <c r="AV77" s="3">
        <f t="shared" si="787"/>
        <v>98.95</v>
      </c>
      <c r="AW77" s="3">
        <f t="shared" si="787"/>
        <v>98.95</v>
      </c>
      <c r="AX77" s="3">
        <f t="shared" si="787"/>
        <v>98.95</v>
      </c>
      <c r="AY77" s="3">
        <f t="shared" si="787"/>
        <v>98.95</v>
      </c>
      <c r="AZ77" s="3">
        <f t="shared" si="787"/>
        <v>98.95</v>
      </c>
      <c r="BA77" s="3">
        <f t="shared" si="787"/>
        <v>98.95</v>
      </c>
      <c r="BB77" s="3">
        <f t="shared" si="787"/>
        <v>98.95</v>
      </c>
      <c r="BC77" s="3">
        <f t="shared" si="787"/>
        <v>98.95</v>
      </c>
      <c r="BD77" s="3">
        <f t="shared" si="787"/>
        <v>98.95</v>
      </c>
      <c r="BE77" s="3">
        <f t="shared" si="787"/>
        <v>98.95</v>
      </c>
      <c r="BF77" s="3">
        <f t="shared" si="787"/>
        <v>98.95</v>
      </c>
      <c r="BG77" s="3">
        <f t="shared" si="787"/>
        <v>98.95</v>
      </c>
      <c r="BH77" s="3">
        <f t="shared" si="787"/>
        <v>98.95</v>
      </c>
      <c r="BI77" s="3">
        <f t="shared" si="787"/>
        <v>98.95</v>
      </c>
      <c r="BJ77" s="3">
        <f t="shared" si="787"/>
        <v>98.95</v>
      </c>
      <c r="BK77" s="3">
        <f t="shared" si="787"/>
        <v>98.95</v>
      </c>
      <c r="BL77" s="3">
        <f t="shared" si="787"/>
        <v>98.95</v>
      </c>
      <c r="BM77" s="3">
        <f t="shared" si="787"/>
        <v>98.95</v>
      </c>
      <c r="BN77" s="3">
        <f t="shared" si="787"/>
        <v>98.95</v>
      </c>
      <c r="BO77" s="3">
        <f t="shared" si="787"/>
        <v>98.95</v>
      </c>
      <c r="BP77" s="3">
        <f t="shared" si="787"/>
        <v>98.95</v>
      </c>
      <c r="BQ77" s="3">
        <f t="shared" si="787"/>
        <v>98.95</v>
      </c>
      <c r="BR77" s="3">
        <f t="shared" si="787"/>
        <v>98.95</v>
      </c>
      <c r="BS77" s="3">
        <f t="shared" si="787"/>
        <v>98.95</v>
      </c>
      <c r="BT77" s="3">
        <f t="shared" si="787"/>
        <v>98.95</v>
      </c>
      <c r="BU77" s="3">
        <f t="shared" si="787"/>
        <v>98.95</v>
      </c>
      <c r="BV77" s="3">
        <f t="shared" si="787"/>
        <v>98.95</v>
      </c>
      <c r="BW77" s="3">
        <f t="shared" si="787"/>
        <v>98.95</v>
      </c>
      <c r="BX77" s="3">
        <f t="shared" si="787"/>
        <v>98.95</v>
      </c>
      <c r="BY77" s="3">
        <f t="shared" si="787"/>
        <v>98.95</v>
      </c>
      <c r="BZ77" s="3">
        <f t="shared" si="787"/>
        <v>98.95</v>
      </c>
      <c r="CA77" s="3">
        <f t="shared" si="787"/>
        <v>98.95</v>
      </c>
      <c r="CB77" s="3">
        <f t="shared" si="787"/>
        <v>98.95</v>
      </c>
      <c r="CC77" s="3">
        <f t="shared" si="787"/>
        <v>98.95</v>
      </c>
      <c r="CD77" s="3">
        <f t="shared" si="787"/>
        <v>98.95</v>
      </c>
      <c r="CE77" s="3">
        <f t="shared" si="787"/>
        <v>98.95</v>
      </c>
      <c r="CF77" s="3">
        <f t="shared" si="787"/>
        <v>98.95</v>
      </c>
      <c r="CG77" s="3">
        <f t="shared" si="787"/>
        <v>98.95</v>
      </c>
      <c r="CH77" s="3">
        <f t="shared" si="787"/>
        <v>98.95</v>
      </c>
      <c r="CI77" s="3">
        <f>+CJ77</f>
        <v>98.95</v>
      </c>
      <c r="CJ77" s="3">
        <f>'QTR Raw'!BD45</f>
        <v>98.95</v>
      </c>
      <c r="CK77" s="3">
        <f>'QTR Raw'!BE45</f>
        <v>98.95</v>
      </c>
      <c r="CL77" s="3">
        <f>'QTR Raw'!BF45</f>
        <v>98.96</v>
      </c>
      <c r="CM77" s="37">
        <f t="shared" ref="CM77:CM78" si="788">+CL77</f>
        <v>98.96</v>
      </c>
      <c r="CN77" s="37">
        <f t="shared" ref="CN77:CN78" si="789">+CM77</f>
        <v>98.96</v>
      </c>
      <c r="CO77" s="37">
        <f t="shared" ref="CO77:CO78" si="790">+CN77</f>
        <v>98.96</v>
      </c>
      <c r="CP77" s="37">
        <f t="shared" ref="CP77:CP78" si="791">+CO77</f>
        <v>98.96</v>
      </c>
      <c r="CQ77" s="37">
        <f t="shared" ref="CQ77:CQ78" si="792">+CP77</f>
        <v>98.96</v>
      </c>
      <c r="CR77" s="37">
        <f t="shared" ref="CR77:CR78" si="793">+CQ77</f>
        <v>98.96</v>
      </c>
      <c r="CS77" s="37">
        <f t="shared" ref="CS77:CS78" si="794">+CR77</f>
        <v>98.96</v>
      </c>
      <c r="CT77" s="37">
        <f t="shared" ref="CT77:CT78" si="795">+CS77</f>
        <v>98.96</v>
      </c>
      <c r="CU77" s="37">
        <f t="shared" ref="CU77:CU78" si="796">+CT77</f>
        <v>98.96</v>
      </c>
      <c r="CV77" s="37">
        <f t="shared" ref="CV77:CV78" si="797">+CU77</f>
        <v>98.96</v>
      </c>
      <c r="CW77" s="37">
        <f t="shared" ref="CW77:CW78" si="798">+CV77</f>
        <v>98.96</v>
      </c>
      <c r="CX77" s="37">
        <f t="shared" ref="CX77:CX78" si="799">+CW77</f>
        <v>98.96</v>
      </c>
      <c r="CY77" s="37">
        <f t="shared" ref="CY77:CY78" si="800">+CX77</f>
        <v>98.96</v>
      </c>
      <c r="CZ77" s="37">
        <f t="shared" ref="CZ77:CZ78" si="801">+CY77</f>
        <v>98.96</v>
      </c>
      <c r="DA77" s="37">
        <f t="shared" ref="DA77:DA78" si="802">+CZ77</f>
        <v>98.96</v>
      </c>
      <c r="DB77" s="37">
        <f t="shared" ref="DB77:DB78" si="803">+DA77</f>
        <v>98.96</v>
      </c>
      <c r="DE77" s="134"/>
      <c r="DF77" s="3">
        <v>98.95</v>
      </c>
    </row>
    <row r="78" spans="1:110" s="3" customFormat="1" x14ac:dyDescent="0.2">
      <c r="A78" s="3" t="s">
        <v>28</v>
      </c>
      <c r="B78" s="3">
        <f>'Annual Raw'!C105</f>
        <v>10</v>
      </c>
      <c r="C78" s="3">
        <f>'Annual Raw'!D105</f>
        <v>10</v>
      </c>
      <c r="D78" s="3">
        <f>'Annual Raw'!E105</f>
        <v>10</v>
      </c>
      <c r="E78" s="3">
        <f t="shared" ref="E78:Y78" si="804">+F78</f>
        <v>1</v>
      </c>
      <c r="F78" s="3">
        <f t="shared" si="804"/>
        <v>1</v>
      </c>
      <c r="G78" s="3">
        <f t="shared" si="804"/>
        <v>1</v>
      </c>
      <c r="H78" s="3">
        <f t="shared" si="804"/>
        <v>1</v>
      </c>
      <c r="I78" s="3">
        <f t="shared" si="804"/>
        <v>1</v>
      </c>
      <c r="J78" s="3">
        <f t="shared" si="804"/>
        <v>1</v>
      </c>
      <c r="K78" s="3">
        <f t="shared" si="804"/>
        <v>1</v>
      </c>
      <c r="L78" s="3">
        <f t="shared" si="804"/>
        <v>1</v>
      </c>
      <c r="M78" s="3">
        <f t="shared" si="804"/>
        <v>1</v>
      </c>
      <c r="N78" s="3">
        <f t="shared" si="804"/>
        <v>1</v>
      </c>
      <c r="O78" s="3">
        <f t="shared" si="804"/>
        <v>1</v>
      </c>
      <c r="P78" s="3">
        <f t="shared" si="804"/>
        <v>1</v>
      </c>
      <c r="Q78" s="3">
        <f t="shared" si="804"/>
        <v>1</v>
      </c>
      <c r="R78" s="3">
        <f t="shared" si="804"/>
        <v>1</v>
      </c>
      <c r="S78" s="3">
        <f t="shared" si="804"/>
        <v>1</v>
      </c>
      <c r="T78" s="3">
        <f t="shared" si="804"/>
        <v>1</v>
      </c>
      <c r="U78" s="3">
        <f t="shared" si="804"/>
        <v>1</v>
      </c>
      <c r="V78" s="3">
        <f t="shared" si="804"/>
        <v>1</v>
      </c>
      <c r="W78" s="3">
        <f t="shared" si="804"/>
        <v>1</v>
      </c>
      <c r="X78" s="3">
        <f t="shared" si="804"/>
        <v>1</v>
      </c>
      <c r="Y78" s="3">
        <f t="shared" si="804"/>
        <v>1</v>
      </c>
      <c r="Z78" s="3">
        <f>+AA78</f>
        <v>1</v>
      </c>
      <c r="AA78" s="3">
        <f>+AB78</f>
        <v>1</v>
      </c>
      <c r="AB78" s="37">
        <f>CP78</f>
        <v>1</v>
      </c>
      <c r="AC78" s="37">
        <f>CT78</f>
        <v>1</v>
      </c>
      <c r="AD78" s="37">
        <f>CX78</f>
        <v>1</v>
      </c>
      <c r="AE78" s="37">
        <f>DB78</f>
        <v>1</v>
      </c>
      <c r="AI78" s="3">
        <f t="shared" ref="AI78:CH78" si="805">AJ78</f>
        <v>1</v>
      </c>
      <c r="AJ78" s="3">
        <f t="shared" si="805"/>
        <v>1</v>
      </c>
      <c r="AK78" s="3">
        <f t="shared" si="805"/>
        <v>1</v>
      </c>
      <c r="AL78" s="3">
        <f t="shared" si="805"/>
        <v>1</v>
      </c>
      <c r="AM78" s="3">
        <f t="shared" si="805"/>
        <v>1</v>
      </c>
      <c r="AN78" s="3">
        <f t="shared" si="805"/>
        <v>1</v>
      </c>
      <c r="AO78" s="3">
        <f t="shared" si="805"/>
        <v>1</v>
      </c>
      <c r="AP78" s="3">
        <f t="shared" si="805"/>
        <v>1</v>
      </c>
      <c r="AQ78" s="3">
        <f t="shared" si="805"/>
        <v>1</v>
      </c>
      <c r="AR78" s="3">
        <f t="shared" si="805"/>
        <v>1</v>
      </c>
      <c r="AS78" s="3">
        <f t="shared" si="805"/>
        <v>1</v>
      </c>
      <c r="AT78" s="3">
        <f t="shared" si="805"/>
        <v>1</v>
      </c>
      <c r="AU78" s="3">
        <f t="shared" si="805"/>
        <v>1</v>
      </c>
      <c r="AV78" s="3">
        <f t="shared" si="805"/>
        <v>1</v>
      </c>
      <c r="AW78" s="3">
        <f t="shared" si="805"/>
        <v>1</v>
      </c>
      <c r="AX78" s="3">
        <f t="shared" si="805"/>
        <v>1</v>
      </c>
      <c r="AY78" s="3">
        <f t="shared" si="805"/>
        <v>1</v>
      </c>
      <c r="AZ78" s="3">
        <f t="shared" si="805"/>
        <v>1</v>
      </c>
      <c r="BA78" s="3">
        <f t="shared" si="805"/>
        <v>1</v>
      </c>
      <c r="BB78" s="3">
        <f t="shared" si="805"/>
        <v>1</v>
      </c>
      <c r="BC78" s="3">
        <f t="shared" si="805"/>
        <v>1</v>
      </c>
      <c r="BD78" s="3">
        <f t="shared" si="805"/>
        <v>1</v>
      </c>
      <c r="BE78" s="3">
        <f t="shared" si="805"/>
        <v>1</v>
      </c>
      <c r="BF78" s="3">
        <f t="shared" si="805"/>
        <v>1</v>
      </c>
      <c r="BG78" s="3">
        <f t="shared" si="805"/>
        <v>1</v>
      </c>
      <c r="BH78" s="3">
        <f t="shared" si="805"/>
        <v>1</v>
      </c>
      <c r="BI78" s="3">
        <f t="shared" si="805"/>
        <v>1</v>
      </c>
      <c r="BJ78" s="3">
        <f t="shared" si="805"/>
        <v>1</v>
      </c>
      <c r="BK78" s="3">
        <f t="shared" si="805"/>
        <v>1</v>
      </c>
      <c r="BL78" s="3">
        <f t="shared" si="805"/>
        <v>1</v>
      </c>
      <c r="BM78" s="3">
        <f t="shared" si="805"/>
        <v>1</v>
      </c>
      <c r="BN78" s="3">
        <f t="shared" si="805"/>
        <v>1</v>
      </c>
      <c r="BO78" s="3">
        <f t="shared" si="805"/>
        <v>1</v>
      </c>
      <c r="BP78" s="3">
        <f t="shared" si="805"/>
        <v>1</v>
      </c>
      <c r="BQ78" s="3">
        <f t="shared" si="805"/>
        <v>1</v>
      </c>
      <c r="BR78" s="3">
        <f t="shared" si="805"/>
        <v>1</v>
      </c>
      <c r="BS78" s="3">
        <f t="shared" si="805"/>
        <v>1</v>
      </c>
      <c r="BT78" s="3">
        <f t="shared" si="805"/>
        <v>1</v>
      </c>
      <c r="BU78" s="3">
        <f t="shared" si="805"/>
        <v>1</v>
      </c>
      <c r="BV78" s="3">
        <f t="shared" si="805"/>
        <v>1</v>
      </c>
      <c r="BW78" s="3">
        <f t="shared" si="805"/>
        <v>1</v>
      </c>
      <c r="BX78" s="3">
        <f t="shared" si="805"/>
        <v>1</v>
      </c>
      <c r="BY78" s="3">
        <f t="shared" si="805"/>
        <v>1</v>
      </c>
      <c r="BZ78" s="3">
        <f t="shared" si="805"/>
        <v>1</v>
      </c>
      <c r="CA78" s="3">
        <f t="shared" si="805"/>
        <v>1</v>
      </c>
      <c r="CB78" s="3">
        <f t="shared" si="805"/>
        <v>1</v>
      </c>
      <c r="CC78" s="3">
        <f t="shared" si="805"/>
        <v>1</v>
      </c>
      <c r="CD78" s="3">
        <f t="shared" si="805"/>
        <v>1</v>
      </c>
      <c r="CE78" s="3">
        <f t="shared" si="805"/>
        <v>1</v>
      </c>
      <c r="CF78" s="3">
        <f t="shared" si="805"/>
        <v>1</v>
      </c>
      <c r="CG78" s="3">
        <f t="shared" si="805"/>
        <v>1</v>
      </c>
      <c r="CH78" s="3">
        <f t="shared" si="805"/>
        <v>1</v>
      </c>
      <c r="CI78" s="3">
        <f>CJ78</f>
        <v>1</v>
      </c>
      <c r="CJ78" s="3">
        <f>'QTR Raw'!BD46</f>
        <v>1</v>
      </c>
      <c r="CK78" s="3">
        <f>'QTR Raw'!BE46</f>
        <v>1</v>
      </c>
      <c r="CL78" s="3">
        <f>'QTR Raw'!BF46</f>
        <v>1</v>
      </c>
      <c r="CM78" s="37">
        <f t="shared" si="788"/>
        <v>1</v>
      </c>
      <c r="CN78" s="37">
        <f t="shared" si="789"/>
        <v>1</v>
      </c>
      <c r="CO78" s="37">
        <f t="shared" si="790"/>
        <v>1</v>
      </c>
      <c r="CP78" s="37">
        <f t="shared" si="791"/>
        <v>1</v>
      </c>
      <c r="CQ78" s="37">
        <f t="shared" si="792"/>
        <v>1</v>
      </c>
      <c r="CR78" s="37">
        <f t="shared" si="793"/>
        <v>1</v>
      </c>
      <c r="CS78" s="37">
        <f t="shared" si="794"/>
        <v>1</v>
      </c>
      <c r="CT78" s="37">
        <f t="shared" si="795"/>
        <v>1</v>
      </c>
      <c r="CU78" s="37">
        <f t="shared" si="796"/>
        <v>1</v>
      </c>
      <c r="CV78" s="37">
        <f t="shared" si="797"/>
        <v>1</v>
      </c>
      <c r="CW78" s="37">
        <f t="shared" si="798"/>
        <v>1</v>
      </c>
      <c r="CX78" s="37">
        <f t="shared" si="799"/>
        <v>1</v>
      </c>
      <c r="CY78" s="37">
        <f t="shared" si="800"/>
        <v>1</v>
      </c>
      <c r="CZ78" s="37">
        <f t="shared" si="801"/>
        <v>1</v>
      </c>
      <c r="DA78" s="37">
        <f t="shared" si="802"/>
        <v>1</v>
      </c>
      <c r="DB78" s="37">
        <f t="shared" si="803"/>
        <v>1</v>
      </c>
      <c r="DE78" s="134"/>
      <c r="DF78" s="3">
        <v>1</v>
      </c>
    </row>
    <row r="79" spans="1:110" s="3" customFormat="1" x14ac:dyDescent="0.2">
      <c r="A79" s="3" t="s">
        <v>29</v>
      </c>
      <c r="B79" s="3">
        <f>B77/B78</f>
        <v>5.6219900000000003</v>
      </c>
      <c r="C79" s="3">
        <f t="shared" ref="C79:W79" si="806">C77/C78</f>
        <v>5.6219900000000003</v>
      </c>
      <c r="D79" s="3">
        <f t="shared" si="806"/>
        <v>5.6219900000000003</v>
      </c>
      <c r="E79" s="3">
        <f t="shared" si="806"/>
        <v>98.96</v>
      </c>
      <c r="F79" s="3">
        <f t="shared" si="806"/>
        <v>98.96</v>
      </c>
      <c r="G79" s="3">
        <f t="shared" si="806"/>
        <v>98.96</v>
      </c>
      <c r="H79" s="3">
        <f t="shared" si="806"/>
        <v>98.96</v>
      </c>
      <c r="I79" s="3">
        <f t="shared" si="806"/>
        <v>98.96</v>
      </c>
      <c r="J79" s="3">
        <f t="shared" si="806"/>
        <v>98.96</v>
      </c>
      <c r="K79" s="3">
        <f t="shared" si="806"/>
        <v>98.96</v>
      </c>
      <c r="L79" s="3">
        <f t="shared" si="806"/>
        <v>98.96</v>
      </c>
      <c r="M79" s="3">
        <f t="shared" si="806"/>
        <v>98.96</v>
      </c>
      <c r="N79" s="3">
        <f t="shared" si="806"/>
        <v>98.96</v>
      </c>
      <c r="O79" s="3">
        <f t="shared" si="806"/>
        <v>98.96</v>
      </c>
      <c r="P79" s="3">
        <f t="shared" si="806"/>
        <v>98.96</v>
      </c>
      <c r="Q79" s="3">
        <f t="shared" si="806"/>
        <v>98.96</v>
      </c>
      <c r="R79" s="3">
        <f t="shared" si="806"/>
        <v>98.96</v>
      </c>
      <c r="S79" s="3">
        <f t="shared" si="806"/>
        <v>98.96</v>
      </c>
      <c r="T79" s="3">
        <f t="shared" si="806"/>
        <v>98.96</v>
      </c>
      <c r="U79" s="3">
        <f t="shared" si="806"/>
        <v>98.96</v>
      </c>
      <c r="V79" s="3">
        <f>V77/V78</f>
        <v>98.96</v>
      </c>
      <c r="W79" s="3">
        <f t="shared" si="806"/>
        <v>98.96</v>
      </c>
      <c r="X79" s="3">
        <f t="shared" ref="X79:Y79" si="807">X77/X78</f>
        <v>98.96</v>
      </c>
      <c r="Y79" s="3">
        <f t="shared" si="807"/>
        <v>98.96</v>
      </c>
      <c r="Z79" s="3">
        <f t="shared" ref="Z79:AA79" si="808">Z77/Z78</f>
        <v>98.96</v>
      </c>
      <c r="AA79" s="3">
        <f t="shared" si="808"/>
        <v>98.96</v>
      </c>
      <c r="AB79" s="37">
        <f t="shared" ref="AA79:AD79" si="809">AB77/AB78</f>
        <v>98.96</v>
      </c>
      <c r="AC79" s="37">
        <f t="shared" si="809"/>
        <v>98.96</v>
      </c>
      <c r="AD79" s="37">
        <f t="shared" si="809"/>
        <v>98.96</v>
      </c>
      <c r="AE79" s="37">
        <f t="shared" ref="AE79" si="810">AE77/AE78</f>
        <v>98.96</v>
      </c>
      <c r="AI79" s="3">
        <f t="shared" ref="AI79" si="811">AI77/AI78</f>
        <v>98.95</v>
      </c>
      <c r="AJ79" s="3">
        <f t="shared" ref="AJ79" si="812">AJ77/AJ78</f>
        <v>98.95</v>
      </c>
      <c r="AK79" s="3">
        <f t="shared" ref="AK79:AM79" si="813">AK77/AK78</f>
        <v>98.95</v>
      </c>
      <c r="AL79" s="3">
        <f t="shared" si="813"/>
        <v>98.95</v>
      </c>
      <c r="AM79" s="3">
        <f t="shared" si="813"/>
        <v>98.95</v>
      </c>
      <c r="AN79" s="3">
        <f t="shared" ref="AN79:AO79" si="814">AN77/AN78</f>
        <v>98.95</v>
      </c>
      <c r="AO79" s="3">
        <f t="shared" si="814"/>
        <v>98.95</v>
      </c>
      <c r="AP79" s="3">
        <f t="shared" ref="AP79:CD79" si="815">AP77/AP78</f>
        <v>98.95</v>
      </c>
      <c r="AQ79" s="3">
        <f t="shared" si="815"/>
        <v>98.95</v>
      </c>
      <c r="AR79" s="3">
        <f t="shared" si="815"/>
        <v>98.95</v>
      </c>
      <c r="AS79" s="3">
        <f t="shared" si="815"/>
        <v>98.95</v>
      </c>
      <c r="AT79" s="3">
        <f t="shared" si="815"/>
        <v>98.95</v>
      </c>
      <c r="AU79" s="3">
        <f t="shared" si="815"/>
        <v>98.95</v>
      </c>
      <c r="AV79" s="3">
        <f t="shared" si="815"/>
        <v>98.95</v>
      </c>
      <c r="AW79" s="3">
        <f t="shared" si="815"/>
        <v>98.95</v>
      </c>
      <c r="AX79" s="3">
        <f t="shared" si="815"/>
        <v>98.95</v>
      </c>
      <c r="AY79" s="3">
        <f t="shared" si="815"/>
        <v>98.95</v>
      </c>
      <c r="AZ79" s="3">
        <f t="shared" si="815"/>
        <v>98.95</v>
      </c>
      <c r="BA79" s="3">
        <f t="shared" si="815"/>
        <v>98.95</v>
      </c>
      <c r="BB79" s="3">
        <f t="shared" si="815"/>
        <v>98.95</v>
      </c>
      <c r="BC79" s="3">
        <f t="shared" si="815"/>
        <v>98.95</v>
      </c>
      <c r="BD79" s="3">
        <f t="shared" si="815"/>
        <v>98.95</v>
      </c>
      <c r="BE79" s="3">
        <f t="shared" si="815"/>
        <v>98.95</v>
      </c>
      <c r="BF79" s="3">
        <f t="shared" si="815"/>
        <v>98.95</v>
      </c>
      <c r="BG79" s="3">
        <f t="shared" si="815"/>
        <v>98.95</v>
      </c>
      <c r="BH79" s="3">
        <f t="shared" si="815"/>
        <v>98.95</v>
      </c>
      <c r="BI79" s="3">
        <f t="shared" si="815"/>
        <v>98.95</v>
      </c>
      <c r="BJ79" s="3">
        <f t="shared" si="815"/>
        <v>98.95</v>
      </c>
      <c r="BK79" s="3">
        <f t="shared" si="815"/>
        <v>98.95</v>
      </c>
      <c r="BL79" s="3">
        <f t="shared" si="815"/>
        <v>98.95</v>
      </c>
      <c r="BM79" s="3">
        <f t="shared" si="815"/>
        <v>98.95</v>
      </c>
      <c r="BN79" s="3">
        <f t="shared" si="815"/>
        <v>98.95</v>
      </c>
      <c r="BO79" s="3">
        <f t="shared" si="815"/>
        <v>98.95</v>
      </c>
      <c r="BP79" s="3">
        <f t="shared" si="815"/>
        <v>98.95</v>
      </c>
      <c r="BQ79" s="3">
        <f t="shared" si="815"/>
        <v>98.95</v>
      </c>
      <c r="BR79" s="3">
        <f t="shared" si="815"/>
        <v>98.95</v>
      </c>
      <c r="BS79" s="3">
        <f t="shared" si="815"/>
        <v>98.95</v>
      </c>
      <c r="BT79" s="3">
        <f t="shared" si="815"/>
        <v>98.95</v>
      </c>
      <c r="BU79" s="3">
        <f t="shared" si="815"/>
        <v>98.95</v>
      </c>
      <c r="BV79" s="3">
        <f t="shared" si="815"/>
        <v>98.95</v>
      </c>
      <c r="BW79" s="3">
        <f t="shared" si="815"/>
        <v>98.95</v>
      </c>
      <c r="BX79" s="3">
        <f t="shared" si="815"/>
        <v>98.95</v>
      </c>
      <c r="BY79" s="3">
        <f t="shared" si="815"/>
        <v>98.95</v>
      </c>
      <c r="BZ79" s="3">
        <f t="shared" si="815"/>
        <v>98.95</v>
      </c>
      <c r="CA79" s="3">
        <f t="shared" si="815"/>
        <v>98.95</v>
      </c>
      <c r="CB79" s="3">
        <f t="shared" si="815"/>
        <v>98.95</v>
      </c>
      <c r="CC79" s="3">
        <f t="shared" si="815"/>
        <v>98.95</v>
      </c>
      <c r="CD79" s="3">
        <f t="shared" si="815"/>
        <v>98.95</v>
      </c>
      <c r="CE79" s="3">
        <f t="shared" ref="CE79:CF79" si="816">CE77/CE78</f>
        <v>98.95</v>
      </c>
      <c r="CF79" s="3">
        <f t="shared" si="816"/>
        <v>98.95</v>
      </c>
      <c r="CG79" s="3">
        <f t="shared" ref="CG79:CH79" si="817">CG77/CG78</f>
        <v>98.95</v>
      </c>
      <c r="CH79" s="3">
        <f t="shared" si="817"/>
        <v>98.95</v>
      </c>
      <c r="CI79" s="3">
        <f t="shared" ref="CI79:CJ79" si="818">CI77/CI78</f>
        <v>98.95</v>
      </c>
      <c r="CJ79" s="3">
        <f t="shared" si="818"/>
        <v>98.95</v>
      </c>
      <c r="CK79" s="3">
        <f t="shared" ref="CK79:CL79" si="819">CK77/CK78</f>
        <v>98.95</v>
      </c>
      <c r="CL79" s="3">
        <f t="shared" si="819"/>
        <v>98.96</v>
      </c>
      <c r="CM79" s="37">
        <f t="shared" ref="CM79:DB79" si="820">CM77/CM78</f>
        <v>98.96</v>
      </c>
      <c r="CN79" s="37">
        <f t="shared" si="820"/>
        <v>98.96</v>
      </c>
      <c r="CO79" s="37">
        <f t="shared" si="820"/>
        <v>98.96</v>
      </c>
      <c r="CP79" s="37">
        <f t="shared" si="820"/>
        <v>98.96</v>
      </c>
      <c r="CQ79" s="37">
        <f t="shared" si="820"/>
        <v>98.96</v>
      </c>
      <c r="CR79" s="37">
        <f t="shared" si="820"/>
        <v>98.96</v>
      </c>
      <c r="CS79" s="37">
        <f t="shared" si="820"/>
        <v>98.96</v>
      </c>
      <c r="CT79" s="37">
        <f t="shared" si="820"/>
        <v>98.96</v>
      </c>
      <c r="CU79" s="37">
        <f t="shared" si="820"/>
        <v>98.96</v>
      </c>
      <c r="CV79" s="37">
        <f t="shared" si="820"/>
        <v>98.96</v>
      </c>
      <c r="CW79" s="37">
        <f t="shared" si="820"/>
        <v>98.96</v>
      </c>
      <c r="CX79" s="37">
        <f t="shared" si="820"/>
        <v>98.96</v>
      </c>
      <c r="CY79" s="37">
        <f t="shared" si="820"/>
        <v>98.96</v>
      </c>
      <c r="CZ79" s="37">
        <f t="shared" si="820"/>
        <v>98.96</v>
      </c>
      <c r="DA79" s="37">
        <f t="shared" si="820"/>
        <v>98.96</v>
      </c>
      <c r="DB79" s="37">
        <f t="shared" si="820"/>
        <v>98.96</v>
      </c>
      <c r="DE79" s="134"/>
      <c r="DF79" s="3">
        <v>98.95</v>
      </c>
    </row>
    <row r="80" spans="1:110" s="53" customFormat="1" x14ac:dyDescent="0.2">
      <c r="A80" s="53" t="s">
        <v>30</v>
      </c>
      <c r="B80" s="53">
        <f t="shared" ref="B80:AE80" si="821">(B62-B61)/B79</f>
        <v>17.824453618736442</v>
      </c>
      <c r="C80" s="53">
        <f t="shared" si="821"/>
        <v>17.550262451551795</v>
      </c>
      <c r="D80" s="53">
        <f t="shared" si="821"/>
        <v>14.823630066933443</v>
      </c>
      <c r="E80" s="53">
        <f t="shared" si="821"/>
        <v>2.0436540016168143</v>
      </c>
      <c r="F80" s="53">
        <f t="shared" si="821"/>
        <v>2.6098858124494773</v>
      </c>
      <c r="G80" s="53">
        <f t="shared" si="821"/>
        <v>2.9495614389652425</v>
      </c>
      <c r="H80" s="53">
        <f t="shared" si="821"/>
        <v>3.0891137833468107</v>
      </c>
      <c r="I80" s="53">
        <f t="shared" si="821"/>
        <v>-0.23906325788197919</v>
      </c>
      <c r="J80" s="53">
        <f t="shared" si="821"/>
        <v>-0.30144603880355464</v>
      </c>
      <c r="K80" s="53">
        <f t="shared" si="821"/>
        <v>3.781027687954726</v>
      </c>
      <c r="L80" s="53">
        <f t="shared" si="821"/>
        <v>2.4738884397736411</v>
      </c>
      <c r="M80" s="53">
        <f t="shared" si="821"/>
        <v>3.3711438965238485</v>
      </c>
      <c r="N80" s="53">
        <f t="shared" si="821"/>
        <v>4.051291430881176</v>
      </c>
      <c r="O80" s="53">
        <f t="shared" si="821"/>
        <v>3.9586994745351598</v>
      </c>
      <c r="P80" s="53">
        <f t="shared" si="821"/>
        <v>3.8178051738075842</v>
      </c>
      <c r="Q80" s="53">
        <f t="shared" si="821"/>
        <v>3.3080032336297545</v>
      </c>
      <c r="R80" s="53">
        <f t="shared" si="821"/>
        <v>3.8817704122877901</v>
      </c>
      <c r="S80" s="53">
        <f t="shared" si="821"/>
        <v>5.2212004850444655</v>
      </c>
      <c r="T80" s="53">
        <f t="shared" si="821"/>
        <v>4.4611964430072746</v>
      </c>
      <c r="U80" s="53">
        <f t="shared" si="821"/>
        <v>7.4226960388035428</v>
      </c>
      <c r="V80" s="53">
        <f t="shared" si="821"/>
        <v>8.9666531932093871</v>
      </c>
      <c r="W80" s="53">
        <f t="shared" si="821"/>
        <v>9.9822150363783422</v>
      </c>
      <c r="X80" s="53">
        <f t="shared" si="821"/>
        <v>10.552950687146314</v>
      </c>
      <c r="Y80" s="53">
        <f t="shared" si="821"/>
        <v>14.928961196443016</v>
      </c>
      <c r="Z80" s="53">
        <f t="shared" si="821"/>
        <v>12.970695230396133</v>
      </c>
      <c r="AA80" s="53">
        <f t="shared" ref="AA80" si="822">(AA62-AA61)/AA79</f>
        <v>15.787793047696042</v>
      </c>
      <c r="AB80" s="54">
        <f t="shared" si="821"/>
        <v>21.43490864502817</v>
      </c>
      <c r="AC80" s="54">
        <f t="shared" si="821"/>
        <v>25.774672865968071</v>
      </c>
      <c r="AD80" s="54">
        <f t="shared" si="821"/>
        <v>31.008723193889846</v>
      </c>
      <c r="AE80" s="54">
        <f t="shared" si="821"/>
        <v>37.056332618205033</v>
      </c>
      <c r="AI80" s="53">
        <f t="shared" ref="AI80:BN80" si="823">(AI62-AI61)/AI79</f>
        <v>0.83951490651844562</v>
      </c>
      <c r="AJ80" s="53">
        <f t="shared" si="823"/>
        <v>1.3165234967155144</v>
      </c>
      <c r="AK80" s="53">
        <f t="shared" si="823"/>
        <v>0.93299646286002702</v>
      </c>
      <c r="AL80" s="53">
        <f t="shared" si="823"/>
        <v>0.96270843860535438</v>
      </c>
      <c r="AM80" s="53">
        <f t="shared" si="823"/>
        <v>0.90955027791813925</v>
      </c>
      <c r="AN80" s="53">
        <f t="shared" si="823"/>
        <v>0.88913592723597923</v>
      </c>
      <c r="AO80" s="53">
        <f t="shared" si="823"/>
        <v>1.3415866599292572</v>
      </c>
      <c r="AP80" s="53">
        <f t="shared" si="823"/>
        <v>0.81879737241030792</v>
      </c>
      <c r="AQ80" s="53">
        <f t="shared" si="823"/>
        <v>1.0098029307731171</v>
      </c>
      <c r="AR80" s="53">
        <f t="shared" si="823"/>
        <v>0.88155634158666141</v>
      </c>
      <c r="AS80" s="53">
        <f t="shared" si="823"/>
        <v>0.85133906013138194</v>
      </c>
      <c r="AT80" s="53">
        <f t="shared" si="823"/>
        <v>1.0754926730672048</v>
      </c>
      <c r="AU80" s="53">
        <f t="shared" si="823"/>
        <v>0.75907023749368008</v>
      </c>
      <c r="AV80" s="53">
        <f t="shared" si="823"/>
        <v>0.86114199090449717</v>
      </c>
      <c r="AW80" s="53">
        <f t="shared" si="823"/>
        <v>0.69075290550783086</v>
      </c>
      <c r="AX80" s="53">
        <f t="shared" si="823"/>
        <v>0.99737241030823476</v>
      </c>
      <c r="AY80" s="53">
        <f t="shared" si="823"/>
        <v>1.0650833754421427</v>
      </c>
      <c r="AZ80" s="53">
        <f t="shared" si="823"/>
        <v>1.2809499747347146</v>
      </c>
      <c r="BA80" s="53">
        <f t="shared" si="823"/>
        <v>0.78918645780697261</v>
      </c>
      <c r="BB80" s="53">
        <f t="shared" si="823"/>
        <v>0.7469429004547754</v>
      </c>
      <c r="BC80" s="53">
        <f t="shared" si="823"/>
        <v>1.2059626073774652</v>
      </c>
      <c r="BD80" s="53">
        <f t="shared" si="823"/>
        <v>1.5763516927741297</v>
      </c>
      <c r="BE80" s="53">
        <f t="shared" si="823"/>
        <v>1.8219302678120277</v>
      </c>
      <c r="BF80" s="53">
        <f t="shared" si="823"/>
        <v>0.61748357756442918</v>
      </c>
      <c r="BG80" s="53">
        <f t="shared" si="823"/>
        <v>1.3584638706417389</v>
      </c>
      <c r="BH80" s="53">
        <f t="shared" si="823"/>
        <v>1.783223850429507</v>
      </c>
      <c r="BI80" s="53">
        <f t="shared" si="823"/>
        <v>1.0037392622536625</v>
      </c>
      <c r="BJ80" s="53">
        <f t="shared" si="823"/>
        <v>0.31622031328954009</v>
      </c>
      <c r="BK80" s="53">
        <f t="shared" si="823"/>
        <v>1.8372915613946448</v>
      </c>
      <c r="BL80" s="53">
        <f t="shared" si="823"/>
        <v>1.9672561899949488</v>
      </c>
      <c r="BM80" s="53">
        <f t="shared" si="823"/>
        <v>1.7199595755432047</v>
      </c>
      <c r="BN80" s="53">
        <f t="shared" si="823"/>
        <v>1.8989388580090969</v>
      </c>
      <c r="BO80" s="53">
        <f t="shared" ref="BO80:CT80" si="824">(BO62-BO61)/BO79</f>
        <v>2.6705406771096505</v>
      </c>
      <c r="BP80" s="53">
        <f t="shared" si="824"/>
        <v>2.8394138453764555</v>
      </c>
      <c r="BQ80" s="53">
        <f t="shared" si="824"/>
        <v>2.2668014148559874</v>
      </c>
      <c r="BR80" s="53">
        <f t="shared" si="824"/>
        <v>1.1908034360788258</v>
      </c>
      <c r="BS80" s="53">
        <f t="shared" si="824"/>
        <v>1.9107630116220278</v>
      </c>
      <c r="BT80" s="53">
        <f t="shared" si="824"/>
        <v>2.8736735725113691</v>
      </c>
      <c r="BU80" s="53">
        <f t="shared" si="824"/>
        <v>2.8118241536129376</v>
      </c>
      <c r="BV80" s="53">
        <f t="shared" si="824"/>
        <v>2.3869631126831696</v>
      </c>
      <c r="BW80" s="53">
        <f t="shared" si="824"/>
        <v>2.823951490651841</v>
      </c>
      <c r="BX80" s="53">
        <f t="shared" si="824"/>
        <v>2.1903991915108678</v>
      </c>
      <c r="BY80" s="53">
        <f t="shared" si="824"/>
        <v>2.7608893380495223</v>
      </c>
      <c r="BZ80" s="53">
        <f t="shared" si="824"/>
        <v>2.778777160181908</v>
      </c>
      <c r="CA80" s="53">
        <f t="shared" si="824"/>
        <v>3.2516422435573533</v>
      </c>
      <c r="CB80" s="53">
        <f t="shared" si="824"/>
        <v>3.5653360282971231</v>
      </c>
      <c r="CC80" s="53">
        <f t="shared" si="824"/>
        <v>3.7433046993431045</v>
      </c>
      <c r="CD80" s="53">
        <f t="shared" si="824"/>
        <v>4.3701869631126833</v>
      </c>
      <c r="CE80" s="53">
        <f t="shared" si="824"/>
        <v>3.1068216270843845</v>
      </c>
      <c r="CF80" s="53">
        <f t="shared" si="824"/>
        <v>3.9574532592218259</v>
      </c>
      <c r="CG80" s="53">
        <f t="shared" si="824"/>
        <v>2.8806467913087443</v>
      </c>
      <c r="CH80" s="53">
        <f t="shared" si="824"/>
        <v>3.0270843860535646</v>
      </c>
      <c r="CI80" s="53">
        <f t="shared" si="824"/>
        <v>3.376958059626074</v>
      </c>
      <c r="CJ80" s="53">
        <f t="shared" si="824"/>
        <v>4.0875189489641155</v>
      </c>
      <c r="CK80" s="53">
        <f t="shared" ref="CK80:CL80" si="825">(CK62-CK61)/CK79</f>
        <v>4.1179383527033844</v>
      </c>
      <c r="CL80" s="53">
        <f t="shared" si="825"/>
        <v>4.206548100242518</v>
      </c>
      <c r="CM80" s="54">
        <f t="shared" si="824"/>
        <v>4.6674812515089039</v>
      </c>
      <c r="CN80" s="54">
        <f t="shared" si="824"/>
        <v>5.1981193289302441</v>
      </c>
      <c r="CO80" s="54">
        <f t="shared" si="824"/>
        <v>5.5078234689371639</v>
      </c>
      <c r="CP80" s="54">
        <f t="shared" si="824"/>
        <v>6.0614845956518897</v>
      </c>
      <c r="CQ80" s="54">
        <f t="shared" si="824"/>
        <v>5.8595969358489892</v>
      </c>
      <c r="CR80" s="54">
        <f t="shared" si="824"/>
        <v>6.3240527556809134</v>
      </c>
      <c r="CS80" s="54">
        <f t="shared" si="824"/>
        <v>6.5339506768676632</v>
      </c>
      <c r="CT80" s="54">
        <f t="shared" si="824"/>
        <v>7.057072497570493</v>
      </c>
      <c r="CU80" s="54">
        <f t="shared" ref="CU80:DB80" si="826">(CU62-CU61)/CU79</f>
        <v>7.11666346069575</v>
      </c>
      <c r="CV80" s="54">
        <f t="shared" si="826"/>
        <v>7.6116296124843901</v>
      </c>
      <c r="CW80" s="54">
        <f t="shared" si="826"/>
        <v>7.8218861205052157</v>
      </c>
      <c r="CX80" s="54">
        <f t="shared" si="826"/>
        <v>8.4585440002045118</v>
      </c>
      <c r="CY80" s="54">
        <f t="shared" si="826"/>
        <v>8.5305469479008096</v>
      </c>
      <c r="CZ80" s="54">
        <f t="shared" si="826"/>
        <v>9.1004128471830228</v>
      </c>
      <c r="DA80" s="54">
        <f t="shared" si="826"/>
        <v>9.3284386165361131</v>
      </c>
      <c r="DB80" s="54">
        <f t="shared" si="826"/>
        <v>10.096934206585093</v>
      </c>
      <c r="DE80" s="132"/>
      <c r="DF80" s="53">
        <v>4.8979955963525805</v>
      </c>
    </row>
    <row r="81" spans="1:110" s="3" customFormat="1" x14ac:dyDescent="0.2">
      <c r="A81" s="3" t="s">
        <v>31</v>
      </c>
      <c r="B81" s="3">
        <f>'Annual Raw'!C110</f>
        <v>0.88932806324110703</v>
      </c>
      <c r="C81" s="3">
        <f>'Annual Raw'!D110</f>
        <v>0.69169960474308301</v>
      </c>
      <c r="D81" s="3">
        <f>'Annual Raw'!E110</f>
        <v>0.69169960474308301</v>
      </c>
      <c r="E81" s="3">
        <f>'Annual Raw'!F110</f>
        <v>0.83992094861660105</v>
      </c>
      <c r="F81" s="3">
        <f>'Annual Raw'!G110</f>
        <v>0.98814229249011898</v>
      </c>
      <c r="G81" s="3">
        <f>'Annual Raw'!H110</f>
        <v>1.1857707509881401</v>
      </c>
      <c r="H81" s="3">
        <f>'Annual Raw'!I110</f>
        <v>1.48221343873518</v>
      </c>
      <c r="I81" s="3">
        <f>'Annual Raw'!J110</f>
        <v>3.4584980237154199</v>
      </c>
      <c r="J81" s="3">
        <f>'Annual Raw'!K110</f>
        <v>1.72924901185771</v>
      </c>
      <c r="K81" s="3">
        <f>'Annual Raw'!L110</f>
        <v>1.97628458498024</v>
      </c>
      <c r="L81" s="3">
        <f>'Annual Raw'!M110</f>
        <v>1.98019801980198</v>
      </c>
      <c r="M81" s="3">
        <f>'Annual Raw'!N110</f>
        <v>2.1287128712871302</v>
      </c>
      <c r="N81" s="3">
        <f>'Annual Raw'!O110</f>
        <v>2.1287128712871302</v>
      </c>
      <c r="O81" s="3">
        <f>'Annual Raw'!P110</f>
        <v>2.2277227722772301</v>
      </c>
      <c r="P81" s="3">
        <f>'Annual Raw'!Q110</f>
        <v>2.2277227722772301</v>
      </c>
      <c r="Q81" s="3">
        <f>'Annual Raw'!R110</f>
        <v>2.2277227722772301</v>
      </c>
      <c r="R81" s="3">
        <f>'Annual Raw'!S110</f>
        <v>2.3267326732673301</v>
      </c>
      <c r="S81" s="3">
        <f>'Annual Raw'!T110</f>
        <v>2.4752475247524801</v>
      </c>
      <c r="T81" s="3">
        <f>'Annual Raw'!U110</f>
        <v>2.4752475247524801</v>
      </c>
      <c r="U81" s="3">
        <f>'Annual Raw'!V110</f>
        <v>2.6732673267326699</v>
      </c>
      <c r="V81" s="3">
        <f>'Annual Raw'!W110</f>
        <v>4.0099009900990099</v>
      </c>
      <c r="W81" s="3">
        <f>'Annual Raw'!X110</f>
        <v>5.9900990099009901</v>
      </c>
      <c r="X81" s="3">
        <f>'Annual Raw'!Y110</f>
        <v>8.3663366336633693</v>
      </c>
      <c r="Y81" s="3">
        <f>'Annual Raw'!Z110</f>
        <v>7.6732673267326703</v>
      </c>
      <c r="Z81" s="3">
        <f>'Annual Raw'!AA110</f>
        <v>8.25</v>
      </c>
      <c r="AA81" s="3">
        <f>'Annual Raw'!AB110</f>
        <v>10</v>
      </c>
      <c r="AB81" s="37"/>
      <c r="AC81" s="37"/>
      <c r="AD81" s="37"/>
      <c r="AE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E81" s="134"/>
    </row>
    <row r="82" spans="1:110" s="3" customFormat="1" x14ac:dyDescent="0.2">
      <c r="A82" s="3" t="s">
        <v>32</v>
      </c>
      <c r="B82" s="3">
        <f>B81/B80</f>
        <v>4.9893706829042796E-2</v>
      </c>
      <c r="C82" s="3">
        <f t="shared" ref="C82:U82" si="827">C81/C80</f>
        <v>3.94124934970373E-2</v>
      </c>
      <c r="D82" s="3">
        <f t="shared" si="827"/>
        <v>4.666195807773383E-2</v>
      </c>
      <c r="E82" s="3">
        <f t="shared" si="827"/>
        <v>0.41098979961975307</v>
      </c>
      <c r="F82" s="3">
        <f t="shared" si="827"/>
        <v>0.37861514391800527</v>
      </c>
      <c r="G82" s="3">
        <f t="shared" si="827"/>
        <v>0.40201595237973042</v>
      </c>
      <c r="H82" s="3">
        <f t="shared" si="827"/>
        <v>0.4798183371314082</v>
      </c>
      <c r="I82" s="3">
        <f t="shared" si="827"/>
        <v>-14.46687397451436</v>
      </c>
      <c r="J82" s="3">
        <f t="shared" si="827"/>
        <v>-5.7365126399442294</v>
      </c>
      <c r="K82" s="3">
        <f t="shared" si="827"/>
        <v>0.52268450487049278</v>
      </c>
      <c r="L82" s="3">
        <f t="shared" si="827"/>
        <v>0.80043949758024113</v>
      </c>
      <c r="M82" s="3">
        <f t="shared" si="827"/>
        <v>0.63145120369443442</v>
      </c>
      <c r="N82" s="3">
        <f t="shared" si="827"/>
        <v>0.52544056817559637</v>
      </c>
      <c r="O82" s="3">
        <f t="shared" si="827"/>
        <v>0.56274106852701034</v>
      </c>
      <c r="P82" s="3">
        <f t="shared" si="827"/>
        <v>0.58350876245879024</v>
      </c>
      <c r="Q82" s="3">
        <f t="shared" si="827"/>
        <v>0.67343427891176189</v>
      </c>
      <c r="R82" s="3">
        <f t="shared" si="827"/>
        <v>0.59939986813801005</v>
      </c>
      <c r="S82" s="3">
        <f t="shared" si="827"/>
        <v>0.47407632245544773</v>
      </c>
      <c r="T82" s="3">
        <f t="shared" si="827"/>
        <v>0.55483939261009674</v>
      </c>
      <c r="U82" s="3">
        <f t="shared" si="827"/>
        <v>0.36014775665845145</v>
      </c>
      <c r="V82" s="3">
        <f>V81/V80</f>
        <v>0.44720152588657969</v>
      </c>
      <c r="W82" s="3">
        <f t="shared" ref="W82" si="828">W81/W80</f>
        <v>0.60007713599348222</v>
      </c>
      <c r="X82" s="3">
        <f t="shared" ref="X82:Y82" si="829">X81/X80</f>
        <v>0.79279595647629808</v>
      </c>
      <c r="Y82" s="3">
        <f t="shared" si="829"/>
        <v>0.513985348730152</v>
      </c>
      <c r="Z82" s="3">
        <f t="shared" ref="Z82:AA82" si="830">Z81/Z80</f>
        <v>0.63604917496377256</v>
      </c>
      <c r="AA82" s="3">
        <f t="shared" si="830"/>
        <v>0.63340075270744245</v>
      </c>
      <c r="AB82" s="37">
        <f t="shared" ref="AA82:AD82" si="831">AB81/AB80</f>
        <v>0</v>
      </c>
      <c r="AC82" s="37">
        <f t="shared" si="831"/>
        <v>0</v>
      </c>
      <c r="AD82" s="37">
        <f t="shared" si="831"/>
        <v>0</v>
      </c>
      <c r="AE82" s="37">
        <f t="shared" ref="AE82" si="832">AE81/AE80</f>
        <v>0</v>
      </c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E82" s="134"/>
      <c r="DF82" s="3">
        <v>0</v>
      </c>
    </row>
    <row r="83" spans="1:110" s="3" customFormat="1" x14ac:dyDescent="0.2">
      <c r="A83" s="3" t="s">
        <v>33</v>
      </c>
      <c r="B83" s="3">
        <f>+B80</f>
        <v>17.824453618736442</v>
      </c>
      <c r="C83" s="3">
        <f t="shared" ref="C83:U83" si="833">+C80</f>
        <v>17.550262451551795</v>
      </c>
      <c r="D83" s="3">
        <f t="shared" si="833"/>
        <v>14.823630066933443</v>
      </c>
      <c r="E83" s="3">
        <f t="shared" si="833"/>
        <v>2.0436540016168143</v>
      </c>
      <c r="F83" s="3">
        <f t="shared" si="833"/>
        <v>2.6098858124494773</v>
      </c>
      <c r="G83" s="3">
        <f t="shared" si="833"/>
        <v>2.9495614389652425</v>
      </c>
      <c r="H83" s="3">
        <f t="shared" si="833"/>
        <v>3.0891137833468107</v>
      </c>
      <c r="I83" s="3">
        <f t="shared" si="833"/>
        <v>-0.23906325788197919</v>
      </c>
      <c r="J83" s="3">
        <f t="shared" si="833"/>
        <v>-0.30144603880355464</v>
      </c>
      <c r="K83" s="3">
        <f t="shared" si="833"/>
        <v>3.781027687954726</v>
      </c>
      <c r="L83" s="3">
        <f t="shared" si="833"/>
        <v>2.4738884397736411</v>
      </c>
      <c r="M83" s="3">
        <f t="shared" si="833"/>
        <v>3.3711438965238485</v>
      </c>
      <c r="N83" s="3">
        <f t="shared" si="833"/>
        <v>4.051291430881176</v>
      </c>
      <c r="O83" s="3">
        <f t="shared" si="833"/>
        <v>3.9586994745351598</v>
      </c>
      <c r="P83" s="3">
        <f t="shared" si="833"/>
        <v>3.8178051738075842</v>
      </c>
      <c r="Q83" s="3">
        <f t="shared" si="833"/>
        <v>3.3080032336297545</v>
      </c>
      <c r="R83" s="3">
        <f t="shared" si="833"/>
        <v>3.8817704122877901</v>
      </c>
      <c r="S83" s="3">
        <f t="shared" si="833"/>
        <v>5.2212004850444655</v>
      </c>
      <c r="T83" s="3">
        <f>+T80</f>
        <v>4.4611964430072746</v>
      </c>
      <c r="U83" s="3">
        <f t="shared" si="833"/>
        <v>7.4226960388035428</v>
      </c>
      <c r="V83" s="3">
        <f>+V80</f>
        <v>8.9666531932093871</v>
      </c>
      <c r="W83" s="3">
        <f t="shared" ref="W83" si="834">+W80</f>
        <v>9.9822150363783422</v>
      </c>
      <c r="X83" s="3">
        <f t="shared" ref="X83:Y83" si="835">+X80</f>
        <v>10.552950687146314</v>
      </c>
      <c r="Y83" s="3">
        <f t="shared" si="835"/>
        <v>14.928961196443016</v>
      </c>
      <c r="Z83" s="3">
        <f t="shared" ref="Z83:AA83" si="836">+Z80</f>
        <v>12.970695230396133</v>
      </c>
      <c r="AA83" s="3">
        <f t="shared" si="836"/>
        <v>15.787793047696042</v>
      </c>
      <c r="AB83" s="37">
        <f t="shared" ref="AA83:AD83" si="837">+AB80</f>
        <v>21.43490864502817</v>
      </c>
      <c r="AC83" s="37">
        <f t="shared" si="837"/>
        <v>25.774672865968071</v>
      </c>
      <c r="AD83" s="37">
        <f t="shared" si="837"/>
        <v>31.008723193889846</v>
      </c>
      <c r="AE83" s="37">
        <f t="shared" ref="AE83" si="838">+AE80</f>
        <v>37.056332618205033</v>
      </c>
      <c r="AL83" s="3">
        <f>SUM(AI80:AL80)</f>
        <v>4.0517433046993414</v>
      </c>
      <c r="AM83" s="3">
        <f t="shared" ref="AM83" si="839">SUM(AJ80:AM80)</f>
        <v>4.1217786760990354</v>
      </c>
      <c r="AN83" s="3">
        <f t="shared" ref="AN83" si="840">SUM(AK80:AN80)</f>
        <v>3.6943911066194994</v>
      </c>
      <c r="AO83" s="3">
        <f t="shared" ref="AO83" si="841">SUM(AL80:AO80)</f>
        <v>4.1029813036887299</v>
      </c>
      <c r="AP83" s="3">
        <f t="shared" ref="AP83" si="842">SUM(AM80:AP80)</f>
        <v>3.9590702374936839</v>
      </c>
      <c r="AQ83" s="3">
        <f t="shared" ref="AQ83" si="843">SUM(AN80:AQ80)</f>
        <v>4.0593228903486613</v>
      </c>
      <c r="AR83" s="3">
        <f t="shared" ref="AR83" si="844">SUM(AO80:AR80)</f>
        <v>4.0517433046993432</v>
      </c>
      <c r="AS83" s="3">
        <f t="shared" ref="AS83" si="845">SUM(AP80:AS80)</f>
        <v>3.5614957049014686</v>
      </c>
      <c r="AT83" s="3">
        <f t="shared" ref="AT83" si="846">SUM(AQ80:AT80)</f>
        <v>3.8181910055583654</v>
      </c>
      <c r="AU83" s="3">
        <f t="shared" ref="AU83" si="847">SUM(AR80:AU80)</f>
        <v>3.5674583122789283</v>
      </c>
      <c r="AV83" s="3">
        <f t="shared" ref="AV83" si="848">SUM(AS80:AV80)</f>
        <v>3.5470439615967639</v>
      </c>
      <c r="AW83" s="3">
        <f t="shared" ref="AW83" si="849">SUM(AT80:AW80)</f>
        <v>3.3864578069732127</v>
      </c>
      <c r="AX83" s="3">
        <f t="shared" ref="AX83" si="850">SUM(AU80:AX80)</f>
        <v>3.3083375442142429</v>
      </c>
      <c r="AY83" s="3">
        <f t="shared" ref="AY83" si="851">SUM(AV80:AY80)</f>
        <v>3.6143506821627054</v>
      </c>
      <c r="AZ83" s="3">
        <f t="shared" ref="AZ83" si="852">SUM(AW80:AZ80)</f>
        <v>4.0341586659929227</v>
      </c>
      <c r="BA83" s="3">
        <f t="shared" ref="BA83" si="853">SUM(AX80:BA80)</f>
        <v>4.1325922182920651</v>
      </c>
      <c r="BB83" s="3">
        <f t="shared" ref="BB83" si="854">SUM(AY80:BB80)</f>
        <v>3.8821627084386057</v>
      </c>
      <c r="BC83" s="3">
        <f t="shared" ref="BC83" si="855">SUM(AZ80:BC80)</f>
        <v>4.0230419403739273</v>
      </c>
      <c r="BD83" s="3">
        <f t="shared" ref="BD83" si="856">SUM(BA80:BD80)</f>
        <v>4.3184436584133428</v>
      </c>
      <c r="BE83" s="3">
        <f t="shared" ref="BE83" si="857">SUM(BB80:BE80)</f>
        <v>5.3511874684183978</v>
      </c>
      <c r="BF83" s="3">
        <f t="shared" ref="BF83" si="858">SUM(BC80:BF80)</f>
        <v>5.2217281455280515</v>
      </c>
      <c r="BG83" s="3">
        <f t="shared" ref="BG83" si="859">SUM(BD80:BG80)</f>
        <v>5.374229408792325</v>
      </c>
      <c r="BH83" s="3">
        <f t="shared" ref="BH83" si="860">SUM(BE80:BH80)</f>
        <v>5.5811015664477024</v>
      </c>
      <c r="BI83" s="3">
        <f t="shared" ref="BI83" si="861">SUM(BF80:BI80)</f>
        <v>4.7629105608893374</v>
      </c>
      <c r="BJ83" s="3">
        <f t="shared" ref="BJ83" si="862">SUM(BG80:BJ80)</f>
        <v>4.4616472966144487</v>
      </c>
      <c r="BK83" s="3">
        <f t="shared" ref="BK83" si="863">SUM(BH80:BK80)</f>
        <v>4.9404749873673541</v>
      </c>
      <c r="BL83" s="3">
        <f t="shared" ref="BL83" si="864">SUM(BI80:BL80)</f>
        <v>5.1245073269327959</v>
      </c>
      <c r="BM83" s="3">
        <f t="shared" ref="BM83" si="865">SUM(BJ80:BM80)</f>
        <v>5.8407276402223385</v>
      </c>
      <c r="BN83" s="3">
        <f t="shared" ref="BN83" si="866">SUM(BK80:BN80)</f>
        <v>7.4234461849418949</v>
      </c>
      <c r="BO83" s="3">
        <f t="shared" ref="BO83" si="867">SUM(BL80:BO80)</f>
        <v>8.2566953006569008</v>
      </c>
      <c r="BP83" s="3">
        <f t="shared" ref="BP83" si="868">SUM(BM80:BP80)</f>
        <v>9.1288529560384077</v>
      </c>
      <c r="BQ83" s="3">
        <f t="shared" ref="BQ83" si="869">SUM(BN80:BQ80)</f>
        <v>9.6756947953511894</v>
      </c>
      <c r="BR83" s="3">
        <f t="shared" ref="BR83" si="870">SUM(BO80:BR80)</f>
        <v>8.9675593734209187</v>
      </c>
      <c r="BS83" s="3">
        <f t="shared" ref="BS83" si="871">SUM(BP80:BS80)</f>
        <v>8.2077817079332949</v>
      </c>
      <c r="BT83" s="3">
        <f t="shared" ref="BT83" si="872">SUM(BQ80:BT80)</f>
        <v>8.2420414350682094</v>
      </c>
      <c r="BU83" s="3">
        <f t="shared" ref="BU83" si="873">SUM(BR80:BU80)</f>
        <v>8.7870641738251596</v>
      </c>
      <c r="BV83" s="3">
        <f t="shared" ref="BV83" si="874">SUM(BS80:BV80)</f>
        <v>9.9832238504295034</v>
      </c>
      <c r="BW83" s="3">
        <f t="shared" ref="BW83" si="875">SUM(BT80:BW80)</f>
        <v>10.896412329459316</v>
      </c>
      <c r="BX83" s="3">
        <f t="shared" ref="BX83" si="876">SUM(BU80:BX80)</f>
        <v>10.213137948458815</v>
      </c>
      <c r="BY83" s="3">
        <f t="shared" ref="BY83" si="877">SUM(BV80:BY80)</f>
        <v>10.162203132895401</v>
      </c>
      <c r="BZ83" s="3">
        <f t="shared" ref="BZ83" si="878">SUM(BW80:BZ80)</f>
        <v>10.554017180394139</v>
      </c>
      <c r="CA83" s="3">
        <f t="shared" ref="CA83" si="879">SUM(BX80:CA80)</f>
        <v>10.981707933299653</v>
      </c>
      <c r="CB83" s="3">
        <f t="shared" ref="CB83" si="880">SUM(BY80:CB80)</f>
        <v>12.356644770085905</v>
      </c>
      <c r="CC83" s="3">
        <f t="shared" ref="CC83" si="881">SUM(BZ80:CC80)</f>
        <v>13.339060131379489</v>
      </c>
      <c r="CD83" s="3">
        <f t="shared" ref="CD83" si="882">SUM(CA80:CD80)</f>
        <v>14.930469934310263</v>
      </c>
      <c r="CE83" s="3">
        <f t="shared" ref="CE83" si="883">SUM(CB80:CE80)</f>
        <v>14.785649317837295</v>
      </c>
      <c r="CF83" s="3">
        <f t="shared" ref="CF83" si="884">SUM(CC80:CF80)</f>
        <v>15.177766548761998</v>
      </c>
      <c r="CG83" s="3">
        <f t="shared" ref="CG83" si="885">SUM(CD80:CG80)</f>
        <v>14.315108640727637</v>
      </c>
      <c r="CH83" s="3">
        <f t="shared" ref="CH83:CL83" si="886">SUM(CE80:CH80)</f>
        <v>12.972006063668518</v>
      </c>
      <c r="CI83" s="3">
        <f t="shared" si="886"/>
        <v>13.24214249621021</v>
      </c>
      <c r="CJ83" s="3">
        <f t="shared" si="886"/>
        <v>13.372208185952498</v>
      </c>
      <c r="CK83" s="3">
        <f t="shared" si="886"/>
        <v>14.609499747347137</v>
      </c>
      <c r="CL83" s="3">
        <f t="shared" si="886"/>
        <v>15.788963461536092</v>
      </c>
      <c r="CM83" s="37">
        <f t="shared" ref="CM83" si="887">SUM(CJ80:CM80)</f>
        <v>17.079486653418922</v>
      </c>
      <c r="CN83" s="37">
        <f t="shared" ref="CN83" si="888">SUM(CK80:CN80)</f>
        <v>18.190087033385048</v>
      </c>
      <c r="CO83" s="37">
        <f t="shared" ref="CO83" si="889">SUM(CL80:CO80)</f>
        <v>19.579972149618829</v>
      </c>
      <c r="CP83" s="37">
        <f t="shared" ref="CP83" si="890">SUM(CM80:CP80)</f>
        <v>21.434908645028202</v>
      </c>
      <c r="CQ83" s="37">
        <f t="shared" ref="CQ83" si="891">SUM(CN80:CQ80)</f>
        <v>22.62702432936829</v>
      </c>
      <c r="CR83" s="37">
        <f t="shared" ref="CR83" si="892">SUM(CO80:CR80)</f>
        <v>23.752957756118956</v>
      </c>
      <c r="CS83" s="37">
        <f t="shared" ref="CS83" si="893">SUM(CP80:CS80)</f>
        <v>24.779084964049453</v>
      </c>
      <c r="CT83" s="37">
        <f t="shared" ref="CT83" si="894">SUM(CQ80:CT80)</f>
        <v>25.774672865968057</v>
      </c>
      <c r="CU83" s="37">
        <f t="shared" ref="CU83" si="895">SUM(CR80:CU80)</f>
        <v>27.03173939081482</v>
      </c>
      <c r="CV83" s="37">
        <f t="shared" ref="CV83" si="896">SUM(CS80:CV80)</f>
        <v>28.319316247618296</v>
      </c>
      <c r="CW83" s="37">
        <f t="shared" ref="CW83" si="897">SUM(CT80:CW80)</f>
        <v>29.607251691255847</v>
      </c>
      <c r="CX83" s="37">
        <f t="shared" ref="CX83" si="898">SUM(CU80:CX80)</f>
        <v>31.008723193889868</v>
      </c>
      <c r="CY83" s="37">
        <f t="shared" ref="CY83" si="899">SUM(CV80:CY80)</f>
        <v>32.422606681094926</v>
      </c>
      <c r="CZ83" s="37">
        <f t="shared" ref="CZ83" si="900">SUM(CW80:CZ80)</f>
        <v>33.911389915793563</v>
      </c>
      <c r="DA83" s="37">
        <f t="shared" ref="DA83" si="901">SUM(CX80:DA80)</f>
        <v>35.417942411824455</v>
      </c>
      <c r="DB83" s="37">
        <f t="shared" ref="DB83" si="902">SUM(CY80:DB80)</f>
        <v>37.056332618205033</v>
      </c>
      <c r="DE83" s="134"/>
      <c r="DF83" s="3">
        <v>16.480410957646153</v>
      </c>
    </row>
    <row r="84" spans="1:110" s="97" customFormat="1" x14ac:dyDescent="0.2">
      <c r="A84" s="97" t="s">
        <v>425</v>
      </c>
      <c r="C84" s="101">
        <f t="shared" ref="C84:AA84" si="903">+C83/B83-1</f>
        <v>-1.5382865194612516E-2</v>
      </c>
      <c r="D84" s="101">
        <f t="shared" si="903"/>
        <v>-0.15536134528730439</v>
      </c>
      <c r="E84" s="101">
        <f t="shared" si="903"/>
        <v>-0.86213538840425308</v>
      </c>
      <c r="F84" s="101">
        <f t="shared" si="903"/>
        <v>0.27706833465190051</v>
      </c>
      <c r="G84" s="101">
        <f t="shared" si="903"/>
        <v>0.13014961225332944</v>
      </c>
      <c r="H84" s="101">
        <f t="shared" si="903"/>
        <v>4.7312913214150765E-2</v>
      </c>
      <c r="I84" s="101">
        <f t="shared" si="903"/>
        <v>-1.0773889453896945</v>
      </c>
      <c r="J84" s="101">
        <f t="shared" si="903"/>
        <v>0.26094675306555315</v>
      </c>
      <c r="K84" s="101">
        <f t="shared" si="903"/>
        <v>-13.542966903667736</v>
      </c>
      <c r="L84" s="101">
        <f t="shared" si="903"/>
        <v>-0.34571004395055271</v>
      </c>
      <c r="M84" s="101">
        <f t="shared" si="903"/>
        <v>0.36269034703614422</v>
      </c>
      <c r="N84" s="101">
        <f t="shared" si="903"/>
        <v>0.20175571118713176</v>
      </c>
      <c r="O84" s="101">
        <f t="shared" si="903"/>
        <v>-2.285492365230235E-2</v>
      </c>
      <c r="P84" s="101">
        <f t="shared" si="903"/>
        <v>-3.5591057526315417E-2</v>
      </c>
      <c r="Q84" s="101">
        <f t="shared" si="903"/>
        <v>-0.13353272809083461</v>
      </c>
      <c r="R84" s="101">
        <f t="shared" si="903"/>
        <v>0.17344819159335012</v>
      </c>
      <c r="S84" s="101">
        <f t="shared" si="903"/>
        <v>0.34505648982142101</v>
      </c>
      <c r="T84" s="101">
        <f t="shared" si="903"/>
        <v>-0.14556116820530762</v>
      </c>
      <c r="U84" s="101">
        <f t="shared" si="903"/>
        <v>0.66383528132644454</v>
      </c>
      <c r="V84" s="101">
        <f t="shared" si="903"/>
        <v>0.20800490095977486</v>
      </c>
      <c r="W84" s="101">
        <f t="shared" si="903"/>
        <v>0.11325985529785609</v>
      </c>
      <c r="X84" s="101">
        <f t="shared" si="903"/>
        <v>5.7175251052800524E-2</v>
      </c>
      <c r="Y84" s="101">
        <f t="shared" si="903"/>
        <v>0.41467174812318253</v>
      </c>
      <c r="Z84" s="101">
        <f t="shared" si="903"/>
        <v>-0.13117228588640584</v>
      </c>
      <c r="AA84" s="101">
        <f t="shared" si="903"/>
        <v>0.21718942333161828</v>
      </c>
      <c r="AB84" s="174">
        <f t="shared" ref="AB84" si="904">+AB83/AA83-1</f>
        <v>0.35768872699761078</v>
      </c>
      <c r="AC84" s="174">
        <f t="shared" ref="AC84" si="905">+AC83/AB83-1</f>
        <v>0.20246245471853275</v>
      </c>
      <c r="AD84" s="174">
        <f t="shared" ref="AD84" si="906">+AD83/AC83-1</f>
        <v>0.20306951537812234</v>
      </c>
      <c r="AE84" s="174">
        <f t="shared" ref="AE84" si="907">+AE83/AD83-1</f>
        <v>0.19502929503098176</v>
      </c>
      <c r="AL84" s="176"/>
      <c r="AM84" s="176"/>
      <c r="AN84" s="176"/>
      <c r="AO84" s="176"/>
      <c r="AP84" s="176">
        <f t="shared" ref="AP84:CL84" si="908">+IF(AL83&lt;0,1-AP83/AL83,AP83/AL83-1)</f>
        <v>-2.2872393494961174E-2</v>
      </c>
      <c r="AQ84" s="176">
        <f t="shared" si="908"/>
        <v>-1.5152629643250037E-2</v>
      </c>
      <c r="AR84" s="176">
        <f t="shared" si="908"/>
        <v>9.6728307254624557E-2</v>
      </c>
      <c r="AS84" s="176">
        <f t="shared" si="908"/>
        <v>-0.1319736939333469</v>
      </c>
      <c r="AT84" s="176">
        <f t="shared" si="908"/>
        <v>-3.5583918315251428E-2</v>
      </c>
      <c r="AU84" s="176">
        <f t="shared" si="908"/>
        <v>-0.12116911892847382</v>
      </c>
      <c r="AV84" s="176">
        <f t="shared" si="908"/>
        <v>-0.1245635039409364</v>
      </c>
      <c r="AW84" s="176">
        <f t="shared" si="908"/>
        <v>-4.9147300019865781E-2</v>
      </c>
      <c r="AX84" s="176">
        <f t="shared" si="908"/>
        <v>-0.13353272809084171</v>
      </c>
      <c r="AY84" s="176">
        <f t="shared" si="908"/>
        <v>1.3144475920679133E-2</v>
      </c>
      <c r="AZ84" s="176">
        <f t="shared" si="908"/>
        <v>0.13732976237962258</v>
      </c>
      <c r="BA84" s="176">
        <f t="shared" si="908"/>
        <v>0.22032886687158837</v>
      </c>
      <c r="BB84" s="176">
        <f t="shared" si="908"/>
        <v>0.17344819159335545</v>
      </c>
      <c r="BC84" s="176">
        <f t="shared" si="908"/>
        <v>0.11307460015658322</v>
      </c>
      <c r="BD84" s="176">
        <f t="shared" si="908"/>
        <v>7.0469462397917182E-2</v>
      </c>
      <c r="BE84" s="176">
        <f t="shared" si="908"/>
        <v>0.29487430304216145</v>
      </c>
      <c r="BF84" s="176">
        <f t="shared" si="908"/>
        <v>0.34505648982142101</v>
      </c>
      <c r="BG84" s="176">
        <f t="shared" si="908"/>
        <v>0.33586213826366662</v>
      </c>
      <c r="BH84" s="176">
        <f t="shared" si="908"/>
        <v>0.29238725983477987</v>
      </c>
      <c r="BI84" s="176">
        <f t="shared" si="908"/>
        <v>-0.10993389990557223</v>
      </c>
      <c r="BJ84" s="176">
        <f t="shared" si="908"/>
        <v>-0.14556116820530862</v>
      </c>
      <c r="BK84" s="176">
        <f t="shared" si="908"/>
        <v>-8.0710068073264973E-2</v>
      </c>
      <c r="BL84" s="176">
        <f t="shared" si="908"/>
        <v>-8.1810774105930295E-2</v>
      </c>
      <c r="BM84" s="176">
        <f t="shared" si="908"/>
        <v>0.22629378938657818</v>
      </c>
      <c r="BN84" s="176">
        <f t="shared" si="908"/>
        <v>0.66383528132644964</v>
      </c>
      <c r="BO84" s="176">
        <f t="shared" si="908"/>
        <v>0.67123511843881856</v>
      </c>
      <c r="BP84" s="176">
        <f t="shared" si="908"/>
        <v>0.78141085057289961</v>
      </c>
      <c r="BQ84" s="176">
        <f t="shared" si="908"/>
        <v>0.6565906495483953</v>
      </c>
      <c r="BR84" s="176">
        <f t="shared" si="908"/>
        <v>0.20800490095977042</v>
      </c>
      <c r="BS84" s="176">
        <f t="shared" si="908"/>
        <v>-5.9241126071001293E-3</v>
      </c>
      <c r="BT84" s="176">
        <f t="shared" si="908"/>
        <v>-9.7143806044504677E-2</v>
      </c>
      <c r="BU84" s="176">
        <f t="shared" si="908"/>
        <v>-9.1841530796629045E-2</v>
      </c>
      <c r="BV84" s="176">
        <f t="shared" si="908"/>
        <v>0.11325985529785587</v>
      </c>
      <c r="BW84" s="176">
        <f t="shared" si="908"/>
        <v>0.32757092198581561</v>
      </c>
      <c r="BX84" s="176">
        <f t="shared" si="908"/>
        <v>0.23915149285758153</v>
      </c>
      <c r="BY84" s="176">
        <f t="shared" si="908"/>
        <v>0.15649583659198663</v>
      </c>
      <c r="BZ84" s="176">
        <f t="shared" si="908"/>
        <v>5.7175251052802745E-2</v>
      </c>
      <c r="CA84" s="176">
        <f t="shared" si="908"/>
        <v>7.827861250233159E-3</v>
      </c>
      <c r="CB84" s="176">
        <f t="shared" si="908"/>
        <v>0.20987739835145858</v>
      </c>
      <c r="CC84" s="176">
        <f t="shared" si="908"/>
        <v>0.31261498682313205</v>
      </c>
      <c r="CD84" s="176">
        <f t="shared" si="908"/>
        <v>0.41467174812318119</v>
      </c>
      <c r="CE84" s="176">
        <f t="shared" si="908"/>
        <v>0.34638886843848882</v>
      </c>
      <c r="CF84" s="176">
        <f t="shared" si="908"/>
        <v>0.22830807481863702</v>
      </c>
      <c r="CG84" s="176">
        <f t="shared" si="908"/>
        <v>7.3172210015909789E-2</v>
      </c>
      <c r="CH84" s="176">
        <f t="shared" si="908"/>
        <v>-0.13117228588640673</v>
      </c>
      <c r="CI84" s="176">
        <f t="shared" si="908"/>
        <v>-0.10439222440944884</v>
      </c>
      <c r="CJ84" s="176">
        <f t="shared" si="908"/>
        <v>-0.11896074149043845</v>
      </c>
      <c r="CK84" s="176">
        <f t="shared" si="908"/>
        <v>2.056506269061309E-2</v>
      </c>
      <c r="CL84" s="176">
        <f t="shared" si="908"/>
        <v>0.21715665133376683</v>
      </c>
      <c r="CM84" s="102">
        <f t="shared" ref="CM84:DB84" si="909">+IF(CI83&lt;0,1-CM83/CI83,CM83/CI83-1)</f>
        <v>0.28978272649663195</v>
      </c>
      <c r="CN84" s="102">
        <f t="shared" si="909"/>
        <v>0.36029044570916335</v>
      </c>
      <c r="CO84" s="102">
        <f t="shared" si="909"/>
        <v>0.34022194381941473</v>
      </c>
      <c r="CP84" s="102">
        <f t="shared" si="909"/>
        <v>0.35758808342589088</v>
      </c>
      <c r="CQ84" s="102">
        <f t="shared" si="909"/>
        <v>0.32480705003149946</v>
      </c>
      <c r="CR84" s="102">
        <f t="shared" si="909"/>
        <v>0.30581880738251188</v>
      </c>
      <c r="CS84" s="102">
        <f t="shared" si="909"/>
        <v>0.26553218639444465</v>
      </c>
      <c r="CT84" s="102">
        <f t="shared" si="909"/>
        <v>0.2024624547185303</v>
      </c>
      <c r="CU84" s="102">
        <f t="shared" si="909"/>
        <v>0.19466612124200178</v>
      </c>
      <c r="CV84" s="102">
        <f t="shared" si="909"/>
        <v>0.19224378447450441</v>
      </c>
      <c r="CW84" s="102">
        <f t="shared" si="909"/>
        <v>0.1948484673349038</v>
      </c>
      <c r="CX84" s="102">
        <f t="shared" si="909"/>
        <v>0.2030695153781239</v>
      </c>
      <c r="CY84" s="102">
        <f t="shared" si="909"/>
        <v>0.19942731809969594</v>
      </c>
      <c r="CZ84" s="102">
        <f t="shared" si="909"/>
        <v>0.19746499595114941</v>
      </c>
      <c r="DA84" s="102">
        <f t="shared" si="909"/>
        <v>0.19625903752102491</v>
      </c>
      <c r="DB84" s="102">
        <f t="shared" si="909"/>
        <v>0.19502929503098088</v>
      </c>
      <c r="DE84" s="135"/>
      <c r="DF84" s="97">
        <v>0.2704597019734547</v>
      </c>
    </row>
    <row r="85" spans="1:110" s="144" customFormat="1" x14ac:dyDescent="0.2">
      <c r="A85" s="144" t="s">
        <v>424</v>
      </c>
      <c r="AB85" s="145"/>
      <c r="AC85" s="145"/>
      <c r="AD85" s="145"/>
      <c r="AE85" s="145"/>
      <c r="CM85" s="145"/>
      <c r="CN85" s="145"/>
      <c r="CO85" s="145"/>
      <c r="CP85" s="145">
        <v>20.5</v>
      </c>
      <c r="CQ85" s="145"/>
      <c r="CR85" s="145"/>
      <c r="CS85" s="145"/>
      <c r="CT85" s="145">
        <v>24.1</v>
      </c>
      <c r="CU85" s="145"/>
      <c r="CV85" s="145"/>
      <c r="CW85" s="145"/>
      <c r="CX85" s="145"/>
      <c r="CY85" s="145"/>
      <c r="CZ85" s="145"/>
      <c r="DA85" s="145"/>
      <c r="DB85" s="145"/>
      <c r="DE85" s="146"/>
      <c r="DF85" s="144">
        <v>16.3</v>
      </c>
    </row>
    <row r="86" spans="1:110" s="144" customFormat="1" x14ac:dyDescent="0.2">
      <c r="A86" s="144" t="s">
        <v>436</v>
      </c>
      <c r="AB86" s="145"/>
      <c r="AC86" s="145"/>
      <c r="AD86" s="145"/>
      <c r="AE86" s="145"/>
      <c r="CM86" s="145"/>
      <c r="CN86" s="145"/>
      <c r="CO86" s="145"/>
      <c r="CP86" s="145">
        <f>+CP85/CP83-1</f>
        <v>-4.3616171195814846E-2</v>
      </c>
      <c r="CQ86" s="145"/>
      <c r="CR86" s="145"/>
      <c r="CS86" s="145"/>
      <c r="CT86" s="145">
        <f>+CT85/CT83-1</f>
        <v>-6.4973583745430719E-2</v>
      </c>
      <c r="CU86" s="145"/>
      <c r="CV86" s="145"/>
      <c r="CW86" s="145"/>
      <c r="CX86" s="145"/>
      <c r="CY86" s="145"/>
      <c r="CZ86" s="145"/>
      <c r="DA86" s="145"/>
      <c r="DB86" s="145"/>
      <c r="DE86" s="146"/>
      <c r="DF86" s="144">
        <v>-1.0946993865007415E-2</v>
      </c>
    </row>
    <row r="87" spans="1:110" s="3" customFormat="1" x14ac:dyDescent="0.2">
      <c r="A87" s="3" t="s">
        <v>34</v>
      </c>
      <c r="B87" s="3">
        <f>'Annual Raw'!C112</f>
        <v>29.99</v>
      </c>
      <c r="C87" s="3">
        <f>'Annual Raw'!D112</f>
        <v>29.56</v>
      </c>
      <c r="D87" s="3">
        <f>'Annual Raw'!E112</f>
        <v>29.48</v>
      </c>
      <c r="E87" s="3">
        <f>'Annual Raw'!F112</f>
        <v>29.12</v>
      </c>
      <c r="F87" s="3">
        <f>'Annual Raw'!G112</f>
        <v>28.94</v>
      </c>
      <c r="G87" s="3">
        <f>'Annual Raw'!H112</f>
        <v>28.6</v>
      </c>
      <c r="H87" s="3">
        <f>'Annual Raw'!I112</f>
        <v>32.340000000000003</v>
      </c>
      <c r="I87" s="3">
        <f>'Annual Raw'!J112</f>
        <v>35.31</v>
      </c>
      <c r="J87" s="3">
        <f>'Annual Raw'!K112</f>
        <v>35.32</v>
      </c>
      <c r="K87" s="3">
        <f>'Annual Raw'!L112</f>
        <v>35.36</v>
      </c>
      <c r="L87" s="3">
        <f>'Annual Raw'!M112</f>
        <v>35.229999999999997</v>
      </c>
      <c r="M87" s="3">
        <f>'Annual Raw'!N112</f>
        <v>35.200000000000003</v>
      </c>
      <c r="N87" s="3">
        <f>'Annual Raw'!O112</f>
        <v>35.200000000000003</v>
      </c>
      <c r="O87" s="3">
        <f>'Annual Raw'!P112</f>
        <v>35.1</v>
      </c>
      <c r="P87" s="3">
        <f>'Annual Raw'!Q112</f>
        <v>35.1</v>
      </c>
      <c r="Q87" s="3">
        <f>'Annual Raw'!R112</f>
        <v>35.729999999999997</v>
      </c>
      <c r="R87" s="3">
        <f>'Annual Raw'!S112</f>
        <v>35.72</v>
      </c>
      <c r="S87" s="3">
        <f>'Annual Raw'!T112</f>
        <v>35.51</v>
      </c>
      <c r="T87" s="3">
        <f>'Annual Raw'!U112</f>
        <v>34.450000000000003</v>
      </c>
      <c r="U87" s="3">
        <f>'Annual Raw'!V112</f>
        <v>34.44</v>
      </c>
      <c r="V87" s="3">
        <f>'Annual Raw'!W112</f>
        <v>34.71</v>
      </c>
      <c r="W87" s="3">
        <f>'Annual Raw'!X112</f>
        <v>34.72</v>
      </c>
      <c r="X87" s="3">
        <f>'Annual Raw'!Y112</f>
        <v>34.44</v>
      </c>
      <c r="Y87" s="3">
        <f>'Annual Raw'!Z112</f>
        <v>33.549999999999997</v>
      </c>
      <c r="Z87" s="3">
        <f>'Annual Raw'!AA112</f>
        <v>33.840000000000003</v>
      </c>
      <c r="AA87" s="3">
        <f>'Annual Raw'!AB112</f>
        <v>33.83</v>
      </c>
      <c r="AB87" s="37"/>
      <c r="AC87" s="37"/>
      <c r="AD87" s="37"/>
      <c r="AE87" s="37"/>
      <c r="AI87" s="3">
        <f>'QTR Raw'!C49</f>
        <v>35.200000000000003</v>
      </c>
      <c r="AJ87" s="3">
        <f>'QTR Raw'!D49</f>
        <v>35.200000000000003</v>
      </c>
      <c r="AK87" s="3">
        <f>'QTR Raw'!E49</f>
        <v>35.200000000000003</v>
      </c>
      <c r="AL87" s="3">
        <f>'QTR Raw'!F49</f>
        <v>35.200000000000003</v>
      </c>
      <c r="AM87" s="3">
        <f>'QTR Raw'!G49</f>
        <v>35.200000000000003</v>
      </c>
      <c r="AN87" s="3">
        <f>'QTR Raw'!H49</f>
        <v>35.1</v>
      </c>
      <c r="AO87" s="3">
        <f>'QTR Raw'!I49</f>
        <v>35.1</v>
      </c>
      <c r="AP87" s="3">
        <f>'QTR Raw'!J49</f>
        <v>35.1</v>
      </c>
      <c r="AQ87" s="3">
        <f>'QTR Raw'!K49</f>
        <v>35.1</v>
      </c>
      <c r="AR87" s="3">
        <f>'QTR Raw'!L49</f>
        <v>35.1</v>
      </c>
      <c r="AS87" s="3">
        <f>'QTR Raw'!M49</f>
        <v>35.1</v>
      </c>
      <c r="AT87" s="3">
        <f>'QTR Raw'!N49</f>
        <v>35.1</v>
      </c>
      <c r="AU87" s="3">
        <f>'QTR Raw'!O49</f>
        <v>35.1</v>
      </c>
      <c r="AV87" s="3">
        <f>'QTR Raw'!P49</f>
        <v>34.43</v>
      </c>
      <c r="AW87" s="3">
        <f>'QTR Raw'!Q49</f>
        <v>34.4</v>
      </c>
      <c r="AX87" s="3">
        <f>'QTR Raw'!R49</f>
        <v>35.729999999999997</v>
      </c>
      <c r="AY87" s="3">
        <f>'QTR Raw'!S49</f>
        <v>35.72</v>
      </c>
      <c r="AZ87" s="3">
        <f>'QTR Raw'!T49</f>
        <v>35.72</v>
      </c>
      <c r="BA87" s="3">
        <f>'QTR Raw'!U49</f>
        <v>35.729999999999997</v>
      </c>
      <c r="BB87" s="3">
        <f>'QTR Raw'!V49</f>
        <v>35.72</v>
      </c>
      <c r="BC87" s="3">
        <f>'QTR Raw'!W49</f>
        <v>35.76</v>
      </c>
      <c r="BD87" s="3">
        <f>'QTR Raw'!X49</f>
        <v>35.61</v>
      </c>
      <c r="BE87" s="3">
        <f>'QTR Raw'!Y49</f>
        <v>35.6</v>
      </c>
      <c r="BF87" s="3">
        <f>'QTR Raw'!Z49</f>
        <v>35.51</v>
      </c>
      <c r="BG87" s="3">
        <f>'QTR Raw'!AA49</f>
        <v>35.46</v>
      </c>
      <c r="BH87" s="3">
        <f>'QTR Raw'!AB49</f>
        <v>35</v>
      </c>
      <c r="BI87" s="3">
        <f>'QTR Raw'!AC49</f>
        <v>34.450000000000003</v>
      </c>
      <c r="BJ87" s="3">
        <f>'QTR Raw'!AD49</f>
        <v>34.450000000000003</v>
      </c>
      <c r="BK87" s="3">
        <f>'QTR Raw'!AE49</f>
        <v>34.450000000000003</v>
      </c>
      <c r="BL87" s="3">
        <f>'QTR Raw'!AF49</f>
        <v>34.450000000000003</v>
      </c>
      <c r="BM87" s="3">
        <f>'QTR Raw'!AG49</f>
        <v>34.450000000000003</v>
      </c>
      <c r="BN87" s="3">
        <f>'QTR Raw'!AH49</f>
        <v>34.44</v>
      </c>
      <c r="BO87" s="3">
        <f>'QTR Raw'!AI49</f>
        <v>34.69</v>
      </c>
      <c r="BP87" s="3">
        <f>'QTR Raw'!AJ49</f>
        <v>34.700000000000003</v>
      </c>
      <c r="BQ87" s="3">
        <f>'QTR Raw'!AK49</f>
        <v>34.71</v>
      </c>
      <c r="BR87" s="3">
        <f>'QTR Raw'!AL49</f>
        <v>34.71</v>
      </c>
      <c r="BS87" s="3">
        <f>'QTR Raw'!AM49</f>
        <v>34.71</v>
      </c>
      <c r="BT87" s="3">
        <f>'QTR Raw'!AN49</f>
        <v>34.71</v>
      </c>
      <c r="BU87" s="3">
        <f>'QTR Raw'!AO49</f>
        <v>34.72</v>
      </c>
      <c r="BV87" s="3">
        <f>'QTR Raw'!AP49</f>
        <v>34.72</v>
      </c>
      <c r="BW87" s="3">
        <f>'QTR Raw'!AQ49</f>
        <v>34.72</v>
      </c>
      <c r="BX87" s="3">
        <f>'QTR Raw'!AR49</f>
        <v>34.72</v>
      </c>
      <c r="BY87" s="3">
        <f>'QTR Raw'!AS49</f>
        <v>34.450000000000003</v>
      </c>
      <c r="BZ87" s="3">
        <f>'QTR Raw'!AT49</f>
        <v>34.44</v>
      </c>
      <c r="CA87" s="3">
        <f>'QTR Raw'!AU49</f>
        <v>34.450000000000003</v>
      </c>
      <c r="CB87" s="3">
        <f>'QTR Raw'!AV49</f>
        <v>34.42</v>
      </c>
      <c r="CC87" s="3">
        <f>'QTR Raw'!AW49</f>
        <v>34.42</v>
      </c>
      <c r="CD87" s="3">
        <f>'QTR Raw'!AX49</f>
        <v>33.549999999999997</v>
      </c>
      <c r="CE87" s="3">
        <f>'QTR Raw'!AY49</f>
        <v>33.549999999999997</v>
      </c>
      <c r="CF87" s="3">
        <f>'QTR Raw'!AZ49</f>
        <v>33.840000000000003</v>
      </c>
      <c r="CG87" s="3">
        <f>'QTR Raw'!BA49</f>
        <v>33.840000000000003</v>
      </c>
      <c r="CH87" s="3">
        <f>'QTR Raw'!BB49</f>
        <v>33.840000000000003</v>
      </c>
      <c r="CI87" s="3">
        <f>'QTR Raw'!BC49</f>
        <v>33.840000000000003</v>
      </c>
      <c r="CJ87" s="3">
        <f>'QTR Raw'!BD49</f>
        <v>33.840000000000003</v>
      </c>
      <c r="CK87" s="3">
        <f>'QTR Raw'!BE49</f>
        <v>33.840000000000003</v>
      </c>
      <c r="CL87" s="3">
        <f>'QTR Raw'!BF49</f>
        <v>33.83</v>
      </c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</row>
    <row r="88" spans="1:110" s="3" customFormat="1" x14ac:dyDescent="0.2">
      <c r="A88" s="3" t="s">
        <v>35</v>
      </c>
      <c r="B88" s="3">
        <f>'Annual Raw'!C113</f>
        <v>0</v>
      </c>
      <c r="C88" s="3">
        <f>'Annual Raw'!D113</f>
        <v>0</v>
      </c>
      <c r="D88" s="3">
        <f>'Annual Raw'!E113</f>
        <v>0</v>
      </c>
      <c r="E88" s="3">
        <f>'Annual Raw'!F113</f>
        <v>0</v>
      </c>
      <c r="F88" s="3">
        <f>'Annual Raw'!G113</f>
        <v>0</v>
      </c>
      <c r="G88" s="3">
        <f>'Annual Raw'!H113</f>
        <v>0</v>
      </c>
      <c r="H88" s="3">
        <f>'Annual Raw'!I113</f>
        <v>0</v>
      </c>
      <c r="I88" s="3">
        <f>'Annual Raw'!J113</f>
        <v>0</v>
      </c>
      <c r="J88" s="3">
        <f>'Annual Raw'!K113</f>
        <v>43.5</v>
      </c>
      <c r="K88" s="3">
        <f>'Annual Raw'!L113</f>
        <v>34.299999999999997</v>
      </c>
      <c r="L88" s="3">
        <f>'Annual Raw'!M113</f>
        <v>32.130000000000003</v>
      </c>
      <c r="M88" s="3">
        <f>'Annual Raw'!N113</f>
        <v>18.739999999999998</v>
      </c>
      <c r="N88" s="3">
        <f>'Annual Raw'!O113</f>
        <v>18.739999999999998</v>
      </c>
      <c r="O88" s="3">
        <f>'Annual Raw'!P113</f>
        <v>5.3</v>
      </c>
      <c r="P88" s="3">
        <f>'Annual Raw'!Q113</f>
        <v>5.3</v>
      </c>
      <c r="Q88" s="3">
        <f>'Annual Raw'!R113</f>
        <v>5.3</v>
      </c>
      <c r="R88" s="3">
        <f>'Annual Raw'!S113</f>
        <v>5.3</v>
      </c>
      <c r="S88" s="3">
        <f>'Annual Raw'!T113</f>
        <v>5.29</v>
      </c>
      <c r="T88" s="3">
        <f>'Annual Raw'!U113</f>
        <v>3.99</v>
      </c>
      <c r="U88" s="3">
        <f>'Annual Raw'!V113</f>
        <v>2.73</v>
      </c>
      <c r="V88" s="3">
        <f>'Annual Raw'!W113</f>
        <v>1.2</v>
      </c>
      <c r="W88" s="3">
        <f>'Annual Raw'!X113</f>
        <v>1.2</v>
      </c>
      <c r="X88" s="3">
        <f>'Annual Raw'!Y113</f>
        <v>1.2</v>
      </c>
      <c r="Y88" s="3">
        <f>'Annual Raw'!Z113</f>
        <v>0</v>
      </c>
      <c r="Z88" s="3">
        <f>'Annual Raw'!AA113</f>
        <v>0</v>
      </c>
      <c r="AA88" s="3">
        <f>'Annual Raw'!AB113</f>
        <v>0</v>
      </c>
      <c r="AB88" s="37"/>
      <c r="AC88" s="37"/>
      <c r="AD88" s="37"/>
      <c r="AE88" s="37"/>
      <c r="AI88" s="3">
        <f>'QTR Raw'!C50</f>
        <v>18.739999999999998</v>
      </c>
      <c r="AJ88" s="3">
        <f>'QTR Raw'!D50</f>
        <v>18.739999999999998</v>
      </c>
      <c r="AK88" s="3">
        <f>'QTR Raw'!E50</f>
        <v>18.739999999999998</v>
      </c>
      <c r="AL88" s="3">
        <f>'QTR Raw'!F50</f>
        <v>18.739999999999998</v>
      </c>
      <c r="AM88" s="3">
        <f>'QTR Raw'!G50</f>
        <v>18.739999999999998</v>
      </c>
      <c r="AN88" s="3">
        <f>'QTR Raw'!H50</f>
        <v>0</v>
      </c>
      <c r="AO88" s="3">
        <f>'QTR Raw'!I50</f>
        <v>0</v>
      </c>
      <c r="AP88" s="3">
        <f>'QTR Raw'!J50</f>
        <v>5.3</v>
      </c>
      <c r="AQ88" s="3">
        <f>'QTR Raw'!K50</f>
        <v>5.3</v>
      </c>
      <c r="AR88" s="3">
        <f>'QTR Raw'!L50</f>
        <v>5.3</v>
      </c>
      <c r="AS88" s="3">
        <f>'QTR Raw'!M50</f>
        <v>5.3</v>
      </c>
      <c r="AT88" s="3">
        <f>'QTR Raw'!N50</f>
        <v>5.3</v>
      </c>
      <c r="AU88" s="3">
        <f>'QTR Raw'!O50</f>
        <v>5.3</v>
      </c>
      <c r="AV88" s="3">
        <f>'QTR Raw'!P50</f>
        <v>5.3</v>
      </c>
      <c r="AW88" s="3">
        <f>'QTR Raw'!Q50</f>
        <v>5.3</v>
      </c>
      <c r="AX88" s="3">
        <f>'QTR Raw'!R50</f>
        <v>5.3</v>
      </c>
      <c r="AY88" s="3">
        <f>'QTR Raw'!S50</f>
        <v>5.3</v>
      </c>
      <c r="AZ88" s="3">
        <f>'QTR Raw'!T50</f>
        <v>5.3</v>
      </c>
      <c r="BA88" s="3">
        <f>'QTR Raw'!U50</f>
        <v>5.3</v>
      </c>
      <c r="BB88" s="3">
        <f>'QTR Raw'!V50</f>
        <v>5.3</v>
      </c>
      <c r="BC88" s="3">
        <f>'QTR Raw'!W50</f>
        <v>5.29</v>
      </c>
      <c r="BD88" s="3">
        <f>'QTR Raw'!X50</f>
        <v>5.29</v>
      </c>
      <c r="BE88" s="3">
        <f>'QTR Raw'!Y50</f>
        <v>5.29</v>
      </c>
      <c r="BF88" s="3">
        <f>'QTR Raw'!Z50</f>
        <v>5.29</v>
      </c>
      <c r="BG88" s="3">
        <f>'QTR Raw'!AA50</f>
        <v>3.99</v>
      </c>
      <c r="BH88" s="3">
        <f>'QTR Raw'!AB50</f>
        <v>3.99</v>
      </c>
      <c r="BI88" s="3">
        <f>'QTR Raw'!AC50</f>
        <v>3.99</v>
      </c>
      <c r="BJ88" s="3">
        <f>'QTR Raw'!AD50</f>
        <v>3.99</v>
      </c>
      <c r="BK88" s="3">
        <f>'QTR Raw'!AE50</f>
        <v>3.99</v>
      </c>
      <c r="BL88" s="3">
        <f>'QTR Raw'!AF50</f>
        <v>3.99</v>
      </c>
      <c r="BM88" s="3">
        <f>'QTR Raw'!AG50</f>
        <v>3.99</v>
      </c>
      <c r="BN88" s="3">
        <f>'QTR Raw'!AH50</f>
        <v>2.73</v>
      </c>
      <c r="BO88" s="3">
        <f>'QTR Raw'!AI50</f>
        <v>2.71</v>
      </c>
      <c r="BP88" s="3">
        <f>'QTR Raw'!AJ50</f>
        <v>2.71</v>
      </c>
      <c r="BQ88" s="3">
        <f>'QTR Raw'!AK50</f>
        <v>2.71</v>
      </c>
      <c r="BR88" s="3">
        <f>'QTR Raw'!AL50</f>
        <v>1.2</v>
      </c>
      <c r="BS88" s="3">
        <f>'QTR Raw'!AM50</f>
        <v>1.2</v>
      </c>
      <c r="BT88" s="3">
        <f>'QTR Raw'!AN50</f>
        <v>1.2</v>
      </c>
      <c r="BU88" s="3">
        <f>'QTR Raw'!AO50</f>
        <v>1.2</v>
      </c>
      <c r="BV88" s="3">
        <f>'QTR Raw'!AP50</f>
        <v>1.2</v>
      </c>
      <c r="BW88" s="3">
        <f>'QTR Raw'!AQ50</f>
        <v>1.2</v>
      </c>
      <c r="BX88" s="3">
        <f>'QTR Raw'!AR50</f>
        <v>1.2</v>
      </c>
      <c r="BY88" s="3">
        <f>'QTR Raw'!AS50</f>
        <v>1.2</v>
      </c>
      <c r="BZ88" s="3">
        <f>'QTR Raw'!AT50</f>
        <v>1.2</v>
      </c>
      <c r="CA88" s="3">
        <f>'QTR Raw'!AU50</f>
        <v>1.2</v>
      </c>
      <c r="CB88" s="3">
        <f>'QTR Raw'!AV50</f>
        <v>1.2</v>
      </c>
      <c r="CC88" s="3">
        <f>'QTR Raw'!AW50</f>
        <v>0</v>
      </c>
      <c r="CD88" s="3">
        <f>'QTR Raw'!AX50</f>
        <v>0</v>
      </c>
      <c r="CE88" s="3">
        <f>'QTR Raw'!AY50</f>
        <v>0</v>
      </c>
      <c r="CF88" s="3">
        <f>'QTR Raw'!AZ50</f>
        <v>0</v>
      </c>
      <c r="CG88" s="3">
        <f>'QTR Raw'!BA50</f>
        <v>0</v>
      </c>
      <c r="CH88" s="3">
        <f>'QTR Raw'!BB50</f>
        <v>0</v>
      </c>
      <c r="CI88" s="3">
        <f>'QTR Raw'!BC50</f>
        <v>0</v>
      </c>
      <c r="CJ88" s="3">
        <f>'QTR Raw'!BD50</f>
        <v>0</v>
      </c>
      <c r="CK88" s="3">
        <f>'QTR Raw'!BE50</f>
        <v>0</v>
      </c>
      <c r="CL88" s="3">
        <f>'QTR Raw'!BF50</f>
        <v>0</v>
      </c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34"/>
    </row>
    <row r="89" spans="1:110" s="3" customFormat="1" x14ac:dyDescent="0.2">
      <c r="AB89" s="37"/>
      <c r="AC89" s="37"/>
      <c r="AD89" s="37"/>
      <c r="AE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</row>
    <row r="90" spans="1:110" s="13" customFormat="1" x14ac:dyDescent="0.2">
      <c r="A90" s="13" t="s">
        <v>36</v>
      </c>
      <c r="AB90" s="37"/>
      <c r="AC90" s="37"/>
      <c r="AD90" s="37"/>
      <c r="AE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E90" s="134"/>
    </row>
    <row r="91" spans="1:110" s="13" customFormat="1" x14ac:dyDescent="0.2">
      <c r="A91" s="13" t="s">
        <v>457</v>
      </c>
      <c r="B91" s="13">
        <f>'Annual Raw'!C106</f>
        <v>23.1077542900642</v>
      </c>
      <c r="C91" s="13">
        <f>'Annual Raw'!D106</f>
        <v>16.736947913876399</v>
      </c>
      <c r="D91" s="13">
        <f>'Annual Raw'!E106</f>
        <v>18.7568392377995</v>
      </c>
      <c r="E91" s="13">
        <f>'Annual Raw'!F106</f>
        <v>32.693595511909599</v>
      </c>
      <c r="F91" s="13">
        <f>'Annual Raw'!G106</f>
        <v>51.801076030879102</v>
      </c>
      <c r="G91" s="13">
        <f>'Annual Raw'!H106</f>
        <v>85.7293239412747</v>
      </c>
      <c r="H91" s="13">
        <f>'Annual Raw'!I106</f>
        <v>60.038676833577703</v>
      </c>
      <c r="I91" s="13">
        <f>'Annual Raw'!J106</f>
        <v>81.422856375355494</v>
      </c>
      <c r="J91" s="13">
        <f>'Annual Raw'!K106</f>
        <v>57.845934173866603</v>
      </c>
      <c r="K91" s="13">
        <f>'Annual Raw'!L106</f>
        <v>96.757239164551706</v>
      </c>
      <c r="L91" s="13">
        <f>'Annual Raw'!M106</f>
        <v>96.549817561606105</v>
      </c>
      <c r="M91" s="13">
        <f>'Annual Raw'!N106</f>
        <v>110.674241000286</v>
      </c>
      <c r="N91" s="13">
        <f>'Annual Raw'!O106</f>
        <v>126.42840560496801</v>
      </c>
      <c r="O91" s="13">
        <f>'Annual Raw'!P106</f>
        <v>148.108901722382</v>
      </c>
      <c r="P91" s="13">
        <f>'Annual Raw'!Q106</f>
        <v>147.26933809141099</v>
      </c>
      <c r="Q91" s="13">
        <f>'Annual Raw'!R106</f>
        <v>119.514352173446</v>
      </c>
      <c r="R91" s="13">
        <f>'Annual Raw'!S106</f>
        <v>148.40521829801901</v>
      </c>
      <c r="S91" s="13">
        <f>'Annual Raw'!T106</f>
        <v>255.27672991096799</v>
      </c>
      <c r="T91" s="13">
        <f>'Annual Raw'!U106</f>
        <v>200.65570780194699</v>
      </c>
      <c r="U91" s="13">
        <f>'Annual Raw'!V106</f>
        <v>291.18042165894099</v>
      </c>
      <c r="V91" s="13">
        <f>'Annual Raw'!W106</f>
        <v>630.66044514665396</v>
      </c>
      <c r="W91" s="13">
        <f>'Annual Raw'!X106</f>
        <v>767.70686137860196</v>
      </c>
      <c r="X91" s="13">
        <f>'Annual Raw'!Y106</f>
        <v>701.33194843599404</v>
      </c>
      <c r="Y91" s="13">
        <f>'Annual Raw'!Z106</f>
        <v>1081.9505898412599</v>
      </c>
      <c r="Z91" s="13">
        <f>'Annual Raw'!AA106</f>
        <v>1001.75</v>
      </c>
      <c r="AA91" s="13">
        <f>'Annual Raw'!AB106</f>
        <v>1014.45</v>
      </c>
      <c r="AB91" s="37">
        <f>+CP91</f>
        <v>1248</v>
      </c>
      <c r="AC91" s="37">
        <f>+CT91</f>
        <v>1248</v>
      </c>
      <c r="AD91" s="37">
        <f>+CX91</f>
        <v>1248</v>
      </c>
      <c r="AE91" s="37">
        <f>+DB91</f>
        <v>1248</v>
      </c>
      <c r="AJ91" s="13">
        <f>'QTR Share Price'!HP21</f>
        <v>141.04669000304199</v>
      </c>
      <c r="AK91" s="13">
        <f>'QTR Share Price'!HQ21</f>
        <v>157.887348718391</v>
      </c>
      <c r="AL91" s="13">
        <f>'QTR Share Price'!HR21</f>
        <v>126.42840560496801</v>
      </c>
      <c r="AM91" s="13">
        <f>'QTR Share Price'!HS21</f>
        <v>132.552281501458</v>
      </c>
      <c r="AN91" s="13">
        <f>'QTR Share Price'!HT21</f>
        <v>141.93563972995199</v>
      </c>
      <c r="AO91" s="13">
        <f>'QTR Share Price'!HU21</f>
        <v>158.33182358184601</v>
      </c>
      <c r="AP91" s="13">
        <f>'QTR Share Price'!HV21</f>
        <v>148.108901722382</v>
      </c>
      <c r="AQ91" s="13">
        <f>'QTR Share Price'!HW21</f>
        <v>170.67834756670601</v>
      </c>
      <c r="AR91" s="13">
        <f>'QTR Share Price'!HX21</f>
        <v>157.146557279299</v>
      </c>
      <c r="AS91" s="13">
        <f>'QTR Share Price'!HY21</f>
        <v>148.849693161473</v>
      </c>
      <c r="AT91" s="13">
        <f>'QTR Share Price'!HZ21</f>
        <v>147.26933809141099</v>
      </c>
      <c r="AU91" s="13">
        <f>'QTR Share Price'!IA21</f>
        <v>130.72499595169899</v>
      </c>
      <c r="AV91" s="13">
        <f>'QTR Share Price'!IB21</f>
        <v>126.132089029331</v>
      </c>
      <c r="AW91" s="13">
        <f>'QTR Share Price'!IC21</f>
        <v>144.30617233504501</v>
      </c>
      <c r="AX91" s="13">
        <f>'QTR Share Price'!ID21</f>
        <v>119.514352173446</v>
      </c>
      <c r="AY91" s="13">
        <f>'QTR Share Price'!IE21</f>
        <v>129.243413073516</v>
      </c>
      <c r="AZ91" s="13">
        <f>'QTR Share Price'!IF21</f>
        <v>137.787207671039</v>
      </c>
      <c r="BA91" s="13">
        <f>'QTR Share Price'!IG21</f>
        <v>120.551460188174</v>
      </c>
      <c r="BB91" s="13">
        <f>'QTR Share Price'!IH21</f>
        <v>148.40521829801901</v>
      </c>
      <c r="BC91" s="13">
        <f>'QTR Share Price'!II21</f>
        <v>148.70153487365499</v>
      </c>
      <c r="BD91" s="13">
        <f>'QTR Share Price'!IJ21</f>
        <v>203.125012598919</v>
      </c>
      <c r="BE91" s="13">
        <f>'QTR Share Price'!IK21</f>
        <v>311.67565147380901</v>
      </c>
      <c r="BF91" s="13">
        <f>'QTR Share Price'!IL21</f>
        <v>255.27672991096799</v>
      </c>
      <c r="BG91" s="13">
        <f>'QTR Share Price'!IM21</f>
        <v>266.14167101764502</v>
      </c>
      <c r="BH91" s="13">
        <f>'QTR Share Price'!IN21</f>
        <v>230.33675146154999</v>
      </c>
      <c r="BI91" s="13">
        <f>'QTR Share Price'!IO21</f>
        <v>216.70618898226499</v>
      </c>
      <c r="BJ91" s="13">
        <f>'QTR Share Price'!IP21</f>
        <v>200.65570780194699</v>
      </c>
      <c r="BK91" s="13">
        <f>'QTR Share Price'!IQ21</f>
        <v>266.38860149734199</v>
      </c>
      <c r="BL91" s="13">
        <f>'QTR Share Price'!IR21</f>
        <v>272.660635681651</v>
      </c>
      <c r="BM91" s="13">
        <f>'QTR Share Price'!IS21</f>
        <v>317.10812202714698</v>
      </c>
      <c r="BN91" s="13">
        <f>'QTR Share Price'!IT21</f>
        <v>291.18042165894099</v>
      </c>
      <c r="BO91" s="13">
        <f>'QTR Share Price'!IU21</f>
        <v>382.79162962660303</v>
      </c>
      <c r="BP91" s="13">
        <f>'QTR Share Price'!IV21</f>
        <v>493.61402891470698</v>
      </c>
      <c r="BQ91" s="13">
        <f>'QTR Share Price'!IW21</f>
        <v>582.41022941382096</v>
      </c>
      <c r="BR91" s="13">
        <f>'QTR Share Price'!IX21</f>
        <v>630.66044514665396</v>
      </c>
      <c r="BS91" s="13">
        <f>'QTR Share Price'!IY21</f>
        <v>744.54478238300396</v>
      </c>
      <c r="BT91" s="13">
        <f>'QTR Share Price'!IZ21</f>
        <v>803.56116703063503</v>
      </c>
      <c r="BU91" s="13">
        <f>'QTR Share Price'!JA21</f>
        <v>734.27247442759995</v>
      </c>
      <c r="BV91" s="13">
        <f>'QTR Share Price'!JB21</f>
        <v>767.70686137860196</v>
      </c>
      <c r="BW91" s="13">
        <f>'QTR Share Price'!JC21</f>
        <v>698.56632706338496</v>
      </c>
      <c r="BX91" s="13">
        <f>'QTR Share Price'!JD21</f>
        <v>793.53578955492901</v>
      </c>
      <c r="BY91" s="13">
        <f>'QTR Share Price'!JE21</f>
        <v>757.73086999883503</v>
      </c>
      <c r="BZ91" s="13">
        <f>'QTR Share Price'!JF21</f>
        <v>701.33194843599404</v>
      </c>
      <c r="CA91" s="13">
        <f>'QTR Share Price'!JG21</f>
        <v>849.78655282995203</v>
      </c>
      <c r="CB91" s="13">
        <f>'QTR Share Price'!JH21</f>
        <v>865.98519229808801</v>
      </c>
      <c r="CC91" s="13">
        <f>'QTR Share Price'!JI21</f>
        <v>1073.4561813396799</v>
      </c>
      <c r="CD91" s="13">
        <f>'QTR Share Price'!JJ21</f>
        <v>1081.9505898412599</v>
      </c>
      <c r="CE91" s="13">
        <f>'QTR Share Price'!JK21</f>
        <v>1083.6791031991399</v>
      </c>
      <c r="CF91" s="13">
        <f>'QTR Share Price'!JL21</f>
        <v>1196.6500000000001</v>
      </c>
      <c r="CG91" s="13">
        <f>'QTR Share Price'!JM21</f>
        <v>914.35</v>
      </c>
      <c r="CH91" s="13">
        <f>'QTR Share Price'!JN21</f>
        <v>1001.75</v>
      </c>
      <c r="CI91" s="13">
        <f>'QTR Share Price'!JO21</f>
        <v>1099.2</v>
      </c>
      <c r="CJ91" s="13">
        <f>'QTR Share Price'!JP21</f>
        <v>1129.1500000000001</v>
      </c>
      <c r="CK91" s="13">
        <f>'QTR Share Price'!JQ21</f>
        <v>1192</v>
      </c>
      <c r="CL91" s="13">
        <f>'QTR Share Price'!JR21</f>
        <v>1014.45</v>
      </c>
      <c r="CM91" s="37">
        <v>1248</v>
      </c>
      <c r="CN91" s="37">
        <f t="shared" ref="CN91" si="910">+CM91</f>
        <v>1248</v>
      </c>
      <c r="CO91" s="37">
        <f t="shared" ref="CO91" si="911">+CN91</f>
        <v>1248</v>
      </c>
      <c r="CP91" s="37">
        <f t="shared" ref="CP91" si="912">+CO91</f>
        <v>1248</v>
      </c>
      <c r="CQ91" s="37">
        <f t="shared" ref="CQ91" si="913">+CP91</f>
        <v>1248</v>
      </c>
      <c r="CR91" s="37">
        <f t="shared" ref="CR91" si="914">+CQ91</f>
        <v>1248</v>
      </c>
      <c r="CS91" s="37">
        <f t="shared" ref="CS91" si="915">+CR91</f>
        <v>1248</v>
      </c>
      <c r="CT91" s="37">
        <f t="shared" ref="CT91" si="916">+CS91</f>
        <v>1248</v>
      </c>
      <c r="CU91" s="37">
        <f t="shared" ref="CU91" si="917">+CT91</f>
        <v>1248</v>
      </c>
      <c r="CV91" s="37">
        <f t="shared" ref="CV91" si="918">+CU91</f>
        <v>1248</v>
      </c>
      <c r="CW91" s="37">
        <f t="shared" ref="CW91" si="919">+CV91</f>
        <v>1248</v>
      </c>
      <c r="CX91" s="37">
        <f t="shared" ref="CX91" si="920">+CW91</f>
        <v>1248</v>
      </c>
      <c r="CY91" s="37">
        <f t="shared" ref="CY91" si="921">+CX91</f>
        <v>1248</v>
      </c>
      <c r="CZ91" s="37">
        <f t="shared" ref="CZ91" si="922">+CY91</f>
        <v>1248</v>
      </c>
      <c r="DA91" s="37">
        <f t="shared" ref="DA91" si="923">+CZ91</f>
        <v>1248</v>
      </c>
      <c r="DB91" s="37">
        <f t="shared" ref="DB91" si="924">+DA91</f>
        <v>1248</v>
      </c>
      <c r="DE91" s="134"/>
      <c r="DF91" s="13">
        <v>1014.45</v>
      </c>
    </row>
    <row r="92" spans="1:110" s="13" customFormat="1" x14ac:dyDescent="0.2">
      <c r="A92" s="13" t="s">
        <v>458</v>
      </c>
      <c r="B92" s="13">
        <f>'Annual Raw'!C107</f>
        <v>40.4965986703412</v>
      </c>
      <c r="C92" s="13">
        <f>'Annual Raw'!D107</f>
        <v>24.495503585962499</v>
      </c>
      <c r="D92" s="13">
        <f>'Annual Raw'!E107</f>
        <v>21.473074514468699</v>
      </c>
      <c r="E92" s="13">
        <f>'Annual Raw'!F107</f>
        <v>41.474443369942101</v>
      </c>
      <c r="F92" s="13">
        <f>'Annual Raw'!G107</f>
        <v>55.984078356949702</v>
      </c>
      <c r="G92" s="13">
        <f>'Annual Raw'!H107</f>
        <v>103.414484897188</v>
      </c>
      <c r="H92" s="13">
        <f>'Annual Raw'!I107</f>
        <v>90.672872144812601</v>
      </c>
      <c r="I92" s="13">
        <f>'Annual Raw'!J107</f>
        <v>100.155002565185</v>
      </c>
      <c r="J92" s="13">
        <f>'Annual Raw'!K107</f>
        <v>94.920076395604497</v>
      </c>
      <c r="K92" s="13">
        <f>'Annual Raw'!L107</f>
        <v>106.18010626979699</v>
      </c>
      <c r="L92" s="13">
        <f>'Annual Raw'!M107</f>
        <v>136.94764404006801</v>
      </c>
      <c r="M92" s="13">
        <f>'Annual Raw'!N107</f>
        <v>127.11981094812</v>
      </c>
      <c r="N92" s="13">
        <f>'Annual Raw'!O107</f>
        <v>179.46907264392701</v>
      </c>
      <c r="O92" s="13">
        <f>'Annual Raw'!P107</f>
        <v>168.110270577855</v>
      </c>
      <c r="P92" s="13">
        <f>'Annual Raw'!Q107</f>
        <v>174.974937913437</v>
      </c>
      <c r="Q92" s="13">
        <f>'Annual Raw'!R107</f>
        <v>161.39376153009101</v>
      </c>
      <c r="R92" s="13">
        <f>'Annual Raw'!S107</f>
        <v>155.71436049705599</v>
      </c>
      <c r="S92" s="13">
        <f>'Annual Raw'!T107</f>
        <v>324.76296689776001</v>
      </c>
      <c r="T92" s="13">
        <f>'Annual Raw'!U107</f>
        <v>296.11903125288501</v>
      </c>
      <c r="U92" s="13">
        <f>'Annual Raw'!V107</f>
        <v>402.94115676989497</v>
      </c>
      <c r="V92" s="13">
        <f>'Annual Raw'!W107</f>
        <v>644.83425468127405</v>
      </c>
      <c r="W92" s="13">
        <f>'Annual Raw'!X107</f>
        <v>878.08478580325095</v>
      </c>
      <c r="X92" s="13">
        <f>'Annual Raw'!Y107</f>
        <v>850.77427474874003</v>
      </c>
      <c r="Y92" s="13">
        <f>'Annual Raw'!Z107</f>
        <v>1254.0117480942699</v>
      </c>
      <c r="Z92" s="13">
        <f>'Annual Raw'!AA107</f>
        <v>1247.39401123839</v>
      </c>
      <c r="AA92" s="13">
        <f>'Annual Raw'!AB107</f>
        <v>1220.7</v>
      </c>
      <c r="AB92" s="37">
        <f>+MAX(CM92:CP92)</f>
        <v>1657.207773437985</v>
      </c>
      <c r="AC92" s="37">
        <f>+MAX(CQ92:CT92)</f>
        <v>1992.7301272268694</v>
      </c>
      <c r="AD92" s="37">
        <f>+MAX(CU92:CX92)</f>
        <v>2397.3928684422167</v>
      </c>
      <c r="AE92" s="37">
        <f>+MAX(CY92:DB92)</f>
        <v>2864.9547094868035</v>
      </c>
      <c r="AJ92" s="13">
        <f>'QTR Share Price'!HP19</f>
        <v>142.52827288122501</v>
      </c>
      <c r="AK92" s="13">
        <f>'QTR Share Price'!HQ19</f>
        <v>179.46907264392701</v>
      </c>
      <c r="AL92" s="13">
        <f>'QTR Share Price'!HR19</f>
        <v>166.82623208343</v>
      </c>
      <c r="AM92" s="13">
        <f>'QTR Share Price'!HS19</f>
        <v>151.46715624626401</v>
      </c>
      <c r="AN92" s="13">
        <f>'QTR Share Price'!HT19</f>
        <v>161.986394681365</v>
      </c>
      <c r="AO92" s="13">
        <f>'QTR Share Price'!HU19</f>
        <v>168.110270577855</v>
      </c>
      <c r="AP92" s="13">
        <f>'QTR Share Price'!HV19</f>
        <v>160.65297009099999</v>
      </c>
      <c r="AQ92" s="13">
        <f>'QTR Share Price'!HW19</f>
        <v>174.974937913437</v>
      </c>
      <c r="AR92" s="13">
        <f>'QTR Share Price'!HX19</f>
        <v>174.72800743374</v>
      </c>
      <c r="AS92" s="13">
        <f>'QTR Share Price'!HY19</f>
        <v>163.96183851894199</v>
      </c>
      <c r="AT92" s="13">
        <f>'QTR Share Price'!HZ19</f>
        <v>165.64096578088299</v>
      </c>
      <c r="AU92" s="13">
        <f>'QTR Share Price'!IA19</f>
        <v>161.39376153009101</v>
      </c>
      <c r="AV92" s="13">
        <f>'QTR Share Price'!IB19</f>
        <v>145.24450815789399</v>
      </c>
      <c r="AW92" s="13">
        <f>'QTR Share Price'!IC19</f>
        <v>146.084071788865</v>
      </c>
      <c r="AX92" s="13">
        <f>'QTR Share Price'!ID19</f>
        <v>147.96074343456399</v>
      </c>
      <c r="AY92" s="13">
        <f>'QTR Share Price'!IE19</f>
        <v>129.885432320728</v>
      </c>
      <c r="AZ92" s="13">
        <f>'QTR Share Price'!IF19</f>
        <v>147.071793707654</v>
      </c>
      <c r="BA92" s="13">
        <f>'QTR Share Price'!IG19</f>
        <v>155.71436049705599</v>
      </c>
      <c r="BB92" s="13">
        <f>'QTR Share Price'!IH19</f>
        <v>152.01040330159799</v>
      </c>
      <c r="BC92" s="13">
        <f>'QTR Share Price'!II19</f>
        <v>160.80112837881799</v>
      </c>
      <c r="BD92" s="13">
        <f>'QTR Share Price'!IJ19</f>
        <v>217.54575261323501</v>
      </c>
      <c r="BE92" s="13">
        <f>'QTR Share Price'!IK19</f>
        <v>312.61398729665802</v>
      </c>
      <c r="BF92" s="13">
        <f>'QTR Share Price'!IL19</f>
        <v>324.76296689776001</v>
      </c>
      <c r="BG92" s="13">
        <f>'QTR Share Price'!IM19</f>
        <v>296.11903125288501</v>
      </c>
      <c r="BH92" s="13">
        <f>'QTR Share Price'!IN19</f>
        <v>281.20443027917401</v>
      </c>
      <c r="BI92" s="13">
        <f>'QTR Share Price'!IO19</f>
        <v>237.54712146870901</v>
      </c>
      <c r="BJ92" s="13">
        <f>'QTR Share Price'!IP19</f>
        <v>217.644524805114</v>
      </c>
      <c r="BK92" s="13">
        <f>'QTR Share Price'!IQ19</f>
        <v>274.09283246389401</v>
      </c>
      <c r="BL92" s="13">
        <f>'QTR Share Price'!IR19</f>
        <v>284.06882384366099</v>
      </c>
      <c r="BM92" s="13">
        <f>'QTR Share Price'!IS19</f>
        <v>325.94823320030702</v>
      </c>
      <c r="BN92" s="13">
        <f>'QTR Share Price'!IT19</f>
        <v>402.94115676989497</v>
      </c>
      <c r="BO92" s="13">
        <f>'QTR Share Price'!IU19</f>
        <v>390.15015792157902</v>
      </c>
      <c r="BP92" s="13">
        <f>'QTR Share Price'!IV19</f>
        <v>584.48444544327799</v>
      </c>
      <c r="BQ92" s="13">
        <f>'QTR Share Price'!IW19</f>
        <v>609.32565170081602</v>
      </c>
      <c r="BR92" s="13">
        <f>'QTR Share Price'!IX19</f>
        <v>644.83425468127405</v>
      </c>
      <c r="BS92" s="13">
        <f>'QTR Share Price'!IY19</f>
        <v>762.422549113081</v>
      </c>
      <c r="BT92" s="13">
        <f>'QTR Share Price'!IZ19</f>
        <v>878.08478580325095</v>
      </c>
      <c r="BU92" s="13">
        <f>'QTR Share Price'!JA19</f>
        <v>851.91015495534805</v>
      </c>
      <c r="BV92" s="13">
        <f>'QTR Share Price'!JB19</f>
        <v>772.89240145224301</v>
      </c>
      <c r="BW92" s="13">
        <f>'QTR Share Price'!JC19</f>
        <v>826.27877116277796</v>
      </c>
      <c r="BX92" s="13">
        <f>'QTR Share Price'!JD19</f>
        <v>850.77427474874003</v>
      </c>
      <c r="BY92" s="13">
        <f>'QTR Share Price'!JE19</f>
        <v>811.90741724440102</v>
      </c>
      <c r="BZ92" s="13">
        <f>'QTR Share Price'!JF19</f>
        <v>771.21327419030195</v>
      </c>
      <c r="CA92" s="13">
        <f>'QTR Share Price'!JG19</f>
        <v>866.23212277778498</v>
      </c>
      <c r="CB92" s="13">
        <f>'QTR Share Price'!JH19</f>
        <v>898.62940171405796</v>
      </c>
      <c r="CC92" s="13">
        <f>'QTR Share Price'!JI19</f>
        <v>1080.5677791549599</v>
      </c>
      <c r="CD92" s="13">
        <f>'QTR Share Price'!JJ19</f>
        <v>1254.0117480942699</v>
      </c>
      <c r="CE92" s="13">
        <f>'QTR Share Price'!JK19</f>
        <v>1165.51186417079</v>
      </c>
      <c r="CF92" s="13">
        <f>'QTR Share Price'!JL19</f>
        <v>1247.39401123839</v>
      </c>
      <c r="CG92" s="13">
        <f>'QTR Share Price'!JM19</f>
        <v>1205.55</v>
      </c>
      <c r="CH92" s="13">
        <f>'QTR Share Price'!JN19</f>
        <v>1074.8</v>
      </c>
      <c r="CI92" s="13">
        <f>'QTR Share Price'!JO19</f>
        <v>1180</v>
      </c>
      <c r="CJ92" s="13">
        <f>'QTR Share Price'!JP19</f>
        <v>1147</v>
      </c>
      <c r="CK92" s="13">
        <f>'QTR Share Price'!JQ19</f>
        <v>1202.75</v>
      </c>
      <c r="CL92" s="13">
        <f>'QTR Share Price'!JR19</f>
        <v>1220.7</v>
      </c>
      <c r="CM92" s="37">
        <f t="shared" ref="CM92:DB92" si="925">+CM83*CM100</f>
        <v>1320.4748626228127</v>
      </c>
      <c r="CN92" s="37">
        <f t="shared" si="925"/>
        <v>1406.3392632294344</v>
      </c>
      <c r="CO92" s="37">
        <f t="shared" si="925"/>
        <v>1513.7961438232612</v>
      </c>
      <c r="CP92" s="37">
        <f t="shared" si="925"/>
        <v>1657.207773437985</v>
      </c>
      <c r="CQ92" s="37">
        <f t="shared" si="925"/>
        <v>1749.374407392078</v>
      </c>
      <c r="CR92" s="37">
        <f t="shared" si="925"/>
        <v>1836.4242594854607</v>
      </c>
      <c r="CS92" s="37">
        <f t="shared" si="925"/>
        <v>1915.7577436481311</v>
      </c>
      <c r="CT92" s="37">
        <f t="shared" si="925"/>
        <v>1992.7301272268694</v>
      </c>
      <c r="CU92" s="37">
        <f t="shared" si="925"/>
        <v>2089.918337879119</v>
      </c>
      <c r="CV92" s="37">
        <f t="shared" si="925"/>
        <v>2189.4654090297349</v>
      </c>
      <c r="CW92" s="37">
        <f t="shared" si="925"/>
        <v>2289.0402037829431</v>
      </c>
      <c r="CX92" s="37">
        <f t="shared" si="925"/>
        <v>2397.3928684422167</v>
      </c>
      <c r="CY92" s="37">
        <f t="shared" si="925"/>
        <v>2506.7051470497258</v>
      </c>
      <c r="CZ92" s="37">
        <f t="shared" si="925"/>
        <v>2621.8081871589729</v>
      </c>
      <c r="DA92" s="37">
        <f t="shared" si="925"/>
        <v>2738.2850310243139</v>
      </c>
      <c r="DB92" s="37">
        <f t="shared" si="925"/>
        <v>2864.9547094868035</v>
      </c>
      <c r="DE92" s="134"/>
      <c r="DF92" s="13">
        <v>1220.7</v>
      </c>
    </row>
    <row r="93" spans="1:110" s="13" customFormat="1" x14ac:dyDescent="0.2">
      <c r="A93" s="13" t="s">
        <v>459</v>
      </c>
      <c r="B93" s="13">
        <f>'Annual Raw'!C108</f>
        <v>16.539403530118602</v>
      </c>
      <c r="C93" s="13">
        <f>'Annual Raw'!D108</f>
        <v>11.5069603538896</v>
      </c>
      <c r="D93" s="13">
        <f>'Annual Raw'!E108</f>
        <v>14.3318450416256</v>
      </c>
      <c r="E93" s="13">
        <f>'Annual Raw'!F108</f>
        <v>18.667944265108499</v>
      </c>
      <c r="F93" s="13">
        <f>'Annual Raw'!G108</f>
        <v>28.150074685481002</v>
      </c>
      <c r="G93" s="13">
        <f>'Annual Raw'!H108</f>
        <v>49.386095939440402</v>
      </c>
      <c r="H93" s="13">
        <f>'Annual Raw'!I108</f>
        <v>55.1395761163853</v>
      </c>
      <c r="I93" s="13">
        <f>'Annual Raw'!J108</f>
        <v>57.8903816602121</v>
      </c>
      <c r="J93" s="13">
        <f>'Annual Raw'!K108</f>
        <v>42.4720425079188</v>
      </c>
      <c r="K93" s="13">
        <f>'Annual Raw'!L108</f>
        <v>56.818703378326198</v>
      </c>
      <c r="L93" s="13">
        <f>'Annual Raw'!M108</f>
        <v>84.104521384867098</v>
      </c>
      <c r="M93" s="13">
        <f>'Annual Raw'!N108</f>
        <v>79.0177535031047</v>
      </c>
      <c r="N93" s="13">
        <f>'Annual Raw'!O108</f>
        <v>98.772191878880903</v>
      </c>
      <c r="O93" s="13">
        <f>'Annual Raw'!P108</f>
        <v>124.45296176738999</v>
      </c>
      <c r="P93" s="13">
        <f>'Annual Raw'!Q108</f>
        <v>135.71299164158199</v>
      </c>
      <c r="Q93" s="13">
        <f>'Annual Raw'!R108</f>
        <v>98.870964070759797</v>
      </c>
      <c r="R93" s="13">
        <f>'Annual Raw'!S108</f>
        <v>113.094159701319</v>
      </c>
      <c r="S93" s="13">
        <f>'Annual Raw'!T108</f>
        <v>138.77492958982799</v>
      </c>
      <c r="T93" s="13">
        <f>'Annual Raw'!U108</f>
        <v>175.32064058501399</v>
      </c>
      <c r="U93" s="13">
        <f>'Annual Raw'!V108</f>
        <v>192.60577416381801</v>
      </c>
      <c r="V93" s="13">
        <f>'Annual Raw'!W108</f>
        <v>260.75858656024599</v>
      </c>
      <c r="W93" s="13">
        <f>'Annual Raw'!X108</f>
        <v>606.70818861602595</v>
      </c>
      <c r="X93" s="13">
        <f>'Annual Raw'!Y108</f>
        <v>676.58951437033397</v>
      </c>
      <c r="Y93" s="13">
        <f>'Annual Raw'!Z108</f>
        <v>687.94831643640498</v>
      </c>
      <c r="Z93" s="13">
        <f>'Annual Raw'!AA108</f>
        <v>884</v>
      </c>
      <c r="AA93" s="13">
        <f>'Annual Raw'!AB108</f>
        <v>989.1</v>
      </c>
      <c r="AB93" s="37">
        <f>+MIN(CM93:CP93)</f>
        <v>1093.6348702479427</v>
      </c>
      <c r="AC93" s="37">
        <f>+MIN(CQ93:CT93)</f>
        <v>1448.8551862647585</v>
      </c>
      <c r="AD93" s="37">
        <f>+MIN(CU93:CX93)</f>
        <v>1730.898205616277</v>
      </c>
      <c r="AE93" s="37">
        <f>+MIN(CY93:DB93)</f>
        <v>2076.0865926659071</v>
      </c>
      <c r="AJ93" s="13">
        <f>+'QTR Share Price'!HP20</f>
        <v>111.95827949471099</v>
      </c>
      <c r="AK93" s="13">
        <f>+'QTR Share Price'!HQ20</f>
        <v>141.2442343868</v>
      </c>
      <c r="AL93" s="13">
        <f>+'QTR Share Price'!HR20</f>
        <v>120.50207409223501</v>
      </c>
      <c r="AM93" s="13">
        <f>+'QTR Share Price'!HS20</f>
        <v>124.45296176738999</v>
      </c>
      <c r="AN93" s="13">
        <f>+'QTR Share Price'!HT20</f>
        <v>129.638501841031</v>
      </c>
      <c r="AO93" s="13">
        <f>+'QTR Share Price'!HU20</f>
        <v>139.26879054922199</v>
      </c>
      <c r="AP93" s="13">
        <f>+'QTR Share Price'!HV20</f>
        <v>133.737547804005</v>
      </c>
      <c r="AQ93" s="13">
        <f>+'QTR Share Price'!HW20</f>
        <v>140.454056851769</v>
      </c>
      <c r="AR93" s="13">
        <f>+'QTR Share Price'!HX20</f>
        <v>146.62731884419901</v>
      </c>
      <c r="AS93" s="13">
        <f>+'QTR Share Price'!HY20</f>
        <v>135.71299164158199</v>
      </c>
      <c r="AT93" s="13">
        <f>+'QTR Share Price'!HZ20</f>
        <v>140.94791781116299</v>
      </c>
      <c r="AU93" s="13">
        <f>+'QTR Share Price'!IA20</f>
        <v>124.50234786332901</v>
      </c>
      <c r="AV93" s="13">
        <f>+'QTR Share Price'!IB20</f>
        <v>107.51353086016201</v>
      </c>
      <c r="AW93" s="13">
        <f>+'QTR Share Price'!IC20</f>
        <v>121.637954298842</v>
      </c>
      <c r="AX93" s="13">
        <f>+'QTR Share Price'!ID20</f>
        <v>98.870964070759797</v>
      </c>
      <c r="AY93" s="13">
        <f>+'QTR Share Price'!IE20</f>
        <v>114.032495524168</v>
      </c>
      <c r="AZ93" s="13">
        <f>+'QTR Share Price'!IF20</f>
        <v>127.317355331877</v>
      </c>
      <c r="BA93" s="13">
        <f>+'QTR Share Price'!IG20</f>
        <v>113.094159701319</v>
      </c>
      <c r="BB93" s="13">
        <f>+'QTR Share Price'!IH20</f>
        <v>120.00821313284</v>
      </c>
      <c r="BC93" s="13">
        <f>+'QTR Share Price'!II20</f>
        <v>138.77492958982799</v>
      </c>
      <c r="BD93" s="13">
        <f>+'QTR Share Price'!IJ20</f>
        <v>147.76319905080601</v>
      </c>
      <c r="BE93" s="13">
        <f>+'QTR Share Price'!IK20</f>
        <v>199.914916362855</v>
      </c>
      <c r="BF93" s="13">
        <f>+'QTR Share Price'!IL20</f>
        <v>246.88109360126299</v>
      </c>
      <c r="BG93" s="13">
        <f>+'QTR Share Price'!IM20</f>
        <v>234.78150009609999</v>
      </c>
      <c r="BH93" s="13">
        <f>+'QTR Share Price'!IN20</f>
        <v>210.137838222319</v>
      </c>
      <c r="BI93" s="13">
        <f>+'QTR Share Price'!IO20</f>
        <v>192.60577416381801</v>
      </c>
      <c r="BJ93" s="13">
        <f>+'QTR Share Price'!IP20</f>
        <v>175.32064058501399</v>
      </c>
      <c r="BK93" s="13">
        <f>+'QTR Share Price'!IQ20</f>
        <v>192.60577416381801</v>
      </c>
      <c r="BL93" s="13">
        <f>+'QTR Share Price'!IR20</f>
        <v>242.584503254531</v>
      </c>
      <c r="BM93" s="13">
        <f>+'QTR Share Price'!IS20</f>
        <v>259.425161969881</v>
      </c>
      <c r="BN93" s="13">
        <f>+'QTR Share Price'!IT20</f>
        <v>211.372490620805</v>
      </c>
      <c r="BO93" s="13">
        <f>+'QTR Share Price'!IU20</f>
        <v>260.75858656024599</v>
      </c>
      <c r="BP93" s="13">
        <f>+'QTR Share Price'!IV20</f>
        <v>376.37143715447598</v>
      </c>
      <c r="BQ93" s="13">
        <f>+'QTR Share Price'!IW20</f>
        <v>453.36436072406298</v>
      </c>
      <c r="BR93" s="13">
        <f>+'QTR Share Price'!IX20</f>
        <v>547.74119006433398</v>
      </c>
      <c r="BS93" s="13">
        <f>+'QTR Share Price'!IY20</f>
        <v>606.70818861602595</v>
      </c>
      <c r="BT93" s="13">
        <f>+'QTR Share Price'!IZ20</f>
        <v>730.51913113620299</v>
      </c>
      <c r="BU93" s="13">
        <f>+'QTR Share Price'!JA20</f>
        <v>688.24463301204196</v>
      </c>
      <c r="BV93" s="13">
        <f>+'QTR Share Price'!JB20</f>
        <v>642.76003865181701</v>
      </c>
      <c r="BW93" s="13">
        <f>+'QTR Share Price'!JC20</f>
        <v>689.52867150646705</v>
      </c>
      <c r="BX93" s="13">
        <f>+'QTR Share Price'!JD20</f>
        <v>689.42989931458897</v>
      </c>
      <c r="BY93" s="13">
        <f>+'QTR Share Price'!JE20</f>
        <v>730.02527017680904</v>
      </c>
      <c r="BZ93" s="13">
        <f>+'QTR Share Price'!JF20</f>
        <v>676.58951437033397</v>
      </c>
      <c r="CA93" s="13">
        <f>+'QTR Share Price'!JG20</f>
        <v>687.94831643640498</v>
      </c>
      <c r="CB93" s="13">
        <f>+'QTR Share Price'!JH20</f>
        <v>812.00618943628001</v>
      </c>
      <c r="CC93" s="13">
        <f>+'QTR Share Price'!JI20</f>
        <v>844.50224056443199</v>
      </c>
      <c r="CD93" s="13">
        <f>+'QTR Share Price'!JJ20</f>
        <v>1062.8381707127</v>
      </c>
      <c r="CE93" s="13">
        <f>+'QTR Share Price'!JK20</f>
        <v>1017.35357635247</v>
      </c>
      <c r="CF93" s="13">
        <f>+'QTR Share Price'!JL20</f>
        <v>1066.2458113325199</v>
      </c>
      <c r="CG93" s="13">
        <f>+'QTR Share Price'!JM20</f>
        <v>884</v>
      </c>
      <c r="CH93" s="13">
        <f>+'QTR Share Price'!JN20</f>
        <v>908.5</v>
      </c>
      <c r="CI93" s="13">
        <f>+'QTR Share Price'!JO20</f>
        <v>989.1</v>
      </c>
      <c r="CJ93" s="13">
        <f>+'QTR Share Price'!JP20</f>
        <v>1038.3499999999999</v>
      </c>
      <c r="CK93" s="13">
        <f>+'QTR Share Price'!JQ20</f>
        <v>1105.0999999999999</v>
      </c>
      <c r="CL93" s="13">
        <f>+'QTR Share Price'!JR20</f>
        <v>1011</v>
      </c>
      <c r="CM93" s="37">
        <f t="shared" ref="CM93:DB93" si="926">+CM101*CM83</f>
        <v>1093.6348702479427</v>
      </c>
      <c r="CN93" s="37">
        <f t="shared" si="926"/>
        <v>1164.7489105635768</v>
      </c>
      <c r="CO93" s="37">
        <f t="shared" si="926"/>
        <v>1253.7461304213296</v>
      </c>
      <c r="CP93" s="37">
        <f t="shared" si="926"/>
        <v>1372.5215523435756</v>
      </c>
      <c r="CQ93" s="37">
        <f t="shared" si="926"/>
        <v>1448.8551862647585</v>
      </c>
      <c r="CR93" s="37">
        <f t="shared" si="926"/>
        <v>1520.9510332922098</v>
      </c>
      <c r="CS93" s="37">
        <f t="shared" si="926"/>
        <v>1586.65608161568</v>
      </c>
      <c r="CT93" s="37">
        <f t="shared" si="926"/>
        <v>1650.4056349851437</v>
      </c>
      <c r="CU93" s="37">
        <f t="shared" si="926"/>
        <v>1730.898205616277</v>
      </c>
      <c r="CV93" s="37">
        <f t="shared" si="926"/>
        <v>1813.3444159327123</v>
      </c>
      <c r="CW93" s="37">
        <f t="shared" si="926"/>
        <v>1895.8135873060992</v>
      </c>
      <c r="CX93" s="37">
        <f t="shared" si="926"/>
        <v>1985.5527074589015</v>
      </c>
      <c r="CY93" s="37">
        <f t="shared" si="926"/>
        <v>2076.0865926659071</v>
      </c>
      <c r="CZ93" s="37">
        <f t="shared" si="926"/>
        <v>2171.4164636829046</v>
      </c>
      <c r="DA93" s="37">
        <f t="shared" si="926"/>
        <v>2267.8841372700754</v>
      </c>
      <c r="DB93" s="37">
        <f t="shared" si="926"/>
        <v>2372.7936522414666</v>
      </c>
      <c r="DE93" s="134"/>
      <c r="DF93" s="13">
        <v>1011</v>
      </c>
    </row>
    <row r="94" spans="1:110" s="14" customFormat="1" x14ac:dyDescent="0.2">
      <c r="AB94" s="16"/>
      <c r="AC94" s="16"/>
      <c r="AD94" s="16"/>
      <c r="AE94" s="16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</row>
    <row r="95" spans="1:110" s="51" customFormat="1" x14ac:dyDescent="0.2">
      <c r="A95" s="51" t="s">
        <v>346</v>
      </c>
      <c r="AB95" s="48">
        <f t="shared" ref="AB95:AD95" si="927">+AB92/AB91-1</f>
        <v>0.3278908441009496</v>
      </c>
      <c r="AC95" s="48">
        <f t="shared" si="927"/>
        <v>0.59673888399588892</v>
      </c>
      <c r="AD95" s="48">
        <f t="shared" si="927"/>
        <v>0.92098787535434035</v>
      </c>
      <c r="AE95" s="48">
        <f t="shared" ref="AE95" si="928">+AE92/AE91-1</f>
        <v>1.2956367864477594</v>
      </c>
      <c r="CM95" s="48">
        <f t="shared" ref="CM95:DB95" si="929">+CM92/CM91-1</f>
        <v>5.8072806588792103E-2</v>
      </c>
      <c r="CN95" s="48">
        <f t="shared" si="929"/>
        <v>0.12687440963897001</v>
      </c>
      <c r="CO95" s="48">
        <f t="shared" si="929"/>
        <v>0.21297767934556178</v>
      </c>
      <c r="CP95" s="48">
        <f t="shared" si="929"/>
        <v>0.3278908441009496</v>
      </c>
      <c r="CQ95" s="48">
        <f t="shared" si="929"/>
        <v>0.40174231361544699</v>
      </c>
      <c r="CR95" s="48">
        <f t="shared" si="929"/>
        <v>0.47149379766463184</v>
      </c>
      <c r="CS95" s="48">
        <f t="shared" si="929"/>
        <v>0.53506229458984866</v>
      </c>
      <c r="CT95" s="48">
        <f t="shared" si="929"/>
        <v>0.59673888399588892</v>
      </c>
      <c r="CU95" s="48">
        <f t="shared" si="929"/>
        <v>0.67461405278775555</v>
      </c>
      <c r="CV95" s="48">
        <f t="shared" si="929"/>
        <v>0.75437933415844149</v>
      </c>
      <c r="CW95" s="48">
        <f t="shared" si="929"/>
        <v>0.83416682995428126</v>
      </c>
      <c r="CX95" s="48">
        <f t="shared" si="929"/>
        <v>0.92098787535434035</v>
      </c>
      <c r="CY95" s="48">
        <f t="shared" si="929"/>
        <v>1.0085778421872802</v>
      </c>
      <c r="CZ95" s="48">
        <f t="shared" si="929"/>
        <v>1.100807842274818</v>
      </c>
      <c r="DA95" s="48">
        <f t="shared" si="929"/>
        <v>1.1941386466540975</v>
      </c>
      <c r="DB95" s="48">
        <f t="shared" si="929"/>
        <v>1.2956367864477594</v>
      </c>
      <c r="DE95" s="129"/>
      <c r="DF95" s="51">
        <v>0.2033121395830253</v>
      </c>
    </row>
    <row r="96" spans="1:110" s="51" customFormat="1" x14ac:dyDescent="0.2">
      <c r="A96" s="51" t="s">
        <v>347</v>
      </c>
      <c r="AB96" s="48">
        <f t="shared" ref="AB96:AD96" si="930">+AB93/AB91-1</f>
        <v>-0.12369000781414852</v>
      </c>
      <c r="AC96" s="48">
        <f t="shared" si="930"/>
        <v>0.16094165566086405</v>
      </c>
      <c r="AD96" s="48">
        <f t="shared" si="930"/>
        <v>0.38693766475663227</v>
      </c>
      <c r="AE96" s="48">
        <f t="shared" ref="AE96" si="931">+AE93/AE91-1</f>
        <v>0.66353092361050248</v>
      </c>
      <c r="CM96" s="48">
        <f t="shared" ref="CM96:DB96" si="932">+CM93/CM91-1</f>
        <v>-0.12369000781414852</v>
      </c>
      <c r="CN96" s="48">
        <f t="shared" si="932"/>
        <v>-6.6707603715082664E-2</v>
      </c>
      <c r="CO96" s="48">
        <f t="shared" si="932"/>
        <v>4.6042711709370909E-3</v>
      </c>
      <c r="CP96" s="48">
        <f t="shared" si="932"/>
        <v>9.9776884890685702E-2</v>
      </c>
      <c r="CQ96" s="48">
        <f t="shared" si="932"/>
        <v>0.16094165566086405</v>
      </c>
      <c r="CR96" s="48">
        <f t="shared" si="932"/>
        <v>0.21871076385593735</v>
      </c>
      <c r="CS96" s="48">
        <f t="shared" si="932"/>
        <v>0.27135903975615383</v>
      </c>
      <c r="CT96" s="48">
        <f t="shared" si="932"/>
        <v>0.32244041264835244</v>
      </c>
      <c r="CU96" s="48">
        <f t="shared" si="932"/>
        <v>0.38693766475663227</v>
      </c>
      <c r="CV96" s="48">
        <f t="shared" si="932"/>
        <v>0.45300033327941702</v>
      </c>
      <c r="CW96" s="48">
        <f t="shared" si="932"/>
        <v>0.51908140008501547</v>
      </c>
      <c r="CX96" s="48">
        <f t="shared" si="932"/>
        <v>0.59098774636129936</v>
      </c>
      <c r="CY96" s="48">
        <f t="shared" si="932"/>
        <v>0.66353092361050248</v>
      </c>
      <c r="CZ96" s="48">
        <f t="shared" si="932"/>
        <v>0.73991703820745558</v>
      </c>
      <c r="DA96" s="48">
        <f t="shared" si="932"/>
        <v>0.81721485358179113</v>
      </c>
      <c r="DB96" s="48">
        <f t="shared" si="932"/>
        <v>0.90127696493707266</v>
      </c>
      <c r="DE96" s="129"/>
      <c r="DF96" s="51">
        <v>-2.4988910246931839E-2</v>
      </c>
    </row>
    <row r="97" spans="1:110" s="14" customFormat="1" x14ac:dyDescent="0.2">
      <c r="AB97" s="16"/>
      <c r="AC97" s="16"/>
      <c r="AD97" s="16"/>
      <c r="AE97" s="16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E97" s="134"/>
    </row>
    <row r="98" spans="1:110" s="13" customFormat="1" x14ac:dyDescent="0.2">
      <c r="A98" s="13" t="s">
        <v>40</v>
      </c>
      <c r="AB98" s="37"/>
      <c r="AC98" s="37"/>
      <c r="AD98" s="37"/>
      <c r="AE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E98" s="134"/>
    </row>
    <row r="99" spans="1:110" s="13" customFormat="1" x14ac:dyDescent="0.2">
      <c r="A99" s="13" t="s">
        <v>460</v>
      </c>
      <c r="B99" s="13">
        <f t="shared" ref="B99:D99" si="933">+B91/B83</f>
        <v>1.2964074402692567</v>
      </c>
      <c r="C99" s="13">
        <f t="shared" si="933"/>
        <v>0.95365798432242344</v>
      </c>
      <c r="D99" s="13">
        <f t="shared" si="933"/>
        <v>1.2653337376274474</v>
      </c>
      <c r="E99" s="13">
        <f t="shared" ref="E99:AE99" si="934">+E91/E83</f>
        <v>15.997617740598175</v>
      </c>
      <c r="F99" s="13">
        <f t="shared" si="934"/>
        <v>19.848023918817283</v>
      </c>
      <c r="G99" s="13">
        <f t="shared" si="934"/>
        <v>29.065108734046252</v>
      </c>
      <c r="H99" s="13">
        <f t="shared" si="934"/>
        <v>19.435566652559668</v>
      </c>
      <c r="I99" s="13">
        <f t="shared" si="934"/>
        <v>-340.59126064262182</v>
      </c>
      <c r="J99" s="13">
        <f t="shared" si="934"/>
        <v>-191.89482271340594</v>
      </c>
      <c r="K99" s="13">
        <f t="shared" si="934"/>
        <v>25.590195880551899</v>
      </c>
      <c r="L99" s="13">
        <f t="shared" si="934"/>
        <v>39.027555167540349</v>
      </c>
      <c r="M99" s="13">
        <f t="shared" si="934"/>
        <v>32.82987745329045</v>
      </c>
      <c r="N99" s="13">
        <f t="shared" si="934"/>
        <v>31.206939259234975</v>
      </c>
      <c r="O99" s="13">
        <f t="shared" si="934"/>
        <v>37.413524991000564</v>
      </c>
      <c r="P99" s="13">
        <f t="shared" si="934"/>
        <v>38.574346093343451</v>
      </c>
      <c r="Q99" s="13">
        <f t="shared" si="934"/>
        <v>36.128849862793857</v>
      </c>
      <c r="R99" s="13">
        <f t="shared" si="934"/>
        <v>38.231322962388639</v>
      </c>
      <c r="S99" s="13">
        <f t="shared" si="934"/>
        <v>48.892343943156199</v>
      </c>
      <c r="T99" s="13">
        <f t="shared" si="934"/>
        <v>44.978003180394758</v>
      </c>
      <c r="U99" s="13">
        <f t="shared" si="934"/>
        <v>39.228390888801108</v>
      </c>
      <c r="V99" s="13">
        <f t="shared" si="934"/>
        <v>70.333984325864733</v>
      </c>
      <c r="W99" s="13">
        <f t="shared" si="934"/>
        <v>76.907465785983959</v>
      </c>
      <c r="X99" s="13">
        <f t="shared" si="934"/>
        <v>66.458374461109642</v>
      </c>
      <c r="Y99" s="13">
        <f t="shared" si="934"/>
        <v>72.473266934275784</v>
      </c>
      <c r="Z99" s="13">
        <f t="shared" ref="Z99:AA99" si="935">+Z91/Z83</f>
        <v>77.231789214540498</v>
      </c>
      <c r="AA99" s="13">
        <f t="shared" si="935"/>
        <v>64.255339358406502</v>
      </c>
      <c r="AB99" s="37">
        <f t="shared" si="934"/>
        <v>58.222781382810972</v>
      </c>
      <c r="AC99" s="37">
        <f t="shared" si="934"/>
        <v>48.419625206875594</v>
      </c>
      <c r="AD99" s="37">
        <f t="shared" si="934"/>
        <v>40.246739351264672</v>
      </c>
      <c r="AE99" s="37">
        <f t="shared" si="934"/>
        <v>33.678454175653705</v>
      </c>
      <c r="AL99" s="13">
        <f t="shared" ref="AL99:BQ99" si="936">+AL91/AL83</f>
        <v>31.203458881102438</v>
      </c>
      <c r="AM99" s="13">
        <f t="shared" si="936"/>
        <v>32.159000256391522</v>
      </c>
      <c r="AN99" s="13">
        <f t="shared" si="936"/>
        <v>38.419224070682702</v>
      </c>
      <c r="AO99" s="13">
        <f t="shared" si="936"/>
        <v>38.589457729066403</v>
      </c>
      <c r="AP99" s="13">
        <f t="shared" si="936"/>
        <v>37.41002125189457</v>
      </c>
      <c r="AQ99" s="13">
        <f t="shared" si="936"/>
        <v>42.046014120361384</v>
      </c>
      <c r="AR99" s="13">
        <f t="shared" si="936"/>
        <v>38.784924281120013</v>
      </c>
      <c r="AS99" s="13">
        <f t="shared" si="936"/>
        <v>41.794152090825285</v>
      </c>
      <c r="AT99" s="13">
        <f t="shared" si="936"/>
        <v>38.570448119809186</v>
      </c>
      <c r="AU99" s="13">
        <f t="shared" si="936"/>
        <v>36.643734700908261</v>
      </c>
      <c r="AV99" s="13">
        <f t="shared" si="936"/>
        <v>35.559776082546897</v>
      </c>
      <c r="AW99" s="13">
        <f t="shared" si="936"/>
        <v>42.612718232572526</v>
      </c>
      <c r="AX99" s="13">
        <f t="shared" si="936"/>
        <v>36.125199008927495</v>
      </c>
      <c r="AY99" s="13">
        <f t="shared" si="936"/>
        <v>35.758404327324733</v>
      </c>
      <c r="AZ99" s="13">
        <f t="shared" si="936"/>
        <v>34.155128511070991</v>
      </c>
      <c r="BA99" s="13">
        <f t="shared" si="936"/>
        <v>29.170906254572586</v>
      </c>
      <c r="BB99" s="13">
        <f t="shared" si="936"/>
        <v>38.227459651660801</v>
      </c>
      <c r="BC99" s="13">
        <f t="shared" si="936"/>
        <v>36.962462007004014</v>
      </c>
      <c r="BD99" s="13">
        <f t="shared" si="936"/>
        <v>47.036624456865091</v>
      </c>
      <c r="BE99" s="13">
        <f t="shared" si="936"/>
        <v>58.244203424614497</v>
      </c>
      <c r="BF99" s="13">
        <f t="shared" si="936"/>
        <v>48.887403326347034</v>
      </c>
      <c r="BG99" s="13">
        <f t="shared" si="936"/>
        <v>49.52182922862076</v>
      </c>
      <c r="BH99" s="13">
        <f t="shared" si="936"/>
        <v>41.270840302617231</v>
      </c>
      <c r="BI99" s="13">
        <f t="shared" si="936"/>
        <v>45.498689553767584</v>
      </c>
      <c r="BJ99" s="13">
        <f t="shared" si="936"/>
        <v>44.973458111358767</v>
      </c>
      <c r="BK99" s="13">
        <f t="shared" si="936"/>
        <v>53.919633674593967</v>
      </c>
      <c r="BL99" s="13">
        <f t="shared" si="936"/>
        <v>53.207190132919237</v>
      </c>
      <c r="BM99" s="13">
        <f t="shared" si="936"/>
        <v>54.292571330217967</v>
      </c>
      <c r="BN99" s="13">
        <f t="shared" si="936"/>
        <v>39.224426823432296</v>
      </c>
      <c r="BO99" s="13">
        <f t="shared" si="936"/>
        <v>46.361360773013899</v>
      </c>
      <c r="BP99" s="13">
        <f t="shared" si="936"/>
        <v>54.071856704428463</v>
      </c>
      <c r="BQ99" s="13">
        <f t="shared" si="936"/>
        <v>60.193117055908722</v>
      </c>
      <c r="BR99" s="13">
        <f t="shared" ref="BR99:DB99" si="937">+BR91/BR83</f>
        <v>70.32687701136139</v>
      </c>
      <c r="BS99" s="13">
        <f t="shared" si="937"/>
        <v>90.712059467097973</v>
      </c>
      <c r="BT99" s="13">
        <f t="shared" si="937"/>
        <v>97.495404914084247</v>
      </c>
      <c r="BU99" s="13">
        <f t="shared" si="937"/>
        <v>83.562889709494243</v>
      </c>
      <c r="BV99" s="13">
        <f t="shared" si="937"/>
        <v>76.899694215067939</v>
      </c>
      <c r="BW99" s="13">
        <f t="shared" si="937"/>
        <v>64.10975520582636</v>
      </c>
      <c r="BX99" s="13">
        <f t="shared" si="937"/>
        <v>77.697549329065438</v>
      </c>
      <c r="BY99" s="13">
        <f t="shared" si="937"/>
        <v>74.563641376743803</v>
      </c>
      <c r="BZ99" s="13">
        <f t="shared" si="937"/>
        <v>66.45165878058603</v>
      </c>
      <c r="CA99" s="13">
        <f t="shared" si="937"/>
        <v>77.382002689504986</v>
      </c>
      <c r="CB99" s="13">
        <f t="shared" si="937"/>
        <v>70.082551405422294</v>
      </c>
      <c r="CC99" s="13">
        <f t="shared" si="937"/>
        <v>80.474648945799913</v>
      </c>
      <c r="CD99" s="13">
        <f t="shared" si="937"/>
        <v>72.465943443275975</v>
      </c>
      <c r="CE99" s="13">
        <f t="shared" si="937"/>
        <v>73.292628541635821</v>
      </c>
      <c r="CF99" s="13">
        <f t="shared" si="937"/>
        <v>78.842298447238079</v>
      </c>
      <c r="CG99" s="13">
        <f t="shared" si="937"/>
        <v>63.873074452163124</v>
      </c>
      <c r="CH99" s="13">
        <f t="shared" si="937"/>
        <v>77.223984870440489</v>
      </c>
      <c r="CI99" s="13">
        <f t="shared" ref="CI99:CJ99" si="938">+CI91/CI83</f>
        <v>83.007715731391798</v>
      </c>
      <c r="CJ99" s="13">
        <f t="shared" si="938"/>
        <v>84.440055396847015</v>
      </c>
      <c r="CK99" s="13">
        <f t="shared" ref="CK99:CL99" si="939">+CK91/CK83</f>
        <v>81.590747158638962</v>
      </c>
      <c r="CL99" s="13">
        <f t="shared" si="939"/>
        <v>64.250576199718765</v>
      </c>
      <c r="CM99" s="37">
        <f t="shared" si="937"/>
        <v>73.07011184379941</v>
      </c>
      <c r="CN99" s="37">
        <f t="shared" si="937"/>
        <v>68.608797621995535</v>
      </c>
      <c r="CO99" s="37">
        <f t="shared" si="937"/>
        <v>63.738599343426301</v>
      </c>
      <c r="CP99" s="37">
        <f t="shared" si="937"/>
        <v>58.222781382810879</v>
      </c>
      <c r="CQ99" s="37">
        <f t="shared" si="937"/>
        <v>55.155286078876202</v>
      </c>
      <c r="CR99" s="37">
        <f t="shared" si="937"/>
        <v>52.540825139071572</v>
      </c>
      <c r="CS99" s="37">
        <f t="shared" si="937"/>
        <v>50.365055925618371</v>
      </c>
      <c r="CT99" s="37">
        <f t="shared" si="937"/>
        <v>48.419625206875622</v>
      </c>
      <c r="CU99" s="37">
        <f t="shared" si="937"/>
        <v>46.167950273450067</v>
      </c>
      <c r="CV99" s="37">
        <f t="shared" si="937"/>
        <v>44.068860599872671</v>
      </c>
      <c r="CW99" s="37">
        <f t="shared" si="937"/>
        <v>42.151835402155278</v>
      </c>
      <c r="CX99" s="37">
        <f t="shared" si="937"/>
        <v>40.246739351264644</v>
      </c>
      <c r="CY99" s="37">
        <f t="shared" si="937"/>
        <v>38.491661459400419</v>
      </c>
      <c r="CZ99" s="37">
        <f t="shared" si="937"/>
        <v>36.801794414765894</v>
      </c>
      <c r="DA99" s="37">
        <f t="shared" si="937"/>
        <v>35.236377807857892</v>
      </c>
      <c r="DB99" s="37">
        <f t="shared" si="937"/>
        <v>33.678454175653705</v>
      </c>
      <c r="DE99" s="134"/>
      <c r="DF99" s="13">
        <v>61.554897059732717</v>
      </c>
    </row>
    <row r="100" spans="1:110" s="13" customFormat="1" x14ac:dyDescent="0.2">
      <c r="A100" s="13" t="s">
        <v>461</v>
      </c>
      <c r="B100" s="13">
        <f t="shared" ref="B100:D100" si="940">+B92/B83</f>
        <v>2.2719685852122051</v>
      </c>
      <c r="C100" s="13">
        <f t="shared" si="940"/>
        <v>1.3957343175683739</v>
      </c>
      <c r="D100" s="13">
        <f t="shared" si="940"/>
        <v>1.4485705874681762</v>
      </c>
      <c r="E100" s="13">
        <f t="shared" ref="E100:AE100" si="941">+E92/E83</f>
        <v>20.294258879991453</v>
      </c>
      <c r="F100" s="13">
        <f t="shared" si="941"/>
        <v>21.450776922844188</v>
      </c>
      <c r="G100" s="13">
        <f t="shared" si="941"/>
        <v>35.060969922859989</v>
      </c>
      <c r="H100" s="13">
        <f t="shared" si="941"/>
        <v>29.352389877518757</v>
      </c>
      <c r="I100" s="13">
        <f t="shared" si="941"/>
        <v>-418.94770217943551</v>
      </c>
      <c r="J100" s="13">
        <f t="shared" si="941"/>
        <v>-314.88248036810893</v>
      </c>
      <c r="K100" s="13">
        <f t="shared" si="941"/>
        <v>28.082340313998884</v>
      </c>
      <c r="L100" s="13">
        <f t="shared" si="941"/>
        <v>55.357243212066031</v>
      </c>
      <c r="M100" s="13">
        <f t="shared" si="941"/>
        <v>37.708212657193144</v>
      </c>
      <c r="N100" s="13">
        <f t="shared" si="941"/>
        <v>44.29922549533584</v>
      </c>
      <c r="O100" s="13">
        <f t="shared" si="941"/>
        <v>42.466035034800143</v>
      </c>
      <c r="P100" s="13">
        <f t="shared" si="941"/>
        <v>45.831290479113292</v>
      </c>
      <c r="Q100" s="13">
        <f t="shared" si="941"/>
        <v>48.788876591574358</v>
      </c>
      <c r="R100" s="13">
        <f t="shared" si="941"/>
        <v>40.114263327923865</v>
      </c>
      <c r="S100" s="13">
        <f t="shared" si="941"/>
        <v>62.200822938710466</v>
      </c>
      <c r="T100" s="13">
        <f t="shared" si="941"/>
        <v>66.376595390018821</v>
      </c>
      <c r="U100" s="13">
        <f t="shared" si="941"/>
        <v>54.285013782518391</v>
      </c>
      <c r="V100" s="13">
        <f t="shared" si="941"/>
        <v>71.914708954018536</v>
      </c>
      <c r="W100" s="13">
        <f t="shared" si="941"/>
        <v>87.964923877439304</v>
      </c>
      <c r="X100" s="13">
        <f t="shared" si="941"/>
        <v>80.619563188615913</v>
      </c>
      <c r="Y100" s="13">
        <f t="shared" si="941"/>
        <v>83.998593846774256</v>
      </c>
      <c r="Z100" s="13">
        <f t="shared" ref="Z100:AA100" si="942">+Z92/Z83</f>
        <v>96.170173539748944</v>
      </c>
      <c r="AA100" s="13">
        <f t="shared" si="942"/>
        <v>77.319229882997504</v>
      </c>
      <c r="AB100" s="60">
        <f t="shared" si="941"/>
        <v>77.313498316325905</v>
      </c>
      <c r="AC100" s="60">
        <f t="shared" si="941"/>
        <v>77.313498316325749</v>
      </c>
      <c r="AD100" s="60">
        <f t="shared" si="941"/>
        <v>77.313498316325848</v>
      </c>
      <c r="AE100" s="60">
        <f t="shared" si="941"/>
        <v>77.313498316325791</v>
      </c>
      <c r="AL100" s="13">
        <f t="shared" ref="AL100:BQ100" si="943">+AL92/AL83</f>
        <v>41.17393910170459</v>
      </c>
      <c r="AM100" s="13">
        <f t="shared" si="943"/>
        <v>36.748008117121103</v>
      </c>
      <c r="AN100" s="13">
        <f t="shared" si="943"/>
        <v>43.846574443924638</v>
      </c>
      <c r="AO100" s="13">
        <f t="shared" si="943"/>
        <v>40.972711824623168</v>
      </c>
      <c r="AP100" s="13">
        <f t="shared" si="943"/>
        <v>40.578459197203443</v>
      </c>
      <c r="AQ100" s="13">
        <f t="shared" si="943"/>
        <v>43.104464128599574</v>
      </c>
      <c r="AR100" s="13">
        <f t="shared" si="943"/>
        <v>43.124155281773355</v>
      </c>
      <c r="AS100" s="13">
        <f t="shared" si="943"/>
        <v>46.037353995202452</v>
      </c>
      <c r="AT100" s="13">
        <f t="shared" si="943"/>
        <v>43.382053317853845</v>
      </c>
      <c r="AU100" s="13">
        <f t="shared" si="943"/>
        <v>45.24054590199011</v>
      </c>
      <c r="AV100" s="13">
        <f t="shared" si="943"/>
        <v>40.948042857779981</v>
      </c>
      <c r="AW100" s="13">
        <f t="shared" si="943"/>
        <v>43.137720921269562</v>
      </c>
      <c r="AX100" s="13">
        <f t="shared" si="943"/>
        <v>44.723593483779744</v>
      </c>
      <c r="AY100" s="13">
        <f t="shared" si="943"/>
        <v>35.936034918174833</v>
      </c>
      <c r="AZ100" s="13">
        <f t="shared" si="943"/>
        <v>36.456621041566144</v>
      </c>
      <c r="BA100" s="13">
        <f t="shared" si="943"/>
        <v>37.679585178479158</v>
      </c>
      <c r="BB100" s="13">
        <f t="shared" si="943"/>
        <v>39.156113413581295</v>
      </c>
      <c r="BC100" s="13">
        <f t="shared" si="943"/>
        <v>39.970035302160461</v>
      </c>
      <c r="BD100" s="13">
        <f t="shared" si="943"/>
        <v>50.37596176330905</v>
      </c>
      <c r="BE100" s="13">
        <f t="shared" si="943"/>
        <v>58.419554377722918</v>
      </c>
      <c r="BF100" s="13">
        <f t="shared" si="943"/>
        <v>62.194537487726315</v>
      </c>
      <c r="BG100" s="13">
        <f t="shared" si="943"/>
        <v>55.099812220228181</v>
      </c>
      <c r="BH100" s="13">
        <f t="shared" si="943"/>
        <v>50.385112496377111</v>
      </c>
      <c r="BI100" s="13">
        <f t="shared" si="943"/>
        <v>49.874361156249357</v>
      </c>
      <c r="BJ100" s="13">
        <f t="shared" si="943"/>
        <v>48.781203518768791</v>
      </c>
      <c r="BK100" s="13">
        <f t="shared" si="943"/>
        <v>55.479044659621017</v>
      </c>
      <c r="BL100" s="13">
        <f t="shared" si="943"/>
        <v>55.433392074723898</v>
      </c>
      <c r="BM100" s="13">
        <f t="shared" si="943"/>
        <v>55.806100417293074</v>
      </c>
      <c r="BN100" s="13">
        <f t="shared" si="943"/>
        <v>54.279528231408456</v>
      </c>
      <c r="BO100" s="13">
        <f t="shared" si="943"/>
        <v>47.252580325997833</v>
      </c>
      <c r="BP100" s="13">
        <f t="shared" si="943"/>
        <v>64.026055437409866</v>
      </c>
      <c r="BQ100" s="13">
        <f t="shared" si="943"/>
        <v>62.974873080285072</v>
      </c>
      <c r="BR100" s="13">
        <f t="shared" ref="BR100:CH100" si="944">+BR92/BR83</f>
        <v>71.907441905821983</v>
      </c>
      <c r="BS100" s="13">
        <f t="shared" si="944"/>
        <v>92.890207883593632</v>
      </c>
      <c r="BT100" s="13">
        <f t="shared" si="944"/>
        <v>106.53729330541567</v>
      </c>
      <c r="BU100" s="13">
        <f t="shared" si="944"/>
        <v>96.950487455527139</v>
      </c>
      <c r="BV100" s="13">
        <f t="shared" si="944"/>
        <v>77.419119618257511</v>
      </c>
      <c r="BW100" s="13">
        <f t="shared" si="944"/>
        <v>75.830350961377235</v>
      </c>
      <c r="BX100" s="13">
        <f t="shared" si="944"/>
        <v>83.301946869044656</v>
      </c>
      <c r="BY100" s="13">
        <f t="shared" si="944"/>
        <v>79.894822670512141</v>
      </c>
      <c r="BZ100" s="13">
        <f t="shared" si="944"/>
        <v>73.072959898431876</v>
      </c>
      <c r="CA100" s="13">
        <f t="shared" si="944"/>
        <v>78.879544788395208</v>
      </c>
      <c r="CB100" s="13">
        <f t="shared" si="944"/>
        <v>72.724385821104292</v>
      </c>
      <c r="CC100" s="13">
        <f t="shared" si="944"/>
        <v>81.007789792698873</v>
      </c>
      <c r="CD100" s="13">
        <f t="shared" si="944"/>
        <v>83.990105710775197</v>
      </c>
      <c r="CE100" s="13">
        <f t="shared" si="944"/>
        <v>78.827235728141162</v>
      </c>
      <c r="CF100" s="13">
        <f t="shared" si="944"/>
        <v>82.185610592365848</v>
      </c>
      <c r="CG100" s="13">
        <f t="shared" si="944"/>
        <v>84.215218358183691</v>
      </c>
      <c r="CH100" s="13">
        <f t="shared" si="944"/>
        <v>82.855342090091781</v>
      </c>
      <c r="CI100" s="13">
        <f t="shared" ref="CI100:CJ100" si="945">+CI92/CI83</f>
        <v>89.109447382680415</v>
      </c>
      <c r="CJ100" s="13">
        <f t="shared" si="945"/>
        <v>85.774913466043941</v>
      </c>
      <c r="CK100" s="13">
        <f t="shared" ref="CK100:CL100" si="946">+CK92/CK83</f>
        <v>82.326569752561255</v>
      </c>
      <c r="CL100" s="13">
        <f t="shared" si="946"/>
        <v>77.313498316325791</v>
      </c>
      <c r="CM100" s="60">
        <f t="shared" ref="CM100:CM101" si="947">+CL100</f>
        <v>77.313498316325791</v>
      </c>
      <c r="CN100" s="60">
        <f t="shared" ref="CN100:CN101" si="948">+CM100</f>
        <v>77.313498316325791</v>
      </c>
      <c r="CO100" s="60">
        <f t="shared" ref="CO100:CO101" si="949">+CN100</f>
        <v>77.313498316325791</v>
      </c>
      <c r="CP100" s="60">
        <f t="shared" ref="CP100:CP101" si="950">+CO100</f>
        <v>77.313498316325791</v>
      </c>
      <c r="CQ100" s="60">
        <f t="shared" ref="CQ100:CQ101" si="951">+CP100</f>
        <v>77.313498316325791</v>
      </c>
      <c r="CR100" s="60">
        <f t="shared" ref="CR100:CR101" si="952">+CQ100</f>
        <v>77.313498316325791</v>
      </c>
      <c r="CS100" s="60">
        <f t="shared" ref="CS100:CS101" si="953">+CR100</f>
        <v>77.313498316325791</v>
      </c>
      <c r="CT100" s="60">
        <f t="shared" ref="CT100:CT101" si="954">+CS100</f>
        <v>77.313498316325791</v>
      </c>
      <c r="CU100" s="60">
        <f t="shared" ref="CU100:CU101" si="955">+CT100</f>
        <v>77.313498316325791</v>
      </c>
      <c r="CV100" s="60">
        <f t="shared" ref="CV100:CV101" si="956">+CU100</f>
        <v>77.313498316325791</v>
      </c>
      <c r="CW100" s="60">
        <f t="shared" ref="CW100:CW101" si="957">+CV100</f>
        <v>77.313498316325791</v>
      </c>
      <c r="CX100" s="60">
        <f t="shared" ref="CX100:CX101" si="958">+CW100</f>
        <v>77.313498316325791</v>
      </c>
      <c r="CY100" s="60">
        <f t="shared" ref="CY100:CY101" si="959">+CX100</f>
        <v>77.313498316325791</v>
      </c>
      <c r="CZ100" s="60">
        <f t="shared" ref="CZ100:CZ101" si="960">+CY100</f>
        <v>77.313498316325791</v>
      </c>
      <c r="DA100" s="60">
        <f t="shared" ref="DA100:DA101" si="961">+CZ100</f>
        <v>77.313498316325791</v>
      </c>
      <c r="DB100" s="60">
        <f t="shared" ref="DB100:DB101" si="962">+DA100</f>
        <v>77.313498316325791</v>
      </c>
      <c r="DE100" s="136"/>
      <c r="DF100" s="13">
        <v>74.069754882759852</v>
      </c>
    </row>
    <row r="101" spans="1:110" s="13" customFormat="1" x14ac:dyDescent="0.2">
      <c r="A101" s="13" t="s">
        <v>462</v>
      </c>
      <c r="B101" s="13">
        <f t="shared" ref="B101:D101" si="963">+B93/B83</f>
        <v>0.92790521852142271</v>
      </c>
      <c r="C101" s="13">
        <f t="shared" si="963"/>
        <v>0.65565745159965705</v>
      </c>
      <c r="D101" s="13">
        <f t="shared" si="963"/>
        <v>0.96682425134145444</v>
      </c>
      <c r="E101" s="13">
        <f t="shared" ref="E101:AE101" si="964">+E93/E83</f>
        <v>9.1345913987101337</v>
      </c>
      <c r="F101" s="13">
        <f t="shared" si="964"/>
        <v>10.785941113286134</v>
      </c>
      <c r="G101" s="13">
        <f t="shared" si="964"/>
        <v>16.743538645109865</v>
      </c>
      <c r="H101" s="13">
        <f t="shared" si="964"/>
        <v>17.849642319308135</v>
      </c>
      <c r="I101" s="13">
        <f t="shared" si="964"/>
        <v>-242.15507716702933</v>
      </c>
      <c r="J101" s="13">
        <f t="shared" si="964"/>
        <v>-140.89434605440889</v>
      </c>
      <c r="K101" s="13">
        <f t="shared" si="964"/>
        <v>15.027317456397993</v>
      </c>
      <c r="L101" s="13">
        <f t="shared" si="964"/>
        <v>33.996893324972483</v>
      </c>
      <c r="M101" s="13">
        <f t="shared" si="964"/>
        <v>23.439448427159629</v>
      </c>
      <c r="N101" s="13">
        <f t="shared" si="964"/>
        <v>24.380421296277238</v>
      </c>
      <c r="O101" s="13">
        <f t="shared" si="964"/>
        <v>31.437840272531314</v>
      </c>
      <c r="P101" s="13">
        <f t="shared" si="964"/>
        <v>35.547385333503627</v>
      </c>
      <c r="Q101" s="13">
        <f t="shared" si="964"/>
        <v>29.888412159220351</v>
      </c>
      <c r="R101" s="13">
        <f t="shared" si="964"/>
        <v>29.134685385647256</v>
      </c>
      <c r="S101" s="13">
        <f t="shared" si="964"/>
        <v>26.579122940659524</v>
      </c>
      <c r="T101" s="13">
        <f t="shared" si="964"/>
        <v>39.299018284617624</v>
      </c>
      <c r="U101" s="13">
        <f t="shared" si="964"/>
        <v>25.948223281262631</v>
      </c>
      <c r="V101" s="13">
        <f t="shared" si="964"/>
        <v>29.080926956974682</v>
      </c>
      <c r="W101" s="13">
        <f t="shared" si="964"/>
        <v>60.778913938939382</v>
      </c>
      <c r="X101" s="13">
        <f t="shared" si="964"/>
        <v>64.113775798690341</v>
      </c>
      <c r="Y101" s="13">
        <f t="shared" si="964"/>
        <v>46.081459210994268</v>
      </c>
      <c r="Z101" s="13">
        <f t="shared" ref="Z101:AA101" si="965">+Z93/Z83</f>
        <v>68.153632808239379</v>
      </c>
      <c r="AA101" s="13">
        <f t="shared" si="965"/>
        <v>62.649668450293134</v>
      </c>
      <c r="AB101" s="60">
        <f t="shared" si="964"/>
        <v>51.02120509860962</v>
      </c>
      <c r="AC101" s="60">
        <f t="shared" si="964"/>
        <v>56.212359854148666</v>
      </c>
      <c r="AD101" s="60">
        <f t="shared" si="964"/>
        <v>55.81971868991188</v>
      </c>
      <c r="AE101" s="60">
        <f t="shared" si="964"/>
        <v>56.025149980599195</v>
      </c>
      <c r="AL101" s="13">
        <f t="shared" ref="AL101:BQ101" si="966">+AL93/AL83</f>
        <v>29.74079674605073</v>
      </c>
      <c r="AM101" s="13">
        <f t="shared" si="966"/>
        <v>30.193994279473468</v>
      </c>
      <c r="AN101" s="13">
        <f t="shared" si="966"/>
        <v>35.090627413201766</v>
      </c>
      <c r="AO101" s="13">
        <f t="shared" si="966"/>
        <v>33.943315906415236</v>
      </c>
      <c r="AP101" s="13">
        <f t="shared" si="966"/>
        <v>33.78003919644236</v>
      </c>
      <c r="AQ101" s="13">
        <f t="shared" si="966"/>
        <v>34.600365786547513</v>
      </c>
      <c r="AR101" s="13">
        <f t="shared" si="966"/>
        <v>36.188698991403498</v>
      </c>
      <c r="AS101" s="13">
        <f t="shared" si="966"/>
        <v>38.105617102053081</v>
      </c>
      <c r="AT101" s="13">
        <f t="shared" si="966"/>
        <v>36.914842030159519</v>
      </c>
      <c r="AU101" s="13">
        <f t="shared" si="966"/>
        <v>34.899454167355259</v>
      </c>
      <c r="AV101" s="13">
        <f t="shared" si="966"/>
        <v>30.310741006932123</v>
      </c>
      <c r="AW101" s="13">
        <f t="shared" si="966"/>
        <v>35.918933951685929</v>
      </c>
      <c r="AX101" s="13">
        <f t="shared" si="966"/>
        <v>29.885391907385454</v>
      </c>
      <c r="AY101" s="13">
        <f t="shared" si="966"/>
        <v>31.549925713333053</v>
      </c>
      <c r="AZ101" s="13">
        <f t="shared" si="966"/>
        <v>31.559828423491254</v>
      </c>
      <c r="BA101" s="13">
        <f t="shared" si="966"/>
        <v>27.366397100766701</v>
      </c>
      <c r="BB101" s="13">
        <f t="shared" si="966"/>
        <v>30.9127211159851</v>
      </c>
      <c r="BC101" s="13">
        <f t="shared" si="966"/>
        <v>34.495024324039079</v>
      </c>
      <c r="BD101" s="13">
        <f t="shared" si="966"/>
        <v>34.21677130438615</v>
      </c>
      <c r="BE101" s="13">
        <f t="shared" si="966"/>
        <v>37.358982009640201</v>
      </c>
      <c r="BF101" s="13">
        <f t="shared" si="966"/>
        <v>47.279576171098611</v>
      </c>
      <c r="BG101" s="13">
        <f t="shared" si="966"/>
        <v>43.686542243990125</v>
      </c>
      <c r="BH101" s="13">
        <f t="shared" si="966"/>
        <v>37.65167784897865</v>
      </c>
      <c r="BI101" s="13">
        <f t="shared" si="966"/>
        <v>40.43867120776973</v>
      </c>
      <c r="BJ101" s="13">
        <f t="shared" si="966"/>
        <v>39.295047082284917</v>
      </c>
      <c r="BK101" s="13">
        <f t="shared" si="966"/>
        <v>38.98527462567975</v>
      </c>
      <c r="BL101" s="13">
        <f t="shared" si="966"/>
        <v>47.338112286342785</v>
      </c>
      <c r="BM101" s="13">
        <f t="shared" si="966"/>
        <v>44.416582650309216</v>
      </c>
      <c r="BN101" s="13">
        <f t="shared" si="966"/>
        <v>28.473634125558014</v>
      </c>
      <c r="BO101" s="13">
        <f t="shared" si="966"/>
        <v>31.581471407755604</v>
      </c>
      <c r="BP101" s="13">
        <f t="shared" si="966"/>
        <v>41.228776382636312</v>
      </c>
      <c r="BQ101" s="13">
        <f t="shared" si="966"/>
        <v>46.856000557385052</v>
      </c>
      <c r="BR101" s="13">
        <f t="shared" ref="BR101:CH101" si="967">+BR93/BR83</f>
        <v>61.080297019029743</v>
      </c>
      <c r="BS101" s="13">
        <f t="shared" si="967"/>
        <v>73.918655515607526</v>
      </c>
      <c r="BT101" s="13">
        <f t="shared" si="967"/>
        <v>88.63327573530421</v>
      </c>
      <c r="BU101" s="13">
        <f t="shared" si="967"/>
        <v>78.324753227839153</v>
      </c>
      <c r="BV101" s="13">
        <f t="shared" si="967"/>
        <v>64.384015452499725</v>
      </c>
      <c r="BW101" s="13">
        <f t="shared" si="967"/>
        <v>63.280339496906841</v>
      </c>
      <c r="BX101" s="13">
        <f t="shared" si="967"/>
        <v>67.504218859456941</v>
      </c>
      <c r="BY101" s="13">
        <f t="shared" si="967"/>
        <v>71.837303449848605</v>
      </c>
      <c r="BZ101" s="13">
        <f t="shared" si="967"/>
        <v>64.107297042041282</v>
      </c>
      <c r="CA101" s="13">
        <f t="shared" si="967"/>
        <v>62.644929241866883</v>
      </c>
      <c r="CB101" s="13">
        <f t="shared" si="967"/>
        <v>65.714132318674302</v>
      </c>
      <c r="CC101" s="13">
        <f t="shared" si="967"/>
        <v>63.310475569248062</v>
      </c>
      <c r="CD101" s="13">
        <f t="shared" si="967"/>
        <v>71.185848495652152</v>
      </c>
      <c r="CE101" s="13">
        <f t="shared" si="967"/>
        <v>68.806824406767333</v>
      </c>
      <c r="CF101" s="13">
        <f t="shared" si="967"/>
        <v>70.250508064342981</v>
      </c>
      <c r="CG101" s="13">
        <f t="shared" si="967"/>
        <v>61.752936857562425</v>
      </c>
      <c r="CH101" s="13">
        <f t="shared" si="967"/>
        <v>70.035428255348336</v>
      </c>
      <c r="CI101" s="13">
        <f t="shared" ref="CI101:CJ101" si="968">+CI93/CI83</f>
        <v>74.693351191702718</v>
      </c>
      <c r="CJ101" s="13">
        <f t="shared" si="968"/>
        <v>77.649853005637937</v>
      </c>
      <c r="CK101" s="13">
        <f t="shared" ref="CK101:CL101" si="969">+CK93/CK83</f>
        <v>75.642562655211336</v>
      </c>
      <c r="CL101" s="13">
        <f t="shared" si="969"/>
        <v>64.032069138859157</v>
      </c>
      <c r="CM101" s="60">
        <f t="shared" si="947"/>
        <v>64.032069138859157</v>
      </c>
      <c r="CN101" s="60">
        <f t="shared" si="948"/>
        <v>64.032069138859157</v>
      </c>
      <c r="CO101" s="60">
        <f t="shared" si="949"/>
        <v>64.032069138859157</v>
      </c>
      <c r="CP101" s="60">
        <f t="shared" si="950"/>
        <v>64.032069138859157</v>
      </c>
      <c r="CQ101" s="60">
        <f t="shared" si="951"/>
        <v>64.032069138859157</v>
      </c>
      <c r="CR101" s="60">
        <f t="shared" si="952"/>
        <v>64.032069138859157</v>
      </c>
      <c r="CS101" s="60">
        <f t="shared" si="953"/>
        <v>64.032069138859157</v>
      </c>
      <c r="CT101" s="60">
        <f t="shared" si="954"/>
        <v>64.032069138859157</v>
      </c>
      <c r="CU101" s="60">
        <f t="shared" si="955"/>
        <v>64.032069138859157</v>
      </c>
      <c r="CV101" s="60">
        <f t="shared" si="956"/>
        <v>64.032069138859157</v>
      </c>
      <c r="CW101" s="60">
        <f t="shared" si="957"/>
        <v>64.032069138859157</v>
      </c>
      <c r="CX101" s="60">
        <f t="shared" si="958"/>
        <v>64.032069138859157</v>
      </c>
      <c r="CY101" s="60">
        <f t="shared" si="959"/>
        <v>64.032069138859157</v>
      </c>
      <c r="CZ101" s="60">
        <f t="shared" si="960"/>
        <v>64.032069138859157</v>
      </c>
      <c r="DA101" s="60">
        <f t="shared" si="961"/>
        <v>64.032069138859157</v>
      </c>
      <c r="DB101" s="60">
        <f t="shared" si="962"/>
        <v>64.032069138859157</v>
      </c>
      <c r="DE101" s="136"/>
      <c r="DF101" s="13">
        <v>61.345557619783897</v>
      </c>
    </row>
    <row r="102" spans="1:110" s="13" customFormat="1" x14ac:dyDescent="0.2">
      <c r="AB102" s="60"/>
      <c r="AC102" s="60"/>
      <c r="AD102" s="60"/>
      <c r="AE102" s="60"/>
      <c r="CM102" s="60"/>
      <c r="CN102" s="60"/>
      <c r="CO102" s="60"/>
      <c r="CP102" s="60"/>
      <c r="CQ102" s="60"/>
      <c r="CR102" s="60"/>
      <c r="CS102" s="60"/>
      <c r="CT102" s="60"/>
      <c r="CU102" s="60"/>
      <c r="CV102" s="60"/>
      <c r="CW102" s="60"/>
      <c r="CX102" s="60"/>
      <c r="CY102" s="60"/>
      <c r="CZ102" s="60"/>
      <c r="DA102" s="60"/>
      <c r="DB102" s="60"/>
      <c r="DE102" s="136"/>
    </row>
    <row r="103" spans="1:110" s="13" customFormat="1" x14ac:dyDescent="0.2">
      <c r="A103" s="13" t="s">
        <v>463</v>
      </c>
      <c r="B103" s="13">
        <f t="shared" ref="B103:AD103" si="970">+B92/C83</f>
        <v>2.3074639927541645</v>
      </c>
      <c r="C103" s="13">
        <f t="shared" si="970"/>
        <v>1.6524632276545923</v>
      </c>
      <c r="D103" s="13">
        <f t="shared" si="970"/>
        <v>10.507196667087733</v>
      </c>
      <c r="E103" s="13">
        <f t="shared" si="970"/>
        <v>15.89128657357494</v>
      </c>
      <c r="F103" s="13">
        <f t="shared" si="970"/>
        <v>18.980475408096567</v>
      </c>
      <c r="G103" s="13">
        <f t="shared" si="970"/>
        <v>33.477072115209232</v>
      </c>
      <c r="H103" s="13">
        <f t="shared" si="970"/>
        <v>-379.28401439913449</v>
      </c>
      <c r="I103" s="13">
        <f t="shared" si="970"/>
        <v>-332.24852767248893</v>
      </c>
      <c r="J103" s="13">
        <f t="shared" si="970"/>
        <v>25.104306085351542</v>
      </c>
      <c r="K103" s="13">
        <f t="shared" si="970"/>
        <v>42.92032921238453</v>
      </c>
      <c r="L103" s="13">
        <f t="shared" si="970"/>
        <v>40.623494055320933</v>
      </c>
      <c r="M103" s="13">
        <f t="shared" si="970"/>
        <v>31.377602208308872</v>
      </c>
      <c r="N103" s="13">
        <f t="shared" si="970"/>
        <v>45.335361726340871</v>
      </c>
      <c r="O103" s="13">
        <f t="shared" si="970"/>
        <v>44.033224044849518</v>
      </c>
      <c r="P103" s="13">
        <f t="shared" si="970"/>
        <v>52.894427712346342</v>
      </c>
      <c r="Q103" s="13">
        <f t="shared" si="970"/>
        <v>41.577358882224758</v>
      </c>
      <c r="R103" s="13">
        <f t="shared" si="970"/>
        <v>29.823478516690184</v>
      </c>
      <c r="S103" s="13">
        <f t="shared" si="970"/>
        <v>72.797280067505525</v>
      </c>
      <c r="T103" s="13">
        <f t="shared" si="970"/>
        <v>39.893729947295022</v>
      </c>
      <c r="U103" s="13">
        <f t="shared" si="970"/>
        <v>44.937743000370503</v>
      </c>
      <c r="V103" s="13">
        <f t="shared" si="970"/>
        <v>64.598313333392895</v>
      </c>
      <c r="W103" s="13">
        <f t="shared" si="970"/>
        <v>83.207513408811266</v>
      </c>
      <c r="X103" s="13">
        <f t="shared" si="970"/>
        <v>56.988176441335121</v>
      </c>
      <c r="Y103" s="13">
        <f t="shared" si="970"/>
        <v>96.680380335786495</v>
      </c>
      <c r="Z103" s="13">
        <f t="shared" ref="Z103:AA103" si="971">+Z92/AA83</f>
        <v>79.010030564115226</v>
      </c>
      <c r="AA103" s="13">
        <f t="shared" si="971"/>
        <v>56.949158040061981</v>
      </c>
      <c r="AB103" s="37">
        <f t="shared" si="970"/>
        <v>64.295976987009638</v>
      </c>
      <c r="AC103" s="37">
        <f t="shared" si="970"/>
        <v>64.263533676211779</v>
      </c>
      <c r="AD103" s="37">
        <f t="shared" si="970"/>
        <v>64.69590213210752</v>
      </c>
      <c r="AE103" s="37"/>
      <c r="AL103" s="13">
        <f t="shared" ref="AL103:BQ103" si="972">+AL92/AP83</f>
        <v>42.137729839579826</v>
      </c>
      <c r="AM103" s="13">
        <f t="shared" si="972"/>
        <v>37.313404313411063</v>
      </c>
      <c r="AN103" s="13">
        <f t="shared" si="972"/>
        <v>39.979431691412415</v>
      </c>
      <c r="AO103" s="13">
        <f t="shared" si="972"/>
        <v>47.202154517972637</v>
      </c>
      <c r="AP103" s="13">
        <f t="shared" si="972"/>
        <v>42.075676637739704</v>
      </c>
      <c r="AQ103" s="13">
        <f t="shared" si="972"/>
        <v>49.047507383950688</v>
      </c>
      <c r="AR103" s="13">
        <f t="shared" si="972"/>
        <v>49.26017532500024</v>
      </c>
      <c r="AS103" s="13">
        <f t="shared" si="972"/>
        <v>48.416914624278071</v>
      </c>
      <c r="AT103" s="13">
        <f t="shared" si="972"/>
        <v>50.067734494191122</v>
      </c>
      <c r="AU103" s="13">
        <f t="shared" si="972"/>
        <v>44.653597761443123</v>
      </c>
      <c r="AV103" s="13">
        <f t="shared" si="972"/>
        <v>36.003667724394063</v>
      </c>
      <c r="AW103" s="13">
        <f t="shared" si="972"/>
        <v>35.349258787802498</v>
      </c>
      <c r="AX103" s="13">
        <f t="shared" si="972"/>
        <v>38.11296809197195</v>
      </c>
      <c r="AY103" s="13">
        <f t="shared" si="972"/>
        <v>32.285378637801529</v>
      </c>
      <c r="AZ103" s="13">
        <f t="shared" si="972"/>
        <v>34.056666091063519</v>
      </c>
      <c r="BA103" s="13">
        <f t="shared" si="972"/>
        <v>29.099029218477199</v>
      </c>
      <c r="BB103" s="13">
        <f t="shared" si="972"/>
        <v>29.111129316791693</v>
      </c>
      <c r="BC103" s="13">
        <f t="shared" si="972"/>
        <v>29.920778617255301</v>
      </c>
      <c r="BD103" s="13">
        <f t="shared" si="972"/>
        <v>38.978999042244631</v>
      </c>
      <c r="BE103" s="13">
        <f t="shared" si="972"/>
        <v>65.635074037226161</v>
      </c>
      <c r="BF103" s="13">
        <f t="shared" si="972"/>
        <v>72.789923834677396</v>
      </c>
      <c r="BG103" s="13">
        <f t="shared" si="972"/>
        <v>59.937360680916804</v>
      </c>
      <c r="BH103" s="13">
        <f t="shared" si="972"/>
        <v>54.874432279811977</v>
      </c>
      <c r="BI103" s="13">
        <f t="shared" si="972"/>
        <v>40.670809546542444</v>
      </c>
      <c r="BJ103" s="13">
        <f t="shared" si="972"/>
        <v>29.318529343769676</v>
      </c>
      <c r="BK103" s="13">
        <f t="shared" si="972"/>
        <v>33.196433013833904</v>
      </c>
      <c r="BL103" s="13">
        <f t="shared" si="972"/>
        <v>31.117690821798121</v>
      </c>
      <c r="BM103" s="13">
        <f t="shared" si="972"/>
        <v>33.68732066217229</v>
      </c>
      <c r="BN103" s="13">
        <f t="shared" si="972"/>
        <v>44.933201999663162</v>
      </c>
      <c r="BO103" s="13">
        <f t="shared" si="972"/>
        <v>47.534178150044653</v>
      </c>
      <c r="BP103" s="13">
        <f t="shared" si="972"/>
        <v>70.915009351495812</v>
      </c>
      <c r="BQ103" s="13">
        <f t="shared" si="972"/>
        <v>69.34348488268364</v>
      </c>
      <c r="BR103" s="13">
        <f t="shared" ref="BR103:CL103" si="973">+BR92/BV83</f>
        <v>64.591785613775613</v>
      </c>
      <c r="BS103" s="13">
        <f t="shared" si="973"/>
        <v>69.970053083601755</v>
      </c>
      <c r="BT103" s="13">
        <f t="shared" si="973"/>
        <v>85.976003676299683</v>
      </c>
      <c r="BU103" s="13">
        <f t="shared" si="973"/>
        <v>83.831246415227184</v>
      </c>
      <c r="BV103" s="13">
        <f t="shared" si="973"/>
        <v>73.232058299850081</v>
      </c>
      <c r="BW103" s="13">
        <f t="shared" si="973"/>
        <v>75.241371941541658</v>
      </c>
      <c r="BX103" s="13">
        <f t="shared" si="973"/>
        <v>68.851560482532619</v>
      </c>
      <c r="BY103" s="13">
        <f t="shared" si="973"/>
        <v>60.86691335429461</v>
      </c>
      <c r="BZ103" s="13">
        <f t="shared" si="973"/>
        <v>51.653650393016207</v>
      </c>
      <c r="CA103" s="13">
        <f t="shared" si="973"/>
        <v>58.586004858966128</v>
      </c>
      <c r="CB103" s="13">
        <f t="shared" si="973"/>
        <v>59.206958996701417</v>
      </c>
      <c r="CC103" s="13">
        <f t="shared" si="973"/>
        <v>75.484427416824317</v>
      </c>
      <c r="CD103" s="13">
        <f t="shared" si="973"/>
        <v>96.670610693472966</v>
      </c>
      <c r="CE103" s="13">
        <f t="shared" si="973"/>
        <v>88.015354351031164</v>
      </c>
      <c r="CF103" s="13">
        <f t="shared" si="973"/>
        <v>93.282574866638498</v>
      </c>
      <c r="CG103" s="13">
        <f t="shared" si="973"/>
        <v>82.518225870047985</v>
      </c>
      <c r="CH103" s="13">
        <f t="shared" si="973"/>
        <v>68.072866380262923</v>
      </c>
      <c r="CI103" s="13">
        <f t="shared" si="973"/>
        <v>69.088727544618038</v>
      </c>
      <c r="CJ103" s="13">
        <f t="shared" si="973"/>
        <v>63.056322814446226</v>
      </c>
      <c r="CK103" s="13">
        <f t="shared" si="973"/>
        <v>61.42756439127082</v>
      </c>
      <c r="CL103" s="13">
        <f t="shared" si="973"/>
        <v>56.949158040061896</v>
      </c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E103" s="134"/>
      <c r="DF103" s="13">
        <v>59.891228050986044</v>
      </c>
    </row>
    <row r="104" spans="1:110" s="98" customFormat="1" x14ac:dyDescent="0.2">
      <c r="A104" s="98" t="s">
        <v>426</v>
      </c>
      <c r="AB104" s="99"/>
      <c r="AC104" s="99"/>
      <c r="AD104" s="99"/>
      <c r="AE104" s="99"/>
      <c r="AL104" s="175"/>
      <c r="AM104" s="175"/>
      <c r="AN104" s="175"/>
      <c r="AO104" s="175">
        <f t="shared" ref="AO104:CI104" si="974">+CORREL(AL83:AO83,AL100:AO100)</f>
        <v>-0.78587781967635795</v>
      </c>
      <c r="AP104" s="175">
        <f t="shared" si="974"/>
        <v>-0.82843353373994388</v>
      </c>
      <c r="AQ104" s="175">
        <f t="shared" si="974"/>
        <v>-0.59645476832002386</v>
      </c>
      <c r="AR104" s="175">
        <f t="shared" si="974"/>
        <v>0.34680309371678997</v>
      </c>
      <c r="AS104" s="175">
        <f t="shared" si="974"/>
        <v>-0.72496548892540136</v>
      </c>
      <c r="AT104" s="175">
        <f t="shared" si="974"/>
        <v>-0.91878813207860732</v>
      </c>
      <c r="AU104" s="175">
        <f t="shared" si="974"/>
        <v>-0.91900342163515336</v>
      </c>
      <c r="AV104" s="175">
        <f t="shared" si="974"/>
        <v>-9.38288245074229E-2</v>
      </c>
      <c r="AW104" s="175">
        <f t="shared" si="974"/>
        <v>0.11059190125306119</v>
      </c>
      <c r="AX104" s="175">
        <f t="shared" si="974"/>
        <v>-0.26641482215900386</v>
      </c>
      <c r="AY104" s="175">
        <f t="shared" si="974"/>
        <v>-0.93261283923038862</v>
      </c>
      <c r="AZ104" s="175">
        <f t="shared" si="974"/>
        <v>-0.82448436241332201</v>
      </c>
      <c r="BA104" s="175">
        <f t="shared" si="974"/>
        <v>-0.70754224045917846</v>
      </c>
      <c r="BB104" s="175">
        <f t="shared" si="974"/>
        <v>0.34112593361294358</v>
      </c>
      <c r="BC104" s="175">
        <f t="shared" si="974"/>
        <v>-0.43267753736904774</v>
      </c>
      <c r="BD104" s="175">
        <f t="shared" si="974"/>
        <v>0.76680673388500553</v>
      </c>
      <c r="BE104" s="175">
        <f t="shared" si="974"/>
        <v>0.94650196058452851</v>
      </c>
      <c r="BF104" s="175">
        <f t="shared" si="974"/>
        <v>0.93685780665669649</v>
      </c>
      <c r="BG104" s="175">
        <f t="shared" si="974"/>
        <v>0.73664005951024625</v>
      </c>
      <c r="BH104" s="175">
        <f t="shared" si="974"/>
        <v>-0.97363520074631504</v>
      </c>
      <c r="BI104" s="175">
        <f t="shared" si="974"/>
        <v>0.12445916391309844</v>
      </c>
      <c r="BJ104" s="175">
        <f t="shared" si="974"/>
        <v>0.60281596508541835</v>
      </c>
      <c r="BK104" s="175">
        <f t="shared" si="974"/>
        <v>0.20615353747647092</v>
      </c>
      <c r="BL104" s="175">
        <f t="shared" si="974"/>
        <v>0.90612020396966886</v>
      </c>
      <c r="BM104" s="175">
        <f t="shared" si="974"/>
        <v>0.76505081856830659</v>
      </c>
      <c r="BN104" s="175">
        <f t="shared" si="974"/>
        <v>-0.82809405676997638</v>
      </c>
      <c r="BO104" s="175">
        <f t="shared" si="974"/>
        <v>-0.82512577593049596</v>
      </c>
      <c r="BP104" s="175">
        <f t="shared" si="974"/>
        <v>0.2537095111395623</v>
      </c>
      <c r="BQ104" s="175">
        <f t="shared" si="974"/>
        <v>0.71089790142582776</v>
      </c>
      <c r="BR104" s="175">
        <f t="shared" si="974"/>
        <v>0.63871151967304063</v>
      </c>
      <c r="BS104" s="175">
        <f t="shared" si="974"/>
        <v>-0.93745292812379122</v>
      </c>
      <c r="BT104" s="175">
        <f t="shared" si="974"/>
        <v>-0.92731426306767606</v>
      </c>
      <c r="BU104" s="175">
        <f t="shared" si="974"/>
        <v>-0.7127794050444991</v>
      </c>
      <c r="BV104" s="175">
        <f t="shared" si="974"/>
        <v>-0.86181086709190902</v>
      </c>
      <c r="BW104" s="175">
        <f t="shared" si="974"/>
        <v>-0.96047245870398412</v>
      </c>
      <c r="BX104" s="175">
        <f t="shared" si="974"/>
        <v>-0.91412459406174806</v>
      </c>
      <c r="BY104" s="175">
        <f t="shared" si="974"/>
        <v>-0.48351134934080525</v>
      </c>
      <c r="BZ104" s="175">
        <f t="shared" si="974"/>
        <v>-0.71349736678337561</v>
      </c>
      <c r="CA104" s="175">
        <f t="shared" si="974"/>
        <v>-0.40052115879995814</v>
      </c>
      <c r="CB104" s="175">
        <f t="shared" si="974"/>
        <v>-0.59748087021775242</v>
      </c>
      <c r="CC104" s="175">
        <f t="shared" si="974"/>
        <v>0.4488083061636341</v>
      </c>
      <c r="CD104" s="175">
        <f t="shared" si="974"/>
        <v>0.61607106374955056</v>
      </c>
      <c r="CE104" s="175">
        <f t="shared" si="974"/>
        <v>0.77154351159260581</v>
      </c>
      <c r="CF104" s="175">
        <f t="shared" si="974"/>
        <v>0.24971872090846545</v>
      </c>
      <c r="CG104" s="175">
        <f t="shared" si="974"/>
        <v>-0.25884016558045703</v>
      </c>
      <c r="CH104" s="175">
        <f t="shared" si="974"/>
        <v>-0.37585763074022155</v>
      </c>
      <c r="CI104" s="175">
        <f t="shared" si="974"/>
        <v>-0.48160134580700276</v>
      </c>
      <c r="CJ104" s="175">
        <f>+CORREL(CG83:CJ83,CG100:CJ100)</f>
        <v>-0.13094990039889792</v>
      </c>
      <c r="CK104" s="175">
        <f>+CORREL(CH83:CK83,CH100:CK100)</f>
        <v>-0.44037228475577617</v>
      </c>
      <c r="CL104" s="175">
        <f>+CORREL(CI83:CL83,CI100:CL100)</f>
        <v>-0.97369478646328822</v>
      </c>
      <c r="CM104" s="99"/>
      <c r="CN104" s="99"/>
      <c r="CO104" s="99"/>
      <c r="CP104" s="99"/>
      <c r="CQ104" s="99"/>
      <c r="CR104" s="99"/>
      <c r="CS104" s="99"/>
      <c r="CT104" s="99"/>
      <c r="CU104" s="99"/>
      <c r="CV104" s="99"/>
      <c r="CW104" s="99"/>
      <c r="CX104" s="99"/>
      <c r="CY104" s="99"/>
      <c r="CZ104" s="99"/>
      <c r="DA104" s="99"/>
      <c r="DB104" s="99"/>
      <c r="DE104" s="137"/>
      <c r="DF104" s="98">
        <v>-0.98394661547594153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162" customFormat="1" x14ac:dyDescent="0.2">
      <c r="A106" s="49" t="s">
        <v>505</v>
      </c>
      <c r="E106" s="162">
        <f t="shared" ref="E106:AE106" si="975">+E$134/E$79</f>
        <v>13.56974434114794</v>
      </c>
      <c r="F106" s="162">
        <f t="shared" si="975"/>
        <v>15.347303961196443</v>
      </c>
      <c r="G106" s="162">
        <f t="shared" si="975"/>
        <v>15.85891774454325</v>
      </c>
      <c r="H106" s="162">
        <f t="shared" si="975"/>
        <v>21.564226960388037</v>
      </c>
      <c r="I106" s="162">
        <f t="shared" si="975"/>
        <v>34.50104486661278</v>
      </c>
      <c r="J106" s="162">
        <f t="shared" si="975"/>
        <v>36.912776879547295</v>
      </c>
      <c r="K106" s="162">
        <f t="shared" si="975"/>
        <v>37.623647938561042</v>
      </c>
      <c r="L106" s="162">
        <f t="shared" si="975"/>
        <v>39.987105901374299</v>
      </c>
      <c r="M106" s="162">
        <f t="shared" si="975"/>
        <v>46.137262530315276</v>
      </c>
      <c r="N106" s="162">
        <f t="shared" si="975"/>
        <v>48.60669765561844</v>
      </c>
      <c r="O106" s="162">
        <f t="shared" si="975"/>
        <v>59.103141673403393</v>
      </c>
      <c r="P106" s="162">
        <f t="shared" si="975"/>
        <v>55.505153597413099</v>
      </c>
      <c r="Q106" s="162">
        <f t="shared" si="975"/>
        <v>63.128233629749396</v>
      </c>
      <c r="R106" s="162">
        <f t="shared" si="975"/>
        <v>63.313459983831855</v>
      </c>
      <c r="S106" s="162">
        <f t="shared" si="975"/>
        <v>71.054971705739689</v>
      </c>
      <c r="T106" s="162">
        <f t="shared" si="975"/>
        <v>74.087409054163302</v>
      </c>
      <c r="U106" s="162">
        <f t="shared" si="975"/>
        <v>139.60044462409056</v>
      </c>
      <c r="V106" s="162">
        <f t="shared" si="975"/>
        <v>146.87257477768796</v>
      </c>
      <c r="W106" s="162">
        <f t="shared" si="975"/>
        <v>153.01071139854488</v>
      </c>
      <c r="X106" s="162">
        <f t="shared" si="975"/>
        <v>164.47766774454325</v>
      </c>
      <c r="Y106" s="162">
        <f t="shared" si="975"/>
        <v>162.25535569927243</v>
      </c>
      <c r="Z106" s="162">
        <f t="shared" si="975"/>
        <v>202.11277283751014</v>
      </c>
      <c r="AA106" s="162">
        <f t="shared" si="975"/>
        <v>220.16501616814878</v>
      </c>
      <c r="AB106" s="21">
        <f t="shared" si="975"/>
        <v>241.59992481317695</v>
      </c>
      <c r="AC106" s="21">
        <f t="shared" si="975"/>
        <v>267.37459767914504</v>
      </c>
      <c r="AD106" s="21">
        <f t="shared" si="975"/>
        <v>298.3833208730349</v>
      </c>
      <c r="AE106" s="21">
        <f t="shared" si="975"/>
        <v>335.43965349123999</v>
      </c>
      <c r="AL106" s="162">
        <f t="shared" ref="AL106:BQ106" si="976">+AL$134/AL$79</f>
        <v>48.611622031328949</v>
      </c>
      <c r="AM106" s="162">
        <f t="shared" si="976"/>
        <v>49.739767559373419</v>
      </c>
      <c r="AN106" s="162">
        <f t="shared" si="976"/>
        <v>60.14603335017685</v>
      </c>
      <c r="AO106" s="162">
        <f t="shared" si="976"/>
        <v>61.354219302678118</v>
      </c>
      <c r="AP106" s="162">
        <f t="shared" si="976"/>
        <v>59.109146033350179</v>
      </c>
      <c r="AQ106" s="162">
        <f t="shared" si="976"/>
        <v>60.091763516927742</v>
      </c>
      <c r="AR106" s="162">
        <f t="shared" si="976"/>
        <v>60.816371905002519</v>
      </c>
      <c r="AS106" s="162">
        <f t="shared" si="976"/>
        <v>61.667710965133907</v>
      </c>
      <c r="AT106" s="162">
        <f t="shared" si="976"/>
        <v>55.510763011622032</v>
      </c>
      <c r="AU106" s="162">
        <f t="shared" si="976"/>
        <v>56.241738251642239</v>
      </c>
      <c r="AV106" s="162">
        <f t="shared" si="976"/>
        <v>59.231227892875182</v>
      </c>
      <c r="AW106" s="162">
        <f t="shared" si="976"/>
        <v>59.815159171298625</v>
      </c>
      <c r="AX106" s="162">
        <f t="shared" si="976"/>
        <v>63.134613441131883</v>
      </c>
      <c r="AY106" s="162">
        <f t="shared" si="976"/>
        <v>64.182112177867609</v>
      </c>
      <c r="AZ106" s="162">
        <f t="shared" si="976"/>
        <v>61.311672561899947</v>
      </c>
      <c r="BA106" s="162">
        <f t="shared" si="976"/>
        <v>62.601515917129859</v>
      </c>
      <c r="BB106" s="162">
        <f t="shared" si="976"/>
        <v>63.319858514401211</v>
      </c>
      <c r="BC106" s="162">
        <f t="shared" si="976"/>
        <v>64.57746336533603</v>
      </c>
      <c r="BD106" s="162">
        <f t="shared" si="976"/>
        <v>67.215866599292568</v>
      </c>
      <c r="BE106" s="162">
        <f t="shared" si="976"/>
        <v>68.912379989893878</v>
      </c>
      <c r="BF106" s="162">
        <f t="shared" si="976"/>
        <v>71.062152602324403</v>
      </c>
      <c r="BG106" s="162">
        <f t="shared" si="976"/>
        <v>72.236887316826667</v>
      </c>
      <c r="BH106" s="162">
        <f t="shared" si="976"/>
        <v>74.688832743809996</v>
      </c>
      <c r="BI106" s="162">
        <f t="shared" si="976"/>
        <v>75.692572006063671</v>
      </c>
      <c r="BJ106" s="162">
        <f t="shared" si="976"/>
        <v>74.094896412329447</v>
      </c>
      <c r="BK106" s="162">
        <f t="shared" si="976"/>
        <v>75.850732693279426</v>
      </c>
      <c r="BL106" s="162">
        <f t="shared" si="976"/>
        <v>73.823749368367857</v>
      </c>
      <c r="BM106" s="162">
        <f t="shared" si="976"/>
        <v>75.535219807983822</v>
      </c>
      <c r="BN106" s="162">
        <f t="shared" si="976"/>
        <v>139.6145528044467</v>
      </c>
      <c r="BO106" s="162">
        <f t="shared" si="976"/>
        <v>142.92491157150076</v>
      </c>
      <c r="BP106" s="162">
        <f t="shared" si="976"/>
        <v>142.61798888327436</v>
      </c>
      <c r="BQ106" s="162">
        <f t="shared" si="976"/>
        <v>144.82283981808993</v>
      </c>
      <c r="BR106" s="162">
        <f t="shared" ref="BR106:DB106" si="977">+BR$134/BR$79</f>
        <v>146.88741788782212</v>
      </c>
      <c r="BS106" s="162">
        <f t="shared" si="977"/>
        <v>148.75856493178372</v>
      </c>
      <c r="BT106" s="162">
        <f t="shared" si="977"/>
        <v>147.47599797877714</v>
      </c>
      <c r="BU106" s="162">
        <f t="shared" si="977"/>
        <v>150.15462354724608</v>
      </c>
      <c r="BV106" s="162">
        <f t="shared" si="977"/>
        <v>153.02617483577563</v>
      </c>
      <c r="BW106" s="162">
        <f t="shared" si="977"/>
        <v>155.60788276907527</v>
      </c>
      <c r="BX106" s="162">
        <f t="shared" si="977"/>
        <v>150.47448206164731</v>
      </c>
      <c r="BY106" s="162">
        <f t="shared" si="977"/>
        <v>154.02940879231934</v>
      </c>
      <c r="BZ106" s="162">
        <f t="shared" si="977"/>
        <v>164.4942900454775</v>
      </c>
      <c r="CA106" s="162">
        <f t="shared" si="977"/>
        <v>167.69378473976755</v>
      </c>
      <c r="CB106" s="162">
        <f t="shared" si="977"/>
        <v>163.25730166750884</v>
      </c>
      <c r="CC106" s="162">
        <f t="shared" si="977"/>
        <v>166.07559373420921</v>
      </c>
      <c r="CD106" s="162">
        <f t="shared" si="977"/>
        <v>162.27175341081355</v>
      </c>
      <c r="CE106" s="162">
        <f t="shared" si="977"/>
        <v>165.20576048509349</v>
      </c>
      <c r="CF106" s="162">
        <f t="shared" si="977"/>
        <v>193.3484588175846</v>
      </c>
      <c r="CG106" s="162">
        <f t="shared" si="977"/>
        <v>196.16685194542697</v>
      </c>
      <c r="CH106" s="162">
        <f t="shared" si="977"/>
        <v>202.13319858514402</v>
      </c>
      <c r="CI106" s="162">
        <f t="shared" si="977"/>
        <v>205.51015664477012</v>
      </c>
      <c r="CJ106" s="162">
        <f t="shared" si="977"/>
        <v>205.29813036887316</v>
      </c>
      <c r="CK106" s="162">
        <f t="shared" si="977"/>
        <v>209.18504295098535</v>
      </c>
      <c r="CL106" s="162">
        <f t="shared" si="977"/>
        <v>220.16501616814875</v>
      </c>
      <c r="CM106" s="21">
        <f t="shared" si="977"/>
        <v>224.83249741965764</v>
      </c>
      <c r="CN106" s="21">
        <f t="shared" si="977"/>
        <v>230.0306167485879</v>
      </c>
      <c r="CO106" s="21">
        <f t="shared" si="977"/>
        <v>235.53844021752505</v>
      </c>
      <c r="CP106" s="21">
        <f t="shared" si="977"/>
        <v>241.59992481317695</v>
      </c>
      <c r="CQ106" s="21">
        <f t="shared" si="977"/>
        <v>247.45952174902592</v>
      </c>
      <c r="CR106" s="21">
        <f t="shared" si="977"/>
        <v>253.78357450470685</v>
      </c>
      <c r="CS106" s="21">
        <f t="shared" si="977"/>
        <v>260.31752518157452</v>
      </c>
      <c r="CT106" s="21">
        <f t="shared" si="977"/>
        <v>267.37459767914504</v>
      </c>
      <c r="CU106" s="21">
        <f t="shared" si="977"/>
        <v>274.49126113984079</v>
      </c>
      <c r="CV106" s="21">
        <f t="shared" si="977"/>
        <v>282.10289075232515</v>
      </c>
      <c r="CW106" s="21">
        <f t="shared" si="977"/>
        <v>289.92477687283042</v>
      </c>
      <c r="CX106" s="21">
        <f t="shared" si="977"/>
        <v>298.3833208730349</v>
      </c>
      <c r="CY106" s="21">
        <f t="shared" si="977"/>
        <v>306.91386782093576</v>
      </c>
      <c r="CZ106" s="21">
        <f t="shared" si="977"/>
        <v>316.01428066811877</v>
      </c>
      <c r="DA106" s="21">
        <f t="shared" si="977"/>
        <v>325.34271928465483</v>
      </c>
      <c r="DB106" s="21">
        <f t="shared" si="977"/>
        <v>335.43965349123999</v>
      </c>
      <c r="DE106" s="22"/>
      <c r="DF106" s="162">
        <v>214.08303854733794</v>
      </c>
    </row>
    <row r="107" spans="1:110" s="162" customFormat="1" x14ac:dyDescent="0.2">
      <c r="A107" s="49" t="s">
        <v>501</v>
      </c>
      <c r="AB107" s="21"/>
      <c r="AC107" s="21"/>
      <c r="AD107" s="21"/>
      <c r="AE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E107" s="22"/>
    </row>
    <row r="108" spans="1:110" s="162" customFormat="1" x14ac:dyDescent="0.2">
      <c r="A108" s="49" t="s">
        <v>502</v>
      </c>
      <c r="E108" s="162">
        <f t="shared" ref="E108:AE110" si="978">+E91/E$106</f>
        <v>2.4093007716270551</v>
      </c>
      <c r="F108" s="162">
        <f t="shared" si="978"/>
        <v>3.375255755789488</v>
      </c>
      <c r="G108" s="162">
        <f t="shared" si="978"/>
        <v>5.4057486974968718</v>
      </c>
      <c r="H108" s="162">
        <f t="shared" si="978"/>
        <v>2.7841794163947782</v>
      </c>
      <c r="I108" s="162">
        <f t="shared" si="978"/>
        <v>2.3600113182122699</v>
      </c>
      <c r="J108" s="162">
        <f t="shared" si="978"/>
        <v>1.5670978740675019</v>
      </c>
      <c r="K108" s="162">
        <f t="shared" si="978"/>
        <v>2.5717133894766158</v>
      </c>
      <c r="L108" s="162">
        <f t="shared" si="978"/>
        <v>2.4145237667297104</v>
      </c>
      <c r="M108" s="162">
        <f t="shared" si="978"/>
        <v>2.3988038069568085</v>
      </c>
      <c r="N108" s="162">
        <f t="shared" si="978"/>
        <v>2.6010490673676565</v>
      </c>
      <c r="O108" s="162">
        <f t="shared" si="978"/>
        <v>2.5059395749351765</v>
      </c>
      <c r="P108" s="162">
        <f t="shared" si="978"/>
        <v>2.6532552122921196</v>
      </c>
      <c r="Q108" s="162">
        <f t="shared" si="978"/>
        <v>1.8931996873919257</v>
      </c>
      <c r="R108" s="162">
        <f t="shared" si="978"/>
        <v>2.3439758044484815</v>
      </c>
      <c r="S108" s="162">
        <f t="shared" si="978"/>
        <v>3.5926652813000444</v>
      </c>
      <c r="T108" s="162">
        <f t="shared" si="978"/>
        <v>2.7083644895079679</v>
      </c>
      <c r="U108" s="162">
        <f t="shared" si="978"/>
        <v>2.0858129961048317</v>
      </c>
      <c r="V108" s="162">
        <f t="shared" si="978"/>
        <v>4.2939292519467713</v>
      </c>
      <c r="W108" s="162">
        <f t="shared" si="978"/>
        <v>5.0173406447275868</v>
      </c>
      <c r="X108" s="162">
        <f t="shared" si="978"/>
        <v>4.2639949730151834</v>
      </c>
      <c r="Y108" s="162">
        <f t="shared" si="978"/>
        <v>6.6681964683284196</v>
      </c>
      <c r="Z108" s="162">
        <f t="shared" si="978"/>
        <v>4.9563913548668364</v>
      </c>
      <c r="AA108" s="162">
        <f t="shared" ref="AA108" si="979">+AA91/AA$106</f>
        <v>4.6076802648120276</v>
      </c>
      <c r="AB108" s="21">
        <f t="shared" si="978"/>
        <v>5.1655645214502712</v>
      </c>
      <c r="AC108" s="21">
        <f t="shared" si="978"/>
        <v>4.6676087064098191</v>
      </c>
      <c r="AD108" s="21">
        <f t="shared" si="978"/>
        <v>4.1825394138938368</v>
      </c>
      <c r="AE108" s="21">
        <f t="shared" si="978"/>
        <v>3.720490368419104</v>
      </c>
      <c r="AL108" s="162">
        <f t="shared" ref="AL108:CI110" si="980">+AL91/AL$106</f>
        <v>2.6007855801126762</v>
      </c>
      <c r="AM108" s="162">
        <f t="shared" si="980"/>
        <v>2.6649155797367339</v>
      </c>
      <c r="AN108" s="162">
        <f t="shared" si="980"/>
        <v>2.3598503812144522</v>
      </c>
      <c r="AO108" s="162">
        <f t="shared" si="980"/>
        <v>2.580618340211442</v>
      </c>
      <c r="AP108" s="162">
        <f t="shared" si="980"/>
        <v>2.5056850193507612</v>
      </c>
      <c r="AQ108" s="162">
        <f t="shared" si="980"/>
        <v>2.840295201498392</v>
      </c>
      <c r="AR108" s="162">
        <f t="shared" si="980"/>
        <v>2.5839515307616163</v>
      </c>
      <c r="AS108" s="162">
        <f t="shared" si="980"/>
        <v>2.4137379324105384</v>
      </c>
      <c r="AT108" s="162">
        <f t="shared" si="980"/>
        <v>2.6529870983862693</v>
      </c>
      <c r="AU108" s="162">
        <f t="shared" si="980"/>
        <v>2.3243413168845621</v>
      </c>
      <c r="AV108" s="162">
        <f t="shared" si="980"/>
        <v>2.1294863118058576</v>
      </c>
      <c r="AW108" s="162">
        <f t="shared" si="980"/>
        <v>2.4125351221047673</v>
      </c>
      <c r="AX108" s="162">
        <f t="shared" si="980"/>
        <v>1.8930083778034665</v>
      </c>
      <c r="AY108" s="162">
        <f t="shared" si="980"/>
        <v>2.0136983450364534</v>
      </c>
      <c r="AZ108" s="162">
        <f t="shared" si="980"/>
        <v>2.247324235559383</v>
      </c>
      <c r="BA108" s="162">
        <f t="shared" si="980"/>
        <v>1.9256955430241764</v>
      </c>
      <c r="BB108" s="162">
        <f t="shared" si="980"/>
        <v>2.3437389435143214</v>
      </c>
      <c r="BC108" s="162">
        <f t="shared" si="980"/>
        <v>2.3026846693002065</v>
      </c>
      <c r="BD108" s="162">
        <f t="shared" si="980"/>
        <v>3.0219801198108311</v>
      </c>
      <c r="BE108" s="162">
        <f t="shared" si="980"/>
        <v>4.5227817051089625</v>
      </c>
      <c r="BF108" s="162">
        <f t="shared" si="980"/>
        <v>3.5923022391333812</v>
      </c>
      <c r="BG108" s="162">
        <f t="shared" si="980"/>
        <v>3.6842904076190819</v>
      </c>
      <c r="BH108" s="162">
        <f t="shared" si="980"/>
        <v>3.0839516832673981</v>
      </c>
      <c r="BI108" s="162">
        <f t="shared" si="980"/>
        <v>2.8629782716975827</v>
      </c>
      <c r="BJ108" s="162">
        <f t="shared" si="980"/>
        <v>2.7080908067584222</v>
      </c>
      <c r="BK108" s="162">
        <f t="shared" si="980"/>
        <v>3.512010919848962</v>
      </c>
      <c r="BL108" s="162">
        <f t="shared" si="980"/>
        <v>3.6933999968102564</v>
      </c>
      <c r="BM108" s="162">
        <f t="shared" si="980"/>
        <v>4.1981491923007512</v>
      </c>
      <c r="BN108" s="162">
        <f t="shared" si="980"/>
        <v>2.0856022227624607</v>
      </c>
      <c r="BO108" s="162">
        <f t="shared" si="980"/>
        <v>2.6782708865634288</v>
      </c>
      <c r="BP108" s="162">
        <f t="shared" si="980"/>
        <v>3.4610923403127298</v>
      </c>
      <c r="BQ108" s="162">
        <f t="shared" si="980"/>
        <v>4.0215357615233813</v>
      </c>
      <c r="BR108" s="162">
        <f t="shared" si="980"/>
        <v>4.2934953464039323</v>
      </c>
      <c r="BS108" s="162">
        <f t="shared" si="980"/>
        <v>5.0050548869198233</v>
      </c>
      <c r="BT108" s="162">
        <f t="shared" si="980"/>
        <v>5.448758971248143</v>
      </c>
      <c r="BU108" s="162">
        <f t="shared" si="980"/>
        <v>4.8901089895281276</v>
      </c>
      <c r="BV108" s="162">
        <f t="shared" si="980"/>
        <v>5.0168336377909748</v>
      </c>
      <c r="BW108" s="162">
        <f t="shared" si="980"/>
        <v>4.4892733879045776</v>
      </c>
      <c r="BX108" s="162">
        <f t="shared" si="980"/>
        <v>5.2735572083898479</v>
      </c>
      <c r="BY108" s="162">
        <f t="shared" si="980"/>
        <v>4.919390887362928</v>
      </c>
      <c r="BZ108" s="162">
        <f t="shared" si="980"/>
        <v>4.2635640923590588</v>
      </c>
      <c r="CA108" s="162">
        <f t="shared" si="980"/>
        <v>5.0674898544908942</v>
      </c>
      <c r="CB108" s="162">
        <f t="shared" si="980"/>
        <v>5.3044193641137136</v>
      </c>
      <c r="CC108" s="162">
        <f t="shared" si="980"/>
        <v>6.4636600550569838</v>
      </c>
      <c r="CD108" s="162">
        <f t="shared" si="980"/>
        <v>6.6675226408760819</v>
      </c>
      <c r="CE108" s="162">
        <f t="shared" si="980"/>
        <v>6.5595721360873505</v>
      </c>
      <c r="CF108" s="162">
        <f t="shared" si="980"/>
        <v>6.1890847608409665</v>
      </c>
      <c r="CG108" s="162">
        <f t="shared" si="980"/>
        <v>4.6610831082428215</v>
      </c>
      <c r="CH108" s="162">
        <f t="shared" si="980"/>
        <v>4.9558905069126267</v>
      </c>
      <c r="CI108" s="162">
        <f t="shared" si="980"/>
        <v>5.3486407579358577</v>
      </c>
      <c r="CJ108" s="162">
        <f>+CJ91/CJ$106</f>
        <v>5.5000500879924195</v>
      </c>
      <c r="CK108" s="162">
        <f>+CK91/CK$106</f>
        <v>5.6983041578135216</v>
      </c>
      <c r="CL108" s="162">
        <f>+CL91/CL$106</f>
        <v>4.6076802648120276</v>
      </c>
      <c r="CM108" s="21">
        <f t="shared" ref="CM108:DB108" si="981">+CM91/CM$106</f>
        <v>5.5507989917959444</v>
      </c>
      <c r="CN108" s="21">
        <f t="shared" si="981"/>
        <v>5.425364752049517</v>
      </c>
      <c r="CO108" s="21">
        <f t="shared" si="981"/>
        <v>5.298498193532418</v>
      </c>
      <c r="CP108" s="21">
        <f t="shared" si="981"/>
        <v>5.1655645214502712</v>
      </c>
      <c r="CQ108" s="21">
        <f t="shared" si="981"/>
        <v>5.0432490581862712</v>
      </c>
      <c r="CR108" s="21">
        <f t="shared" si="981"/>
        <v>4.9175759401909351</v>
      </c>
      <c r="CS108" s="21">
        <f t="shared" si="981"/>
        <v>4.794145146891303</v>
      </c>
      <c r="CT108" s="21">
        <f t="shared" si="981"/>
        <v>4.6676087064098191</v>
      </c>
      <c r="CU108" s="21">
        <f t="shared" si="981"/>
        <v>4.5465928307429824</v>
      </c>
      <c r="CV108" s="21">
        <f t="shared" si="981"/>
        <v>4.423917800600254</v>
      </c>
      <c r="CW108" s="21">
        <f t="shared" si="981"/>
        <v>4.3045648373385133</v>
      </c>
      <c r="CX108" s="21">
        <f t="shared" si="981"/>
        <v>4.1825394138938368</v>
      </c>
      <c r="CY108" s="21">
        <f t="shared" si="981"/>
        <v>4.0662874208347164</v>
      </c>
      <c r="CZ108" s="21">
        <f t="shared" si="981"/>
        <v>3.9491886169241242</v>
      </c>
      <c r="DA108" s="21">
        <f t="shared" si="981"/>
        <v>3.8359549054733169</v>
      </c>
      <c r="DB108" s="21">
        <f t="shared" si="981"/>
        <v>3.720490368419104</v>
      </c>
      <c r="DE108" s="22"/>
      <c r="DF108" s="162">
        <v>4.7385818460143225</v>
      </c>
    </row>
    <row r="109" spans="1:110" s="162" customFormat="1" x14ac:dyDescent="0.2">
      <c r="A109" s="49" t="s">
        <v>503</v>
      </c>
      <c r="E109" s="162">
        <f t="shared" si="978"/>
        <v>3.0563909184477347</v>
      </c>
      <c r="F109" s="162">
        <f t="shared" si="978"/>
        <v>3.6478119217875515</v>
      </c>
      <c r="G109" s="162">
        <f t="shared" si="978"/>
        <v>6.520904298956399</v>
      </c>
      <c r="H109" s="162">
        <f t="shared" si="978"/>
        <v>4.2047819433255027</v>
      </c>
      <c r="I109" s="162">
        <f t="shared" si="978"/>
        <v>2.9029556337323168</v>
      </c>
      <c r="J109" s="162">
        <f t="shared" si="978"/>
        <v>2.5714694048986058</v>
      </c>
      <c r="K109" s="162">
        <f t="shared" si="978"/>
        <v>2.8221640401055157</v>
      </c>
      <c r="L109" s="162">
        <f t="shared" si="978"/>
        <v>3.4247950921439734</v>
      </c>
      <c r="M109" s="162">
        <f t="shared" si="978"/>
        <v>2.7552525654202773</v>
      </c>
      <c r="N109" s="162">
        <f t="shared" si="978"/>
        <v>3.6922704339117391</v>
      </c>
      <c r="O109" s="162">
        <f t="shared" si="978"/>
        <v>2.844354222433918</v>
      </c>
      <c r="P109" s="162">
        <f t="shared" si="978"/>
        <v>3.1524088588702144</v>
      </c>
      <c r="Q109" s="162">
        <f t="shared" si="978"/>
        <v>2.556601891899501</v>
      </c>
      <c r="R109" s="162">
        <f t="shared" si="978"/>
        <v>2.4594195379121633</v>
      </c>
      <c r="S109" s="162">
        <f t="shared" si="978"/>
        <v>4.5705875197966792</v>
      </c>
      <c r="T109" s="162">
        <f t="shared" si="978"/>
        <v>3.9968873933275275</v>
      </c>
      <c r="U109" s="162">
        <f t="shared" si="978"/>
        <v>2.8863887780222748</v>
      </c>
      <c r="V109" s="162">
        <f t="shared" si="978"/>
        <v>4.3904333784392371</v>
      </c>
      <c r="W109" s="162">
        <f t="shared" si="978"/>
        <v>5.7387144846096145</v>
      </c>
      <c r="X109" s="162">
        <f t="shared" si="978"/>
        <v>5.1725823111141818</v>
      </c>
      <c r="Y109" s="162">
        <f t="shared" si="978"/>
        <v>7.7286308528297969</v>
      </c>
      <c r="Z109" s="162">
        <f t="shared" si="978"/>
        <v>6.1717722919037898</v>
      </c>
      <c r="AA109" s="162">
        <f t="shared" ref="AA109" si="982">+AA92/AA$106</f>
        <v>5.5444775979654413</v>
      </c>
      <c r="AB109" s="21">
        <f t="shared" si="978"/>
        <v>6.8593058326465188</v>
      </c>
      <c r="AC109" s="21">
        <f t="shared" si="978"/>
        <v>7.4529523168023095</v>
      </c>
      <c r="AD109" s="21">
        <f t="shared" si="978"/>
        <v>8.0346075022817089</v>
      </c>
      <c r="AE109" s="21">
        <f t="shared" si="978"/>
        <v>8.5408945533674707</v>
      </c>
      <c r="AL109" s="162">
        <f t="shared" si="980"/>
        <v>3.4318178475080456</v>
      </c>
      <c r="AM109" s="162">
        <f t="shared" si="980"/>
        <v>3.0451922813161629</v>
      </c>
      <c r="AN109" s="162">
        <f t="shared" si="980"/>
        <v>2.693218249959433</v>
      </c>
      <c r="AO109" s="162">
        <f t="shared" si="980"/>
        <v>2.7399952682719082</v>
      </c>
      <c r="AP109" s="162">
        <f t="shared" si="980"/>
        <v>2.7179037572350886</v>
      </c>
      <c r="AQ109" s="162">
        <f t="shared" si="980"/>
        <v>2.9117956883416625</v>
      </c>
      <c r="AR109" s="162">
        <f t="shared" si="980"/>
        <v>2.873042273989507</v>
      </c>
      <c r="AS109" s="162">
        <f t="shared" si="980"/>
        <v>2.6587955990719974</v>
      </c>
      <c r="AT109" s="162">
        <f t="shared" si="980"/>
        <v>2.9839432354083031</v>
      </c>
      <c r="AU109" s="162">
        <f t="shared" si="980"/>
        <v>2.8696439076610218</v>
      </c>
      <c r="AV109" s="162">
        <f t="shared" si="980"/>
        <v>2.4521610191938161</v>
      </c>
      <c r="AW109" s="162">
        <f t="shared" si="980"/>
        <v>2.4422583474284423</v>
      </c>
      <c r="AX109" s="162">
        <f t="shared" si="980"/>
        <v>2.3435756611153704</v>
      </c>
      <c r="AY109" s="162">
        <f t="shared" si="980"/>
        <v>2.0237014319624924</v>
      </c>
      <c r="AZ109" s="162">
        <f t="shared" si="980"/>
        <v>2.3987568363784413</v>
      </c>
      <c r="BA109" s="162">
        <f t="shared" si="980"/>
        <v>2.4873896137465157</v>
      </c>
      <c r="BB109" s="162">
        <f t="shared" si="980"/>
        <v>2.4006750309940341</v>
      </c>
      <c r="BC109" s="162">
        <f t="shared" si="980"/>
        <v>2.4900502435209155</v>
      </c>
      <c r="BD109" s="162">
        <f t="shared" si="980"/>
        <v>3.2365238093281481</v>
      </c>
      <c r="BE109" s="162">
        <f t="shared" si="980"/>
        <v>4.5363980658120271</v>
      </c>
      <c r="BF109" s="162">
        <f t="shared" si="980"/>
        <v>4.5701256576786724</v>
      </c>
      <c r="BG109" s="162">
        <f t="shared" si="980"/>
        <v>4.0992772841128193</v>
      </c>
      <c r="BH109" s="162">
        <f t="shared" si="980"/>
        <v>3.7650130541433513</v>
      </c>
      <c r="BI109" s="162">
        <f t="shared" si="980"/>
        <v>3.1383148329228301</v>
      </c>
      <c r="BJ109" s="162">
        <f t="shared" si="980"/>
        <v>2.9373753840473387</v>
      </c>
      <c r="BK109" s="162">
        <f t="shared" si="980"/>
        <v>3.6135818696999791</v>
      </c>
      <c r="BL109" s="162">
        <f t="shared" si="980"/>
        <v>3.8479327624800828</v>
      </c>
      <c r="BM109" s="162">
        <f t="shared" si="980"/>
        <v>4.3151821630875213</v>
      </c>
      <c r="BN109" s="162">
        <f t="shared" si="980"/>
        <v>2.8860971057528708</v>
      </c>
      <c r="BO109" s="162">
        <f t="shared" si="980"/>
        <v>2.7297561609922663</v>
      </c>
      <c r="BP109" s="162">
        <f t="shared" si="980"/>
        <v>4.0982519107154785</v>
      </c>
      <c r="BQ109" s="162">
        <f t="shared" si="980"/>
        <v>4.2073864348067058</v>
      </c>
      <c r="BR109" s="162">
        <f t="shared" si="980"/>
        <v>4.3899897210646985</v>
      </c>
      <c r="BS109" s="162">
        <f t="shared" si="980"/>
        <v>5.1252346341382458</v>
      </c>
      <c r="BT109" s="162">
        <f t="shared" si="980"/>
        <v>5.9540860739224399</v>
      </c>
      <c r="BU109" s="162">
        <f t="shared" si="980"/>
        <v>5.6735526008447881</v>
      </c>
      <c r="BV109" s="162">
        <f t="shared" si="980"/>
        <v>5.0507202593392559</v>
      </c>
      <c r="BW109" s="162">
        <f t="shared" si="980"/>
        <v>5.3100058715469425</v>
      </c>
      <c r="BX109" s="162">
        <f t="shared" si="980"/>
        <v>5.6539438653803744</v>
      </c>
      <c r="BY109" s="162">
        <f t="shared" si="980"/>
        <v>5.2711194804305883</v>
      </c>
      <c r="BZ109" s="162">
        <f t="shared" si="980"/>
        <v>4.6883893293626526</v>
      </c>
      <c r="CA109" s="162">
        <f t="shared" si="980"/>
        <v>5.1655589032237001</v>
      </c>
      <c r="CB109" s="162">
        <f t="shared" si="980"/>
        <v>5.5043749500663317</v>
      </c>
      <c r="CC109" s="162">
        <f t="shared" si="980"/>
        <v>6.5064815055505552</v>
      </c>
      <c r="CD109" s="162">
        <f t="shared" si="980"/>
        <v>7.7278498674970528</v>
      </c>
      <c r="CE109" s="162">
        <f t="shared" si="980"/>
        <v>7.0549105597074746</v>
      </c>
      <c r="CF109" s="162">
        <f t="shared" si="980"/>
        <v>6.4515332517610036</v>
      </c>
      <c r="CG109" s="162">
        <f t="shared" si="980"/>
        <v>6.1455337027857304</v>
      </c>
      <c r="CH109" s="162">
        <f t="shared" si="980"/>
        <v>5.3172858665632052</v>
      </c>
      <c r="CI109" s="162">
        <f t="shared" si="980"/>
        <v>5.7418086739122192</v>
      </c>
      <c r="CJ109" s="162">
        <f t="shared" ref="CJ109:CK110" si="983">+CJ92/CJ$106</f>
        <v>5.5869968125823011</v>
      </c>
      <c r="CK109" s="162">
        <f t="shared" si="983"/>
        <v>5.7496940652770245</v>
      </c>
      <c r="CL109" s="162">
        <f t="shared" ref="CL109" si="984">+CL92/CL$106</f>
        <v>5.5444775979654422</v>
      </c>
      <c r="CM109" s="94">
        <f t="shared" ref="CM109:DB109" si="985">+CL109</f>
        <v>5.5444775979654422</v>
      </c>
      <c r="CN109" s="94">
        <f t="shared" si="985"/>
        <v>5.5444775979654422</v>
      </c>
      <c r="CO109" s="94">
        <f t="shared" si="985"/>
        <v>5.5444775979654422</v>
      </c>
      <c r="CP109" s="94">
        <f t="shared" si="985"/>
        <v>5.5444775979654422</v>
      </c>
      <c r="CQ109" s="94">
        <f t="shared" si="985"/>
        <v>5.5444775979654422</v>
      </c>
      <c r="CR109" s="94">
        <f t="shared" si="985"/>
        <v>5.5444775979654422</v>
      </c>
      <c r="CS109" s="94">
        <f t="shared" si="985"/>
        <v>5.5444775979654422</v>
      </c>
      <c r="CT109" s="94">
        <f t="shared" si="985"/>
        <v>5.5444775979654422</v>
      </c>
      <c r="CU109" s="94">
        <f t="shared" si="985"/>
        <v>5.5444775979654422</v>
      </c>
      <c r="CV109" s="94">
        <f t="shared" si="985"/>
        <v>5.5444775979654422</v>
      </c>
      <c r="CW109" s="94">
        <f t="shared" si="985"/>
        <v>5.5444775979654422</v>
      </c>
      <c r="CX109" s="94">
        <f t="shared" si="985"/>
        <v>5.5444775979654422</v>
      </c>
      <c r="CY109" s="94">
        <f t="shared" si="985"/>
        <v>5.5444775979654422</v>
      </c>
      <c r="CZ109" s="94">
        <f t="shared" si="985"/>
        <v>5.5444775979654422</v>
      </c>
      <c r="DA109" s="94">
        <f t="shared" si="985"/>
        <v>5.5444775979654422</v>
      </c>
      <c r="DB109" s="94">
        <f t="shared" si="985"/>
        <v>5.5444775979654422</v>
      </c>
      <c r="DC109" s="94"/>
      <c r="DE109" s="22"/>
      <c r="DF109" s="162">
        <v>5.7019930597167763</v>
      </c>
    </row>
    <row r="110" spans="1:110" s="162" customFormat="1" x14ac:dyDescent="0.2">
      <c r="A110" s="49" t="s">
        <v>504</v>
      </c>
      <c r="E110" s="162">
        <f t="shared" si="978"/>
        <v>1.3757034617447534</v>
      </c>
      <c r="F110" s="162">
        <f t="shared" si="978"/>
        <v>1.8342032422537933</v>
      </c>
      <c r="G110" s="162">
        <f t="shared" si="978"/>
        <v>3.1140899230928425</v>
      </c>
      <c r="H110" s="162">
        <f t="shared" si="978"/>
        <v>2.5569929410255607</v>
      </c>
      <c r="I110" s="162">
        <f t="shared" si="978"/>
        <v>1.6779312593003106</v>
      </c>
      <c r="J110" s="162">
        <f t="shared" si="978"/>
        <v>1.1506054569265363</v>
      </c>
      <c r="K110" s="162">
        <f t="shared" si="978"/>
        <v>1.5101859200657641</v>
      </c>
      <c r="L110" s="162">
        <f t="shared" si="978"/>
        <v>2.1032910356729904</v>
      </c>
      <c r="M110" s="162">
        <f t="shared" si="978"/>
        <v>1.7126667073319475</v>
      </c>
      <c r="N110" s="162">
        <f t="shared" si="978"/>
        <v>2.0320695838809746</v>
      </c>
      <c r="O110" s="162">
        <f t="shared" si="978"/>
        <v>2.1056911399922118</v>
      </c>
      <c r="P110" s="162">
        <f t="shared" si="978"/>
        <v>2.4450520869814709</v>
      </c>
      <c r="Q110" s="162">
        <f t="shared" si="978"/>
        <v>1.5661924686605917</v>
      </c>
      <c r="R110" s="162">
        <f t="shared" si="978"/>
        <v>1.7862577677827034</v>
      </c>
      <c r="S110" s="162">
        <f t="shared" si="978"/>
        <v>1.953064314268357</v>
      </c>
      <c r="T110" s="162">
        <f t="shared" si="978"/>
        <v>2.366402642814001</v>
      </c>
      <c r="U110" s="162">
        <f t="shared" si="978"/>
        <v>1.3796931283597105</v>
      </c>
      <c r="V110" s="162">
        <f t="shared" si="978"/>
        <v>1.7754069264118255</v>
      </c>
      <c r="W110" s="162">
        <f t="shared" si="978"/>
        <v>3.9651354017676677</v>
      </c>
      <c r="X110" s="162">
        <f t="shared" si="978"/>
        <v>4.1135646173021607</v>
      </c>
      <c r="Y110" s="162">
        <f t="shared" si="978"/>
        <v>4.2399113019816941</v>
      </c>
      <c r="Z110" s="162">
        <f t="shared" si="978"/>
        <v>4.3737958150259884</v>
      </c>
      <c r="AA110" s="162">
        <f t="shared" ref="AA110" si="986">+AA93/AA$106</f>
        <v>4.4925393562280806</v>
      </c>
      <c r="AB110" s="21">
        <f t="shared" si="978"/>
        <v>4.526635805427599</v>
      </c>
      <c r="AC110" s="21">
        <f t="shared" si="978"/>
        <v>5.4188213795964799</v>
      </c>
      <c r="AD110" s="21">
        <f t="shared" si="978"/>
        <v>5.8009214474584905</v>
      </c>
      <c r="AE110" s="21">
        <f t="shared" si="978"/>
        <v>6.1891507788602107</v>
      </c>
      <c r="AL110" s="162">
        <f t="shared" si="980"/>
        <v>2.4788737560448917</v>
      </c>
      <c r="AM110" s="162">
        <f t="shared" si="980"/>
        <v>2.502081691854166</v>
      </c>
      <c r="AN110" s="162">
        <f t="shared" si="980"/>
        <v>2.1553957030925268</v>
      </c>
      <c r="AO110" s="162">
        <f t="shared" si="980"/>
        <v>2.2699138238915362</v>
      </c>
      <c r="AP110" s="162">
        <f t="shared" si="980"/>
        <v>2.26255252831006</v>
      </c>
      <c r="AQ110" s="162">
        <f t="shared" si="980"/>
        <v>2.3373262595663937</v>
      </c>
      <c r="AR110" s="162">
        <f t="shared" si="980"/>
        <v>2.410984316414607</v>
      </c>
      <c r="AS110" s="162">
        <f t="shared" si="980"/>
        <v>2.2007139476656152</v>
      </c>
      <c r="AT110" s="162">
        <f t="shared" si="980"/>
        <v>2.5391097179055775</v>
      </c>
      <c r="AU110" s="162">
        <f t="shared" si="980"/>
        <v>2.213700211509618</v>
      </c>
      <c r="AV110" s="162">
        <f t="shared" si="980"/>
        <v>1.815149452154015</v>
      </c>
      <c r="AW110" s="162">
        <f t="shared" si="980"/>
        <v>2.0335639992279431</v>
      </c>
      <c r="AX110" s="162">
        <f t="shared" si="980"/>
        <v>1.5660342034555939</v>
      </c>
      <c r="AY110" s="162">
        <f t="shared" si="980"/>
        <v>1.7767021317115623</v>
      </c>
      <c r="AZ110" s="162">
        <f t="shared" si="980"/>
        <v>2.0765598133591618</v>
      </c>
      <c r="BA110" s="162">
        <f t="shared" si="980"/>
        <v>1.8065722218457121</v>
      </c>
      <c r="BB110" s="162">
        <f t="shared" si="980"/>
        <v>1.8952697613110714</v>
      </c>
      <c r="BC110" s="162">
        <f t="shared" si="980"/>
        <v>2.1489684226946544</v>
      </c>
      <c r="BD110" s="162">
        <f t="shared" si="980"/>
        <v>2.198338078889861</v>
      </c>
      <c r="BE110" s="162">
        <f t="shared" si="980"/>
        <v>2.9010014803170763</v>
      </c>
      <c r="BF110" s="162">
        <f t="shared" si="980"/>
        <v>3.4741572631897397</v>
      </c>
      <c r="BG110" s="162">
        <f t="shared" si="980"/>
        <v>3.2501608086511586</v>
      </c>
      <c r="BH110" s="162">
        <f t="shared" si="980"/>
        <v>2.8135108088127758</v>
      </c>
      <c r="BI110" s="162">
        <f t="shared" si="980"/>
        <v>2.5445795942617528</v>
      </c>
      <c r="BJ110" s="162">
        <f t="shared" si="980"/>
        <v>2.3661635156269751</v>
      </c>
      <c r="BK110" s="162">
        <f t="shared" si="980"/>
        <v>2.5392737462756689</v>
      </c>
      <c r="BL110" s="162">
        <f t="shared" si="980"/>
        <v>3.2859954327715855</v>
      </c>
      <c r="BM110" s="162">
        <f t="shared" si="980"/>
        <v>3.4344927125301172</v>
      </c>
      <c r="BN110" s="162">
        <f t="shared" si="980"/>
        <v>1.5139717627922868</v>
      </c>
      <c r="BO110" s="162">
        <f t="shared" si="980"/>
        <v>1.8244446240555958</v>
      </c>
      <c r="BP110" s="162">
        <f t="shared" si="980"/>
        <v>2.6390179815431072</v>
      </c>
      <c r="BQ110" s="162">
        <f t="shared" si="980"/>
        <v>3.1304755609925063</v>
      </c>
      <c r="BR110" s="162">
        <f t="shared" si="980"/>
        <v>3.7289864437718125</v>
      </c>
      <c r="BS110" s="162">
        <f t="shared" si="980"/>
        <v>4.0784756756308074</v>
      </c>
      <c r="BT110" s="162">
        <f t="shared" si="980"/>
        <v>4.9534781330405364</v>
      </c>
      <c r="BU110" s="162">
        <f t="shared" si="980"/>
        <v>4.583572698282488</v>
      </c>
      <c r="BV110" s="162">
        <f t="shared" si="980"/>
        <v>4.2003274233418768</v>
      </c>
      <c r="BW110" s="162">
        <f t="shared" si="980"/>
        <v>4.4311937109878894</v>
      </c>
      <c r="BX110" s="162">
        <f t="shared" si="980"/>
        <v>4.5817064120688524</v>
      </c>
      <c r="BY110" s="162">
        <f t="shared" si="980"/>
        <v>4.7395187445088194</v>
      </c>
      <c r="BZ110" s="162">
        <f t="shared" si="980"/>
        <v>4.1131489377733308</v>
      </c>
      <c r="CA110" s="162">
        <f t="shared" si="980"/>
        <v>4.1024079544986396</v>
      </c>
      <c r="CB110" s="162">
        <f t="shared" si="980"/>
        <v>4.973781761320657</v>
      </c>
      <c r="CC110" s="162">
        <f t="shared" si="980"/>
        <v>5.0850472461112544</v>
      </c>
      <c r="CD110" s="162">
        <f t="shared" si="980"/>
        <v>6.5497423203530509</v>
      </c>
      <c r="CE110" s="162">
        <f t="shared" si="980"/>
        <v>6.1580998953378856</v>
      </c>
      <c r="CF110" s="162">
        <f t="shared" si="980"/>
        <v>5.5146331026019393</v>
      </c>
      <c r="CG110" s="162">
        <f t="shared" si="980"/>
        <v>4.5063678762909758</v>
      </c>
      <c r="CH110" s="162">
        <f t="shared" si="980"/>
        <v>4.4945610437036398</v>
      </c>
      <c r="CI110" s="162">
        <f t="shared" si="980"/>
        <v>4.8129008130225222</v>
      </c>
      <c r="CJ110" s="162">
        <f t="shared" si="983"/>
        <v>5.0577664693503328</v>
      </c>
      <c r="CK110" s="162">
        <f t="shared" si="983"/>
        <v>5.2828824872480897</v>
      </c>
      <c r="CL110" s="162">
        <f t="shared" ref="CL110" si="987">+CL93/CL$106</f>
        <v>4.592010200330189</v>
      </c>
      <c r="CM110" s="94">
        <f t="shared" ref="CM110:DB110" si="988">+CL110</f>
        <v>4.592010200330189</v>
      </c>
      <c r="CN110" s="94">
        <f t="shared" si="988"/>
        <v>4.592010200330189</v>
      </c>
      <c r="CO110" s="94">
        <f t="shared" si="988"/>
        <v>4.592010200330189</v>
      </c>
      <c r="CP110" s="94">
        <f t="shared" si="988"/>
        <v>4.592010200330189</v>
      </c>
      <c r="CQ110" s="94">
        <f t="shared" si="988"/>
        <v>4.592010200330189</v>
      </c>
      <c r="CR110" s="94">
        <f t="shared" si="988"/>
        <v>4.592010200330189</v>
      </c>
      <c r="CS110" s="94">
        <f t="shared" si="988"/>
        <v>4.592010200330189</v>
      </c>
      <c r="CT110" s="94">
        <f t="shared" si="988"/>
        <v>4.592010200330189</v>
      </c>
      <c r="CU110" s="94">
        <f t="shared" si="988"/>
        <v>4.592010200330189</v>
      </c>
      <c r="CV110" s="94">
        <f t="shared" si="988"/>
        <v>4.592010200330189</v>
      </c>
      <c r="CW110" s="94">
        <f t="shared" si="988"/>
        <v>4.592010200330189</v>
      </c>
      <c r="CX110" s="94">
        <f t="shared" si="988"/>
        <v>4.592010200330189</v>
      </c>
      <c r="CY110" s="94">
        <f t="shared" si="988"/>
        <v>4.592010200330189</v>
      </c>
      <c r="CZ110" s="94">
        <f t="shared" si="988"/>
        <v>4.592010200330189</v>
      </c>
      <c r="DA110" s="94">
        <f t="shared" si="988"/>
        <v>4.592010200330189</v>
      </c>
      <c r="DB110" s="94">
        <f t="shared" si="988"/>
        <v>4.592010200330189</v>
      </c>
      <c r="DC110" s="94"/>
      <c r="DE110" s="22"/>
      <c r="DF110" s="162">
        <v>4.7224666038942091</v>
      </c>
    </row>
    <row r="111" spans="1:110" s="4" customFormat="1" x14ac:dyDescent="0.2">
      <c r="A111" s="3"/>
      <c r="AB111" s="17"/>
      <c r="AC111" s="17"/>
      <c r="AD111" s="17"/>
      <c r="AE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E111" s="119"/>
    </row>
    <row r="112" spans="1:110" s="177" customFormat="1" x14ac:dyDescent="0.2">
      <c r="A112" s="177" t="s">
        <v>510</v>
      </c>
      <c r="E112" s="177">
        <f t="shared" ref="E112:Y112" si="989">+E24</f>
        <v>3049.5542999999998</v>
      </c>
      <c r="F112" s="177">
        <f t="shared" si="989"/>
        <v>3041.34</v>
      </c>
      <c r="G112" s="177">
        <f t="shared" si="989"/>
        <v>3106.5250000000001</v>
      </c>
      <c r="H112" s="177">
        <f t="shared" si="989"/>
        <v>4024.8946000000001</v>
      </c>
      <c r="I112" s="177">
        <f t="shared" si="989"/>
        <v>4309.6462999999994</v>
      </c>
      <c r="J112" s="177">
        <f t="shared" si="989"/>
        <v>4847.8747999999996</v>
      </c>
      <c r="K112" s="177">
        <f t="shared" si="989"/>
        <v>5782.9503999999997</v>
      </c>
      <c r="L112" s="177">
        <f t="shared" si="989"/>
        <v>6003.1697999999997</v>
      </c>
      <c r="M112" s="177">
        <f t="shared" si="989"/>
        <v>6640.0448999999999</v>
      </c>
      <c r="N112" s="177">
        <f t="shared" si="989"/>
        <v>7350.9776000000002</v>
      </c>
      <c r="O112" s="177">
        <f t="shared" si="989"/>
        <v>7737.6106</v>
      </c>
      <c r="P112" s="177">
        <f t="shared" si="989"/>
        <v>7993.3899999999994</v>
      </c>
      <c r="Q112" s="177">
        <f t="shared" si="989"/>
        <v>6636.54</v>
      </c>
      <c r="R112" s="177">
        <f t="shared" si="989"/>
        <v>6779.55</v>
      </c>
      <c r="S112" s="177">
        <f t="shared" si="989"/>
        <v>6815.35</v>
      </c>
      <c r="T112" s="177">
        <f t="shared" si="989"/>
        <v>7251.5</v>
      </c>
      <c r="U112" s="177">
        <f t="shared" si="989"/>
        <v>9637.42</v>
      </c>
      <c r="V112" s="177">
        <f t="shared" si="989"/>
        <v>11602.03</v>
      </c>
      <c r="W112" s="177">
        <f t="shared" si="989"/>
        <v>12425.37</v>
      </c>
      <c r="X112" s="177">
        <f t="shared" si="989"/>
        <v>13783.16</v>
      </c>
      <c r="Y112" s="177">
        <f t="shared" si="989"/>
        <v>15205.85</v>
      </c>
      <c r="Z112" s="177">
        <f>+Z24</f>
        <v>17618.3</v>
      </c>
      <c r="AA112" s="177">
        <f>+AA24</f>
        <v>20290.43</v>
      </c>
      <c r="AB112" s="178">
        <f t="shared" ref="AA112:AE112" si="990">+AB24</f>
        <v>23186.997494016468</v>
      </c>
      <c r="AC112" s="178">
        <f t="shared" si="990"/>
        <v>26314.2448046668</v>
      </c>
      <c r="AD112" s="178">
        <f t="shared" si="990"/>
        <v>29886.062004890529</v>
      </c>
      <c r="AE112" s="178">
        <f t="shared" si="990"/>
        <v>33989.202572652051</v>
      </c>
      <c r="AL112" s="177">
        <f t="shared" ref="AL112:BQ112" si="991">+SUM(AI22:AL22)</f>
        <v>7350.98</v>
      </c>
      <c r="AM112" s="177">
        <f t="shared" si="991"/>
        <v>7439.34</v>
      </c>
      <c r="AN112" s="177">
        <f t="shared" si="991"/>
        <v>7507.869999999999</v>
      </c>
      <c r="AO112" s="177">
        <f t="shared" si="991"/>
        <v>7677.18</v>
      </c>
      <c r="AP112" s="177">
        <f t="shared" si="991"/>
        <v>7737.6100000000006</v>
      </c>
      <c r="AQ112" s="177">
        <f t="shared" si="991"/>
        <v>7834.8099999999995</v>
      </c>
      <c r="AR112" s="177">
        <f t="shared" si="991"/>
        <v>7920.41</v>
      </c>
      <c r="AS112" s="177">
        <f t="shared" si="991"/>
        <v>7980.67</v>
      </c>
      <c r="AT112" s="177">
        <f t="shared" si="991"/>
        <v>7993.3899999999994</v>
      </c>
      <c r="AU112" s="177">
        <f t="shared" si="991"/>
        <v>7754.91</v>
      </c>
      <c r="AV112" s="177">
        <f t="shared" si="991"/>
        <v>7405.28</v>
      </c>
      <c r="AW112" s="177">
        <f t="shared" si="991"/>
        <v>6963.8899999999994</v>
      </c>
      <c r="AX112" s="177">
        <f t="shared" si="991"/>
        <v>6639.59</v>
      </c>
      <c r="AY112" s="177">
        <f t="shared" si="991"/>
        <v>6702.87</v>
      </c>
      <c r="AZ112" s="177">
        <f t="shared" si="991"/>
        <v>6655.06</v>
      </c>
      <c r="BA112" s="177">
        <f t="shared" si="991"/>
        <v>6696.2699999999995</v>
      </c>
      <c r="BB112" s="177">
        <f t="shared" si="991"/>
        <v>6779.89</v>
      </c>
      <c r="BC112" s="177">
        <f t="shared" si="991"/>
        <v>6748.85</v>
      </c>
      <c r="BD112" s="177">
        <f t="shared" si="991"/>
        <v>6819.35</v>
      </c>
      <c r="BE112" s="177">
        <f t="shared" si="991"/>
        <v>6808.920000000001</v>
      </c>
      <c r="BF112" s="177">
        <f t="shared" si="991"/>
        <v>6815.35</v>
      </c>
      <c r="BG112" s="177">
        <f t="shared" si="991"/>
        <v>6913.52</v>
      </c>
      <c r="BH112" s="177">
        <f t="shared" si="991"/>
        <v>6982.25</v>
      </c>
      <c r="BI112" s="177">
        <f t="shared" si="991"/>
        <v>7164.44</v>
      </c>
      <c r="BJ112" s="177">
        <f t="shared" si="991"/>
        <v>7251.5</v>
      </c>
      <c r="BK112" s="177">
        <f t="shared" si="991"/>
        <v>7841.27</v>
      </c>
      <c r="BL112" s="177">
        <f t="shared" si="991"/>
        <v>8427.4699999999993</v>
      </c>
      <c r="BM112" s="177">
        <f t="shared" si="991"/>
        <v>9007.8499999999985</v>
      </c>
      <c r="BN112" s="177">
        <f t="shared" si="991"/>
        <v>9637.42</v>
      </c>
      <c r="BO112" s="177">
        <f t="shared" si="991"/>
        <v>9958.9700000000012</v>
      </c>
      <c r="BP112" s="177">
        <f t="shared" si="991"/>
        <v>10393.24</v>
      </c>
      <c r="BQ112" s="177">
        <f t="shared" si="991"/>
        <v>10969.84</v>
      </c>
      <c r="BR112" s="177">
        <f t="shared" ref="BR112:CW112" si="992">+SUM(BO22:BR22)</f>
        <v>11602.029999999999</v>
      </c>
      <c r="BS112" s="177">
        <f t="shared" si="992"/>
        <v>11896.579999999998</v>
      </c>
      <c r="BT112" s="177">
        <f t="shared" si="992"/>
        <v>12148.36</v>
      </c>
      <c r="BU112" s="177">
        <f t="shared" si="992"/>
        <v>12287.18</v>
      </c>
      <c r="BV112" s="177">
        <f t="shared" si="992"/>
        <v>12425.369999999999</v>
      </c>
      <c r="BW112" s="177">
        <f t="shared" si="992"/>
        <v>12743.74</v>
      </c>
      <c r="BX112" s="177">
        <f t="shared" si="992"/>
        <v>13073.669999999998</v>
      </c>
      <c r="BY112" s="177">
        <f t="shared" si="992"/>
        <v>13339.84</v>
      </c>
      <c r="BZ112" s="177">
        <f t="shared" si="992"/>
        <v>13783.16</v>
      </c>
      <c r="CA112" s="177">
        <f t="shared" si="992"/>
        <v>14197.54</v>
      </c>
      <c r="CB112" s="177">
        <f t="shared" si="992"/>
        <v>14568.270000000002</v>
      </c>
      <c r="CC112" s="177">
        <f t="shared" si="992"/>
        <v>14897.640000000001</v>
      </c>
      <c r="CD112" s="177">
        <f t="shared" si="992"/>
        <v>15205.85</v>
      </c>
      <c r="CE112" s="177">
        <f t="shared" si="992"/>
        <v>15816.710000000001</v>
      </c>
      <c r="CF112" s="177">
        <f t="shared" si="992"/>
        <v>16297.380000000001</v>
      </c>
      <c r="CG112" s="177">
        <f t="shared" si="992"/>
        <v>16937.02</v>
      </c>
      <c r="CH112" s="177">
        <f t="shared" si="992"/>
        <v>17618.300000000003</v>
      </c>
      <c r="CI112" s="177">
        <f t="shared" si="992"/>
        <v>18045.14</v>
      </c>
      <c r="CJ112" s="177">
        <f t="shared" si="992"/>
        <v>18796.59</v>
      </c>
      <c r="CK112" s="177">
        <f t="shared" si="992"/>
        <v>19465.03</v>
      </c>
      <c r="CL112" s="177">
        <f t="shared" si="992"/>
        <v>20290.43</v>
      </c>
      <c r="CM112" s="178">
        <f t="shared" si="992"/>
        <v>20956.329399384707</v>
      </c>
      <c r="CN112" s="178">
        <f t="shared" si="992"/>
        <v>21704.114988095702</v>
      </c>
      <c r="CO112" s="178">
        <f t="shared" si="992"/>
        <v>22428.507625005077</v>
      </c>
      <c r="CP112" s="178">
        <f t="shared" si="992"/>
        <v>23186.997494016468</v>
      </c>
      <c r="CQ112" s="178">
        <f t="shared" si="992"/>
        <v>23928.358127274296</v>
      </c>
      <c r="CR112" s="178">
        <f t="shared" si="992"/>
        <v>24711.012648617198</v>
      </c>
      <c r="CS112" s="178">
        <f t="shared" si="992"/>
        <v>25484.339364093867</v>
      </c>
      <c r="CT112" s="178">
        <f t="shared" si="992"/>
        <v>26314.2448046668</v>
      </c>
      <c r="CU112" s="178">
        <f t="shared" si="992"/>
        <v>27149.348380444048</v>
      </c>
      <c r="CV112" s="178">
        <f t="shared" si="992"/>
        <v>28033.563119193699</v>
      </c>
      <c r="CW112" s="178">
        <f t="shared" si="992"/>
        <v>28918.982292355737</v>
      </c>
      <c r="CX112" s="178">
        <f t="shared" ref="CX112:DB112" si="993">+SUM(CU22:CX22)</f>
        <v>29886.062004890529</v>
      </c>
      <c r="CY112" s="178">
        <f t="shared" si="993"/>
        <v>30839.712277582301</v>
      </c>
      <c r="CZ112" s="178">
        <f t="shared" si="993"/>
        <v>31854.478224574661</v>
      </c>
      <c r="DA112" s="178">
        <f t="shared" si="993"/>
        <v>32871.825907830818</v>
      </c>
      <c r="DB112" s="178">
        <f t="shared" si="993"/>
        <v>33989.202572652051</v>
      </c>
      <c r="DE112" s="179"/>
      <c r="DF112" s="177">
        <v>20193.436342822391</v>
      </c>
    </row>
    <row r="113" spans="1:110" s="163" customFormat="1" x14ac:dyDescent="0.2">
      <c r="A113" s="163" t="s">
        <v>511</v>
      </c>
      <c r="E113" s="163">
        <f t="shared" ref="E113:AE113" si="994">+E112/E79</f>
        <v>30.816029708973321</v>
      </c>
      <c r="F113" s="163">
        <f t="shared" si="994"/>
        <v>30.733023443815686</v>
      </c>
      <c r="G113" s="163">
        <f t="shared" si="994"/>
        <v>31.391723928860149</v>
      </c>
      <c r="H113" s="163">
        <f t="shared" si="994"/>
        <v>40.671934114793856</v>
      </c>
      <c r="I113" s="163">
        <f t="shared" si="994"/>
        <v>43.549376515763939</v>
      </c>
      <c r="J113" s="163">
        <f t="shared" si="994"/>
        <v>48.988225545675022</v>
      </c>
      <c r="K113" s="163">
        <f t="shared" si="994"/>
        <v>58.437251414713018</v>
      </c>
      <c r="L113" s="163">
        <f t="shared" si="994"/>
        <v>60.66258892481811</v>
      </c>
      <c r="M113" s="163">
        <f t="shared" si="994"/>
        <v>67.09827101859338</v>
      </c>
      <c r="N113" s="163">
        <f t="shared" si="994"/>
        <v>74.282312045270828</v>
      </c>
      <c r="O113" s="163">
        <f t="shared" si="994"/>
        <v>78.189274454324988</v>
      </c>
      <c r="P113" s="163">
        <f t="shared" si="994"/>
        <v>80.77394907033144</v>
      </c>
      <c r="Q113" s="163">
        <f t="shared" si="994"/>
        <v>67.062853678253845</v>
      </c>
      <c r="R113" s="163">
        <f t="shared" si="994"/>
        <v>68.507983023443828</v>
      </c>
      <c r="S113" s="163">
        <f t="shared" si="994"/>
        <v>68.869745351657244</v>
      </c>
      <c r="T113" s="163">
        <f t="shared" si="994"/>
        <v>73.277081649151171</v>
      </c>
      <c r="U113" s="163">
        <f t="shared" si="994"/>
        <v>97.387025060630563</v>
      </c>
      <c r="V113" s="163">
        <f t="shared" si="994"/>
        <v>117.23959175424416</v>
      </c>
      <c r="W113" s="163">
        <f t="shared" si="994"/>
        <v>125.5595189975748</v>
      </c>
      <c r="X113" s="163">
        <f t="shared" si="994"/>
        <v>139.28011317704124</v>
      </c>
      <c r="Y113" s="163">
        <f t="shared" si="994"/>
        <v>153.65652789005659</v>
      </c>
      <c r="Z113" s="163">
        <f t="shared" ref="Z113:AA113" si="995">+Z112/Z79</f>
        <v>178.03455941794664</v>
      </c>
      <c r="AA113" s="163">
        <f t="shared" si="995"/>
        <v>205.03668148746971</v>
      </c>
      <c r="AB113" s="94">
        <f t="shared" si="994"/>
        <v>234.30676529927717</v>
      </c>
      <c r="AC113" s="94">
        <f t="shared" si="994"/>
        <v>265.90789010374698</v>
      </c>
      <c r="AD113" s="94">
        <f t="shared" si="994"/>
        <v>302.00143497262059</v>
      </c>
      <c r="AE113" s="94">
        <f t="shared" si="994"/>
        <v>343.46405186592619</v>
      </c>
      <c r="AL113" s="163">
        <f t="shared" ref="AL113:BQ113" si="996">+AL112/AL79</f>
        <v>74.289843355229905</v>
      </c>
      <c r="AM113" s="163">
        <f t="shared" si="996"/>
        <v>75.182819605861539</v>
      </c>
      <c r="AN113" s="163">
        <f t="shared" si="996"/>
        <v>75.875391611925195</v>
      </c>
      <c r="AO113" s="163">
        <f t="shared" si="996"/>
        <v>77.586457806973215</v>
      </c>
      <c r="AP113" s="163">
        <f t="shared" si="996"/>
        <v>78.197170288024253</v>
      </c>
      <c r="AQ113" s="163">
        <f t="shared" si="996"/>
        <v>79.179484588175839</v>
      </c>
      <c r="AR113" s="163">
        <f t="shared" si="996"/>
        <v>80.044567963617979</v>
      </c>
      <c r="AS113" s="163">
        <f t="shared" si="996"/>
        <v>80.653562405255173</v>
      </c>
      <c r="AT113" s="163">
        <f t="shared" si="996"/>
        <v>80.782112177867603</v>
      </c>
      <c r="AU113" s="163">
        <f t="shared" si="996"/>
        <v>78.372006063668522</v>
      </c>
      <c r="AV113" s="163">
        <f t="shared" si="996"/>
        <v>74.838605356240521</v>
      </c>
      <c r="AW113" s="163">
        <f t="shared" si="996"/>
        <v>70.377867609903987</v>
      </c>
      <c r="AX113" s="163">
        <f t="shared" si="996"/>
        <v>67.100454775138957</v>
      </c>
      <c r="AY113" s="163">
        <f t="shared" si="996"/>
        <v>67.739969681657399</v>
      </c>
      <c r="AZ113" s="163">
        <f t="shared" si="996"/>
        <v>67.256796361798891</v>
      </c>
      <c r="BA113" s="163">
        <f t="shared" si="996"/>
        <v>67.673269327943402</v>
      </c>
      <c r="BB113" s="163">
        <f t="shared" si="996"/>
        <v>68.518342597271356</v>
      </c>
      <c r="BC113" s="163">
        <f t="shared" si="996"/>
        <v>68.204648812531588</v>
      </c>
      <c r="BD113" s="163">
        <f t="shared" si="996"/>
        <v>68.917129863567453</v>
      </c>
      <c r="BE113" s="163">
        <f t="shared" si="996"/>
        <v>68.811723092470956</v>
      </c>
      <c r="BF113" s="163">
        <f t="shared" si="996"/>
        <v>68.876705406771094</v>
      </c>
      <c r="BG113" s="163">
        <f t="shared" si="996"/>
        <v>69.868822637695814</v>
      </c>
      <c r="BH113" s="163">
        <f t="shared" si="996"/>
        <v>70.563415866599286</v>
      </c>
      <c r="BI113" s="163">
        <f t="shared" si="996"/>
        <v>72.404648812531576</v>
      </c>
      <c r="BJ113" s="163">
        <f t="shared" si="996"/>
        <v>73.28448711470439</v>
      </c>
      <c r="BK113" s="163">
        <f t="shared" si="996"/>
        <v>79.244770085901976</v>
      </c>
      <c r="BL113" s="163">
        <f t="shared" si="996"/>
        <v>85.168974229408789</v>
      </c>
      <c r="BM113" s="163">
        <f t="shared" si="996"/>
        <v>91.034360788276885</v>
      </c>
      <c r="BN113" s="163">
        <f t="shared" si="996"/>
        <v>97.396867104598286</v>
      </c>
      <c r="BO113" s="163">
        <f t="shared" si="996"/>
        <v>100.64648812531583</v>
      </c>
      <c r="BP113" s="163">
        <f t="shared" si="996"/>
        <v>105.03527033855482</v>
      </c>
      <c r="BQ113" s="163">
        <f t="shared" si="996"/>
        <v>110.86245578575037</v>
      </c>
      <c r="BR113" s="163">
        <f t="shared" ref="BR113:CW113" si="997">+BR112/BR79</f>
        <v>117.25144012127336</v>
      </c>
      <c r="BS113" s="163">
        <f t="shared" si="997"/>
        <v>120.22819605861544</v>
      </c>
      <c r="BT113" s="163">
        <f t="shared" si="997"/>
        <v>122.77271349166246</v>
      </c>
      <c r="BU113" s="163">
        <f t="shared" si="997"/>
        <v>124.17564426478019</v>
      </c>
      <c r="BV113" s="163">
        <f t="shared" si="997"/>
        <v>125.57220818595249</v>
      </c>
      <c r="BW113" s="163">
        <f t="shared" si="997"/>
        <v>128.78969176351691</v>
      </c>
      <c r="BX113" s="163">
        <f t="shared" si="997"/>
        <v>132.12400202122282</v>
      </c>
      <c r="BY113" s="163">
        <f t="shared" si="997"/>
        <v>134.81394643759475</v>
      </c>
      <c r="BZ113" s="163">
        <f t="shared" si="997"/>
        <v>139.29418898433551</v>
      </c>
      <c r="CA113" s="163">
        <f t="shared" si="997"/>
        <v>143.48196058615463</v>
      </c>
      <c r="CB113" s="163">
        <f t="shared" si="997"/>
        <v>147.22860030318344</v>
      </c>
      <c r="CC113" s="163">
        <f t="shared" si="997"/>
        <v>150.55725113693785</v>
      </c>
      <c r="CD113" s="163">
        <f t="shared" si="997"/>
        <v>153.67205659423951</v>
      </c>
      <c r="CE113" s="163">
        <f t="shared" si="997"/>
        <v>159.8454775138959</v>
      </c>
      <c r="CF113" s="163">
        <f t="shared" si="997"/>
        <v>164.70318342597272</v>
      </c>
      <c r="CG113" s="163">
        <f t="shared" si="997"/>
        <v>171.16745831227894</v>
      </c>
      <c r="CH113" s="163">
        <f t="shared" si="997"/>
        <v>178.05255179383531</v>
      </c>
      <c r="CI113" s="163">
        <f t="shared" si="997"/>
        <v>182.36624557857502</v>
      </c>
      <c r="CJ113" s="163">
        <f t="shared" si="997"/>
        <v>189.96048509348157</v>
      </c>
      <c r="CK113" s="163">
        <f t="shared" ref="CK113:CL113" si="998">+CK112/CK79</f>
        <v>196.71581606872155</v>
      </c>
      <c r="CL113" s="163">
        <f t="shared" si="998"/>
        <v>205.03668148746971</v>
      </c>
      <c r="CM113" s="50">
        <f t="shared" si="997"/>
        <v>211.76565682482527</v>
      </c>
      <c r="CN113" s="50">
        <f t="shared" si="997"/>
        <v>219.32209971802448</v>
      </c>
      <c r="CO113" s="50">
        <f t="shared" si="997"/>
        <v>226.64215465849918</v>
      </c>
      <c r="CP113" s="50">
        <f t="shared" si="997"/>
        <v>234.30676529927717</v>
      </c>
      <c r="CQ113" s="50">
        <f t="shared" si="997"/>
        <v>241.79828342031425</v>
      </c>
      <c r="CR113" s="50">
        <f t="shared" si="997"/>
        <v>249.70708011941389</v>
      </c>
      <c r="CS113" s="50">
        <f t="shared" si="997"/>
        <v>257.52161847305848</v>
      </c>
      <c r="CT113" s="50">
        <f t="shared" si="997"/>
        <v>265.90789010374698</v>
      </c>
      <c r="CU113" s="50">
        <f t="shared" si="997"/>
        <v>274.34668937392934</v>
      </c>
      <c r="CV113" s="50">
        <f t="shared" si="997"/>
        <v>283.28176151165826</v>
      </c>
      <c r="CW113" s="50">
        <f t="shared" si="997"/>
        <v>292.22900457109677</v>
      </c>
      <c r="CX113" s="50">
        <f t="shared" ref="CX113:DB113" si="999">+CX112/CX79</f>
        <v>302.00143497262059</v>
      </c>
      <c r="CY113" s="50">
        <f t="shared" si="999"/>
        <v>311.63815963603781</v>
      </c>
      <c r="CZ113" s="50">
        <f t="shared" si="999"/>
        <v>321.89246386999457</v>
      </c>
      <c r="DA113" s="50">
        <f t="shared" si="999"/>
        <v>332.1728567889129</v>
      </c>
      <c r="DB113" s="50">
        <f t="shared" si="999"/>
        <v>343.46405186592619</v>
      </c>
      <c r="DE113" s="164"/>
      <c r="DF113" s="163">
        <v>204.07717375262649</v>
      </c>
    </row>
    <row r="114" spans="1:110" s="163" customFormat="1" x14ac:dyDescent="0.2">
      <c r="AB114" s="94"/>
      <c r="AC114" s="94"/>
      <c r="AD114" s="94"/>
      <c r="AE114" s="94"/>
      <c r="CM114" s="94"/>
      <c r="CN114" s="94"/>
      <c r="CO114" s="94"/>
      <c r="CP114" s="94"/>
      <c r="CQ114" s="94"/>
      <c r="CR114" s="94"/>
      <c r="CS114" s="94"/>
      <c r="CT114" s="94"/>
      <c r="CU114" s="94"/>
      <c r="CV114" s="94"/>
      <c r="CW114" s="94"/>
      <c r="CX114" s="94"/>
      <c r="CY114" s="94"/>
      <c r="CZ114" s="94"/>
      <c r="DA114" s="94"/>
      <c r="DB114" s="94"/>
      <c r="DE114" s="164"/>
    </row>
    <row r="115" spans="1:110" s="163" customFormat="1" x14ac:dyDescent="0.2">
      <c r="A115" s="163" t="s">
        <v>506</v>
      </c>
      <c r="AB115" s="94"/>
      <c r="AC115" s="94"/>
      <c r="AD115" s="94"/>
      <c r="AE115" s="94"/>
      <c r="CM115" s="94"/>
      <c r="CN115" s="94"/>
      <c r="CO115" s="94"/>
      <c r="CP115" s="94"/>
      <c r="CQ115" s="94"/>
      <c r="CR115" s="94"/>
      <c r="CS115" s="94"/>
      <c r="CT115" s="94"/>
      <c r="CU115" s="94"/>
      <c r="CV115" s="94"/>
      <c r="CW115" s="94"/>
      <c r="CX115" s="94"/>
      <c r="CY115" s="94"/>
      <c r="CZ115" s="94"/>
      <c r="DA115" s="94"/>
      <c r="DB115" s="94"/>
      <c r="DE115" s="164"/>
    </row>
    <row r="116" spans="1:110" s="163" customFormat="1" x14ac:dyDescent="0.2">
      <c r="A116" s="163" t="s">
        <v>507</v>
      </c>
      <c r="E116" s="163">
        <f t="shared" ref="E116:AE118" si="1000">+E91/E$113</f>
        <v>1.0609282188740086</v>
      </c>
      <c r="F116" s="163">
        <f t="shared" si="1000"/>
        <v>1.6855183846645871</v>
      </c>
      <c r="G116" s="163">
        <f t="shared" si="1000"/>
        <v>2.7309530414944492</v>
      </c>
      <c r="H116" s="163">
        <f t="shared" si="1000"/>
        <v>1.4761697013012092</v>
      </c>
      <c r="I116" s="163">
        <f t="shared" si="1000"/>
        <v>1.8696675564547329</v>
      </c>
      <c r="J116" s="163">
        <f t="shared" si="1000"/>
        <v>1.1808130123009446</v>
      </c>
      <c r="K116" s="163">
        <f t="shared" si="1000"/>
        <v>1.6557458953346784</v>
      </c>
      <c r="L116" s="163">
        <f t="shared" si="1000"/>
        <v>1.5915874886458383</v>
      </c>
      <c r="M116" s="163">
        <f t="shared" si="1000"/>
        <v>1.6494350647219722</v>
      </c>
      <c r="N116" s="163">
        <f t="shared" si="1000"/>
        <v>1.7019987951898576</v>
      </c>
      <c r="O116" s="163">
        <f t="shared" si="1000"/>
        <v>1.894235529821948</v>
      </c>
      <c r="P116" s="163">
        <f t="shared" si="1000"/>
        <v>1.8232281544533711</v>
      </c>
      <c r="Q116" s="163">
        <f t="shared" si="1000"/>
        <v>1.7821244641159724</v>
      </c>
      <c r="R116" s="163">
        <f t="shared" si="1000"/>
        <v>2.1662470817048267</v>
      </c>
      <c r="S116" s="163">
        <f t="shared" si="1000"/>
        <v>3.7066599942760665</v>
      </c>
      <c r="T116" s="163">
        <f t="shared" si="1000"/>
        <v>2.7383146720100218</v>
      </c>
      <c r="U116" s="163">
        <f t="shared" si="1000"/>
        <v>2.9899303472681278</v>
      </c>
      <c r="V116" s="163">
        <f t="shared" si="1000"/>
        <v>5.3792446366465922</v>
      </c>
      <c r="W116" s="163">
        <f t="shared" si="1000"/>
        <v>6.1142864157788814</v>
      </c>
      <c r="X116" s="163">
        <f t="shared" si="1000"/>
        <v>5.0354062215940294</v>
      </c>
      <c r="Y116" s="163">
        <f t="shared" si="1000"/>
        <v>7.041357791290265</v>
      </c>
      <c r="Z116" s="163">
        <f>+Z91/Z$113</f>
        <v>5.6267165390531435</v>
      </c>
      <c r="AA116" s="163">
        <f>+AA91/AA$113</f>
        <v>4.9476512819097476</v>
      </c>
      <c r="AB116" s="50">
        <f t="shared" ref="AA116:AE116" si="1001">+AB91/AB$113</f>
        <v>5.3263506856319101</v>
      </c>
      <c r="AC116" s="50">
        <f t="shared" si="1001"/>
        <v>4.69335452781442</v>
      </c>
      <c r="AD116" s="50">
        <f t="shared" si="1001"/>
        <v>4.1324306956128982</v>
      </c>
      <c r="AE116" s="50">
        <f t="shared" si="1001"/>
        <v>3.6335680349079627</v>
      </c>
      <c r="AL116" s="163">
        <f t="shared" ref="AL116:BQ116" si="1002">+AL91/AL113</f>
        <v>1.7018262510048436</v>
      </c>
      <c r="AM116" s="163">
        <f t="shared" si="1002"/>
        <v>1.7630661126617777</v>
      </c>
      <c r="AN116" s="163">
        <f t="shared" si="1002"/>
        <v>1.8706412805867381</v>
      </c>
      <c r="AO116" s="163">
        <f t="shared" si="1002"/>
        <v>2.0407146821389706</v>
      </c>
      <c r="AP116" s="163">
        <f t="shared" si="1002"/>
        <v>1.8940442624311253</v>
      </c>
      <c r="AQ116" s="163">
        <f t="shared" si="1002"/>
        <v>2.1555880093742621</v>
      </c>
      <c r="AR116" s="163">
        <f t="shared" si="1002"/>
        <v>1.9632382468567458</v>
      </c>
      <c r="AS116" s="163">
        <f t="shared" si="1002"/>
        <v>1.8455439378307528</v>
      </c>
      <c r="AT116" s="163">
        <f t="shared" si="1002"/>
        <v>1.8230439155533658</v>
      </c>
      <c r="AU116" s="163">
        <f t="shared" si="1002"/>
        <v>1.6680062501590107</v>
      </c>
      <c r="AV116" s="163">
        <f t="shared" si="1002"/>
        <v>1.6853880217158976</v>
      </c>
      <c r="AW116" s="163">
        <f t="shared" si="1002"/>
        <v>2.0504482053209778</v>
      </c>
      <c r="AX116" s="163">
        <f t="shared" si="1002"/>
        <v>1.781125814630494</v>
      </c>
      <c r="AY116" s="163">
        <f t="shared" si="1002"/>
        <v>1.9079343212123179</v>
      </c>
      <c r="AZ116" s="163">
        <f t="shared" si="1002"/>
        <v>2.0486733701949058</v>
      </c>
      <c r="BA116" s="163">
        <f t="shared" si="1002"/>
        <v>1.781374852809074</v>
      </c>
      <c r="BB116" s="163">
        <f t="shared" si="1002"/>
        <v>2.1659195577788104</v>
      </c>
      <c r="BC116" s="163">
        <f t="shared" si="1002"/>
        <v>2.1802257978393595</v>
      </c>
      <c r="BD116" s="163">
        <f t="shared" si="1002"/>
        <v>2.9473806149652146</v>
      </c>
      <c r="BE116" s="163">
        <f t="shared" si="1002"/>
        <v>4.5293975716168493</v>
      </c>
      <c r="BF116" s="163">
        <f t="shared" si="1002"/>
        <v>3.7062854328376802</v>
      </c>
      <c r="BG116" s="163">
        <f t="shared" si="1002"/>
        <v>3.8091620979176994</v>
      </c>
      <c r="BH116" s="163">
        <f t="shared" si="1002"/>
        <v>3.2642517178732322</v>
      </c>
      <c r="BI116" s="163">
        <f t="shared" si="1002"/>
        <v>2.9929872257699306</v>
      </c>
      <c r="BJ116" s="163">
        <f t="shared" si="1002"/>
        <v>2.7380379627666906</v>
      </c>
      <c r="BK116" s="163">
        <f t="shared" si="1002"/>
        <v>3.361592206130128</v>
      </c>
      <c r="BL116" s="163">
        <f t="shared" si="1002"/>
        <v>3.2014080027219758</v>
      </c>
      <c r="BM116" s="163">
        <f t="shared" si="1002"/>
        <v>3.4833893409177774</v>
      </c>
      <c r="BN116" s="163">
        <f t="shared" si="1002"/>
        <v>2.9896282120268918</v>
      </c>
      <c r="BO116" s="163">
        <f t="shared" si="1002"/>
        <v>3.8033282308865641</v>
      </c>
      <c r="BP116" s="163">
        <f t="shared" si="1002"/>
        <v>4.6995073876010034</v>
      </c>
      <c r="BQ116" s="163">
        <f t="shared" si="1002"/>
        <v>5.2534487467909825</v>
      </c>
      <c r="BR116" s="163">
        <f t="shared" ref="BR116:DB116" si="1003">+BR91/BR113</f>
        <v>5.3787010589751461</v>
      </c>
      <c r="BS116" s="163">
        <f t="shared" si="1003"/>
        <v>6.1927634846988173</v>
      </c>
      <c r="BT116" s="163">
        <f t="shared" si="1003"/>
        <v>6.5451120544403798</v>
      </c>
      <c r="BU116" s="163">
        <f t="shared" si="1003"/>
        <v>5.9131762816700837</v>
      </c>
      <c r="BV116" s="163">
        <f t="shared" si="1003"/>
        <v>6.1136685614523083</v>
      </c>
      <c r="BW116" s="163">
        <f t="shared" si="1003"/>
        <v>5.4240857129007614</v>
      </c>
      <c r="BX116" s="163">
        <f t="shared" si="1003"/>
        <v>6.0059926842623561</v>
      </c>
      <c r="BY116" s="163">
        <f t="shared" si="1003"/>
        <v>5.6205673820963913</v>
      </c>
      <c r="BZ116" s="163">
        <f t="shared" si="1003"/>
        <v>5.0348973891140796</v>
      </c>
      <c r="CA116" s="163">
        <f t="shared" si="1003"/>
        <v>5.9226020425034021</v>
      </c>
      <c r="CB116" s="163">
        <f t="shared" si="1003"/>
        <v>5.8819087494874687</v>
      </c>
      <c r="CC116" s="163">
        <f t="shared" si="1003"/>
        <v>7.12988695817333</v>
      </c>
      <c r="CD116" s="163">
        <f t="shared" si="1003"/>
        <v>7.0406462555393272</v>
      </c>
      <c r="CE116" s="163">
        <f t="shared" si="1003"/>
        <v>6.7795418428709198</v>
      </c>
      <c r="CF116" s="163">
        <f t="shared" si="1003"/>
        <v>7.2654940548726241</v>
      </c>
      <c r="CG116" s="163">
        <f t="shared" si="1003"/>
        <v>5.3418448168568027</v>
      </c>
      <c r="CH116" s="163">
        <f t="shared" si="1003"/>
        <v>5.6261479541158899</v>
      </c>
      <c r="CI116" s="163">
        <f t="shared" si="1003"/>
        <v>6.0274312086245949</v>
      </c>
      <c r="CJ116" s="163">
        <f t="shared" si="1003"/>
        <v>5.9441309567320459</v>
      </c>
      <c r="CK116" s="163">
        <f t="shared" ref="CK116:CL116" si="1004">+CK91/CK113</f>
        <v>6.059502605441657</v>
      </c>
      <c r="CL116" s="163">
        <f t="shared" si="1004"/>
        <v>4.9476512819097476</v>
      </c>
      <c r="CM116" s="50">
        <f t="shared" si="1003"/>
        <v>5.8933068690753689</v>
      </c>
      <c r="CN116" s="50">
        <f t="shared" si="1003"/>
        <v>5.6902610434813194</v>
      </c>
      <c r="CO116" s="50">
        <f t="shared" si="1003"/>
        <v>5.5064778301303514</v>
      </c>
      <c r="CP116" s="50">
        <f t="shared" si="1003"/>
        <v>5.3263506856319101</v>
      </c>
      <c r="CQ116" s="50">
        <f t="shared" si="1003"/>
        <v>5.1613269637262924</v>
      </c>
      <c r="CR116" s="50">
        <f t="shared" si="1003"/>
        <v>4.9978558853965476</v>
      </c>
      <c r="CS116" s="50">
        <f t="shared" si="1003"/>
        <v>4.8461950783000525</v>
      </c>
      <c r="CT116" s="50">
        <f t="shared" si="1003"/>
        <v>4.69335452781442</v>
      </c>
      <c r="CU116" s="50">
        <f t="shared" si="1003"/>
        <v>4.5489887370173427</v>
      </c>
      <c r="CV116" s="50">
        <f t="shared" si="1003"/>
        <v>4.405507764920614</v>
      </c>
      <c r="CW116" s="50">
        <f t="shared" si="1003"/>
        <v>4.2706233141767846</v>
      </c>
      <c r="CX116" s="50">
        <f t="shared" si="1003"/>
        <v>4.1324306956128982</v>
      </c>
      <c r="CY116" s="50">
        <f t="shared" si="1003"/>
        <v>4.0046443653034629</v>
      </c>
      <c r="CZ116" s="50">
        <f t="shared" si="1003"/>
        <v>3.877071196373334</v>
      </c>
      <c r="DA116" s="50">
        <f t="shared" si="1003"/>
        <v>3.7570800096802346</v>
      </c>
      <c r="DB116" s="50">
        <f t="shared" si="1003"/>
        <v>3.6335680349079627</v>
      </c>
      <c r="DE116" s="106"/>
      <c r="DF116" s="163">
        <v>4.9709136075633449</v>
      </c>
    </row>
    <row r="117" spans="1:110" s="163" customFormat="1" x14ac:dyDescent="0.2">
      <c r="A117" s="163" t="s">
        <v>508</v>
      </c>
      <c r="E117" s="163">
        <f t="shared" si="1000"/>
        <v>1.3458723840036133</v>
      </c>
      <c r="F117" s="163">
        <f t="shared" si="1000"/>
        <v>1.8216261234205127</v>
      </c>
      <c r="G117" s="163">
        <f t="shared" si="1000"/>
        <v>3.2943232149832125</v>
      </c>
      <c r="H117" s="163">
        <f t="shared" si="1000"/>
        <v>2.229372025655195</v>
      </c>
      <c r="I117" s="163">
        <f t="shared" si="1000"/>
        <v>2.2998033629466783</v>
      </c>
      <c r="J117" s="163">
        <f t="shared" si="1000"/>
        <v>1.9376100142084982</v>
      </c>
      <c r="K117" s="163">
        <f t="shared" si="1000"/>
        <v>1.8169935049865049</v>
      </c>
      <c r="L117" s="163">
        <f t="shared" si="1000"/>
        <v>2.2575304890101777</v>
      </c>
      <c r="M117" s="163">
        <f t="shared" si="1000"/>
        <v>1.8945318414075716</v>
      </c>
      <c r="N117" s="163">
        <f t="shared" si="1000"/>
        <v>2.4160404772343496</v>
      </c>
      <c r="O117" s="163">
        <f t="shared" si="1000"/>
        <v>2.1500425953697553</v>
      </c>
      <c r="P117" s="163">
        <f t="shared" si="1000"/>
        <v>2.1662298293857458</v>
      </c>
      <c r="Q117" s="163">
        <f t="shared" si="1000"/>
        <v>2.4066044416243715</v>
      </c>
      <c r="R117" s="163">
        <f t="shared" si="1000"/>
        <v>2.272937453782133</v>
      </c>
      <c r="S117" s="163">
        <f t="shared" si="1000"/>
        <v>4.7156115539484142</v>
      </c>
      <c r="T117" s="163">
        <f t="shared" si="1000"/>
        <v>4.0410865797125419</v>
      </c>
      <c r="U117" s="163">
        <f t="shared" si="1000"/>
        <v>4.1375240338128672</v>
      </c>
      <c r="V117" s="163">
        <f t="shared" si="1000"/>
        <v>5.5001407377208009</v>
      </c>
      <c r="W117" s="163">
        <f t="shared" si="1000"/>
        <v>6.9933748776164979</v>
      </c>
      <c r="X117" s="163">
        <f t="shared" si="1000"/>
        <v>6.1083686345609642</v>
      </c>
      <c r="Y117" s="163">
        <f t="shared" si="1000"/>
        <v>8.1611355229341971</v>
      </c>
      <c r="Z117" s="163">
        <f t="shared" ref="Z117:AA118" si="1005">+Z92/Z$113</f>
        <v>7.0064711891698455</v>
      </c>
      <c r="AA117" s="163">
        <f t="shared" si="1005"/>
        <v>5.9535688499455155</v>
      </c>
      <c r="AB117" s="94">
        <f t="shared" si="1000"/>
        <v>7.0728123079214278</v>
      </c>
      <c r="AC117" s="94">
        <f t="shared" si="1000"/>
        <v>7.4940616709394492</v>
      </c>
      <c r="AD117" s="94">
        <f t="shared" si="1000"/>
        <v>7.93834926201448</v>
      </c>
      <c r="AE117" s="94">
        <f t="shared" si="1000"/>
        <v>8.3413524469954154</v>
      </c>
      <c r="AL117" s="163">
        <f t="shared" ref="AL117:BQ117" si="1006">+AL92/AL113</f>
        <v>2.2456129202712294</v>
      </c>
      <c r="AM117" s="163">
        <f t="shared" si="1006"/>
        <v>2.01465118015413</v>
      </c>
      <c r="AN117" s="163">
        <f t="shared" si="1006"/>
        <v>2.1349002784706008</v>
      </c>
      <c r="AO117" s="163">
        <f t="shared" si="1006"/>
        <v>2.1667475913914682</v>
      </c>
      <c r="AP117" s="163">
        <f t="shared" si="1006"/>
        <v>2.0544601486123555</v>
      </c>
      <c r="AQ117" s="163">
        <f t="shared" si="1006"/>
        <v>2.2098519436380197</v>
      </c>
      <c r="AR117" s="163">
        <f t="shared" si="1006"/>
        <v>2.1828840092329282</v>
      </c>
      <c r="AS117" s="163">
        <f t="shared" si="1006"/>
        <v>2.0329150211008988</v>
      </c>
      <c r="AT117" s="163">
        <f t="shared" si="1006"/>
        <v>2.0504658929463435</v>
      </c>
      <c r="AU117" s="163">
        <f t="shared" si="1006"/>
        <v>2.0593292125121381</v>
      </c>
      <c r="AV117" s="163">
        <f t="shared" si="1006"/>
        <v>1.9407698401982925</v>
      </c>
      <c r="AW117" s="163">
        <f t="shared" si="1006"/>
        <v>2.0757104008690823</v>
      </c>
      <c r="AX117" s="163">
        <f t="shared" si="1006"/>
        <v>2.2050631986086651</v>
      </c>
      <c r="AY117" s="163">
        <f t="shared" si="1006"/>
        <v>1.9174120232282643</v>
      </c>
      <c r="AZ117" s="163">
        <f t="shared" si="1006"/>
        <v>2.1867201779356402</v>
      </c>
      <c r="BA117" s="163">
        <f t="shared" si="1006"/>
        <v>2.3009729254023048</v>
      </c>
      <c r="BB117" s="163">
        <f t="shared" si="1006"/>
        <v>2.2185359064369954</v>
      </c>
      <c r="BC117" s="163">
        <f t="shared" si="1006"/>
        <v>2.3576270998887274</v>
      </c>
      <c r="BD117" s="163">
        <f t="shared" si="1006"/>
        <v>3.1566281568008101</v>
      </c>
      <c r="BE117" s="163">
        <f t="shared" si="1006"/>
        <v>4.543033850156017</v>
      </c>
      <c r="BF117" s="163">
        <f t="shared" si="1006"/>
        <v>4.7151350370169327</v>
      </c>
      <c r="BG117" s="163">
        <f t="shared" si="1006"/>
        <v>4.2382141286165327</v>
      </c>
      <c r="BH117" s="163">
        <f t="shared" si="1006"/>
        <v>3.9851306349850364</v>
      </c>
      <c r="BI117" s="163">
        <f t="shared" si="1006"/>
        <v>3.2808269270632118</v>
      </c>
      <c r="BJ117" s="163">
        <f t="shared" si="1006"/>
        <v>2.9698580610171734</v>
      </c>
      <c r="BK117" s="163">
        <f t="shared" si="1006"/>
        <v>3.4588128928480093</v>
      </c>
      <c r="BL117" s="163">
        <f t="shared" si="1006"/>
        <v>3.3353557021656863</v>
      </c>
      <c r="BM117" s="163">
        <f t="shared" si="1006"/>
        <v>3.5804967528511673</v>
      </c>
      <c r="BN117" s="163">
        <f t="shared" si="1006"/>
        <v>4.1371059331627249</v>
      </c>
      <c r="BO117" s="163">
        <f t="shared" si="1006"/>
        <v>3.8764408494392733</v>
      </c>
      <c r="BP117" s="163">
        <f t="shared" si="1006"/>
        <v>5.5646493178847365</v>
      </c>
      <c r="BQ117" s="163">
        <f t="shared" si="1006"/>
        <v>5.496230868982205</v>
      </c>
      <c r="BR117" s="163">
        <f t="shared" ref="BR117:CJ117" si="1007">+BR92/BR113</f>
        <v>5.4995849433859485</v>
      </c>
      <c r="BS117" s="163">
        <f t="shared" si="1007"/>
        <v>6.3414621037928027</v>
      </c>
      <c r="BT117" s="163">
        <f t="shared" si="1007"/>
        <v>7.1521167923268392</v>
      </c>
      <c r="BU117" s="163">
        <f t="shared" si="1007"/>
        <v>6.8605253469739758</v>
      </c>
      <c r="BV117" s="163">
        <f t="shared" si="1007"/>
        <v>6.1549638460423672</v>
      </c>
      <c r="BW117" s="163">
        <f t="shared" si="1007"/>
        <v>6.4157213193738167</v>
      </c>
      <c r="BX117" s="163">
        <f t="shared" si="1007"/>
        <v>6.4392106031732359</v>
      </c>
      <c r="BY117" s="163">
        <f t="shared" si="1007"/>
        <v>6.0224289748852664</v>
      </c>
      <c r="BZ117" s="163">
        <f t="shared" si="1007"/>
        <v>5.5365789471449496</v>
      </c>
      <c r="CA117" s="163">
        <f t="shared" si="1007"/>
        <v>6.0372197260132268</v>
      </c>
      <c r="CB117" s="163">
        <f t="shared" si="1007"/>
        <v>6.1036333963885916</v>
      </c>
      <c r="CC117" s="163">
        <f t="shared" si="1007"/>
        <v>7.1771221312491962</v>
      </c>
      <c r="CD117" s="163">
        <f t="shared" si="1007"/>
        <v>8.1603108326024536</v>
      </c>
      <c r="CE117" s="163">
        <f t="shared" si="1007"/>
        <v>7.291491021818044</v>
      </c>
      <c r="CF117" s="163">
        <f t="shared" si="1007"/>
        <v>7.573587743062915</v>
      </c>
      <c r="CG117" s="163">
        <f t="shared" si="1007"/>
        <v>7.0431027713257697</v>
      </c>
      <c r="CH117" s="163">
        <f t="shared" si="1007"/>
        <v>6.0364200859333748</v>
      </c>
      <c r="CI117" s="163">
        <f t="shared" si="1007"/>
        <v>6.4704956570023846</v>
      </c>
      <c r="CJ117" s="163">
        <f t="shared" si="1007"/>
        <v>6.038097867751544</v>
      </c>
      <c r="CK117" s="163">
        <f t="shared" ref="CK117:CL117" si="1008">+CK92/CK113</f>
        <v>6.1141499653481146</v>
      </c>
      <c r="CL117" s="163">
        <f t="shared" si="1008"/>
        <v>5.9535688499455155</v>
      </c>
      <c r="CM117" s="94">
        <f t="shared" ref="CM117:DB117" si="1009">+CL117</f>
        <v>5.9535688499455155</v>
      </c>
      <c r="CN117" s="94">
        <f t="shared" si="1009"/>
        <v>5.9535688499455155</v>
      </c>
      <c r="CO117" s="94">
        <f t="shared" si="1009"/>
        <v>5.9535688499455155</v>
      </c>
      <c r="CP117" s="94">
        <f t="shared" si="1009"/>
        <v>5.9535688499455155</v>
      </c>
      <c r="CQ117" s="94">
        <f t="shared" si="1009"/>
        <v>5.9535688499455155</v>
      </c>
      <c r="CR117" s="94">
        <f t="shared" si="1009"/>
        <v>5.9535688499455155</v>
      </c>
      <c r="CS117" s="94">
        <f t="shared" si="1009"/>
        <v>5.9535688499455155</v>
      </c>
      <c r="CT117" s="94">
        <f t="shared" si="1009"/>
        <v>5.9535688499455155</v>
      </c>
      <c r="CU117" s="94">
        <f t="shared" si="1009"/>
        <v>5.9535688499455155</v>
      </c>
      <c r="CV117" s="94">
        <f t="shared" si="1009"/>
        <v>5.9535688499455155</v>
      </c>
      <c r="CW117" s="94">
        <f t="shared" si="1009"/>
        <v>5.9535688499455155</v>
      </c>
      <c r="CX117" s="94">
        <f t="shared" si="1009"/>
        <v>5.9535688499455155</v>
      </c>
      <c r="CY117" s="94">
        <f t="shared" si="1009"/>
        <v>5.9535688499455155</v>
      </c>
      <c r="CZ117" s="94">
        <f t="shared" si="1009"/>
        <v>5.9535688499455155</v>
      </c>
      <c r="DA117" s="94">
        <f t="shared" si="1009"/>
        <v>5.9535688499455155</v>
      </c>
      <c r="DB117" s="94">
        <f t="shared" si="1009"/>
        <v>5.9535688499455155</v>
      </c>
      <c r="DE117" s="164"/>
      <c r="DF117" s="163">
        <v>5.9815606887994228</v>
      </c>
    </row>
    <row r="118" spans="1:110" s="163" customFormat="1" x14ac:dyDescent="0.2">
      <c r="A118" s="163" t="s">
        <v>509</v>
      </c>
      <c r="E118" s="163">
        <f t="shared" si="1000"/>
        <v>0.6057868077558537</v>
      </c>
      <c r="F118" s="163">
        <f t="shared" si="1000"/>
        <v>0.9159552667163815</v>
      </c>
      <c r="G118" s="163">
        <f t="shared" si="1000"/>
        <v>1.5732202554838675</v>
      </c>
      <c r="H118" s="163">
        <f t="shared" si="1000"/>
        <v>1.3557156136405384</v>
      </c>
      <c r="I118" s="163">
        <f t="shared" si="1000"/>
        <v>1.3293044881884135</v>
      </c>
      <c r="J118" s="163">
        <f t="shared" si="1000"/>
        <v>0.86698470979152442</v>
      </c>
      <c r="K118" s="163">
        <f t="shared" si="1000"/>
        <v>0.97230280348231246</v>
      </c>
      <c r="L118" s="163">
        <f t="shared" si="1000"/>
        <v>1.3864314543037659</v>
      </c>
      <c r="M118" s="163">
        <f t="shared" si="1000"/>
        <v>1.1776421702611137</v>
      </c>
      <c r="N118" s="163">
        <f t="shared" si="1000"/>
        <v>1.3296865587420716</v>
      </c>
      <c r="O118" s="163">
        <f t="shared" si="1000"/>
        <v>1.5916884078530538</v>
      </c>
      <c r="P118" s="163">
        <f t="shared" si="1000"/>
        <v>1.6801579371018998</v>
      </c>
      <c r="Q118" s="163">
        <f t="shared" si="1000"/>
        <v>1.4743029657686668</v>
      </c>
      <c r="R118" s="163">
        <f t="shared" si="1000"/>
        <v>1.650817243628637</v>
      </c>
      <c r="S118" s="163">
        <f t="shared" si="1000"/>
        <v>2.0150347424870882</v>
      </c>
      <c r="T118" s="163">
        <f t="shared" si="1000"/>
        <v>2.3925712738458227</v>
      </c>
      <c r="U118" s="163">
        <f t="shared" si="1000"/>
        <v>1.9777354739392317</v>
      </c>
      <c r="V118" s="163">
        <f t="shared" si="1000"/>
        <v>2.2241512671491055</v>
      </c>
      <c r="W118" s="163">
        <f t="shared" si="1000"/>
        <v>4.8320365788255737</v>
      </c>
      <c r="X118" s="163">
        <f t="shared" si="1000"/>
        <v>4.8577610897710137</v>
      </c>
      <c r="Y118" s="163">
        <f t="shared" si="1000"/>
        <v>4.4771824919058547</v>
      </c>
      <c r="Z118" s="163">
        <f t="shared" si="1005"/>
        <v>4.9653280963543587</v>
      </c>
      <c r="AA118" s="163">
        <f t="shared" si="1005"/>
        <v>4.8240148680929869</v>
      </c>
      <c r="AB118" s="94">
        <f t="shared" si="1000"/>
        <v>4.6675343277052042</v>
      </c>
      <c r="AC118" s="94">
        <f t="shared" si="1000"/>
        <v>5.4487107761242859</v>
      </c>
      <c r="AD118" s="94">
        <f t="shared" si="1000"/>
        <v>5.7314237787419788</v>
      </c>
      <c r="AE118" s="94">
        <f t="shared" si="1000"/>
        <v>6.0445527891120419</v>
      </c>
      <c r="AL118" s="163">
        <f t="shared" ref="AL118:BQ118" si="1010">+AL93/AL113</f>
        <v>1.6220531454889899</v>
      </c>
      <c r="AM118" s="163">
        <f t="shared" si="1010"/>
        <v>1.6553377808896006</v>
      </c>
      <c r="AN118" s="163">
        <f t="shared" si="1010"/>
        <v>1.7085711070077161</v>
      </c>
      <c r="AO118" s="163">
        <f t="shared" si="1010"/>
        <v>1.7950141620810658</v>
      </c>
      <c r="AP118" s="163">
        <f t="shared" si="1010"/>
        <v>1.7102607077904282</v>
      </c>
      <c r="AQ118" s="163">
        <f t="shared" si="1010"/>
        <v>1.7738692993809095</v>
      </c>
      <c r="AR118" s="163">
        <f t="shared" si="1010"/>
        <v>1.8318209789181992</v>
      </c>
      <c r="AS118" s="163">
        <f t="shared" si="1010"/>
        <v>1.6826658066220681</v>
      </c>
      <c r="AT118" s="163">
        <f t="shared" si="1010"/>
        <v>1.7447911921493358</v>
      </c>
      <c r="AU118" s="163">
        <f t="shared" si="1010"/>
        <v>1.5886073882322818</v>
      </c>
      <c r="AV118" s="163">
        <f t="shared" si="1010"/>
        <v>1.4366052166309757</v>
      </c>
      <c r="AW118" s="163">
        <f t="shared" si="1010"/>
        <v>1.7283552120826746</v>
      </c>
      <c r="AX118" s="163">
        <f t="shared" si="1010"/>
        <v>1.4734768102852258</v>
      </c>
      <c r="AY118" s="163">
        <f t="shared" si="1010"/>
        <v>1.6833856888342493</v>
      </c>
      <c r="AZ118" s="163">
        <f t="shared" si="1010"/>
        <v>1.8930035657213051</v>
      </c>
      <c r="BA118" s="163">
        <f t="shared" si="1010"/>
        <v>1.6711791941551812</v>
      </c>
      <c r="BB118" s="163">
        <f t="shared" si="1010"/>
        <v>1.7514757156081466</v>
      </c>
      <c r="BC118" s="163">
        <f t="shared" si="1010"/>
        <v>2.0346843214641721</v>
      </c>
      <c r="BD118" s="163">
        <f t="shared" si="1010"/>
        <v>2.1440707026442776</v>
      </c>
      <c r="BE118" s="163">
        <f t="shared" si="1010"/>
        <v>2.9052450277143067</v>
      </c>
      <c r="BF118" s="163">
        <f t="shared" si="1010"/>
        <v>3.5843917351045764</v>
      </c>
      <c r="BG118" s="163">
        <f t="shared" si="1010"/>
        <v>3.3603185402673446</v>
      </c>
      <c r="BH118" s="163">
        <f t="shared" si="1010"/>
        <v>2.977999798359908</v>
      </c>
      <c r="BI118" s="163">
        <f t="shared" si="1010"/>
        <v>2.6601299408620624</v>
      </c>
      <c r="BJ118" s="163">
        <f t="shared" si="1010"/>
        <v>2.3923295022943027</v>
      </c>
      <c r="BK118" s="163">
        <f t="shared" si="1010"/>
        <v>2.4305171679472575</v>
      </c>
      <c r="BL118" s="163">
        <f t="shared" si="1010"/>
        <v>2.8482731587339787</v>
      </c>
      <c r="BM118" s="163">
        <f t="shared" si="1010"/>
        <v>2.8497499155647277</v>
      </c>
      <c r="BN118" s="163">
        <f t="shared" si="1010"/>
        <v>2.1702185799652454</v>
      </c>
      <c r="BO118" s="163">
        <f t="shared" si="1010"/>
        <v>2.5908364158277752</v>
      </c>
      <c r="BP118" s="163">
        <f t="shared" si="1010"/>
        <v>3.5832862232023315</v>
      </c>
      <c r="BQ118" s="163">
        <f t="shared" si="1010"/>
        <v>4.0894309756246248</v>
      </c>
      <c r="BR118" s="163">
        <f t="shared" ref="BR118:CJ118" si="1011">+BR93/BR113</f>
        <v>4.6715092752618164</v>
      </c>
      <c r="BS118" s="163">
        <f t="shared" si="1011"/>
        <v>5.0463053468774879</v>
      </c>
      <c r="BT118" s="163">
        <f t="shared" si="1011"/>
        <v>5.9501750051798998</v>
      </c>
      <c r="BU118" s="163">
        <f t="shared" si="1011"/>
        <v>5.5425090571263347</v>
      </c>
      <c r="BV118" s="163">
        <f t="shared" si="1011"/>
        <v>5.1186488470441764</v>
      </c>
      <c r="BW118" s="163">
        <f t="shared" si="1011"/>
        <v>5.3539119634867722</v>
      </c>
      <c r="BX118" s="163">
        <f t="shared" si="1011"/>
        <v>5.2180518964589577</v>
      </c>
      <c r="BY118" s="163">
        <f t="shared" si="1011"/>
        <v>5.4150574882453801</v>
      </c>
      <c r="BZ118" s="163">
        <f t="shared" si="1011"/>
        <v>4.8572702084967858</v>
      </c>
      <c r="CA118" s="163">
        <f t="shared" si="1011"/>
        <v>4.7946676615372992</v>
      </c>
      <c r="CB118" s="163">
        <f t="shared" si="1011"/>
        <v>5.5152748023423444</v>
      </c>
      <c r="CC118" s="163">
        <f t="shared" si="1011"/>
        <v>5.6091768027587285</v>
      </c>
      <c r="CD118" s="163">
        <f t="shared" si="1011"/>
        <v>6.9162747884545537</v>
      </c>
      <c r="CE118" s="163">
        <f t="shared" si="1011"/>
        <v>6.3646065698920262</v>
      </c>
      <c r="CF118" s="163">
        <f t="shared" si="1011"/>
        <v>6.4737413640323069</v>
      </c>
      <c r="CG118" s="163">
        <f t="shared" si="1011"/>
        <v>5.16453307606651</v>
      </c>
      <c r="CH118" s="163">
        <f t="shared" si="1011"/>
        <v>5.1024261705158827</v>
      </c>
      <c r="CI118" s="163">
        <f t="shared" si="1011"/>
        <v>5.4237010630008973</v>
      </c>
      <c r="CJ118" s="163">
        <f t="shared" si="1011"/>
        <v>5.4661368099213732</v>
      </c>
      <c r="CK118" s="163">
        <f t="shared" ref="CK118:CL118" si="1012">+CK93/CK113</f>
        <v>5.6177485983838711</v>
      </c>
      <c r="CL118" s="163">
        <f t="shared" si="1012"/>
        <v>4.9308250244080583</v>
      </c>
      <c r="CM118" s="94">
        <f t="shared" ref="CM118:DB118" si="1013">+CL118</f>
        <v>4.9308250244080583</v>
      </c>
      <c r="CN118" s="94">
        <f t="shared" si="1013"/>
        <v>4.9308250244080583</v>
      </c>
      <c r="CO118" s="94">
        <f t="shared" si="1013"/>
        <v>4.9308250244080583</v>
      </c>
      <c r="CP118" s="94">
        <f t="shared" si="1013"/>
        <v>4.9308250244080583</v>
      </c>
      <c r="CQ118" s="94">
        <f t="shared" si="1013"/>
        <v>4.9308250244080583</v>
      </c>
      <c r="CR118" s="94">
        <f t="shared" si="1013"/>
        <v>4.9308250244080583</v>
      </c>
      <c r="CS118" s="94">
        <f t="shared" si="1013"/>
        <v>4.9308250244080583</v>
      </c>
      <c r="CT118" s="94">
        <f t="shared" si="1013"/>
        <v>4.9308250244080583</v>
      </c>
      <c r="CU118" s="94">
        <f t="shared" si="1013"/>
        <v>4.9308250244080583</v>
      </c>
      <c r="CV118" s="94">
        <f t="shared" si="1013"/>
        <v>4.9308250244080583</v>
      </c>
      <c r="CW118" s="94">
        <f t="shared" si="1013"/>
        <v>4.9308250244080583</v>
      </c>
      <c r="CX118" s="94">
        <f t="shared" si="1013"/>
        <v>4.9308250244080583</v>
      </c>
      <c r="CY118" s="94">
        <f t="shared" si="1013"/>
        <v>4.9308250244080583</v>
      </c>
      <c r="CZ118" s="94">
        <f t="shared" si="1013"/>
        <v>4.9308250244080583</v>
      </c>
      <c r="DA118" s="94">
        <f t="shared" si="1013"/>
        <v>4.9308250244080583</v>
      </c>
      <c r="DB118" s="94">
        <f t="shared" si="1013"/>
        <v>4.9308250244080583</v>
      </c>
      <c r="DE118" s="164"/>
      <c r="DF118" s="163">
        <v>4.9540082382044863</v>
      </c>
    </row>
    <row r="119" spans="1:110" s="4" customFormat="1" x14ac:dyDescent="0.2">
      <c r="A119" s="3"/>
      <c r="AB119" s="17"/>
      <c r="AC119" s="17"/>
      <c r="AD119" s="17"/>
      <c r="AE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E119" s="119"/>
    </row>
    <row r="120" spans="1:110" s="4" customFormat="1" x14ac:dyDescent="0.2">
      <c r="A120" s="3"/>
      <c r="AB120" s="17"/>
      <c r="AC120" s="17"/>
      <c r="AD120" s="17"/>
      <c r="AE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E120" s="119"/>
    </row>
    <row r="121" spans="1:110" s="162" customFormat="1" x14ac:dyDescent="0.2">
      <c r="A121" s="49" t="s">
        <v>340</v>
      </c>
      <c r="B121" s="162">
        <f t="shared" ref="B121:AE121" si="1014">+B92*B79</f>
        <v>227.67147275867154</v>
      </c>
      <c r="C121" s="162">
        <f t="shared" si="1014"/>
        <v>137.71347620524531</v>
      </c>
      <c r="D121" s="162">
        <f t="shared" si="1014"/>
        <v>120.72141018959789</v>
      </c>
      <c r="E121" s="162">
        <f t="shared" si="1014"/>
        <v>4104.3109158894704</v>
      </c>
      <c r="F121" s="162">
        <f t="shared" si="1014"/>
        <v>5540.1843942037422</v>
      </c>
      <c r="G121" s="162">
        <f t="shared" si="1014"/>
        <v>10233.897425425725</v>
      </c>
      <c r="H121" s="162">
        <f t="shared" si="1014"/>
        <v>8972.9874274506546</v>
      </c>
      <c r="I121" s="162">
        <f t="shared" si="1014"/>
        <v>9911.3390538507065</v>
      </c>
      <c r="J121" s="162">
        <f t="shared" si="1014"/>
        <v>9393.290760109021</v>
      </c>
      <c r="K121" s="162">
        <f t="shared" si="1014"/>
        <v>10507.583316459109</v>
      </c>
      <c r="L121" s="162">
        <f t="shared" si="1014"/>
        <v>13552.338854205129</v>
      </c>
      <c r="M121" s="162">
        <f t="shared" si="1014"/>
        <v>12579.776491425955</v>
      </c>
      <c r="N121" s="162">
        <f t="shared" si="1014"/>
        <v>17760.259428843015</v>
      </c>
      <c r="O121" s="162">
        <f t="shared" si="1014"/>
        <v>16636.19237638453</v>
      </c>
      <c r="P121" s="162">
        <f t="shared" si="1014"/>
        <v>17315.519855913724</v>
      </c>
      <c r="Q121" s="162">
        <f t="shared" si="1014"/>
        <v>15971.526641017806</v>
      </c>
      <c r="R121" s="162">
        <f t="shared" si="1014"/>
        <v>15409.49311478866</v>
      </c>
      <c r="S121" s="162">
        <f t="shared" si="1014"/>
        <v>32138.543204202328</v>
      </c>
      <c r="T121" s="162">
        <f t="shared" si="1014"/>
        <v>29303.9393327855</v>
      </c>
      <c r="U121" s="162">
        <f t="shared" si="1014"/>
        <v>39875.056873948801</v>
      </c>
      <c r="V121" s="162">
        <f t="shared" si="1014"/>
        <v>63812.797843258879</v>
      </c>
      <c r="W121" s="162">
        <f t="shared" si="1014"/>
        <v>86895.270403089715</v>
      </c>
      <c r="X121" s="162">
        <f t="shared" si="1014"/>
        <v>84192.622229135304</v>
      </c>
      <c r="Y121" s="162">
        <f t="shared" si="1014"/>
        <v>124097.00259140895</v>
      </c>
      <c r="Z121" s="162">
        <f t="shared" si="1014"/>
        <v>123442.11135215107</v>
      </c>
      <c r="AA121" s="162">
        <f t="shared" ref="AA121" si="1015">+AA92*AA79</f>
        <v>120800.47199999999</v>
      </c>
      <c r="AB121" s="21">
        <f t="shared" si="1014"/>
        <v>163997.28125942298</v>
      </c>
      <c r="AC121" s="21">
        <f t="shared" si="1014"/>
        <v>197200.57339037099</v>
      </c>
      <c r="AD121" s="21">
        <f t="shared" si="1014"/>
        <v>237245.99826104174</v>
      </c>
      <c r="AE121" s="21">
        <f t="shared" si="1014"/>
        <v>283515.91805081407</v>
      </c>
      <c r="AL121" s="162">
        <f t="shared" ref="AL121:BQ121" si="1016">+AL92*AL79</f>
        <v>16507.455664655397</v>
      </c>
      <c r="AM121" s="162">
        <f t="shared" si="1016"/>
        <v>14987.675110567825</v>
      </c>
      <c r="AN121" s="162">
        <f t="shared" si="1016"/>
        <v>16028.553753721068</v>
      </c>
      <c r="AO121" s="162">
        <f t="shared" si="1016"/>
        <v>16634.511273678752</v>
      </c>
      <c r="AP121" s="162">
        <f t="shared" si="1016"/>
        <v>15896.611390504449</v>
      </c>
      <c r="AQ121" s="162">
        <f t="shared" si="1016"/>
        <v>17313.770106534594</v>
      </c>
      <c r="AR121" s="162">
        <f t="shared" si="1016"/>
        <v>17289.336335568572</v>
      </c>
      <c r="AS121" s="162">
        <f t="shared" si="1016"/>
        <v>16224.02392144931</v>
      </c>
      <c r="AT121" s="162">
        <f t="shared" si="1016"/>
        <v>16390.173564018372</v>
      </c>
      <c r="AU121" s="162">
        <f t="shared" si="1016"/>
        <v>15969.912703402506</v>
      </c>
      <c r="AV121" s="162">
        <f t="shared" si="1016"/>
        <v>14371.94408222361</v>
      </c>
      <c r="AW121" s="162">
        <f t="shared" si="1016"/>
        <v>14455.018903508193</v>
      </c>
      <c r="AX121" s="162">
        <f t="shared" si="1016"/>
        <v>14640.715562850108</v>
      </c>
      <c r="AY121" s="162">
        <f t="shared" si="1016"/>
        <v>12852.163528136036</v>
      </c>
      <c r="AZ121" s="162">
        <f t="shared" si="1016"/>
        <v>14552.753987372364</v>
      </c>
      <c r="BA121" s="162">
        <f t="shared" si="1016"/>
        <v>15407.935971183691</v>
      </c>
      <c r="BB121" s="162">
        <f t="shared" si="1016"/>
        <v>15041.429406693122</v>
      </c>
      <c r="BC121" s="162">
        <f t="shared" si="1016"/>
        <v>15911.271653084041</v>
      </c>
      <c r="BD121" s="162">
        <f t="shared" si="1016"/>
        <v>21526.152221079607</v>
      </c>
      <c r="BE121" s="162">
        <f t="shared" si="1016"/>
        <v>30933.154043004313</v>
      </c>
      <c r="BF121" s="162">
        <f t="shared" si="1016"/>
        <v>32135.295574533353</v>
      </c>
      <c r="BG121" s="162">
        <f t="shared" si="1016"/>
        <v>29300.978142472974</v>
      </c>
      <c r="BH121" s="162">
        <f t="shared" si="1016"/>
        <v>27825.17837612427</v>
      </c>
      <c r="BI121" s="162">
        <f t="shared" si="1016"/>
        <v>23505.287669328758</v>
      </c>
      <c r="BJ121" s="162">
        <f t="shared" si="1016"/>
        <v>21535.925729466031</v>
      </c>
      <c r="BK121" s="162">
        <f t="shared" si="1016"/>
        <v>27121.485772302312</v>
      </c>
      <c r="BL121" s="162">
        <f t="shared" si="1016"/>
        <v>28108.610119330257</v>
      </c>
      <c r="BM121" s="162">
        <f t="shared" si="1016"/>
        <v>32252.577675170382</v>
      </c>
      <c r="BN121" s="162">
        <f t="shared" si="1016"/>
        <v>39871.027462381106</v>
      </c>
      <c r="BO121" s="162">
        <f t="shared" si="1016"/>
        <v>38605.358126340245</v>
      </c>
      <c r="BP121" s="162">
        <f t="shared" si="1016"/>
        <v>57834.735876612358</v>
      </c>
      <c r="BQ121" s="162">
        <f t="shared" si="1016"/>
        <v>60292.77323579575</v>
      </c>
      <c r="BR121" s="162">
        <f t="shared" ref="BR121:CJ121" si="1017">+BR92*BR79</f>
        <v>63806.349500712065</v>
      </c>
      <c r="BS121" s="162">
        <f t="shared" si="1017"/>
        <v>75441.71123473937</v>
      </c>
      <c r="BT121" s="162">
        <f t="shared" si="1017"/>
        <v>86886.489555231688</v>
      </c>
      <c r="BU121" s="162">
        <f t="shared" si="1017"/>
        <v>84296.509832831696</v>
      </c>
      <c r="BV121" s="162">
        <f t="shared" si="1017"/>
        <v>76477.703123699452</v>
      </c>
      <c r="BW121" s="162">
        <f t="shared" si="1017"/>
        <v>81760.284406556879</v>
      </c>
      <c r="BX121" s="162">
        <f t="shared" si="1017"/>
        <v>84184.114486387829</v>
      </c>
      <c r="BY121" s="162">
        <f t="shared" si="1017"/>
        <v>80338.238936333481</v>
      </c>
      <c r="BZ121" s="162">
        <f t="shared" si="1017"/>
        <v>76311.553481130381</v>
      </c>
      <c r="CA121" s="162">
        <f t="shared" si="1017"/>
        <v>85713.668548861824</v>
      </c>
      <c r="CB121" s="162">
        <f t="shared" si="1017"/>
        <v>88919.379299606037</v>
      </c>
      <c r="CC121" s="162">
        <f t="shared" si="1017"/>
        <v>106922.18174738329</v>
      </c>
      <c r="CD121" s="162">
        <f t="shared" si="1017"/>
        <v>124084.46247392801</v>
      </c>
      <c r="CE121" s="162">
        <f t="shared" si="1017"/>
        <v>115327.39895969967</v>
      </c>
      <c r="CF121" s="162">
        <f t="shared" si="1017"/>
        <v>123429.63741203869</v>
      </c>
      <c r="CG121" s="162">
        <f t="shared" si="1017"/>
        <v>119289.1725</v>
      </c>
      <c r="CH121" s="162">
        <f t="shared" si="1017"/>
        <v>106351.45999999999</v>
      </c>
      <c r="CI121" s="162">
        <f t="shared" si="1017"/>
        <v>116761</v>
      </c>
      <c r="CJ121" s="162">
        <f t="shared" si="1017"/>
        <v>113495.65000000001</v>
      </c>
      <c r="CK121" s="162">
        <f t="shared" ref="CK121:CL121" si="1018">+CK92*CK79</f>
        <v>119012.1125</v>
      </c>
      <c r="CL121" s="162">
        <f t="shared" si="1018"/>
        <v>120800.47199999999</v>
      </c>
      <c r="CM121" s="21">
        <f t="shared" ref="CM121:DB121" si="1019">+CM92*CM79</f>
        <v>130674.19240515353</v>
      </c>
      <c r="CN121" s="21">
        <f t="shared" si="1019"/>
        <v>139171.33348918482</v>
      </c>
      <c r="CO121" s="21">
        <f t="shared" si="1019"/>
        <v>149805.26639274991</v>
      </c>
      <c r="CP121" s="21">
        <f t="shared" si="1019"/>
        <v>163997.28125942298</v>
      </c>
      <c r="CQ121" s="21">
        <f t="shared" si="1019"/>
        <v>173118.09135552001</v>
      </c>
      <c r="CR121" s="21">
        <f t="shared" si="1019"/>
        <v>181732.54471868117</v>
      </c>
      <c r="CS121" s="21">
        <f t="shared" si="1019"/>
        <v>189583.38631141905</v>
      </c>
      <c r="CT121" s="21">
        <f t="shared" si="1019"/>
        <v>197200.57339037099</v>
      </c>
      <c r="CU121" s="21">
        <f t="shared" si="1019"/>
        <v>206818.31871651759</v>
      </c>
      <c r="CV121" s="21">
        <f t="shared" si="1019"/>
        <v>216669.49687758257</v>
      </c>
      <c r="CW121" s="21">
        <f t="shared" si="1019"/>
        <v>226523.41856636002</v>
      </c>
      <c r="CX121" s="21">
        <f t="shared" si="1019"/>
        <v>237245.99826104174</v>
      </c>
      <c r="CY121" s="21">
        <f t="shared" si="1019"/>
        <v>248063.54135204086</v>
      </c>
      <c r="CZ121" s="21">
        <f t="shared" si="1019"/>
        <v>259454.13820125195</v>
      </c>
      <c r="DA121" s="21">
        <f t="shared" si="1019"/>
        <v>270980.68667016609</v>
      </c>
      <c r="DB121" s="21">
        <f t="shared" si="1019"/>
        <v>283515.91805081407</v>
      </c>
      <c r="DE121" s="22"/>
      <c r="DF121" s="162">
        <v>120788.26500000001</v>
      </c>
    </row>
    <row r="122" spans="1:110" s="162" customFormat="1" x14ac:dyDescent="0.2">
      <c r="A122" s="49" t="s">
        <v>341</v>
      </c>
      <c r="B122" s="162">
        <f t="shared" ref="B122:AE122" si="1020">+B93*B79</f>
        <v>92.984361252291478</v>
      </c>
      <c r="C122" s="162">
        <f t="shared" si="1020"/>
        <v>64.692016039963789</v>
      </c>
      <c r="D122" s="162">
        <f t="shared" si="1020"/>
        <v>80.573489505568716</v>
      </c>
      <c r="E122" s="162">
        <f t="shared" si="1020"/>
        <v>1847.3797644751369</v>
      </c>
      <c r="F122" s="162">
        <f t="shared" si="1020"/>
        <v>2785.7313908751998</v>
      </c>
      <c r="G122" s="162">
        <f t="shared" si="1020"/>
        <v>4887.248054167022</v>
      </c>
      <c r="H122" s="162">
        <f t="shared" si="1020"/>
        <v>5456.6124524774887</v>
      </c>
      <c r="I122" s="162">
        <f t="shared" si="1020"/>
        <v>5728.8321690945886</v>
      </c>
      <c r="J122" s="162">
        <f t="shared" si="1020"/>
        <v>4203.0333265836443</v>
      </c>
      <c r="K122" s="162">
        <f t="shared" si="1020"/>
        <v>5622.7788863191599</v>
      </c>
      <c r="L122" s="162">
        <f t="shared" si="1020"/>
        <v>8322.983436246448</v>
      </c>
      <c r="M122" s="162">
        <f t="shared" si="1020"/>
        <v>7819.5968866672411</v>
      </c>
      <c r="N122" s="162">
        <f t="shared" si="1020"/>
        <v>9774.4961083340531</v>
      </c>
      <c r="O122" s="162">
        <f t="shared" si="1020"/>
        <v>12315.865096500913</v>
      </c>
      <c r="P122" s="162">
        <f t="shared" si="1020"/>
        <v>13430.157652850954</v>
      </c>
      <c r="Q122" s="162">
        <f t="shared" si="1020"/>
        <v>9784.2706044423885</v>
      </c>
      <c r="R122" s="162">
        <f t="shared" si="1020"/>
        <v>11191.798044042527</v>
      </c>
      <c r="S122" s="162">
        <f t="shared" si="1020"/>
        <v>13733.167032209378</v>
      </c>
      <c r="T122" s="162">
        <f t="shared" si="1020"/>
        <v>17349.730592292985</v>
      </c>
      <c r="U122" s="162">
        <f t="shared" si="1020"/>
        <v>19060.267411251429</v>
      </c>
      <c r="V122" s="162">
        <f t="shared" si="1020"/>
        <v>25804.669726001943</v>
      </c>
      <c r="W122" s="162">
        <f t="shared" si="1020"/>
        <v>60039.842345441924</v>
      </c>
      <c r="X122" s="162">
        <f t="shared" si="1020"/>
        <v>66955.298342088252</v>
      </c>
      <c r="Y122" s="162">
        <f t="shared" si="1020"/>
        <v>68079.365394546636</v>
      </c>
      <c r="Z122" s="162">
        <f t="shared" si="1020"/>
        <v>87480.639999999999</v>
      </c>
      <c r="AA122" s="162">
        <f t="shared" ref="AA122" si="1021">+AA93*AA79</f>
        <v>97881.335999999996</v>
      </c>
      <c r="AB122" s="21">
        <f t="shared" si="1020"/>
        <v>108226.1067597364</v>
      </c>
      <c r="AC122" s="21">
        <f t="shared" si="1020"/>
        <v>143378.70923276048</v>
      </c>
      <c r="AD122" s="21">
        <f t="shared" si="1020"/>
        <v>171289.68642778677</v>
      </c>
      <c r="AE122" s="21">
        <f t="shared" si="1020"/>
        <v>205449.52921021814</v>
      </c>
      <c r="AL122" s="162">
        <f t="shared" ref="AL122:BQ122" si="1022">+AL93*AL79</f>
        <v>11923.680231426653</v>
      </c>
      <c r="AM122" s="162">
        <f t="shared" si="1022"/>
        <v>12314.620566883241</v>
      </c>
      <c r="AN122" s="162">
        <f t="shared" si="1022"/>
        <v>12827.729757170018</v>
      </c>
      <c r="AO122" s="162">
        <f t="shared" si="1022"/>
        <v>13780.646824845517</v>
      </c>
      <c r="AP122" s="162">
        <f t="shared" si="1022"/>
        <v>13233.330355206295</v>
      </c>
      <c r="AQ122" s="162">
        <f t="shared" si="1022"/>
        <v>13897.928925482542</v>
      </c>
      <c r="AR122" s="162">
        <f t="shared" si="1022"/>
        <v>14508.773199633493</v>
      </c>
      <c r="AS122" s="162">
        <f t="shared" si="1022"/>
        <v>13428.800522934538</v>
      </c>
      <c r="AT122" s="162">
        <f t="shared" si="1022"/>
        <v>13946.796467414579</v>
      </c>
      <c r="AU122" s="162">
        <f t="shared" si="1022"/>
        <v>12319.507321076406</v>
      </c>
      <c r="AV122" s="162">
        <f t="shared" si="1022"/>
        <v>10638.463878613031</v>
      </c>
      <c r="AW122" s="162">
        <f t="shared" si="1022"/>
        <v>12036.075577870417</v>
      </c>
      <c r="AX122" s="162">
        <f t="shared" si="1022"/>
        <v>9783.2818948016829</v>
      </c>
      <c r="AY122" s="162">
        <f t="shared" si="1022"/>
        <v>11283.515432116425</v>
      </c>
      <c r="AZ122" s="162">
        <f t="shared" si="1022"/>
        <v>12598.05231008923</v>
      </c>
      <c r="BA122" s="162">
        <f t="shared" si="1022"/>
        <v>11190.667102445515</v>
      </c>
      <c r="BB122" s="162">
        <f t="shared" si="1022"/>
        <v>11874.812689494518</v>
      </c>
      <c r="BC122" s="162">
        <f t="shared" si="1022"/>
        <v>13731.77928291348</v>
      </c>
      <c r="BD122" s="162">
        <f t="shared" si="1022"/>
        <v>14621.168546077255</v>
      </c>
      <c r="BE122" s="162">
        <f t="shared" si="1022"/>
        <v>19781.580974104501</v>
      </c>
      <c r="BF122" s="162">
        <f t="shared" si="1022"/>
        <v>24428.884211844972</v>
      </c>
      <c r="BG122" s="162">
        <f t="shared" si="1022"/>
        <v>23231.629434509094</v>
      </c>
      <c r="BH122" s="162">
        <f t="shared" si="1022"/>
        <v>20793.139092098467</v>
      </c>
      <c r="BI122" s="162">
        <f t="shared" si="1022"/>
        <v>19058.341353509793</v>
      </c>
      <c r="BJ122" s="162">
        <f t="shared" si="1022"/>
        <v>17347.977385887134</v>
      </c>
      <c r="BK122" s="162">
        <f t="shared" si="1022"/>
        <v>19058.341353509793</v>
      </c>
      <c r="BL122" s="162">
        <f t="shared" si="1022"/>
        <v>24003.736597035844</v>
      </c>
      <c r="BM122" s="162">
        <f t="shared" si="1022"/>
        <v>25670.119776919724</v>
      </c>
      <c r="BN122" s="162">
        <f t="shared" si="1022"/>
        <v>20915.307946928657</v>
      </c>
      <c r="BO122" s="162">
        <f t="shared" si="1022"/>
        <v>25802.062140136342</v>
      </c>
      <c r="BP122" s="162">
        <f t="shared" si="1022"/>
        <v>37241.953706435401</v>
      </c>
      <c r="BQ122" s="162">
        <f t="shared" si="1022"/>
        <v>44860.40349364603</v>
      </c>
      <c r="BR122" s="162">
        <f t="shared" ref="BR122:CJ122" si="1023">+BR93*BR79</f>
        <v>54198.990756865845</v>
      </c>
      <c r="BS122" s="162">
        <f t="shared" si="1023"/>
        <v>60033.77526355577</v>
      </c>
      <c r="BT122" s="162">
        <f t="shared" si="1023"/>
        <v>72284.868025927281</v>
      </c>
      <c r="BU122" s="162">
        <f t="shared" si="1023"/>
        <v>68101.806436541548</v>
      </c>
      <c r="BV122" s="162">
        <f t="shared" si="1023"/>
        <v>63601.105824597296</v>
      </c>
      <c r="BW122" s="162">
        <f t="shared" si="1023"/>
        <v>68228.862045564922</v>
      </c>
      <c r="BX122" s="162">
        <f t="shared" si="1023"/>
        <v>68219.088537178584</v>
      </c>
      <c r="BY122" s="162">
        <f t="shared" si="1023"/>
        <v>72236.00048399526</v>
      </c>
      <c r="BZ122" s="162">
        <f t="shared" si="1023"/>
        <v>66948.532446944548</v>
      </c>
      <c r="CA122" s="162">
        <f t="shared" si="1023"/>
        <v>68072.485911382275</v>
      </c>
      <c r="CB122" s="162">
        <f t="shared" si="1023"/>
        <v>80348.012444719905</v>
      </c>
      <c r="CC122" s="162">
        <f t="shared" si="1023"/>
        <v>83563.496703850542</v>
      </c>
      <c r="CD122" s="162">
        <f t="shared" si="1023"/>
        <v>105167.83699202168</v>
      </c>
      <c r="CE122" s="162">
        <f t="shared" si="1023"/>
        <v>100667.1363800769</v>
      </c>
      <c r="CF122" s="162">
        <f t="shared" si="1023"/>
        <v>105505.02303135284</v>
      </c>
      <c r="CG122" s="162">
        <f t="shared" si="1023"/>
        <v>87471.8</v>
      </c>
      <c r="CH122" s="162">
        <f t="shared" si="1023"/>
        <v>89896.074999999997</v>
      </c>
      <c r="CI122" s="162">
        <f t="shared" si="1023"/>
        <v>97871.445000000007</v>
      </c>
      <c r="CJ122" s="162">
        <f t="shared" si="1023"/>
        <v>102744.7325</v>
      </c>
      <c r="CK122" s="162">
        <f t="shared" ref="CK122:CL122" si="1024">+CK93*CK79</f>
        <v>109349.64499999999</v>
      </c>
      <c r="CL122" s="162">
        <f t="shared" si="1024"/>
        <v>100048.56</v>
      </c>
      <c r="CM122" s="21">
        <f t="shared" ref="CM122:DB122" si="1025">+CM93*CM79</f>
        <v>108226.1067597364</v>
      </c>
      <c r="CN122" s="21">
        <f t="shared" si="1025"/>
        <v>115263.55218937155</v>
      </c>
      <c r="CO122" s="21">
        <f t="shared" si="1025"/>
        <v>124070.71706649476</v>
      </c>
      <c r="CP122" s="21">
        <f t="shared" si="1025"/>
        <v>135824.73281992023</v>
      </c>
      <c r="CQ122" s="21">
        <f t="shared" si="1025"/>
        <v>143378.70923276048</v>
      </c>
      <c r="CR122" s="21">
        <f t="shared" si="1025"/>
        <v>150513.31425459706</v>
      </c>
      <c r="CS122" s="21">
        <f t="shared" si="1025"/>
        <v>157015.48583668767</v>
      </c>
      <c r="CT122" s="21">
        <f t="shared" si="1025"/>
        <v>163324.1416381298</v>
      </c>
      <c r="CU122" s="21">
        <f t="shared" si="1025"/>
        <v>171289.68642778677</v>
      </c>
      <c r="CV122" s="21">
        <f t="shared" si="1025"/>
        <v>179448.56340070121</v>
      </c>
      <c r="CW122" s="21">
        <f t="shared" si="1025"/>
        <v>187609.71259981155</v>
      </c>
      <c r="CX122" s="21">
        <f t="shared" si="1025"/>
        <v>196490.29593013288</v>
      </c>
      <c r="CY122" s="21">
        <f t="shared" si="1025"/>
        <v>205449.52921021814</v>
      </c>
      <c r="CZ122" s="21">
        <f t="shared" si="1025"/>
        <v>214883.37324606022</v>
      </c>
      <c r="DA122" s="21">
        <f t="shared" si="1025"/>
        <v>224429.81422424666</v>
      </c>
      <c r="DB122" s="21">
        <f t="shared" si="1025"/>
        <v>234811.65982581553</v>
      </c>
      <c r="DE122" s="22"/>
      <c r="DF122" s="162">
        <v>100038.45</v>
      </c>
    </row>
    <row r="123" spans="1:110" s="162" customFormat="1" x14ac:dyDescent="0.2">
      <c r="A123" s="49" t="s">
        <v>80</v>
      </c>
      <c r="B123" s="162">
        <f>+B182</f>
        <v>201.31060000000002</v>
      </c>
      <c r="C123" s="162">
        <f t="shared" ref="C123:W123" si="1026">+C182</f>
        <v>1628.9204</v>
      </c>
      <c r="D123" s="162">
        <f t="shared" si="1026"/>
        <v>1680.087</v>
      </c>
      <c r="E123" s="162">
        <f t="shared" si="1026"/>
        <v>1569.9224999999999</v>
      </c>
      <c r="F123" s="162">
        <f t="shared" si="1026"/>
        <v>1460.9046000000001</v>
      </c>
      <c r="G123" s="162">
        <f t="shared" si="1026"/>
        <v>1424.7373000000002</v>
      </c>
      <c r="H123" s="162">
        <f t="shared" si="1026"/>
        <v>4279.7956999999997</v>
      </c>
      <c r="I123" s="162">
        <f t="shared" si="1026"/>
        <v>259.07339999999976</v>
      </c>
      <c r="J123" s="162">
        <f t="shared" si="1026"/>
        <v>1331.7933999999998</v>
      </c>
      <c r="K123" s="162">
        <f t="shared" si="1026"/>
        <v>-249.89940000000001</v>
      </c>
      <c r="L123" s="162">
        <f t="shared" si="1026"/>
        <v>-62.365900000000011</v>
      </c>
      <c r="M123" s="162">
        <f t="shared" si="1026"/>
        <v>86.737100000000055</v>
      </c>
      <c r="N123" s="162">
        <f t="shared" si="1026"/>
        <v>689.16650000000016</v>
      </c>
      <c r="O123" s="162">
        <f t="shared" si="1026"/>
        <v>709.7604</v>
      </c>
      <c r="P123" s="162">
        <f t="shared" si="1026"/>
        <v>775.53</v>
      </c>
      <c r="Q123" s="162">
        <f t="shared" si="1026"/>
        <v>679.68999999999994</v>
      </c>
      <c r="R123" s="162">
        <f t="shared" si="1026"/>
        <v>45.389999999999986</v>
      </c>
      <c r="S123" s="162">
        <f t="shared" si="1026"/>
        <v>-739.09000000000015</v>
      </c>
      <c r="T123" s="162">
        <f t="shared" si="1026"/>
        <v>-475.66999999999985</v>
      </c>
      <c r="U123" s="162">
        <f t="shared" si="1026"/>
        <v>-1198.6200000000003</v>
      </c>
      <c r="V123" s="162">
        <f t="shared" si="1026"/>
        <v>-2191.3999999999996</v>
      </c>
      <c r="W123" s="162">
        <f t="shared" si="1026"/>
        <v>-1787.33</v>
      </c>
      <c r="X123" s="162">
        <f t="shared" ref="X123:Y123" si="1027">+X182</f>
        <v>-2368.86</v>
      </c>
      <c r="Y123" s="162">
        <f t="shared" si="1027"/>
        <v>260.72000000000025</v>
      </c>
      <c r="Z123" s="162">
        <f t="shared" ref="Z123:AA123" si="1028">+Z182</f>
        <v>-1261.4299999999998</v>
      </c>
      <c r="AA123" s="162">
        <f t="shared" si="1028"/>
        <v>-2168.3799999999997</v>
      </c>
      <c r="AB123" s="21">
        <f t="shared" ref="AA123:AD123" si="1029">+AB182</f>
        <v>-4197.801428395278</v>
      </c>
      <c r="AC123" s="21">
        <f t="shared" si="1029"/>
        <v>-6648.9049065779818</v>
      </c>
      <c r="AD123" s="21">
        <f t="shared" si="1029"/>
        <v>-9602.6656034938078</v>
      </c>
      <c r="AE123" s="21">
        <f t="shared" ref="AE123" si="1030">+AE182</f>
        <v>-13138.073775886816</v>
      </c>
      <c r="AL123" s="162">
        <f t="shared" ref="AL123:AM123" si="1031">+AL182</f>
        <v>317.22000000000003</v>
      </c>
      <c r="AM123" s="162">
        <f t="shared" si="1031"/>
        <v>180.15057312787235</v>
      </c>
      <c r="AN123" s="162">
        <f t="shared" ref="AN123:AO123" si="1032">+AN182</f>
        <v>488.44000000000005</v>
      </c>
      <c r="AO123" s="162">
        <f t="shared" si="1032"/>
        <v>492.90804166580438</v>
      </c>
      <c r="AP123" s="162">
        <f t="shared" ref="AP123:CD123" si="1033">+AP182</f>
        <v>672.99999999999989</v>
      </c>
      <c r="AQ123" s="162">
        <f t="shared" si="1033"/>
        <v>576.3066002418941</v>
      </c>
      <c r="AR123" s="162">
        <f t="shared" si="1033"/>
        <v>909.26</v>
      </c>
      <c r="AS123" s="162">
        <f t="shared" si="1033"/>
        <v>925.75550329853104</v>
      </c>
      <c r="AT123" s="162">
        <f t="shared" si="1033"/>
        <v>717.47</v>
      </c>
      <c r="AU123" s="162">
        <f t="shared" si="1033"/>
        <v>452.07233328999087</v>
      </c>
      <c r="AV123" s="162">
        <f t="shared" si="1033"/>
        <v>952.49</v>
      </c>
      <c r="AW123" s="162">
        <f t="shared" si="1033"/>
        <v>925.4049292281893</v>
      </c>
      <c r="AX123" s="162">
        <f t="shared" si="1033"/>
        <v>238.32000000000005</v>
      </c>
      <c r="AY123" s="162">
        <f t="shared" si="1033"/>
        <v>267.12974623830837</v>
      </c>
      <c r="AZ123" s="162">
        <f t="shared" si="1033"/>
        <v>-106.66999999999985</v>
      </c>
      <c r="BA123" s="162">
        <f t="shared" si="1033"/>
        <v>-127.81600219530833</v>
      </c>
      <c r="BB123" s="162">
        <f t="shared" si="1033"/>
        <v>29.159999999999968</v>
      </c>
      <c r="BC123" s="162">
        <f t="shared" si="1033"/>
        <v>-77.826215152469899</v>
      </c>
      <c r="BD123" s="162">
        <f t="shared" si="1033"/>
        <v>-527.86000000000013</v>
      </c>
      <c r="BE123" s="162">
        <f t="shared" si="1033"/>
        <v>-663.34089803444203</v>
      </c>
      <c r="BF123" s="162">
        <f t="shared" si="1033"/>
        <v>-750.49</v>
      </c>
      <c r="BG123" s="162">
        <f t="shared" si="1033"/>
        <v>-772.66324840085349</v>
      </c>
      <c r="BH123" s="162">
        <f t="shared" si="1033"/>
        <v>-216.26</v>
      </c>
      <c r="BI123" s="162">
        <f t="shared" si="1033"/>
        <v>-170.90121360463809</v>
      </c>
      <c r="BJ123" s="162">
        <f t="shared" si="1033"/>
        <v>-499.86999999999989</v>
      </c>
      <c r="BK123" s="162">
        <f t="shared" si="1033"/>
        <v>-108.81151453707844</v>
      </c>
      <c r="BL123" s="162">
        <f t="shared" si="1033"/>
        <v>-349.24</v>
      </c>
      <c r="BM123" s="162">
        <f t="shared" si="1033"/>
        <v>-411.91756815945087</v>
      </c>
      <c r="BN123" s="162">
        <f t="shared" si="1033"/>
        <v>-1272.5300000000002</v>
      </c>
      <c r="BO123" s="162">
        <f t="shared" si="1033"/>
        <v>-1382.9841027762659</v>
      </c>
      <c r="BP123" s="162">
        <f t="shared" si="1033"/>
        <v>-1374.92</v>
      </c>
      <c r="BQ123" s="162">
        <f t="shared" si="1033"/>
        <v>-1396.7968992643837</v>
      </c>
      <c r="BR123" s="162">
        <f t="shared" si="1033"/>
        <v>-2191.3999999999996</v>
      </c>
      <c r="BS123" s="162">
        <f t="shared" si="1033"/>
        <v>-2389.6649167989135</v>
      </c>
      <c r="BT123" s="162">
        <f t="shared" si="1033"/>
        <v>-1986.2900000000002</v>
      </c>
      <c r="BU123" s="162">
        <f t="shared" si="1033"/>
        <v>-2168.7977126523192</v>
      </c>
      <c r="BV123" s="162">
        <f t="shared" si="1033"/>
        <v>-1787.33</v>
      </c>
      <c r="BW123" s="162">
        <f t="shared" si="1033"/>
        <v>-1986.2444357421555</v>
      </c>
      <c r="BX123" s="162">
        <f t="shared" si="1033"/>
        <v>-1219.98</v>
      </c>
      <c r="BY123" s="162">
        <f t="shared" si="1033"/>
        <v>-1520.2806803348149</v>
      </c>
      <c r="BZ123" s="162">
        <f t="shared" si="1033"/>
        <v>-2368.86</v>
      </c>
      <c r="CA123" s="162">
        <f t="shared" si="1033"/>
        <v>-2646.4653524579053</v>
      </c>
      <c r="CB123" s="162">
        <f t="shared" si="1033"/>
        <v>-1969.7300000000005</v>
      </c>
      <c r="CC123" s="162">
        <f t="shared" si="1033"/>
        <v>-2219.2805414887871</v>
      </c>
      <c r="CD123" s="162">
        <f t="shared" si="1033"/>
        <v>260.72000000000025</v>
      </c>
      <c r="CE123" s="162">
        <f t="shared" ref="CE123:CF123" si="1034">+CE182</f>
        <v>74.215798942687798</v>
      </c>
      <c r="CF123" s="162">
        <f t="shared" si="1034"/>
        <v>-1.5399999999999636</v>
      </c>
      <c r="CG123" s="162">
        <f t="shared" ref="CG123:CH123" si="1035">+CG182</f>
        <v>-184.43837898183619</v>
      </c>
      <c r="CH123" s="162">
        <f t="shared" si="1035"/>
        <v>-1261.4299999999998</v>
      </c>
      <c r="CI123" s="162">
        <f t="shared" ref="CI123:CJ123" si="1036">+CI182</f>
        <v>-1751.9995551861675</v>
      </c>
      <c r="CJ123" s="162">
        <f t="shared" si="1036"/>
        <v>-297.73999999999978</v>
      </c>
      <c r="CK123" s="162">
        <f t="shared" ref="CK123:CL123" si="1037">+CK182</f>
        <v>-802.87505890170905</v>
      </c>
      <c r="CL123" s="162">
        <f t="shared" si="1037"/>
        <v>-2168.3799999999997</v>
      </c>
      <c r="CM123" s="21">
        <f t="shared" ref="CM123:DB123" si="1038">+CM182</f>
        <v>-2627.64110892904</v>
      </c>
      <c r="CN123" s="21">
        <f t="shared" si="1038"/>
        <v>-3110.0538235690015</v>
      </c>
      <c r="CO123" s="21">
        <f t="shared" si="1038"/>
        <v>-3639.806113100492</v>
      </c>
      <c r="CP123" s="21">
        <f t="shared" si="1038"/>
        <v>-4197.801428395278</v>
      </c>
      <c r="CQ123" s="21">
        <f t="shared" si="1038"/>
        <v>-4777.0806342195156</v>
      </c>
      <c r="CR123" s="21">
        <f t="shared" si="1038"/>
        <v>-5366.2983757360616</v>
      </c>
      <c r="CS123" s="21">
        <f t="shared" si="1038"/>
        <v>-5998.7496908694684</v>
      </c>
      <c r="CT123" s="21">
        <f t="shared" si="1038"/>
        <v>-6648.9049065779818</v>
      </c>
      <c r="CU123" s="21">
        <f t="shared" si="1038"/>
        <v>-7352.0773531744253</v>
      </c>
      <c r="CV123" s="21">
        <f t="shared" si="1038"/>
        <v>-8063.1986742669669</v>
      </c>
      <c r="CW123" s="21">
        <f t="shared" si="1038"/>
        <v>-8823.0503976252148</v>
      </c>
      <c r="CX123" s="21">
        <f t="shared" si="1038"/>
        <v>-9602.6656034938078</v>
      </c>
      <c r="CY123" s="21">
        <f t="shared" si="1038"/>
        <v>-10447.368068983533</v>
      </c>
      <c r="CZ123" s="21">
        <f t="shared" si="1038"/>
        <v>-11298.929627903459</v>
      </c>
      <c r="DA123" s="21">
        <f t="shared" si="1038"/>
        <v>-12207.653310055919</v>
      </c>
      <c r="DB123" s="21">
        <f t="shared" si="1038"/>
        <v>-13138.073775886816</v>
      </c>
      <c r="DE123" s="22"/>
      <c r="DF123" s="162">
        <v>-1384.5618347545014</v>
      </c>
    </row>
    <row r="124" spans="1:110" s="162" customFormat="1" x14ac:dyDescent="0.2">
      <c r="A124" s="49" t="s">
        <v>342</v>
      </c>
      <c r="B124" s="162">
        <f>+B121+B123</f>
        <v>428.98207275867156</v>
      </c>
      <c r="C124" s="162">
        <f t="shared" ref="C124:W124" si="1039">+C121+C123</f>
        <v>1766.6338762052453</v>
      </c>
      <c r="D124" s="162">
        <f t="shared" si="1039"/>
        <v>1800.8084101895979</v>
      </c>
      <c r="E124" s="162">
        <f t="shared" si="1039"/>
        <v>5674.2334158894701</v>
      </c>
      <c r="F124" s="162">
        <f t="shared" si="1039"/>
        <v>7001.088994203742</v>
      </c>
      <c r="G124" s="162">
        <f t="shared" si="1039"/>
        <v>11658.634725425725</v>
      </c>
      <c r="H124" s="162">
        <f t="shared" si="1039"/>
        <v>13252.783127450653</v>
      </c>
      <c r="I124" s="162">
        <f t="shared" si="1039"/>
        <v>10170.412453850706</v>
      </c>
      <c r="J124" s="162">
        <f t="shared" si="1039"/>
        <v>10725.084160109021</v>
      </c>
      <c r="K124" s="162">
        <f t="shared" si="1039"/>
        <v>10257.683916459109</v>
      </c>
      <c r="L124" s="162">
        <f t="shared" si="1039"/>
        <v>13489.972954205128</v>
      </c>
      <c r="M124" s="162">
        <f t="shared" si="1039"/>
        <v>12666.513591425955</v>
      </c>
      <c r="N124" s="162">
        <f t="shared" si="1039"/>
        <v>18449.425928843015</v>
      </c>
      <c r="O124" s="162">
        <f t="shared" si="1039"/>
        <v>17345.952776384529</v>
      </c>
      <c r="P124" s="162">
        <f t="shared" si="1039"/>
        <v>18091.049855913723</v>
      </c>
      <c r="Q124" s="162">
        <f t="shared" si="1039"/>
        <v>16651.216641017807</v>
      </c>
      <c r="R124" s="162">
        <f t="shared" si="1039"/>
        <v>15454.883114788659</v>
      </c>
      <c r="S124" s="162">
        <f t="shared" si="1039"/>
        <v>31399.453204202327</v>
      </c>
      <c r="T124" s="162">
        <f t="shared" si="1039"/>
        <v>28828.269332785501</v>
      </c>
      <c r="U124" s="162">
        <f t="shared" si="1039"/>
        <v>38676.436873948798</v>
      </c>
      <c r="V124" s="162">
        <f t="shared" si="1039"/>
        <v>61621.397843258877</v>
      </c>
      <c r="W124" s="162">
        <f t="shared" si="1039"/>
        <v>85107.940403089713</v>
      </c>
      <c r="X124" s="162">
        <f t="shared" ref="X124:Y124" si="1040">+X121+X123</f>
        <v>81823.762229135304</v>
      </c>
      <c r="Y124" s="162">
        <f t="shared" si="1040"/>
        <v>124357.72259140895</v>
      </c>
      <c r="Z124" s="162">
        <f t="shared" ref="Z124:AA124" si="1041">+Z121+Z123</f>
        <v>122180.68135215108</v>
      </c>
      <c r="AA124" s="162">
        <f t="shared" si="1041"/>
        <v>118632.09199999999</v>
      </c>
      <c r="AB124" s="21">
        <f t="shared" ref="AA124:AD124" si="1042">+AB121+AB123</f>
        <v>159799.47983102771</v>
      </c>
      <c r="AC124" s="21">
        <f t="shared" si="1042"/>
        <v>190551.66848379301</v>
      </c>
      <c r="AD124" s="21">
        <f t="shared" si="1042"/>
        <v>227643.33265754793</v>
      </c>
      <c r="AE124" s="21">
        <f t="shared" ref="AE124" si="1043">+AE121+AE123</f>
        <v>270377.84427492728</v>
      </c>
      <c r="AL124" s="162">
        <f t="shared" ref="AL124" si="1044">+AL121+AL123</f>
        <v>16824.675664655399</v>
      </c>
      <c r="AM124" s="162">
        <f t="shared" ref="AM124:AO124" si="1045">+AM121+AM123</f>
        <v>15167.825683695697</v>
      </c>
      <c r="AN124" s="162">
        <f t="shared" si="1045"/>
        <v>16516.993753721068</v>
      </c>
      <c r="AO124" s="162">
        <f t="shared" si="1045"/>
        <v>17127.419315344556</v>
      </c>
      <c r="AP124" s="162">
        <f t="shared" ref="AP124:CD124" si="1046">+AP121+AP123</f>
        <v>16569.611390504448</v>
      </c>
      <c r="AQ124" s="162">
        <f t="shared" si="1046"/>
        <v>17890.076706776486</v>
      </c>
      <c r="AR124" s="162">
        <f t="shared" si="1046"/>
        <v>18198.596335568571</v>
      </c>
      <c r="AS124" s="162">
        <f t="shared" si="1046"/>
        <v>17149.779424747841</v>
      </c>
      <c r="AT124" s="162">
        <f t="shared" si="1046"/>
        <v>17107.643564018374</v>
      </c>
      <c r="AU124" s="162">
        <f t="shared" si="1046"/>
        <v>16421.985036692498</v>
      </c>
      <c r="AV124" s="162">
        <f t="shared" si="1046"/>
        <v>15324.43408222361</v>
      </c>
      <c r="AW124" s="162">
        <f t="shared" si="1046"/>
        <v>15380.423832736382</v>
      </c>
      <c r="AX124" s="162">
        <f t="shared" si="1046"/>
        <v>14879.035562850107</v>
      </c>
      <c r="AY124" s="162">
        <f t="shared" si="1046"/>
        <v>13119.293274374344</v>
      </c>
      <c r="AZ124" s="162">
        <f t="shared" si="1046"/>
        <v>14446.083987372363</v>
      </c>
      <c r="BA124" s="162">
        <f t="shared" si="1046"/>
        <v>15280.119968988383</v>
      </c>
      <c r="BB124" s="162">
        <f t="shared" si="1046"/>
        <v>15070.589406693121</v>
      </c>
      <c r="BC124" s="162">
        <f t="shared" si="1046"/>
        <v>15833.44543793157</v>
      </c>
      <c r="BD124" s="162">
        <f t="shared" si="1046"/>
        <v>20998.292221079606</v>
      </c>
      <c r="BE124" s="162">
        <f t="shared" si="1046"/>
        <v>30269.81314496987</v>
      </c>
      <c r="BF124" s="162">
        <f t="shared" si="1046"/>
        <v>31384.805574533351</v>
      </c>
      <c r="BG124" s="162">
        <f t="shared" si="1046"/>
        <v>28528.314894072118</v>
      </c>
      <c r="BH124" s="162">
        <f t="shared" si="1046"/>
        <v>27608.918376124271</v>
      </c>
      <c r="BI124" s="162">
        <f t="shared" si="1046"/>
        <v>23334.386455724121</v>
      </c>
      <c r="BJ124" s="162">
        <f t="shared" si="1046"/>
        <v>21036.055729466032</v>
      </c>
      <c r="BK124" s="162">
        <f t="shared" si="1046"/>
        <v>27012.674257765233</v>
      </c>
      <c r="BL124" s="162">
        <f t="shared" si="1046"/>
        <v>27759.370119330255</v>
      </c>
      <c r="BM124" s="162">
        <f t="shared" si="1046"/>
        <v>31840.660107010932</v>
      </c>
      <c r="BN124" s="162">
        <f t="shared" si="1046"/>
        <v>38598.497462381107</v>
      </c>
      <c r="BO124" s="162">
        <f t="shared" si="1046"/>
        <v>37222.374023563978</v>
      </c>
      <c r="BP124" s="162">
        <f t="shared" si="1046"/>
        <v>56459.81587661236</v>
      </c>
      <c r="BQ124" s="162">
        <f t="shared" si="1046"/>
        <v>58895.97633653137</v>
      </c>
      <c r="BR124" s="162">
        <f t="shared" si="1046"/>
        <v>61614.949500712064</v>
      </c>
      <c r="BS124" s="162">
        <f t="shared" si="1046"/>
        <v>73052.046317940461</v>
      </c>
      <c r="BT124" s="162">
        <f t="shared" si="1046"/>
        <v>84900.199555231695</v>
      </c>
      <c r="BU124" s="162">
        <f t="shared" si="1046"/>
        <v>82127.712120179378</v>
      </c>
      <c r="BV124" s="162">
        <f t="shared" si="1046"/>
        <v>74690.37312369945</v>
      </c>
      <c r="BW124" s="162">
        <f t="shared" si="1046"/>
        <v>79774.039970814716</v>
      </c>
      <c r="BX124" s="162">
        <f t="shared" si="1046"/>
        <v>82964.134486387833</v>
      </c>
      <c r="BY124" s="162">
        <f t="shared" si="1046"/>
        <v>78817.958255998659</v>
      </c>
      <c r="BZ124" s="162">
        <f t="shared" si="1046"/>
        <v>73942.69348113038</v>
      </c>
      <c r="CA124" s="162">
        <f t="shared" si="1046"/>
        <v>83067.20319640392</v>
      </c>
      <c r="CB124" s="162">
        <f t="shared" si="1046"/>
        <v>86949.649299606041</v>
      </c>
      <c r="CC124" s="162">
        <f t="shared" si="1046"/>
        <v>104702.90120589451</v>
      </c>
      <c r="CD124" s="162">
        <f t="shared" si="1046"/>
        <v>124345.18247392801</v>
      </c>
      <c r="CE124" s="162">
        <f t="shared" ref="CE124:CF124" si="1047">+CE121+CE123</f>
        <v>115401.61475864236</v>
      </c>
      <c r="CF124" s="162">
        <f t="shared" si="1047"/>
        <v>123428.0974120387</v>
      </c>
      <c r="CG124" s="162">
        <f t="shared" ref="CG124:CH124" si="1048">+CG121+CG123</f>
        <v>119104.73412101816</v>
      </c>
      <c r="CH124" s="162">
        <f t="shared" si="1048"/>
        <v>105090.03</v>
      </c>
      <c r="CI124" s="162">
        <f t="shared" ref="CI124:CJ124" si="1049">+CI121+CI123</f>
        <v>115009.00044481384</v>
      </c>
      <c r="CJ124" s="162">
        <f t="shared" si="1049"/>
        <v>113197.91</v>
      </c>
      <c r="CK124" s="162">
        <f t="shared" ref="CK124:CL124" si="1050">+CK121+CK123</f>
        <v>118209.23744109829</v>
      </c>
      <c r="CL124" s="162">
        <f t="shared" si="1050"/>
        <v>118632.09199999999</v>
      </c>
      <c r="CM124" s="21">
        <f t="shared" ref="CM124:DB124" si="1051">+CM121+CM123</f>
        <v>128046.5512962245</v>
      </c>
      <c r="CN124" s="21">
        <f t="shared" si="1051"/>
        <v>136061.27966561582</v>
      </c>
      <c r="CO124" s="21">
        <f t="shared" si="1051"/>
        <v>146165.46027964941</v>
      </c>
      <c r="CP124" s="21">
        <f t="shared" si="1051"/>
        <v>159799.47983102771</v>
      </c>
      <c r="CQ124" s="21">
        <f t="shared" si="1051"/>
        <v>168341.0107213005</v>
      </c>
      <c r="CR124" s="21">
        <f t="shared" si="1051"/>
        <v>176366.24634294512</v>
      </c>
      <c r="CS124" s="21">
        <f t="shared" si="1051"/>
        <v>183584.63662054957</v>
      </c>
      <c r="CT124" s="21">
        <f t="shared" si="1051"/>
        <v>190551.66848379301</v>
      </c>
      <c r="CU124" s="21">
        <f t="shared" si="1051"/>
        <v>199466.24136334317</v>
      </c>
      <c r="CV124" s="21">
        <f t="shared" si="1051"/>
        <v>208606.29820331561</v>
      </c>
      <c r="CW124" s="21">
        <f t="shared" si="1051"/>
        <v>217700.3681687348</v>
      </c>
      <c r="CX124" s="21">
        <f t="shared" si="1051"/>
        <v>227643.33265754793</v>
      </c>
      <c r="CY124" s="21">
        <f t="shared" si="1051"/>
        <v>237616.17328305732</v>
      </c>
      <c r="CZ124" s="21">
        <f t="shared" si="1051"/>
        <v>248155.2085733485</v>
      </c>
      <c r="DA124" s="21">
        <f t="shared" si="1051"/>
        <v>258773.03336011016</v>
      </c>
      <c r="DB124" s="21">
        <f t="shared" si="1051"/>
        <v>270377.84427492728</v>
      </c>
      <c r="DE124" s="22"/>
      <c r="DF124" s="162">
        <v>119403.70316524552</v>
      </c>
    </row>
    <row r="125" spans="1:110" s="162" customFormat="1" x14ac:dyDescent="0.2">
      <c r="A125" s="49" t="s">
        <v>345</v>
      </c>
      <c r="B125" s="162">
        <f>+B122+B123</f>
        <v>294.2949612522915</v>
      </c>
      <c r="C125" s="162">
        <f t="shared" ref="C125:W125" si="1052">+C122+C123</f>
        <v>1693.6124160399638</v>
      </c>
      <c r="D125" s="162">
        <f t="shared" si="1052"/>
        <v>1760.6604895055686</v>
      </c>
      <c r="E125" s="162">
        <f t="shared" si="1052"/>
        <v>3417.3022644751368</v>
      </c>
      <c r="F125" s="162">
        <f t="shared" si="1052"/>
        <v>4246.6359908752002</v>
      </c>
      <c r="G125" s="162">
        <f t="shared" si="1052"/>
        <v>6311.9853541670218</v>
      </c>
      <c r="H125" s="162">
        <f t="shared" si="1052"/>
        <v>9736.4081524774883</v>
      </c>
      <c r="I125" s="162">
        <f t="shared" si="1052"/>
        <v>5987.9055690945879</v>
      </c>
      <c r="J125" s="162">
        <f t="shared" si="1052"/>
        <v>5534.8267265836439</v>
      </c>
      <c r="K125" s="162">
        <f t="shared" si="1052"/>
        <v>5372.8794863191597</v>
      </c>
      <c r="L125" s="162">
        <f t="shared" si="1052"/>
        <v>8260.6175362464473</v>
      </c>
      <c r="M125" s="162">
        <f t="shared" si="1052"/>
        <v>7906.3339866672413</v>
      </c>
      <c r="N125" s="162">
        <f t="shared" si="1052"/>
        <v>10463.662608334052</v>
      </c>
      <c r="O125" s="162">
        <f t="shared" si="1052"/>
        <v>13025.625496500912</v>
      </c>
      <c r="P125" s="162">
        <f t="shared" si="1052"/>
        <v>14205.687652850955</v>
      </c>
      <c r="Q125" s="162">
        <f t="shared" si="1052"/>
        <v>10463.960604442389</v>
      </c>
      <c r="R125" s="162">
        <f t="shared" si="1052"/>
        <v>11237.188044042527</v>
      </c>
      <c r="S125" s="162">
        <f t="shared" si="1052"/>
        <v>12994.077032209378</v>
      </c>
      <c r="T125" s="162">
        <f t="shared" si="1052"/>
        <v>16874.060592292986</v>
      </c>
      <c r="U125" s="162">
        <f t="shared" si="1052"/>
        <v>17861.64741125143</v>
      </c>
      <c r="V125" s="162">
        <f t="shared" si="1052"/>
        <v>23613.269726001941</v>
      </c>
      <c r="W125" s="162">
        <f t="shared" si="1052"/>
        <v>58252.512345441923</v>
      </c>
      <c r="X125" s="162">
        <f t="shared" ref="X125:Y125" si="1053">+X122+X123</f>
        <v>64586.438342088251</v>
      </c>
      <c r="Y125" s="162">
        <f t="shared" si="1053"/>
        <v>68340.085394546637</v>
      </c>
      <c r="Z125" s="162">
        <f t="shared" ref="Z125:AA125" si="1054">+Z122+Z123</f>
        <v>86219.21</v>
      </c>
      <c r="AA125" s="162">
        <f t="shared" si="1054"/>
        <v>95712.955999999991</v>
      </c>
      <c r="AB125" s="21">
        <f t="shared" ref="AA125:AD125" si="1055">+AB122+AB123</f>
        <v>104028.30533134112</v>
      </c>
      <c r="AC125" s="21">
        <f t="shared" si="1055"/>
        <v>136729.80432618249</v>
      </c>
      <c r="AD125" s="21">
        <f t="shared" si="1055"/>
        <v>161687.02082429297</v>
      </c>
      <c r="AE125" s="21">
        <f t="shared" ref="AE125" si="1056">+AE122+AE123</f>
        <v>192311.45543433132</v>
      </c>
      <c r="AL125" s="162">
        <f t="shared" ref="AL125:AM125" si="1057">+AL122+AL123</f>
        <v>12240.900231426653</v>
      </c>
      <c r="AM125" s="162">
        <f t="shared" si="1057"/>
        <v>12494.771140011113</v>
      </c>
      <c r="AN125" s="162">
        <f t="shared" ref="AN125:AO125" si="1058">+AN122+AN123</f>
        <v>13316.169757170019</v>
      </c>
      <c r="AO125" s="162">
        <f t="shared" si="1058"/>
        <v>14273.55486651132</v>
      </c>
      <c r="AP125" s="162">
        <f t="shared" ref="AP125:CD125" si="1059">+AP122+AP123</f>
        <v>13906.330355206295</v>
      </c>
      <c r="AQ125" s="162">
        <f t="shared" si="1059"/>
        <v>14474.235525724436</v>
      </c>
      <c r="AR125" s="162">
        <f t="shared" si="1059"/>
        <v>15418.033199633493</v>
      </c>
      <c r="AS125" s="162">
        <f t="shared" si="1059"/>
        <v>14354.556026233069</v>
      </c>
      <c r="AT125" s="162">
        <f t="shared" si="1059"/>
        <v>14664.266467414578</v>
      </c>
      <c r="AU125" s="162">
        <f t="shared" si="1059"/>
        <v>12771.579654366396</v>
      </c>
      <c r="AV125" s="162">
        <f t="shared" si="1059"/>
        <v>11590.953878613031</v>
      </c>
      <c r="AW125" s="162">
        <f t="shared" si="1059"/>
        <v>12961.480507098606</v>
      </c>
      <c r="AX125" s="162">
        <f t="shared" si="1059"/>
        <v>10021.601894801683</v>
      </c>
      <c r="AY125" s="162">
        <f t="shared" si="1059"/>
        <v>11550.645178354733</v>
      </c>
      <c r="AZ125" s="162">
        <f t="shared" si="1059"/>
        <v>12491.38231008923</v>
      </c>
      <c r="BA125" s="162">
        <f t="shared" si="1059"/>
        <v>11062.851100250207</v>
      </c>
      <c r="BB125" s="162">
        <f t="shared" si="1059"/>
        <v>11903.972689494518</v>
      </c>
      <c r="BC125" s="162">
        <f t="shared" si="1059"/>
        <v>13653.953067761009</v>
      </c>
      <c r="BD125" s="162">
        <f t="shared" si="1059"/>
        <v>14093.308546077255</v>
      </c>
      <c r="BE125" s="162">
        <f t="shared" si="1059"/>
        <v>19118.240076070058</v>
      </c>
      <c r="BF125" s="162">
        <f t="shared" si="1059"/>
        <v>23678.39421184497</v>
      </c>
      <c r="BG125" s="162">
        <f t="shared" si="1059"/>
        <v>22458.966186108239</v>
      </c>
      <c r="BH125" s="162">
        <f t="shared" si="1059"/>
        <v>20576.879092098468</v>
      </c>
      <c r="BI125" s="162">
        <f t="shared" si="1059"/>
        <v>18887.440139905157</v>
      </c>
      <c r="BJ125" s="162">
        <f t="shared" si="1059"/>
        <v>16848.107385887135</v>
      </c>
      <c r="BK125" s="162">
        <f t="shared" si="1059"/>
        <v>18949.529838972714</v>
      </c>
      <c r="BL125" s="162">
        <f t="shared" si="1059"/>
        <v>23654.496597035843</v>
      </c>
      <c r="BM125" s="162">
        <f t="shared" si="1059"/>
        <v>25258.202208760275</v>
      </c>
      <c r="BN125" s="162">
        <f t="shared" si="1059"/>
        <v>19642.777946928658</v>
      </c>
      <c r="BO125" s="162">
        <f t="shared" si="1059"/>
        <v>24419.078037360076</v>
      </c>
      <c r="BP125" s="162">
        <f t="shared" si="1059"/>
        <v>35867.033706435403</v>
      </c>
      <c r="BQ125" s="162">
        <f t="shared" si="1059"/>
        <v>43463.60659438165</v>
      </c>
      <c r="BR125" s="162">
        <f t="shared" si="1059"/>
        <v>52007.590756865844</v>
      </c>
      <c r="BS125" s="162">
        <f t="shared" si="1059"/>
        <v>57644.110346756854</v>
      </c>
      <c r="BT125" s="162">
        <f t="shared" si="1059"/>
        <v>70298.578025927287</v>
      </c>
      <c r="BU125" s="162">
        <f t="shared" si="1059"/>
        <v>65933.00872388923</v>
      </c>
      <c r="BV125" s="162">
        <f t="shared" si="1059"/>
        <v>61813.775824597295</v>
      </c>
      <c r="BW125" s="162">
        <f t="shared" si="1059"/>
        <v>66242.617609822773</v>
      </c>
      <c r="BX125" s="162">
        <f t="shared" si="1059"/>
        <v>66999.108537178588</v>
      </c>
      <c r="BY125" s="162">
        <f t="shared" si="1059"/>
        <v>70715.719803660439</v>
      </c>
      <c r="BZ125" s="162">
        <f t="shared" si="1059"/>
        <v>64579.672446944547</v>
      </c>
      <c r="CA125" s="162">
        <f t="shared" si="1059"/>
        <v>65426.020558924371</v>
      </c>
      <c r="CB125" s="162">
        <f t="shared" si="1059"/>
        <v>78378.282444719909</v>
      </c>
      <c r="CC125" s="162">
        <f t="shared" si="1059"/>
        <v>81344.216162361758</v>
      </c>
      <c r="CD125" s="162">
        <f t="shared" si="1059"/>
        <v>105428.55699202168</v>
      </c>
      <c r="CE125" s="162">
        <f t="shared" ref="CE125:CF125" si="1060">+CE122+CE123</f>
        <v>100741.3521790196</v>
      </c>
      <c r="CF125" s="162">
        <f t="shared" si="1060"/>
        <v>105503.48303135285</v>
      </c>
      <c r="CG125" s="162">
        <f t="shared" ref="CG125:CH125" si="1061">+CG122+CG123</f>
        <v>87287.361621018164</v>
      </c>
      <c r="CH125" s="162">
        <f t="shared" si="1061"/>
        <v>88634.645000000004</v>
      </c>
      <c r="CI125" s="162">
        <f t="shared" ref="CI125:CJ125" si="1062">+CI122+CI123</f>
        <v>96119.445444813842</v>
      </c>
      <c r="CJ125" s="162">
        <f t="shared" si="1062"/>
        <v>102446.99249999999</v>
      </c>
      <c r="CK125" s="162">
        <f t="shared" ref="CK125:CL125" si="1063">+CK122+CK123</f>
        <v>108546.76994109828</v>
      </c>
      <c r="CL125" s="162">
        <f t="shared" si="1063"/>
        <v>97880.18</v>
      </c>
      <c r="CM125" s="21">
        <f t="shared" ref="CM125:DB125" si="1064">+CM122+CM123</f>
        <v>105598.46565080737</v>
      </c>
      <c r="CN125" s="21">
        <f t="shared" si="1064"/>
        <v>112153.49836580254</v>
      </c>
      <c r="CO125" s="21">
        <f t="shared" si="1064"/>
        <v>120430.91095339427</v>
      </c>
      <c r="CP125" s="21">
        <f t="shared" si="1064"/>
        <v>131626.93139152497</v>
      </c>
      <c r="CQ125" s="21">
        <f t="shared" si="1064"/>
        <v>138601.62859854096</v>
      </c>
      <c r="CR125" s="21">
        <f t="shared" si="1064"/>
        <v>145147.01587886101</v>
      </c>
      <c r="CS125" s="21">
        <f t="shared" si="1064"/>
        <v>151016.7361458182</v>
      </c>
      <c r="CT125" s="21">
        <f t="shared" si="1064"/>
        <v>156675.23673155182</v>
      </c>
      <c r="CU125" s="21">
        <f t="shared" si="1064"/>
        <v>163937.60907461235</v>
      </c>
      <c r="CV125" s="21">
        <f t="shared" si="1064"/>
        <v>171385.36472643426</v>
      </c>
      <c r="CW125" s="21">
        <f t="shared" si="1064"/>
        <v>178786.66220218633</v>
      </c>
      <c r="CX125" s="21">
        <f t="shared" si="1064"/>
        <v>186887.63032663908</v>
      </c>
      <c r="CY125" s="21">
        <f t="shared" si="1064"/>
        <v>195002.1611412346</v>
      </c>
      <c r="CZ125" s="21">
        <f t="shared" si="1064"/>
        <v>203584.44361815677</v>
      </c>
      <c r="DA125" s="21">
        <f t="shared" si="1064"/>
        <v>212222.16091419072</v>
      </c>
      <c r="DB125" s="21">
        <f t="shared" si="1064"/>
        <v>221673.58604992871</v>
      </c>
      <c r="DE125" s="22"/>
      <c r="DF125" s="162">
        <v>98653.888165245502</v>
      </c>
    </row>
    <row r="126" spans="1:110" s="162" customFormat="1" x14ac:dyDescent="0.2">
      <c r="A126" s="49" t="s">
        <v>13</v>
      </c>
      <c r="B126" s="162">
        <f t="shared" ref="B126:AE126" si="1065">+B42</f>
        <v>104.66500000000008</v>
      </c>
      <c r="C126" s="162">
        <f t="shared" si="1065"/>
        <v>353.44339999999966</v>
      </c>
      <c r="D126" s="162">
        <f t="shared" si="1065"/>
        <v>329.0683999999992</v>
      </c>
      <c r="E126" s="162">
        <f t="shared" si="1065"/>
        <v>460.08539999999994</v>
      </c>
      <c r="F126" s="162">
        <f t="shared" si="1065"/>
        <v>520.15260000000035</v>
      </c>
      <c r="G126" s="162">
        <f t="shared" si="1065"/>
        <v>544.1560000000004</v>
      </c>
      <c r="H126" s="162">
        <f t="shared" si="1065"/>
        <v>680.14220000000023</v>
      </c>
      <c r="I126" s="162">
        <f t="shared" si="1065"/>
        <v>681.23589999999922</v>
      </c>
      <c r="J126" s="162">
        <f t="shared" si="1065"/>
        <v>619.37440000000015</v>
      </c>
      <c r="K126" s="162">
        <f t="shared" si="1065"/>
        <v>683.45669999999973</v>
      </c>
      <c r="L126" s="162">
        <f t="shared" si="1065"/>
        <v>608.11439999999948</v>
      </c>
      <c r="M126" s="162">
        <f t="shared" si="1065"/>
        <v>623.05420000000004</v>
      </c>
      <c r="N126" s="162">
        <f t="shared" si="1065"/>
        <v>768.48970000000099</v>
      </c>
      <c r="O126" s="162">
        <f t="shared" si="1065"/>
        <v>751.88689999999951</v>
      </c>
      <c r="P126" s="162">
        <f t="shared" si="1065"/>
        <v>774.84999999999854</v>
      </c>
      <c r="Q126" s="162">
        <f t="shared" si="1065"/>
        <v>654.33000000000038</v>
      </c>
      <c r="R126" s="162">
        <f t="shared" si="1065"/>
        <v>791.12999999999965</v>
      </c>
      <c r="S126" s="162">
        <f t="shared" si="1065"/>
        <v>838.91000000000031</v>
      </c>
      <c r="T126" s="162">
        <f t="shared" si="1065"/>
        <v>785.90999999999985</v>
      </c>
      <c r="U126" s="162">
        <f t="shared" si="1065"/>
        <v>1292.1499999999987</v>
      </c>
      <c r="V126" s="162">
        <f t="shared" si="1065"/>
        <v>1543.7600000000011</v>
      </c>
      <c r="W126" s="162">
        <f t="shared" si="1065"/>
        <v>1718.7800000000007</v>
      </c>
      <c r="X126" s="162">
        <f t="shared" si="1065"/>
        <v>1851.5499999999993</v>
      </c>
      <c r="Y126" s="162">
        <f t="shared" si="1065"/>
        <v>2279.9500000000007</v>
      </c>
      <c r="Z126" s="162">
        <f t="shared" si="1065"/>
        <v>2479.3500000000013</v>
      </c>
      <c r="AA126" s="162">
        <f t="shared" ref="AA126" si="1066">+AA42</f>
        <v>2791.8</v>
      </c>
      <c r="AB126" s="21">
        <f t="shared" si="1065"/>
        <v>3383.8374991891324</v>
      </c>
      <c r="AC126" s="21">
        <f t="shared" si="1065"/>
        <v>3864.7229524602099</v>
      </c>
      <c r="AD126" s="21">
        <f t="shared" si="1065"/>
        <v>4394.9011832461201</v>
      </c>
      <c r="AE126" s="21">
        <f t="shared" si="1065"/>
        <v>4999.3824219795169</v>
      </c>
      <c r="AL126" s="162">
        <f t="shared" ref="AL126:BQ126" si="1067">+SUM(AI42:AL42)</f>
        <v>768.4899999999999</v>
      </c>
      <c r="AM126" s="162">
        <f t="shared" si="1067"/>
        <v>794.82999999999959</v>
      </c>
      <c r="AN126" s="162">
        <f t="shared" si="1067"/>
        <v>791.51999999999953</v>
      </c>
      <c r="AO126" s="162">
        <f t="shared" si="1067"/>
        <v>784.54999999999984</v>
      </c>
      <c r="AP126" s="162">
        <f t="shared" si="1067"/>
        <v>751.89</v>
      </c>
      <c r="AQ126" s="162">
        <f t="shared" si="1067"/>
        <v>746.07</v>
      </c>
      <c r="AR126" s="162">
        <f t="shared" si="1067"/>
        <v>774.19</v>
      </c>
      <c r="AS126" s="162">
        <f t="shared" si="1067"/>
        <v>777.15000000000032</v>
      </c>
      <c r="AT126" s="162">
        <f t="shared" si="1067"/>
        <v>774.86000000000024</v>
      </c>
      <c r="AU126" s="162">
        <f t="shared" si="1067"/>
        <v>756.18</v>
      </c>
      <c r="AV126" s="162">
        <f t="shared" si="1067"/>
        <v>710.93999999999983</v>
      </c>
      <c r="AW126" s="162">
        <f t="shared" si="1067"/>
        <v>682.63999999999942</v>
      </c>
      <c r="AX126" s="162">
        <f t="shared" si="1067"/>
        <v>654.32999999999936</v>
      </c>
      <c r="AY126" s="162">
        <f t="shared" si="1067"/>
        <v>710.1999999999997</v>
      </c>
      <c r="AZ126" s="162">
        <f t="shared" si="1067"/>
        <v>755.43999999999971</v>
      </c>
      <c r="BA126" s="162">
        <f t="shared" si="1067"/>
        <v>765.99999999999977</v>
      </c>
      <c r="BB126" s="162">
        <f t="shared" si="1067"/>
        <v>791.41</v>
      </c>
      <c r="BC126" s="162">
        <f t="shared" si="1067"/>
        <v>797.09000000000015</v>
      </c>
      <c r="BD126" s="162">
        <f t="shared" si="1067"/>
        <v>825.07000000000028</v>
      </c>
      <c r="BE126" s="162">
        <f t="shared" si="1067"/>
        <v>878.67000000000053</v>
      </c>
      <c r="BF126" s="162">
        <f t="shared" si="1067"/>
        <v>838.91000000000076</v>
      </c>
      <c r="BG126" s="162">
        <f t="shared" si="1067"/>
        <v>843.51000000000067</v>
      </c>
      <c r="BH126" s="162">
        <f t="shared" si="1067"/>
        <v>796.20000000000027</v>
      </c>
      <c r="BI126" s="162">
        <f t="shared" si="1067"/>
        <v>757.34</v>
      </c>
      <c r="BJ126" s="162">
        <f t="shared" si="1067"/>
        <v>785.90999999999974</v>
      </c>
      <c r="BK126" s="162">
        <f t="shared" si="1067"/>
        <v>888.00999999999976</v>
      </c>
      <c r="BL126" s="162">
        <f t="shared" si="1067"/>
        <v>1036.1500000000001</v>
      </c>
      <c r="BM126" s="162">
        <f t="shared" si="1067"/>
        <v>1158.0600000000004</v>
      </c>
      <c r="BN126" s="162">
        <f t="shared" si="1067"/>
        <v>1292.1500000000005</v>
      </c>
      <c r="BO126" s="162">
        <f t="shared" si="1067"/>
        <v>1423.9300000000003</v>
      </c>
      <c r="BP126" s="162">
        <f t="shared" si="1067"/>
        <v>1508.7200000000007</v>
      </c>
      <c r="BQ126" s="162">
        <f t="shared" si="1067"/>
        <v>1551.9200000000003</v>
      </c>
      <c r="BR126" s="162">
        <f t="shared" ref="BR126:CW126" si="1068">+SUM(BO42:BR42)</f>
        <v>1543.76</v>
      </c>
      <c r="BS126" s="162">
        <f t="shared" si="1068"/>
        <v>1460.6</v>
      </c>
      <c r="BT126" s="162">
        <f t="shared" si="1068"/>
        <v>1474.3199999999995</v>
      </c>
      <c r="BU126" s="162">
        <f t="shared" si="1068"/>
        <v>1574.6499999999996</v>
      </c>
      <c r="BV126" s="162">
        <f t="shared" si="1068"/>
        <v>1718.7799999999995</v>
      </c>
      <c r="BW126" s="162">
        <f t="shared" si="1068"/>
        <v>1776.5899999999997</v>
      </c>
      <c r="BX126" s="162">
        <f t="shared" si="1068"/>
        <v>1797.1299999999999</v>
      </c>
      <c r="BY126" s="162">
        <f t="shared" si="1068"/>
        <v>1789.13</v>
      </c>
      <c r="BZ126" s="162">
        <f t="shared" si="1068"/>
        <v>1856.47</v>
      </c>
      <c r="CA126" s="162">
        <f t="shared" si="1068"/>
        <v>1944.2000000000007</v>
      </c>
      <c r="CB126" s="162">
        <f t="shared" si="1068"/>
        <v>2047.4500000000005</v>
      </c>
      <c r="CC126" s="162">
        <f t="shared" si="1068"/>
        <v>2166.1700000000005</v>
      </c>
      <c r="CD126" s="162">
        <f t="shared" si="1068"/>
        <v>2284.1000000000004</v>
      </c>
      <c r="CE126" s="162">
        <f t="shared" si="1068"/>
        <v>2406.4500000000003</v>
      </c>
      <c r="CF126" s="162">
        <f t="shared" si="1068"/>
        <v>2495.6499999999996</v>
      </c>
      <c r="CG126" s="162">
        <f t="shared" si="1068"/>
        <v>2488</v>
      </c>
      <c r="CH126" s="162">
        <f t="shared" si="1068"/>
        <v>2479.3500000000004</v>
      </c>
      <c r="CI126" s="162">
        <f t="shared" si="1068"/>
        <v>2418.9100000000003</v>
      </c>
      <c r="CJ126" s="162">
        <f t="shared" si="1068"/>
        <v>2464.3999999999996</v>
      </c>
      <c r="CK126" s="162">
        <f t="shared" si="1068"/>
        <v>2620.3399999999992</v>
      </c>
      <c r="CL126" s="162">
        <f t="shared" si="1068"/>
        <v>2791.7999999999988</v>
      </c>
      <c r="CM126" s="21">
        <f t="shared" si="1068"/>
        <v>2954.9127398770534</v>
      </c>
      <c r="CN126" s="21">
        <f t="shared" si="1068"/>
        <v>3112.0847259280936</v>
      </c>
      <c r="CO126" s="21">
        <f t="shared" si="1068"/>
        <v>3252.5263882092704</v>
      </c>
      <c r="CP126" s="21">
        <f t="shared" si="1068"/>
        <v>3383.837499189136</v>
      </c>
      <c r="CQ126" s="21">
        <f t="shared" si="1068"/>
        <v>3515.7739652052178</v>
      </c>
      <c r="CR126" s="21">
        <f t="shared" si="1068"/>
        <v>3641.1474811830276</v>
      </c>
      <c r="CS126" s="21">
        <f t="shared" si="1068"/>
        <v>3754.0246944413216</v>
      </c>
      <c r="CT126" s="21">
        <f t="shared" si="1068"/>
        <v>3864.722952460208</v>
      </c>
      <c r="CU126" s="21">
        <f t="shared" si="1068"/>
        <v>3993.7680397789982</v>
      </c>
      <c r="CV126" s="21">
        <f t="shared" si="1068"/>
        <v>4125.1485955189337</v>
      </c>
      <c r="CW126" s="21">
        <f t="shared" si="1068"/>
        <v>4254.0991264734366</v>
      </c>
      <c r="CX126" s="21">
        <f t="shared" ref="CX126:DB126" si="1069">+SUM(CU42:CX42)</f>
        <v>4394.9011832461219</v>
      </c>
      <c r="CY126" s="21">
        <f t="shared" si="1069"/>
        <v>4536.5896008614509</v>
      </c>
      <c r="CZ126" s="21">
        <f t="shared" si="1069"/>
        <v>4685.8604719982004</v>
      </c>
      <c r="DA126" s="21">
        <f t="shared" si="1069"/>
        <v>4835.1321533219852</v>
      </c>
      <c r="DB126" s="21">
        <f t="shared" si="1069"/>
        <v>4999.3824219795179</v>
      </c>
      <c r="DE126" s="22"/>
      <c r="DF126" s="162">
        <v>2821.3138817218532</v>
      </c>
    </row>
    <row r="127" spans="1:110" s="162" customFormat="1" x14ac:dyDescent="0.2">
      <c r="A127" s="49" t="s">
        <v>343</v>
      </c>
      <c r="B127" s="162">
        <f>+B124/B126</f>
        <v>4.0986200999252018</v>
      </c>
      <c r="C127" s="162">
        <f t="shared" ref="C127:W127" si="1070">+C124/C126</f>
        <v>4.9983501635771015</v>
      </c>
      <c r="D127" s="162">
        <f t="shared" si="1070"/>
        <v>5.4724440577995406</v>
      </c>
      <c r="E127" s="162">
        <f t="shared" si="1070"/>
        <v>12.333000386209758</v>
      </c>
      <c r="F127" s="162">
        <f t="shared" si="1070"/>
        <v>13.45968278194464</v>
      </c>
      <c r="G127" s="162">
        <f t="shared" si="1070"/>
        <v>21.425169850972363</v>
      </c>
      <c r="H127" s="162">
        <f t="shared" si="1070"/>
        <v>19.485312229487672</v>
      </c>
      <c r="I127" s="162">
        <f t="shared" si="1070"/>
        <v>14.929354800371968</v>
      </c>
      <c r="J127" s="162">
        <f t="shared" si="1070"/>
        <v>17.315995236659795</v>
      </c>
      <c r="K127" s="162">
        <f t="shared" si="1070"/>
        <v>15.008535166103593</v>
      </c>
      <c r="L127" s="162">
        <f t="shared" si="1070"/>
        <v>22.183281557228607</v>
      </c>
      <c r="M127" s="162">
        <f t="shared" si="1070"/>
        <v>20.329713837778407</v>
      </c>
      <c r="N127" s="162">
        <f t="shared" si="1070"/>
        <v>24.007382179413714</v>
      </c>
      <c r="O127" s="162">
        <f t="shared" si="1070"/>
        <v>23.069896252195033</v>
      </c>
      <c r="P127" s="162">
        <f t="shared" si="1070"/>
        <v>23.347809067450161</v>
      </c>
      <c r="Q127" s="162">
        <f t="shared" si="1070"/>
        <v>25.447735303314531</v>
      </c>
      <c r="R127" s="162">
        <f t="shared" si="1070"/>
        <v>19.535200428233875</v>
      </c>
      <c r="S127" s="162">
        <f t="shared" si="1070"/>
        <v>37.428869848019829</v>
      </c>
      <c r="T127" s="162">
        <f t="shared" si="1070"/>
        <v>36.681387605178081</v>
      </c>
      <c r="U127" s="162">
        <f t="shared" si="1070"/>
        <v>29.931847598149467</v>
      </c>
      <c r="V127" s="162">
        <f t="shared" si="1070"/>
        <v>39.916436391186991</v>
      </c>
      <c r="W127" s="162">
        <f t="shared" si="1070"/>
        <v>49.516482855915058</v>
      </c>
      <c r="X127" s="162">
        <f t="shared" ref="X127:Y127" si="1071">+X124/X126</f>
        <v>44.192034905422666</v>
      </c>
      <c r="Y127" s="162">
        <f t="shared" si="1071"/>
        <v>54.544056927304943</v>
      </c>
      <c r="Z127" s="162">
        <f t="shared" ref="Z127:AA127" si="1072">+Z124/Z126</f>
        <v>49.279319721762164</v>
      </c>
      <c r="AA127" s="162">
        <f t="shared" si="1072"/>
        <v>42.493048212622675</v>
      </c>
      <c r="AB127" s="21">
        <f t="shared" ref="AA127:AD127" si="1073">+AB124/AB126</f>
        <v>47.22433623639445</v>
      </c>
      <c r="AC127" s="21">
        <f t="shared" si="1073"/>
        <v>49.30538898331416</v>
      </c>
      <c r="AD127" s="21">
        <f t="shared" si="1073"/>
        <v>51.797144728839655</v>
      </c>
      <c r="AE127" s="21">
        <f t="shared" ref="AE127" si="1074">+AE124/AE126</f>
        <v>54.082248856623885</v>
      </c>
      <c r="AL127" s="162">
        <f t="shared" ref="AL127" si="1075">+AL124/AL126</f>
        <v>21.893161478555871</v>
      </c>
      <c r="AM127" s="162">
        <f t="shared" ref="AM127:AO127" si="1076">+AM124/AM126</f>
        <v>19.083106681549143</v>
      </c>
      <c r="AN127" s="162">
        <f t="shared" si="1076"/>
        <v>20.867437024612236</v>
      </c>
      <c r="AO127" s="162">
        <f t="shared" si="1076"/>
        <v>21.830883073538409</v>
      </c>
      <c r="AP127" s="162">
        <f t="shared" ref="AP127:CD127" si="1077">+AP124/AP126</f>
        <v>22.037281238617947</v>
      </c>
      <c r="AQ127" s="162">
        <f t="shared" si="1077"/>
        <v>23.979086019778954</v>
      </c>
      <c r="AR127" s="162">
        <f t="shared" si="1077"/>
        <v>23.506628005487762</v>
      </c>
      <c r="AS127" s="162">
        <f t="shared" si="1077"/>
        <v>22.067528050888289</v>
      </c>
      <c r="AT127" s="162">
        <f t="shared" si="1077"/>
        <v>22.078367142475244</v>
      </c>
      <c r="AU127" s="162">
        <f t="shared" si="1077"/>
        <v>21.717031707652279</v>
      </c>
      <c r="AV127" s="162">
        <f t="shared" si="1077"/>
        <v>21.555172141423487</v>
      </c>
      <c r="AW127" s="162">
        <f t="shared" si="1077"/>
        <v>22.530797833025307</v>
      </c>
      <c r="AX127" s="162">
        <f t="shared" si="1077"/>
        <v>22.739344922057864</v>
      </c>
      <c r="AY127" s="162">
        <f t="shared" si="1077"/>
        <v>18.472674281011475</v>
      </c>
      <c r="AZ127" s="162">
        <f t="shared" si="1077"/>
        <v>19.12274169672293</v>
      </c>
      <c r="BA127" s="162">
        <f t="shared" si="1077"/>
        <v>19.947937296329489</v>
      </c>
      <c r="BB127" s="162">
        <f t="shared" si="1077"/>
        <v>19.04270783373109</v>
      </c>
      <c r="BC127" s="162">
        <f t="shared" si="1077"/>
        <v>19.864062324118439</v>
      </c>
      <c r="BD127" s="162">
        <f t="shared" si="1077"/>
        <v>25.450315998739015</v>
      </c>
      <c r="BE127" s="162">
        <f t="shared" si="1077"/>
        <v>34.449580781146338</v>
      </c>
      <c r="BF127" s="162">
        <f t="shared" si="1077"/>
        <v>37.41140953681959</v>
      </c>
      <c r="BG127" s="162">
        <f t="shared" si="1077"/>
        <v>33.820956353892775</v>
      </c>
      <c r="BH127" s="162">
        <f t="shared" si="1077"/>
        <v>34.675858297066391</v>
      </c>
      <c r="BI127" s="162">
        <f t="shared" si="1077"/>
        <v>30.810978498064436</v>
      </c>
      <c r="BJ127" s="162">
        <f t="shared" si="1077"/>
        <v>26.766494547042331</v>
      </c>
      <c r="BK127" s="162">
        <f t="shared" si="1077"/>
        <v>30.419335658117859</v>
      </c>
      <c r="BL127" s="162">
        <f t="shared" si="1077"/>
        <v>26.790879814052264</v>
      </c>
      <c r="BM127" s="162">
        <f t="shared" si="1077"/>
        <v>27.494827648835916</v>
      </c>
      <c r="BN127" s="162">
        <f t="shared" si="1077"/>
        <v>29.871529979012568</v>
      </c>
      <c r="BO127" s="162">
        <f t="shared" si="1077"/>
        <v>26.140592601858216</v>
      </c>
      <c r="BP127" s="162">
        <f t="shared" si="1077"/>
        <v>37.422328779768499</v>
      </c>
      <c r="BQ127" s="162">
        <f t="shared" si="1077"/>
        <v>37.950394567072635</v>
      </c>
      <c r="BR127" s="162">
        <f t="shared" si="1077"/>
        <v>39.912259354246814</v>
      </c>
      <c r="BS127" s="162">
        <f t="shared" si="1077"/>
        <v>50.015094014747682</v>
      </c>
      <c r="BT127" s="162">
        <f t="shared" si="1077"/>
        <v>57.586005450127331</v>
      </c>
      <c r="BU127" s="162">
        <f t="shared" si="1077"/>
        <v>52.156169383786491</v>
      </c>
      <c r="BV127" s="162">
        <f t="shared" si="1077"/>
        <v>43.455458594875125</v>
      </c>
      <c r="BW127" s="162">
        <f t="shared" si="1077"/>
        <v>44.90289823246485</v>
      </c>
      <c r="BX127" s="162">
        <f t="shared" si="1077"/>
        <v>46.164793023536326</v>
      </c>
      <c r="BY127" s="162">
        <f t="shared" si="1077"/>
        <v>44.053790532828053</v>
      </c>
      <c r="BZ127" s="162">
        <f t="shared" si="1077"/>
        <v>39.829727106352586</v>
      </c>
      <c r="CA127" s="162">
        <f t="shared" si="1077"/>
        <v>42.725647153792764</v>
      </c>
      <c r="CB127" s="162">
        <f t="shared" si="1077"/>
        <v>42.467288236394552</v>
      </c>
      <c r="CC127" s="162">
        <f t="shared" si="1077"/>
        <v>48.335495924093898</v>
      </c>
      <c r="CD127" s="162">
        <f t="shared" si="1077"/>
        <v>54.439465204644279</v>
      </c>
      <c r="CE127" s="162">
        <f t="shared" ref="CE127:CF127" si="1078">+CE124/CE126</f>
        <v>47.95512674630362</v>
      </c>
      <c r="CF127" s="162">
        <f t="shared" si="1078"/>
        <v>49.457294657519569</v>
      </c>
      <c r="CG127" s="162">
        <f t="shared" ref="CG127:CH127" si="1079">+CG124/CG126</f>
        <v>47.871677701373862</v>
      </c>
      <c r="CH127" s="162">
        <f t="shared" si="1079"/>
        <v>42.386121362453864</v>
      </c>
      <c r="CI127" s="162">
        <f t="shared" ref="CI127:CJ127" si="1080">+CI124/CI126</f>
        <v>47.54579560414146</v>
      </c>
      <c r="CJ127" s="162">
        <f t="shared" si="1080"/>
        <v>45.933253530271067</v>
      </c>
      <c r="CK127" s="162">
        <f t="shared" ref="CK127:CL127" si="1081">+CK124/CK126</f>
        <v>45.112175305913858</v>
      </c>
      <c r="CL127" s="162">
        <f t="shared" si="1081"/>
        <v>42.493048212622696</v>
      </c>
      <c r="CM127" s="21">
        <f t="shared" ref="CM127:DB127" si="1082">+CM124/CM126</f>
        <v>43.333445880893322</v>
      </c>
      <c r="CN127" s="21">
        <f t="shared" si="1082"/>
        <v>43.720300585659437</v>
      </c>
      <c r="CO127" s="21">
        <f t="shared" si="1082"/>
        <v>44.939054394612647</v>
      </c>
      <c r="CP127" s="21">
        <f t="shared" si="1082"/>
        <v>47.2243362363944</v>
      </c>
      <c r="CQ127" s="21">
        <f t="shared" si="1082"/>
        <v>47.881636415574953</v>
      </c>
      <c r="CR127" s="21">
        <f t="shared" si="1082"/>
        <v>48.436996099274403</v>
      </c>
      <c r="CS127" s="21">
        <f t="shared" si="1082"/>
        <v>48.90341741555082</v>
      </c>
      <c r="CT127" s="21">
        <f t="shared" si="1082"/>
        <v>49.305388983314181</v>
      </c>
      <c r="CU127" s="21">
        <f t="shared" si="1082"/>
        <v>49.944373177562156</v>
      </c>
      <c r="CV127" s="21">
        <f t="shared" si="1082"/>
        <v>50.569402137397056</v>
      </c>
      <c r="CW127" s="21">
        <f t="shared" si="1082"/>
        <v>51.174258449685929</v>
      </c>
      <c r="CX127" s="21">
        <f t="shared" si="1082"/>
        <v>51.797144728839633</v>
      </c>
      <c r="CY127" s="21">
        <f t="shared" si="1082"/>
        <v>52.37770973110208</v>
      </c>
      <c r="CZ127" s="21">
        <f t="shared" si="1082"/>
        <v>52.958300840640952</v>
      </c>
      <c r="DA127" s="21">
        <f t="shared" si="1082"/>
        <v>53.519330010932535</v>
      </c>
      <c r="DB127" s="21">
        <f t="shared" si="1082"/>
        <v>54.082248856623877</v>
      </c>
      <c r="DE127" s="22"/>
      <c r="DF127" s="162">
        <v>42.322020225687616</v>
      </c>
    </row>
    <row r="128" spans="1:110" s="162" customFormat="1" x14ac:dyDescent="0.2">
      <c r="A128" s="49" t="s">
        <v>344</v>
      </c>
      <c r="B128" s="162">
        <f>+B125/B126</f>
        <v>2.811780072156798</v>
      </c>
      <c r="C128" s="162">
        <f t="shared" ref="C128:W128" si="1083">+C125/C126</f>
        <v>4.7917500115717688</v>
      </c>
      <c r="D128" s="162">
        <f t="shared" si="1083"/>
        <v>5.3504392688741094</v>
      </c>
      <c r="E128" s="162">
        <f t="shared" si="1083"/>
        <v>7.4275390274830224</v>
      </c>
      <c r="F128" s="162">
        <f t="shared" si="1083"/>
        <v>8.164211792607011</v>
      </c>
      <c r="G128" s="162">
        <f t="shared" si="1083"/>
        <v>11.599587901570537</v>
      </c>
      <c r="H128" s="162">
        <f t="shared" si="1083"/>
        <v>14.315253710882056</v>
      </c>
      <c r="I128" s="162">
        <f t="shared" si="1083"/>
        <v>8.7897680804763727</v>
      </c>
      <c r="J128" s="162">
        <f t="shared" si="1083"/>
        <v>8.9361567520124225</v>
      </c>
      <c r="K128" s="162">
        <f t="shared" si="1083"/>
        <v>7.8613312098910759</v>
      </c>
      <c r="L128" s="162">
        <f t="shared" si="1083"/>
        <v>13.583986066185005</v>
      </c>
      <c r="M128" s="162">
        <f t="shared" si="1083"/>
        <v>12.689640783526121</v>
      </c>
      <c r="N128" s="162">
        <f t="shared" si="1083"/>
        <v>13.615878792303969</v>
      </c>
      <c r="O128" s="162">
        <f t="shared" si="1083"/>
        <v>17.323915999202701</v>
      </c>
      <c r="P128" s="162">
        <f t="shared" si="1083"/>
        <v>18.33346796522034</v>
      </c>
      <c r="Q128" s="162">
        <f t="shared" si="1083"/>
        <v>15.991870469705475</v>
      </c>
      <c r="R128" s="162">
        <f t="shared" si="1083"/>
        <v>14.203971590057932</v>
      </c>
      <c r="S128" s="162">
        <f t="shared" si="1083"/>
        <v>15.489238454910984</v>
      </c>
      <c r="T128" s="162">
        <f t="shared" si="1083"/>
        <v>21.470728954069791</v>
      </c>
      <c r="U128" s="162">
        <f t="shared" si="1083"/>
        <v>13.823199637233639</v>
      </c>
      <c r="V128" s="162">
        <f t="shared" si="1083"/>
        <v>15.295946083589369</v>
      </c>
      <c r="W128" s="162">
        <f t="shared" si="1083"/>
        <v>33.891779253564678</v>
      </c>
      <c r="X128" s="162">
        <f t="shared" ref="X128:Y128" si="1084">+X125/X126</f>
        <v>34.882362529820028</v>
      </c>
      <c r="Y128" s="162">
        <f t="shared" si="1084"/>
        <v>29.974378997147575</v>
      </c>
      <c r="Z128" s="162">
        <f t="shared" ref="Z128:AA128" si="1085">+Z125/Z126</f>
        <v>34.774924879504695</v>
      </c>
      <c r="AA128" s="162">
        <f t="shared" si="1085"/>
        <v>34.283600544451602</v>
      </c>
      <c r="AB128" s="21">
        <f t="shared" ref="AA128:AD128" si="1086">+AB125/AB126</f>
        <v>30.742701254498595</v>
      </c>
      <c r="AC128" s="21">
        <f t="shared" si="1086"/>
        <v>35.378940743771267</v>
      </c>
      <c r="AD128" s="21">
        <f t="shared" si="1086"/>
        <v>36.789682880849035</v>
      </c>
      <c r="AE128" s="21">
        <f t="shared" ref="AE128" si="1087">+AE125/AE126</f>
        <v>38.467042366842016</v>
      </c>
      <c r="AL128" s="162">
        <f t="shared" ref="AL128:AM128" si="1088">+AL125/AL126</f>
        <v>15.92850945546026</v>
      </c>
      <c r="AM128" s="162">
        <f t="shared" si="1088"/>
        <v>15.720054779023338</v>
      </c>
      <c r="AN128" s="162">
        <f t="shared" ref="AN128:AO128" si="1089">+AN125/AN126</f>
        <v>16.823541738894818</v>
      </c>
      <c r="AO128" s="162">
        <f t="shared" si="1089"/>
        <v>18.193301722657985</v>
      </c>
      <c r="AP128" s="162">
        <f t="shared" ref="AP128:CD128" si="1090">+AP125/AP126</f>
        <v>18.495165988650328</v>
      </c>
      <c r="AQ128" s="162">
        <f t="shared" si="1090"/>
        <v>19.400640054853344</v>
      </c>
      <c r="AR128" s="162">
        <f t="shared" si="1090"/>
        <v>19.915050826842883</v>
      </c>
      <c r="AS128" s="162">
        <f t="shared" si="1090"/>
        <v>18.470766295094979</v>
      </c>
      <c r="AT128" s="162">
        <f t="shared" si="1090"/>
        <v>18.925052870730937</v>
      </c>
      <c r="AU128" s="162">
        <f t="shared" si="1090"/>
        <v>16.889602547497152</v>
      </c>
      <c r="AV128" s="162">
        <f t="shared" si="1090"/>
        <v>16.303701970086131</v>
      </c>
      <c r="AW128" s="162">
        <f t="shared" si="1090"/>
        <v>18.987285402406272</v>
      </c>
      <c r="AX128" s="162">
        <f t="shared" si="1090"/>
        <v>15.31582213073173</v>
      </c>
      <c r="AY128" s="162">
        <f t="shared" si="1090"/>
        <v>16.263932946148604</v>
      </c>
      <c r="AZ128" s="162">
        <f t="shared" si="1090"/>
        <v>16.535240800181661</v>
      </c>
      <c r="BA128" s="162">
        <f t="shared" si="1090"/>
        <v>14.442364360639962</v>
      </c>
      <c r="BB128" s="162">
        <f t="shared" si="1090"/>
        <v>15.041473685566922</v>
      </c>
      <c r="BC128" s="162">
        <f t="shared" si="1090"/>
        <v>17.129750803248072</v>
      </c>
      <c r="BD128" s="162">
        <f t="shared" si="1090"/>
        <v>17.08134891109512</v>
      </c>
      <c r="BE128" s="162">
        <f t="shared" si="1090"/>
        <v>21.758157301455661</v>
      </c>
      <c r="BF128" s="162">
        <f t="shared" si="1090"/>
        <v>28.225190082183964</v>
      </c>
      <c r="BG128" s="162">
        <f t="shared" si="1090"/>
        <v>26.625607504485092</v>
      </c>
      <c r="BH128" s="162">
        <f t="shared" si="1090"/>
        <v>25.843857186760186</v>
      </c>
      <c r="BI128" s="162">
        <f t="shared" si="1090"/>
        <v>24.939182058131298</v>
      </c>
      <c r="BJ128" s="162">
        <f t="shared" si="1090"/>
        <v>21.437705826223283</v>
      </c>
      <c r="BK128" s="162">
        <f t="shared" si="1090"/>
        <v>21.339320321812501</v>
      </c>
      <c r="BL128" s="162">
        <f t="shared" si="1090"/>
        <v>22.829220283777293</v>
      </c>
      <c r="BM128" s="162">
        <f t="shared" si="1090"/>
        <v>21.81078891314808</v>
      </c>
      <c r="BN128" s="162">
        <f t="shared" si="1090"/>
        <v>15.201623609432843</v>
      </c>
      <c r="BO128" s="162">
        <f t="shared" si="1090"/>
        <v>17.149071960953187</v>
      </c>
      <c r="BP128" s="162">
        <f t="shared" si="1090"/>
        <v>23.773154532607368</v>
      </c>
      <c r="BQ128" s="162">
        <f t="shared" si="1090"/>
        <v>28.006344782193437</v>
      </c>
      <c r="BR128" s="162">
        <f t="shared" si="1090"/>
        <v>33.688909388030424</v>
      </c>
      <c r="BS128" s="162">
        <f t="shared" si="1090"/>
        <v>39.466048436777257</v>
      </c>
      <c r="BT128" s="162">
        <f t="shared" si="1090"/>
        <v>47.682035125296622</v>
      </c>
      <c r="BU128" s="162">
        <f t="shared" si="1090"/>
        <v>41.871532546209792</v>
      </c>
      <c r="BV128" s="162">
        <f t="shared" si="1090"/>
        <v>35.963750930658556</v>
      </c>
      <c r="BW128" s="162">
        <f t="shared" si="1090"/>
        <v>37.286384371083244</v>
      </c>
      <c r="BX128" s="162">
        <f t="shared" si="1090"/>
        <v>37.281169719040129</v>
      </c>
      <c r="BY128" s="162">
        <f t="shared" si="1090"/>
        <v>39.525199288850132</v>
      </c>
      <c r="BZ128" s="162">
        <f t="shared" si="1090"/>
        <v>34.786273113459707</v>
      </c>
      <c r="CA128" s="162">
        <f t="shared" si="1090"/>
        <v>33.651898240368453</v>
      </c>
      <c r="CB128" s="162">
        <f t="shared" si="1090"/>
        <v>38.280926247146397</v>
      </c>
      <c r="CC128" s="162">
        <f t="shared" si="1090"/>
        <v>37.552092477673376</v>
      </c>
      <c r="CD128" s="162">
        <f t="shared" si="1090"/>
        <v>46.157592483701094</v>
      </c>
      <c r="CE128" s="162">
        <f t="shared" ref="CE128:CF128" si="1091">+CE125/CE126</f>
        <v>41.863056443732297</v>
      </c>
      <c r="CF128" s="162">
        <f t="shared" si="1091"/>
        <v>42.274951628374517</v>
      </c>
      <c r="CG128" s="162">
        <f t="shared" ref="CG128:CH128" si="1092">+CG125/CG126</f>
        <v>35.083344702981577</v>
      </c>
      <c r="CH128" s="162">
        <f t="shared" si="1092"/>
        <v>35.749145945509909</v>
      </c>
      <c r="CI128" s="162">
        <f t="shared" ref="CI128:CJ128" si="1093">+CI125/CI126</f>
        <v>39.736677034207069</v>
      </c>
      <c r="CJ128" s="162">
        <f t="shared" si="1093"/>
        <v>41.570764689173842</v>
      </c>
      <c r="CK128" s="162">
        <f t="shared" ref="CK128:CL128" si="1094">+CK125/CK126</f>
        <v>41.424689139996453</v>
      </c>
      <c r="CL128" s="162">
        <f t="shared" si="1094"/>
        <v>35.059882513074015</v>
      </c>
      <c r="CM128" s="21">
        <f t="shared" ref="CM128:DB128" si="1095">+CM125/CM126</f>
        <v>35.736576659519585</v>
      </c>
      <c r="CN128" s="21">
        <f t="shared" si="1095"/>
        <v>36.038060735109276</v>
      </c>
      <c r="CO128" s="21">
        <f t="shared" si="1095"/>
        <v>37.02688205389147</v>
      </c>
      <c r="CP128" s="21">
        <f t="shared" si="1095"/>
        <v>38.898715267227381</v>
      </c>
      <c r="CQ128" s="21">
        <f t="shared" si="1095"/>
        <v>39.422792810416269</v>
      </c>
      <c r="CR128" s="21">
        <f t="shared" si="1095"/>
        <v>39.862987321706065</v>
      </c>
      <c r="CS128" s="21">
        <f t="shared" si="1095"/>
        <v>40.227954911813036</v>
      </c>
      <c r="CT128" s="21">
        <f t="shared" si="1095"/>
        <v>40.539836531313426</v>
      </c>
      <c r="CU128" s="21">
        <f t="shared" si="1095"/>
        <v>41.048355197835704</v>
      </c>
      <c r="CV128" s="21">
        <f t="shared" si="1095"/>
        <v>41.546470571413295</v>
      </c>
      <c r="CW128" s="21">
        <f t="shared" si="1095"/>
        <v>42.026914955880898</v>
      </c>
      <c r="CX128" s="21">
        <f t="shared" si="1095"/>
        <v>42.523738881564988</v>
      </c>
      <c r="CY128" s="21">
        <f t="shared" si="1095"/>
        <v>42.98430722148764</v>
      </c>
      <c r="CZ128" s="21">
        <f t="shared" si="1095"/>
        <v>43.446544094673371</v>
      </c>
      <c r="DA128" s="21">
        <f t="shared" si="1095"/>
        <v>43.891698134534579</v>
      </c>
      <c r="DB128" s="21">
        <f t="shared" si="1095"/>
        <v>44.340193915823008</v>
      </c>
      <c r="DE128" s="22"/>
      <c r="DF128" s="162">
        <v>34.967356452036043</v>
      </c>
    </row>
    <row r="129" spans="1:110" s="10" customFormat="1" x14ac:dyDescent="0.2">
      <c r="A129" s="149" t="s">
        <v>490</v>
      </c>
      <c r="AB129" s="20"/>
      <c r="AC129" s="20"/>
      <c r="AD129" s="20"/>
      <c r="AE129" s="20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E129" s="126"/>
    </row>
    <row r="130" spans="1:110" x14ac:dyDescent="0.2">
      <c r="A130" s="152" t="s">
        <v>491</v>
      </c>
      <c r="AA130" s="2"/>
      <c r="CL130" s="2"/>
    </row>
    <row r="131" spans="1:110" s="23" customFormat="1" outlineLevel="1" x14ac:dyDescent="0.2">
      <c r="A131" s="23" t="s">
        <v>41</v>
      </c>
      <c r="B131" s="23">
        <f>'Annual Raw'!C41</f>
        <v>56.219900000000003</v>
      </c>
      <c r="C131" s="23">
        <f>'Annual Raw'!D41</f>
        <v>56.219900000000003</v>
      </c>
      <c r="D131" s="23">
        <f>'Annual Raw'!E41</f>
        <v>56.219900000000003</v>
      </c>
      <c r="E131" s="23">
        <f>'Annual Raw'!F41</f>
        <v>56.021700000000003</v>
      </c>
      <c r="F131" s="23">
        <f>'Annual Raw'!G41</f>
        <v>56.021700000000003</v>
      </c>
      <c r="G131" s="23">
        <f>'Annual Raw'!H41</f>
        <v>56.021700000000003</v>
      </c>
      <c r="H131" s="23">
        <f>'Annual Raw'!I41</f>
        <v>58.831699999999998</v>
      </c>
      <c r="I131" s="23">
        <f>'Annual Raw'!J41</f>
        <v>61.6417</v>
      </c>
      <c r="J131" s="23">
        <f>'Annual Raw'!K41</f>
        <v>61.6417</v>
      </c>
      <c r="K131" s="23">
        <f>'Annual Raw'!L41</f>
        <v>61.6417</v>
      </c>
      <c r="L131" s="23">
        <f>'Annual Raw'!M41</f>
        <v>61.741700000000002</v>
      </c>
      <c r="M131" s="23">
        <f>'Annual Raw'!N41</f>
        <v>61.8399</v>
      </c>
      <c r="N131" s="23">
        <f>'Annual Raw'!O41</f>
        <v>61.8399</v>
      </c>
      <c r="O131" s="23">
        <f>'Annual Raw'!P41</f>
        <v>61.8399</v>
      </c>
      <c r="P131" s="23">
        <f>'Annual Raw'!Q41</f>
        <v>61.84</v>
      </c>
      <c r="Q131" s="23">
        <f>'Annual Raw'!R41</f>
        <v>63.11</v>
      </c>
      <c r="R131" s="23">
        <f>'Annual Raw'!S41</f>
        <v>63.11</v>
      </c>
      <c r="S131" s="23">
        <f>'Annual Raw'!T41</f>
        <v>63.11</v>
      </c>
      <c r="T131" s="23">
        <f>'Annual Raw'!U41</f>
        <v>63.11</v>
      </c>
      <c r="U131" s="23">
        <f>'Annual Raw'!V41</f>
        <v>92.16</v>
      </c>
      <c r="V131" s="23">
        <f>'Annual Raw'!W41</f>
        <v>92.16</v>
      </c>
      <c r="W131" s="23">
        <f>'Annual Raw'!X41</f>
        <v>92.16</v>
      </c>
      <c r="X131" s="23">
        <f>'Annual Raw'!Y41</f>
        <v>92.9</v>
      </c>
      <c r="Y131" s="23">
        <f>'Annual Raw'!Z41</f>
        <v>95.28</v>
      </c>
      <c r="Z131" s="23">
        <f>'Annual Raw'!AA41</f>
        <v>98.95</v>
      </c>
      <c r="AA131" s="23">
        <f>'Annual Raw'!AB41</f>
        <v>98.96</v>
      </c>
      <c r="AB131" s="24">
        <f>+CP131</f>
        <v>98.96</v>
      </c>
      <c r="AC131" s="24">
        <f>+CT131</f>
        <v>98.96</v>
      </c>
      <c r="AD131" s="24">
        <f>+CX131</f>
        <v>98.96</v>
      </c>
      <c r="AE131" s="24">
        <f>+DB131</f>
        <v>98.96</v>
      </c>
      <c r="AJ131" s="23">
        <f>+'QTR Raw'!D56</f>
        <v>61.84</v>
      </c>
      <c r="AK131" s="23">
        <f t="shared" ref="AK131:CE131" si="1096">+AJ131</f>
        <v>61.84</v>
      </c>
      <c r="AL131" s="23">
        <f>+'QTR Raw'!F56</f>
        <v>61.84</v>
      </c>
      <c r="AM131" s="23">
        <f t="shared" si="1096"/>
        <v>61.84</v>
      </c>
      <c r="AN131" s="23">
        <f>+'QTR Raw'!H56</f>
        <v>61.84</v>
      </c>
      <c r="AO131" s="23">
        <f t="shared" si="1096"/>
        <v>61.84</v>
      </c>
      <c r="AP131" s="23">
        <f>+'QTR Raw'!J56</f>
        <v>61.84</v>
      </c>
      <c r="AQ131" s="23">
        <f t="shared" si="1096"/>
        <v>61.84</v>
      </c>
      <c r="AR131" s="23">
        <f>+'QTR Raw'!L56</f>
        <v>61.84</v>
      </c>
      <c r="AS131" s="23">
        <f t="shared" si="1096"/>
        <v>61.84</v>
      </c>
      <c r="AT131" s="23">
        <f>+'QTR Raw'!N56</f>
        <v>61.84</v>
      </c>
      <c r="AU131" s="23">
        <f t="shared" si="1096"/>
        <v>61.84</v>
      </c>
      <c r="AV131" s="23">
        <f>+'QTR Raw'!P56</f>
        <v>63.06</v>
      </c>
      <c r="AW131" s="23">
        <f t="shared" si="1096"/>
        <v>63.06</v>
      </c>
      <c r="AX131" s="23">
        <f>+'QTR Raw'!R56</f>
        <v>63.11</v>
      </c>
      <c r="AY131" s="23">
        <f t="shared" si="1096"/>
        <v>63.11</v>
      </c>
      <c r="AZ131" s="23">
        <f>+'QTR Raw'!T56</f>
        <v>63.11</v>
      </c>
      <c r="BA131" s="23">
        <f t="shared" si="1096"/>
        <v>63.11</v>
      </c>
      <c r="BB131" s="23">
        <f>+'QTR Raw'!V56</f>
        <v>63.11</v>
      </c>
      <c r="BC131" s="23">
        <f t="shared" si="1096"/>
        <v>63.11</v>
      </c>
      <c r="BD131" s="23">
        <f>+'QTR Raw'!X56</f>
        <v>63.11</v>
      </c>
      <c r="BE131" s="23">
        <f t="shared" si="1096"/>
        <v>63.11</v>
      </c>
      <c r="BF131" s="23">
        <f>+'QTR Raw'!Z56</f>
        <v>63.11</v>
      </c>
      <c r="BG131" s="23">
        <f t="shared" si="1096"/>
        <v>63.11</v>
      </c>
      <c r="BH131" s="23">
        <f>+'QTR Raw'!AB56</f>
        <v>63.11</v>
      </c>
      <c r="BI131" s="23">
        <f t="shared" si="1096"/>
        <v>63.11</v>
      </c>
      <c r="BJ131" s="23">
        <f>+'QTR Raw'!AD56</f>
        <v>63.11</v>
      </c>
      <c r="BK131" s="23">
        <f t="shared" si="1096"/>
        <v>63.11</v>
      </c>
      <c r="BL131" s="23">
        <f>+'QTR Raw'!AF56</f>
        <v>63.11</v>
      </c>
      <c r="BM131" s="23">
        <f t="shared" si="1096"/>
        <v>63.11</v>
      </c>
      <c r="BN131" s="23">
        <f>+'QTR Raw'!AH56</f>
        <v>92.16</v>
      </c>
      <c r="BO131" s="23">
        <f t="shared" si="1096"/>
        <v>92.16</v>
      </c>
      <c r="BP131" s="23">
        <f>+'QTR Raw'!AJ56</f>
        <v>92.16</v>
      </c>
      <c r="BQ131" s="23">
        <f t="shared" si="1096"/>
        <v>92.16</v>
      </c>
      <c r="BR131" s="23">
        <f>+'QTR Raw'!AL56</f>
        <v>92.16</v>
      </c>
      <c r="BS131" s="23">
        <f t="shared" si="1096"/>
        <v>92.16</v>
      </c>
      <c r="BT131" s="23">
        <f>+'QTR Raw'!AN56</f>
        <v>92.16</v>
      </c>
      <c r="BU131" s="23">
        <f t="shared" si="1096"/>
        <v>92.16</v>
      </c>
      <c r="BV131" s="23">
        <f>+'QTR Raw'!AP56</f>
        <v>92.16</v>
      </c>
      <c r="BW131" s="23">
        <f t="shared" si="1096"/>
        <v>92.16</v>
      </c>
      <c r="BX131" s="23">
        <f>+'QTR Raw'!AR56</f>
        <v>92.16</v>
      </c>
      <c r="BY131" s="23">
        <f t="shared" si="1096"/>
        <v>92.16</v>
      </c>
      <c r="BZ131" s="23">
        <f>+'QTR Raw'!AT56</f>
        <v>92.9</v>
      </c>
      <c r="CA131" s="23">
        <f t="shared" si="1096"/>
        <v>92.9</v>
      </c>
      <c r="CB131" s="23">
        <f>+'QTR Raw'!AV56</f>
        <v>92.9</v>
      </c>
      <c r="CC131" s="23">
        <f t="shared" si="1096"/>
        <v>92.9</v>
      </c>
      <c r="CD131" s="23">
        <f>+'QTR Raw'!AX56</f>
        <v>95.28</v>
      </c>
      <c r="CE131" s="23">
        <f t="shared" si="1096"/>
        <v>95.28</v>
      </c>
      <c r="CF131" s="23">
        <f>+'QTR Raw'!AZ56</f>
        <v>98.94</v>
      </c>
      <c r="CG131" s="23">
        <f t="shared" ref="CG131:CG132" si="1097">+CF131</f>
        <v>98.94</v>
      </c>
      <c r="CH131" s="23">
        <f>Z131</f>
        <v>98.95</v>
      </c>
      <c r="CI131" s="23">
        <f>CH131</f>
        <v>98.95</v>
      </c>
      <c r="CJ131" s="23">
        <f>+'QTR Raw'!BD56</f>
        <v>98.95</v>
      </c>
      <c r="CK131" s="23">
        <f t="shared" ref="CK131:DB131" si="1098">CJ131</f>
        <v>98.95</v>
      </c>
      <c r="CL131" s="23">
        <f>+'QTR Raw'!BF56</f>
        <v>98.96</v>
      </c>
      <c r="CM131" s="24">
        <f t="shared" si="1098"/>
        <v>98.96</v>
      </c>
      <c r="CN131" s="24">
        <f t="shared" si="1098"/>
        <v>98.96</v>
      </c>
      <c r="CO131" s="24">
        <f t="shared" si="1098"/>
        <v>98.96</v>
      </c>
      <c r="CP131" s="24">
        <f t="shared" si="1098"/>
        <v>98.96</v>
      </c>
      <c r="CQ131" s="24">
        <f t="shared" si="1098"/>
        <v>98.96</v>
      </c>
      <c r="CR131" s="24">
        <f t="shared" si="1098"/>
        <v>98.96</v>
      </c>
      <c r="CS131" s="24">
        <f t="shared" si="1098"/>
        <v>98.96</v>
      </c>
      <c r="CT131" s="24">
        <f t="shared" si="1098"/>
        <v>98.96</v>
      </c>
      <c r="CU131" s="24">
        <f t="shared" si="1098"/>
        <v>98.96</v>
      </c>
      <c r="CV131" s="24">
        <f t="shared" si="1098"/>
        <v>98.96</v>
      </c>
      <c r="CW131" s="24">
        <f t="shared" si="1098"/>
        <v>98.96</v>
      </c>
      <c r="CX131" s="24">
        <f t="shared" si="1098"/>
        <v>98.96</v>
      </c>
      <c r="CY131" s="24">
        <f t="shared" si="1098"/>
        <v>98.96</v>
      </c>
      <c r="CZ131" s="24">
        <f t="shared" si="1098"/>
        <v>98.96</v>
      </c>
      <c r="DA131" s="24">
        <f t="shared" si="1098"/>
        <v>98.96</v>
      </c>
      <c r="DB131" s="24">
        <f t="shared" si="1098"/>
        <v>98.96</v>
      </c>
      <c r="DE131" s="123"/>
      <c r="DF131" s="23">
        <v>98.95</v>
      </c>
    </row>
    <row r="132" spans="1:110" s="23" customFormat="1" outlineLevel="1" x14ac:dyDescent="0.2">
      <c r="A132" s="23" t="s">
        <v>42</v>
      </c>
      <c r="B132" s="23">
        <f>'Annual Raw'!C42</f>
        <v>0</v>
      </c>
      <c r="C132" s="23">
        <f>'Annual Raw'!D42</f>
        <v>0</v>
      </c>
      <c r="D132" s="23">
        <f>'Annual Raw'!E42</f>
        <v>0</v>
      </c>
      <c r="E132" s="23">
        <f>'Annual Raw'!F42</f>
        <v>0</v>
      </c>
      <c r="F132" s="23">
        <f>'Annual Raw'!G42</f>
        <v>0</v>
      </c>
      <c r="G132" s="23">
        <f>'Annual Raw'!H42</f>
        <v>0</v>
      </c>
      <c r="H132" s="23">
        <f>'Annual Raw'!I42</f>
        <v>21.8337</v>
      </c>
      <c r="I132" s="23">
        <f>'Annual Raw'!J42</f>
        <v>0</v>
      </c>
      <c r="J132" s="23">
        <f>'Annual Raw'!K42</f>
        <v>0</v>
      </c>
      <c r="K132" s="23">
        <f>'Annual Raw'!L42</f>
        <v>0</v>
      </c>
      <c r="L132" s="23">
        <f>'Annual Raw'!M42</f>
        <v>0</v>
      </c>
      <c r="M132" s="23">
        <f>'Annual Raw'!N42</f>
        <v>0</v>
      </c>
      <c r="N132" s="23">
        <f>'Annual Raw'!O42</f>
        <v>0</v>
      </c>
      <c r="O132" s="23">
        <f>'Annual Raw'!P42</f>
        <v>0</v>
      </c>
      <c r="P132" s="23">
        <f>'Annual Raw'!Q42</f>
        <v>1.27</v>
      </c>
      <c r="Q132" s="23">
        <f>'Annual Raw'!R42</f>
        <v>0</v>
      </c>
      <c r="R132" s="23">
        <f>'Annual Raw'!S42</f>
        <v>0</v>
      </c>
      <c r="S132" s="23">
        <f>'Annual Raw'!T42</f>
        <v>0</v>
      </c>
      <c r="T132" s="23">
        <f>'Annual Raw'!U42</f>
        <v>0</v>
      </c>
      <c r="U132" s="23">
        <f>'Annual Raw'!V42</f>
        <v>0</v>
      </c>
      <c r="V132" s="23">
        <f>'Annual Raw'!W42</f>
        <v>0</v>
      </c>
      <c r="W132" s="23">
        <f>'Annual Raw'!X42</f>
        <v>0.46</v>
      </c>
      <c r="X132" s="23">
        <f>'Annual Raw'!Y42</f>
        <v>4.5</v>
      </c>
      <c r="Y132" s="23">
        <f>'Annual Raw'!Z42</f>
        <v>14.03</v>
      </c>
      <c r="Z132" s="23">
        <f>'Annual Raw'!AA42</f>
        <v>23.45</v>
      </c>
      <c r="AA132" s="23">
        <f>'Annual Raw'!AB42</f>
        <v>34.51</v>
      </c>
      <c r="AB132" s="24">
        <f t="shared" ref="AB132:AB133" si="1099">+CP132</f>
        <v>0</v>
      </c>
      <c r="AC132" s="24">
        <f t="shared" ref="AC132:AC133" si="1100">+CT132</f>
        <v>0</v>
      </c>
      <c r="AD132" s="24">
        <f t="shared" ref="AD132:AD133" si="1101">+CX132</f>
        <v>0</v>
      </c>
      <c r="AE132" s="24">
        <f t="shared" ref="AE132:AE133" si="1102">+DB132</f>
        <v>0</v>
      </c>
      <c r="AJ132" s="23">
        <f>+'QTR Raw'!D57</f>
        <v>0</v>
      </c>
      <c r="AK132" s="23">
        <f t="shared" ref="AK132:CE132" si="1103">+AJ132</f>
        <v>0</v>
      </c>
      <c r="AL132" s="23">
        <f>+'QTR Raw'!F57</f>
        <v>0</v>
      </c>
      <c r="AM132" s="23">
        <f t="shared" si="1103"/>
        <v>0</v>
      </c>
      <c r="AN132" s="23">
        <f>+'QTR Raw'!H57</f>
        <v>0</v>
      </c>
      <c r="AO132" s="23">
        <f t="shared" si="1103"/>
        <v>0</v>
      </c>
      <c r="AP132" s="23">
        <f>+'QTR Raw'!J57</f>
        <v>0</v>
      </c>
      <c r="AQ132" s="23">
        <f t="shared" si="1103"/>
        <v>0</v>
      </c>
      <c r="AR132" s="23">
        <f>+'QTR Raw'!L57</f>
        <v>0</v>
      </c>
      <c r="AS132" s="23">
        <f t="shared" si="1103"/>
        <v>0</v>
      </c>
      <c r="AT132" s="23">
        <f>+'QTR Raw'!N57</f>
        <v>1.27</v>
      </c>
      <c r="AU132" s="23">
        <f t="shared" si="1103"/>
        <v>1.27</v>
      </c>
      <c r="AV132" s="23">
        <f>+'QTR Raw'!P57</f>
        <v>0.05</v>
      </c>
      <c r="AW132" s="23">
        <f t="shared" si="1103"/>
        <v>0.05</v>
      </c>
      <c r="AX132" s="23">
        <f>+'QTR Raw'!R57</f>
        <v>0</v>
      </c>
      <c r="AY132" s="23">
        <f t="shared" si="1103"/>
        <v>0</v>
      </c>
      <c r="AZ132" s="23">
        <f>+'QTR Raw'!T57</f>
        <v>0</v>
      </c>
      <c r="BA132" s="23">
        <f t="shared" si="1103"/>
        <v>0</v>
      </c>
      <c r="BB132" s="23">
        <f>+'QTR Raw'!V57</f>
        <v>0</v>
      </c>
      <c r="BC132" s="23">
        <f t="shared" si="1103"/>
        <v>0</v>
      </c>
      <c r="BD132" s="23">
        <f>+'QTR Raw'!X57</f>
        <v>0</v>
      </c>
      <c r="BE132" s="23">
        <f t="shared" si="1103"/>
        <v>0</v>
      </c>
      <c r="BF132" s="23">
        <f>+'QTR Raw'!Z57</f>
        <v>0</v>
      </c>
      <c r="BG132" s="23">
        <f t="shared" si="1103"/>
        <v>0</v>
      </c>
      <c r="BH132" s="23">
        <f>+'QTR Raw'!AB57</f>
        <v>0</v>
      </c>
      <c r="BI132" s="23">
        <f t="shared" si="1103"/>
        <v>0</v>
      </c>
      <c r="BJ132" s="23">
        <f>+'QTR Raw'!AD57</f>
        <v>0</v>
      </c>
      <c r="BK132" s="23">
        <f t="shared" si="1103"/>
        <v>0</v>
      </c>
      <c r="BL132" s="23">
        <f>+'QTR Raw'!AF57</f>
        <v>0</v>
      </c>
      <c r="BM132" s="23">
        <f t="shared" si="1103"/>
        <v>0</v>
      </c>
      <c r="BN132" s="23">
        <f>+'QTR Raw'!AH57</f>
        <v>0</v>
      </c>
      <c r="BO132" s="23">
        <f t="shared" si="1103"/>
        <v>0</v>
      </c>
      <c r="BP132" s="23">
        <f>+'QTR Raw'!AJ57</f>
        <v>0</v>
      </c>
      <c r="BQ132" s="23">
        <f t="shared" si="1103"/>
        <v>0</v>
      </c>
      <c r="BR132" s="23">
        <f>+'QTR Raw'!AL57</f>
        <v>0</v>
      </c>
      <c r="BS132" s="23">
        <f t="shared" si="1103"/>
        <v>0</v>
      </c>
      <c r="BT132" s="23">
        <f>+'QTR Raw'!AN57</f>
        <v>0</v>
      </c>
      <c r="BU132" s="23">
        <f t="shared" si="1103"/>
        <v>0</v>
      </c>
      <c r="BV132" s="23">
        <f>+'QTR Raw'!AP57</f>
        <v>0</v>
      </c>
      <c r="BW132" s="23">
        <f t="shared" si="1103"/>
        <v>0</v>
      </c>
      <c r="BX132" s="23">
        <f>+'QTR Raw'!AR57</f>
        <v>0</v>
      </c>
      <c r="BY132" s="23">
        <f t="shared" si="1103"/>
        <v>0</v>
      </c>
      <c r="BZ132" s="23">
        <f>+'QTR Raw'!AT57</f>
        <v>0</v>
      </c>
      <c r="CA132" s="23">
        <f t="shared" si="1103"/>
        <v>0</v>
      </c>
      <c r="CB132" s="23">
        <f>+'QTR Raw'!AV57</f>
        <v>0</v>
      </c>
      <c r="CC132" s="23">
        <f t="shared" si="1103"/>
        <v>0</v>
      </c>
      <c r="CD132" s="23">
        <f>+'QTR Raw'!AX57</f>
        <v>0</v>
      </c>
      <c r="CE132" s="23">
        <f t="shared" si="1103"/>
        <v>0</v>
      </c>
      <c r="CF132" s="23">
        <f>+'QTR Raw'!AZ57</f>
        <v>0</v>
      </c>
      <c r="CG132" s="23">
        <f t="shared" si="1097"/>
        <v>0</v>
      </c>
      <c r="CH132" s="23">
        <f t="shared" ref="CH132:CH133" si="1104">Z132</f>
        <v>23.45</v>
      </c>
      <c r="CI132" s="23">
        <f>CH132</f>
        <v>23.45</v>
      </c>
      <c r="CJ132" s="23">
        <f>+'QTR Raw'!BD57</f>
        <v>0</v>
      </c>
      <c r="CK132" s="23">
        <f t="shared" ref="CK132:DB132" si="1105">CJ132</f>
        <v>0</v>
      </c>
      <c r="CL132" s="23">
        <f>+'QTR Raw'!BF57</f>
        <v>0</v>
      </c>
      <c r="CM132" s="24">
        <f t="shared" si="1105"/>
        <v>0</v>
      </c>
      <c r="CN132" s="24">
        <f t="shared" si="1105"/>
        <v>0</v>
      </c>
      <c r="CO132" s="24">
        <f t="shared" si="1105"/>
        <v>0</v>
      </c>
      <c r="CP132" s="24">
        <f t="shared" si="1105"/>
        <v>0</v>
      </c>
      <c r="CQ132" s="24">
        <f t="shared" si="1105"/>
        <v>0</v>
      </c>
      <c r="CR132" s="24">
        <f t="shared" si="1105"/>
        <v>0</v>
      </c>
      <c r="CS132" s="24">
        <f t="shared" si="1105"/>
        <v>0</v>
      </c>
      <c r="CT132" s="24">
        <f t="shared" si="1105"/>
        <v>0</v>
      </c>
      <c r="CU132" s="24">
        <f t="shared" si="1105"/>
        <v>0</v>
      </c>
      <c r="CV132" s="24">
        <f t="shared" si="1105"/>
        <v>0</v>
      </c>
      <c r="CW132" s="24">
        <f t="shared" si="1105"/>
        <v>0</v>
      </c>
      <c r="CX132" s="24">
        <f t="shared" si="1105"/>
        <v>0</v>
      </c>
      <c r="CY132" s="24">
        <f t="shared" si="1105"/>
        <v>0</v>
      </c>
      <c r="CZ132" s="24">
        <f t="shared" si="1105"/>
        <v>0</v>
      </c>
      <c r="DA132" s="24">
        <f t="shared" si="1105"/>
        <v>0</v>
      </c>
      <c r="DB132" s="24">
        <f t="shared" si="1105"/>
        <v>0</v>
      </c>
      <c r="DE132" s="123"/>
      <c r="DF132" s="23">
        <v>0</v>
      </c>
    </row>
    <row r="133" spans="1:110" s="23" customFormat="1" outlineLevel="1" x14ac:dyDescent="0.2">
      <c r="A133" s="23" t="s">
        <v>43</v>
      </c>
      <c r="B133" s="23">
        <f>'Annual Raw'!C43</f>
        <v>840.7636</v>
      </c>
      <c r="C133" s="23">
        <f>'Annual Raw'!D43</f>
        <v>1024.1311000000001</v>
      </c>
      <c r="D133" s="23">
        <f>'Annual Raw'!E43</f>
        <v>1127.0220999999999</v>
      </c>
      <c r="E133" s="23">
        <f>'Annual Raw'!F43</f>
        <v>1286.8402000000001</v>
      </c>
      <c r="F133" s="23">
        <f>'Annual Raw'!G43</f>
        <v>1462.7474999999999</v>
      </c>
      <c r="G133" s="23">
        <f>'Annual Raw'!H43</f>
        <v>1513.3768</v>
      </c>
      <c r="H133" s="23">
        <f>'Annual Raw'!I43</f>
        <v>2053.3305</v>
      </c>
      <c r="I133" s="23">
        <f>'Annual Raw'!J43</f>
        <v>3352.5817000000002</v>
      </c>
      <c r="J133" s="23">
        <f>'Annual Raw'!K43</f>
        <v>3591.2467000000001</v>
      </c>
      <c r="K133" s="23">
        <f>'Annual Raw'!L43</f>
        <v>3661.5945000000002</v>
      </c>
      <c r="L133" s="23">
        <f>'Annual Raw'!M43</f>
        <v>3895.3823000000002</v>
      </c>
      <c r="M133" s="23">
        <f>'Annual Raw'!N43</f>
        <v>4503.9035999999996</v>
      </c>
      <c r="N133" s="23">
        <f>'Annual Raw'!O43</f>
        <v>4748.2789000000002</v>
      </c>
      <c r="O133" s="23">
        <f>'Annual Raw'!P43</f>
        <v>5787.0069999999996</v>
      </c>
      <c r="P133" s="23">
        <f>'Annual Raw'!Q43</f>
        <v>5429.68</v>
      </c>
      <c r="Q133" s="23">
        <f>'Annual Raw'!R43</f>
        <v>6184.06</v>
      </c>
      <c r="R133" s="23">
        <f>'Annual Raw'!S43</f>
        <v>6202.39</v>
      </c>
      <c r="S133" s="23">
        <f>'Annual Raw'!T43</f>
        <v>6968.49</v>
      </c>
      <c r="T133" s="23">
        <f>'Annual Raw'!U43</f>
        <v>7268.58</v>
      </c>
      <c r="U133" s="23">
        <f>'Annual Raw'!V43</f>
        <v>13722.7</v>
      </c>
      <c r="V133" s="23">
        <f>'Annual Raw'!W43</f>
        <v>14442.35</v>
      </c>
      <c r="W133" s="23">
        <f>'Annual Raw'!X43</f>
        <v>15049.32</v>
      </c>
      <c r="X133" s="23">
        <f>'Annual Raw'!Y43</f>
        <v>16179.31</v>
      </c>
      <c r="Y133" s="23">
        <f>'Annual Raw'!Z43</f>
        <v>15947.48</v>
      </c>
      <c r="Z133" s="23">
        <f>'Annual Raw'!AA43</f>
        <v>19878.68</v>
      </c>
      <c r="AA133" s="23">
        <f>'Annual Raw'!AB43</f>
        <v>21654.06</v>
      </c>
      <c r="AB133" s="24">
        <f t="shared" si="1099"/>
        <v>23809.768559511991</v>
      </c>
      <c r="AC133" s="24">
        <f t="shared" si="1100"/>
        <v>26360.430186328191</v>
      </c>
      <c r="AD133" s="24">
        <f t="shared" si="1101"/>
        <v>29429.053433595534</v>
      </c>
      <c r="AE133" s="24">
        <f t="shared" si="1102"/>
        <v>33096.148109493108</v>
      </c>
      <c r="AJ133" s="23">
        <f>+'QTR Raw'!D58</f>
        <v>4878.24</v>
      </c>
      <c r="AK133" s="23">
        <f>+AJ133+AK62</f>
        <v>4958.4999999999991</v>
      </c>
      <c r="AL133" s="23">
        <f>+'QTR Raw'!F58</f>
        <v>4748.28</v>
      </c>
      <c r="AM133" s="23">
        <f>+AL133+AM62</f>
        <v>4859.91</v>
      </c>
      <c r="AN133" s="23">
        <f>+'QTR Raw'!H58</f>
        <v>5889.61</v>
      </c>
      <c r="AO133" s="23">
        <f>+AN133+AO62</f>
        <v>6009.16</v>
      </c>
      <c r="AP133" s="23">
        <f>+'QTR Raw'!J58</f>
        <v>5787.01</v>
      </c>
      <c r="AQ133" s="23">
        <f>+AP133+AQ62</f>
        <v>5884.24</v>
      </c>
      <c r="AR133" s="23">
        <f>+'QTR Raw'!L58</f>
        <v>5955.94</v>
      </c>
      <c r="AS133" s="23">
        <f>+AR133+AS62</f>
        <v>6040.18</v>
      </c>
      <c r="AT133" s="23">
        <f>+'QTR Raw'!N58</f>
        <v>5429.68</v>
      </c>
      <c r="AU133" s="23">
        <f>+AT133+AU62</f>
        <v>5502.01</v>
      </c>
      <c r="AV133" s="23">
        <f>+'QTR Raw'!P58</f>
        <v>5797.82</v>
      </c>
      <c r="AW133" s="23">
        <f>+AV133+AW62</f>
        <v>5855.5999999999995</v>
      </c>
      <c r="AX133" s="23">
        <f>+'QTR Raw'!R58</f>
        <v>6184.06</v>
      </c>
      <c r="AY133" s="23">
        <f>+AX133+AY62</f>
        <v>6287.71</v>
      </c>
      <c r="AZ133" s="23">
        <f>+'QTR Raw'!T58</f>
        <v>6003.68</v>
      </c>
      <c r="BA133" s="23">
        <f>+AZ133+BA62</f>
        <v>6131.31</v>
      </c>
      <c r="BB133" s="23">
        <f>+'QTR Raw'!V58</f>
        <v>6202.39</v>
      </c>
      <c r="BC133" s="23">
        <f>+BB133+BC62</f>
        <v>6326.8300000000008</v>
      </c>
      <c r="BD133" s="23">
        <f>+'QTR Raw'!X58</f>
        <v>6587.9</v>
      </c>
      <c r="BE133" s="23">
        <f>+BD133+BE62</f>
        <v>6755.7699999999995</v>
      </c>
      <c r="BF133" s="23">
        <f>+'QTR Raw'!Z58</f>
        <v>6968.49</v>
      </c>
      <c r="BG133" s="23">
        <f>+BF133+BG62</f>
        <v>7084.73</v>
      </c>
      <c r="BH133" s="23">
        <f>+'QTR Raw'!AB58</f>
        <v>7327.35</v>
      </c>
      <c r="BI133" s="23">
        <f>+BH133+BI62</f>
        <v>7426.67</v>
      </c>
      <c r="BJ133" s="23">
        <f>+'QTR Raw'!AD58</f>
        <v>7268.58</v>
      </c>
      <c r="BK133" s="23">
        <f>+BJ133+BK62</f>
        <v>7442.32</v>
      </c>
      <c r="BL133" s="23">
        <f>+'QTR Raw'!AF58</f>
        <v>7241.75</v>
      </c>
      <c r="BM133" s="23">
        <f>+BL133+BM62</f>
        <v>7411.1</v>
      </c>
      <c r="BN133" s="23">
        <f>+'QTR Raw'!AH58</f>
        <v>13722.7</v>
      </c>
      <c r="BO133" s="23">
        <f>+BN133+BO62</f>
        <v>14050.26</v>
      </c>
      <c r="BP133" s="23">
        <f>+'QTR Raw'!AJ58</f>
        <v>14019.89</v>
      </c>
      <c r="BQ133" s="23">
        <f>+BP133+BQ62</f>
        <v>14238.06</v>
      </c>
      <c r="BR133" s="23">
        <f>+'QTR Raw'!AL58</f>
        <v>14442.35</v>
      </c>
      <c r="BS133" s="23">
        <f>+BR133+BS62</f>
        <v>14627.5</v>
      </c>
      <c r="BT133" s="23">
        <f>+'QTR Raw'!AN58</f>
        <v>14500.59</v>
      </c>
      <c r="BU133" s="23">
        <f>+BT133+BU62</f>
        <v>14765.64</v>
      </c>
      <c r="BV133" s="23">
        <f>+'QTR Raw'!AP58</f>
        <v>15049.78</v>
      </c>
      <c r="BW133" s="23">
        <f>+BV133+BW62</f>
        <v>15305.24</v>
      </c>
      <c r="BX133" s="23">
        <f>+'QTR Raw'!AR58</f>
        <v>14797.29</v>
      </c>
      <c r="BY133" s="23">
        <f>+BX133+BY62</f>
        <v>15149.050000000001</v>
      </c>
      <c r="BZ133" s="23">
        <f>+'QTR Raw'!AT58</f>
        <v>16183.81</v>
      </c>
      <c r="CA133" s="23">
        <f>+BZ133+CA62</f>
        <v>16500.399999999998</v>
      </c>
      <c r="CB133" s="23">
        <f>+'QTR Raw'!AV58</f>
        <v>16061.41</v>
      </c>
      <c r="CC133" s="23">
        <f>+CB133+CC62</f>
        <v>16340.28</v>
      </c>
      <c r="CD133" s="23">
        <f>+'QTR Raw'!AX58</f>
        <v>15961.51</v>
      </c>
      <c r="CE133" s="23">
        <f>+CD133+CE62</f>
        <v>16251.83</v>
      </c>
      <c r="CF133" s="23">
        <f>+'QTR Raw'!AZ58</f>
        <v>19032.89</v>
      </c>
      <c r="CG133" s="23">
        <f>+CF133+CG62</f>
        <v>19311.77</v>
      </c>
      <c r="CH133" s="23">
        <f t="shared" si="1104"/>
        <v>19878.68</v>
      </c>
      <c r="CI133" s="23">
        <f>CH133+CI62</f>
        <v>20212.830000000002</v>
      </c>
      <c r="CJ133" s="23">
        <f>+'QTR Raw'!BD58</f>
        <v>20215.3</v>
      </c>
      <c r="CK133" s="23">
        <f t="shared" ref="CK133:DB133" si="1106">CJ133+CK62</f>
        <v>20599.91</v>
      </c>
      <c r="CL133" s="23">
        <f>+'QTR Raw'!BF58</f>
        <v>21688.57</v>
      </c>
      <c r="CM133" s="24">
        <f t="shared" si="1106"/>
        <v>22150.46394464932</v>
      </c>
      <c r="CN133" s="24">
        <f t="shared" si="1106"/>
        <v>22664.869833440258</v>
      </c>
      <c r="CO133" s="24">
        <f t="shared" si="1106"/>
        <v>23209.924043926279</v>
      </c>
      <c r="CP133" s="24">
        <f t="shared" si="1106"/>
        <v>23809.768559511991</v>
      </c>
      <c r="CQ133" s="24">
        <f t="shared" si="1106"/>
        <v>24389.634272283605</v>
      </c>
      <c r="CR133" s="24">
        <f t="shared" si="1106"/>
        <v>25015.462532985788</v>
      </c>
      <c r="CS133" s="24">
        <f t="shared" si="1106"/>
        <v>25662.062291968614</v>
      </c>
      <c r="CT133" s="24">
        <f t="shared" si="1106"/>
        <v>26360.430186328191</v>
      </c>
      <c r="CU133" s="24">
        <f t="shared" si="1106"/>
        <v>27064.695202398641</v>
      </c>
      <c r="CV133" s="24">
        <f t="shared" si="1106"/>
        <v>27817.942068850098</v>
      </c>
      <c r="CW133" s="24">
        <f t="shared" si="1106"/>
        <v>28591.995919335295</v>
      </c>
      <c r="CX133" s="24">
        <f t="shared" si="1106"/>
        <v>29429.053433595534</v>
      </c>
      <c r="CY133" s="24">
        <f t="shared" si="1106"/>
        <v>30273.2363595598</v>
      </c>
      <c r="CZ133" s="24">
        <f t="shared" si="1106"/>
        <v>31173.813214917031</v>
      </c>
      <c r="DA133" s="24">
        <f t="shared" si="1106"/>
        <v>32096.955500409444</v>
      </c>
      <c r="DB133" s="24">
        <f t="shared" si="1106"/>
        <v>33096.148109493108</v>
      </c>
      <c r="DE133" s="123"/>
      <c r="DF133" s="23">
        <v>21084.566664259088</v>
      </c>
    </row>
    <row r="134" spans="1:110" s="22" customFormat="1" x14ac:dyDescent="0.2">
      <c r="A134" s="22" t="s">
        <v>44</v>
      </c>
      <c r="B134" s="22">
        <f>B131+B132+B133</f>
        <v>896.98350000000005</v>
      </c>
      <c r="C134" s="22">
        <f t="shared" ref="C134:V134" si="1107">C131+C132+C133</f>
        <v>1080.3510000000001</v>
      </c>
      <c r="D134" s="22">
        <f t="shared" si="1107"/>
        <v>1183.242</v>
      </c>
      <c r="E134" s="22">
        <f t="shared" si="1107"/>
        <v>1342.8619000000001</v>
      </c>
      <c r="F134" s="22">
        <f t="shared" si="1107"/>
        <v>1518.7692</v>
      </c>
      <c r="G134" s="22">
        <f t="shared" si="1107"/>
        <v>1569.3985</v>
      </c>
      <c r="H134" s="22">
        <f t="shared" si="1107"/>
        <v>2133.9958999999999</v>
      </c>
      <c r="I134" s="22">
        <f t="shared" si="1107"/>
        <v>3414.2234000000003</v>
      </c>
      <c r="J134" s="22">
        <f t="shared" si="1107"/>
        <v>3652.8884000000003</v>
      </c>
      <c r="K134" s="22">
        <f t="shared" si="1107"/>
        <v>3723.2362000000003</v>
      </c>
      <c r="L134" s="22">
        <f t="shared" si="1107"/>
        <v>3957.1240000000003</v>
      </c>
      <c r="M134" s="22">
        <f>M131+M132+M133</f>
        <v>4565.7434999999996</v>
      </c>
      <c r="N134" s="22">
        <f t="shared" si="1107"/>
        <v>4810.1188000000002</v>
      </c>
      <c r="O134" s="22">
        <f t="shared" si="1107"/>
        <v>5848.8468999999996</v>
      </c>
      <c r="P134" s="22">
        <f t="shared" si="1107"/>
        <v>5492.79</v>
      </c>
      <c r="Q134" s="22">
        <f t="shared" si="1107"/>
        <v>6247.17</v>
      </c>
      <c r="R134" s="22">
        <f t="shared" si="1107"/>
        <v>6265.5</v>
      </c>
      <c r="S134" s="22">
        <f t="shared" si="1107"/>
        <v>7031.5999999999995</v>
      </c>
      <c r="T134" s="22">
        <f t="shared" si="1107"/>
        <v>7331.69</v>
      </c>
      <c r="U134" s="22">
        <f t="shared" si="1107"/>
        <v>13814.86</v>
      </c>
      <c r="V134" s="22">
        <f t="shared" si="1107"/>
        <v>14534.51</v>
      </c>
      <c r="W134" s="22">
        <f t="shared" ref="W134" si="1108">W131+W132+W133</f>
        <v>15141.94</v>
      </c>
      <c r="X134" s="22">
        <f t="shared" ref="X134:Y134" si="1109">X131+X132+X133</f>
        <v>16276.71</v>
      </c>
      <c r="Y134" s="22">
        <f t="shared" si="1109"/>
        <v>16056.789999999999</v>
      </c>
      <c r="Z134" s="22">
        <f t="shared" ref="Z134:AA134" si="1110">Z131+Z132+Z133</f>
        <v>20001.080000000002</v>
      </c>
      <c r="AA134" s="22">
        <f t="shared" si="1110"/>
        <v>21787.530000000002</v>
      </c>
      <c r="AB134" s="21">
        <f t="shared" ref="AA134:AD134" si="1111">AB131+AB132+AB133</f>
        <v>23908.72855951199</v>
      </c>
      <c r="AC134" s="21">
        <f t="shared" si="1111"/>
        <v>26459.39018632819</v>
      </c>
      <c r="AD134" s="21">
        <f t="shared" si="1111"/>
        <v>29528.013433595534</v>
      </c>
      <c r="AE134" s="21">
        <f t="shared" ref="AE134" si="1112">AE131+AE132+AE133</f>
        <v>33195.108109493107</v>
      </c>
      <c r="AJ134" s="22">
        <f t="shared" ref="AJ134" si="1113">AJ131+AJ132+AJ133</f>
        <v>4940.08</v>
      </c>
      <c r="AK134" s="22">
        <f t="shared" ref="AK134" si="1114">AK131+AK132+AK133</f>
        <v>5020.3399999999992</v>
      </c>
      <c r="AL134" s="22">
        <f t="shared" ref="AL134:AM134" si="1115">AL131+AL132+AL133</f>
        <v>4810.12</v>
      </c>
      <c r="AM134" s="22">
        <f t="shared" si="1115"/>
        <v>4921.75</v>
      </c>
      <c r="AN134" s="22">
        <f t="shared" ref="AN134:AO134" si="1116">AN131+AN132+AN133</f>
        <v>5951.45</v>
      </c>
      <c r="AO134" s="22">
        <f t="shared" si="1116"/>
        <v>6071</v>
      </c>
      <c r="AP134" s="22">
        <f t="shared" ref="AP134:CE134" si="1117">AP131+AP132+AP133</f>
        <v>5848.85</v>
      </c>
      <c r="AQ134" s="22">
        <f t="shared" si="1117"/>
        <v>5946.08</v>
      </c>
      <c r="AR134" s="22">
        <f t="shared" si="1117"/>
        <v>6017.78</v>
      </c>
      <c r="AS134" s="22">
        <f t="shared" si="1117"/>
        <v>6102.02</v>
      </c>
      <c r="AT134" s="22">
        <f t="shared" si="1117"/>
        <v>5492.79</v>
      </c>
      <c r="AU134" s="22">
        <f t="shared" si="1117"/>
        <v>5565.12</v>
      </c>
      <c r="AV134" s="22">
        <f t="shared" si="1117"/>
        <v>5860.9299999999994</v>
      </c>
      <c r="AW134" s="22">
        <f t="shared" si="1117"/>
        <v>5918.7099999999991</v>
      </c>
      <c r="AX134" s="22">
        <f t="shared" si="1117"/>
        <v>6247.17</v>
      </c>
      <c r="AY134" s="22">
        <f t="shared" si="1117"/>
        <v>6350.82</v>
      </c>
      <c r="AZ134" s="22">
        <f t="shared" si="1117"/>
        <v>6066.79</v>
      </c>
      <c r="BA134" s="22">
        <f t="shared" si="1117"/>
        <v>6194.42</v>
      </c>
      <c r="BB134" s="22">
        <f t="shared" si="1117"/>
        <v>6265.5</v>
      </c>
      <c r="BC134" s="22">
        <f t="shared" si="1117"/>
        <v>6389.9400000000005</v>
      </c>
      <c r="BD134" s="22">
        <f t="shared" si="1117"/>
        <v>6651.0099999999993</v>
      </c>
      <c r="BE134" s="22">
        <f t="shared" si="1117"/>
        <v>6818.8799999999992</v>
      </c>
      <c r="BF134" s="22">
        <f t="shared" si="1117"/>
        <v>7031.5999999999995</v>
      </c>
      <c r="BG134" s="22">
        <f t="shared" si="1117"/>
        <v>7147.8399999999992</v>
      </c>
      <c r="BH134" s="22">
        <f t="shared" si="1117"/>
        <v>7390.46</v>
      </c>
      <c r="BI134" s="22">
        <f t="shared" si="1117"/>
        <v>7489.78</v>
      </c>
      <c r="BJ134" s="22">
        <f t="shared" si="1117"/>
        <v>7331.69</v>
      </c>
      <c r="BK134" s="22">
        <f t="shared" si="1117"/>
        <v>7505.4299999999994</v>
      </c>
      <c r="BL134" s="22">
        <f t="shared" si="1117"/>
        <v>7304.86</v>
      </c>
      <c r="BM134" s="22">
        <f t="shared" si="1117"/>
        <v>7474.21</v>
      </c>
      <c r="BN134" s="22">
        <f t="shared" si="1117"/>
        <v>13814.86</v>
      </c>
      <c r="BO134" s="22">
        <f t="shared" si="1117"/>
        <v>14142.42</v>
      </c>
      <c r="BP134" s="22">
        <f t="shared" si="1117"/>
        <v>14112.05</v>
      </c>
      <c r="BQ134" s="22">
        <f t="shared" si="1117"/>
        <v>14330.22</v>
      </c>
      <c r="BR134" s="22">
        <f t="shared" si="1117"/>
        <v>14534.51</v>
      </c>
      <c r="BS134" s="22">
        <f t="shared" si="1117"/>
        <v>14719.66</v>
      </c>
      <c r="BT134" s="22">
        <f t="shared" si="1117"/>
        <v>14592.75</v>
      </c>
      <c r="BU134" s="22">
        <f t="shared" si="1117"/>
        <v>14857.8</v>
      </c>
      <c r="BV134" s="22">
        <f t="shared" si="1117"/>
        <v>15141.94</v>
      </c>
      <c r="BW134" s="22">
        <f t="shared" si="1117"/>
        <v>15397.4</v>
      </c>
      <c r="BX134" s="22">
        <f t="shared" si="1117"/>
        <v>14889.45</v>
      </c>
      <c r="BY134" s="22">
        <f t="shared" si="1117"/>
        <v>15241.210000000001</v>
      </c>
      <c r="BZ134" s="22">
        <f t="shared" si="1117"/>
        <v>16276.71</v>
      </c>
      <c r="CA134" s="22">
        <f t="shared" si="1117"/>
        <v>16593.3</v>
      </c>
      <c r="CB134" s="22">
        <f t="shared" si="1117"/>
        <v>16154.31</v>
      </c>
      <c r="CC134" s="22">
        <f t="shared" si="1117"/>
        <v>16433.18</v>
      </c>
      <c r="CD134" s="22">
        <f t="shared" si="1117"/>
        <v>16056.79</v>
      </c>
      <c r="CE134" s="22">
        <f t="shared" si="1117"/>
        <v>16347.11</v>
      </c>
      <c r="CF134" s="22">
        <f t="shared" ref="CF134:CG134" si="1118">CF131+CF132+CF133</f>
        <v>19131.829999999998</v>
      </c>
      <c r="CG134" s="22">
        <f t="shared" si="1118"/>
        <v>19410.71</v>
      </c>
      <c r="CH134" s="22">
        <f t="shared" ref="CH134:CI134" si="1119">CH131+CH132+CH133</f>
        <v>20001.080000000002</v>
      </c>
      <c r="CI134" s="22">
        <f t="shared" si="1119"/>
        <v>20335.230000000003</v>
      </c>
      <c r="CJ134" s="22">
        <f t="shared" ref="CJ134:DB134" si="1120">CJ131+CJ132+CJ133</f>
        <v>20314.25</v>
      </c>
      <c r="CK134" s="22">
        <f t="shared" si="1120"/>
        <v>20698.86</v>
      </c>
      <c r="CL134" s="22">
        <f t="shared" ref="CL134" si="1121">CL131+CL132+CL133</f>
        <v>21787.53</v>
      </c>
      <c r="CM134" s="21">
        <f t="shared" si="1120"/>
        <v>22249.423944649319</v>
      </c>
      <c r="CN134" s="21">
        <f t="shared" si="1120"/>
        <v>22763.829833440257</v>
      </c>
      <c r="CO134" s="21">
        <f t="shared" si="1120"/>
        <v>23308.884043926279</v>
      </c>
      <c r="CP134" s="21">
        <f t="shared" si="1120"/>
        <v>23908.72855951199</v>
      </c>
      <c r="CQ134" s="21">
        <f t="shared" si="1120"/>
        <v>24488.594272283604</v>
      </c>
      <c r="CR134" s="21">
        <f t="shared" si="1120"/>
        <v>25114.422532985787</v>
      </c>
      <c r="CS134" s="21">
        <f t="shared" si="1120"/>
        <v>25761.022291968613</v>
      </c>
      <c r="CT134" s="21">
        <f t="shared" si="1120"/>
        <v>26459.39018632819</v>
      </c>
      <c r="CU134" s="21">
        <f t="shared" si="1120"/>
        <v>27163.655202398641</v>
      </c>
      <c r="CV134" s="21">
        <f t="shared" si="1120"/>
        <v>27916.902068850097</v>
      </c>
      <c r="CW134" s="21">
        <f t="shared" si="1120"/>
        <v>28690.955919335294</v>
      </c>
      <c r="CX134" s="21">
        <f t="shared" si="1120"/>
        <v>29528.013433595534</v>
      </c>
      <c r="CY134" s="21">
        <f t="shared" si="1120"/>
        <v>30372.196359559799</v>
      </c>
      <c r="CZ134" s="21">
        <f t="shared" si="1120"/>
        <v>31272.77321491703</v>
      </c>
      <c r="DA134" s="21">
        <f t="shared" si="1120"/>
        <v>32195.915500409443</v>
      </c>
      <c r="DB134" s="21">
        <f t="shared" si="1120"/>
        <v>33195.108109493107</v>
      </c>
      <c r="DE134" s="126"/>
      <c r="DF134" s="22">
        <v>21183.516664259088</v>
      </c>
    </row>
    <row r="135" spans="1:110" s="22" customFormat="1" x14ac:dyDescent="0.2">
      <c r="AB135" s="21"/>
      <c r="AC135" s="21"/>
      <c r="AD135" s="21"/>
      <c r="AE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E135" s="126"/>
    </row>
    <row r="136" spans="1:110" s="23" customFormat="1" x14ac:dyDescent="0.2">
      <c r="A136" s="23" t="s">
        <v>23</v>
      </c>
      <c r="B136" s="23">
        <f>'Annual Raw'!C45</f>
        <v>0</v>
      </c>
      <c r="C136" s="23">
        <f>'Annual Raw'!D45</f>
        <v>71.4559</v>
      </c>
      <c r="D136" s="23">
        <f>'Annual Raw'!E45</f>
        <v>82.786500000000004</v>
      </c>
      <c r="E136" s="23">
        <f>'Annual Raw'!F45</f>
        <v>81.305300000000003</v>
      </c>
      <c r="F136" s="23">
        <f>'Annual Raw'!G45</f>
        <v>97.807900000000004</v>
      </c>
      <c r="G136" s="23">
        <f>'Annual Raw'!H45</f>
        <v>102.7672</v>
      </c>
      <c r="H136" s="23">
        <f>'Annual Raw'!I45</f>
        <v>648.68610000000001</v>
      </c>
      <c r="I136" s="23">
        <f>'Annual Raw'!J45</f>
        <v>1028.1338000000001</v>
      </c>
      <c r="J136" s="23">
        <f>'Annual Raw'!K45</f>
        <v>1021.9556</v>
      </c>
      <c r="K136" s="23">
        <f>'Annual Raw'!L45</f>
        <v>1057.1368</v>
      </c>
      <c r="L136" s="23">
        <f>'Annual Raw'!M45</f>
        <v>1108.0776000000001</v>
      </c>
      <c r="M136" s="23">
        <f>'Annual Raw'!N45</f>
        <v>1065.9209000000001</v>
      </c>
      <c r="N136" s="23">
        <f>'Annual Raw'!O45</f>
        <v>813.90909999999997</v>
      </c>
      <c r="O136" s="23">
        <f>'Annual Raw'!P45</f>
        <v>924.06960000000004</v>
      </c>
      <c r="P136" s="23">
        <f>'Annual Raw'!Q45</f>
        <v>876.21</v>
      </c>
      <c r="Q136" s="23">
        <f>'Annual Raw'!R45</f>
        <v>861.77</v>
      </c>
      <c r="R136" s="23">
        <f>'Annual Raw'!S45</f>
        <v>919.5</v>
      </c>
      <c r="S136" s="23">
        <f>'Annual Raw'!T45</f>
        <v>1009.04</v>
      </c>
      <c r="T136" s="23">
        <f>'Annual Raw'!U45</f>
        <v>1027.68</v>
      </c>
      <c r="U136" s="23">
        <f>'Annual Raw'!V45</f>
        <v>1092.47</v>
      </c>
      <c r="V136" s="23">
        <f>'Annual Raw'!W45</f>
        <v>1092.53</v>
      </c>
      <c r="W136" s="23">
        <f>'Annual Raw'!X45</f>
        <v>1151.6199999999999</v>
      </c>
      <c r="X136" s="23">
        <f>'Annual Raw'!Y45</f>
        <v>850.17</v>
      </c>
      <c r="Y136" s="23">
        <f>'Annual Raw'!Z45</f>
        <v>1379.34</v>
      </c>
      <c r="Z136" s="23">
        <f>'Annual Raw'!AA45</f>
        <v>1389.22</v>
      </c>
      <c r="AA136" s="23">
        <f>'Annual Raw'!AB45</f>
        <v>1401.33</v>
      </c>
      <c r="AB136" s="24">
        <f>+CP136</f>
        <v>1401.33</v>
      </c>
      <c r="AC136" s="24">
        <f>+CT136</f>
        <v>1401.33</v>
      </c>
      <c r="AD136" s="24">
        <f>+CX136</f>
        <v>1401.33</v>
      </c>
      <c r="AE136" s="24">
        <f>+DB136</f>
        <v>1401.33</v>
      </c>
      <c r="AJ136" s="23">
        <f>+'QTR Raw'!D60</f>
        <v>1030.3699999999999</v>
      </c>
      <c r="AK136" s="23">
        <f t="shared" ref="AK136:CE136" si="1122">+AJ136</f>
        <v>1030.3699999999999</v>
      </c>
      <c r="AL136" s="23">
        <f>+'QTR Raw'!F60</f>
        <v>813.91</v>
      </c>
      <c r="AM136" s="23">
        <f t="shared" si="1122"/>
        <v>813.91</v>
      </c>
      <c r="AN136" s="23">
        <f>+'QTR Raw'!H60</f>
        <v>945.03</v>
      </c>
      <c r="AO136" s="23">
        <f t="shared" si="1122"/>
        <v>945.03</v>
      </c>
      <c r="AP136" s="23">
        <f>+'QTR Raw'!J60</f>
        <v>924.07</v>
      </c>
      <c r="AQ136" s="23">
        <f t="shared" si="1122"/>
        <v>924.07</v>
      </c>
      <c r="AR136" s="23">
        <f>+'QTR Raw'!L60</f>
        <v>941.2</v>
      </c>
      <c r="AS136" s="23">
        <f t="shared" si="1122"/>
        <v>941.2</v>
      </c>
      <c r="AT136" s="23">
        <f>+'QTR Raw'!N60</f>
        <v>876.22</v>
      </c>
      <c r="AU136" s="23">
        <f t="shared" si="1122"/>
        <v>876.22</v>
      </c>
      <c r="AV136" s="23">
        <f>+'QTR Raw'!P60</f>
        <v>916.06</v>
      </c>
      <c r="AW136" s="23">
        <f t="shared" si="1122"/>
        <v>916.06</v>
      </c>
      <c r="AX136" s="23">
        <f>+'QTR Raw'!R60</f>
        <v>861.77</v>
      </c>
      <c r="AY136" s="23">
        <f t="shared" si="1122"/>
        <v>861.77</v>
      </c>
      <c r="AZ136" s="23">
        <f>+'QTR Raw'!T60</f>
        <v>822.39</v>
      </c>
      <c r="BA136" s="23">
        <f t="shared" si="1122"/>
        <v>822.39</v>
      </c>
      <c r="BB136" s="23">
        <f>+'QTR Raw'!V60</f>
        <v>919.5</v>
      </c>
      <c r="BC136" s="23">
        <f t="shared" si="1122"/>
        <v>919.5</v>
      </c>
      <c r="BD136" s="23">
        <f>+'QTR Raw'!X60</f>
        <v>956.51</v>
      </c>
      <c r="BE136" s="23">
        <f t="shared" si="1122"/>
        <v>956.51</v>
      </c>
      <c r="BF136" s="23">
        <f>+'QTR Raw'!Z60</f>
        <v>1009.04</v>
      </c>
      <c r="BG136" s="23">
        <f t="shared" si="1122"/>
        <v>1009.04</v>
      </c>
      <c r="BH136" s="22">
        <f>+'QTR Raw'!AB60</f>
        <v>1044.04</v>
      </c>
      <c r="BI136" s="23">
        <f t="shared" si="1122"/>
        <v>1044.04</v>
      </c>
      <c r="BJ136" s="23">
        <f>+'QTR Raw'!AD60</f>
        <v>1027.68</v>
      </c>
      <c r="BK136" s="23">
        <f t="shared" si="1122"/>
        <v>1027.68</v>
      </c>
      <c r="BL136" s="23">
        <f>+'QTR Raw'!AF60</f>
        <v>1017.11</v>
      </c>
      <c r="BM136" s="23">
        <f t="shared" si="1122"/>
        <v>1017.11</v>
      </c>
      <c r="BN136" s="23">
        <f>+'QTR Raw'!AH60</f>
        <v>1092.47</v>
      </c>
      <c r="BO136" s="23">
        <f t="shared" si="1122"/>
        <v>1092.47</v>
      </c>
      <c r="BP136" s="23">
        <f>+'QTR Raw'!AJ60</f>
        <v>1108.82</v>
      </c>
      <c r="BQ136" s="23">
        <f t="shared" si="1122"/>
        <v>1108.82</v>
      </c>
      <c r="BR136" s="23">
        <f>+'QTR Raw'!AL60</f>
        <v>1092.53</v>
      </c>
      <c r="BS136" s="23">
        <f t="shared" si="1122"/>
        <v>1092.53</v>
      </c>
      <c r="BT136" s="23">
        <f>+'QTR Raw'!AN60</f>
        <v>1102.79</v>
      </c>
      <c r="BU136" s="23">
        <f t="shared" si="1122"/>
        <v>1102.79</v>
      </c>
      <c r="BV136" s="23">
        <f>+'QTR Raw'!AP60</f>
        <v>1151.6199999999999</v>
      </c>
      <c r="BW136" s="23">
        <f t="shared" si="1122"/>
        <v>1151.6199999999999</v>
      </c>
      <c r="BX136" s="23">
        <f>+'QTR Raw'!AR60</f>
        <v>1187.3499999999999</v>
      </c>
      <c r="BY136" s="23">
        <f t="shared" si="1122"/>
        <v>1187.3499999999999</v>
      </c>
      <c r="BZ136" s="23">
        <f>+'QTR Raw'!AT60</f>
        <v>850.17</v>
      </c>
      <c r="CA136" s="23">
        <f t="shared" si="1122"/>
        <v>850.17</v>
      </c>
      <c r="CB136" s="23">
        <f>+'QTR Raw'!AV60</f>
        <v>875.99</v>
      </c>
      <c r="CC136" s="23">
        <f t="shared" si="1122"/>
        <v>875.99</v>
      </c>
      <c r="CD136" s="23">
        <f>+'QTR Raw'!AX60</f>
        <v>1379.34</v>
      </c>
      <c r="CE136" s="23">
        <f t="shared" si="1122"/>
        <v>1379.34</v>
      </c>
      <c r="CF136" s="23">
        <f>+'QTR Raw'!AZ60</f>
        <v>1384.61</v>
      </c>
      <c r="CG136" s="23">
        <f t="shared" ref="CG136:CI136" si="1123">+CF136</f>
        <v>1384.61</v>
      </c>
      <c r="CH136" s="23">
        <f t="shared" ref="CH136:CH141" si="1124">Z136</f>
        <v>1389.22</v>
      </c>
      <c r="CI136" s="23">
        <f t="shared" si="1123"/>
        <v>1389.22</v>
      </c>
      <c r="CJ136" s="23">
        <f>+'QTR Raw'!BD60</f>
        <v>1390.62</v>
      </c>
      <c r="CK136" s="23">
        <f t="shared" ref="CK136" si="1125">+CJ136</f>
        <v>1390.62</v>
      </c>
      <c r="CL136" s="23">
        <f>+'QTR Raw'!BF60</f>
        <v>1401.33</v>
      </c>
      <c r="CM136" s="24">
        <f t="shared" ref="CM136" si="1126">+CL136</f>
        <v>1401.33</v>
      </c>
      <c r="CN136" s="24">
        <f t="shared" ref="CN136" si="1127">+CM136</f>
        <v>1401.33</v>
      </c>
      <c r="CO136" s="24">
        <f t="shared" ref="CO136" si="1128">+CN136</f>
        <v>1401.33</v>
      </c>
      <c r="CP136" s="24">
        <f t="shared" ref="CP136" si="1129">+CO136</f>
        <v>1401.33</v>
      </c>
      <c r="CQ136" s="24">
        <f t="shared" ref="CQ136" si="1130">+CP136</f>
        <v>1401.33</v>
      </c>
      <c r="CR136" s="24">
        <f t="shared" ref="CR136" si="1131">+CQ136</f>
        <v>1401.33</v>
      </c>
      <c r="CS136" s="24">
        <f t="shared" ref="CS136" si="1132">+CR136</f>
        <v>1401.33</v>
      </c>
      <c r="CT136" s="24">
        <f t="shared" ref="CT136" si="1133">+CS136</f>
        <v>1401.33</v>
      </c>
      <c r="CU136" s="24">
        <f t="shared" ref="CU136" si="1134">+CT136</f>
        <v>1401.33</v>
      </c>
      <c r="CV136" s="24">
        <f t="shared" ref="CV136" si="1135">+CU136</f>
        <v>1401.33</v>
      </c>
      <c r="CW136" s="24">
        <f t="shared" ref="CW136" si="1136">+CV136</f>
        <v>1401.33</v>
      </c>
      <c r="CX136" s="24">
        <f t="shared" ref="CX136" si="1137">+CW136</f>
        <v>1401.33</v>
      </c>
      <c r="CY136" s="24">
        <f t="shared" ref="CY136" si="1138">+CX136</f>
        <v>1401.33</v>
      </c>
      <c r="CZ136" s="24">
        <f t="shared" ref="CZ136" si="1139">+CY136</f>
        <v>1401.33</v>
      </c>
      <c r="DA136" s="24">
        <f t="shared" ref="DA136" si="1140">+CZ136</f>
        <v>1401.33</v>
      </c>
      <c r="DB136" s="24">
        <f t="shared" ref="DB136" si="1141">+DA136</f>
        <v>1401.33</v>
      </c>
      <c r="DE136" s="123"/>
      <c r="DF136" s="23">
        <v>1390.62</v>
      </c>
    </row>
    <row r="137" spans="1:110" s="23" customFormat="1" x14ac:dyDescent="0.2">
      <c r="AB137" s="24"/>
      <c r="AC137" s="24"/>
      <c r="AD137" s="24"/>
      <c r="AE137" s="24"/>
      <c r="BH137" s="22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E137" s="123"/>
    </row>
    <row r="138" spans="1:110" s="23" customFormat="1" outlineLevel="1" x14ac:dyDescent="0.2">
      <c r="A138" s="23" t="s">
        <v>45</v>
      </c>
      <c r="B138" s="23">
        <f>'Annual Raw'!C47</f>
        <v>123.16249999999999</v>
      </c>
      <c r="C138" s="23">
        <f>'Annual Raw'!D47</f>
        <v>1414.345</v>
      </c>
      <c r="D138" s="23">
        <f>'Annual Raw'!E47</f>
        <v>1490.9096</v>
      </c>
      <c r="E138" s="23">
        <f>'Annual Raw'!F47</f>
        <v>1587.0227</v>
      </c>
      <c r="F138" s="23">
        <f>'Annual Raw'!G47</f>
        <v>1402.9262000000001</v>
      </c>
      <c r="G138" s="23">
        <f>'Annual Raw'!H47</f>
        <v>1505.4398000000001</v>
      </c>
      <c r="H138" s="23">
        <f>'Annual Raw'!I47</f>
        <v>4022.1934999999999</v>
      </c>
      <c r="I138" s="23">
        <f>'Annual Raw'!J47</f>
        <v>2375.4414999999999</v>
      </c>
      <c r="J138" s="23">
        <f>'Annual Raw'!K47</f>
        <v>2090.0781999999999</v>
      </c>
      <c r="K138" s="23">
        <f>'Annual Raw'!L47</f>
        <v>1741.6205</v>
      </c>
      <c r="L138" s="23">
        <f>'Annual Raw'!M47</f>
        <v>722.84230000000002</v>
      </c>
      <c r="M138" s="23">
        <f>'Annual Raw'!N47</f>
        <v>739.34159999999997</v>
      </c>
      <c r="N138" s="23">
        <f>'Annual Raw'!O47</f>
        <v>672.70410000000004</v>
      </c>
      <c r="O138" s="23">
        <f>'Annual Raw'!P47</f>
        <v>1035.7743</v>
      </c>
      <c r="P138" s="23">
        <f>'Annual Raw'!Q47</f>
        <v>883.94</v>
      </c>
      <c r="Q138" s="23">
        <f>'Annual Raw'!R47</f>
        <v>504.12</v>
      </c>
      <c r="R138" s="23">
        <f>'Annual Raw'!S47</f>
        <v>450.1</v>
      </c>
      <c r="S138" s="23">
        <f>'Annual Raw'!T47</f>
        <v>655.99</v>
      </c>
      <c r="T138" s="23">
        <f>'Annual Raw'!U47</f>
        <v>787.24</v>
      </c>
      <c r="U138" s="23">
        <f>'Annual Raw'!V47</f>
        <v>794.67</v>
      </c>
      <c r="V138" s="23">
        <f>'Annual Raw'!W47</f>
        <v>287.54000000000002</v>
      </c>
      <c r="W138" s="23">
        <f>'Annual Raw'!X47</f>
        <v>241.87</v>
      </c>
      <c r="X138" s="23">
        <f>'Annual Raw'!Y47</f>
        <v>206.12</v>
      </c>
      <c r="Y138" s="23">
        <f>'Annual Raw'!Z47</f>
        <v>168.35</v>
      </c>
      <c r="Z138" s="23">
        <f>'Annual Raw'!AA47</f>
        <v>190.68</v>
      </c>
      <c r="AA138" s="23">
        <f>'Annual Raw'!AB47</f>
        <v>302.14</v>
      </c>
      <c r="AB138" s="24">
        <f t="shared" ref="AB138:AB141" si="1142">+CP138</f>
        <v>0</v>
      </c>
      <c r="AC138" s="24">
        <f t="shared" ref="AC138:AC141" si="1143">+CT138</f>
        <v>0</v>
      </c>
      <c r="AD138" s="24">
        <f t="shared" ref="AD138:AD141" si="1144">+CX138</f>
        <v>0</v>
      </c>
      <c r="AE138" s="24">
        <f t="shared" ref="AE138:AE141" si="1145">+DB138</f>
        <v>0</v>
      </c>
      <c r="AJ138" s="23">
        <f>+'QTR Raw'!D62</f>
        <v>0</v>
      </c>
      <c r="AK138" s="23">
        <f t="shared" ref="AK138:CC141" si="1146">+AJ138</f>
        <v>0</v>
      </c>
      <c r="AL138" s="23">
        <f>+'QTR Raw'!F62</f>
        <v>0</v>
      </c>
      <c r="AM138" s="23">
        <f t="shared" si="1146"/>
        <v>0</v>
      </c>
      <c r="AN138" s="23">
        <f>+'QTR Raw'!H62</f>
        <v>0</v>
      </c>
      <c r="AO138" s="23">
        <f t="shared" si="1146"/>
        <v>0</v>
      </c>
      <c r="AP138" s="23">
        <f>+'QTR Raw'!J62</f>
        <v>0</v>
      </c>
      <c r="AQ138" s="23">
        <f t="shared" si="1146"/>
        <v>0</v>
      </c>
      <c r="AR138" s="23">
        <f>+'QTR Raw'!L62</f>
        <v>0</v>
      </c>
      <c r="AS138" s="23">
        <f t="shared" si="1146"/>
        <v>0</v>
      </c>
      <c r="AT138" s="23">
        <f>+'QTR Raw'!N62</f>
        <v>0</v>
      </c>
      <c r="AU138" s="23">
        <f t="shared" si="1146"/>
        <v>0</v>
      </c>
      <c r="AV138" s="23">
        <f>+'QTR Raw'!P62</f>
        <v>0</v>
      </c>
      <c r="AW138" s="23">
        <f t="shared" si="1146"/>
        <v>0</v>
      </c>
      <c r="AX138" s="23">
        <f>+'QTR Raw'!R62</f>
        <v>0</v>
      </c>
      <c r="AY138" s="23">
        <f t="shared" si="1146"/>
        <v>0</v>
      </c>
      <c r="AZ138" s="23">
        <f>+'QTR Raw'!T62</f>
        <v>0</v>
      </c>
      <c r="BA138" s="23">
        <f t="shared" si="1146"/>
        <v>0</v>
      </c>
      <c r="BB138" s="23">
        <f>+'QTR Raw'!V62</f>
        <v>0</v>
      </c>
      <c r="BC138" s="23">
        <f t="shared" si="1146"/>
        <v>0</v>
      </c>
      <c r="BD138" s="23">
        <f>+'QTR Raw'!X62</f>
        <v>0</v>
      </c>
      <c r="BE138" s="23">
        <f t="shared" si="1146"/>
        <v>0</v>
      </c>
      <c r="BF138" s="23">
        <f>+'QTR Raw'!Z62</f>
        <v>0</v>
      </c>
      <c r="BG138" s="23">
        <f t="shared" si="1146"/>
        <v>0</v>
      </c>
      <c r="BH138" s="22">
        <f>+'QTR Raw'!AB62</f>
        <v>0</v>
      </c>
      <c r="BI138" s="23">
        <f t="shared" si="1146"/>
        <v>0</v>
      </c>
      <c r="BJ138" s="23">
        <f>+'QTR Raw'!AD62</f>
        <v>0</v>
      </c>
      <c r="BK138" s="23">
        <f t="shared" si="1146"/>
        <v>0</v>
      </c>
      <c r="BL138" s="23">
        <f>+'QTR Raw'!AF62</f>
        <v>0</v>
      </c>
      <c r="BM138" s="23">
        <f t="shared" si="1146"/>
        <v>0</v>
      </c>
      <c r="BN138" s="23">
        <f>+'QTR Raw'!AH62</f>
        <v>0</v>
      </c>
      <c r="BO138" s="23">
        <f t="shared" si="1146"/>
        <v>0</v>
      </c>
      <c r="BP138" s="23">
        <f>+'QTR Raw'!AJ62</f>
        <v>0</v>
      </c>
      <c r="BQ138" s="23">
        <f t="shared" si="1146"/>
        <v>0</v>
      </c>
      <c r="BR138" s="23">
        <f>+'QTR Raw'!AL62</f>
        <v>0</v>
      </c>
      <c r="BS138" s="23">
        <f t="shared" si="1146"/>
        <v>0</v>
      </c>
      <c r="BT138" s="23">
        <f>+'QTR Raw'!AN62</f>
        <v>0</v>
      </c>
      <c r="BU138" s="23">
        <f t="shared" si="1146"/>
        <v>0</v>
      </c>
      <c r="BV138" s="23">
        <f>+'QTR Raw'!AP62</f>
        <v>0</v>
      </c>
      <c r="BW138" s="23">
        <f t="shared" si="1146"/>
        <v>0</v>
      </c>
      <c r="BX138" s="23">
        <f>+'QTR Raw'!AR62</f>
        <v>0</v>
      </c>
      <c r="BY138" s="23">
        <f t="shared" si="1146"/>
        <v>0</v>
      </c>
      <c r="BZ138" s="23">
        <f>+'QTR Raw'!AT62</f>
        <v>0</v>
      </c>
      <c r="CA138" s="23">
        <f t="shared" si="1146"/>
        <v>0</v>
      </c>
      <c r="CB138" s="23">
        <f>+'QTR Raw'!AV62</f>
        <v>0</v>
      </c>
      <c r="CC138" s="23">
        <f t="shared" si="1146"/>
        <v>0</v>
      </c>
      <c r="CD138" s="23">
        <f>+'QTR Raw'!AX62</f>
        <v>0</v>
      </c>
      <c r="CE138" s="23">
        <f t="shared" ref="CE138:CE141" si="1147">+CD138</f>
        <v>0</v>
      </c>
      <c r="CF138" s="23">
        <f>+'QTR Raw'!AZ62</f>
        <v>0</v>
      </c>
      <c r="CG138" s="23">
        <f t="shared" ref="CG138:CI141" si="1148">+CF138</f>
        <v>0</v>
      </c>
      <c r="CH138" s="23">
        <f t="shared" si="1124"/>
        <v>190.68</v>
      </c>
      <c r="CI138" s="23">
        <f t="shared" si="1148"/>
        <v>190.68</v>
      </c>
      <c r="CJ138" s="23">
        <f>+'QTR Raw'!BD62</f>
        <v>0</v>
      </c>
      <c r="CK138" s="23">
        <f t="shared" ref="CK138:CK141" si="1149">+CJ138</f>
        <v>0</v>
      </c>
      <c r="CL138" s="23">
        <f>+'QTR Raw'!BF62</f>
        <v>0</v>
      </c>
      <c r="CM138" s="24">
        <f t="shared" ref="CM138:CM141" si="1150">+CL138</f>
        <v>0</v>
      </c>
      <c r="CN138" s="24">
        <f t="shared" ref="CN138:CN141" si="1151">+CM138</f>
        <v>0</v>
      </c>
      <c r="CO138" s="24">
        <f t="shared" ref="CO138:CO141" si="1152">+CN138</f>
        <v>0</v>
      </c>
      <c r="CP138" s="24">
        <f t="shared" ref="CP138:CP141" si="1153">+CO138</f>
        <v>0</v>
      </c>
      <c r="CQ138" s="24">
        <f t="shared" ref="CQ138:CQ141" si="1154">+CP138</f>
        <v>0</v>
      </c>
      <c r="CR138" s="24">
        <f t="shared" ref="CR138:CR141" si="1155">+CQ138</f>
        <v>0</v>
      </c>
      <c r="CS138" s="24">
        <f t="shared" ref="CS138:CS141" si="1156">+CR138</f>
        <v>0</v>
      </c>
      <c r="CT138" s="24">
        <f t="shared" ref="CT138:CT141" si="1157">+CS138</f>
        <v>0</v>
      </c>
      <c r="CU138" s="24">
        <f t="shared" ref="CU138:CU141" si="1158">+CT138</f>
        <v>0</v>
      </c>
      <c r="CV138" s="24">
        <f t="shared" ref="CV138:CV141" si="1159">+CU138</f>
        <v>0</v>
      </c>
      <c r="CW138" s="24">
        <f t="shared" ref="CW138:CW141" si="1160">+CV138</f>
        <v>0</v>
      </c>
      <c r="CX138" s="24">
        <f t="shared" ref="CX138:CX141" si="1161">+CW138</f>
        <v>0</v>
      </c>
      <c r="CY138" s="24">
        <f t="shared" ref="CY138:CY141" si="1162">+CX138</f>
        <v>0</v>
      </c>
      <c r="CZ138" s="24">
        <f t="shared" ref="CZ138:CZ141" si="1163">+CY138</f>
        <v>0</v>
      </c>
      <c r="DA138" s="24">
        <f t="shared" ref="DA138:DA141" si="1164">+CZ138</f>
        <v>0</v>
      </c>
      <c r="DB138" s="24">
        <f t="shared" ref="DB138:DB141" si="1165">+DA138</f>
        <v>0</v>
      </c>
      <c r="DE138" s="123"/>
      <c r="DF138" s="23">
        <v>0</v>
      </c>
    </row>
    <row r="139" spans="1:110" s="23" customFormat="1" outlineLevel="1" x14ac:dyDescent="0.2">
      <c r="A139" s="23" t="s">
        <v>46</v>
      </c>
      <c r="B139" s="23">
        <f>'Annual Raw'!C48</f>
        <v>115.8687</v>
      </c>
      <c r="C139" s="23">
        <f>'Annual Raw'!D48</f>
        <v>316.40300000000002</v>
      </c>
      <c r="D139" s="23">
        <f>'Annual Raw'!E48</f>
        <v>280.57279999999997</v>
      </c>
      <c r="E139" s="23">
        <f>'Annual Raw'!F48</f>
        <v>210.1968</v>
      </c>
      <c r="F139" s="23">
        <f>'Annual Raw'!G48</f>
        <v>229.43010000000001</v>
      </c>
      <c r="G139" s="23">
        <f>'Annual Raw'!H48</f>
        <v>193.02619999999999</v>
      </c>
      <c r="H139" s="23">
        <f>'Annual Raw'!I48</f>
        <v>555.56709999999998</v>
      </c>
      <c r="I139" s="23">
        <f>'Annual Raw'!J48</f>
        <v>233.86490000000001</v>
      </c>
      <c r="J139" s="23">
        <f>'Annual Raw'!K48</f>
        <v>340.99270000000001</v>
      </c>
      <c r="K139" s="23">
        <f>'Annual Raw'!L48</f>
        <v>55.164299999999997</v>
      </c>
      <c r="L139" s="23">
        <f>'Annual Raw'!M48</f>
        <v>0</v>
      </c>
      <c r="M139" s="23">
        <f>'Annual Raw'!N48</f>
        <v>0</v>
      </c>
      <c r="N139" s="23">
        <f>'Annual Raw'!O48</f>
        <v>0</v>
      </c>
      <c r="O139" s="23">
        <f>'Annual Raw'!P48</f>
        <v>17.972899999999999</v>
      </c>
      <c r="P139" s="23">
        <f>'Annual Raw'!Q48</f>
        <v>0</v>
      </c>
      <c r="Q139" s="23">
        <f>'Annual Raw'!R48</f>
        <v>0</v>
      </c>
      <c r="R139" s="23">
        <f>'Annual Raw'!S48</f>
        <v>0</v>
      </c>
      <c r="S139" s="23">
        <f>'Annual Raw'!T48</f>
        <v>0</v>
      </c>
      <c r="T139" s="23">
        <f>'Annual Raw'!U48</f>
        <v>0</v>
      </c>
      <c r="U139" s="23">
        <f>'Annual Raw'!V48</f>
        <v>0</v>
      </c>
      <c r="V139" s="23">
        <f>'Annual Raw'!W48</f>
        <v>0</v>
      </c>
      <c r="W139" s="23">
        <f>'Annual Raw'!X48</f>
        <v>0</v>
      </c>
      <c r="X139" s="23">
        <f>'Annual Raw'!Y48</f>
        <v>0</v>
      </c>
      <c r="Y139" s="23">
        <f>'Annual Raw'!Z48</f>
        <v>0</v>
      </c>
      <c r="Z139" s="23">
        <f>'Annual Raw'!AA48</f>
        <v>0</v>
      </c>
      <c r="AA139" s="23">
        <f>'Annual Raw'!AB48</f>
        <v>0</v>
      </c>
      <c r="AB139" s="24">
        <f t="shared" si="1142"/>
        <v>302.14</v>
      </c>
      <c r="AC139" s="24">
        <f t="shared" si="1143"/>
        <v>302.14</v>
      </c>
      <c r="AD139" s="24">
        <f t="shared" si="1144"/>
        <v>302.14</v>
      </c>
      <c r="AE139" s="24">
        <f t="shared" si="1145"/>
        <v>302.14</v>
      </c>
      <c r="AJ139" s="23">
        <f>+'QTR Raw'!D63</f>
        <v>509.27</v>
      </c>
      <c r="AK139" s="23">
        <f t="shared" si="1146"/>
        <v>509.27</v>
      </c>
      <c r="AL139" s="23">
        <f>+'QTR Raw'!F63</f>
        <v>672.7</v>
      </c>
      <c r="AM139" s="23">
        <f t="shared" si="1146"/>
        <v>672.7</v>
      </c>
      <c r="AN139" s="23">
        <f>+'QTR Raw'!H63</f>
        <v>753.11</v>
      </c>
      <c r="AO139" s="23">
        <f t="shared" si="1146"/>
        <v>753.11</v>
      </c>
      <c r="AP139" s="23">
        <f>+'QTR Raw'!J63</f>
        <v>1053.75</v>
      </c>
      <c r="AQ139" s="23">
        <f t="shared" si="1146"/>
        <v>1053.75</v>
      </c>
      <c r="AR139" s="23">
        <f>+'QTR Raw'!L63</f>
        <v>915.22</v>
      </c>
      <c r="AS139" s="23">
        <f t="shared" si="1146"/>
        <v>915.22</v>
      </c>
      <c r="AT139" s="23">
        <f>+'QTR Raw'!N63</f>
        <v>883.94</v>
      </c>
      <c r="AU139" s="23">
        <f t="shared" si="1146"/>
        <v>883.94</v>
      </c>
      <c r="AV139" s="23">
        <f>+'QTR Raw'!P63</f>
        <v>881.1</v>
      </c>
      <c r="AW139" s="23">
        <f t="shared" si="1146"/>
        <v>881.1</v>
      </c>
      <c r="AX139" s="23">
        <f>+'QTR Raw'!R63</f>
        <v>504.12</v>
      </c>
      <c r="AY139" s="23">
        <f t="shared" si="1146"/>
        <v>504.12</v>
      </c>
      <c r="AZ139" s="23">
        <f>+'QTR Raw'!T63</f>
        <v>457.57</v>
      </c>
      <c r="BA139" s="23">
        <f t="shared" si="1146"/>
        <v>457.57</v>
      </c>
      <c r="BB139" s="23">
        <f>+'QTR Raw'!V63</f>
        <v>450.1</v>
      </c>
      <c r="BC139" s="23">
        <f t="shared" si="1146"/>
        <v>450.1</v>
      </c>
      <c r="BD139" s="23">
        <f>+'QTR Raw'!X63</f>
        <v>439.89</v>
      </c>
      <c r="BE139" s="23">
        <f t="shared" si="1146"/>
        <v>439.89</v>
      </c>
      <c r="BF139" s="23">
        <f>+'QTR Raw'!Z63</f>
        <v>655.99</v>
      </c>
      <c r="BG139" s="23">
        <f t="shared" si="1146"/>
        <v>655.99</v>
      </c>
      <c r="BH139" s="23">
        <f>+'QTR Raw'!AB63</f>
        <v>819.44</v>
      </c>
      <c r="BI139" s="23">
        <f t="shared" si="1146"/>
        <v>819.44</v>
      </c>
      <c r="BJ139" s="23">
        <f>+'QTR Raw'!AD63</f>
        <v>787.24</v>
      </c>
      <c r="BK139" s="23">
        <f t="shared" si="1146"/>
        <v>787.24</v>
      </c>
      <c r="BL139" s="23">
        <f>+'QTR Raw'!AF63</f>
        <v>804.46</v>
      </c>
      <c r="BM139" s="23">
        <f t="shared" si="1146"/>
        <v>804.46</v>
      </c>
      <c r="BN139" s="23">
        <f>+'QTR Raw'!AH63</f>
        <v>794.67</v>
      </c>
      <c r="BO139" s="23">
        <f t="shared" si="1146"/>
        <v>794.67</v>
      </c>
      <c r="BP139" s="23">
        <f>+'QTR Raw'!AJ63</f>
        <v>728.16</v>
      </c>
      <c r="BQ139" s="23">
        <f t="shared" si="1146"/>
        <v>728.16</v>
      </c>
      <c r="BR139" s="23">
        <f>+'QTR Raw'!AL63</f>
        <v>287.54000000000002</v>
      </c>
      <c r="BS139" s="23">
        <f t="shared" si="1146"/>
        <v>287.54000000000002</v>
      </c>
      <c r="BT139" s="23">
        <f>+'QTR Raw'!AN63</f>
        <v>264.42</v>
      </c>
      <c r="BU139" s="23">
        <f t="shared" si="1146"/>
        <v>264.42</v>
      </c>
      <c r="BV139" s="23">
        <f>+'QTR Raw'!AP63</f>
        <v>241.87</v>
      </c>
      <c r="BW139" s="23">
        <f t="shared" si="1146"/>
        <v>241.87</v>
      </c>
      <c r="BX139" s="23">
        <f>+'QTR Raw'!AR63</f>
        <v>225.43</v>
      </c>
      <c r="BY139" s="23">
        <f t="shared" si="1146"/>
        <v>225.43</v>
      </c>
      <c r="BZ139" s="23">
        <f>+'QTR Raw'!AT63</f>
        <v>206.12</v>
      </c>
      <c r="CA139" s="23">
        <f t="shared" si="1146"/>
        <v>206.12</v>
      </c>
      <c r="CB139" s="23">
        <f>+'QTR Raw'!AV63</f>
        <v>177.76</v>
      </c>
      <c r="CC139" s="23">
        <f t="shared" si="1146"/>
        <v>177.76</v>
      </c>
      <c r="CD139" s="23">
        <f>+'QTR Raw'!AX63</f>
        <v>168.35</v>
      </c>
      <c r="CE139" s="23">
        <f t="shared" si="1147"/>
        <v>168.35</v>
      </c>
      <c r="CF139" s="23">
        <f>+'QTR Raw'!AZ63</f>
        <v>153</v>
      </c>
      <c r="CG139" s="23">
        <f t="shared" si="1148"/>
        <v>153</v>
      </c>
      <c r="CH139" s="23">
        <f t="shared" si="1124"/>
        <v>0</v>
      </c>
      <c r="CI139" s="23">
        <f t="shared" si="1148"/>
        <v>0</v>
      </c>
      <c r="CJ139" s="23">
        <f>+'QTR Raw'!BD63</f>
        <v>297.88</v>
      </c>
      <c r="CK139" s="23">
        <f t="shared" si="1149"/>
        <v>297.88</v>
      </c>
      <c r="CL139" s="23">
        <f>+'QTR Raw'!BF63</f>
        <v>302.14</v>
      </c>
      <c r="CM139" s="24">
        <f t="shared" si="1150"/>
        <v>302.14</v>
      </c>
      <c r="CN139" s="24">
        <f t="shared" si="1151"/>
        <v>302.14</v>
      </c>
      <c r="CO139" s="24">
        <f t="shared" si="1152"/>
        <v>302.14</v>
      </c>
      <c r="CP139" s="24">
        <f t="shared" si="1153"/>
        <v>302.14</v>
      </c>
      <c r="CQ139" s="24">
        <f t="shared" si="1154"/>
        <v>302.14</v>
      </c>
      <c r="CR139" s="24">
        <f t="shared" si="1155"/>
        <v>302.14</v>
      </c>
      <c r="CS139" s="24">
        <f t="shared" si="1156"/>
        <v>302.14</v>
      </c>
      <c r="CT139" s="24">
        <f t="shared" si="1157"/>
        <v>302.14</v>
      </c>
      <c r="CU139" s="24">
        <f t="shared" si="1158"/>
        <v>302.14</v>
      </c>
      <c r="CV139" s="24">
        <f t="shared" si="1159"/>
        <v>302.14</v>
      </c>
      <c r="CW139" s="24">
        <f t="shared" si="1160"/>
        <v>302.14</v>
      </c>
      <c r="CX139" s="24">
        <f t="shared" si="1161"/>
        <v>302.14</v>
      </c>
      <c r="CY139" s="24">
        <f t="shared" si="1162"/>
        <v>302.14</v>
      </c>
      <c r="CZ139" s="24">
        <f t="shared" si="1163"/>
        <v>302.14</v>
      </c>
      <c r="DA139" s="24">
        <f t="shared" si="1164"/>
        <v>302.14</v>
      </c>
      <c r="DB139" s="24">
        <f t="shared" si="1165"/>
        <v>302.14</v>
      </c>
      <c r="DE139" s="123"/>
      <c r="DF139" s="23">
        <v>297.88</v>
      </c>
    </row>
    <row r="140" spans="1:110" s="23" customFormat="1" outlineLevel="1" x14ac:dyDescent="0.2">
      <c r="A140" s="23" t="s">
        <v>47</v>
      </c>
      <c r="B140" s="23">
        <f>'Annual Raw'!C87+'Annual Raw'!C88+'Annual Raw'!C89+'Annual Raw'!C90</f>
        <v>0</v>
      </c>
      <c r="C140" s="23">
        <f>'Annual Raw'!D87+'Annual Raw'!D88+'Annual Raw'!D89+'Annual Raw'!D90</f>
        <v>0</v>
      </c>
      <c r="D140" s="23">
        <f>'Annual Raw'!E87+'Annual Raw'!E88+'Annual Raw'!E89+'Annual Raw'!E90</f>
        <v>0</v>
      </c>
      <c r="E140" s="23">
        <f>'Annual Raw'!F87+'Annual Raw'!F88+'Annual Raw'!F89+'Annual Raw'!F90</f>
        <v>0</v>
      </c>
      <c r="F140" s="23">
        <f>'Annual Raw'!G87+'Annual Raw'!G88+'Annual Raw'!G89+'Annual Raw'!G90</f>
        <v>0</v>
      </c>
      <c r="G140" s="23">
        <f>'Annual Raw'!H87+'Annual Raw'!H88+'Annual Raw'!H89+'Annual Raw'!H90</f>
        <v>0</v>
      </c>
      <c r="H140" s="23">
        <f>'Annual Raw'!I87+'Annual Raw'!I88+'Annual Raw'!I89+'Annual Raw'!I90</f>
        <v>0</v>
      </c>
      <c r="I140" s="23">
        <f>'Annual Raw'!J87+'Annual Raw'!J88+'Annual Raw'!J89+'Annual Raw'!J90</f>
        <v>0</v>
      </c>
      <c r="J140" s="23">
        <f>'Annual Raw'!K87+'Annual Raw'!K88+'Annual Raw'!K89+'Annual Raw'!K90</f>
        <v>0</v>
      </c>
      <c r="K140" s="23">
        <f>'Annual Raw'!L87+'Annual Raw'!L88+'Annual Raw'!L89+'Annual Raw'!L90</f>
        <v>0</v>
      </c>
      <c r="L140" s="23">
        <f>'Annual Raw'!M87+'Annual Raw'!M88+'Annual Raw'!M89+'Annual Raw'!M90</f>
        <v>20.1204</v>
      </c>
      <c r="M140" s="23">
        <f>'Annual Raw'!N87+'Annual Raw'!N88+'Annual Raw'!N89+'Annual Raw'!N90</f>
        <v>27.659500000000001</v>
      </c>
      <c r="N140" s="23">
        <f>'Annual Raw'!O87+'Annual Raw'!O88+'Annual Raw'!O89+'Annual Raw'!O90</f>
        <v>371.94300000000004</v>
      </c>
      <c r="O140" s="23">
        <f>'Annual Raw'!P87+'Annual Raw'!P88+'Annual Raw'!P89+'Annual Raw'!P90</f>
        <v>36.766500000000001</v>
      </c>
      <c r="P140" s="23">
        <f>'Annual Raw'!Q87+'Annual Raw'!Q88+'Annual Raw'!Q89+'Annual Raw'!Q90</f>
        <v>58.06</v>
      </c>
      <c r="Q140" s="23">
        <f>'Annual Raw'!R87+'Annual Raw'!R88+'Annual Raw'!R89+'Annual Raw'!R90</f>
        <v>441.37</v>
      </c>
      <c r="R140" s="23">
        <f>'Annual Raw'!S87+'Annual Raw'!S88+'Annual Raw'!S89+'Annual Raw'!S90</f>
        <v>16.23</v>
      </c>
      <c r="S140" s="23">
        <f>'Annual Raw'!T87+'Annual Raw'!T88+'Annual Raw'!T89+'Annual Raw'!T90</f>
        <v>11.4</v>
      </c>
      <c r="T140" s="23">
        <f>'Annual Raw'!U87+'Annual Raw'!U88+'Annual Raw'!U89+'Annual Raw'!U90</f>
        <v>24.2</v>
      </c>
      <c r="U140" s="23">
        <f>'Annual Raw'!V87+'Annual Raw'!V88+'Annual Raw'!V89+'Annual Raw'!V90</f>
        <v>73.91</v>
      </c>
      <c r="V140" s="23">
        <f>'Annual Raw'!W87+'Annual Raw'!W88+'Annual Raw'!W89+'Annual Raw'!W90</f>
        <v>486.04</v>
      </c>
      <c r="W140" s="23">
        <f>'Annual Raw'!X87+'Annual Raw'!X88+'Annual Raw'!X89+'Annual Raw'!X90</f>
        <v>56.28</v>
      </c>
      <c r="X140" s="23">
        <f>'Annual Raw'!Y87+'Annual Raw'!Y88+'Annual Raw'!Y89+'Annual Raw'!Y90</f>
        <v>64.59</v>
      </c>
      <c r="Y140" s="23">
        <f>'Annual Raw'!Z87+'Annual Raw'!Z88+'Annual Raw'!Z89+'Annual Raw'!Z90</f>
        <v>44.57</v>
      </c>
      <c r="Z140" s="23">
        <f>'Annual Raw'!AA87+'Annual Raw'!AA88+'Annual Raw'!AA89+'Annual Raw'!AA90</f>
        <v>42.49</v>
      </c>
      <c r="AA140" s="23">
        <f>'Annual Raw'!AB87+'Annual Raw'!AB88+'Annual Raw'!AB89+'Annual Raw'!AB90</f>
        <v>49.78</v>
      </c>
      <c r="AB140" s="24">
        <f t="shared" si="1142"/>
        <v>0</v>
      </c>
      <c r="AC140" s="24">
        <f t="shared" si="1143"/>
        <v>0</v>
      </c>
      <c r="AD140" s="24">
        <f t="shared" si="1144"/>
        <v>0</v>
      </c>
      <c r="AE140" s="24">
        <f t="shared" si="1145"/>
        <v>0</v>
      </c>
      <c r="AJ140" s="23">
        <f>+'QTR Raw'!D90</f>
        <v>0</v>
      </c>
      <c r="AK140" s="23">
        <f t="shared" si="1146"/>
        <v>0</v>
      </c>
      <c r="AL140" s="23">
        <f>+'QTR Raw'!F90</f>
        <v>0</v>
      </c>
      <c r="AM140" s="23">
        <f t="shared" si="1146"/>
        <v>0</v>
      </c>
      <c r="AN140" s="23">
        <f>+'QTR Raw'!H90</f>
        <v>0</v>
      </c>
      <c r="AO140" s="23">
        <f t="shared" si="1146"/>
        <v>0</v>
      </c>
      <c r="AP140" s="23">
        <f>+'QTR Raw'!J90</f>
        <v>0</v>
      </c>
      <c r="AQ140" s="23">
        <f t="shared" si="1146"/>
        <v>0</v>
      </c>
      <c r="AR140" s="23">
        <f>+'QTR Raw'!L90</f>
        <v>0</v>
      </c>
      <c r="AS140" s="23">
        <f t="shared" si="1146"/>
        <v>0</v>
      </c>
      <c r="AT140" s="23">
        <f>+'QTR Raw'!N90</f>
        <v>0</v>
      </c>
      <c r="AU140" s="23">
        <f t="shared" si="1146"/>
        <v>0</v>
      </c>
      <c r="AV140" s="23">
        <f>+'QTR Raw'!P90</f>
        <v>0</v>
      </c>
      <c r="AW140" s="23">
        <f t="shared" si="1146"/>
        <v>0</v>
      </c>
      <c r="AX140" s="23">
        <f>+'QTR Raw'!R90</f>
        <v>0</v>
      </c>
      <c r="AY140" s="23">
        <f t="shared" si="1146"/>
        <v>0</v>
      </c>
      <c r="AZ140" s="23">
        <f>+'QTR Raw'!T90</f>
        <v>0</v>
      </c>
      <c r="BA140" s="23">
        <f t="shared" si="1146"/>
        <v>0</v>
      </c>
      <c r="BB140" s="23">
        <f>+'QTR Raw'!V90</f>
        <v>0</v>
      </c>
      <c r="BC140" s="23">
        <f t="shared" si="1146"/>
        <v>0</v>
      </c>
      <c r="BD140" s="23">
        <f>+'QTR Raw'!X90</f>
        <v>0</v>
      </c>
      <c r="BE140" s="23">
        <f t="shared" si="1146"/>
        <v>0</v>
      </c>
      <c r="BF140" s="23">
        <f>+'QTR Raw'!Z90</f>
        <v>0</v>
      </c>
      <c r="BG140" s="23">
        <f t="shared" si="1146"/>
        <v>0</v>
      </c>
      <c r="BH140" s="22">
        <f>+'QTR Raw'!AB90</f>
        <v>0</v>
      </c>
      <c r="BI140" s="23">
        <f t="shared" si="1146"/>
        <v>0</v>
      </c>
      <c r="BJ140" s="23">
        <f>+'QTR Raw'!AD90</f>
        <v>0</v>
      </c>
      <c r="BK140" s="23">
        <f t="shared" si="1146"/>
        <v>0</v>
      </c>
      <c r="BL140" s="23">
        <f>+'QTR Raw'!AF90</f>
        <v>0</v>
      </c>
      <c r="BM140" s="23">
        <f t="shared" si="1146"/>
        <v>0</v>
      </c>
      <c r="BN140" s="23">
        <f>+'QTR Raw'!AH90</f>
        <v>0</v>
      </c>
      <c r="BO140" s="23">
        <f t="shared" si="1146"/>
        <v>0</v>
      </c>
      <c r="BP140" s="23">
        <f>+'QTR Raw'!AJ90</f>
        <v>0</v>
      </c>
      <c r="BQ140" s="23">
        <f t="shared" si="1146"/>
        <v>0</v>
      </c>
      <c r="BR140" s="23">
        <f>+'QTR Raw'!AL90</f>
        <v>0</v>
      </c>
      <c r="BS140" s="23">
        <f t="shared" si="1146"/>
        <v>0</v>
      </c>
      <c r="BT140" s="23">
        <f>+'QTR Raw'!AN90</f>
        <v>0</v>
      </c>
      <c r="BU140" s="23">
        <f t="shared" si="1146"/>
        <v>0</v>
      </c>
      <c r="BV140" s="23">
        <f>+'QTR Raw'!AP90</f>
        <v>0</v>
      </c>
      <c r="BW140" s="23">
        <f t="shared" si="1146"/>
        <v>0</v>
      </c>
      <c r="BX140" s="23">
        <f>+'QTR Raw'!AR90</f>
        <v>0</v>
      </c>
      <c r="BY140" s="23">
        <f t="shared" si="1146"/>
        <v>0</v>
      </c>
      <c r="BZ140" s="23">
        <f>+'QTR Raw'!AT90</f>
        <v>0</v>
      </c>
      <c r="CA140" s="23">
        <f t="shared" si="1146"/>
        <v>0</v>
      </c>
      <c r="CB140" s="23">
        <f>+'QTR Raw'!AV90</f>
        <v>0</v>
      </c>
      <c r="CC140" s="23">
        <f t="shared" si="1146"/>
        <v>0</v>
      </c>
      <c r="CD140" s="23">
        <f>+'QTR Raw'!AX90</f>
        <v>0</v>
      </c>
      <c r="CE140" s="23">
        <f t="shared" si="1147"/>
        <v>0</v>
      </c>
      <c r="CF140" s="23">
        <f>+'QTR Raw'!AZ90</f>
        <v>0</v>
      </c>
      <c r="CG140" s="23">
        <f t="shared" si="1148"/>
        <v>0</v>
      </c>
      <c r="CH140" s="23">
        <f>+Z140</f>
        <v>42.49</v>
      </c>
      <c r="CI140" s="23">
        <f t="shared" si="1148"/>
        <v>42.49</v>
      </c>
      <c r="CJ140" s="23">
        <f>+'QTR Raw'!BD90</f>
        <v>0</v>
      </c>
      <c r="CK140" s="23">
        <f t="shared" si="1149"/>
        <v>0</v>
      </c>
      <c r="CL140" s="23">
        <f>+'QTR Raw'!BF90</f>
        <v>0</v>
      </c>
      <c r="CM140" s="24">
        <f t="shared" si="1150"/>
        <v>0</v>
      </c>
      <c r="CN140" s="24">
        <f t="shared" si="1151"/>
        <v>0</v>
      </c>
      <c r="CO140" s="24">
        <f t="shared" si="1152"/>
        <v>0</v>
      </c>
      <c r="CP140" s="24">
        <f t="shared" si="1153"/>
        <v>0</v>
      </c>
      <c r="CQ140" s="24">
        <f t="shared" si="1154"/>
        <v>0</v>
      </c>
      <c r="CR140" s="24">
        <f t="shared" si="1155"/>
        <v>0</v>
      </c>
      <c r="CS140" s="24">
        <f t="shared" si="1156"/>
        <v>0</v>
      </c>
      <c r="CT140" s="24">
        <f t="shared" si="1157"/>
        <v>0</v>
      </c>
      <c r="CU140" s="24">
        <f t="shared" si="1158"/>
        <v>0</v>
      </c>
      <c r="CV140" s="24">
        <f t="shared" si="1159"/>
        <v>0</v>
      </c>
      <c r="CW140" s="24">
        <f t="shared" si="1160"/>
        <v>0</v>
      </c>
      <c r="CX140" s="24">
        <f t="shared" si="1161"/>
        <v>0</v>
      </c>
      <c r="CY140" s="24">
        <f t="shared" si="1162"/>
        <v>0</v>
      </c>
      <c r="CZ140" s="24">
        <f t="shared" si="1163"/>
        <v>0</v>
      </c>
      <c r="DA140" s="24">
        <f t="shared" si="1164"/>
        <v>0</v>
      </c>
      <c r="DB140" s="24">
        <f t="shared" si="1165"/>
        <v>0</v>
      </c>
      <c r="DE140" s="123"/>
      <c r="DF140" s="23">
        <v>0</v>
      </c>
    </row>
    <row r="141" spans="1:110" s="23" customFormat="1" outlineLevel="1" x14ac:dyDescent="0.2">
      <c r="A141" s="23" t="s">
        <v>48</v>
      </c>
      <c r="B141" s="23">
        <f>'Annual Raw'!C56</f>
        <v>0</v>
      </c>
      <c r="C141" s="23">
        <f>'Annual Raw'!D56</f>
        <v>0</v>
      </c>
      <c r="D141" s="23">
        <f>'Annual Raw'!E56</f>
        <v>0</v>
      </c>
      <c r="E141" s="23">
        <f>'Annual Raw'!F56</f>
        <v>0</v>
      </c>
      <c r="F141" s="23">
        <f>'Annual Raw'!G56</f>
        <v>0</v>
      </c>
      <c r="G141" s="23">
        <f>'Annual Raw'!H56</f>
        <v>0</v>
      </c>
      <c r="H141" s="23">
        <f>'Annual Raw'!I56</f>
        <v>0</v>
      </c>
      <c r="I141" s="23">
        <f>'Annual Raw'!J56</f>
        <v>0</v>
      </c>
      <c r="J141" s="23">
        <f>'Annual Raw'!K56</f>
        <v>0</v>
      </c>
      <c r="K141" s="23">
        <f>'Annual Raw'!L56</f>
        <v>0</v>
      </c>
      <c r="L141" s="23">
        <f>'Annual Raw'!M56</f>
        <v>298.52980000000002</v>
      </c>
      <c r="M141" s="23">
        <f>'Annual Raw'!N56</f>
        <v>148.91470000000001</v>
      </c>
      <c r="N141" s="23">
        <f>'Annual Raw'!O56</f>
        <v>344.12939999999998</v>
      </c>
      <c r="O141" s="23">
        <f>'Annual Raw'!P56</f>
        <v>347.58499999999998</v>
      </c>
      <c r="P141" s="23">
        <f>'Annual Raw'!Q56</f>
        <v>382.03</v>
      </c>
      <c r="Q141" s="23">
        <f>'Annual Raw'!R56</f>
        <v>408.56</v>
      </c>
      <c r="R141" s="23">
        <f>'Annual Raw'!S56</f>
        <v>320.23</v>
      </c>
      <c r="S141" s="23">
        <f>'Annual Raw'!T56</f>
        <v>400.19</v>
      </c>
      <c r="T141" s="23">
        <f>'Annual Raw'!U56</f>
        <v>329.66</v>
      </c>
      <c r="U141" s="23">
        <f>'Annual Raw'!V56</f>
        <v>387.81</v>
      </c>
      <c r="V141" s="23">
        <f>'Annual Raw'!W56</f>
        <v>433.06</v>
      </c>
      <c r="W141" s="23">
        <f>'Annual Raw'!X56</f>
        <v>712.44</v>
      </c>
      <c r="X141" s="23">
        <f>'Annual Raw'!Y56</f>
        <v>912.11</v>
      </c>
      <c r="Y141" s="23">
        <f>'Annual Raw'!Z56</f>
        <v>2740.93</v>
      </c>
      <c r="Z141" s="23">
        <f>'Annual Raw'!AA56</f>
        <v>1615.48</v>
      </c>
      <c r="AA141" s="23">
        <f>'Annual Raw'!AB56</f>
        <v>1768.39</v>
      </c>
      <c r="AB141" s="24">
        <f t="shared" si="1142"/>
        <v>1818.17</v>
      </c>
      <c r="AC141" s="24">
        <f t="shared" si="1143"/>
        <v>1818.17</v>
      </c>
      <c r="AD141" s="24">
        <f t="shared" si="1144"/>
        <v>1818.17</v>
      </c>
      <c r="AE141" s="24">
        <f t="shared" si="1145"/>
        <v>1818.17</v>
      </c>
      <c r="AJ141" s="23">
        <f>+'QTR Raw'!D88</f>
        <v>497.5</v>
      </c>
      <c r="AK141" s="23">
        <f t="shared" si="1146"/>
        <v>497.5</v>
      </c>
      <c r="AL141" s="23">
        <f>+'QTR Raw'!F88</f>
        <v>344.13</v>
      </c>
      <c r="AM141" s="23">
        <f t="shared" si="1146"/>
        <v>344.13</v>
      </c>
      <c r="AN141" s="23">
        <f>+'QTR Raw'!H88</f>
        <v>649.84</v>
      </c>
      <c r="AO141" s="23">
        <f t="shared" si="1146"/>
        <v>649.84</v>
      </c>
      <c r="AP141" s="23">
        <f>+'QTR Raw'!J88</f>
        <v>347.59</v>
      </c>
      <c r="AQ141" s="23">
        <f t="shared" si="1146"/>
        <v>347.59</v>
      </c>
      <c r="AR141" s="23">
        <f>+'QTR Raw'!L88</f>
        <v>648.34</v>
      </c>
      <c r="AS141" s="23">
        <f t="shared" si="1146"/>
        <v>648.34</v>
      </c>
      <c r="AT141" s="23">
        <f>+'QTR Raw'!N88</f>
        <v>382.03</v>
      </c>
      <c r="AU141" s="23">
        <f t="shared" si="1146"/>
        <v>382.03</v>
      </c>
      <c r="AV141" s="23">
        <f>+'QTR Raw'!P88</f>
        <v>508.96</v>
      </c>
      <c r="AW141" s="23">
        <f t="shared" si="1146"/>
        <v>508.96</v>
      </c>
      <c r="AX141" s="23">
        <f>+'QTR Raw'!R88</f>
        <v>408.56</v>
      </c>
      <c r="AY141" s="23">
        <f t="shared" si="1146"/>
        <v>408.56</v>
      </c>
      <c r="AZ141" s="23">
        <f>+'QTR Raw'!T88</f>
        <v>547.07000000000005</v>
      </c>
      <c r="BA141" s="23">
        <f t="shared" si="1146"/>
        <v>547.07000000000005</v>
      </c>
      <c r="BB141" s="23">
        <f>+'QTR Raw'!V88</f>
        <v>320.23</v>
      </c>
      <c r="BC141" s="23">
        <f t="shared" si="1146"/>
        <v>320.23</v>
      </c>
      <c r="BD141" s="23">
        <f>+'QTR Raw'!X88</f>
        <v>428.07</v>
      </c>
      <c r="BE141" s="23">
        <f t="shared" si="1146"/>
        <v>428.07</v>
      </c>
      <c r="BF141" s="23">
        <f>+'QTR Raw'!Z88</f>
        <v>400.19</v>
      </c>
      <c r="BG141" s="23">
        <f t="shared" si="1146"/>
        <v>400.19</v>
      </c>
      <c r="BH141" s="23">
        <f>+'QTR Raw'!AB88</f>
        <v>401.8</v>
      </c>
      <c r="BI141" s="23">
        <f t="shared" si="1146"/>
        <v>401.8</v>
      </c>
      <c r="BJ141" s="23">
        <f>+'QTR Raw'!AD88</f>
        <v>329.66</v>
      </c>
      <c r="BK141" s="23">
        <f t="shared" si="1146"/>
        <v>329.66</v>
      </c>
      <c r="BL141" s="23">
        <f>+'QTR Raw'!AF88</f>
        <v>417.4</v>
      </c>
      <c r="BM141" s="23">
        <f t="shared" si="1146"/>
        <v>417.4</v>
      </c>
      <c r="BN141" s="23">
        <f>+'QTR Raw'!AH88</f>
        <v>387.81</v>
      </c>
      <c r="BO141" s="23">
        <f t="shared" si="1146"/>
        <v>387.81</v>
      </c>
      <c r="BP141" s="23">
        <f>+'QTR Raw'!AJ88</f>
        <v>411.97</v>
      </c>
      <c r="BQ141" s="23">
        <f t="shared" si="1146"/>
        <v>411.97</v>
      </c>
      <c r="BR141" s="23">
        <f>+'QTR Raw'!AL88</f>
        <v>919.1</v>
      </c>
      <c r="BS141" s="23">
        <f t="shared" si="1146"/>
        <v>919.1</v>
      </c>
      <c r="BT141" s="23">
        <f>+'QTR Raw'!AN88</f>
        <v>488.78</v>
      </c>
      <c r="BU141" s="23">
        <f t="shared" si="1146"/>
        <v>488.78</v>
      </c>
      <c r="BV141" s="23">
        <f>+'QTR Raw'!AP88</f>
        <v>768.72</v>
      </c>
      <c r="BW141" s="23">
        <f t="shared" si="1146"/>
        <v>768.72</v>
      </c>
      <c r="BX141" s="23">
        <f>+'QTR Raw'!AR88</f>
        <v>661.26</v>
      </c>
      <c r="BY141" s="23">
        <f t="shared" si="1146"/>
        <v>661.26</v>
      </c>
      <c r="BZ141" s="23">
        <f>+'QTR Raw'!AT88</f>
        <v>976.7</v>
      </c>
      <c r="CA141" s="23">
        <f t="shared" si="1146"/>
        <v>976.7</v>
      </c>
      <c r="CB141" s="23">
        <f>+'QTR Raw'!AV88</f>
        <v>897.32</v>
      </c>
      <c r="CC141" s="23">
        <f t="shared" si="1146"/>
        <v>897.32</v>
      </c>
      <c r="CD141" s="23">
        <f>+'QTR Raw'!AX88</f>
        <v>2785.5</v>
      </c>
      <c r="CE141" s="23">
        <f t="shared" si="1147"/>
        <v>2785.5</v>
      </c>
      <c r="CF141" s="23">
        <f>+'QTR Raw'!AZ88</f>
        <v>2244.1</v>
      </c>
      <c r="CG141" s="23">
        <f t="shared" si="1148"/>
        <v>2244.1</v>
      </c>
      <c r="CH141" s="23">
        <f t="shared" si="1124"/>
        <v>1615.48</v>
      </c>
      <c r="CI141" s="23">
        <f t="shared" si="1148"/>
        <v>1615.48</v>
      </c>
      <c r="CJ141" s="23">
        <f>+'QTR Raw'!BD88</f>
        <v>1696.13</v>
      </c>
      <c r="CK141" s="23">
        <f t="shared" si="1149"/>
        <v>1696.13</v>
      </c>
      <c r="CL141" s="23">
        <f>+'QTR Raw'!BF88</f>
        <v>1818.17</v>
      </c>
      <c r="CM141" s="24">
        <f t="shared" si="1150"/>
        <v>1818.17</v>
      </c>
      <c r="CN141" s="24">
        <f t="shared" si="1151"/>
        <v>1818.17</v>
      </c>
      <c r="CO141" s="24">
        <f t="shared" si="1152"/>
        <v>1818.17</v>
      </c>
      <c r="CP141" s="24">
        <f t="shared" si="1153"/>
        <v>1818.17</v>
      </c>
      <c r="CQ141" s="24">
        <f t="shared" si="1154"/>
        <v>1818.17</v>
      </c>
      <c r="CR141" s="24">
        <f t="shared" si="1155"/>
        <v>1818.17</v>
      </c>
      <c r="CS141" s="24">
        <f t="shared" si="1156"/>
        <v>1818.17</v>
      </c>
      <c r="CT141" s="24">
        <f t="shared" si="1157"/>
        <v>1818.17</v>
      </c>
      <c r="CU141" s="24">
        <f t="shared" si="1158"/>
        <v>1818.17</v>
      </c>
      <c r="CV141" s="24">
        <f t="shared" si="1159"/>
        <v>1818.17</v>
      </c>
      <c r="CW141" s="24">
        <f t="shared" si="1160"/>
        <v>1818.17</v>
      </c>
      <c r="CX141" s="24">
        <f t="shared" si="1161"/>
        <v>1818.17</v>
      </c>
      <c r="CY141" s="24">
        <f t="shared" si="1162"/>
        <v>1818.17</v>
      </c>
      <c r="CZ141" s="24">
        <f t="shared" si="1163"/>
        <v>1818.17</v>
      </c>
      <c r="DA141" s="24">
        <f t="shared" si="1164"/>
        <v>1818.17</v>
      </c>
      <c r="DB141" s="24">
        <f t="shared" si="1165"/>
        <v>1818.17</v>
      </c>
      <c r="DE141" s="123"/>
      <c r="DF141" s="23">
        <v>1696.13</v>
      </c>
    </row>
    <row r="142" spans="1:110" s="22" customFormat="1" x14ac:dyDescent="0.2">
      <c r="A142" s="22" t="s">
        <v>49</v>
      </c>
      <c r="B142" s="22">
        <f>SUM(B138:B141)</f>
        <v>239.03120000000001</v>
      </c>
      <c r="C142" s="22">
        <f t="shared" ref="C142:V142" si="1166">SUM(C138:C141)</f>
        <v>1730.748</v>
      </c>
      <c r="D142" s="22">
        <f t="shared" si="1166"/>
        <v>1771.4823999999999</v>
      </c>
      <c r="E142" s="22">
        <f t="shared" si="1166"/>
        <v>1797.2194999999999</v>
      </c>
      <c r="F142" s="22">
        <f t="shared" si="1166"/>
        <v>1632.3563000000001</v>
      </c>
      <c r="G142" s="22">
        <f t="shared" si="1166"/>
        <v>1698.4660000000001</v>
      </c>
      <c r="H142" s="22">
        <f t="shared" si="1166"/>
        <v>4577.7605999999996</v>
      </c>
      <c r="I142" s="22">
        <f t="shared" si="1166"/>
        <v>2609.3063999999999</v>
      </c>
      <c r="J142" s="22">
        <f t="shared" si="1166"/>
        <v>2431.0708999999997</v>
      </c>
      <c r="K142" s="22">
        <f t="shared" si="1166"/>
        <v>1796.7847999999999</v>
      </c>
      <c r="L142" s="22">
        <f t="shared" si="1166"/>
        <v>1041.4925000000001</v>
      </c>
      <c r="M142" s="22">
        <f t="shared" si="1166"/>
        <v>915.91579999999999</v>
      </c>
      <c r="N142" s="22">
        <f t="shared" si="1166"/>
        <v>1388.7765000000002</v>
      </c>
      <c r="O142" s="22">
        <f t="shared" si="1166"/>
        <v>1438.0987</v>
      </c>
      <c r="P142" s="22">
        <f t="shared" si="1166"/>
        <v>1324.03</v>
      </c>
      <c r="Q142" s="22">
        <f t="shared" si="1166"/>
        <v>1354.05</v>
      </c>
      <c r="R142" s="22">
        <f t="shared" si="1166"/>
        <v>786.56000000000006</v>
      </c>
      <c r="S142" s="22">
        <f t="shared" si="1166"/>
        <v>1067.58</v>
      </c>
      <c r="T142" s="22">
        <f t="shared" si="1166"/>
        <v>1141.1000000000001</v>
      </c>
      <c r="U142" s="22">
        <f t="shared" si="1166"/>
        <v>1256.3899999999999</v>
      </c>
      <c r="V142" s="22">
        <f t="shared" si="1166"/>
        <v>1206.6400000000001</v>
      </c>
      <c r="W142" s="22">
        <f t="shared" ref="W142" si="1167">SUM(W138:W141)</f>
        <v>1010.59</v>
      </c>
      <c r="X142" s="22">
        <f t="shared" ref="X142:Y142" si="1168">SUM(X138:X141)</f>
        <v>1182.8200000000002</v>
      </c>
      <c r="Y142" s="22">
        <f t="shared" si="1168"/>
        <v>2953.85</v>
      </c>
      <c r="Z142" s="22">
        <f t="shared" ref="Z142:AA142" si="1169">SUM(Z138:Z141)</f>
        <v>1848.65</v>
      </c>
      <c r="AA142" s="22">
        <f t="shared" si="1169"/>
        <v>2120.31</v>
      </c>
      <c r="AB142" s="21">
        <f t="shared" ref="AA142:AD142" si="1170">SUM(AB138:AB141)</f>
        <v>2120.31</v>
      </c>
      <c r="AC142" s="21">
        <f t="shared" si="1170"/>
        <v>2120.31</v>
      </c>
      <c r="AD142" s="21">
        <f t="shared" si="1170"/>
        <v>2120.31</v>
      </c>
      <c r="AE142" s="21">
        <f t="shared" ref="AE142" si="1171">SUM(AE138:AE141)</f>
        <v>2120.31</v>
      </c>
      <c r="AJ142" s="22">
        <f t="shared" ref="AJ142" si="1172">SUM(AJ138:AJ141)</f>
        <v>1006.77</v>
      </c>
      <c r="AK142" s="22">
        <f t="shared" ref="AK142" si="1173">SUM(AK138:AK141)</f>
        <v>1006.77</v>
      </c>
      <c r="AL142" s="22">
        <f t="shared" ref="AL142:AM142" si="1174">SUM(AL138:AL141)</f>
        <v>1016.83</v>
      </c>
      <c r="AM142" s="22">
        <f t="shared" si="1174"/>
        <v>1016.83</v>
      </c>
      <c r="AN142" s="22">
        <f t="shared" ref="AN142:AO142" si="1175">SUM(AN138:AN141)</f>
        <v>1402.95</v>
      </c>
      <c r="AO142" s="22">
        <f t="shared" si="1175"/>
        <v>1402.95</v>
      </c>
      <c r="AP142" s="22">
        <f t="shared" ref="AP142:CE142" si="1176">SUM(AP138:AP141)</f>
        <v>1401.34</v>
      </c>
      <c r="AQ142" s="22">
        <f t="shared" si="1176"/>
        <v>1401.34</v>
      </c>
      <c r="AR142" s="22">
        <f t="shared" si="1176"/>
        <v>1563.56</v>
      </c>
      <c r="AS142" s="22">
        <f t="shared" si="1176"/>
        <v>1563.56</v>
      </c>
      <c r="AT142" s="22">
        <f t="shared" si="1176"/>
        <v>1265.97</v>
      </c>
      <c r="AU142" s="22">
        <f t="shared" si="1176"/>
        <v>1265.97</v>
      </c>
      <c r="AV142" s="22">
        <f t="shared" si="1176"/>
        <v>1390.06</v>
      </c>
      <c r="AW142" s="22">
        <f t="shared" si="1176"/>
        <v>1390.06</v>
      </c>
      <c r="AX142" s="22">
        <f t="shared" si="1176"/>
        <v>912.68000000000006</v>
      </c>
      <c r="AY142" s="22">
        <f t="shared" si="1176"/>
        <v>912.68000000000006</v>
      </c>
      <c r="AZ142" s="22">
        <f t="shared" si="1176"/>
        <v>1004.6400000000001</v>
      </c>
      <c r="BA142" s="22">
        <f t="shared" si="1176"/>
        <v>1004.6400000000001</v>
      </c>
      <c r="BB142" s="22">
        <f t="shared" si="1176"/>
        <v>770.33</v>
      </c>
      <c r="BC142" s="22">
        <f t="shared" si="1176"/>
        <v>770.33</v>
      </c>
      <c r="BD142" s="22">
        <f t="shared" si="1176"/>
        <v>867.96</v>
      </c>
      <c r="BE142" s="22">
        <f t="shared" si="1176"/>
        <v>867.96</v>
      </c>
      <c r="BF142" s="22">
        <f t="shared" si="1176"/>
        <v>1056.18</v>
      </c>
      <c r="BG142" s="22">
        <f t="shared" si="1176"/>
        <v>1056.18</v>
      </c>
      <c r="BH142" s="22">
        <f t="shared" ref="BH142" si="1177">SUM(BH138:BH141)</f>
        <v>1221.24</v>
      </c>
      <c r="BI142" s="22">
        <f t="shared" si="1176"/>
        <v>1221.24</v>
      </c>
      <c r="BJ142" s="22">
        <f t="shared" si="1176"/>
        <v>1116.9000000000001</v>
      </c>
      <c r="BK142" s="22">
        <f t="shared" si="1176"/>
        <v>1116.9000000000001</v>
      </c>
      <c r="BL142" s="22">
        <f t="shared" si="1176"/>
        <v>1221.8600000000001</v>
      </c>
      <c r="BM142" s="22">
        <f t="shared" si="1176"/>
        <v>1221.8600000000001</v>
      </c>
      <c r="BN142" s="22">
        <f t="shared" si="1176"/>
        <v>1182.48</v>
      </c>
      <c r="BO142" s="22">
        <f t="shared" si="1176"/>
        <v>1182.48</v>
      </c>
      <c r="BP142" s="22">
        <f t="shared" si="1176"/>
        <v>1140.1300000000001</v>
      </c>
      <c r="BQ142" s="22">
        <f t="shared" si="1176"/>
        <v>1140.1300000000001</v>
      </c>
      <c r="BR142" s="22">
        <f t="shared" si="1176"/>
        <v>1206.6400000000001</v>
      </c>
      <c r="BS142" s="22">
        <f t="shared" si="1176"/>
        <v>1206.6400000000001</v>
      </c>
      <c r="BT142" s="22">
        <f t="shared" si="1176"/>
        <v>753.2</v>
      </c>
      <c r="BU142" s="22">
        <f t="shared" si="1176"/>
        <v>753.2</v>
      </c>
      <c r="BV142" s="22">
        <f t="shared" si="1176"/>
        <v>1010.59</v>
      </c>
      <c r="BW142" s="22">
        <f t="shared" si="1176"/>
        <v>1010.59</v>
      </c>
      <c r="BX142" s="22">
        <f t="shared" si="1176"/>
        <v>886.69</v>
      </c>
      <c r="BY142" s="22">
        <f t="shared" si="1176"/>
        <v>886.69</v>
      </c>
      <c r="BZ142" s="22">
        <f t="shared" si="1176"/>
        <v>1182.8200000000002</v>
      </c>
      <c r="CA142" s="22">
        <f t="shared" si="1176"/>
        <v>1182.8200000000002</v>
      </c>
      <c r="CB142" s="22">
        <f t="shared" si="1176"/>
        <v>1075.08</v>
      </c>
      <c r="CC142" s="22">
        <f t="shared" si="1176"/>
        <v>1075.08</v>
      </c>
      <c r="CD142" s="22">
        <f t="shared" si="1176"/>
        <v>2953.85</v>
      </c>
      <c r="CE142" s="22">
        <f t="shared" si="1176"/>
        <v>2953.85</v>
      </c>
      <c r="CF142" s="22">
        <f t="shared" ref="CF142:CG142" si="1178">SUM(CF138:CF141)</f>
        <v>2397.1</v>
      </c>
      <c r="CG142" s="22">
        <f t="shared" si="1178"/>
        <v>2397.1</v>
      </c>
      <c r="CH142" s="22">
        <f t="shared" ref="CH142:CI142" si="1179">SUM(CH138:CH141)</f>
        <v>1848.65</v>
      </c>
      <c r="CI142" s="22">
        <f t="shared" si="1179"/>
        <v>1848.65</v>
      </c>
      <c r="CJ142" s="22">
        <f t="shared" ref="CJ142:DB142" si="1180">SUM(CJ138:CJ141)</f>
        <v>1994.0100000000002</v>
      </c>
      <c r="CK142" s="22">
        <f t="shared" si="1180"/>
        <v>1994.0100000000002</v>
      </c>
      <c r="CL142" s="22">
        <f t="shared" ref="CL142" si="1181">SUM(CL138:CL141)</f>
        <v>2120.31</v>
      </c>
      <c r="CM142" s="21">
        <f t="shared" si="1180"/>
        <v>2120.31</v>
      </c>
      <c r="CN142" s="21">
        <f t="shared" si="1180"/>
        <v>2120.31</v>
      </c>
      <c r="CO142" s="21">
        <f t="shared" si="1180"/>
        <v>2120.31</v>
      </c>
      <c r="CP142" s="21">
        <f t="shared" si="1180"/>
        <v>2120.31</v>
      </c>
      <c r="CQ142" s="21">
        <f t="shared" si="1180"/>
        <v>2120.31</v>
      </c>
      <c r="CR142" s="21">
        <f t="shared" si="1180"/>
        <v>2120.31</v>
      </c>
      <c r="CS142" s="21">
        <f t="shared" si="1180"/>
        <v>2120.31</v>
      </c>
      <c r="CT142" s="21">
        <f t="shared" si="1180"/>
        <v>2120.31</v>
      </c>
      <c r="CU142" s="21">
        <f t="shared" si="1180"/>
        <v>2120.31</v>
      </c>
      <c r="CV142" s="21">
        <f t="shared" si="1180"/>
        <v>2120.31</v>
      </c>
      <c r="CW142" s="21">
        <f t="shared" si="1180"/>
        <v>2120.31</v>
      </c>
      <c r="CX142" s="21">
        <f t="shared" si="1180"/>
        <v>2120.31</v>
      </c>
      <c r="CY142" s="21">
        <f t="shared" si="1180"/>
        <v>2120.31</v>
      </c>
      <c r="CZ142" s="21">
        <f t="shared" si="1180"/>
        <v>2120.31</v>
      </c>
      <c r="DA142" s="21">
        <f t="shared" si="1180"/>
        <v>2120.31</v>
      </c>
      <c r="DB142" s="21">
        <f t="shared" si="1180"/>
        <v>2120.31</v>
      </c>
      <c r="DE142" s="126"/>
      <c r="DF142" s="22">
        <v>1994.0100000000002</v>
      </c>
    </row>
    <row r="143" spans="1:110" s="26" customFormat="1" x14ac:dyDescent="0.2">
      <c r="A143" s="26" t="s">
        <v>437</v>
      </c>
      <c r="B143" s="26">
        <f>B142+B134+B136</f>
        <v>1136.0147000000002</v>
      </c>
      <c r="C143" s="26">
        <f t="shared" ref="C143:V143" si="1182">C142+C134+C136</f>
        <v>2882.5549000000001</v>
      </c>
      <c r="D143" s="26">
        <f>D142+D134+D136</f>
        <v>3037.5109000000002</v>
      </c>
      <c r="E143" s="26">
        <f t="shared" si="1182"/>
        <v>3221.3867</v>
      </c>
      <c r="F143" s="26">
        <f t="shared" si="1182"/>
        <v>3248.9333999999999</v>
      </c>
      <c r="G143" s="26">
        <f t="shared" si="1182"/>
        <v>3370.6316999999999</v>
      </c>
      <c r="H143" s="26">
        <f t="shared" si="1182"/>
        <v>7360.4425999999994</v>
      </c>
      <c r="I143" s="26">
        <f t="shared" si="1182"/>
        <v>7051.6635999999999</v>
      </c>
      <c r="J143" s="26">
        <f t="shared" si="1182"/>
        <v>7105.9149000000007</v>
      </c>
      <c r="K143" s="26">
        <f t="shared" si="1182"/>
        <v>6577.1578000000009</v>
      </c>
      <c r="L143" s="26">
        <f t="shared" si="1182"/>
        <v>6106.6941000000006</v>
      </c>
      <c r="M143" s="26">
        <f t="shared" si="1182"/>
        <v>6547.5801999999994</v>
      </c>
      <c r="N143" s="26">
        <f t="shared" si="1182"/>
        <v>7012.8044</v>
      </c>
      <c r="O143" s="26">
        <f t="shared" si="1182"/>
        <v>8211.0151999999998</v>
      </c>
      <c r="P143" s="26">
        <f t="shared" si="1182"/>
        <v>7693.03</v>
      </c>
      <c r="Q143" s="26">
        <f t="shared" si="1182"/>
        <v>8462.99</v>
      </c>
      <c r="R143" s="26">
        <f t="shared" si="1182"/>
        <v>7971.56</v>
      </c>
      <c r="S143" s="26">
        <f t="shared" si="1182"/>
        <v>9108.2199999999993</v>
      </c>
      <c r="T143" s="26">
        <f t="shared" si="1182"/>
        <v>9500.4699999999993</v>
      </c>
      <c r="U143" s="26">
        <f t="shared" si="1182"/>
        <v>16163.72</v>
      </c>
      <c r="V143" s="26">
        <f t="shared" si="1182"/>
        <v>16833.68</v>
      </c>
      <c r="W143" s="26">
        <f t="shared" ref="W143" si="1183">W142+W134+W136</f>
        <v>17304.150000000001</v>
      </c>
      <c r="X143" s="26">
        <f t="shared" ref="X143:Y143" si="1184">X142+X134+X136</f>
        <v>18309.699999999997</v>
      </c>
      <c r="Y143" s="26">
        <f t="shared" si="1184"/>
        <v>20389.98</v>
      </c>
      <c r="Z143" s="26">
        <f t="shared" ref="Z143:AA143" si="1185">Z142+Z134+Z136</f>
        <v>23238.950000000004</v>
      </c>
      <c r="AA143" s="26">
        <f t="shared" si="1185"/>
        <v>25309.170000000006</v>
      </c>
      <c r="AB143" s="27">
        <f t="shared" ref="AA143:AD143" si="1186">AB142+AB134+AB136</f>
        <v>27430.36855951199</v>
      </c>
      <c r="AC143" s="27">
        <f t="shared" si="1186"/>
        <v>29981.030186328193</v>
      </c>
      <c r="AD143" s="27">
        <f t="shared" si="1186"/>
        <v>33049.653433595537</v>
      </c>
      <c r="AE143" s="27">
        <f t="shared" ref="AE143" si="1187">AE142+AE134+AE136</f>
        <v>36716.748109493106</v>
      </c>
      <c r="AJ143" s="26">
        <f t="shared" ref="AJ143" si="1188">AJ142+AJ134+AJ136</f>
        <v>6977.22</v>
      </c>
      <c r="AK143" s="26">
        <f t="shared" ref="AK143" si="1189">AK142+AK134+AK136</f>
        <v>7057.4799999999987</v>
      </c>
      <c r="AL143" s="26">
        <f t="shared" ref="AL143" si="1190">AL142+AL134+AL136</f>
        <v>6640.86</v>
      </c>
      <c r="AM143" s="26">
        <f t="shared" ref="AM143:AO143" si="1191">AM142+AM134+AM136</f>
        <v>6752.49</v>
      </c>
      <c r="AN143" s="26">
        <f t="shared" si="1191"/>
        <v>8299.43</v>
      </c>
      <c r="AO143" s="26">
        <f t="shared" si="1191"/>
        <v>8418.98</v>
      </c>
      <c r="AP143" s="26">
        <f t="shared" ref="AP143:CE143" si="1192">AP142+AP134+AP136</f>
        <v>8174.26</v>
      </c>
      <c r="AQ143" s="26">
        <f t="shared" si="1192"/>
        <v>8271.49</v>
      </c>
      <c r="AR143" s="26">
        <f t="shared" si="1192"/>
        <v>8522.5400000000009</v>
      </c>
      <c r="AS143" s="26">
        <f t="shared" si="1192"/>
        <v>8606.7800000000007</v>
      </c>
      <c r="AT143" s="26">
        <f t="shared" si="1192"/>
        <v>7634.9800000000005</v>
      </c>
      <c r="AU143" s="26">
        <f t="shared" si="1192"/>
        <v>7707.31</v>
      </c>
      <c r="AV143" s="26">
        <f t="shared" si="1192"/>
        <v>8167.0499999999993</v>
      </c>
      <c r="AW143" s="26">
        <f t="shared" si="1192"/>
        <v>8224.8299999999981</v>
      </c>
      <c r="AX143" s="26">
        <f t="shared" si="1192"/>
        <v>8021.6200000000008</v>
      </c>
      <c r="AY143" s="26">
        <f t="shared" si="1192"/>
        <v>8125.27</v>
      </c>
      <c r="AZ143" s="26">
        <f t="shared" si="1192"/>
        <v>7893.8200000000006</v>
      </c>
      <c r="BA143" s="26">
        <f t="shared" si="1192"/>
        <v>8021.4500000000007</v>
      </c>
      <c r="BB143" s="26">
        <f t="shared" si="1192"/>
        <v>7955.33</v>
      </c>
      <c r="BC143" s="26">
        <f t="shared" si="1192"/>
        <v>8079.77</v>
      </c>
      <c r="BD143" s="26">
        <f t="shared" si="1192"/>
        <v>8475.48</v>
      </c>
      <c r="BE143" s="26">
        <f t="shared" si="1192"/>
        <v>8643.3499999999985</v>
      </c>
      <c r="BF143" s="26">
        <f t="shared" si="1192"/>
        <v>9096.82</v>
      </c>
      <c r="BG143" s="26">
        <f t="shared" si="1192"/>
        <v>9213.0599999999977</v>
      </c>
      <c r="BH143" s="26">
        <f t="shared" ref="BH143" si="1193">BH142+BH134+BH136</f>
        <v>9655.7400000000016</v>
      </c>
      <c r="BI143" s="26">
        <f t="shared" si="1192"/>
        <v>9755.0600000000013</v>
      </c>
      <c r="BJ143" s="26">
        <f t="shared" si="1192"/>
        <v>9476.27</v>
      </c>
      <c r="BK143" s="26">
        <f t="shared" si="1192"/>
        <v>9650.01</v>
      </c>
      <c r="BL143" s="26">
        <f t="shared" si="1192"/>
        <v>9543.83</v>
      </c>
      <c r="BM143" s="26">
        <f t="shared" si="1192"/>
        <v>9713.18</v>
      </c>
      <c r="BN143" s="26">
        <f t="shared" si="1192"/>
        <v>16089.81</v>
      </c>
      <c r="BO143" s="26">
        <f t="shared" si="1192"/>
        <v>16417.37</v>
      </c>
      <c r="BP143" s="26">
        <f t="shared" si="1192"/>
        <v>16361</v>
      </c>
      <c r="BQ143" s="26">
        <f t="shared" si="1192"/>
        <v>16579.169999999998</v>
      </c>
      <c r="BR143" s="26">
        <f t="shared" si="1192"/>
        <v>16833.68</v>
      </c>
      <c r="BS143" s="26">
        <f t="shared" si="1192"/>
        <v>17018.829999999998</v>
      </c>
      <c r="BT143" s="26">
        <f t="shared" si="1192"/>
        <v>16448.740000000002</v>
      </c>
      <c r="BU143" s="26">
        <f t="shared" si="1192"/>
        <v>16713.79</v>
      </c>
      <c r="BV143" s="26">
        <f t="shared" si="1192"/>
        <v>17304.150000000001</v>
      </c>
      <c r="BW143" s="26">
        <f t="shared" si="1192"/>
        <v>17559.609999999997</v>
      </c>
      <c r="BX143" s="26">
        <f t="shared" si="1192"/>
        <v>16963.490000000002</v>
      </c>
      <c r="BY143" s="26">
        <f t="shared" si="1192"/>
        <v>17315.25</v>
      </c>
      <c r="BZ143" s="26">
        <f t="shared" si="1192"/>
        <v>18309.699999999997</v>
      </c>
      <c r="CA143" s="26">
        <f t="shared" si="1192"/>
        <v>18626.289999999997</v>
      </c>
      <c r="CB143" s="26">
        <f t="shared" si="1192"/>
        <v>18105.38</v>
      </c>
      <c r="CC143" s="26">
        <f t="shared" si="1192"/>
        <v>18384.250000000004</v>
      </c>
      <c r="CD143" s="26">
        <f t="shared" si="1192"/>
        <v>20389.98</v>
      </c>
      <c r="CE143" s="26">
        <f t="shared" si="1192"/>
        <v>20680.3</v>
      </c>
      <c r="CF143" s="26">
        <f t="shared" ref="CF143:CG143" si="1194">CF142+CF134+CF136</f>
        <v>22913.539999999997</v>
      </c>
      <c r="CG143" s="26">
        <f t="shared" si="1194"/>
        <v>23192.42</v>
      </c>
      <c r="CH143" s="26">
        <f t="shared" ref="CH143:CI143" si="1195">CH142+CH134+CH136</f>
        <v>23238.950000000004</v>
      </c>
      <c r="CI143" s="26">
        <f t="shared" si="1195"/>
        <v>23573.100000000006</v>
      </c>
      <c r="CJ143" s="26">
        <f t="shared" ref="CJ143:DB143" si="1196">CJ142+CJ134+CJ136</f>
        <v>23698.880000000001</v>
      </c>
      <c r="CK143" s="26">
        <f t="shared" si="1196"/>
        <v>24083.49</v>
      </c>
      <c r="CL143" s="26">
        <f t="shared" ref="CL143" si="1197">CL142+CL134+CL136</f>
        <v>25309.17</v>
      </c>
      <c r="CM143" s="27">
        <f t="shared" si="1196"/>
        <v>25771.063944649322</v>
      </c>
      <c r="CN143" s="27">
        <f t="shared" si="1196"/>
        <v>26285.469833440256</v>
      </c>
      <c r="CO143" s="27">
        <f t="shared" si="1196"/>
        <v>26830.524043926278</v>
      </c>
      <c r="CP143" s="27">
        <f t="shared" si="1196"/>
        <v>27430.36855951199</v>
      </c>
      <c r="CQ143" s="27">
        <f t="shared" si="1196"/>
        <v>28010.234272283604</v>
      </c>
      <c r="CR143" s="27">
        <f t="shared" si="1196"/>
        <v>28636.062532985787</v>
      </c>
      <c r="CS143" s="27">
        <f t="shared" si="1196"/>
        <v>29282.662291968612</v>
      </c>
      <c r="CT143" s="27">
        <f t="shared" si="1196"/>
        <v>29981.030186328193</v>
      </c>
      <c r="CU143" s="27">
        <f t="shared" si="1196"/>
        <v>30685.295202398644</v>
      </c>
      <c r="CV143" s="27">
        <f t="shared" si="1196"/>
        <v>31438.542068850096</v>
      </c>
      <c r="CW143" s="27">
        <f t="shared" si="1196"/>
        <v>32212.595919335297</v>
      </c>
      <c r="CX143" s="27">
        <f t="shared" si="1196"/>
        <v>33049.653433595537</v>
      </c>
      <c r="CY143" s="27">
        <f t="shared" si="1196"/>
        <v>33893.836359559798</v>
      </c>
      <c r="CZ143" s="27">
        <f t="shared" si="1196"/>
        <v>34794.413214917033</v>
      </c>
      <c r="DA143" s="27">
        <f t="shared" si="1196"/>
        <v>35717.555500409442</v>
      </c>
      <c r="DB143" s="27">
        <f t="shared" si="1196"/>
        <v>36716.748109493106</v>
      </c>
      <c r="DE143" s="121"/>
      <c r="DF143" s="26">
        <v>24568.146664259086</v>
      </c>
    </row>
    <row r="144" spans="1:110" s="23" customFormat="1" x14ac:dyDescent="0.2">
      <c r="AB144" s="24"/>
      <c r="AC144" s="24"/>
      <c r="AD144" s="24"/>
      <c r="AE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E144" s="123"/>
    </row>
    <row r="145" spans="1:110" s="23" customFormat="1" outlineLevel="1" x14ac:dyDescent="0.2">
      <c r="A145" s="23" t="s">
        <v>50</v>
      </c>
      <c r="B145" s="23">
        <f>'Annual Raw'!C62</f>
        <v>476.21039999999999</v>
      </c>
      <c r="C145" s="23">
        <f>'Annual Raw'!D62</f>
        <v>2962.2089000000001</v>
      </c>
      <c r="D145" s="23">
        <f>'Annual Raw'!E62</f>
        <v>3041.9888999999998</v>
      </c>
      <c r="E145" s="23">
        <f>'Annual Raw'!F62-E149</f>
        <v>1185.0832000000003</v>
      </c>
      <c r="F145" s="23">
        <f>'Annual Raw'!G62-F149</f>
        <v>1240.0968</v>
      </c>
      <c r="G145" s="23">
        <f>'Annual Raw'!H62-G149</f>
        <v>1162.4494</v>
      </c>
      <c r="H145" s="23">
        <f>'Annual Raw'!I62-H149</f>
        <v>1589.5524999999998</v>
      </c>
      <c r="I145" s="23">
        <f>'Annual Raw'!J62-I149</f>
        <v>1350.6925000000001</v>
      </c>
      <c r="J145" s="23">
        <f>'Annual Raw'!K62-J149</f>
        <v>1441.5689000000002</v>
      </c>
      <c r="K145" s="23">
        <f>'Annual Raw'!L62-K149</f>
        <v>1470.1916999999994</v>
      </c>
      <c r="L145" s="23">
        <f>'Annual Raw'!M62-L149</f>
        <v>1562.5488999999998</v>
      </c>
      <c r="M145" s="23">
        <f>'Annual Raw'!N62-M149</f>
        <v>1765.2209000000003</v>
      </c>
      <c r="N145" s="23">
        <f>'Annual Raw'!O62-N149</f>
        <v>1909.9464000000003</v>
      </c>
      <c r="O145" s="23">
        <f>'Annual Raw'!P62-O149</f>
        <v>2310.0436</v>
      </c>
      <c r="P145" s="23">
        <f>'Annual Raw'!Q62-P149</f>
        <v>2390.3900000000003</v>
      </c>
      <c r="Q145" s="23">
        <f>'Annual Raw'!R62-Q149</f>
        <v>2403.33</v>
      </c>
      <c r="R145" s="23">
        <f>'Annual Raw'!S62-R149</f>
        <v>2617.2799999999997</v>
      </c>
      <c r="S145" s="23">
        <f>'Annual Raw'!T62-S149</f>
        <v>2797.33</v>
      </c>
      <c r="T145" s="23">
        <f>'Annual Raw'!U62-T149</f>
        <v>2964.39</v>
      </c>
      <c r="U145" s="23">
        <f>'Annual Raw'!V62-U149</f>
        <v>6638.6500000000005</v>
      </c>
      <c r="V145" s="23">
        <f>'Annual Raw'!W62-V149</f>
        <v>6858.27</v>
      </c>
      <c r="W145" s="23">
        <f>'Annual Raw'!X62-W149</f>
        <v>7238.0100000000011</v>
      </c>
      <c r="X145" s="23">
        <f>'Annual Raw'!Y62-X149</f>
        <v>7619.98</v>
      </c>
      <c r="Y145" s="23">
        <f>'Annual Raw'!Z62-Y149</f>
        <v>11850.460000000001</v>
      </c>
      <c r="Z145" s="23">
        <f>'Annual Raw'!AA62-Z149</f>
        <v>13339.029999999999</v>
      </c>
      <c r="AA145" s="23">
        <f>'Annual Raw'!AB62-AA149</f>
        <v>14169.169999999998</v>
      </c>
      <c r="AB145" s="24">
        <f t="shared" ref="AB145:AB151" si="1198">+CP145</f>
        <v>13997.529999999999</v>
      </c>
      <c r="AC145" s="24">
        <f t="shared" ref="AC145:AC151" si="1199">+CT145</f>
        <v>14657.529999999999</v>
      </c>
      <c r="AD145" s="24">
        <f t="shared" ref="AD145:AD151" si="1200">+CX145</f>
        <v>15317.529999999999</v>
      </c>
      <c r="AE145" s="24">
        <f t="shared" ref="AE145:AE151" si="1201">+DB145</f>
        <v>15977.529999999999</v>
      </c>
      <c r="AJ145" s="23">
        <f>+'QTR Raw'!D68</f>
        <v>845.97</v>
      </c>
      <c r="AL145" s="23">
        <f>+'QTR Raw'!F68</f>
        <v>926.89</v>
      </c>
      <c r="AN145" s="23">
        <f>+'QTR Raw'!H68</f>
        <v>1028.47</v>
      </c>
      <c r="AP145" s="23">
        <f>+'QTR Raw'!J68</f>
        <v>1052.33</v>
      </c>
      <c r="AR145" s="23">
        <f>+'QTR Raw'!L68</f>
        <v>1075.29</v>
      </c>
      <c r="AT145" s="23">
        <f>+'QTR Raw'!N68</f>
        <v>1076.74</v>
      </c>
      <c r="AV145" s="23">
        <f>+'QTR Raw'!P68</f>
        <v>1098.3499999999999</v>
      </c>
      <c r="AX145" s="23">
        <f>+'QTR Raw'!R68</f>
        <v>958.55</v>
      </c>
      <c r="AZ145" s="23">
        <f>+'QTR Raw'!T68</f>
        <v>926.78</v>
      </c>
      <c r="BB145" s="23">
        <f>+'QTR Raw'!V68</f>
        <v>1012.97</v>
      </c>
      <c r="BD145" s="23">
        <f>+'QTR Raw'!X68</f>
        <v>998.15</v>
      </c>
      <c r="BF145" s="23">
        <f>+'QTR Raw'!Z68</f>
        <v>1029.99</v>
      </c>
      <c r="BH145" s="23">
        <f>+'QTR Raw'!AB68</f>
        <v>1054.07</v>
      </c>
      <c r="BJ145" s="23">
        <f>+'QTR Raw'!AD68</f>
        <v>1087.75</v>
      </c>
      <c r="BL145" s="23">
        <f>+'QTR Raw'!AF68</f>
        <v>1530.84</v>
      </c>
      <c r="BN145" s="23">
        <f>+'QTR Raw'!AH68</f>
        <v>3986.5</v>
      </c>
      <c r="BP145" s="23">
        <f>+'QTR Raw'!AJ68</f>
        <v>3933.17</v>
      </c>
      <c r="BR145" s="23">
        <f>+'QTR Raw'!AL68</f>
        <v>4026.66</v>
      </c>
      <c r="BT145" s="23">
        <f>+'QTR Raw'!AN68</f>
        <v>4036.79</v>
      </c>
      <c r="BV145" s="23">
        <f>+'QTR Raw'!AP68</f>
        <v>4272.24</v>
      </c>
      <c r="BX145" s="23">
        <f>+'QTR Raw'!AR68</f>
        <v>4274.87</v>
      </c>
      <c r="BZ145" s="23">
        <f>+'QTR Raw'!AT68</f>
        <v>4454.6400000000003</v>
      </c>
      <c r="CB145" s="23">
        <f>+'QTR Raw'!AV68</f>
        <v>4525.99</v>
      </c>
      <c r="CD145" s="23">
        <f>+'QTR Raw'!AX68</f>
        <v>8321.2000000000007</v>
      </c>
      <c r="CF145" s="23">
        <f>+'QTR Raw'!AZ68</f>
        <v>9629.07</v>
      </c>
      <c r="CH145" s="23">
        <f t="shared" ref="CH145:CH151" si="1202">Z145</f>
        <v>13339.029999999999</v>
      </c>
      <c r="CI145" s="23">
        <f>CH145</f>
        <v>13339.029999999999</v>
      </c>
      <c r="CJ145" s="23">
        <f>+CJ146+CJ148</f>
        <v>13259.64</v>
      </c>
      <c r="CK145" s="23">
        <f>+CJ145</f>
        <v>13259.64</v>
      </c>
      <c r="CL145" s="23">
        <f>+CL146+CL148</f>
        <v>13337.529999999999</v>
      </c>
      <c r="CM145" s="24">
        <f>+CL145+165</f>
        <v>13502.529999999999</v>
      </c>
      <c r="CN145" s="24">
        <f t="shared" ref="CN145:DB145" si="1203">+CM145+165</f>
        <v>13667.529999999999</v>
      </c>
      <c r="CO145" s="24">
        <f t="shared" si="1203"/>
        <v>13832.529999999999</v>
      </c>
      <c r="CP145" s="24">
        <f t="shared" si="1203"/>
        <v>13997.529999999999</v>
      </c>
      <c r="CQ145" s="24">
        <f t="shared" si="1203"/>
        <v>14162.529999999999</v>
      </c>
      <c r="CR145" s="24">
        <f t="shared" si="1203"/>
        <v>14327.529999999999</v>
      </c>
      <c r="CS145" s="24">
        <f t="shared" si="1203"/>
        <v>14492.529999999999</v>
      </c>
      <c r="CT145" s="24">
        <f t="shared" si="1203"/>
        <v>14657.529999999999</v>
      </c>
      <c r="CU145" s="24">
        <f t="shared" si="1203"/>
        <v>14822.529999999999</v>
      </c>
      <c r="CV145" s="24">
        <f t="shared" si="1203"/>
        <v>14987.529999999999</v>
      </c>
      <c r="CW145" s="24">
        <f t="shared" si="1203"/>
        <v>15152.529999999999</v>
      </c>
      <c r="CX145" s="24">
        <f t="shared" si="1203"/>
        <v>15317.529999999999</v>
      </c>
      <c r="CY145" s="24">
        <f t="shared" si="1203"/>
        <v>15482.529999999999</v>
      </c>
      <c r="CZ145" s="24">
        <f t="shared" si="1203"/>
        <v>15647.529999999999</v>
      </c>
      <c r="DA145" s="24">
        <f t="shared" si="1203"/>
        <v>15812.529999999999</v>
      </c>
      <c r="DB145" s="24">
        <f t="shared" si="1203"/>
        <v>15977.529999999999</v>
      </c>
      <c r="DE145" s="123"/>
      <c r="DF145" s="23">
        <v>13318.449999999999</v>
      </c>
    </row>
    <row r="146" spans="1:110" s="23" customFormat="1" outlineLevel="1" x14ac:dyDescent="0.2">
      <c r="A146" s="23" t="s">
        <v>51</v>
      </c>
      <c r="B146" s="23">
        <f>'Annual Raw'!C63</f>
        <v>151.63630000000001</v>
      </c>
      <c r="C146" s="23">
        <f>'Annual Raw'!D63</f>
        <v>450.48809999999997</v>
      </c>
      <c r="D146" s="23">
        <f>'Annual Raw'!E63</f>
        <v>464.46449999999999</v>
      </c>
      <c r="E146" s="23">
        <f>'Annual Raw'!F63</f>
        <v>531.9434</v>
      </c>
      <c r="F146" s="23">
        <f>'Annual Raw'!G63</f>
        <v>606.29809999999998</v>
      </c>
      <c r="G146" s="23">
        <f>'Annual Raw'!H63</f>
        <v>578.46990000000005</v>
      </c>
      <c r="H146" s="23">
        <f>'Annual Raw'!I63</f>
        <v>695.19920000000002</v>
      </c>
      <c r="I146" s="23">
        <f>'Annual Raw'!J63</f>
        <v>628.58130000000006</v>
      </c>
      <c r="J146" s="23">
        <f>'Annual Raw'!K63</f>
        <v>706.74120000000005</v>
      </c>
      <c r="K146" s="23">
        <f>'Annual Raw'!L63</f>
        <v>751.99710000000005</v>
      </c>
      <c r="L146" s="23">
        <f>'Annual Raw'!M63</f>
        <v>841.72619999999995</v>
      </c>
      <c r="M146" s="23">
        <f>'Annual Raw'!N63</f>
        <v>990.31039999999996</v>
      </c>
      <c r="N146" s="23">
        <f>'Annual Raw'!O63</f>
        <v>1073.7274</v>
      </c>
      <c r="O146" s="23">
        <f>'Annual Raw'!P63</f>
        <v>1317.2787000000001</v>
      </c>
      <c r="P146" s="23">
        <f>'Annual Raw'!Q63</f>
        <v>1360.82</v>
      </c>
      <c r="Q146" s="23">
        <f>'Annual Raw'!R63</f>
        <v>1451.08</v>
      </c>
      <c r="R146" s="23">
        <f>'Annual Raw'!S63</f>
        <v>1711.56</v>
      </c>
      <c r="S146" s="23">
        <f>'Annual Raw'!T63</f>
        <v>1866.82</v>
      </c>
      <c r="T146" s="23">
        <f>'Annual Raw'!U63</f>
        <v>1979.95</v>
      </c>
      <c r="U146" s="23">
        <f>'Annual Raw'!V63</f>
        <v>2459.29</v>
      </c>
      <c r="V146" s="23">
        <f>'Annual Raw'!W63</f>
        <v>2464.88</v>
      </c>
      <c r="W146" s="23">
        <f>'Annual Raw'!X63</f>
        <v>2624.86</v>
      </c>
      <c r="X146" s="23">
        <f>'Annual Raw'!Y63</f>
        <v>2830.4</v>
      </c>
      <c r="Y146" s="23">
        <f>'Annual Raw'!Z63</f>
        <v>3077.26</v>
      </c>
      <c r="Z146" s="23">
        <f>'Annual Raw'!AA63</f>
        <v>3416.55</v>
      </c>
      <c r="AA146" s="23">
        <f>'Annual Raw'!AB63</f>
        <v>4205.54</v>
      </c>
      <c r="AB146" s="24">
        <f t="shared" si="1198"/>
        <v>4697.9440704835979</v>
      </c>
      <c r="AC146" s="24">
        <f t="shared" si="1199"/>
        <v>5353.0206977414955</v>
      </c>
      <c r="AD146" s="24">
        <f t="shared" si="1200"/>
        <v>6008.4350143564907</v>
      </c>
      <c r="AE146" s="24">
        <f t="shared" si="1201"/>
        <v>6664.1638585433848</v>
      </c>
      <c r="AJ146" s="23">
        <f>+'QTR Raw'!D69</f>
        <v>0</v>
      </c>
      <c r="AL146" s="23">
        <f>+'QTR Raw'!F69</f>
        <v>0</v>
      </c>
      <c r="AN146" s="23">
        <f>+'QTR Raw'!H69</f>
        <v>0</v>
      </c>
      <c r="AP146" s="23">
        <f>+'QTR Raw'!J69</f>
        <v>0</v>
      </c>
      <c r="AR146" s="23">
        <f>+'QTR Raw'!L69</f>
        <v>0</v>
      </c>
      <c r="AT146" s="23">
        <f>+'QTR Raw'!N69</f>
        <v>0</v>
      </c>
      <c r="AV146" s="23">
        <f>+'QTR Raw'!P69</f>
        <v>0</v>
      </c>
      <c r="AX146" s="23">
        <f>+'QTR Raw'!R69</f>
        <v>0</v>
      </c>
      <c r="AZ146" s="23">
        <f>+'QTR Raw'!T69</f>
        <v>0</v>
      </c>
      <c r="BB146" s="23">
        <f>+'QTR Raw'!V69</f>
        <v>0</v>
      </c>
      <c r="BD146" s="23">
        <f>+'QTR Raw'!X69</f>
        <v>0</v>
      </c>
      <c r="BF146" s="23">
        <f>+'QTR Raw'!Z69</f>
        <v>0</v>
      </c>
      <c r="BH146" s="23">
        <f>+'QTR Raw'!AB69</f>
        <v>0</v>
      </c>
      <c r="BJ146" s="23">
        <f>+'QTR Raw'!AD69</f>
        <v>0</v>
      </c>
      <c r="BL146" s="23">
        <f>+'QTR Raw'!AF69</f>
        <v>0</v>
      </c>
      <c r="BN146" s="23">
        <f>+'QTR Raw'!AH69</f>
        <v>0</v>
      </c>
      <c r="BP146" s="23">
        <f>+'QTR Raw'!AJ69</f>
        <v>0</v>
      </c>
      <c r="BR146" s="23">
        <f>+'QTR Raw'!AL69</f>
        <v>0</v>
      </c>
      <c r="BT146" s="23">
        <f>+'QTR Raw'!AN69</f>
        <v>0</v>
      </c>
      <c r="BV146" s="23">
        <f>+'QTR Raw'!AP69</f>
        <v>0</v>
      </c>
      <c r="BX146" s="23">
        <f>+'QTR Raw'!AR69</f>
        <v>0</v>
      </c>
      <c r="BZ146" s="23">
        <f>+'QTR Raw'!AT69</f>
        <v>0</v>
      </c>
      <c r="CB146" s="23">
        <f>+'QTR Raw'!AV69</f>
        <v>0</v>
      </c>
      <c r="CD146" s="23">
        <f>+'QTR Raw'!AX69</f>
        <v>0</v>
      </c>
      <c r="CF146" s="23">
        <f>+'QTR Raw'!AZ69</f>
        <v>0</v>
      </c>
      <c r="CH146" s="23">
        <f t="shared" si="1202"/>
        <v>3416.55</v>
      </c>
      <c r="CI146" s="23">
        <f t="shared" ref="CI146:DB146" si="1204">CH146+CI46</f>
        <v>3565.48</v>
      </c>
      <c r="CJ146" s="23">
        <f t="shared" si="1204"/>
        <v>3718.76</v>
      </c>
      <c r="CK146" s="23">
        <f t="shared" si="1204"/>
        <v>3878.05</v>
      </c>
      <c r="CL146" s="23">
        <f t="shared" si="1204"/>
        <v>4043.23</v>
      </c>
      <c r="CM146" s="24">
        <f t="shared" si="1204"/>
        <v>4206.8731003699795</v>
      </c>
      <c r="CN146" s="24">
        <f t="shared" si="1204"/>
        <v>4370.5400914323563</v>
      </c>
      <c r="CO146" s="24">
        <f t="shared" si="1204"/>
        <v>4534.2305525479242</v>
      </c>
      <c r="CP146" s="24">
        <f t="shared" si="1204"/>
        <v>4697.9440704835979</v>
      </c>
      <c r="CQ146" s="24">
        <f t="shared" si="1204"/>
        <v>4861.6802392820127</v>
      </c>
      <c r="CR146" s="24">
        <f t="shared" si="1204"/>
        <v>5025.4386601334245</v>
      </c>
      <c r="CS146" s="24">
        <f t="shared" si="1204"/>
        <v>5189.2189412498619</v>
      </c>
      <c r="CT146" s="24">
        <f t="shared" si="1204"/>
        <v>5353.0206977414955</v>
      </c>
      <c r="CU146" s="24">
        <f t="shared" si="1204"/>
        <v>5516.8435514951834</v>
      </c>
      <c r="CV146" s="24">
        <f t="shared" si="1204"/>
        <v>5680.6871310551542</v>
      </c>
      <c r="CW146" s="24">
        <f t="shared" si="1204"/>
        <v>5844.5510715057935</v>
      </c>
      <c r="CX146" s="24">
        <f t="shared" si="1204"/>
        <v>6008.4350143564907</v>
      </c>
      <c r="CY146" s="24">
        <f t="shared" si="1204"/>
        <v>6172.3386074285172</v>
      </c>
      <c r="CZ146" s="24">
        <f t="shared" si="1204"/>
        <v>6336.2615047438931</v>
      </c>
      <c r="DA146" s="24">
        <f t="shared" si="1204"/>
        <v>6500.2033664162109</v>
      </c>
      <c r="DB146" s="24">
        <f t="shared" si="1204"/>
        <v>6664.1638585433848</v>
      </c>
      <c r="DE146" s="123"/>
      <c r="DF146" s="23">
        <v>4093.4905698321331</v>
      </c>
    </row>
    <row r="147" spans="1:110" s="23" customFormat="1" outlineLevel="1" x14ac:dyDescent="0.2">
      <c r="A147" s="23" t="s">
        <v>52</v>
      </c>
      <c r="B147" s="23">
        <f>'Annual Raw'!C64</f>
        <v>0</v>
      </c>
      <c r="C147" s="23">
        <f>'Annual Raw'!D64</f>
        <v>0</v>
      </c>
      <c r="D147" s="23">
        <f>'Annual Raw'!E64</f>
        <v>0</v>
      </c>
      <c r="E147" s="23">
        <f>'Annual Raw'!F64</f>
        <v>0</v>
      </c>
      <c r="F147" s="23">
        <f>'Annual Raw'!G64</f>
        <v>0</v>
      </c>
      <c r="G147" s="23">
        <f>'Annual Raw'!H64</f>
        <v>0</v>
      </c>
      <c r="H147" s="23">
        <f>'Annual Raw'!I64</f>
        <v>0</v>
      </c>
      <c r="I147" s="23">
        <f>'Annual Raw'!J64</f>
        <v>0</v>
      </c>
      <c r="J147" s="23">
        <f>'Annual Raw'!K64</f>
        <v>0</v>
      </c>
      <c r="K147" s="23">
        <f>'Annual Raw'!L64</f>
        <v>0</v>
      </c>
      <c r="L147" s="23">
        <f>'Annual Raw'!M64</f>
        <v>0</v>
      </c>
      <c r="M147" s="23">
        <f>'Annual Raw'!N64</f>
        <v>0</v>
      </c>
      <c r="N147" s="23">
        <f>'Annual Raw'!O64</f>
        <v>0</v>
      </c>
      <c r="O147" s="23">
        <f>'Annual Raw'!P64</f>
        <v>0</v>
      </c>
      <c r="P147" s="23">
        <f>'Annual Raw'!Q64</f>
        <v>0</v>
      </c>
      <c r="Q147" s="23">
        <f>'Annual Raw'!R64</f>
        <v>0</v>
      </c>
      <c r="R147" s="23">
        <f>'Annual Raw'!S64</f>
        <v>0</v>
      </c>
      <c r="S147" s="23">
        <f>'Annual Raw'!T64</f>
        <v>0</v>
      </c>
      <c r="T147" s="23">
        <f>'Annual Raw'!U64</f>
        <v>0</v>
      </c>
      <c r="U147" s="23">
        <f>'Annual Raw'!V64</f>
        <v>0</v>
      </c>
      <c r="V147" s="23">
        <f>'Annual Raw'!W64</f>
        <v>0</v>
      </c>
      <c r="W147" s="23">
        <f>'Annual Raw'!X64</f>
        <v>0</v>
      </c>
      <c r="X147" s="23">
        <f>'Annual Raw'!Y64</f>
        <v>0</v>
      </c>
      <c r="Y147" s="23">
        <f>'Annual Raw'!Z64</f>
        <v>0</v>
      </c>
      <c r="Z147" s="23">
        <f>'Annual Raw'!AA64</f>
        <v>25.22</v>
      </c>
      <c r="AA147" s="23">
        <f>'Annual Raw'!AB64</f>
        <v>80.989999999999995</v>
      </c>
      <c r="AB147" s="24">
        <f t="shared" si="1198"/>
        <v>0</v>
      </c>
      <c r="AC147" s="24">
        <f t="shared" si="1199"/>
        <v>0</v>
      </c>
      <c r="AD147" s="24">
        <f t="shared" si="1200"/>
        <v>0</v>
      </c>
      <c r="AE147" s="24">
        <f t="shared" si="1201"/>
        <v>0</v>
      </c>
      <c r="AJ147" s="23">
        <f>+'QTR Raw'!D70</f>
        <v>0</v>
      </c>
      <c r="AL147" s="23">
        <f>+'QTR Raw'!F70</f>
        <v>0</v>
      </c>
      <c r="AN147" s="23">
        <f>+'QTR Raw'!H70</f>
        <v>0</v>
      </c>
      <c r="AP147" s="23">
        <f>+'QTR Raw'!J70</f>
        <v>0</v>
      </c>
      <c r="AR147" s="23">
        <f>+'QTR Raw'!L70</f>
        <v>0</v>
      </c>
      <c r="AT147" s="23">
        <f>+'QTR Raw'!N70</f>
        <v>0</v>
      </c>
      <c r="AV147" s="23">
        <f>+'QTR Raw'!P70</f>
        <v>0</v>
      </c>
      <c r="AX147" s="23">
        <f>+'QTR Raw'!R70</f>
        <v>0</v>
      </c>
      <c r="AZ147" s="23">
        <f>+'QTR Raw'!T70</f>
        <v>0</v>
      </c>
      <c r="BB147" s="23">
        <f>+'QTR Raw'!V70</f>
        <v>0</v>
      </c>
      <c r="BD147" s="23">
        <f>+'QTR Raw'!X70</f>
        <v>0</v>
      </c>
      <c r="BF147" s="23">
        <f>+'QTR Raw'!Z70</f>
        <v>0</v>
      </c>
      <c r="BH147" s="23">
        <f>+'QTR Raw'!AB70</f>
        <v>0</v>
      </c>
      <c r="BJ147" s="23">
        <f>+'QTR Raw'!AD70</f>
        <v>0</v>
      </c>
      <c r="BL147" s="23">
        <f>+'QTR Raw'!AF70</f>
        <v>0</v>
      </c>
      <c r="BN147" s="23">
        <f>+'QTR Raw'!AH70</f>
        <v>0</v>
      </c>
      <c r="BP147" s="23">
        <f>+'QTR Raw'!AJ70</f>
        <v>0</v>
      </c>
      <c r="BR147" s="23">
        <f>+'QTR Raw'!AL70</f>
        <v>0</v>
      </c>
      <c r="BT147" s="23">
        <f>+'QTR Raw'!AN70</f>
        <v>0</v>
      </c>
      <c r="BV147" s="23">
        <f>+'QTR Raw'!AP70</f>
        <v>0</v>
      </c>
      <c r="BX147" s="23">
        <f>+'QTR Raw'!AR70</f>
        <v>0</v>
      </c>
      <c r="BZ147" s="23">
        <f>+'QTR Raw'!AT70</f>
        <v>0</v>
      </c>
      <c r="CB147" s="23">
        <f>+'QTR Raw'!AV70</f>
        <v>0</v>
      </c>
      <c r="CD147" s="23">
        <f>+'QTR Raw'!AX70</f>
        <v>0</v>
      </c>
      <c r="CF147" s="23">
        <f>+'QTR Raw'!AZ70</f>
        <v>0</v>
      </c>
      <c r="CH147" s="23">
        <f t="shared" si="1202"/>
        <v>25.22</v>
      </c>
      <c r="CI147" s="23">
        <f>CH147</f>
        <v>25.22</v>
      </c>
      <c r="CJ147" s="23">
        <f>+'QTR Raw'!BD70</f>
        <v>0</v>
      </c>
      <c r="CK147" s="23">
        <f t="shared" ref="CK147:DB147" si="1205">CJ147</f>
        <v>0</v>
      </c>
      <c r="CL147" s="23">
        <f>+'QTR Raw'!BF70</f>
        <v>0</v>
      </c>
      <c r="CM147" s="24">
        <f t="shared" si="1205"/>
        <v>0</v>
      </c>
      <c r="CN147" s="24">
        <f t="shared" si="1205"/>
        <v>0</v>
      </c>
      <c r="CO147" s="24">
        <f t="shared" si="1205"/>
        <v>0</v>
      </c>
      <c r="CP147" s="24">
        <f t="shared" si="1205"/>
        <v>0</v>
      </c>
      <c r="CQ147" s="24">
        <f t="shared" si="1205"/>
        <v>0</v>
      </c>
      <c r="CR147" s="24">
        <f t="shared" si="1205"/>
        <v>0</v>
      </c>
      <c r="CS147" s="24">
        <f t="shared" si="1205"/>
        <v>0</v>
      </c>
      <c r="CT147" s="24">
        <f t="shared" si="1205"/>
        <v>0</v>
      </c>
      <c r="CU147" s="24">
        <f t="shared" si="1205"/>
        <v>0</v>
      </c>
      <c r="CV147" s="24">
        <f t="shared" si="1205"/>
        <v>0</v>
      </c>
      <c r="CW147" s="24">
        <f t="shared" si="1205"/>
        <v>0</v>
      </c>
      <c r="CX147" s="24">
        <f t="shared" si="1205"/>
        <v>0</v>
      </c>
      <c r="CY147" s="24">
        <f t="shared" si="1205"/>
        <v>0</v>
      </c>
      <c r="CZ147" s="24">
        <f t="shared" si="1205"/>
        <v>0</v>
      </c>
      <c r="DA147" s="24">
        <f t="shared" si="1205"/>
        <v>0</v>
      </c>
      <c r="DB147" s="24">
        <f t="shared" si="1205"/>
        <v>0</v>
      </c>
      <c r="DE147" s="123"/>
      <c r="DF147" s="23">
        <v>0</v>
      </c>
    </row>
    <row r="148" spans="1:110" s="22" customFormat="1" outlineLevel="1" x14ac:dyDescent="0.2">
      <c r="A148" s="22" t="s">
        <v>53</v>
      </c>
      <c r="B148" s="22">
        <f>+B145-B146-B147</f>
        <v>324.57409999999999</v>
      </c>
      <c r="C148" s="22">
        <f t="shared" ref="C148:W148" si="1206">+C145-C146-C147</f>
        <v>2511.7208000000001</v>
      </c>
      <c r="D148" s="22">
        <f t="shared" si="1206"/>
        <v>2577.5243999999998</v>
      </c>
      <c r="E148" s="22">
        <f t="shared" si="1206"/>
        <v>653.13980000000026</v>
      </c>
      <c r="F148" s="22">
        <f t="shared" si="1206"/>
        <v>633.79870000000005</v>
      </c>
      <c r="G148" s="22">
        <f t="shared" si="1206"/>
        <v>583.97949999999992</v>
      </c>
      <c r="H148" s="22">
        <f t="shared" si="1206"/>
        <v>894.35329999999976</v>
      </c>
      <c r="I148" s="22">
        <f t="shared" si="1206"/>
        <v>722.11120000000005</v>
      </c>
      <c r="J148" s="22">
        <f t="shared" si="1206"/>
        <v>734.82770000000016</v>
      </c>
      <c r="K148" s="22">
        <f t="shared" si="1206"/>
        <v>718.19459999999935</v>
      </c>
      <c r="L148" s="22">
        <f t="shared" si="1206"/>
        <v>720.82269999999983</v>
      </c>
      <c r="M148" s="22">
        <f t="shared" si="1206"/>
        <v>774.9105000000003</v>
      </c>
      <c r="N148" s="22">
        <f t="shared" si="1206"/>
        <v>836.21900000000028</v>
      </c>
      <c r="O148" s="22">
        <f t="shared" si="1206"/>
        <v>992.7648999999999</v>
      </c>
      <c r="P148" s="22">
        <f t="shared" si="1206"/>
        <v>1029.5700000000004</v>
      </c>
      <c r="Q148" s="22">
        <f t="shared" si="1206"/>
        <v>952.25</v>
      </c>
      <c r="R148" s="22">
        <f t="shared" si="1206"/>
        <v>905.7199999999998</v>
      </c>
      <c r="S148" s="22">
        <f t="shared" si="1206"/>
        <v>930.51</v>
      </c>
      <c r="T148" s="22">
        <f t="shared" si="1206"/>
        <v>984.43999999999983</v>
      </c>
      <c r="U148" s="22">
        <f t="shared" si="1206"/>
        <v>4179.3600000000006</v>
      </c>
      <c r="V148" s="22">
        <f t="shared" si="1206"/>
        <v>4393.3900000000003</v>
      </c>
      <c r="W148" s="22">
        <f t="shared" si="1206"/>
        <v>4613.1500000000015</v>
      </c>
      <c r="X148" s="22">
        <f t="shared" ref="X148:Y148" si="1207">+X145-X146-X147</f>
        <v>4789.58</v>
      </c>
      <c r="Y148" s="22">
        <f t="shared" si="1207"/>
        <v>8773.2000000000007</v>
      </c>
      <c r="Z148" s="22">
        <f t="shared" ref="Z148:AE148" si="1208">+Z145-Z146-Z147</f>
        <v>9897.26</v>
      </c>
      <c r="AA148" s="22">
        <f t="shared" ref="AA148" si="1209">+AA145-AA146-AA147</f>
        <v>9882.6399999999976</v>
      </c>
      <c r="AB148" s="21">
        <f t="shared" si="1208"/>
        <v>9299.5859295164009</v>
      </c>
      <c r="AC148" s="21">
        <f t="shared" si="1208"/>
        <v>9304.5093022585024</v>
      </c>
      <c r="AD148" s="21">
        <f t="shared" si="1208"/>
        <v>9309.0949856435072</v>
      </c>
      <c r="AE148" s="21">
        <f t="shared" si="1208"/>
        <v>9313.3661414566141</v>
      </c>
      <c r="AJ148" s="22">
        <f t="shared" ref="AJ148:AL148" si="1210">+AJ145-AJ146-AJ147</f>
        <v>845.97</v>
      </c>
      <c r="AK148" s="22">
        <f t="shared" ref="AK148:CE148" si="1211">+AJ148</f>
        <v>845.97</v>
      </c>
      <c r="AL148" s="22">
        <f t="shared" si="1210"/>
        <v>926.89</v>
      </c>
      <c r="AM148" s="22">
        <f t="shared" si="1211"/>
        <v>926.89</v>
      </c>
      <c r="AN148" s="22">
        <f t="shared" ref="AN148" si="1212">+AN145-AN146-AN147</f>
        <v>1028.47</v>
      </c>
      <c r="AO148" s="22">
        <f t="shared" si="1211"/>
        <v>1028.47</v>
      </c>
      <c r="AP148" s="22">
        <f t="shared" ref="AP148:CD148" si="1213">+AP145-AP146-AP147</f>
        <v>1052.33</v>
      </c>
      <c r="AQ148" s="22">
        <f t="shared" si="1211"/>
        <v>1052.33</v>
      </c>
      <c r="AR148" s="22">
        <f t="shared" si="1213"/>
        <v>1075.29</v>
      </c>
      <c r="AS148" s="22">
        <f t="shared" si="1211"/>
        <v>1075.29</v>
      </c>
      <c r="AT148" s="22">
        <f t="shared" si="1213"/>
        <v>1076.74</v>
      </c>
      <c r="AU148" s="22">
        <f t="shared" si="1211"/>
        <v>1076.74</v>
      </c>
      <c r="AV148" s="22">
        <f t="shared" si="1213"/>
        <v>1098.3499999999999</v>
      </c>
      <c r="AW148" s="22">
        <f t="shared" si="1211"/>
        <v>1098.3499999999999</v>
      </c>
      <c r="AX148" s="22">
        <f t="shared" si="1213"/>
        <v>958.55</v>
      </c>
      <c r="AY148" s="22">
        <f t="shared" si="1211"/>
        <v>958.55</v>
      </c>
      <c r="AZ148" s="22">
        <f t="shared" si="1213"/>
        <v>926.78</v>
      </c>
      <c r="BA148" s="22">
        <f t="shared" si="1211"/>
        <v>926.78</v>
      </c>
      <c r="BB148" s="22">
        <f t="shared" si="1213"/>
        <v>1012.97</v>
      </c>
      <c r="BC148" s="22">
        <f t="shared" si="1211"/>
        <v>1012.97</v>
      </c>
      <c r="BD148" s="22">
        <f t="shared" si="1213"/>
        <v>998.15</v>
      </c>
      <c r="BE148" s="22">
        <f t="shared" si="1211"/>
        <v>998.15</v>
      </c>
      <c r="BF148" s="22">
        <f t="shared" si="1213"/>
        <v>1029.99</v>
      </c>
      <c r="BG148" s="22">
        <f t="shared" si="1211"/>
        <v>1029.99</v>
      </c>
      <c r="BH148" s="22">
        <f t="shared" si="1213"/>
        <v>1054.07</v>
      </c>
      <c r="BI148" s="22">
        <f t="shared" si="1211"/>
        <v>1054.07</v>
      </c>
      <c r="BJ148" s="22">
        <f t="shared" si="1213"/>
        <v>1087.75</v>
      </c>
      <c r="BK148" s="22">
        <f t="shared" si="1211"/>
        <v>1087.75</v>
      </c>
      <c r="BL148" s="22">
        <f t="shared" si="1213"/>
        <v>1530.84</v>
      </c>
      <c r="BM148" s="22">
        <f t="shared" si="1211"/>
        <v>1530.84</v>
      </c>
      <c r="BN148" s="22">
        <f t="shared" si="1213"/>
        <v>3986.5</v>
      </c>
      <c r="BO148" s="22">
        <f t="shared" si="1211"/>
        <v>3986.5</v>
      </c>
      <c r="BP148" s="22">
        <f t="shared" si="1213"/>
        <v>3933.17</v>
      </c>
      <c r="BQ148" s="22">
        <f t="shared" si="1211"/>
        <v>3933.17</v>
      </c>
      <c r="BR148" s="22">
        <f t="shared" si="1213"/>
        <v>4026.66</v>
      </c>
      <c r="BS148" s="22">
        <f t="shared" si="1211"/>
        <v>4026.66</v>
      </c>
      <c r="BT148" s="22">
        <f t="shared" si="1213"/>
        <v>4036.79</v>
      </c>
      <c r="BU148" s="22">
        <f t="shared" si="1211"/>
        <v>4036.79</v>
      </c>
      <c r="BV148" s="22">
        <f t="shared" si="1213"/>
        <v>4272.24</v>
      </c>
      <c r="BW148" s="22">
        <f t="shared" si="1211"/>
        <v>4272.24</v>
      </c>
      <c r="BX148" s="22">
        <f t="shared" si="1213"/>
        <v>4274.87</v>
      </c>
      <c r="BY148" s="22">
        <f t="shared" si="1211"/>
        <v>4274.87</v>
      </c>
      <c r="BZ148" s="22">
        <f t="shared" si="1213"/>
        <v>4454.6400000000003</v>
      </c>
      <c r="CA148" s="22">
        <f t="shared" si="1211"/>
        <v>4454.6400000000003</v>
      </c>
      <c r="CB148" s="22">
        <f t="shared" si="1213"/>
        <v>4525.99</v>
      </c>
      <c r="CC148" s="22">
        <f t="shared" si="1211"/>
        <v>4525.99</v>
      </c>
      <c r="CD148" s="22">
        <f t="shared" si="1213"/>
        <v>8321.2000000000007</v>
      </c>
      <c r="CE148" s="22">
        <f t="shared" si="1211"/>
        <v>8321.2000000000007</v>
      </c>
      <c r="CF148" s="22">
        <f t="shared" ref="CF148:CI148" si="1214">+CF145-CF146-CF147</f>
        <v>9629.07</v>
      </c>
      <c r="CG148" s="22">
        <f t="shared" ref="CG148:CI151" si="1215">+CF148</f>
        <v>9629.07</v>
      </c>
      <c r="CH148" s="22">
        <f t="shared" si="1214"/>
        <v>9897.26</v>
      </c>
      <c r="CI148" s="22">
        <f t="shared" si="1214"/>
        <v>9748.33</v>
      </c>
      <c r="CJ148" s="23">
        <f>+'QTR Raw'!BD68</f>
        <v>9540.8799999999992</v>
      </c>
      <c r="CK148" s="23">
        <f t="shared" ref="CK148:DB148" si="1216">+CK145-CK146-CK147</f>
        <v>9381.59</v>
      </c>
      <c r="CL148" s="23">
        <f>+'QTR Raw'!BF68</f>
        <v>9294.2999999999993</v>
      </c>
      <c r="CM148" s="21">
        <f t="shared" si="1216"/>
        <v>9295.6568996300193</v>
      </c>
      <c r="CN148" s="21">
        <f t="shared" si="1216"/>
        <v>9296.9899085676425</v>
      </c>
      <c r="CO148" s="21">
        <f t="shared" si="1216"/>
        <v>9298.2994474520747</v>
      </c>
      <c r="CP148" s="21">
        <f t="shared" si="1216"/>
        <v>9299.5859295164009</v>
      </c>
      <c r="CQ148" s="21">
        <f t="shared" si="1216"/>
        <v>9300.8497607179852</v>
      </c>
      <c r="CR148" s="21">
        <f t="shared" si="1216"/>
        <v>9302.0913398665743</v>
      </c>
      <c r="CS148" s="21">
        <f t="shared" si="1216"/>
        <v>9303.311058750136</v>
      </c>
      <c r="CT148" s="21">
        <f t="shared" si="1216"/>
        <v>9304.5093022585024</v>
      </c>
      <c r="CU148" s="21">
        <f t="shared" si="1216"/>
        <v>9305.6864485048154</v>
      </c>
      <c r="CV148" s="21">
        <f t="shared" si="1216"/>
        <v>9306.8428689448447</v>
      </c>
      <c r="CW148" s="21">
        <f t="shared" si="1216"/>
        <v>9307.9789284942053</v>
      </c>
      <c r="CX148" s="21">
        <f t="shared" si="1216"/>
        <v>9309.0949856435072</v>
      </c>
      <c r="CY148" s="21">
        <f t="shared" si="1216"/>
        <v>9310.1913925714816</v>
      </c>
      <c r="CZ148" s="21">
        <f t="shared" si="1216"/>
        <v>9311.2684952561067</v>
      </c>
      <c r="DA148" s="21">
        <f t="shared" si="1216"/>
        <v>9312.326633583787</v>
      </c>
      <c r="DB148" s="21">
        <f t="shared" si="1216"/>
        <v>9313.3661414566141</v>
      </c>
      <c r="DE148" s="126"/>
      <c r="DF148" s="22">
        <v>9224.9594301678662</v>
      </c>
    </row>
    <row r="149" spans="1:110" s="23" customFormat="1" outlineLevel="1" x14ac:dyDescent="0.2">
      <c r="A149" s="23" t="s">
        <v>54</v>
      </c>
      <c r="B149" s="23">
        <f>'Annual Raw'!C86</f>
        <v>0</v>
      </c>
      <c r="C149" s="23">
        <f>'Annual Raw'!D86</f>
        <v>1717.9232999999999</v>
      </c>
      <c r="D149" s="23">
        <f>'Annual Raw'!E86</f>
        <v>1886.7611999999999</v>
      </c>
      <c r="E149" s="23">
        <f>'Annual Raw'!F86</f>
        <v>2011.9096999999999</v>
      </c>
      <c r="F149" s="23">
        <f>'Annual Raw'!G86</f>
        <v>2044.9896000000001</v>
      </c>
      <c r="G149" s="23">
        <f>'Annual Raw'!H86</f>
        <v>2067.8307</v>
      </c>
      <c r="H149" s="23">
        <f>'Annual Raw'!I86</f>
        <v>5552.9462000000003</v>
      </c>
      <c r="I149" s="23">
        <f>'Annual Raw'!J86</f>
        <v>2938.0724</v>
      </c>
      <c r="J149" s="23">
        <f>'Annual Raw'!K86</f>
        <v>3027.3321999999998</v>
      </c>
      <c r="K149" s="23">
        <f>'Annual Raw'!L86</f>
        <v>2928.8418000000001</v>
      </c>
      <c r="L149" s="23">
        <f>'Annual Raw'!M86</f>
        <v>3038.0545000000002</v>
      </c>
      <c r="M149" s="23">
        <f>'Annual Raw'!N86</f>
        <v>3468.7262000000001</v>
      </c>
      <c r="N149" s="23">
        <f>'Annual Raw'!O86</f>
        <v>3598.1194</v>
      </c>
      <c r="O149" s="23">
        <f>'Annual Raw'!P86</f>
        <v>4188.2439000000004</v>
      </c>
      <c r="P149" s="23">
        <f>'Annual Raw'!Q86</f>
        <v>3892.12</v>
      </c>
      <c r="Q149" s="23">
        <f>'Annual Raw'!R86</f>
        <v>3709.55</v>
      </c>
      <c r="R149" s="23">
        <f>'Annual Raw'!S86</f>
        <v>3598.21</v>
      </c>
      <c r="S149" s="23">
        <f>'Annual Raw'!T86</f>
        <v>3817.34</v>
      </c>
      <c r="T149" s="23">
        <f>'Annual Raw'!U86</f>
        <v>3877.27</v>
      </c>
      <c r="U149" s="23">
        <f>'Annual Raw'!V86</f>
        <v>7426.64</v>
      </c>
      <c r="V149" s="23">
        <f>'Annual Raw'!W86</f>
        <v>7596.57</v>
      </c>
      <c r="W149" s="23">
        <f>'Annual Raw'!X86</f>
        <v>7754.11</v>
      </c>
      <c r="X149" s="23">
        <f>'Annual Raw'!Y86</f>
        <v>8065.68</v>
      </c>
      <c r="Y149" s="23">
        <f>'Annual Raw'!Z86</f>
        <v>10369.92</v>
      </c>
      <c r="Z149" s="23">
        <f>'Annual Raw'!AA86</f>
        <v>11366</v>
      </c>
      <c r="AA149" s="23">
        <f>'Annual Raw'!AB86</f>
        <v>11922.59</v>
      </c>
      <c r="AB149" s="24">
        <f t="shared" si="1198"/>
        <v>11883.9</v>
      </c>
      <c r="AC149" s="24">
        <f t="shared" si="1199"/>
        <v>11883.9</v>
      </c>
      <c r="AD149" s="24">
        <f t="shared" si="1200"/>
        <v>11883.9</v>
      </c>
      <c r="AE149" s="24">
        <f t="shared" si="1201"/>
        <v>11883.9</v>
      </c>
      <c r="AJ149" s="23">
        <f>+'QTR Raw'!D72</f>
        <v>3655.14</v>
      </c>
      <c r="AK149" s="23">
        <f>+AJ149</f>
        <v>3655.14</v>
      </c>
      <c r="AL149" s="23">
        <f>+'QTR Raw'!F72</f>
        <v>3598.12</v>
      </c>
      <c r="AM149" s="23">
        <f t="shared" ref="AK149:CE151" si="1217">+AL149</f>
        <v>3598.12</v>
      </c>
      <c r="AN149" s="23">
        <f>+'QTR Raw'!H72</f>
        <v>4280.78</v>
      </c>
      <c r="AO149" s="23">
        <f t="shared" si="1217"/>
        <v>4280.78</v>
      </c>
      <c r="AP149" s="23">
        <f>+'QTR Raw'!J72</f>
        <v>4188.24</v>
      </c>
      <c r="AQ149" s="23">
        <f t="shared" si="1217"/>
        <v>4188.24</v>
      </c>
      <c r="AR149" s="23">
        <f>+'QTR Raw'!L72</f>
        <v>4290.41</v>
      </c>
      <c r="AS149" s="23">
        <f t="shared" si="1217"/>
        <v>4290.41</v>
      </c>
      <c r="AT149" s="23">
        <f>+'QTR Raw'!N72</f>
        <v>3892.12</v>
      </c>
      <c r="AU149" s="23">
        <f t="shared" si="1217"/>
        <v>3892.12</v>
      </c>
      <c r="AV149" s="23">
        <f>+'QTR Raw'!P72</f>
        <v>4066.16</v>
      </c>
      <c r="AW149" s="23">
        <f t="shared" si="1217"/>
        <v>4066.16</v>
      </c>
      <c r="AX149" s="23">
        <f>+'QTR Raw'!R72</f>
        <v>3709.55</v>
      </c>
      <c r="AY149" s="23">
        <f t="shared" si="1217"/>
        <v>3709.55</v>
      </c>
      <c r="AZ149" s="23">
        <f>+'QTR Raw'!T72</f>
        <v>3405.31</v>
      </c>
      <c r="BA149" s="23">
        <f t="shared" si="1217"/>
        <v>3405.31</v>
      </c>
      <c r="BB149" s="23">
        <f>+'QTR Raw'!V72</f>
        <v>3497.91</v>
      </c>
      <c r="BC149" s="23">
        <f t="shared" si="1217"/>
        <v>3497.91</v>
      </c>
      <c r="BD149" s="23">
        <f>+'QTR Raw'!X72</f>
        <v>3666.44</v>
      </c>
      <c r="BE149" s="23">
        <f t="shared" si="1217"/>
        <v>3666.44</v>
      </c>
      <c r="BF149" s="23">
        <f>+'QTR Raw'!Z72</f>
        <v>3723.5</v>
      </c>
      <c r="BG149" s="23">
        <f t="shared" si="1217"/>
        <v>3723.5</v>
      </c>
      <c r="BH149" s="23">
        <f>+'QTR Raw'!AB72</f>
        <v>3978.99</v>
      </c>
      <c r="BI149" s="23">
        <f t="shared" si="1217"/>
        <v>3978.99</v>
      </c>
      <c r="BJ149" s="23">
        <f>+'QTR Raw'!AD72</f>
        <v>3785.07</v>
      </c>
      <c r="BK149" s="23">
        <f t="shared" si="1217"/>
        <v>3785.07</v>
      </c>
      <c r="BL149" s="23">
        <f>+'QTR Raw'!AF72</f>
        <v>3799.33</v>
      </c>
      <c r="BM149" s="23">
        <f t="shared" si="1217"/>
        <v>3799.33</v>
      </c>
      <c r="BN149" s="23">
        <f>+'QTR Raw'!AH72</f>
        <v>7333.83</v>
      </c>
      <c r="BO149" s="23">
        <f t="shared" si="1217"/>
        <v>7333.83</v>
      </c>
      <c r="BP149" s="23">
        <f>+'QTR Raw'!AJ72</f>
        <v>7426.8</v>
      </c>
      <c r="BQ149" s="23">
        <f t="shared" si="1217"/>
        <v>7426.8</v>
      </c>
      <c r="BR149" s="23">
        <f>+'QTR Raw'!AL72</f>
        <v>7596.57</v>
      </c>
      <c r="BS149" s="23">
        <f t="shared" si="1217"/>
        <v>7596.57</v>
      </c>
      <c r="BT149" s="23">
        <f>+'QTR Raw'!AN72</f>
        <v>7601.22</v>
      </c>
      <c r="BU149" s="23">
        <f t="shared" si="1217"/>
        <v>7601.22</v>
      </c>
      <c r="BV149" s="23">
        <f>+'QTR Raw'!AP72</f>
        <v>7754.11</v>
      </c>
      <c r="BW149" s="23">
        <f t="shared" si="1217"/>
        <v>7754.11</v>
      </c>
      <c r="BX149" s="23">
        <f>+'QTR Raw'!AR72</f>
        <v>7687.34</v>
      </c>
      <c r="BY149" s="23">
        <f t="shared" si="1217"/>
        <v>7687.34</v>
      </c>
      <c r="BZ149" s="23">
        <f>+'QTR Raw'!AT72</f>
        <v>8025.38</v>
      </c>
      <c r="CA149" s="23">
        <f t="shared" si="1217"/>
        <v>8025.38</v>
      </c>
      <c r="CB149" s="23">
        <f>+'QTR Raw'!AV72</f>
        <v>8050.97</v>
      </c>
      <c r="CC149" s="23">
        <f t="shared" si="1217"/>
        <v>8050.97</v>
      </c>
      <c r="CD149" s="23">
        <f>+'QTR Raw'!AX72</f>
        <v>10334.280000000001</v>
      </c>
      <c r="CE149" s="23">
        <f t="shared" si="1217"/>
        <v>10334.280000000001</v>
      </c>
      <c r="CF149" s="23">
        <f>+'QTR Raw'!AZ72</f>
        <v>11349.19</v>
      </c>
      <c r="CG149" s="23">
        <f t="shared" si="1215"/>
        <v>11349.19</v>
      </c>
      <c r="CH149" s="23">
        <f t="shared" si="1202"/>
        <v>11366</v>
      </c>
      <c r="CI149" s="23">
        <f t="shared" si="1215"/>
        <v>11366</v>
      </c>
      <c r="CJ149" s="23">
        <f>+'QTR Raw'!BD72</f>
        <v>11608.45</v>
      </c>
      <c r="CK149" s="23">
        <f t="shared" ref="CK149:CK151" si="1218">+CJ149</f>
        <v>11608.45</v>
      </c>
      <c r="CL149" s="23">
        <f>+'QTR Raw'!BF72</f>
        <v>11883.9</v>
      </c>
      <c r="CM149" s="24">
        <f t="shared" ref="CM149:CM151" si="1219">+CL149</f>
        <v>11883.9</v>
      </c>
      <c r="CN149" s="24">
        <f t="shared" ref="CN149:CN151" si="1220">+CM149</f>
        <v>11883.9</v>
      </c>
      <c r="CO149" s="24">
        <f t="shared" ref="CO149:CO151" si="1221">+CN149</f>
        <v>11883.9</v>
      </c>
      <c r="CP149" s="24">
        <f t="shared" ref="CP149:CP151" si="1222">+CO149</f>
        <v>11883.9</v>
      </c>
      <c r="CQ149" s="24">
        <f t="shared" ref="CQ149:CQ151" si="1223">+CP149</f>
        <v>11883.9</v>
      </c>
      <c r="CR149" s="24">
        <f t="shared" ref="CR149:CR151" si="1224">+CQ149</f>
        <v>11883.9</v>
      </c>
      <c r="CS149" s="24">
        <f t="shared" ref="CS149:CS151" si="1225">+CR149</f>
        <v>11883.9</v>
      </c>
      <c r="CT149" s="24">
        <f t="shared" ref="CT149:CT151" si="1226">+CS149</f>
        <v>11883.9</v>
      </c>
      <c r="CU149" s="24">
        <f t="shared" ref="CU149:CU151" si="1227">+CT149</f>
        <v>11883.9</v>
      </c>
      <c r="CV149" s="24">
        <f t="shared" ref="CV149:CV151" si="1228">+CU149</f>
        <v>11883.9</v>
      </c>
      <c r="CW149" s="24">
        <f t="shared" ref="CW149:CW151" si="1229">+CV149</f>
        <v>11883.9</v>
      </c>
      <c r="CX149" s="24">
        <f t="shared" ref="CX149:CX151" si="1230">+CW149</f>
        <v>11883.9</v>
      </c>
      <c r="CY149" s="24">
        <f t="shared" ref="CY149:CY151" si="1231">+CX149</f>
        <v>11883.9</v>
      </c>
      <c r="CZ149" s="24">
        <f t="shared" ref="CZ149:CZ151" si="1232">+CY149</f>
        <v>11883.9</v>
      </c>
      <c r="DA149" s="24">
        <f t="shared" ref="DA149:DA151" si="1233">+CZ149</f>
        <v>11883.9</v>
      </c>
      <c r="DB149" s="24">
        <f t="shared" ref="DB149:DB151" si="1234">+DA149</f>
        <v>11883.9</v>
      </c>
      <c r="DE149" s="123"/>
      <c r="DF149" s="23">
        <v>11608.45</v>
      </c>
    </row>
    <row r="150" spans="1:110" s="23" customFormat="1" outlineLevel="1" x14ac:dyDescent="0.2">
      <c r="A150" s="23" t="s">
        <v>55</v>
      </c>
      <c r="B150" s="23">
        <f>'Annual Raw'!C68</f>
        <v>0</v>
      </c>
      <c r="C150" s="23">
        <f>'Annual Raw'!D68</f>
        <v>0</v>
      </c>
      <c r="D150" s="23">
        <f>'Annual Raw'!E68</f>
        <v>0</v>
      </c>
      <c r="E150" s="23">
        <f>'Annual Raw'!F68</f>
        <v>0</v>
      </c>
      <c r="F150" s="23">
        <f>'Annual Raw'!G68</f>
        <v>0</v>
      </c>
      <c r="G150" s="23">
        <f>'Annual Raw'!H68</f>
        <v>0</v>
      </c>
      <c r="H150" s="23">
        <f>'Annual Raw'!I68</f>
        <v>0</v>
      </c>
      <c r="I150" s="23">
        <f>'Annual Raw'!J68</f>
        <v>0</v>
      </c>
      <c r="J150" s="23">
        <f>'Annual Raw'!K68</f>
        <v>0</v>
      </c>
      <c r="K150" s="23">
        <f>'Annual Raw'!L68</f>
        <v>0</v>
      </c>
      <c r="L150" s="23">
        <f>'Annual Raw'!M68</f>
        <v>12.420199999999999</v>
      </c>
      <c r="M150" s="23">
        <f>'Annual Raw'!N68</f>
        <v>0.4748</v>
      </c>
      <c r="N150" s="23">
        <f>'Annual Raw'!O68</f>
        <v>0.16619999999999999</v>
      </c>
      <c r="O150" s="23">
        <f>'Annual Raw'!P68</f>
        <v>0.18140000000000001</v>
      </c>
      <c r="P150" s="23">
        <f>'Annual Raw'!Q68</f>
        <v>0.19</v>
      </c>
      <c r="Q150" s="23">
        <f>'Annual Raw'!R68</f>
        <v>6.3</v>
      </c>
      <c r="R150" s="23">
        <f>'Annual Raw'!S68</f>
        <v>6.95</v>
      </c>
      <c r="S150" s="23">
        <f>'Annual Raw'!T68</f>
        <v>5.64</v>
      </c>
      <c r="T150" s="23">
        <f>'Annual Raw'!U68</f>
        <v>11.11</v>
      </c>
      <c r="U150" s="23">
        <f>'Annual Raw'!V68</f>
        <v>7.79</v>
      </c>
      <c r="V150" s="23">
        <f>'Annual Raw'!W68</f>
        <v>19.68</v>
      </c>
      <c r="W150" s="23">
        <f>'Annual Raw'!X68</f>
        <v>37.53</v>
      </c>
      <c r="X150" s="23">
        <f>'Annual Raw'!Y68</f>
        <v>8.8000000000000007</v>
      </c>
      <c r="Y150" s="23">
        <f>'Annual Raw'!Z68</f>
        <v>18.21</v>
      </c>
      <c r="Z150" s="23">
        <f>'Annual Raw'!AA68</f>
        <v>11.29</v>
      </c>
      <c r="AA150" s="23">
        <f>'Annual Raw'!AB68</f>
        <v>21.28</v>
      </c>
      <c r="AB150" s="24">
        <f t="shared" si="1198"/>
        <v>0</v>
      </c>
      <c r="AC150" s="24">
        <f t="shared" si="1199"/>
        <v>0</v>
      </c>
      <c r="AD150" s="24">
        <f t="shared" si="1200"/>
        <v>0</v>
      </c>
      <c r="AE150" s="24">
        <f t="shared" si="1201"/>
        <v>0</v>
      </c>
      <c r="AK150" s="23">
        <f t="shared" si="1217"/>
        <v>0</v>
      </c>
      <c r="AM150" s="23">
        <f t="shared" si="1217"/>
        <v>0</v>
      </c>
      <c r="AO150" s="23">
        <f t="shared" si="1217"/>
        <v>0</v>
      </c>
      <c r="AQ150" s="23">
        <f t="shared" si="1217"/>
        <v>0</v>
      </c>
      <c r="AS150" s="23">
        <f t="shared" si="1217"/>
        <v>0</v>
      </c>
      <c r="AU150" s="23">
        <f t="shared" si="1217"/>
        <v>0</v>
      </c>
      <c r="AW150" s="23">
        <f t="shared" si="1217"/>
        <v>0</v>
      </c>
      <c r="AY150" s="23">
        <f t="shared" si="1217"/>
        <v>0</v>
      </c>
      <c r="BA150" s="23">
        <f t="shared" si="1217"/>
        <v>0</v>
      </c>
      <c r="BC150" s="23">
        <f t="shared" si="1217"/>
        <v>0</v>
      </c>
      <c r="BE150" s="23">
        <f t="shared" si="1217"/>
        <v>0</v>
      </c>
      <c r="BG150" s="23">
        <f t="shared" si="1217"/>
        <v>0</v>
      </c>
      <c r="BI150" s="23">
        <f t="shared" si="1217"/>
        <v>0</v>
      </c>
      <c r="BK150" s="23">
        <f t="shared" si="1217"/>
        <v>0</v>
      </c>
      <c r="BM150" s="23">
        <f t="shared" si="1217"/>
        <v>0</v>
      </c>
      <c r="BO150" s="23">
        <f t="shared" si="1217"/>
        <v>0</v>
      </c>
      <c r="BQ150" s="23">
        <f t="shared" si="1217"/>
        <v>0</v>
      </c>
      <c r="BS150" s="23">
        <f t="shared" si="1217"/>
        <v>0</v>
      </c>
      <c r="BU150" s="23">
        <f t="shared" si="1217"/>
        <v>0</v>
      </c>
      <c r="BW150" s="23">
        <f t="shared" si="1217"/>
        <v>0</v>
      </c>
      <c r="BY150" s="23">
        <f t="shared" si="1217"/>
        <v>0</v>
      </c>
      <c r="CA150" s="23">
        <f t="shared" si="1217"/>
        <v>0</v>
      </c>
      <c r="CC150" s="23">
        <f t="shared" si="1217"/>
        <v>0</v>
      </c>
      <c r="CE150" s="23">
        <f t="shared" si="1217"/>
        <v>0</v>
      </c>
      <c r="CG150" s="23">
        <f t="shared" si="1215"/>
        <v>0</v>
      </c>
      <c r="CH150" s="23">
        <f t="shared" si="1202"/>
        <v>11.29</v>
      </c>
      <c r="CI150" s="23">
        <f t="shared" si="1215"/>
        <v>11.29</v>
      </c>
      <c r="CK150" s="23">
        <f t="shared" si="1218"/>
        <v>0</v>
      </c>
      <c r="CM150" s="24">
        <f t="shared" si="1219"/>
        <v>0</v>
      </c>
      <c r="CN150" s="24">
        <f t="shared" si="1220"/>
        <v>0</v>
      </c>
      <c r="CO150" s="24">
        <f t="shared" si="1221"/>
        <v>0</v>
      </c>
      <c r="CP150" s="24">
        <f t="shared" si="1222"/>
        <v>0</v>
      </c>
      <c r="CQ150" s="24">
        <f t="shared" si="1223"/>
        <v>0</v>
      </c>
      <c r="CR150" s="24">
        <f t="shared" si="1224"/>
        <v>0</v>
      </c>
      <c r="CS150" s="24">
        <f t="shared" si="1225"/>
        <v>0</v>
      </c>
      <c r="CT150" s="24">
        <f t="shared" si="1226"/>
        <v>0</v>
      </c>
      <c r="CU150" s="24">
        <f t="shared" si="1227"/>
        <v>0</v>
      </c>
      <c r="CV150" s="24">
        <f t="shared" si="1228"/>
        <v>0</v>
      </c>
      <c r="CW150" s="24">
        <f t="shared" si="1229"/>
        <v>0</v>
      </c>
      <c r="CX150" s="24">
        <f t="shared" si="1230"/>
        <v>0</v>
      </c>
      <c r="CY150" s="24">
        <f t="shared" si="1231"/>
        <v>0</v>
      </c>
      <c r="CZ150" s="24">
        <f t="shared" si="1232"/>
        <v>0</v>
      </c>
      <c r="DA150" s="24">
        <f t="shared" si="1233"/>
        <v>0</v>
      </c>
      <c r="DB150" s="24">
        <f t="shared" si="1234"/>
        <v>0</v>
      </c>
      <c r="DE150" s="123"/>
      <c r="DF150" s="23">
        <v>0</v>
      </c>
    </row>
    <row r="151" spans="1:110" s="23" customFormat="1" outlineLevel="1" x14ac:dyDescent="0.2">
      <c r="A151" s="23" t="s">
        <v>56</v>
      </c>
      <c r="B151" s="23">
        <f>'Annual Raw'!C67+'Annual Raw'!C66+'Annual Raw'!C69+'Annual Raw'!C70</f>
        <v>8.6443999999999992</v>
      </c>
      <c r="C151" s="23">
        <f>'Annual Raw'!D67+'Annual Raw'!D66+'Annual Raw'!D69+'Annual Raw'!D70</f>
        <v>21.01</v>
      </c>
      <c r="D151" s="23">
        <f>'Annual Raw'!E67+'Annual Raw'!E66+'Annual Raw'!E69+'Annual Raw'!E70</f>
        <v>14.1273</v>
      </c>
      <c r="E151" s="23">
        <f>'Annual Raw'!F67+'Annual Raw'!F66+'Annual Raw'!F69+'Annual Raw'!F70</f>
        <v>7.0613000000000001</v>
      </c>
      <c r="F151" s="23">
        <f>'Annual Raw'!G67+'Annual Raw'!G66+'Annual Raw'!G69+'Annual Raw'!G70</f>
        <v>23.7713</v>
      </c>
      <c r="G151" s="23">
        <f>'Annual Raw'!H67+'Annual Raw'!H66+'Annual Raw'!H69+'Annual Raw'!H70</f>
        <v>37.300600000000003</v>
      </c>
      <c r="H151" s="23">
        <f>'Annual Raw'!I67+'Annual Raw'!I66+'Annual Raw'!I69+'Annual Raw'!I70</f>
        <v>15.916600000000001</v>
      </c>
      <c r="I151" s="23">
        <f>'Annual Raw'!J67+'Annual Raw'!J66+'Annual Raw'!J69+'Annual Raw'!J70</f>
        <v>50.033900000000003</v>
      </c>
      <c r="J151" s="23">
        <f>'Annual Raw'!K67+'Annual Raw'!K66+'Annual Raw'!K69+'Annual Raw'!K70</f>
        <v>63.184600000000003</v>
      </c>
      <c r="K151" s="23">
        <f>'Annual Raw'!L67+'Annual Raw'!L66+'Annual Raw'!L69+'Annual Raw'!L70</f>
        <v>47.361199999999997</v>
      </c>
      <c r="L151" s="23">
        <f>'Annual Raw'!M67+'Annual Raw'!M66+'Annual Raw'!M69+'Annual Raw'!M70</f>
        <v>31.267900000000001</v>
      </c>
      <c r="M151" s="23">
        <f>'Annual Raw'!N67+'Annual Raw'!N66+'Annual Raw'!N69+'Annual Raw'!N70</f>
        <v>48.678899999999999</v>
      </c>
      <c r="N151" s="23">
        <f>'Annual Raw'!O67+'Annual Raw'!O66+'Annual Raw'!O69+'Annual Raw'!O70</f>
        <v>90.509</v>
      </c>
      <c r="O151" s="23">
        <f>'Annual Raw'!P67+'Annual Raw'!P66+'Annual Raw'!P69+'Annual Raw'!P70</f>
        <v>59.385800000000003</v>
      </c>
      <c r="P151" s="23">
        <f>'Annual Raw'!Q67+'Annual Raw'!Q66+'Annual Raw'!Q69+'Annual Raw'!Q70</f>
        <v>46.98</v>
      </c>
      <c r="Q151" s="23">
        <f>'Annual Raw'!R67+'Annual Raw'!R66+'Annual Raw'!R69+'Annual Raw'!R70</f>
        <v>103.21000000000001</v>
      </c>
      <c r="R151" s="23">
        <f>'Annual Raw'!S67+'Annual Raw'!S66+'Annual Raw'!S69+'Annual Raw'!S70</f>
        <v>124.9</v>
      </c>
      <c r="S151" s="23">
        <f>'Annual Raw'!T67+'Annual Raw'!T66+'Annual Raw'!T69+'Annual Raw'!T70</f>
        <v>179.85000000000002</v>
      </c>
      <c r="T151" s="23">
        <f>'Annual Raw'!U67+'Annual Raw'!U66+'Annual Raw'!U69+'Annual Raw'!U70</f>
        <v>464.90000000000003</v>
      </c>
      <c r="U151" s="23">
        <f>'Annual Raw'!V67+'Annual Raw'!V66+'Annual Raw'!V69+'Annual Raw'!V70</f>
        <v>137.6</v>
      </c>
      <c r="V151" s="23">
        <f>'Annual Raw'!W67+'Annual Raw'!W66+'Annual Raw'!W69+'Annual Raw'!W70</f>
        <v>126.34</v>
      </c>
      <c r="W151" s="23">
        <f>'Annual Raw'!X67+'Annual Raw'!X66+'Annual Raw'!X69+'Annual Raw'!X70</f>
        <v>441.53</v>
      </c>
      <c r="X151" s="23">
        <f>'Annual Raw'!Y67+'Annual Raw'!Y66+'Annual Raw'!Y69+'Annual Raw'!Y70</f>
        <v>500.88</v>
      </c>
      <c r="Y151" s="23">
        <f>'Annual Raw'!Z67+'Annual Raw'!Z66+'Annual Raw'!Z69+'Annual Raw'!Z70</f>
        <v>386.16999999999996</v>
      </c>
      <c r="Z151" s="23">
        <f>'Annual Raw'!AA67+'Annual Raw'!AA66+'Annual Raw'!AA69+'Annual Raw'!AA70</f>
        <v>420.39</v>
      </c>
      <c r="AA151" s="23">
        <f>'Annual Raw'!AB67+'Annual Raw'!AB66+'Annual Raw'!AB69+'Annual Raw'!AB70</f>
        <v>673.48</v>
      </c>
      <c r="AB151" s="24">
        <f t="shared" si="1198"/>
        <v>459.9</v>
      </c>
      <c r="AC151" s="24">
        <f t="shared" si="1199"/>
        <v>459.9</v>
      </c>
      <c r="AD151" s="24">
        <f t="shared" si="1200"/>
        <v>459.9</v>
      </c>
      <c r="AE151" s="24">
        <f t="shared" si="1201"/>
        <v>459.9</v>
      </c>
      <c r="AJ151" s="23">
        <f>+'QTR Raw'!D74+'QTR Raw'!D75</f>
        <v>0</v>
      </c>
      <c r="AK151" s="23">
        <f t="shared" si="1217"/>
        <v>0</v>
      </c>
      <c r="AL151" s="23">
        <f>+'QTR Raw'!F74+'QTR Raw'!F75</f>
        <v>0</v>
      </c>
      <c r="AM151" s="23">
        <f t="shared" si="1217"/>
        <v>0</v>
      </c>
      <c r="AN151" s="23">
        <f>+'QTR Raw'!H74+'QTR Raw'!H75</f>
        <v>0</v>
      </c>
      <c r="AO151" s="23">
        <f t="shared" si="1217"/>
        <v>0</v>
      </c>
      <c r="AP151" s="23">
        <f>+'QTR Raw'!J74+'QTR Raw'!J75</f>
        <v>0</v>
      </c>
      <c r="AQ151" s="23">
        <f t="shared" si="1217"/>
        <v>0</v>
      </c>
      <c r="AR151" s="23">
        <f>+'QTR Raw'!L74+'QTR Raw'!L75</f>
        <v>0</v>
      </c>
      <c r="AS151" s="23">
        <f t="shared" si="1217"/>
        <v>0</v>
      </c>
      <c r="AT151" s="23">
        <f>+'QTR Raw'!N74+'QTR Raw'!N75</f>
        <v>0</v>
      </c>
      <c r="AU151" s="23">
        <f t="shared" si="1217"/>
        <v>0</v>
      </c>
      <c r="AV151" s="23">
        <f>+'QTR Raw'!P74+'QTR Raw'!P75</f>
        <v>0</v>
      </c>
      <c r="AW151" s="23">
        <f t="shared" si="1217"/>
        <v>0</v>
      </c>
      <c r="AX151" s="23">
        <f>+'QTR Raw'!R74+'QTR Raw'!R75</f>
        <v>33.119999999999997</v>
      </c>
      <c r="AY151" s="23">
        <f t="shared" si="1217"/>
        <v>33.119999999999997</v>
      </c>
      <c r="AZ151" s="23">
        <f>+'QTR Raw'!T74+'QTR Raw'!T75</f>
        <v>40.81</v>
      </c>
      <c r="BA151" s="23">
        <f t="shared" si="1217"/>
        <v>40.81</v>
      </c>
      <c r="BB151" s="23">
        <f>+'QTR Raw'!V74+'QTR Raw'!V75</f>
        <v>56.24</v>
      </c>
      <c r="BC151" s="23">
        <f t="shared" si="1217"/>
        <v>56.24</v>
      </c>
      <c r="BD151" s="23">
        <f>+'QTR Raw'!X74+'QTR Raw'!X75</f>
        <v>72.27</v>
      </c>
      <c r="BE151" s="23">
        <f t="shared" si="1217"/>
        <v>72.27</v>
      </c>
      <c r="BF151" s="23">
        <f>+'QTR Raw'!Z74+'QTR Raw'!Z75</f>
        <v>129.52000000000001</v>
      </c>
      <c r="BG151" s="23">
        <f t="shared" si="1217"/>
        <v>129.52000000000001</v>
      </c>
      <c r="BH151" s="23">
        <f>+'QTR Raw'!AB74+'QTR Raw'!AB75</f>
        <v>427.78</v>
      </c>
      <c r="BI151" s="23">
        <f t="shared" si="1217"/>
        <v>427.78</v>
      </c>
      <c r="BJ151" s="23">
        <f>+'QTR Raw'!AD74+'QTR Raw'!AD75</f>
        <v>413.3</v>
      </c>
      <c r="BK151" s="23">
        <f t="shared" si="1217"/>
        <v>413.3</v>
      </c>
      <c r="BL151" s="23">
        <f>+'QTR Raw'!AF74+'QTR Raw'!AF75</f>
        <v>61.94</v>
      </c>
      <c r="BM151" s="23">
        <f t="shared" si="1217"/>
        <v>61.94</v>
      </c>
      <c r="BN151" s="23">
        <f>+'QTR Raw'!AH74+'QTR Raw'!AH75</f>
        <v>87.56</v>
      </c>
      <c r="BO151" s="23">
        <f t="shared" si="1217"/>
        <v>87.56</v>
      </c>
      <c r="BP151" s="23">
        <f>+'QTR Raw'!AJ74+'QTR Raw'!AJ75</f>
        <v>80.42</v>
      </c>
      <c r="BQ151" s="23">
        <f t="shared" si="1217"/>
        <v>80.42</v>
      </c>
      <c r="BR151" s="23">
        <f>+'QTR Raw'!AL74+'QTR Raw'!AL75</f>
        <v>93.17</v>
      </c>
      <c r="BS151" s="23">
        <f t="shared" si="1217"/>
        <v>93.17</v>
      </c>
      <c r="BT151" s="23">
        <f>+'QTR Raw'!AN74+'QTR Raw'!AN75</f>
        <v>66.95</v>
      </c>
      <c r="BU151" s="23">
        <f t="shared" si="1217"/>
        <v>66.95</v>
      </c>
      <c r="BV151" s="23">
        <f>+'QTR Raw'!AP74+'QTR Raw'!AP75</f>
        <v>209.44</v>
      </c>
      <c r="BW151" s="23">
        <f t="shared" si="1217"/>
        <v>209.44</v>
      </c>
      <c r="BX151" s="23">
        <f>+'QTR Raw'!AR74+'QTR Raw'!AR75</f>
        <v>245.03</v>
      </c>
      <c r="BY151" s="23">
        <f t="shared" si="1217"/>
        <v>245.03</v>
      </c>
      <c r="BZ151" s="23">
        <f>+'QTR Raw'!AT74+'QTR Raw'!AT75</f>
        <v>286.10000000000002</v>
      </c>
      <c r="CA151" s="23">
        <f t="shared" si="1217"/>
        <v>286.10000000000002</v>
      </c>
      <c r="CB151" s="23">
        <f>+'QTR Raw'!AV74+'QTR Raw'!AV75</f>
        <v>215.77</v>
      </c>
      <c r="CC151" s="23">
        <f t="shared" si="1217"/>
        <v>215.77</v>
      </c>
      <c r="CD151" s="23">
        <f>+'QTR Raw'!AX74+'QTR Raw'!AX75</f>
        <v>171.39</v>
      </c>
      <c r="CE151" s="23">
        <f t="shared" si="1217"/>
        <v>171.39</v>
      </c>
      <c r="CF151" s="23">
        <f>+'QTR Raw'!AZ74+'QTR Raw'!AZ75</f>
        <v>192.77</v>
      </c>
      <c r="CG151" s="23">
        <f t="shared" si="1215"/>
        <v>192.77</v>
      </c>
      <c r="CH151" s="23">
        <f t="shared" si="1202"/>
        <v>420.39</v>
      </c>
      <c r="CI151" s="23">
        <f t="shared" si="1215"/>
        <v>420.39</v>
      </c>
      <c r="CJ151" s="23">
        <f>+'QTR Raw'!BD74+'QTR Raw'!BD75</f>
        <v>253.84</v>
      </c>
      <c r="CK151" s="23">
        <f t="shared" si="1218"/>
        <v>253.84</v>
      </c>
      <c r="CL151" s="23">
        <f>+'QTR Raw'!BF74+'QTR Raw'!BF75</f>
        <v>459.9</v>
      </c>
      <c r="CM151" s="24">
        <f t="shared" si="1219"/>
        <v>459.9</v>
      </c>
      <c r="CN151" s="24">
        <f t="shared" si="1220"/>
        <v>459.9</v>
      </c>
      <c r="CO151" s="24">
        <f t="shared" si="1221"/>
        <v>459.9</v>
      </c>
      <c r="CP151" s="24">
        <f t="shared" si="1222"/>
        <v>459.9</v>
      </c>
      <c r="CQ151" s="24">
        <f t="shared" si="1223"/>
        <v>459.9</v>
      </c>
      <c r="CR151" s="24">
        <f t="shared" si="1224"/>
        <v>459.9</v>
      </c>
      <c r="CS151" s="24">
        <f t="shared" si="1225"/>
        <v>459.9</v>
      </c>
      <c r="CT151" s="24">
        <f t="shared" si="1226"/>
        <v>459.9</v>
      </c>
      <c r="CU151" s="24">
        <f t="shared" si="1227"/>
        <v>459.9</v>
      </c>
      <c r="CV151" s="24">
        <f t="shared" si="1228"/>
        <v>459.9</v>
      </c>
      <c r="CW151" s="24">
        <f t="shared" si="1229"/>
        <v>459.9</v>
      </c>
      <c r="CX151" s="24">
        <f t="shared" si="1230"/>
        <v>459.9</v>
      </c>
      <c r="CY151" s="24">
        <f t="shared" si="1231"/>
        <v>459.9</v>
      </c>
      <c r="CZ151" s="24">
        <f t="shared" si="1232"/>
        <v>459.9</v>
      </c>
      <c r="DA151" s="24">
        <f t="shared" si="1233"/>
        <v>459.9</v>
      </c>
      <c r="DB151" s="24">
        <f t="shared" si="1234"/>
        <v>459.9</v>
      </c>
      <c r="DE151" s="123"/>
      <c r="DF151" s="23">
        <v>253.84</v>
      </c>
    </row>
    <row r="152" spans="1:110" s="22" customFormat="1" x14ac:dyDescent="0.2">
      <c r="A152" s="22" t="s">
        <v>57</v>
      </c>
      <c r="B152" s="22">
        <f>B148+B151+B150</f>
        <v>333.21850000000001</v>
      </c>
      <c r="C152" s="22">
        <f t="shared" ref="C152:D152" si="1235">C148+C151+C150</f>
        <v>2532.7308000000003</v>
      </c>
      <c r="D152" s="22">
        <f t="shared" si="1235"/>
        <v>2591.6516999999999</v>
      </c>
      <c r="E152" s="22">
        <f t="shared" ref="E152:Y152" si="1236">E148+E151+E150+E149</f>
        <v>2672.1108000000004</v>
      </c>
      <c r="F152" s="22">
        <f t="shared" si="1236"/>
        <v>2702.5596</v>
      </c>
      <c r="G152" s="22">
        <f t="shared" si="1236"/>
        <v>2689.1107999999999</v>
      </c>
      <c r="H152" s="22">
        <f t="shared" si="1236"/>
        <v>6463.2160999999996</v>
      </c>
      <c r="I152" s="22">
        <f t="shared" si="1236"/>
        <v>3710.2175000000002</v>
      </c>
      <c r="J152" s="22">
        <f t="shared" si="1236"/>
        <v>3825.3445000000002</v>
      </c>
      <c r="K152" s="22">
        <f t="shared" si="1236"/>
        <v>3694.3975999999993</v>
      </c>
      <c r="L152" s="22">
        <f t="shared" si="1236"/>
        <v>3802.5653000000002</v>
      </c>
      <c r="M152" s="22">
        <f t="shared" si="1236"/>
        <v>4292.7903999999999</v>
      </c>
      <c r="N152" s="22">
        <f t="shared" si="1236"/>
        <v>4525.0136000000002</v>
      </c>
      <c r="O152" s="22">
        <f t="shared" si="1236"/>
        <v>5240.576</v>
      </c>
      <c r="P152" s="22">
        <f t="shared" si="1236"/>
        <v>4968.8600000000006</v>
      </c>
      <c r="Q152" s="22">
        <f t="shared" si="1236"/>
        <v>4771.3100000000004</v>
      </c>
      <c r="R152" s="22">
        <f t="shared" si="1236"/>
        <v>4635.78</v>
      </c>
      <c r="S152" s="22">
        <f t="shared" si="1236"/>
        <v>4933.34</v>
      </c>
      <c r="T152" s="22">
        <f t="shared" si="1236"/>
        <v>5337.7199999999993</v>
      </c>
      <c r="U152" s="22">
        <f t="shared" si="1236"/>
        <v>11751.390000000001</v>
      </c>
      <c r="V152" s="22">
        <f t="shared" si="1236"/>
        <v>12135.98</v>
      </c>
      <c r="W152" s="22">
        <f t="shared" si="1236"/>
        <v>12846.32</v>
      </c>
      <c r="X152" s="22">
        <f t="shared" si="1236"/>
        <v>13364.94</v>
      </c>
      <c r="Y152" s="22">
        <f t="shared" si="1236"/>
        <v>19547.5</v>
      </c>
      <c r="Z152" s="22">
        <f>Z148+Z151+Z150+Z149</f>
        <v>21694.940000000002</v>
      </c>
      <c r="AA152" s="22">
        <f>AA148+AA151+AA150+AA149</f>
        <v>22499.989999999998</v>
      </c>
      <c r="AB152" s="161">
        <f t="shared" ref="AB152:AE152" si="1237">AB148+AB151+AB150+AB149</f>
        <v>21643.3859295164</v>
      </c>
      <c r="AC152" s="161">
        <f t="shared" si="1237"/>
        <v>21648.309302258502</v>
      </c>
      <c r="AD152" s="161">
        <f t="shared" si="1237"/>
        <v>21652.894985643507</v>
      </c>
      <c r="AE152" s="161">
        <f t="shared" si="1237"/>
        <v>21657.166141456612</v>
      </c>
      <c r="AJ152" s="22">
        <f t="shared" ref="AJ152" si="1238">AJ148+AJ151+AJ149+AJ150</f>
        <v>4501.1099999999997</v>
      </c>
      <c r="AK152" s="22">
        <f t="shared" ref="AK152" si="1239">AK148+AK151+AK149+AK150</f>
        <v>4501.1099999999997</v>
      </c>
      <c r="AL152" s="22">
        <f t="shared" ref="AL152:AM152" si="1240">AL148+AL151+AL149+AL150</f>
        <v>4525.01</v>
      </c>
      <c r="AM152" s="22">
        <f t="shared" si="1240"/>
        <v>4525.01</v>
      </c>
      <c r="AN152" s="22">
        <f t="shared" ref="AN152:AO152" si="1241">AN148+AN151+AN149+AN150</f>
        <v>5309.25</v>
      </c>
      <c r="AO152" s="22">
        <f t="shared" si="1241"/>
        <v>5309.25</v>
      </c>
      <c r="AP152" s="22">
        <f t="shared" ref="AP152:CE152" si="1242">AP148+AP151+AP149+AP150</f>
        <v>5240.57</v>
      </c>
      <c r="AQ152" s="22">
        <f t="shared" si="1242"/>
        <v>5240.57</v>
      </c>
      <c r="AR152" s="22">
        <f t="shared" si="1242"/>
        <v>5365.7</v>
      </c>
      <c r="AS152" s="22">
        <f t="shared" si="1242"/>
        <v>5365.7</v>
      </c>
      <c r="AT152" s="22">
        <f t="shared" si="1242"/>
        <v>4968.8599999999997</v>
      </c>
      <c r="AU152" s="22">
        <f t="shared" si="1242"/>
        <v>4968.8599999999997</v>
      </c>
      <c r="AV152" s="22">
        <f t="shared" si="1242"/>
        <v>5164.51</v>
      </c>
      <c r="AW152" s="22">
        <f t="shared" si="1242"/>
        <v>5164.51</v>
      </c>
      <c r="AX152" s="22">
        <f t="shared" si="1242"/>
        <v>4701.22</v>
      </c>
      <c r="AY152" s="22">
        <f t="shared" si="1242"/>
        <v>4701.22</v>
      </c>
      <c r="AZ152" s="22">
        <f t="shared" si="1242"/>
        <v>4372.8999999999996</v>
      </c>
      <c r="BA152" s="22">
        <f t="shared" si="1242"/>
        <v>4372.8999999999996</v>
      </c>
      <c r="BB152" s="22">
        <f t="shared" si="1242"/>
        <v>4567.12</v>
      </c>
      <c r="BC152" s="22">
        <f t="shared" si="1242"/>
        <v>4567.12</v>
      </c>
      <c r="BD152" s="22">
        <f t="shared" si="1242"/>
        <v>4736.8600000000006</v>
      </c>
      <c r="BE152" s="22">
        <f t="shared" si="1242"/>
        <v>4736.8600000000006</v>
      </c>
      <c r="BF152" s="22">
        <f t="shared" si="1242"/>
        <v>4883.01</v>
      </c>
      <c r="BG152" s="22">
        <f t="shared" si="1242"/>
        <v>4883.01</v>
      </c>
      <c r="BH152" s="22">
        <f t="shared" si="1242"/>
        <v>5460.84</v>
      </c>
      <c r="BI152" s="22">
        <f t="shared" si="1242"/>
        <v>5460.84</v>
      </c>
      <c r="BJ152" s="22">
        <f t="shared" si="1242"/>
        <v>5286.12</v>
      </c>
      <c r="BK152" s="22">
        <f t="shared" si="1242"/>
        <v>5286.12</v>
      </c>
      <c r="BL152" s="22">
        <f t="shared" si="1242"/>
        <v>5392.11</v>
      </c>
      <c r="BM152" s="22">
        <f t="shared" si="1242"/>
        <v>5392.11</v>
      </c>
      <c r="BN152" s="22">
        <f t="shared" si="1242"/>
        <v>11407.89</v>
      </c>
      <c r="BO152" s="22">
        <f t="shared" si="1242"/>
        <v>11407.89</v>
      </c>
      <c r="BP152" s="22">
        <f t="shared" si="1242"/>
        <v>11440.39</v>
      </c>
      <c r="BQ152" s="22">
        <f t="shared" si="1242"/>
        <v>11440.39</v>
      </c>
      <c r="BR152" s="22">
        <f t="shared" si="1242"/>
        <v>11716.4</v>
      </c>
      <c r="BS152" s="22">
        <f t="shared" si="1242"/>
        <v>11716.4</v>
      </c>
      <c r="BT152" s="22">
        <f t="shared" si="1242"/>
        <v>11704.96</v>
      </c>
      <c r="BU152" s="22">
        <f t="shared" si="1242"/>
        <v>11704.96</v>
      </c>
      <c r="BV152" s="22">
        <f t="shared" si="1242"/>
        <v>12235.789999999999</v>
      </c>
      <c r="BW152" s="22">
        <f t="shared" si="1242"/>
        <v>12235.789999999999</v>
      </c>
      <c r="BX152" s="22">
        <f t="shared" si="1242"/>
        <v>12207.24</v>
      </c>
      <c r="BY152" s="22">
        <f t="shared" si="1242"/>
        <v>12207.24</v>
      </c>
      <c r="BZ152" s="22">
        <f t="shared" si="1242"/>
        <v>12766.12</v>
      </c>
      <c r="CA152" s="22">
        <f t="shared" si="1242"/>
        <v>12766.12</v>
      </c>
      <c r="CB152" s="22">
        <f t="shared" si="1242"/>
        <v>12792.73</v>
      </c>
      <c r="CC152" s="22">
        <f t="shared" si="1242"/>
        <v>12792.73</v>
      </c>
      <c r="CD152" s="22">
        <f t="shared" si="1242"/>
        <v>18826.870000000003</v>
      </c>
      <c r="CE152" s="22">
        <f t="shared" si="1242"/>
        <v>18826.870000000003</v>
      </c>
      <c r="CF152" s="22">
        <f t="shared" ref="CF152:CG152" si="1243">CF148+CF151+CF149+CF150</f>
        <v>21171.03</v>
      </c>
      <c r="CG152" s="22">
        <f t="shared" si="1243"/>
        <v>21171.03</v>
      </c>
      <c r="CH152" s="22">
        <f t="shared" ref="CH152:CJ152" si="1244">CH148+CH151+CH149+CH150</f>
        <v>21694.940000000002</v>
      </c>
      <c r="CI152" s="22">
        <f t="shared" si="1244"/>
        <v>21546.010000000002</v>
      </c>
      <c r="CJ152" s="22">
        <f t="shared" si="1244"/>
        <v>21403.17</v>
      </c>
      <c r="CK152" s="22">
        <f t="shared" ref="CK152:DB152" si="1245">CK148+CK151+CK149+CK150</f>
        <v>21243.88</v>
      </c>
      <c r="CL152" s="22">
        <f t="shared" si="1245"/>
        <v>21638.1</v>
      </c>
      <c r="CM152" s="21">
        <f t="shared" si="1245"/>
        <v>21639.456899630019</v>
      </c>
      <c r="CN152" s="21">
        <f t="shared" si="1245"/>
        <v>21640.78990856764</v>
      </c>
      <c r="CO152" s="21">
        <f t="shared" si="1245"/>
        <v>21642.099447452074</v>
      </c>
      <c r="CP152" s="21">
        <f t="shared" si="1245"/>
        <v>21643.3859295164</v>
      </c>
      <c r="CQ152" s="21">
        <f t="shared" si="1245"/>
        <v>21644.649760717984</v>
      </c>
      <c r="CR152" s="21">
        <f t="shared" si="1245"/>
        <v>21645.891339866575</v>
      </c>
      <c r="CS152" s="21">
        <f t="shared" si="1245"/>
        <v>21647.111058750135</v>
      </c>
      <c r="CT152" s="21">
        <f t="shared" si="1245"/>
        <v>21648.309302258502</v>
      </c>
      <c r="CU152" s="21">
        <f t="shared" si="1245"/>
        <v>21649.486448504817</v>
      </c>
      <c r="CV152" s="21">
        <f t="shared" si="1245"/>
        <v>21650.642868944844</v>
      </c>
      <c r="CW152" s="21">
        <f t="shared" si="1245"/>
        <v>21651.778928494205</v>
      </c>
      <c r="CX152" s="21">
        <f t="shared" si="1245"/>
        <v>21652.894985643507</v>
      </c>
      <c r="CY152" s="21">
        <f t="shared" si="1245"/>
        <v>21653.991392571479</v>
      </c>
      <c r="CZ152" s="21">
        <f t="shared" si="1245"/>
        <v>21655.068495256106</v>
      </c>
      <c r="DA152" s="21">
        <f t="shared" si="1245"/>
        <v>21656.126633583786</v>
      </c>
      <c r="DB152" s="21">
        <f t="shared" si="1245"/>
        <v>21657.166141456612</v>
      </c>
      <c r="DE152" s="126"/>
      <c r="DF152" s="22">
        <v>21087.249430167867</v>
      </c>
    </row>
    <row r="153" spans="1:110" s="23" customFormat="1" x14ac:dyDescent="0.2">
      <c r="AB153" s="24"/>
      <c r="AC153" s="24"/>
      <c r="AD153" s="24"/>
      <c r="AE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E153" s="123"/>
    </row>
    <row r="154" spans="1:110" s="23" customFormat="1" x14ac:dyDescent="0.2">
      <c r="A154" s="23" t="s">
        <v>58</v>
      </c>
      <c r="B154" s="23">
        <f>'Annual Raw'!C71</f>
        <v>592.66139999999996</v>
      </c>
      <c r="C154" s="23">
        <f>'Annual Raw'!D71</f>
        <v>191.69649999999999</v>
      </c>
      <c r="D154" s="23">
        <f>'Annual Raw'!E71</f>
        <v>195.9948</v>
      </c>
      <c r="E154" s="23">
        <f>'Annual Raw'!F71</f>
        <v>210.96809999999999</v>
      </c>
      <c r="F154" s="23">
        <f>'Annual Raw'!G71</f>
        <v>222.6172</v>
      </c>
      <c r="G154" s="23">
        <f>'Annual Raw'!H71</f>
        <v>331.7724</v>
      </c>
      <c r="H154" s="23">
        <f>'Annual Raw'!I71</f>
        <v>432.9975</v>
      </c>
      <c r="I154" s="23">
        <f>'Annual Raw'!J71</f>
        <v>363.96960000000001</v>
      </c>
      <c r="J154" s="23">
        <f>'Annual Raw'!K71</f>
        <v>341.17739999999998</v>
      </c>
      <c r="K154" s="23">
        <f>'Annual Raw'!L71</f>
        <v>376.25889999999998</v>
      </c>
      <c r="L154" s="23">
        <f>'Annual Raw'!M71</f>
        <v>479.95890000000003</v>
      </c>
      <c r="M154" s="23">
        <f>'Annual Raw'!N71</f>
        <v>473.51780000000002</v>
      </c>
      <c r="N154" s="23">
        <f>'Annual Raw'!O71</f>
        <v>576.02549999999997</v>
      </c>
      <c r="O154" s="23">
        <f>'Annual Raw'!P71</f>
        <v>607.86659999999995</v>
      </c>
      <c r="P154" s="23">
        <f>'Annual Raw'!Q71</f>
        <v>617.76</v>
      </c>
      <c r="Q154" s="23">
        <f>'Annual Raw'!R71</f>
        <v>1122.52</v>
      </c>
      <c r="R154" s="23">
        <f>'Annual Raw'!S71</f>
        <v>1284.69</v>
      </c>
      <c r="S154" s="23">
        <f>'Annual Raw'!T71</f>
        <v>592.79999999999995</v>
      </c>
      <c r="T154" s="23">
        <f>'Annual Raw'!U71</f>
        <v>604.5</v>
      </c>
      <c r="U154" s="23">
        <f>'Annual Raw'!V71</f>
        <v>489.3</v>
      </c>
      <c r="V154" s="23">
        <f>'Annual Raw'!W71</f>
        <v>482.73</v>
      </c>
      <c r="W154" s="23">
        <f>'Annual Raw'!X71</f>
        <v>599.25</v>
      </c>
      <c r="X154" s="23">
        <f>'Annual Raw'!Y71</f>
        <v>678.23</v>
      </c>
      <c r="Y154" s="23">
        <f>'Annual Raw'!Z71</f>
        <v>631.91</v>
      </c>
      <c r="Z154" s="23">
        <f>'Annual Raw'!AA71</f>
        <v>676.45</v>
      </c>
      <c r="AA154" s="23">
        <f>'Annual Raw'!AB71</f>
        <v>574.41999999999996</v>
      </c>
      <c r="AB154" s="24">
        <f>+CP154</f>
        <v>788</v>
      </c>
      <c r="AC154" s="24">
        <f>+CT154</f>
        <v>788</v>
      </c>
      <c r="AD154" s="24">
        <f>+CX154</f>
        <v>788</v>
      </c>
      <c r="AE154" s="24">
        <f>+DB154</f>
        <v>788</v>
      </c>
      <c r="AJ154" s="23">
        <f>+'QTR Raw'!D77</f>
        <v>524.55999999999995</v>
      </c>
      <c r="AK154" s="23">
        <f t="shared" ref="AK154:CE154" si="1246">+AJ154</f>
        <v>524.55999999999995</v>
      </c>
      <c r="AL154" s="23">
        <f>+'QTR Raw'!F77</f>
        <v>576.03</v>
      </c>
      <c r="AM154" s="23">
        <f t="shared" si="1246"/>
        <v>576.03</v>
      </c>
      <c r="AN154" s="23">
        <f>+'QTR Raw'!H77</f>
        <v>580.76</v>
      </c>
      <c r="AO154" s="23">
        <f t="shared" si="1246"/>
        <v>580.76</v>
      </c>
      <c r="AP154" s="23">
        <f>+'QTR Raw'!J77</f>
        <v>607.87</v>
      </c>
      <c r="AQ154" s="23">
        <f t="shared" si="1246"/>
        <v>607.87</v>
      </c>
      <c r="AR154" s="23">
        <f>+'QTR Raw'!L77</f>
        <v>595.05999999999995</v>
      </c>
      <c r="AS154" s="23">
        <f t="shared" si="1246"/>
        <v>595.05999999999995</v>
      </c>
      <c r="AT154" s="23">
        <f>+'QTR Raw'!N77</f>
        <v>617.76</v>
      </c>
      <c r="AU154" s="23">
        <f t="shared" si="1246"/>
        <v>617.76</v>
      </c>
      <c r="AV154" s="23">
        <f>+'QTR Raw'!P77</f>
        <v>608.74</v>
      </c>
      <c r="AW154" s="23">
        <f t="shared" si="1246"/>
        <v>608.74</v>
      </c>
      <c r="AX154" s="23">
        <f>+'QTR Raw'!R77</f>
        <v>1192.6099999999999</v>
      </c>
      <c r="AY154" s="23">
        <f t="shared" si="1246"/>
        <v>1192.6099999999999</v>
      </c>
      <c r="AZ154" s="23">
        <f>+'QTR Raw'!T77</f>
        <v>1393.92</v>
      </c>
      <c r="BA154" s="23">
        <f t="shared" si="1246"/>
        <v>1393.92</v>
      </c>
      <c r="BB154" s="23">
        <f>+'QTR Raw'!V77</f>
        <v>1353.35</v>
      </c>
      <c r="BC154" s="23">
        <f t="shared" si="1246"/>
        <v>1353.35</v>
      </c>
      <c r="BD154" s="23">
        <f>+'QTR Raw'!X77</f>
        <v>764.8</v>
      </c>
      <c r="BE154" s="23">
        <f t="shared" si="1246"/>
        <v>764.8</v>
      </c>
      <c r="BF154" s="23">
        <f>+'QTR Raw'!Z77</f>
        <v>643.13</v>
      </c>
      <c r="BG154" s="23">
        <f t="shared" si="1246"/>
        <v>643.13</v>
      </c>
      <c r="BH154" s="23">
        <f>+'QTR Raw'!AB77</f>
        <v>719.71</v>
      </c>
      <c r="BI154" s="23">
        <f t="shared" si="1246"/>
        <v>719.71</v>
      </c>
      <c r="BJ154" s="23">
        <f>+'QTR Raw'!AD77</f>
        <v>656.1</v>
      </c>
      <c r="BK154" s="23">
        <f t="shared" si="1246"/>
        <v>656.1</v>
      </c>
      <c r="BL154" s="23">
        <f>+'QTR Raw'!AF77</f>
        <v>675.35</v>
      </c>
      <c r="BM154" s="23">
        <f t="shared" si="1246"/>
        <v>675.35</v>
      </c>
      <c r="BN154" s="23">
        <f>+'QTR Raw'!AH77</f>
        <v>539.34</v>
      </c>
      <c r="BO154" s="23">
        <f t="shared" si="1246"/>
        <v>539.34</v>
      </c>
      <c r="BP154" s="23">
        <f>+'QTR Raw'!AJ77</f>
        <v>624.79</v>
      </c>
      <c r="BQ154" s="23">
        <f t="shared" si="1246"/>
        <v>624.79</v>
      </c>
      <c r="BR154" s="23">
        <f>+'QTR Raw'!AL77</f>
        <v>515.9</v>
      </c>
      <c r="BS154" s="23">
        <f t="shared" si="1246"/>
        <v>515.9</v>
      </c>
      <c r="BT154" s="23">
        <f>+'QTR Raw'!AN77</f>
        <v>709.78</v>
      </c>
      <c r="BU154" s="23">
        <f t="shared" si="1246"/>
        <v>709.78</v>
      </c>
      <c r="BV154" s="23">
        <f>+'QTR Raw'!AP77</f>
        <v>831.34</v>
      </c>
      <c r="BW154" s="23">
        <f t="shared" si="1246"/>
        <v>831.34</v>
      </c>
      <c r="BX154" s="23">
        <f>+'QTR Raw'!AR77</f>
        <v>907.41</v>
      </c>
      <c r="BY154" s="23">
        <f t="shared" si="1246"/>
        <v>907.41</v>
      </c>
      <c r="BZ154" s="23">
        <f>+'QTR Raw'!AT77</f>
        <v>893.01</v>
      </c>
      <c r="CA154" s="23">
        <f t="shared" si="1246"/>
        <v>893.01</v>
      </c>
      <c r="CB154" s="23">
        <f>+'QTR Raw'!AV77</f>
        <v>894.29</v>
      </c>
      <c r="CC154" s="23">
        <f t="shared" si="1246"/>
        <v>894.29</v>
      </c>
      <c r="CD154" s="23">
        <f>+'QTR Raw'!AX77</f>
        <v>846.69</v>
      </c>
      <c r="CE154" s="23">
        <f t="shared" si="1246"/>
        <v>846.69</v>
      </c>
      <c r="CF154" s="23">
        <f>+'QTR Raw'!AZ77</f>
        <v>902.45</v>
      </c>
      <c r="CG154" s="23">
        <f t="shared" ref="CG154:CI157" si="1247">+CF154</f>
        <v>902.45</v>
      </c>
      <c r="CH154" s="23">
        <f t="shared" ref="CH154:CH169" si="1248">Z154</f>
        <v>676.45</v>
      </c>
      <c r="CI154" s="23">
        <f t="shared" si="1247"/>
        <v>676.45</v>
      </c>
      <c r="CJ154" s="23">
        <f>+'QTR Raw'!BD77</f>
        <v>733.27</v>
      </c>
      <c r="CK154" s="23">
        <f t="shared" ref="CK154" si="1249">+CJ154</f>
        <v>733.27</v>
      </c>
      <c r="CL154" s="23">
        <f>+'QTR Raw'!BF77</f>
        <v>788</v>
      </c>
      <c r="CM154" s="24">
        <f t="shared" ref="CM154" si="1250">+CL154</f>
        <v>788</v>
      </c>
      <c r="CN154" s="24">
        <f t="shared" ref="CN154" si="1251">+CM154</f>
        <v>788</v>
      </c>
      <c r="CO154" s="24">
        <f t="shared" ref="CO154" si="1252">+CN154</f>
        <v>788</v>
      </c>
      <c r="CP154" s="24">
        <f t="shared" ref="CP154" si="1253">+CO154</f>
        <v>788</v>
      </c>
      <c r="CQ154" s="24">
        <f t="shared" ref="CQ154" si="1254">+CP154</f>
        <v>788</v>
      </c>
      <c r="CR154" s="24">
        <f t="shared" ref="CR154" si="1255">+CQ154</f>
        <v>788</v>
      </c>
      <c r="CS154" s="24">
        <f t="shared" ref="CS154" si="1256">+CR154</f>
        <v>788</v>
      </c>
      <c r="CT154" s="24">
        <f t="shared" ref="CT154" si="1257">+CS154</f>
        <v>788</v>
      </c>
      <c r="CU154" s="24">
        <f t="shared" ref="CU154" si="1258">+CT154</f>
        <v>788</v>
      </c>
      <c r="CV154" s="24">
        <f t="shared" ref="CV154" si="1259">+CU154</f>
        <v>788</v>
      </c>
      <c r="CW154" s="24">
        <f t="shared" ref="CW154" si="1260">+CV154</f>
        <v>788</v>
      </c>
      <c r="CX154" s="24">
        <f t="shared" ref="CX154" si="1261">+CW154</f>
        <v>788</v>
      </c>
      <c r="CY154" s="24">
        <f t="shared" ref="CY154" si="1262">+CX154</f>
        <v>788</v>
      </c>
      <c r="CZ154" s="24">
        <f t="shared" ref="CZ154" si="1263">+CY154</f>
        <v>788</v>
      </c>
      <c r="DA154" s="24">
        <f t="shared" ref="DA154" si="1264">+CZ154</f>
        <v>788</v>
      </c>
      <c r="DB154" s="24">
        <f t="shared" ref="DB154" si="1265">+DA154</f>
        <v>788</v>
      </c>
      <c r="DE154" s="123"/>
      <c r="DF154" s="23">
        <v>733.27</v>
      </c>
    </row>
    <row r="155" spans="1:110" s="23" customFormat="1" x14ac:dyDescent="0.2">
      <c r="AB155" s="24"/>
      <c r="AC155" s="24"/>
      <c r="AD155" s="24"/>
      <c r="AE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</row>
    <row r="156" spans="1:110" s="23" customFormat="1" outlineLevel="1" x14ac:dyDescent="0.2">
      <c r="A156" s="23" t="s">
        <v>59</v>
      </c>
      <c r="B156" s="23">
        <f>'Annual Raw'!C72</f>
        <v>0</v>
      </c>
      <c r="C156" s="23">
        <f>'Annual Raw'!D72</f>
        <v>0</v>
      </c>
      <c r="D156" s="23">
        <f>'Annual Raw'!E72</f>
        <v>0</v>
      </c>
      <c r="E156" s="23">
        <f>'Annual Raw'!F72+'Annual Raw'!F61</f>
        <v>0</v>
      </c>
      <c r="F156" s="23">
        <f>'Annual Raw'!G72+'Annual Raw'!G61</f>
        <v>0</v>
      </c>
      <c r="G156" s="23">
        <f>'Annual Raw'!H72+'Annual Raw'!H61</f>
        <v>0</v>
      </c>
      <c r="H156" s="23">
        <f>'Annual Raw'!I72+'Annual Raw'!I61</f>
        <v>0</v>
      </c>
      <c r="I156" s="23">
        <f>'Annual Raw'!J72+'Annual Raw'!J61</f>
        <v>0</v>
      </c>
      <c r="J156" s="23">
        <f>'Annual Raw'!K72+'Annual Raw'!K61</f>
        <v>0</v>
      </c>
      <c r="K156" s="23">
        <f>'Annual Raw'!L72+'Annual Raw'!L61</f>
        <v>0</v>
      </c>
      <c r="L156" s="23">
        <f>'Annual Raw'!M72+'Annual Raw'!M61</f>
        <v>91.091200000000001</v>
      </c>
      <c r="M156" s="23">
        <f>'Annual Raw'!N72+'Annual Raw'!N61</f>
        <v>88.266199999999998</v>
      </c>
      <c r="N156" s="23">
        <f>'Annual Raw'!O72+'Annual Raw'!O61</f>
        <v>83.644999999999996</v>
      </c>
      <c r="O156" s="23">
        <f>'Annual Raw'!P72+'Annual Raw'!P61</f>
        <v>135.79</v>
      </c>
      <c r="P156" s="23">
        <f>'Annual Raw'!Q72+'Annual Raw'!Q61</f>
        <v>1505.28</v>
      </c>
      <c r="Q156" s="23">
        <f>'Annual Raw'!R72+'Annual Raw'!R61</f>
        <v>185.05</v>
      </c>
      <c r="R156" s="23">
        <f>'Annual Raw'!S72+'Annual Raw'!S61</f>
        <v>196.91</v>
      </c>
      <c r="S156" s="23">
        <f>'Annual Raw'!T72+'Annual Raw'!T61</f>
        <v>277.55</v>
      </c>
      <c r="T156" s="23">
        <f>'Annual Raw'!U72+'Annual Raw'!U61</f>
        <v>139.68</v>
      </c>
      <c r="U156" s="23">
        <f>'Annual Raw'!V72+'Annual Raw'!V61</f>
        <v>204.78</v>
      </c>
      <c r="V156" s="23">
        <f>'Annual Raw'!W72+'Annual Raw'!W61</f>
        <v>198.2</v>
      </c>
      <c r="W156" s="23">
        <f>'Annual Raw'!X72+'Annual Raw'!X61</f>
        <v>190.84</v>
      </c>
      <c r="X156" s="23">
        <f>'Annual Raw'!Y72+'Annual Raw'!Y61</f>
        <v>219.03</v>
      </c>
      <c r="Y156" s="23">
        <f>'Annual Raw'!Z72+'Annual Raw'!Z61</f>
        <v>157.19999999999999</v>
      </c>
      <c r="Z156" s="23">
        <f>'Annual Raw'!AA72+'Annual Raw'!AA61</f>
        <v>414.84</v>
      </c>
      <c r="AA156" s="23">
        <f>'Annual Raw'!AB72+'Annual Raw'!AB61</f>
        <v>656.46</v>
      </c>
      <c r="AB156" s="24">
        <f t="shared" ref="AB156:AB161" si="1266">+CP156</f>
        <v>0</v>
      </c>
      <c r="AC156" s="24">
        <f t="shared" ref="AC156:AC161" si="1267">+CT156</f>
        <v>0</v>
      </c>
      <c r="AD156" s="24">
        <f t="shared" ref="AD156:AD161" si="1268">+CX156</f>
        <v>0</v>
      </c>
      <c r="AE156" s="24">
        <f t="shared" ref="AE156:AE161" si="1269">+DB156</f>
        <v>0</v>
      </c>
      <c r="AJ156" s="23">
        <f>+'QTR Raw'!D78</f>
        <v>92.62</v>
      </c>
      <c r="AK156" s="23">
        <f t="shared" ref="AK156:CE161" si="1270">+AJ156</f>
        <v>92.62</v>
      </c>
      <c r="AL156" s="23">
        <f>+'QTR Raw'!F78</f>
        <v>83.64</v>
      </c>
      <c r="AM156" s="23">
        <f t="shared" si="1270"/>
        <v>83.64</v>
      </c>
      <c r="AN156" s="23">
        <f>+'QTR Raw'!H78</f>
        <v>196.97</v>
      </c>
      <c r="AO156" s="23">
        <f t="shared" si="1270"/>
        <v>196.97</v>
      </c>
      <c r="AP156" s="23">
        <f>+'QTR Raw'!J78</f>
        <v>135.79</v>
      </c>
      <c r="AQ156" s="23">
        <f t="shared" si="1270"/>
        <v>135.79</v>
      </c>
      <c r="AR156" s="23">
        <f>+'QTR Raw'!L78</f>
        <v>172.38</v>
      </c>
      <c r="AS156" s="23">
        <f t="shared" si="1270"/>
        <v>172.38</v>
      </c>
      <c r="AT156" s="23">
        <f>+'QTR Raw'!N78</f>
        <v>189.32</v>
      </c>
      <c r="AU156" s="23">
        <f t="shared" si="1270"/>
        <v>189.32</v>
      </c>
      <c r="AV156" s="23">
        <f>+'QTR Raw'!P78</f>
        <v>202.69</v>
      </c>
      <c r="AW156" s="23">
        <f t="shared" si="1270"/>
        <v>202.69</v>
      </c>
      <c r="AX156" s="23">
        <f>+'QTR Raw'!R78</f>
        <v>58.72</v>
      </c>
      <c r="AY156" s="23">
        <f t="shared" si="1270"/>
        <v>58.72</v>
      </c>
      <c r="AZ156" s="23">
        <f>+'QTR Raw'!T78</f>
        <v>111.78</v>
      </c>
      <c r="BA156" s="23">
        <f t="shared" si="1270"/>
        <v>111.78</v>
      </c>
      <c r="BB156" s="23">
        <f>+'QTR Raw'!V78</f>
        <v>58.7</v>
      </c>
      <c r="BC156" s="23">
        <f t="shared" si="1270"/>
        <v>58.7</v>
      </c>
      <c r="BD156" s="23">
        <f>+'QTR Raw'!X78</f>
        <v>95.33</v>
      </c>
      <c r="BE156" s="23">
        <f t="shared" si="1270"/>
        <v>95.33</v>
      </c>
      <c r="BF156" s="23">
        <f>+'QTR Raw'!Z78</f>
        <v>21.02</v>
      </c>
      <c r="BG156" s="23">
        <f t="shared" si="1270"/>
        <v>21.02</v>
      </c>
      <c r="BH156" s="23">
        <f>+'QTR Raw'!AB78</f>
        <v>19.28</v>
      </c>
      <c r="BI156" s="23">
        <f t="shared" si="1270"/>
        <v>19.28</v>
      </c>
      <c r="BJ156" s="23">
        <f>+'QTR Raw'!AD78</f>
        <v>17.09</v>
      </c>
      <c r="BK156" s="23">
        <f t="shared" si="1270"/>
        <v>17.09</v>
      </c>
      <c r="BL156" s="23">
        <f>+'QTR Raw'!AF78</f>
        <v>20.11</v>
      </c>
      <c r="BM156" s="23">
        <f t="shared" si="1270"/>
        <v>20.11</v>
      </c>
      <c r="BN156" s="23">
        <f>+'QTR Raw'!AH78</f>
        <v>22.5</v>
      </c>
      <c r="BO156" s="23">
        <f t="shared" si="1270"/>
        <v>22.5</v>
      </c>
      <c r="BP156" s="23">
        <f>+'QTR Raw'!AJ78</f>
        <v>22.99</v>
      </c>
      <c r="BQ156" s="23">
        <f t="shared" si="1270"/>
        <v>22.99</v>
      </c>
      <c r="BR156" s="23">
        <f>+'QTR Raw'!AL78</f>
        <v>21.87</v>
      </c>
      <c r="BS156" s="23">
        <f t="shared" si="1270"/>
        <v>21.87</v>
      </c>
      <c r="BT156" s="23">
        <f>+'QTR Raw'!AN78</f>
        <v>20.16</v>
      </c>
      <c r="BU156" s="23">
        <f t="shared" si="1270"/>
        <v>20.16</v>
      </c>
      <c r="BV156" s="23">
        <f>+'QTR Raw'!AP78</f>
        <v>14.01</v>
      </c>
      <c r="BW156" s="23">
        <f t="shared" si="1270"/>
        <v>14.01</v>
      </c>
      <c r="BX156" s="23">
        <f>+'QTR Raw'!AR78</f>
        <v>14.98</v>
      </c>
      <c r="BY156" s="23">
        <f t="shared" si="1270"/>
        <v>14.98</v>
      </c>
      <c r="BZ156" s="23">
        <f>+'QTR Raw'!AT78</f>
        <v>12.52</v>
      </c>
      <c r="CA156" s="23">
        <f t="shared" si="1270"/>
        <v>12.52</v>
      </c>
      <c r="CB156" s="23">
        <f>+'QTR Raw'!AV78</f>
        <v>10.07</v>
      </c>
      <c r="CC156" s="23">
        <f t="shared" si="1270"/>
        <v>10.07</v>
      </c>
      <c r="CD156" s="23">
        <f>+'QTR Raw'!AX78</f>
        <v>6.98</v>
      </c>
      <c r="CE156" s="23">
        <f t="shared" si="1270"/>
        <v>6.98</v>
      </c>
      <c r="CF156" s="23">
        <f>+'QTR Raw'!AZ78</f>
        <v>4.74</v>
      </c>
      <c r="CG156" s="23">
        <f t="shared" si="1247"/>
        <v>4.74</v>
      </c>
      <c r="CH156" s="23">
        <f t="shared" si="1248"/>
        <v>414.84</v>
      </c>
      <c r="CJ156" s="23">
        <f>+'QTR Raw'!BD78</f>
        <v>0.93</v>
      </c>
      <c r="CL156" s="23">
        <f>+'QTR Raw'!BF78</f>
        <v>248.39</v>
      </c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E156" s="123"/>
      <c r="DF156" s="23">
        <v>248.39</v>
      </c>
    </row>
    <row r="157" spans="1:110" s="23" customFormat="1" outlineLevel="1" x14ac:dyDescent="0.2">
      <c r="A157" s="23" t="s">
        <v>60</v>
      </c>
      <c r="B157" s="23">
        <f>'Annual Raw'!C73+'Annual Raw'!C81</f>
        <v>0</v>
      </c>
      <c r="C157" s="23">
        <f>'Annual Raw'!D73+'Annual Raw'!D81</f>
        <v>0</v>
      </c>
      <c r="D157" s="23">
        <f>'Annual Raw'!E73+'Annual Raw'!E81</f>
        <v>0</v>
      </c>
      <c r="E157" s="23">
        <f>'Annual Raw'!F73+'Annual Raw'!F81</f>
        <v>0</v>
      </c>
      <c r="F157" s="23">
        <f>'Annual Raw'!G73+'Annual Raw'!G81</f>
        <v>0</v>
      </c>
      <c r="G157" s="23">
        <f>'Annual Raw'!H73+'Annual Raw'!H81</f>
        <v>0</v>
      </c>
      <c r="H157" s="23">
        <f>'Annual Raw'!I73+'Annual Raw'!I81</f>
        <v>0</v>
      </c>
      <c r="I157" s="23">
        <f>'Annual Raw'!J73+'Annual Raw'!J81</f>
        <v>0</v>
      </c>
      <c r="J157" s="23">
        <f>'Annual Raw'!K73+'Annual Raw'!K81</f>
        <v>0</v>
      </c>
      <c r="K157" s="23">
        <f>'Annual Raw'!L73+'Annual Raw'!L81</f>
        <v>0</v>
      </c>
      <c r="L157" s="23">
        <f>'Annual Raw'!M73+'Annual Raw'!M81</f>
        <v>4.1984000000000004</v>
      </c>
      <c r="M157" s="23">
        <f>'Annual Raw'!N73+'Annual Raw'!N81</f>
        <v>33.320799999999998</v>
      </c>
      <c r="N157" s="23">
        <f>'Annual Raw'!O73+'Annual Raw'!O81</f>
        <v>0</v>
      </c>
      <c r="O157" s="23">
        <f>'Annual Raw'!P73+'Annual Raw'!P81</f>
        <v>70.5</v>
      </c>
      <c r="P157" s="23">
        <f>'Annual Raw'!Q73+'Annual Raw'!Q81</f>
        <v>70.5</v>
      </c>
      <c r="Q157" s="23">
        <f>'Annual Raw'!R73+'Annual Raw'!R81</f>
        <v>73.36</v>
      </c>
      <c r="R157" s="23">
        <f>'Annual Raw'!S73+'Annual Raw'!S81</f>
        <v>131.92000000000002</v>
      </c>
      <c r="S157" s="23">
        <f>'Annual Raw'!T73+'Annual Raw'!T81</f>
        <v>159.6</v>
      </c>
      <c r="T157" s="23">
        <f>'Annual Raw'!U73+'Annual Raw'!U81</f>
        <v>287.98</v>
      </c>
      <c r="U157" s="23">
        <f>'Annual Raw'!V73+'Annual Raw'!V81</f>
        <v>345.51</v>
      </c>
      <c r="V157" s="23">
        <f>'Annual Raw'!W73+'Annual Raw'!W81</f>
        <v>352.28</v>
      </c>
      <c r="W157" s="23">
        <f>'Annual Raw'!X73+'Annual Raw'!X81</f>
        <v>302.77999999999997</v>
      </c>
      <c r="X157" s="23">
        <f>'Annual Raw'!Y73+'Annual Raw'!Y81</f>
        <v>191.71</v>
      </c>
      <c r="Y157" s="23">
        <f>'Annual Raw'!Z73+'Annual Raw'!Z81</f>
        <v>115.55</v>
      </c>
      <c r="Z157" s="23">
        <f>'Annual Raw'!AA73+'Annual Raw'!AA81</f>
        <v>74.739999999999995</v>
      </c>
      <c r="AA157" s="23">
        <f>'Annual Raw'!AB73+'Annual Raw'!AB81</f>
        <v>230.78</v>
      </c>
      <c r="AB157" s="24">
        <f t="shared" si="1266"/>
        <v>0</v>
      </c>
      <c r="AC157" s="24">
        <f t="shared" si="1267"/>
        <v>0</v>
      </c>
      <c r="AD157" s="24">
        <f t="shared" si="1268"/>
        <v>0</v>
      </c>
      <c r="AE157" s="24">
        <f t="shared" si="1269"/>
        <v>0</v>
      </c>
      <c r="AJ157" s="23">
        <f>+'QTR Raw'!D79+'QTR Raw'!D76</f>
        <v>37.04</v>
      </c>
      <c r="AK157" s="23">
        <f t="shared" si="1270"/>
        <v>37.04</v>
      </c>
      <c r="AL157" s="23">
        <f>+'QTR Raw'!F79+'QTR Raw'!F76</f>
        <v>0</v>
      </c>
      <c r="AM157" s="23">
        <f t="shared" si="1270"/>
        <v>0</v>
      </c>
      <c r="AN157" s="23">
        <f>+'QTR Raw'!H79+'QTR Raw'!H76</f>
        <v>5.34</v>
      </c>
      <c r="AO157" s="23">
        <f t="shared" si="1270"/>
        <v>5.34</v>
      </c>
      <c r="AP157" s="23">
        <f>+'QTR Raw'!J79+'QTR Raw'!J76</f>
        <v>70.5</v>
      </c>
      <c r="AQ157" s="23">
        <f t="shared" si="1270"/>
        <v>70.5</v>
      </c>
      <c r="AR157" s="23">
        <f>+'QTR Raw'!L79+'QTR Raw'!L76</f>
        <v>70.5</v>
      </c>
      <c r="AS157" s="23">
        <f t="shared" si="1270"/>
        <v>70.5</v>
      </c>
      <c r="AT157" s="23">
        <f>+'QTR Raw'!N79+'QTR Raw'!N76</f>
        <v>70.5</v>
      </c>
      <c r="AU157" s="23">
        <f t="shared" si="1270"/>
        <v>70.5</v>
      </c>
      <c r="AV157" s="23">
        <f>+'QTR Raw'!P79+'QTR Raw'!P76</f>
        <v>70.56</v>
      </c>
      <c r="AW157" s="23">
        <f t="shared" si="1270"/>
        <v>70.56</v>
      </c>
      <c r="AX157" s="23">
        <f>+'QTR Raw'!R79+'QTR Raw'!R76</f>
        <v>199.69</v>
      </c>
      <c r="AY157" s="23">
        <f t="shared" si="1270"/>
        <v>199.69</v>
      </c>
      <c r="AZ157" s="23">
        <f>+'QTR Raw'!T79+'QTR Raw'!T76</f>
        <v>108.56</v>
      </c>
      <c r="BA157" s="23">
        <f t="shared" si="1270"/>
        <v>108.56</v>
      </c>
      <c r="BB157" s="23">
        <f>+'QTR Raw'!V79+'QTR Raw'!V76</f>
        <v>218.3</v>
      </c>
      <c r="BC157" s="23">
        <f t="shared" si="1270"/>
        <v>218.3</v>
      </c>
      <c r="BD157" s="23">
        <f>+'QTR Raw'!X79+'QTR Raw'!X76</f>
        <v>209.34</v>
      </c>
      <c r="BE157" s="23">
        <f t="shared" si="1270"/>
        <v>209.34</v>
      </c>
      <c r="BF157" s="23">
        <f>+'QTR Raw'!Z79+'QTR Raw'!Z76</f>
        <v>378.27</v>
      </c>
      <c r="BG157" s="23">
        <f t="shared" si="1270"/>
        <v>378.27</v>
      </c>
      <c r="BH157" s="23">
        <f>+'QTR Raw'!AB79+'QTR Raw'!AB76</f>
        <v>334.87</v>
      </c>
      <c r="BI157" s="23">
        <f t="shared" si="1270"/>
        <v>334.87</v>
      </c>
      <c r="BJ157" s="23">
        <f>+'QTR Raw'!AD79+'QTR Raw'!AD76</f>
        <v>373.4</v>
      </c>
      <c r="BK157" s="23">
        <f t="shared" si="1270"/>
        <v>373.4</v>
      </c>
      <c r="BL157" s="23">
        <f>+'QTR Raw'!AF79+'QTR Raw'!AF76</f>
        <v>602.04999999999995</v>
      </c>
      <c r="BM157" s="23">
        <f t="shared" si="1270"/>
        <v>602.04999999999995</v>
      </c>
      <c r="BN157" s="23">
        <f>+'QTR Raw'!AH79+'QTR Raw'!AH76</f>
        <v>821.25</v>
      </c>
      <c r="BO157" s="23">
        <f t="shared" si="1270"/>
        <v>821.25</v>
      </c>
      <c r="BP157" s="23">
        <f>+'QTR Raw'!AJ79+'QTR Raw'!AJ76</f>
        <v>809.53</v>
      </c>
      <c r="BQ157" s="23">
        <f t="shared" si="1270"/>
        <v>809.53</v>
      </c>
      <c r="BR157" s="23">
        <f>+'QTR Raw'!AL79+'QTR Raw'!AL76</f>
        <v>915.02</v>
      </c>
      <c r="BS157" s="23">
        <f t="shared" si="1270"/>
        <v>915.02</v>
      </c>
      <c r="BT157" s="23">
        <f>+'QTR Raw'!AN79+'QTR Raw'!AN76</f>
        <v>853.93</v>
      </c>
      <c r="BU157" s="23">
        <f t="shared" si="1270"/>
        <v>853.93</v>
      </c>
      <c r="BV157" s="23">
        <f>+'QTR Raw'!AP79+'QTR Raw'!AP76</f>
        <v>858.05</v>
      </c>
      <c r="BW157" s="23">
        <f t="shared" si="1270"/>
        <v>858.05</v>
      </c>
      <c r="BX157" s="23">
        <f>+'QTR Raw'!AR79+'QTR Raw'!AR76</f>
        <v>793.1</v>
      </c>
      <c r="BY157" s="23">
        <f t="shared" si="1270"/>
        <v>793.1</v>
      </c>
      <c r="BZ157" s="23">
        <f>+'QTR Raw'!AT79+'QTR Raw'!AT76</f>
        <v>782.26</v>
      </c>
      <c r="CA157" s="23">
        <f t="shared" si="1270"/>
        <v>782.26</v>
      </c>
      <c r="CB157" s="23">
        <f>+'QTR Raw'!AV79+'QTR Raw'!AV76</f>
        <v>705.57</v>
      </c>
      <c r="CC157" s="23">
        <f t="shared" si="1270"/>
        <v>705.57</v>
      </c>
      <c r="CD157" s="23">
        <f>+'QTR Raw'!AX79+'QTR Raw'!AX76</f>
        <v>771.62</v>
      </c>
      <c r="CE157" s="23">
        <f t="shared" si="1270"/>
        <v>771.62</v>
      </c>
      <c r="CF157" s="23">
        <f>+'QTR Raw'!AZ79+'QTR Raw'!AZ76</f>
        <v>901.28</v>
      </c>
      <c r="CG157" s="23">
        <f t="shared" si="1247"/>
        <v>901.28</v>
      </c>
      <c r="CH157" s="23">
        <f t="shared" si="1248"/>
        <v>74.739999999999995</v>
      </c>
      <c r="CJ157" s="23">
        <f>+'QTR Raw'!BD79+'QTR Raw'!BD76</f>
        <v>1310.6600000000001</v>
      </c>
      <c r="CL157" s="23">
        <f>+'QTR Raw'!BF79+'QTR Raw'!BF76</f>
        <v>1287.1600000000001</v>
      </c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  <c r="DF157" s="23">
        <v>1287.1600000000001</v>
      </c>
    </row>
    <row r="158" spans="1:110" s="23" customFormat="1" outlineLevel="1" x14ac:dyDescent="0.2">
      <c r="A158" s="23" t="s">
        <v>61</v>
      </c>
      <c r="B158" s="23">
        <f>'Annual Raw'!C76</f>
        <v>141.4539</v>
      </c>
      <c r="C158" s="23">
        <f>'Annual Raw'!D76</f>
        <v>352.82780000000002</v>
      </c>
      <c r="D158" s="23">
        <f>'Annual Raw'!E76</f>
        <v>348.18150000000003</v>
      </c>
      <c r="E158" s="23">
        <f>'Annual Raw'!F76</f>
        <v>376.48110000000003</v>
      </c>
      <c r="F158" s="23">
        <f>'Annual Raw'!G76</f>
        <v>437.76909999999998</v>
      </c>
      <c r="G158" s="23">
        <f>'Annual Raw'!H76</f>
        <v>424.07229999999998</v>
      </c>
      <c r="H158" s="23">
        <f>'Annual Raw'!I76</f>
        <v>524.32899999999995</v>
      </c>
      <c r="I158" s="23">
        <f>'Annual Raw'!J76</f>
        <v>545.02710000000002</v>
      </c>
      <c r="J158" s="23">
        <f>'Annual Raw'!K76</f>
        <v>744.43899999999996</v>
      </c>
      <c r="K158" s="23">
        <f>'Annual Raw'!L76</f>
        <v>921.65179999999998</v>
      </c>
      <c r="L158" s="23">
        <f>'Annual Raw'!M76</f>
        <v>1069.6528000000001</v>
      </c>
      <c r="M158" s="23">
        <f>'Annual Raw'!N76</f>
        <v>1160.7313999999999</v>
      </c>
      <c r="N158" s="23">
        <f>'Annual Raw'!O76</f>
        <v>1382.9227000000001</v>
      </c>
      <c r="O158" s="23">
        <f>'Annual Raw'!P76</f>
        <v>1518.4586999999999</v>
      </c>
      <c r="P158" s="23">
        <f>'Annual Raw'!Q76</f>
        <v>1625.3</v>
      </c>
      <c r="Q158" s="23">
        <f>'Annual Raw'!R76</f>
        <v>1629.01</v>
      </c>
      <c r="R158" s="23">
        <f>'Annual Raw'!S76</f>
        <v>1452.96</v>
      </c>
      <c r="S158" s="23">
        <f>'Annual Raw'!T76</f>
        <v>1448.31</v>
      </c>
      <c r="T158" s="23">
        <f>'Annual Raw'!U76</f>
        <v>1609.86</v>
      </c>
      <c r="U158" s="23">
        <f>'Annual Raw'!V76</f>
        <v>1712.03</v>
      </c>
      <c r="V158" s="23">
        <f>'Annual Raw'!W76</f>
        <v>2249.16</v>
      </c>
      <c r="W158" s="23">
        <f>'Annual Raw'!X76</f>
        <v>2266.5100000000002</v>
      </c>
      <c r="X158" s="23">
        <f>'Annual Raw'!Y76</f>
        <v>2701.67</v>
      </c>
      <c r="Y158" s="23">
        <f>'Annual Raw'!Z76</f>
        <v>2769.35</v>
      </c>
      <c r="Z158" s="23">
        <f>'Annual Raw'!AA76</f>
        <v>3599.91</v>
      </c>
      <c r="AA158" s="23">
        <f>'Annual Raw'!AB76</f>
        <v>3526.76</v>
      </c>
      <c r="AB158" s="24">
        <f t="shared" si="1266"/>
        <v>4019.0674728145573</v>
      </c>
      <c r="AC158" s="24">
        <f t="shared" si="1267"/>
        <v>4557.7281284354867</v>
      </c>
      <c r="AD158" s="24">
        <f t="shared" si="1268"/>
        <v>5185.4234856704825</v>
      </c>
      <c r="AE158" s="24">
        <f t="shared" si="1269"/>
        <v>5910.6709866780893</v>
      </c>
      <c r="AJ158" s="23">
        <f>+'QTR Raw'!D81</f>
        <v>1453.44</v>
      </c>
      <c r="AK158" s="23">
        <f>+AK193*AK24/90</f>
        <v>1489.6639691144535</v>
      </c>
      <c r="AL158" s="23">
        <f>+'QTR Raw'!F81</f>
        <v>1382.92</v>
      </c>
      <c r="AM158" s="23">
        <f>+AM193*AM24/90</f>
        <v>1355.9719400919168</v>
      </c>
      <c r="AN158" s="23">
        <f>+'QTR Raw'!H81</f>
        <v>1801.53</v>
      </c>
      <c r="AO158" s="23">
        <f>+AO193*AO24/90</f>
        <v>1938.7402673935076</v>
      </c>
      <c r="AP158" s="23">
        <f>+'QTR Raw'!J81</f>
        <v>1518.46</v>
      </c>
      <c r="AQ158" s="23">
        <f>+AQ193*AQ24/90</f>
        <v>1519.040375092281</v>
      </c>
      <c r="AR158" s="23">
        <f>+'QTR Raw'!L81</f>
        <v>1756.12</v>
      </c>
      <c r="AS158" s="23">
        <f>+AS193*AS24/90</f>
        <v>1862.1614398637</v>
      </c>
      <c r="AT158" s="23">
        <f>+'QTR Raw'!N81</f>
        <v>1625.3</v>
      </c>
      <c r="AU158" s="23">
        <f>+AU193*AU24/90</f>
        <v>1413.5667719033625</v>
      </c>
      <c r="AV158" s="23">
        <f>+'QTR Raw'!P81</f>
        <v>1851.07</v>
      </c>
      <c r="AW158" s="23">
        <f>+AW193*AW24/90</f>
        <v>1884.511116056186</v>
      </c>
      <c r="AX158" s="23">
        <f>+'QTR Raw'!R81</f>
        <v>1629.01</v>
      </c>
      <c r="AY158" s="23">
        <f>+AY193*AY24/90</f>
        <v>1768.7500826477306</v>
      </c>
      <c r="AZ158" s="23">
        <f>+'QTR Raw'!T81</f>
        <v>1497.7</v>
      </c>
      <c r="BA158" s="23">
        <f>+BA193*BA24/90</f>
        <v>1607.7712155595568</v>
      </c>
      <c r="BB158" s="23">
        <f>+'QTR Raw'!V81</f>
        <v>1452.96</v>
      </c>
      <c r="BC158" s="23">
        <f>+BC193*BC24/90</f>
        <v>1472.3533019019364</v>
      </c>
      <c r="BD158" s="23">
        <f>+'QTR Raw'!X81</f>
        <v>1385.58</v>
      </c>
      <c r="BE158" s="23">
        <f>+BE193*BE24/90</f>
        <v>1416.9003606084602</v>
      </c>
      <c r="BF158" s="23">
        <f>+'QTR Raw'!Z81</f>
        <v>1448.31</v>
      </c>
      <c r="BG158" s="23">
        <f>+BG193*BG24/90</f>
        <v>1546.2622144633972</v>
      </c>
      <c r="BH158" s="23">
        <f>+'QTR Raw'!AB81</f>
        <v>1689.27</v>
      </c>
      <c r="BI158" s="23">
        <f>+BI193*BI24/90</f>
        <v>1834.8112107083432</v>
      </c>
      <c r="BJ158" s="23">
        <f>+'QTR Raw'!AD81</f>
        <v>1609.86</v>
      </c>
      <c r="BK158" s="23">
        <f>+BK193*BK24/90</f>
        <v>2169.220748200466</v>
      </c>
      <c r="BL158" s="23">
        <f>+'QTR Raw'!AF81</f>
        <v>1628.55</v>
      </c>
      <c r="BM158" s="23">
        <f>+BM193*BM24/90</f>
        <v>1729.7779819093594</v>
      </c>
      <c r="BN158" s="23">
        <f>+'QTR Raw'!AH81</f>
        <v>1712.03</v>
      </c>
      <c r="BO158" s="23">
        <f>+BO193*BO24/90</f>
        <v>1931.907434543436</v>
      </c>
      <c r="BP158" s="23">
        <f>+'QTR Raw'!AJ81</f>
        <v>2574.73</v>
      </c>
      <c r="BQ158" s="23">
        <f>+BQ193*BQ24/90</f>
        <v>2841.5397681692994</v>
      </c>
      <c r="BR158" s="23">
        <f>+'QTR Raw'!AL81</f>
        <v>2249.16</v>
      </c>
      <c r="BS158" s="23">
        <f>+BS193*BS24/90</f>
        <v>2227.8622864329882</v>
      </c>
      <c r="BT158" s="23">
        <f>+'QTR Raw'!AN81</f>
        <v>2281.9299999999998</v>
      </c>
      <c r="BU158" s="23">
        <f>+BU193*BU24/90</f>
        <v>2413.784674988131</v>
      </c>
      <c r="BV158" s="23">
        <f>+'QTR Raw'!AP81</f>
        <v>2266.5100000000002</v>
      </c>
      <c r="BW158" s="23">
        <f>+BW193*BW24/90</f>
        <v>2374.5889391606129</v>
      </c>
      <c r="BX158" s="23">
        <f>+'QTR Raw'!AR81</f>
        <v>2581.86</v>
      </c>
      <c r="BY158" s="23">
        <f>+BY193*BY24/90</f>
        <v>2667.4600921782312</v>
      </c>
      <c r="BZ158" s="23">
        <f>+'QTR Raw'!AT81</f>
        <v>2701.67</v>
      </c>
      <c r="CA158" s="23">
        <f>+CA193*CA24/90</f>
        <v>2793.1110695464986</v>
      </c>
      <c r="CB158" s="23">
        <f>+'QTR Raw'!AV81</f>
        <v>2621.29</v>
      </c>
      <c r="CC158" s="23">
        <f>+CC193*CC24/90</f>
        <v>2670.5315944699473</v>
      </c>
      <c r="CD158" s="23">
        <f>+'QTR Raw'!AX81</f>
        <v>2769.35</v>
      </c>
      <c r="CE158" s="23">
        <f>+CE193*CE24/90</f>
        <v>3069.1594611835162</v>
      </c>
      <c r="CF158" s="23">
        <f>+'QTR Raw'!AZ81</f>
        <v>3305.88</v>
      </c>
      <c r="CG158" s="23">
        <f>+CG193*CG24/90</f>
        <v>3485.5974404252042</v>
      </c>
      <c r="CH158" s="23">
        <f t="shared" si="1248"/>
        <v>3599.91</v>
      </c>
      <c r="CI158" s="23">
        <f>+CI193*CI24/90</f>
        <v>3733.251862562985</v>
      </c>
      <c r="CJ158" s="23">
        <f>+'QTR Raw'!BD81</f>
        <v>3559.34</v>
      </c>
      <c r="CK158" s="23">
        <f t="shared" ref="CK158:DB158" si="1271">+CK193*CK24/90</f>
        <v>3664.0580921887276</v>
      </c>
      <c r="CL158" s="23">
        <f>+'QTR Raw'!BF81</f>
        <v>3526.76</v>
      </c>
      <c r="CM158" s="24">
        <f t="shared" si="1271"/>
        <v>3534.0226216360388</v>
      </c>
      <c r="CN158" s="24">
        <f t="shared" si="1271"/>
        <v>3708.5401236822595</v>
      </c>
      <c r="CO158" s="24">
        <f t="shared" si="1271"/>
        <v>3788.1846901598747</v>
      </c>
      <c r="CP158" s="24">
        <f t="shared" si="1271"/>
        <v>4019.0674728145573</v>
      </c>
      <c r="CQ158" s="24">
        <f t="shared" si="1271"/>
        <v>4015.2121466577323</v>
      </c>
      <c r="CR158" s="24">
        <f t="shared" si="1271"/>
        <v>4216.5319706813643</v>
      </c>
      <c r="CS158" s="24">
        <f t="shared" si="1271"/>
        <v>4290.1222064150606</v>
      </c>
      <c r="CT158" s="24">
        <f t="shared" si="1271"/>
        <v>4557.7281284354867</v>
      </c>
      <c r="CU158" s="24">
        <f t="shared" si="1271"/>
        <v>4557.2467178843117</v>
      </c>
      <c r="CV158" s="24">
        <f t="shared" si="1271"/>
        <v>4790.4427653325783</v>
      </c>
      <c r="CW158" s="24">
        <f t="shared" si="1271"/>
        <v>4864.8147545028805</v>
      </c>
      <c r="CX158" s="24">
        <f t="shared" si="1271"/>
        <v>5185.4234856704825</v>
      </c>
      <c r="CY158" s="24">
        <f t="shared" si="1271"/>
        <v>5176.2255268033077</v>
      </c>
      <c r="CZ158" s="24">
        <f t="shared" si="1271"/>
        <v>5449.0894780608814</v>
      </c>
      <c r="DA158" s="24">
        <f t="shared" si="1271"/>
        <v>5525.1371759089552</v>
      </c>
      <c r="DB158" s="24">
        <f t="shared" si="1271"/>
        <v>5910.6709866780893</v>
      </c>
      <c r="DE158" s="123"/>
      <c r="DF158" s="23">
        <v>3825.0604335692337</v>
      </c>
    </row>
    <row r="159" spans="1:110" s="23" customFormat="1" outlineLevel="1" x14ac:dyDescent="0.2">
      <c r="A159" s="23" t="s">
        <v>62</v>
      </c>
      <c r="B159" s="23">
        <f>'Annual Raw'!C77</f>
        <v>60.672199999999997</v>
      </c>
      <c r="C159" s="23">
        <f>'Annual Raw'!D77</f>
        <v>277.37439999999998</v>
      </c>
      <c r="D159" s="23">
        <f>'Annual Raw'!E77</f>
        <v>278.82299999999998</v>
      </c>
      <c r="E159" s="23">
        <f>'Annual Raw'!F77</f>
        <v>271.09480000000002</v>
      </c>
      <c r="F159" s="23">
        <f>'Annual Raw'!G77</f>
        <v>298.11180000000002</v>
      </c>
      <c r="G159" s="23">
        <f>'Annual Raw'!H77</f>
        <v>347.85390000000001</v>
      </c>
      <c r="H159" s="23">
        <f>'Annual Raw'!I77</f>
        <v>426.75330000000002</v>
      </c>
      <c r="I159" s="23">
        <f>'Annual Raw'!J77</f>
        <v>448.13920000000002</v>
      </c>
      <c r="J159" s="23">
        <f>'Annual Raw'!K77</f>
        <v>449.98259999999999</v>
      </c>
      <c r="K159" s="23">
        <f>'Annual Raw'!L77</f>
        <v>519.72140000000002</v>
      </c>
      <c r="L159" s="23">
        <f>'Annual Raw'!M77</f>
        <v>573.26279999999997</v>
      </c>
      <c r="M159" s="23">
        <f>'Annual Raw'!N77</f>
        <v>651.81280000000004</v>
      </c>
      <c r="N159" s="23">
        <f>'Annual Raw'!O77</f>
        <v>712.92169999999999</v>
      </c>
      <c r="O159" s="23">
        <f>'Annual Raw'!P77</f>
        <v>654.34799999999996</v>
      </c>
      <c r="P159" s="23">
        <f>'Annual Raw'!Q77</f>
        <v>616.09</v>
      </c>
      <c r="Q159" s="23">
        <f>'Annual Raw'!R77</f>
        <v>592.42999999999995</v>
      </c>
      <c r="R159" s="23">
        <f>'Annual Raw'!S77</f>
        <v>592.45000000000005</v>
      </c>
      <c r="S159" s="23">
        <f>'Annual Raw'!T77</f>
        <v>648.28</v>
      </c>
      <c r="T159" s="23">
        <f>'Annual Raw'!U77</f>
        <v>680.55</v>
      </c>
      <c r="U159" s="23">
        <f>'Annual Raw'!V77</f>
        <v>922.41</v>
      </c>
      <c r="V159" s="23">
        <f>'Annual Raw'!W77</f>
        <v>761.32</v>
      </c>
      <c r="W159" s="23">
        <f>'Annual Raw'!X77</f>
        <v>835.15</v>
      </c>
      <c r="X159" s="23">
        <f>'Annual Raw'!Y77</f>
        <v>798.33</v>
      </c>
      <c r="Y159" s="23">
        <f>'Annual Raw'!Z77</f>
        <v>896.75</v>
      </c>
      <c r="Z159" s="23">
        <f>'Annual Raw'!AA77</f>
        <v>869.79</v>
      </c>
      <c r="AA159" s="23">
        <f>'Annual Raw'!AB77</f>
        <v>1148.33</v>
      </c>
      <c r="AB159" s="24">
        <f t="shared" si="1266"/>
        <v>1308.6276783952237</v>
      </c>
      <c r="AC159" s="24">
        <f t="shared" si="1267"/>
        <v>1484.0181758118845</v>
      </c>
      <c r="AD159" s="24">
        <f t="shared" si="1268"/>
        <v>1688.3987998332702</v>
      </c>
      <c r="AE159" s="24">
        <f t="shared" si="1269"/>
        <v>1924.5428705474853</v>
      </c>
      <c r="AJ159" s="23">
        <f>+'QTR Raw'!D82</f>
        <v>834.54</v>
      </c>
      <c r="AK159" s="23">
        <f>+AK194*AK24/90</f>
        <v>855.3391738116303</v>
      </c>
      <c r="AL159" s="23">
        <f>+'QTR Raw'!F82</f>
        <v>712.92</v>
      </c>
      <c r="AM159" s="23">
        <f>+AM194*AM24/90</f>
        <v>699.02779302514193</v>
      </c>
      <c r="AN159" s="23">
        <f>+'QTR Raw'!H82</f>
        <v>807.71</v>
      </c>
      <c r="AO159" s="23">
        <f>+AO194*AO24/90</f>
        <v>869.22776827275163</v>
      </c>
      <c r="AP159" s="23">
        <f>+'QTR Raw'!J82</f>
        <v>654.35</v>
      </c>
      <c r="AQ159" s="23">
        <f>+AQ194*AQ24/90</f>
        <v>654.60010105082381</v>
      </c>
      <c r="AR159" s="23">
        <f>+'QTR Raw'!L82</f>
        <v>810.24</v>
      </c>
      <c r="AS159" s="23">
        <f>+AS194*AS24/90</f>
        <v>859.16548130831848</v>
      </c>
      <c r="AT159" s="23">
        <f>+'QTR Raw'!N82</f>
        <v>616.09</v>
      </c>
      <c r="AU159" s="23">
        <f>+AU194*AU24/90</f>
        <v>535.82990986398977</v>
      </c>
      <c r="AV159" s="23">
        <f>+'QTR Raw'!P82</f>
        <v>733.69</v>
      </c>
      <c r="AW159" s="23">
        <f>+AW194*AW24/90</f>
        <v>746.94471885950463</v>
      </c>
      <c r="AX159" s="23">
        <f>+'QTR Raw'!R82</f>
        <v>592.42999999999995</v>
      </c>
      <c r="AY159" s="23">
        <f>+AY194*AY24/90</f>
        <v>643.24995639252984</v>
      </c>
      <c r="AZ159" s="23">
        <f>+'QTR Raw'!T82</f>
        <v>714.5</v>
      </c>
      <c r="BA159" s="23">
        <f>+BA194*BA24/90</f>
        <v>767.01110604079815</v>
      </c>
      <c r="BB159" s="23">
        <f>+'QTR Raw'!V82</f>
        <v>592.45000000000005</v>
      </c>
      <c r="BC159" s="23">
        <f>+BC194*BC24/90</f>
        <v>600.35769306230202</v>
      </c>
      <c r="BD159" s="23">
        <f>+'QTR Raw'!X82</f>
        <v>750.54</v>
      </c>
      <c r="BE159" s="23">
        <f>+BE194*BE24/90</f>
        <v>767.50559090855359</v>
      </c>
      <c r="BF159" s="23">
        <f>+'QTR Raw'!Z82</f>
        <v>648.28</v>
      </c>
      <c r="BG159" s="23">
        <f>+BG194*BG24/90</f>
        <v>692.12452333570241</v>
      </c>
      <c r="BH159" s="23">
        <f>+'QTR Raw'!AB82</f>
        <v>815.78</v>
      </c>
      <c r="BI159" s="23">
        <f>+BI194*BI24/90</f>
        <v>886.06456603837864</v>
      </c>
      <c r="BJ159" s="23">
        <f>+'QTR Raw'!AD82</f>
        <v>680.55</v>
      </c>
      <c r="BK159" s="23">
        <f>+BK194*BK24/90</f>
        <v>917.01339258558357</v>
      </c>
      <c r="BL159" s="23">
        <f>+'QTR Raw'!AF82</f>
        <v>848.21</v>
      </c>
      <c r="BM159" s="23">
        <f>+BM194*BM24/90</f>
        <v>900.93333458311838</v>
      </c>
      <c r="BN159" s="23">
        <f>+'QTR Raw'!AH82</f>
        <v>922.41</v>
      </c>
      <c r="BO159" s="23">
        <f>+BO194*BO24/90</f>
        <v>1040.8758822551067</v>
      </c>
      <c r="BP159" s="23">
        <f>+'QTR Raw'!AJ82</f>
        <v>750.74</v>
      </c>
      <c r="BQ159" s="23">
        <f>+BQ194*BQ24/90</f>
        <v>828.53641568452599</v>
      </c>
      <c r="BR159" s="23">
        <f>+'QTR Raw'!AL82</f>
        <v>761.32</v>
      </c>
      <c r="BS159" s="23">
        <f>+BS194*BS24/90</f>
        <v>754.11091959094176</v>
      </c>
      <c r="BT159" s="23">
        <f>+'QTR Raw'!AN82</f>
        <v>651.99</v>
      </c>
      <c r="BU159" s="23">
        <f>+BU194*BU24/90</f>
        <v>689.66334210318087</v>
      </c>
      <c r="BV159" s="23">
        <f>+'QTR Raw'!AP82</f>
        <v>835.15</v>
      </c>
      <c r="BW159" s="23">
        <f>+BW194*BW24/90</f>
        <v>874.97427875455458</v>
      </c>
      <c r="BX159" s="23">
        <f>+'QTR Raw'!AR82</f>
        <v>860.09</v>
      </c>
      <c r="BY159" s="23">
        <f>+BY194*BY24/90</f>
        <v>888.60579221242631</v>
      </c>
      <c r="BZ159" s="23">
        <f>+'QTR Raw'!AT82</f>
        <v>798.33</v>
      </c>
      <c r="CA159" s="23">
        <f>+CA194*CA24/90</f>
        <v>825.35037963594971</v>
      </c>
      <c r="CB159" s="23">
        <f>+'QTR Raw'!AV82</f>
        <v>851.73</v>
      </c>
      <c r="CC159" s="23">
        <f>+CC194*CC24/90</f>
        <v>867.72996309370126</v>
      </c>
      <c r="CD159" s="23">
        <f>+'QTR Raw'!AX82</f>
        <v>896.75</v>
      </c>
      <c r="CE159" s="23">
        <f>+CE194*CE24/90</f>
        <v>993.83203524881958</v>
      </c>
      <c r="CF159" s="23">
        <f>+'QTR Raw'!AZ82</f>
        <v>1002.27</v>
      </c>
      <c r="CG159" s="23">
        <f>+CG194*CG24/90</f>
        <v>1056.7563694432251</v>
      </c>
      <c r="CH159" s="23">
        <f t="shared" si="1248"/>
        <v>869.79</v>
      </c>
      <c r="CI159" s="23">
        <f>+CI194*CI24/90</f>
        <v>902.00731061017029</v>
      </c>
      <c r="CJ159" s="23">
        <f>+'QTR Raw'!BD82</f>
        <v>1162.6400000000001</v>
      </c>
      <c r="CK159" s="23">
        <f t="shared" ref="CK159:DB159" si="1272">+CK194*CK24/90</f>
        <v>1196.8456231498824</v>
      </c>
      <c r="CL159" s="23">
        <f>+'QTR Raw'!BF82</f>
        <v>1148.33</v>
      </c>
      <c r="CM159" s="24">
        <f t="shared" si="1272"/>
        <v>1150.6947444973041</v>
      </c>
      <c r="CN159" s="24">
        <f t="shared" si="1272"/>
        <v>1207.5184816171354</v>
      </c>
      <c r="CO159" s="24">
        <f t="shared" si="1272"/>
        <v>1233.4511351073756</v>
      </c>
      <c r="CP159" s="24">
        <f t="shared" si="1272"/>
        <v>1308.6276783952237</v>
      </c>
      <c r="CQ159" s="24">
        <f t="shared" si="1272"/>
        <v>1307.3723656759953</v>
      </c>
      <c r="CR159" s="24">
        <f t="shared" si="1272"/>
        <v>1372.9230676010079</v>
      </c>
      <c r="CS159" s="24">
        <f t="shared" si="1272"/>
        <v>1396.8844019135427</v>
      </c>
      <c r="CT159" s="24">
        <f t="shared" si="1272"/>
        <v>1484.0181758118845</v>
      </c>
      <c r="CU159" s="24">
        <f t="shared" si="1272"/>
        <v>1483.8614262235283</v>
      </c>
      <c r="CV159" s="24">
        <f t="shared" si="1272"/>
        <v>1559.7911796420392</v>
      </c>
      <c r="CW159" s="24">
        <f t="shared" si="1272"/>
        <v>1584.0070566293969</v>
      </c>
      <c r="CX159" s="24">
        <f t="shared" si="1272"/>
        <v>1688.3987998332702</v>
      </c>
      <c r="CY159" s="24">
        <f t="shared" si="1272"/>
        <v>1685.4039002353552</v>
      </c>
      <c r="CZ159" s="24">
        <f t="shared" si="1272"/>
        <v>1774.249713715039</v>
      </c>
      <c r="DA159" s="24">
        <f t="shared" si="1272"/>
        <v>1799.0112094986698</v>
      </c>
      <c r="DB159" s="24">
        <f t="shared" si="1272"/>
        <v>1924.5428705474853</v>
      </c>
      <c r="DE159" s="123"/>
      <c r="DF159" s="23">
        <v>1249.4362051630173</v>
      </c>
    </row>
    <row r="160" spans="1:110" s="23" customFormat="1" outlineLevel="1" x14ac:dyDescent="0.2">
      <c r="A160" s="23" t="s">
        <v>63</v>
      </c>
      <c r="B160" s="23">
        <f>'Annual Raw'!C79</f>
        <v>12.899100000000001</v>
      </c>
      <c r="C160" s="23">
        <f>'Annual Raw'!D79</f>
        <v>53.753300000000003</v>
      </c>
      <c r="D160" s="23">
        <f>'Annual Raw'!E79</f>
        <v>47.052999999999997</v>
      </c>
      <c r="E160" s="23">
        <f>'Annual Raw'!F79</f>
        <v>3.1796000000000002</v>
      </c>
      <c r="F160" s="23">
        <f>'Annual Raw'!G79</f>
        <v>4.5757000000000003</v>
      </c>
      <c r="G160" s="23">
        <f>'Annual Raw'!H79</f>
        <v>8.0203000000000007</v>
      </c>
      <c r="H160" s="23">
        <f>'Annual Raw'!I79</f>
        <v>13.231400000000001</v>
      </c>
      <c r="I160" s="23">
        <f>'Annual Raw'!J79</f>
        <v>339.72719999999998</v>
      </c>
      <c r="J160" s="23">
        <f>'Annual Raw'!K79</f>
        <v>242.34200000000001</v>
      </c>
      <c r="K160" s="23">
        <f>'Annual Raw'!L79</f>
        <v>22.0288</v>
      </c>
      <c r="L160" s="23">
        <f>'Annual Raw'!M79</f>
        <v>20.616399999999999</v>
      </c>
      <c r="M160" s="23">
        <f>'Annual Raw'!N79</f>
        <v>42.063499999999998</v>
      </c>
      <c r="N160" s="23">
        <f>'Annual Raw'!O79</f>
        <v>44.942900000000002</v>
      </c>
      <c r="O160" s="23">
        <f>'Annual Raw'!P79</f>
        <v>56.787700000000001</v>
      </c>
      <c r="P160" s="23">
        <f>'Annual Raw'!Q79</f>
        <v>61.75</v>
      </c>
      <c r="Q160" s="23">
        <f>'Annual Raw'!R79</f>
        <v>111.34</v>
      </c>
      <c r="R160" s="23">
        <f>'Annual Raw'!S79</f>
        <v>108.08</v>
      </c>
      <c r="S160" s="23">
        <f>'Annual Raw'!T79</f>
        <v>134.84</v>
      </c>
      <c r="T160" s="23">
        <f>'Annual Raw'!U79</f>
        <v>165.57</v>
      </c>
      <c r="U160" s="23">
        <f>'Annual Raw'!V79</f>
        <v>396.39</v>
      </c>
      <c r="V160" s="23">
        <f>'Annual Raw'!W79</f>
        <v>381.17</v>
      </c>
      <c r="W160" s="23">
        <f>'Annual Raw'!X79</f>
        <v>483.99</v>
      </c>
      <c r="X160" s="23">
        <f>'Annual Raw'!Y79</f>
        <v>592.80999999999995</v>
      </c>
      <c r="Y160" s="23">
        <f>'Annual Raw'!Z79</f>
        <v>595.01</v>
      </c>
      <c r="Z160" s="23">
        <f>'Annual Raw'!AA79</f>
        <v>773.36</v>
      </c>
      <c r="AA160" s="23">
        <f>'Annual Raw'!AB79</f>
        <v>588.91999999999996</v>
      </c>
      <c r="AB160" s="24">
        <f t="shared" si="1266"/>
        <v>3292.1217376614964</v>
      </c>
      <c r="AC160" s="24">
        <f t="shared" si="1267"/>
        <v>3733.3525618732592</v>
      </c>
      <c r="AD160" s="24">
        <f t="shared" si="1268"/>
        <v>4247.5140045860862</v>
      </c>
      <c r="AE160" s="24">
        <f t="shared" si="1269"/>
        <v>4841.5829221650638</v>
      </c>
      <c r="AJ160" s="23">
        <f>+'QTR Raw'!D84</f>
        <v>17.57</v>
      </c>
      <c r="AK160" s="23">
        <f t="shared" si="1270"/>
        <v>17.57</v>
      </c>
      <c r="AL160" s="23">
        <f>+'QTR Raw'!F84</f>
        <v>21.34</v>
      </c>
      <c r="AM160" s="23">
        <f t="shared" si="1270"/>
        <v>21.34</v>
      </c>
      <c r="AN160" s="23">
        <f>+'QTR Raw'!H84</f>
        <v>38.07</v>
      </c>
      <c r="AO160" s="23">
        <f t="shared" si="1270"/>
        <v>38.07</v>
      </c>
      <c r="AP160" s="23">
        <f>+'QTR Raw'!J84</f>
        <v>27.7</v>
      </c>
      <c r="AQ160" s="23">
        <f t="shared" si="1270"/>
        <v>27.7</v>
      </c>
      <c r="AR160" s="23">
        <f>+'QTR Raw'!L84</f>
        <v>30.01</v>
      </c>
      <c r="AS160" s="23">
        <f t="shared" si="1270"/>
        <v>30.01</v>
      </c>
      <c r="AT160" s="23">
        <f>+'QTR Raw'!N84</f>
        <v>29.66</v>
      </c>
      <c r="AU160" s="23">
        <f t="shared" si="1270"/>
        <v>29.66</v>
      </c>
      <c r="AV160" s="23">
        <f>+'QTR Raw'!P84</f>
        <v>30.95</v>
      </c>
      <c r="AW160" s="23">
        <f t="shared" si="1270"/>
        <v>30.95</v>
      </c>
      <c r="AX160" s="23">
        <f>+'QTR Raw'!R84</f>
        <v>245.54</v>
      </c>
      <c r="AY160" s="23">
        <f t="shared" si="1270"/>
        <v>245.54</v>
      </c>
      <c r="AZ160" s="23">
        <f>+'QTR Raw'!T84</f>
        <v>319.94</v>
      </c>
      <c r="BA160" s="23">
        <f t="shared" si="1270"/>
        <v>319.94</v>
      </c>
      <c r="BB160" s="23">
        <f>+'QTR Raw'!V84</f>
        <v>289.79000000000002</v>
      </c>
      <c r="BC160" s="23">
        <f t="shared" si="1270"/>
        <v>289.79000000000002</v>
      </c>
      <c r="BD160" s="23">
        <f>+'QTR Raw'!X84</f>
        <v>390.04</v>
      </c>
      <c r="BE160" s="23">
        <f t="shared" si="1270"/>
        <v>390.04</v>
      </c>
      <c r="BF160" s="23">
        <f>+'QTR Raw'!Z84</f>
        <v>359.5</v>
      </c>
      <c r="BG160" s="23">
        <f t="shared" si="1270"/>
        <v>359.5</v>
      </c>
      <c r="BH160" s="23">
        <f>+'QTR Raw'!AB84</f>
        <v>458.1</v>
      </c>
      <c r="BI160" s="23">
        <f t="shared" si="1270"/>
        <v>458.1</v>
      </c>
      <c r="BJ160" s="23">
        <f>+'QTR Raw'!AD84</f>
        <v>395.78</v>
      </c>
      <c r="BK160" s="23">
        <f t="shared" si="1270"/>
        <v>395.78</v>
      </c>
      <c r="BL160" s="23">
        <f>+'QTR Raw'!AF84</f>
        <v>434.16</v>
      </c>
      <c r="BM160" s="23">
        <f t="shared" si="1270"/>
        <v>434.16</v>
      </c>
      <c r="BN160" s="23">
        <f>+'QTR Raw'!AH84</f>
        <v>476.07</v>
      </c>
      <c r="BO160" s="23">
        <f t="shared" si="1270"/>
        <v>476.07</v>
      </c>
      <c r="BP160" s="23">
        <f>+'QTR Raw'!AJ84</f>
        <v>492.36</v>
      </c>
      <c r="BQ160" s="23">
        <f t="shared" si="1270"/>
        <v>492.36</v>
      </c>
      <c r="BR160" s="23">
        <f>+'QTR Raw'!AL84</f>
        <v>454.99</v>
      </c>
      <c r="BS160" s="23">
        <f t="shared" si="1270"/>
        <v>454.99</v>
      </c>
      <c r="BT160" s="23">
        <f>+'QTR Raw'!AN84</f>
        <v>569.85</v>
      </c>
      <c r="BU160" s="23">
        <f t="shared" si="1270"/>
        <v>569.85</v>
      </c>
      <c r="BV160" s="23">
        <f>+'QTR Raw'!AP84</f>
        <v>576.16</v>
      </c>
      <c r="BW160" s="23">
        <f t="shared" si="1270"/>
        <v>576.16</v>
      </c>
      <c r="BX160" s="23">
        <f>+'QTR Raw'!AR84</f>
        <v>547.12</v>
      </c>
      <c r="BY160" s="23">
        <f t="shared" si="1270"/>
        <v>547.12</v>
      </c>
      <c r="BZ160" s="23">
        <f>+'QTR Raw'!AT84</f>
        <v>727.18</v>
      </c>
      <c r="CA160" s="23">
        <f t="shared" si="1270"/>
        <v>727.18</v>
      </c>
      <c r="CB160" s="23">
        <f>+'QTR Raw'!AV84</f>
        <v>715.69</v>
      </c>
      <c r="CC160" s="23">
        <f t="shared" si="1270"/>
        <v>715.69</v>
      </c>
      <c r="CD160" s="23">
        <f>+'QTR Raw'!AX84</f>
        <v>732.91</v>
      </c>
      <c r="CE160" s="23">
        <f t="shared" si="1270"/>
        <v>732.91</v>
      </c>
      <c r="CF160" s="23">
        <f>+'QTR Raw'!AZ84</f>
        <v>845.76</v>
      </c>
      <c r="CG160" s="23">
        <f t="shared" ref="CG160:CG161" si="1273">+CF160</f>
        <v>845.76</v>
      </c>
      <c r="CH160" s="23">
        <f t="shared" si="1248"/>
        <v>773.36</v>
      </c>
      <c r="CI160" s="23">
        <f>CI24/90*CI195</f>
        <v>1949.0654524957574</v>
      </c>
      <c r="CJ160" s="23">
        <f>+'QTR Raw'!BD84</f>
        <v>794.2</v>
      </c>
      <c r="CK160" s="23">
        <f t="shared" ref="CK160:DB160" si="1274">CK24/90*CK195</f>
        <v>2789.7917235546438</v>
      </c>
      <c r="CL160" s="23">
        <f>+'QTR Raw'!BF84</f>
        <v>765.24</v>
      </c>
      <c r="CM160" s="24">
        <f t="shared" si="1274"/>
        <v>2894.809000538592</v>
      </c>
      <c r="CN160" s="24">
        <f t="shared" si="1274"/>
        <v>3037.7607837507312</v>
      </c>
      <c r="CO160" s="24">
        <f t="shared" si="1274"/>
        <v>3102.9997005793566</v>
      </c>
      <c r="CP160" s="24">
        <f t="shared" si="1274"/>
        <v>3292.1217376614964</v>
      </c>
      <c r="CQ160" s="24">
        <f t="shared" si="1274"/>
        <v>3288.9637406553475</v>
      </c>
      <c r="CR160" s="24">
        <f t="shared" si="1274"/>
        <v>3453.8699964904226</v>
      </c>
      <c r="CS160" s="24">
        <f t="shared" si="1274"/>
        <v>3514.1496549876397</v>
      </c>
      <c r="CT160" s="24">
        <f t="shared" si="1274"/>
        <v>3733.3525618732592</v>
      </c>
      <c r="CU160" s="24">
        <f t="shared" si="1274"/>
        <v>3732.9582260849247</v>
      </c>
      <c r="CV160" s="24">
        <f t="shared" si="1274"/>
        <v>3923.9751179719251</v>
      </c>
      <c r="CW160" s="24">
        <f t="shared" si="1274"/>
        <v>3984.8951308547184</v>
      </c>
      <c r="CX160" s="24">
        <f t="shared" si="1274"/>
        <v>4247.5140045860862</v>
      </c>
      <c r="CY160" s="24">
        <f t="shared" si="1274"/>
        <v>4239.9797194481616</v>
      </c>
      <c r="CZ160" s="24">
        <f t="shared" si="1274"/>
        <v>4463.4896135804402</v>
      </c>
      <c r="DA160" s="24">
        <f t="shared" si="1274"/>
        <v>4525.7822426239209</v>
      </c>
      <c r="DB160" s="24">
        <f t="shared" si="1274"/>
        <v>4841.5829221650638</v>
      </c>
      <c r="DE160" s="123"/>
      <c r="DF160" s="23">
        <v>2912.377934841471</v>
      </c>
    </row>
    <row r="161" spans="1:110" s="23" customFormat="1" outlineLevel="1" x14ac:dyDescent="0.2">
      <c r="A161" s="23" t="s">
        <v>64</v>
      </c>
      <c r="B161" s="23">
        <f>'Annual Raw'!C80</f>
        <v>159.88839999999999</v>
      </c>
      <c r="C161" s="23">
        <f>'Annual Raw'!D80</f>
        <v>143.93379999999999</v>
      </c>
      <c r="D161" s="23">
        <f>'Annual Raw'!E80</f>
        <v>172.8947</v>
      </c>
      <c r="E161" s="23">
        <f>'Annual Raw'!F80</f>
        <v>186.09119999999999</v>
      </c>
      <c r="F161" s="23">
        <f>'Annual Raw'!G80</f>
        <v>149.9145</v>
      </c>
      <c r="G161" s="23">
        <f>'Annual Raw'!H80</f>
        <v>192.2681</v>
      </c>
      <c r="H161" s="23">
        <f>'Annual Raw'!I80</f>
        <v>298.36410000000001</v>
      </c>
      <c r="I161" s="23">
        <f>'Annual Raw'!J80</f>
        <v>672.54409999999996</v>
      </c>
      <c r="J161" s="23">
        <f>'Annual Raw'!K80</f>
        <v>2060.625</v>
      </c>
      <c r="K161" s="23">
        <f>'Annual Raw'!L80</f>
        <v>630.84829999999999</v>
      </c>
      <c r="L161" s="23">
        <f>'Annual Raw'!M80</f>
        <v>619.26030000000003</v>
      </c>
      <c r="M161" s="23">
        <f>'Annual Raw'!N80</f>
        <v>707.13580000000002</v>
      </c>
      <c r="N161" s="23">
        <f>'Annual Raw'!O80</f>
        <v>768.80110000000002</v>
      </c>
      <c r="O161" s="23">
        <f>'Annual Raw'!P80</f>
        <v>898.80100000000004</v>
      </c>
      <c r="P161" s="23">
        <f>'Annual Raw'!Q80</f>
        <v>759.5</v>
      </c>
      <c r="Q161" s="23">
        <f>'Annual Raw'!R80</f>
        <v>735.38</v>
      </c>
      <c r="R161" s="23">
        <f>'Annual Raw'!S80</f>
        <v>407.45</v>
      </c>
      <c r="S161" s="23">
        <f>'Annual Raw'!T80</f>
        <v>459.05</v>
      </c>
      <c r="T161" s="23">
        <f>'Annual Raw'!U80</f>
        <v>438.05</v>
      </c>
      <c r="U161" s="23">
        <f>'Annual Raw'!V80</f>
        <v>196.22</v>
      </c>
      <c r="V161" s="23">
        <f>'Annual Raw'!W80</f>
        <v>258.94</v>
      </c>
      <c r="W161" s="23">
        <f>'Annual Raw'!X80</f>
        <v>752.11</v>
      </c>
      <c r="X161" s="23">
        <f>'Annual Raw'!Y80</f>
        <v>664.09</v>
      </c>
      <c r="Y161" s="23">
        <f>'Annual Raw'!Z80</f>
        <v>472.39</v>
      </c>
      <c r="Z161" s="23">
        <f>'Annual Raw'!AA80</f>
        <v>616.51</v>
      </c>
      <c r="AA161" s="23">
        <f>'Annual Raw'!AB80</f>
        <v>764.39</v>
      </c>
      <c r="AB161" s="24">
        <f t="shared" si="1266"/>
        <v>0</v>
      </c>
      <c r="AC161" s="24">
        <f t="shared" si="1267"/>
        <v>0</v>
      </c>
      <c r="AD161" s="24">
        <f t="shared" si="1268"/>
        <v>0</v>
      </c>
      <c r="AE161" s="24">
        <f t="shared" si="1269"/>
        <v>0</v>
      </c>
      <c r="AJ161" s="23">
        <f>+'QTR Raw'!D85</f>
        <v>842.14</v>
      </c>
      <c r="AK161" s="23">
        <f t="shared" si="1270"/>
        <v>842.14</v>
      </c>
      <c r="AL161" s="23">
        <f>+'QTR Raw'!F85</f>
        <v>792.41</v>
      </c>
      <c r="AM161" s="23">
        <f t="shared" si="1270"/>
        <v>792.41</v>
      </c>
      <c r="AN161" s="23">
        <f>+'QTR Raw'!H85</f>
        <v>833.8</v>
      </c>
      <c r="AO161" s="23">
        <f t="shared" si="1270"/>
        <v>833.8</v>
      </c>
      <c r="AP161" s="23">
        <f>+'QTR Raw'!J85</f>
        <v>927.89</v>
      </c>
      <c r="AQ161" s="23">
        <f t="shared" si="1270"/>
        <v>927.89</v>
      </c>
      <c r="AR161" s="23">
        <f>+'QTR Raw'!L85</f>
        <v>828.73</v>
      </c>
      <c r="AS161" s="23">
        <f t="shared" si="1270"/>
        <v>828.73</v>
      </c>
      <c r="AT161" s="23">
        <f>+'QTR Raw'!N85</f>
        <v>791.59</v>
      </c>
      <c r="AU161" s="23">
        <f t="shared" si="1270"/>
        <v>791.59</v>
      </c>
      <c r="AV161" s="23">
        <f>+'QTR Raw'!P85</f>
        <v>857.8</v>
      </c>
      <c r="AW161" s="23">
        <f t="shared" si="1270"/>
        <v>857.8</v>
      </c>
      <c r="AX161" s="23">
        <f>+'QTR Raw'!R85</f>
        <v>601.17999999999995</v>
      </c>
      <c r="AY161" s="23">
        <f t="shared" si="1270"/>
        <v>601.17999999999995</v>
      </c>
      <c r="AZ161" s="23">
        <f>+'QTR Raw'!T85</f>
        <v>327.33999999999997</v>
      </c>
      <c r="BA161" s="23">
        <f t="shared" si="1270"/>
        <v>327.33999999999997</v>
      </c>
      <c r="BB161" s="23">
        <f>+'QTR Raw'!V85</f>
        <v>277.57</v>
      </c>
      <c r="BC161" s="23">
        <f t="shared" si="1270"/>
        <v>277.57</v>
      </c>
      <c r="BD161" s="23">
        <f>+'QTR Raw'!X85</f>
        <v>297.8</v>
      </c>
      <c r="BE161" s="23">
        <f t="shared" si="1270"/>
        <v>297.8</v>
      </c>
      <c r="BF161" s="23">
        <f>+'QTR Raw'!Z85</f>
        <v>272.25</v>
      </c>
      <c r="BG161" s="23">
        <f t="shared" si="1270"/>
        <v>272.25</v>
      </c>
      <c r="BH161" s="23">
        <f>+'QTR Raw'!AB85</f>
        <v>321.08</v>
      </c>
      <c r="BI161" s="23">
        <f t="shared" si="1270"/>
        <v>321.08</v>
      </c>
      <c r="BJ161" s="23">
        <f>+'QTR Raw'!AD85</f>
        <v>245.01</v>
      </c>
      <c r="BK161" s="23">
        <f t="shared" si="1270"/>
        <v>245.01</v>
      </c>
      <c r="BL161" s="23">
        <f>+'QTR Raw'!AF85</f>
        <v>162.06</v>
      </c>
      <c r="BM161" s="23">
        <f t="shared" si="1270"/>
        <v>162.06</v>
      </c>
      <c r="BN161" s="23">
        <f>+'QTR Raw'!AH85</f>
        <v>116.54</v>
      </c>
      <c r="BO161" s="23">
        <f t="shared" si="1270"/>
        <v>116.54</v>
      </c>
      <c r="BP161" s="23">
        <f>+'QTR Raw'!AJ85</f>
        <v>144.76</v>
      </c>
      <c r="BQ161" s="23">
        <f t="shared" si="1270"/>
        <v>144.76</v>
      </c>
      <c r="BR161" s="23">
        <f>+'QTR Raw'!AL85</f>
        <v>185.12</v>
      </c>
      <c r="BS161" s="23">
        <f t="shared" si="1270"/>
        <v>185.12</v>
      </c>
      <c r="BT161" s="23">
        <f>+'QTR Raw'!AN85</f>
        <v>222.12</v>
      </c>
      <c r="BU161" s="23">
        <f t="shared" si="1270"/>
        <v>222.12</v>
      </c>
      <c r="BV161" s="23">
        <f>+'QTR Raw'!AP85</f>
        <v>659.94</v>
      </c>
      <c r="BW161" s="23">
        <f t="shared" si="1270"/>
        <v>659.94</v>
      </c>
      <c r="BX161" s="23">
        <f>+'QTR Raw'!AR85</f>
        <v>750.58</v>
      </c>
      <c r="BY161" s="23">
        <f t="shared" si="1270"/>
        <v>750.58</v>
      </c>
      <c r="BZ161" s="23">
        <f>+'QTR Raw'!AT85</f>
        <v>529.72</v>
      </c>
      <c r="CA161" s="23">
        <f t="shared" si="1270"/>
        <v>529.72</v>
      </c>
      <c r="CB161" s="23">
        <f>+'QTR Raw'!AV85</f>
        <v>513.35</v>
      </c>
      <c r="CC161" s="23">
        <f t="shared" si="1270"/>
        <v>513.35</v>
      </c>
      <c r="CD161" s="23">
        <f>+'QTR Raw'!AX85</f>
        <v>334.49</v>
      </c>
      <c r="CE161" s="23">
        <f t="shared" si="1270"/>
        <v>334.49</v>
      </c>
      <c r="CF161" s="23">
        <f>+'QTR Raw'!AZ85</f>
        <v>288.61</v>
      </c>
      <c r="CG161" s="23">
        <f t="shared" si="1273"/>
        <v>288.61</v>
      </c>
      <c r="CH161" s="23">
        <f t="shared" si="1248"/>
        <v>616.51</v>
      </c>
      <c r="CJ161" s="23">
        <f>+'QTR Raw'!BD85</f>
        <v>604.27</v>
      </c>
      <c r="CL161" s="23">
        <f>+'QTR Raw'!BF85</f>
        <v>588.07000000000005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588.07000000000005</v>
      </c>
    </row>
    <row r="162" spans="1:110" s="22" customFormat="1" x14ac:dyDescent="0.2">
      <c r="A162" s="22" t="s">
        <v>65</v>
      </c>
      <c r="B162" s="22">
        <f>SUM(B156:B161)</f>
        <v>374.91359999999997</v>
      </c>
      <c r="C162" s="22">
        <f t="shared" ref="C162:V162" si="1275">SUM(C156:C161)</f>
        <v>827.88929999999993</v>
      </c>
      <c r="D162" s="22">
        <f t="shared" si="1275"/>
        <v>846.95219999999995</v>
      </c>
      <c r="E162" s="22">
        <f t="shared" si="1275"/>
        <v>836.84670000000006</v>
      </c>
      <c r="F162" s="22">
        <f t="shared" si="1275"/>
        <v>890.37109999999996</v>
      </c>
      <c r="G162" s="22">
        <f t="shared" si="1275"/>
        <v>972.21460000000002</v>
      </c>
      <c r="H162" s="22">
        <f t="shared" si="1275"/>
        <v>1262.6777999999999</v>
      </c>
      <c r="I162" s="22">
        <f t="shared" si="1275"/>
        <v>2005.4376000000002</v>
      </c>
      <c r="J162" s="22">
        <f t="shared" si="1275"/>
        <v>3497.3886000000002</v>
      </c>
      <c r="K162" s="22">
        <f t="shared" si="1275"/>
        <v>2094.2503000000002</v>
      </c>
      <c r="L162" s="22">
        <f>SUM(L156:L161)</f>
        <v>2378.0819000000001</v>
      </c>
      <c r="M162" s="22">
        <f>SUM(M156:M161)</f>
        <v>2683.3305</v>
      </c>
      <c r="N162" s="22">
        <f t="shared" si="1275"/>
        <v>2993.2334000000001</v>
      </c>
      <c r="O162" s="22">
        <f t="shared" si="1275"/>
        <v>3334.6853999999998</v>
      </c>
      <c r="P162" s="22">
        <f t="shared" si="1275"/>
        <v>4638.42</v>
      </c>
      <c r="Q162" s="22">
        <f t="shared" si="1275"/>
        <v>3326.57</v>
      </c>
      <c r="R162" s="22">
        <f t="shared" si="1275"/>
        <v>2889.7699999999995</v>
      </c>
      <c r="S162" s="22">
        <f t="shared" si="1275"/>
        <v>3127.63</v>
      </c>
      <c r="T162" s="22">
        <f t="shared" si="1275"/>
        <v>3321.69</v>
      </c>
      <c r="U162" s="22">
        <f t="shared" si="1275"/>
        <v>3777.3399999999992</v>
      </c>
      <c r="V162" s="22">
        <f t="shared" si="1275"/>
        <v>4201.07</v>
      </c>
      <c r="W162" s="22">
        <f t="shared" ref="W162" si="1276">SUM(W156:W161)</f>
        <v>4831.38</v>
      </c>
      <c r="X162" s="22">
        <f t="shared" ref="X162:Y162" si="1277">SUM(X156:X161)</f>
        <v>5167.6399999999994</v>
      </c>
      <c r="Y162" s="22">
        <f t="shared" si="1277"/>
        <v>5006.25</v>
      </c>
      <c r="Z162" s="22">
        <f t="shared" ref="Z162:AA162" si="1278">SUM(Z156:Z161)</f>
        <v>6349.15</v>
      </c>
      <c r="AA162" s="22">
        <f t="shared" si="1278"/>
        <v>6915.64</v>
      </c>
      <c r="AB162" s="21">
        <f t="shared" ref="AA162:AD162" si="1279">SUM(AB156:AB161)</f>
        <v>8619.8168888712771</v>
      </c>
      <c r="AC162" s="21">
        <f t="shared" si="1279"/>
        <v>9775.0988661206302</v>
      </c>
      <c r="AD162" s="21">
        <f t="shared" si="1279"/>
        <v>11121.336290089839</v>
      </c>
      <c r="AE162" s="21">
        <f t="shared" ref="AE162" si="1280">SUM(AE156:AE161)</f>
        <v>12676.796779390639</v>
      </c>
      <c r="AJ162" s="22">
        <f t="shared" ref="AJ162" si="1281">SUM(AJ156:AJ161)</f>
        <v>3277.3500000000004</v>
      </c>
      <c r="AK162" s="22">
        <f t="shared" ref="AK162" si="1282">SUM(AK156:AK161)</f>
        <v>3334.3731429260838</v>
      </c>
      <c r="AL162" s="22">
        <f t="shared" ref="AL162:AM162" si="1283">SUM(AL156:AL161)</f>
        <v>2993.23</v>
      </c>
      <c r="AM162" s="22">
        <f t="shared" si="1283"/>
        <v>2952.3897331170588</v>
      </c>
      <c r="AN162" s="22">
        <f t="shared" ref="AN162:AO162" si="1284">SUM(AN156:AN161)</f>
        <v>3683.42</v>
      </c>
      <c r="AO162" s="22">
        <f t="shared" si="1284"/>
        <v>3882.1480356662596</v>
      </c>
      <c r="AP162" s="22">
        <f t="shared" ref="AP162:CE162" si="1285">SUM(AP156:AP161)</f>
        <v>3334.6899999999996</v>
      </c>
      <c r="AQ162" s="22">
        <f t="shared" si="1285"/>
        <v>3335.5204761431046</v>
      </c>
      <c r="AR162" s="22">
        <f t="shared" si="1285"/>
        <v>3667.98</v>
      </c>
      <c r="AS162" s="22">
        <f t="shared" si="1285"/>
        <v>3822.9469211720184</v>
      </c>
      <c r="AT162" s="22">
        <f t="shared" si="1285"/>
        <v>3322.46</v>
      </c>
      <c r="AU162" s="22">
        <f t="shared" si="1285"/>
        <v>3030.4666817673524</v>
      </c>
      <c r="AV162" s="22">
        <f t="shared" si="1285"/>
        <v>3746.7599999999993</v>
      </c>
      <c r="AW162" s="22">
        <f t="shared" si="1285"/>
        <v>3793.4558349156905</v>
      </c>
      <c r="AX162" s="22">
        <f t="shared" si="1285"/>
        <v>3326.5699999999997</v>
      </c>
      <c r="AY162" s="22">
        <f t="shared" si="1285"/>
        <v>3517.1300390402603</v>
      </c>
      <c r="AZ162" s="22">
        <f t="shared" si="1285"/>
        <v>3079.82</v>
      </c>
      <c r="BA162" s="22">
        <f t="shared" si="1285"/>
        <v>3242.4023216003552</v>
      </c>
      <c r="BB162" s="22">
        <f t="shared" si="1285"/>
        <v>2889.77</v>
      </c>
      <c r="BC162" s="22">
        <f t="shared" si="1285"/>
        <v>2917.0709949642387</v>
      </c>
      <c r="BD162" s="22">
        <f t="shared" si="1285"/>
        <v>3128.63</v>
      </c>
      <c r="BE162" s="22">
        <f t="shared" si="1285"/>
        <v>3176.915951517014</v>
      </c>
      <c r="BF162" s="22">
        <f t="shared" si="1285"/>
        <v>3127.63</v>
      </c>
      <c r="BG162" s="22">
        <f t="shared" si="1285"/>
        <v>3269.4267377990996</v>
      </c>
      <c r="BH162" s="22">
        <f t="shared" si="1285"/>
        <v>3638.3799999999997</v>
      </c>
      <c r="BI162" s="22">
        <f t="shared" si="1285"/>
        <v>3854.2057767467218</v>
      </c>
      <c r="BJ162" s="22">
        <f t="shared" si="1285"/>
        <v>3321.6899999999996</v>
      </c>
      <c r="BK162" s="22">
        <f t="shared" si="1285"/>
        <v>4117.5141407860492</v>
      </c>
      <c r="BL162" s="22">
        <f t="shared" si="1285"/>
        <v>3695.14</v>
      </c>
      <c r="BM162" s="22">
        <f t="shared" si="1285"/>
        <v>3849.0913164924773</v>
      </c>
      <c r="BN162" s="22">
        <f t="shared" si="1285"/>
        <v>4070.7999999999997</v>
      </c>
      <c r="BO162" s="22">
        <f t="shared" si="1285"/>
        <v>4409.1433167985424</v>
      </c>
      <c r="BP162" s="22">
        <f t="shared" si="1285"/>
        <v>4795.1099999999997</v>
      </c>
      <c r="BQ162" s="22">
        <f t="shared" si="1285"/>
        <v>5139.716183853825</v>
      </c>
      <c r="BR162" s="22">
        <f t="shared" si="1285"/>
        <v>4587.4799999999996</v>
      </c>
      <c r="BS162" s="22">
        <f t="shared" si="1285"/>
        <v>4558.9732060239294</v>
      </c>
      <c r="BT162" s="22">
        <f t="shared" si="1285"/>
        <v>4599.9799999999996</v>
      </c>
      <c r="BU162" s="22">
        <f t="shared" si="1285"/>
        <v>4769.5080170913125</v>
      </c>
      <c r="BV162" s="22">
        <f t="shared" si="1285"/>
        <v>5209.82</v>
      </c>
      <c r="BW162" s="22">
        <f t="shared" si="1285"/>
        <v>5357.723217915167</v>
      </c>
      <c r="BX162" s="22">
        <f t="shared" si="1285"/>
        <v>5547.73</v>
      </c>
      <c r="BY162" s="22">
        <f t="shared" si="1285"/>
        <v>5661.8458843906574</v>
      </c>
      <c r="BZ162" s="22">
        <f t="shared" si="1285"/>
        <v>5551.68</v>
      </c>
      <c r="CA162" s="22">
        <f t="shared" si="1285"/>
        <v>5670.1414491824489</v>
      </c>
      <c r="CB162" s="22">
        <f t="shared" si="1285"/>
        <v>5417.7000000000007</v>
      </c>
      <c r="CC162" s="22">
        <f t="shared" si="1285"/>
        <v>5482.9415575636485</v>
      </c>
      <c r="CD162" s="22">
        <f t="shared" si="1285"/>
        <v>5512.0999999999995</v>
      </c>
      <c r="CE162" s="22">
        <f t="shared" si="1285"/>
        <v>5908.9914964323352</v>
      </c>
      <c r="CF162" s="22">
        <f t="shared" ref="CF162:CG162" si="1286">SUM(CF156:CF161)</f>
        <v>6348.54</v>
      </c>
      <c r="CG162" s="22">
        <f t="shared" si="1286"/>
        <v>6582.7438098684297</v>
      </c>
      <c r="CH162" s="22">
        <f t="shared" ref="CH162:CI162" si="1287">SUM(CH156:CH161)</f>
        <v>6349.15</v>
      </c>
      <c r="CI162" s="22">
        <f t="shared" si="1287"/>
        <v>6584.3246256689126</v>
      </c>
      <c r="CJ162" s="22">
        <f t="shared" ref="CJ162:DB162" si="1288">SUM(CJ156:CJ161)</f>
        <v>7432.0400000000009</v>
      </c>
      <c r="CK162" s="22">
        <f t="shared" si="1288"/>
        <v>7650.6954388932536</v>
      </c>
      <c r="CL162" s="22">
        <f t="shared" ref="CL162" si="1289">SUM(CL156:CL161)</f>
        <v>7563.95</v>
      </c>
      <c r="CM162" s="21">
        <f t="shared" si="1288"/>
        <v>7579.5263666719347</v>
      </c>
      <c r="CN162" s="21">
        <f t="shared" si="1288"/>
        <v>7953.8193890501261</v>
      </c>
      <c r="CO162" s="21">
        <f t="shared" si="1288"/>
        <v>8124.6355258466074</v>
      </c>
      <c r="CP162" s="21">
        <f t="shared" si="1288"/>
        <v>8619.8168888712771</v>
      </c>
      <c r="CQ162" s="21">
        <f t="shared" si="1288"/>
        <v>8611.548252989076</v>
      </c>
      <c r="CR162" s="21">
        <f t="shared" si="1288"/>
        <v>9043.3250347727953</v>
      </c>
      <c r="CS162" s="21">
        <f t="shared" si="1288"/>
        <v>9201.156263316243</v>
      </c>
      <c r="CT162" s="21">
        <f t="shared" si="1288"/>
        <v>9775.0988661206302</v>
      </c>
      <c r="CU162" s="21">
        <f t="shared" si="1288"/>
        <v>9774.066370192766</v>
      </c>
      <c r="CV162" s="21">
        <f t="shared" si="1288"/>
        <v>10274.209062946542</v>
      </c>
      <c r="CW162" s="21">
        <f t="shared" si="1288"/>
        <v>10433.716941986997</v>
      </c>
      <c r="CX162" s="21">
        <f t="shared" si="1288"/>
        <v>11121.336290089839</v>
      </c>
      <c r="CY162" s="21">
        <f t="shared" si="1288"/>
        <v>11101.609146486824</v>
      </c>
      <c r="CZ162" s="21">
        <f t="shared" si="1288"/>
        <v>11686.828805356359</v>
      </c>
      <c r="DA162" s="21">
        <f t="shared" si="1288"/>
        <v>11849.930628031547</v>
      </c>
      <c r="DB162" s="21">
        <f t="shared" si="1288"/>
        <v>12676.796779390639</v>
      </c>
      <c r="DE162" s="126"/>
      <c r="DF162" s="22">
        <v>7986.874573573722</v>
      </c>
    </row>
    <row r="163" spans="1:110" s="23" customFormat="1" outlineLevel="1" x14ac:dyDescent="0.2">
      <c r="A163" s="23" t="s">
        <v>66</v>
      </c>
      <c r="B163" s="23">
        <f>'Annual Raw'!C50+'Annual Raw'!C58</f>
        <v>0</v>
      </c>
      <c r="C163" s="23">
        <f>'Annual Raw'!D50+'Annual Raw'!D58</f>
        <v>0</v>
      </c>
      <c r="D163" s="23">
        <f>'Annual Raw'!E50+'Annual Raw'!E58</f>
        <v>0</v>
      </c>
      <c r="E163" s="23">
        <f>'Annual Raw'!F50+'Annual Raw'!F58</f>
        <v>0</v>
      </c>
      <c r="F163" s="23">
        <f>'Annual Raw'!G50+'Annual Raw'!G58</f>
        <v>0</v>
      </c>
      <c r="G163" s="23">
        <f>'Annual Raw'!H50+'Annual Raw'!H58</f>
        <v>0</v>
      </c>
      <c r="H163" s="23">
        <f>'Annual Raw'!I50+'Annual Raw'!I58</f>
        <v>0</v>
      </c>
      <c r="I163" s="23">
        <f>'Annual Raw'!J50+'Annual Raw'!J58</f>
        <v>0</v>
      </c>
      <c r="J163" s="23">
        <f>'Annual Raw'!K50+'Annual Raw'!K58</f>
        <v>0</v>
      </c>
      <c r="K163" s="23">
        <f>'Annual Raw'!L50+'Annual Raw'!L58</f>
        <v>0</v>
      </c>
      <c r="L163" s="23">
        <f>'Annual Raw'!M50+'Annual Raw'!M58</f>
        <v>164.00409999999999</v>
      </c>
      <c r="M163" s="23">
        <f>'Annual Raw'!N50+'Annual Raw'!N58</f>
        <v>155.7713</v>
      </c>
      <c r="N163" s="23">
        <f>'Annual Raw'!O50+'Annual Raw'!O58</f>
        <v>92.406700000000001</v>
      </c>
      <c r="O163" s="23">
        <f>'Annual Raw'!P50+'Annual Raw'!P58</f>
        <v>80.545900000000003</v>
      </c>
      <c r="P163" s="23">
        <f>'Annual Raw'!Q50+'Annual Raw'!Q58</f>
        <v>79.58</v>
      </c>
      <c r="Q163" s="23">
        <f>'Annual Raw'!R50+'Annual Raw'!R58</f>
        <v>7.33</v>
      </c>
      <c r="R163" s="23">
        <f>'Annual Raw'!S50+'Annual Raw'!S58</f>
        <v>32.46</v>
      </c>
      <c r="S163" s="23">
        <f>'Annual Raw'!T50+'Annual Raw'!T58</f>
        <v>16.899999999999999</v>
      </c>
      <c r="T163" s="23">
        <f>'Annual Raw'!U50+'Annual Raw'!U58</f>
        <v>19.38</v>
      </c>
      <c r="U163" s="23">
        <f>'Annual Raw'!V50+'Annual Raw'!V58</f>
        <v>305.89</v>
      </c>
      <c r="V163" s="23">
        <f>'Annual Raw'!W50+'Annual Raw'!W58</f>
        <v>469.34</v>
      </c>
      <c r="W163" s="23">
        <f>'Annual Raw'!X50+'Annual Raw'!X58</f>
        <v>444.05</v>
      </c>
      <c r="X163" s="23">
        <f>'Annual Raw'!Y50+'Annual Raw'!Y58</f>
        <v>522.91999999999996</v>
      </c>
      <c r="Y163" s="23">
        <f>'Annual Raw'!Z50+'Annual Raw'!Z58</f>
        <v>2204.48</v>
      </c>
      <c r="Z163" s="23">
        <f>'Annual Raw'!AA50+'Annual Raw'!AA58</f>
        <v>2163.31</v>
      </c>
      <c r="AA163" s="23">
        <f>'Annual Raw'!AB50+'Annual Raw'!AB58</f>
        <v>1967.54</v>
      </c>
      <c r="AB163" s="24">
        <f t="shared" ref="AB163:AB169" si="1290">+CP163</f>
        <v>0</v>
      </c>
      <c r="AC163" s="24">
        <f t="shared" ref="AC163:AC169" si="1291">+CT163</f>
        <v>0</v>
      </c>
      <c r="AD163" s="24">
        <f t="shared" ref="AD163:AD169" si="1292">+CX163</f>
        <v>0</v>
      </c>
      <c r="AE163" s="24">
        <f t="shared" ref="AE163:AE169" si="1293">+DB163</f>
        <v>0</v>
      </c>
      <c r="AJ163" s="23">
        <f>+'QTR Raw'!D64</f>
        <v>155.85</v>
      </c>
      <c r="AK163" s="23">
        <f t="shared" ref="AK163:CE169" si="1294">+AJ163</f>
        <v>155.85</v>
      </c>
      <c r="AL163" s="23">
        <f>+'QTR Raw'!F64</f>
        <v>92.41</v>
      </c>
      <c r="AM163" s="23">
        <f t="shared" si="1294"/>
        <v>92.41</v>
      </c>
      <c r="AN163" s="23">
        <f>+'QTR Raw'!H64</f>
        <v>9.33</v>
      </c>
      <c r="AO163" s="23">
        <f t="shared" si="1294"/>
        <v>9.33</v>
      </c>
      <c r="AP163" s="23">
        <f>+'QTR Raw'!J64</f>
        <v>80.540000000000006</v>
      </c>
      <c r="AQ163" s="23">
        <f t="shared" si="1294"/>
        <v>80.540000000000006</v>
      </c>
      <c r="AR163" s="23">
        <f>+'QTR Raw'!L64</f>
        <v>78.64</v>
      </c>
      <c r="AS163" s="23">
        <f t="shared" si="1294"/>
        <v>78.64</v>
      </c>
      <c r="AT163" s="23">
        <f>+'QTR Raw'!N64</f>
        <v>79.569999999999993</v>
      </c>
      <c r="AU163" s="23">
        <f t="shared" si="1294"/>
        <v>79.569999999999993</v>
      </c>
      <c r="AV163" s="23">
        <f>+'QTR Raw'!P64</f>
        <v>79.069999999999993</v>
      </c>
      <c r="AW163" s="23">
        <f t="shared" si="1294"/>
        <v>79.069999999999993</v>
      </c>
      <c r="AX163" s="23">
        <f>+'QTR Raw'!R64</f>
        <v>7.33</v>
      </c>
      <c r="AY163" s="23">
        <f t="shared" si="1294"/>
        <v>7.33</v>
      </c>
      <c r="AZ163" s="23">
        <f>+'QTR Raw'!T64</f>
        <v>5.24</v>
      </c>
      <c r="BA163" s="23">
        <f t="shared" si="1294"/>
        <v>5.24</v>
      </c>
      <c r="BB163" s="23">
        <f>+'QTR Raw'!V64</f>
        <v>6.71</v>
      </c>
      <c r="BC163" s="23">
        <f t="shared" si="1294"/>
        <v>6.71</v>
      </c>
      <c r="BD163" s="23">
        <f>+'QTR Raw'!X64</f>
        <v>7.12</v>
      </c>
      <c r="BE163" s="23">
        <f t="shared" si="1294"/>
        <v>7.12</v>
      </c>
      <c r="BF163" s="23">
        <f>+'QTR Raw'!Z64</f>
        <v>23.34</v>
      </c>
      <c r="BG163" s="23">
        <f t="shared" si="1294"/>
        <v>23.34</v>
      </c>
      <c r="BH163" s="23">
        <f>+'QTR Raw'!AB64</f>
        <v>24.41</v>
      </c>
      <c r="BI163" s="23">
        <f t="shared" si="1294"/>
        <v>24.41</v>
      </c>
      <c r="BJ163" s="23">
        <f>+'QTR Raw'!AD64</f>
        <v>24.51</v>
      </c>
      <c r="BK163" s="23">
        <f t="shared" si="1294"/>
        <v>24.51</v>
      </c>
      <c r="BL163" s="23">
        <f>+'QTR Raw'!AF64</f>
        <v>257.73</v>
      </c>
      <c r="BM163" s="23">
        <f t="shared" si="1294"/>
        <v>257.73</v>
      </c>
      <c r="BN163" s="23">
        <f>+'QTR Raw'!AH64</f>
        <v>322.75</v>
      </c>
      <c r="BO163" s="23">
        <f t="shared" si="1294"/>
        <v>322.75</v>
      </c>
      <c r="BP163" s="23">
        <f>+'QTR Raw'!AJ64</f>
        <v>314.5</v>
      </c>
      <c r="BQ163" s="23">
        <f t="shared" si="1294"/>
        <v>314.5</v>
      </c>
      <c r="BR163" s="23">
        <f>+'QTR Raw'!AL64</f>
        <v>484.21</v>
      </c>
      <c r="BS163" s="23">
        <f t="shared" si="1294"/>
        <v>484.21</v>
      </c>
      <c r="BT163" s="23">
        <f>+'QTR Raw'!AN64</f>
        <v>464.59</v>
      </c>
      <c r="BU163" s="23">
        <f t="shared" si="1294"/>
        <v>464.59</v>
      </c>
      <c r="BV163" s="23">
        <f>+'QTR Raw'!AP64</f>
        <v>457.54</v>
      </c>
      <c r="BW163" s="23">
        <f t="shared" si="1294"/>
        <v>457.54</v>
      </c>
      <c r="BX163" s="23">
        <f>+'QTR Raw'!AR64</f>
        <v>463.27</v>
      </c>
      <c r="BY163" s="23">
        <f t="shared" si="1294"/>
        <v>463.27</v>
      </c>
      <c r="BZ163" s="23">
        <f>+'QTR Raw'!AT64</f>
        <v>522.91999999999996</v>
      </c>
      <c r="CA163" s="23">
        <f t="shared" si="1294"/>
        <v>522.91999999999996</v>
      </c>
      <c r="CB163" s="23">
        <f>+'QTR Raw'!AV64</f>
        <v>557.25</v>
      </c>
      <c r="CC163" s="23">
        <f t="shared" si="1294"/>
        <v>557.25</v>
      </c>
      <c r="CD163" s="23">
        <f>+'QTR Raw'!AX64</f>
        <v>2204.48</v>
      </c>
      <c r="CE163" s="23">
        <f t="shared" si="1294"/>
        <v>2204.48</v>
      </c>
      <c r="CF163" s="23">
        <f>+'QTR Raw'!AZ64</f>
        <v>2506.1999999999998</v>
      </c>
      <c r="CG163" s="23">
        <f t="shared" ref="CG163:CG166" si="1295">+CF163</f>
        <v>2506.1999999999998</v>
      </c>
      <c r="CH163" s="23">
        <f t="shared" si="1248"/>
        <v>2163.31</v>
      </c>
      <c r="CJ163" s="23">
        <f>+'QTR Raw'!BD64</f>
        <v>2147.8200000000002</v>
      </c>
      <c r="CL163" s="23">
        <f>+'QTR Raw'!BF64</f>
        <v>1967.54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1967.54</v>
      </c>
    </row>
    <row r="164" spans="1:110" s="23" customFormat="1" outlineLevel="1" x14ac:dyDescent="0.2">
      <c r="A164" s="23" t="s">
        <v>67</v>
      </c>
      <c r="B164" s="23">
        <f>'Annual Raw'!C51</f>
        <v>0</v>
      </c>
      <c r="C164" s="23">
        <f>'Annual Raw'!D51</f>
        <v>0</v>
      </c>
      <c r="D164" s="23">
        <f>'Annual Raw'!E51</f>
        <v>0</v>
      </c>
      <c r="E164" s="23">
        <f>'Annual Raw'!F51</f>
        <v>0</v>
      </c>
      <c r="F164" s="23">
        <f>'Annual Raw'!G51</f>
        <v>0</v>
      </c>
      <c r="G164" s="23">
        <f>'Annual Raw'!H51</f>
        <v>0</v>
      </c>
      <c r="H164" s="23">
        <f>'Annual Raw'!I51</f>
        <v>0</v>
      </c>
      <c r="I164" s="23">
        <f>'Annual Raw'!J51</f>
        <v>0</v>
      </c>
      <c r="J164" s="23">
        <f>'Annual Raw'!K51</f>
        <v>0</v>
      </c>
      <c r="K164" s="23">
        <f>'Annual Raw'!L51</f>
        <v>0</v>
      </c>
      <c r="L164" s="23">
        <f>'Annual Raw'!M51</f>
        <v>0</v>
      </c>
      <c r="M164" s="23">
        <f>'Annual Raw'!N51</f>
        <v>0</v>
      </c>
      <c r="N164" s="23">
        <f>'Annual Raw'!O51</f>
        <v>0</v>
      </c>
      <c r="O164" s="23">
        <f>'Annual Raw'!P51</f>
        <v>0</v>
      </c>
      <c r="P164" s="23">
        <f>'Annual Raw'!Q51</f>
        <v>0</v>
      </c>
      <c r="Q164" s="23">
        <f>'Annual Raw'!R51</f>
        <v>0</v>
      </c>
      <c r="R164" s="23">
        <f>'Annual Raw'!S51</f>
        <v>0</v>
      </c>
      <c r="S164" s="23">
        <f>'Annual Raw'!T51</f>
        <v>0</v>
      </c>
      <c r="T164" s="23">
        <f>'Annual Raw'!U51</f>
        <v>0</v>
      </c>
      <c r="U164" s="23">
        <f>'Annual Raw'!V51</f>
        <v>0</v>
      </c>
      <c r="V164" s="23">
        <f>'Annual Raw'!W51</f>
        <v>0</v>
      </c>
      <c r="W164" s="23">
        <f>'Annual Raw'!X51</f>
        <v>0</v>
      </c>
      <c r="X164" s="23">
        <f>'Annual Raw'!Y51</f>
        <v>0</v>
      </c>
      <c r="Y164" s="23">
        <f>'Annual Raw'!Z51</f>
        <v>0</v>
      </c>
      <c r="Z164" s="23">
        <f>'Annual Raw'!AA51</f>
        <v>0</v>
      </c>
      <c r="AA164" s="23">
        <f>'Annual Raw'!AB51</f>
        <v>0</v>
      </c>
      <c r="AB164" s="24">
        <f t="shared" si="1290"/>
        <v>0</v>
      </c>
      <c r="AC164" s="24">
        <f t="shared" si="1291"/>
        <v>0</v>
      </c>
      <c r="AD164" s="24">
        <f t="shared" si="1292"/>
        <v>0</v>
      </c>
      <c r="AE164" s="24">
        <f t="shared" si="1293"/>
        <v>0</v>
      </c>
      <c r="AJ164" s="23">
        <f>+'QTR Raw'!D65</f>
        <v>0</v>
      </c>
      <c r="AK164" s="23">
        <f t="shared" si="1294"/>
        <v>0</v>
      </c>
      <c r="AL164" s="23">
        <f>+'QTR Raw'!F65</f>
        <v>0</v>
      </c>
      <c r="AM164" s="23">
        <f t="shared" si="1294"/>
        <v>0</v>
      </c>
      <c r="AN164" s="23">
        <f>+'QTR Raw'!H65</f>
        <v>0</v>
      </c>
      <c r="AO164" s="23">
        <f t="shared" si="1294"/>
        <v>0</v>
      </c>
      <c r="AP164" s="23">
        <f>+'QTR Raw'!J65</f>
        <v>0</v>
      </c>
      <c r="AQ164" s="23">
        <f t="shared" si="1294"/>
        <v>0</v>
      </c>
      <c r="AR164" s="23">
        <f>+'QTR Raw'!L65</f>
        <v>0</v>
      </c>
      <c r="AS164" s="23">
        <f t="shared" si="1294"/>
        <v>0</v>
      </c>
      <c r="AT164" s="23">
        <f>+'QTR Raw'!N65</f>
        <v>0</v>
      </c>
      <c r="AU164" s="23">
        <f t="shared" si="1294"/>
        <v>0</v>
      </c>
      <c r="AV164" s="23">
        <f>+'QTR Raw'!P65</f>
        <v>0</v>
      </c>
      <c r="AW164" s="23">
        <f t="shared" si="1294"/>
        <v>0</v>
      </c>
      <c r="AX164" s="23">
        <f>+'QTR Raw'!R65</f>
        <v>0</v>
      </c>
      <c r="AY164" s="23">
        <f t="shared" si="1294"/>
        <v>0</v>
      </c>
      <c r="AZ164" s="23">
        <f>+'QTR Raw'!T65</f>
        <v>0</v>
      </c>
      <c r="BA164" s="23">
        <f t="shared" si="1294"/>
        <v>0</v>
      </c>
      <c r="BB164" s="23">
        <f>+'QTR Raw'!V65</f>
        <v>0</v>
      </c>
      <c r="BC164" s="23">
        <f t="shared" si="1294"/>
        <v>0</v>
      </c>
      <c r="BD164" s="23">
        <f>+'QTR Raw'!X65</f>
        <v>0</v>
      </c>
      <c r="BE164" s="23">
        <f t="shared" si="1294"/>
        <v>0</v>
      </c>
      <c r="BF164" s="23">
        <f>+'QTR Raw'!Z65</f>
        <v>0</v>
      </c>
      <c r="BG164" s="23">
        <f t="shared" si="1294"/>
        <v>0</v>
      </c>
      <c r="BH164" s="23">
        <f>+'QTR Raw'!AB65</f>
        <v>0</v>
      </c>
      <c r="BI164" s="23">
        <f t="shared" si="1294"/>
        <v>0</v>
      </c>
      <c r="BJ164" s="23">
        <f>+'QTR Raw'!AD65</f>
        <v>0</v>
      </c>
      <c r="BK164" s="23">
        <f t="shared" si="1294"/>
        <v>0</v>
      </c>
      <c r="BL164" s="23">
        <f>+'QTR Raw'!AF65</f>
        <v>0</v>
      </c>
      <c r="BM164" s="23">
        <f t="shared" si="1294"/>
        <v>0</v>
      </c>
      <c r="BN164" s="23">
        <f>+'QTR Raw'!AH65</f>
        <v>0</v>
      </c>
      <c r="BO164" s="23">
        <f t="shared" si="1294"/>
        <v>0</v>
      </c>
      <c r="BP164" s="23">
        <f>+'QTR Raw'!AJ65</f>
        <v>0</v>
      </c>
      <c r="BQ164" s="23">
        <f t="shared" si="1294"/>
        <v>0</v>
      </c>
      <c r="BR164" s="23">
        <f>+'QTR Raw'!AL65</f>
        <v>0</v>
      </c>
      <c r="BS164" s="23">
        <f t="shared" si="1294"/>
        <v>0</v>
      </c>
      <c r="BT164" s="23">
        <f>+'QTR Raw'!AN65</f>
        <v>0</v>
      </c>
      <c r="BU164" s="23">
        <f t="shared" si="1294"/>
        <v>0</v>
      </c>
      <c r="BV164" s="23">
        <f>+'QTR Raw'!AP65</f>
        <v>0</v>
      </c>
      <c r="BW164" s="23">
        <f t="shared" si="1294"/>
        <v>0</v>
      </c>
      <c r="BX164" s="23">
        <f>+'QTR Raw'!AR65</f>
        <v>0</v>
      </c>
      <c r="BY164" s="23">
        <f t="shared" si="1294"/>
        <v>0</v>
      </c>
      <c r="BZ164" s="23">
        <f>+'QTR Raw'!AT65</f>
        <v>0</v>
      </c>
      <c r="CA164" s="23">
        <f t="shared" si="1294"/>
        <v>0</v>
      </c>
      <c r="CB164" s="23">
        <f>+'QTR Raw'!AV65</f>
        <v>0</v>
      </c>
      <c r="CC164" s="23">
        <f t="shared" si="1294"/>
        <v>0</v>
      </c>
      <c r="CD164" s="23">
        <f>+'QTR Raw'!AX65</f>
        <v>0</v>
      </c>
      <c r="CE164" s="23">
        <f t="shared" si="1294"/>
        <v>0</v>
      </c>
      <c r="CF164" s="23">
        <f>+'QTR Raw'!AZ65</f>
        <v>0</v>
      </c>
      <c r="CG164" s="23">
        <f t="shared" si="1295"/>
        <v>0</v>
      </c>
      <c r="CH164" s="23">
        <f t="shared" si="1248"/>
        <v>0</v>
      </c>
      <c r="CJ164" s="23">
        <f>+'QTR Raw'!BD65</f>
        <v>0</v>
      </c>
      <c r="CL164" s="23">
        <f>+'QTR Raw'!BF65</f>
        <v>0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3"/>
      <c r="DF164" s="23">
        <v>0</v>
      </c>
    </row>
    <row r="165" spans="1:110" s="23" customFormat="1" outlineLevel="1" x14ac:dyDescent="0.2">
      <c r="A165" s="23" t="s">
        <v>68</v>
      </c>
      <c r="B165" s="23">
        <f>'Annual Raw'!C52</f>
        <v>0</v>
      </c>
      <c r="C165" s="23">
        <f>'Annual Raw'!D52</f>
        <v>0</v>
      </c>
      <c r="D165" s="23">
        <f>'Annual Raw'!E52</f>
        <v>0</v>
      </c>
      <c r="E165" s="23">
        <f>'Annual Raw'!F52</f>
        <v>0</v>
      </c>
      <c r="F165" s="23">
        <f>'Annual Raw'!G52</f>
        <v>0</v>
      </c>
      <c r="G165" s="23">
        <f>'Annual Raw'!H52</f>
        <v>0</v>
      </c>
      <c r="H165" s="23">
        <f>'Annual Raw'!I52</f>
        <v>0</v>
      </c>
      <c r="I165" s="23">
        <f>'Annual Raw'!J52</f>
        <v>0</v>
      </c>
      <c r="J165" s="23">
        <f>'Annual Raw'!K52</f>
        <v>0</v>
      </c>
      <c r="K165" s="23">
        <f>'Annual Raw'!L52</f>
        <v>0</v>
      </c>
      <c r="L165" s="23">
        <f>'Annual Raw'!M52</f>
        <v>88.317800000000005</v>
      </c>
      <c r="M165" s="23">
        <f>'Annual Raw'!N52</f>
        <v>173.98519999999999</v>
      </c>
      <c r="N165" s="23">
        <f>'Annual Raw'!O52</f>
        <v>203.1523</v>
      </c>
      <c r="O165" s="23">
        <f>'Annual Raw'!P52</f>
        <v>218.5138</v>
      </c>
      <c r="P165" s="23">
        <f>'Annual Raw'!Q52</f>
        <v>1540.95</v>
      </c>
      <c r="Q165" s="23">
        <f>'Annual Raw'!R52</f>
        <v>291.76</v>
      </c>
      <c r="R165" s="23">
        <f>'Annual Raw'!S52</f>
        <v>198.92</v>
      </c>
      <c r="S165" s="23">
        <f>'Annual Raw'!T52</f>
        <v>161.19</v>
      </c>
      <c r="T165" s="23">
        <f>'Annual Raw'!U52</f>
        <v>169.11</v>
      </c>
      <c r="U165" s="23">
        <f>'Annual Raw'!V52</f>
        <v>200.08</v>
      </c>
      <c r="V165" s="23">
        <f>'Annual Raw'!W52</f>
        <v>207.33</v>
      </c>
      <c r="W165" s="23">
        <f>'Annual Raw'!X52</f>
        <v>189.08</v>
      </c>
      <c r="X165" s="23">
        <f>'Annual Raw'!Y52</f>
        <v>167.49</v>
      </c>
      <c r="Y165" s="23">
        <f>'Annual Raw'!Z52</f>
        <v>225.69</v>
      </c>
      <c r="Z165" s="23">
        <f>'Annual Raw'!AA52</f>
        <v>204.91</v>
      </c>
      <c r="AA165" s="23">
        <f>'Annual Raw'!AB52</f>
        <v>216.42</v>
      </c>
      <c r="AB165" s="24">
        <f t="shared" si="1290"/>
        <v>0</v>
      </c>
      <c r="AC165" s="24">
        <f t="shared" si="1291"/>
        <v>0</v>
      </c>
      <c r="AD165" s="24">
        <f t="shared" si="1292"/>
        <v>0</v>
      </c>
      <c r="AE165" s="24">
        <f t="shared" si="1293"/>
        <v>0</v>
      </c>
      <c r="AJ165" s="23">
        <f>+'QTR Raw'!D66</f>
        <v>193.48</v>
      </c>
      <c r="AK165" s="23">
        <f t="shared" si="1294"/>
        <v>193.48</v>
      </c>
      <c r="AL165" s="23">
        <f>+'QTR Raw'!F66</f>
        <v>203.15</v>
      </c>
      <c r="AM165" s="23">
        <f t="shared" si="1294"/>
        <v>203.15</v>
      </c>
      <c r="AN165" s="23">
        <f>+'QTR Raw'!H66</f>
        <v>225.82</v>
      </c>
      <c r="AO165" s="23">
        <f t="shared" si="1294"/>
        <v>225.82</v>
      </c>
      <c r="AP165" s="23">
        <f>+'QTR Raw'!J66</f>
        <v>218.51</v>
      </c>
      <c r="AQ165" s="23">
        <f t="shared" si="1294"/>
        <v>218.51</v>
      </c>
      <c r="AR165" s="23">
        <f>+'QTR Raw'!L66</f>
        <v>246.49</v>
      </c>
      <c r="AS165" s="23">
        <f t="shared" si="1294"/>
        <v>246.49</v>
      </c>
      <c r="AT165" s="23">
        <f>+'QTR Raw'!N66</f>
        <v>224.99</v>
      </c>
      <c r="AU165" s="23">
        <f t="shared" si="1294"/>
        <v>224.99</v>
      </c>
      <c r="AV165" s="23">
        <f>+'QTR Raw'!P66</f>
        <v>258.18</v>
      </c>
      <c r="AW165" s="23">
        <f t="shared" si="1294"/>
        <v>258.18</v>
      </c>
      <c r="AX165" s="23">
        <f>+'QTR Raw'!R66</f>
        <v>291.76</v>
      </c>
      <c r="AY165" s="23">
        <f t="shared" si="1294"/>
        <v>291.76</v>
      </c>
      <c r="AZ165" s="23">
        <f>+'QTR Raw'!T66</f>
        <v>308.76</v>
      </c>
      <c r="BA165" s="23">
        <f t="shared" si="1294"/>
        <v>308.76</v>
      </c>
      <c r="BB165" s="23">
        <f>+'QTR Raw'!V66</f>
        <v>198.92</v>
      </c>
      <c r="BC165" s="23">
        <f t="shared" si="1294"/>
        <v>198.92</v>
      </c>
      <c r="BD165" s="23">
        <f>+'QTR Raw'!X66</f>
        <v>175.45</v>
      </c>
      <c r="BE165" s="23">
        <f t="shared" si="1294"/>
        <v>175.45</v>
      </c>
      <c r="BF165" s="23">
        <f>+'QTR Raw'!Z66</f>
        <v>144.22</v>
      </c>
      <c r="BG165" s="23">
        <f t="shared" si="1294"/>
        <v>144.22</v>
      </c>
      <c r="BH165" s="23">
        <f>+'QTR Raw'!AB66</f>
        <v>148.93</v>
      </c>
      <c r="BI165" s="23">
        <f t="shared" si="1294"/>
        <v>148.93</v>
      </c>
      <c r="BJ165" s="23">
        <f>+'QTR Raw'!AD66</f>
        <v>152.21</v>
      </c>
      <c r="BK165" s="23">
        <f t="shared" si="1294"/>
        <v>152.21</v>
      </c>
      <c r="BL165" s="23">
        <f>+'QTR Raw'!AF66</f>
        <v>163.32</v>
      </c>
      <c r="BM165" s="23">
        <f t="shared" si="1294"/>
        <v>163.32</v>
      </c>
      <c r="BN165" s="23">
        <f>+'QTR Raw'!AH66</f>
        <v>183.22</v>
      </c>
      <c r="BO165" s="23">
        <f t="shared" si="1294"/>
        <v>183.22</v>
      </c>
      <c r="BP165" s="23">
        <f>+'QTR Raw'!AJ66</f>
        <v>197.86</v>
      </c>
      <c r="BQ165" s="23">
        <f t="shared" si="1294"/>
        <v>197.86</v>
      </c>
      <c r="BR165" s="23">
        <f>+'QTR Raw'!AL66</f>
        <v>192.46</v>
      </c>
      <c r="BS165" s="23">
        <f t="shared" si="1294"/>
        <v>192.46</v>
      </c>
      <c r="BT165" s="23">
        <f>+'QTR Raw'!AN66</f>
        <v>197.41</v>
      </c>
      <c r="BU165" s="23">
        <f t="shared" si="1294"/>
        <v>197.41</v>
      </c>
      <c r="BV165" s="23">
        <f>+'QTR Raw'!AP66</f>
        <v>175.59</v>
      </c>
      <c r="BW165" s="23">
        <f t="shared" si="1294"/>
        <v>175.59</v>
      </c>
      <c r="BX165" s="23">
        <f>+'QTR Raw'!AR66</f>
        <v>174.11</v>
      </c>
      <c r="BY165" s="23">
        <f t="shared" si="1294"/>
        <v>174.11</v>
      </c>
      <c r="BZ165" s="23">
        <f>+'QTR Raw'!AT66</f>
        <v>167.49</v>
      </c>
      <c r="CA165" s="23">
        <f t="shared" si="1294"/>
        <v>167.49</v>
      </c>
      <c r="CB165" s="23">
        <f>+'QTR Raw'!AV66</f>
        <v>178.84</v>
      </c>
      <c r="CC165" s="23">
        <f t="shared" si="1294"/>
        <v>178.84</v>
      </c>
      <c r="CD165" s="23">
        <f>+'QTR Raw'!AX66</f>
        <v>225.69</v>
      </c>
      <c r="CE165" s="23">
        <f t="shared" si="1294"/>
        <v>225.69</v>
      </c>
      <c r="CF165" s="23">
        <f>+'QTR Raw'!AZ66</f>
        <v>246.67</v>
      </c>
      <c r="CG165" s="23">
        <f t="shared" si="1295"/>
        <v>246.67</v>
      </c>
      <c r="CH165" s="23">
        <f t="shared" si="1248"/>
        <v>204.91</v>
      </c>
      <c r="CJ165" s="23">
        <f>+'QTR Raw'!BD66</f>
        <v>195.18</v>
      </c>
      <c r="CL165" s="23">
        <f>+'QTR Raw'!BF66</f>
        <v>216.42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216.42</v>
      </c>
    </row>
    <row r="166" spans="1:110" s="23" customFormat="1" outlineLevel="1" x14ac:dyDescent="0.2">
      <c r="A166" s="23" t="s">
        <v>69</v>
      </c>
      <c r="B166" s="23">
        <v>0</v>
      </c>
      <c r="C166" s="23">
        <v>0</v>
      </c>
      <c r="D166" s="23">
        <v>0</v>
      </c>
      <c r="E166" s="23">
        <v>0</v>
      </c>
      <c r="F166" s="23">
        <v>0</v>
      </c>
      <c r="G166" s="23">
        <v>0</v>
      </c>
      <c r="H166" s="23">
        <v>0</v>
      </c>
      <c r="I166" s="23">
        <v>0</v>
      </c>
      <c r="J166" s="23">
        <v>0</v>
      </c>
      <c r="K166" s="23">
        <v>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23">
        <v>0</v>
      </c>
      <c r="R166" s="23">
        <v>0</v>
      </c>
      <c r="S166" s="23">
        <v>0</v>
      </c>
      <c r="T166" s="23">
        <v>0</v>
      </c>
      <c r="U166" s="23">
        <v>0</v>
      </c>
      <c r="V166" s="23">
        <v>0</v>
      </c>
      <c r="W166" s="23">
        <v>0</v>
      </c>
      <c r="X166" s="23">
        <v>0</v>
      </c>
      <c r="Y166" s="23">
        <v>0</v>
      </c>
      <c r="Z166" s="23">
        <v>0</v>
      </c>
      <c r="AA166" s="23">
        <v>0</v>
      </c>
      <c r="AB166" s="24">
        <f t="shared" si="1290"/>
        <v>3497.4648196762791</v>
      </c>
      <c r="AC166" s="24">
        <f t="shared" si="1291"/>
        <v>3966.2170129452888</v>
      </c>
      <c r="AD166" s="24">
        <f t="shared" si="1292"/>
        <v>4512.4488053332207</v>
      </c>
      <c r="AE166" s="24">
        <f t="shared" si="1293"/>
        <v>5143.5722282390598</v>
      </c>
      <c r="AJ166" s="23">
        <f>+'QTR Raw'!D87</f>
        <v>1559.89</v>
      </c>
      <c r="AK166" s="23">
        <f t="shared" si="1294"/>
        <v>1559.89</v>
      </c>
      <c r="AL166" s="23">
        <f>+'QTR Raw'!F87</f>
        <v>0</v>
      </c>
      <c r="AM166" s="23">
        <f t="shared" si="1294"/>
        <v>0</v>
      </c>
      <c r="AN166" s="23">
        <f>+'QTR Raw'!H87</f>
        <v>0</v>
      </c>
      <c r="AO166" s="23">
        <f t="shared" si="1294"/>
        <v>0</v>
      </c>
      <c r="AP166" s="23">
        <f>+'QTR Raw'!J87</f>
        <v>0</v>
      </c>
      <c r="AQ166" s="23">
        <f t="shared" si="1294"/>
        <v>0</v>
      </c>
      <c r="AR166" s="23">
        <f>+'QTR Raw'!L87</f>
        <v>0</v>
      </c>
      <c r="AS166" s="23">
        <f t="shared" si="1294"/>
        <v>0</v>
      </c>
      <c r="AT166" s="23">
        <f>+'QTR Raw'!N87</f>
        <v>0</v>
      </c>
      <c r="AU166" s="23">
        <f t="shared" si="1294"/>
        <v>0</v>
      </c>
      <c r="AV166" s="23">
        <f>+'QTR Raw'!P87</f>
        <v>0</v>
      </c>
      <c r="AW166" s="23">
        <f t="shared" si="1294"/>
        <v>0</v>
      </c>
      <c r="AX166" s="23">
        <f>+'QTR Raw'!R87</f>
        <v>0</v>
      </c>
      <c r="AY166" s="23">
        <f t="shared" si="1294"/>
        <v>0</v>
      </c>
      <c r="AZ166" s="23">
        <f>+'QTR Raw'!T87</f>
        <v>0</v>
      </c>
      <c r="BA166" s="23">
        <f t="shared" si="1294"/>
        <v>0</v>
      </c>
      <c r="BB166" s="23">
        <f>+'QTR Raw'!V87</f>
        <v>0</v>
      </c>
      <c r="BC166" s="23">
        <f t="shared" si="1294"/>
        <v>0</v>
      </c>
      <c r="BD166" s="23">
        <f>+'QTR Raw'!X87</f>
        <v>0</v>
      </c>
      <c r="BE166" s="23">
        <f t="shared" si="1294"/>
        <v>0</v>
      </c>
      <c r="BF166" s="23">
        <f>+'QTR Raw'!Z87</f>
        <v>0</v>
      </c>
      <c r="BG166" s="23">
        <f t="shared" si="1294"/>
        <v>0</v>
      </c>
      <c r="BH166" s="23">
        <f>+'QTR Raw'!AB87</f>
        <v>0</v>
      </c>
      <c r="BI166" s="23">
        <f t="shared" si="1294"/>
        <v>0</v>
      </c>
      <c r="BJ166" s="23">
        <f>+'QTR Raw'!AD87</f>
        <v>0</v>
      </c>
      <c r="BK166" s="23">
        <f t="shared" si="1294"/>
        <v>0</v>
      </c>
      <c r="BL166" s="23">
        <f>+'QTR Raw'!AF87</f>
        <v>0</v>
      </c>
      <c r="BM166" s="23">
        <f t="shared" si="1294"/>
        <v>0</v>
      </c>
      <c r="BN166" s="23">
        <f>+'QTR Raw'!AH87</f>
        <v>0</v>
      </c>
      <c r="BO166" s="23">
        <f t="shared" si="1294"/>
        <v>0</v>
      </c>
      <c r="BP166" s="23">
        <f>+'QTR Raw'!AJ87</f>
        <v>0</v>
      </c>
      <c r="BQ166" s="23">
        <f t="shared" si="1294"/>
        <v>0</v>
      </c>
      <c r="BR166" s="23">
        <f>+'QTR Raw'!AL87</f>
        <v>0</v>
      </c>
      <c r="BS166" s="23">
        <f t="shared" si="1294"/>
        <v>0</v>
      </c>
      <c r="BT166" s="23">
        <f>+'QTR Raw'!AN87</f>
        <v>0</v>
      </c>
      <c r="BU166" s="23">
        <f t="shared" si="1294"/>
        <v>0</v>
      </c>
      <c r="BV166" s="23">
        <f>+'QTR Raw'!AP87</f>
        <v>0</v>
      </c>
      <c r="BW166" s="23">
        <f t="shared" si="1294"/>
        <v>0</v>
      </c>
      <c r="BX166" s="23">
        <f>+'QTR Raw'!AR87</f>
        <v>0</v>
      </c>
      <c r="BY166" s="23">
        <f t="shared" si="1294"/>
        <v>0</v>
      </c>
      <c r="BZ166" s="23">
        <f>+'QTR Raw'!AT87</f>
        <v>0</v>
      </c>
      <c r="CA166" s="23">
        <f t="shared" si="1294"/>
        <v>0</v>
      </c>
      <c r="CB166" s="23">
        <f>+'QTR Raw'!AV87</f>
        <v>0</v>
      </c>
      <c r="CC166" s="23">
        <f t="shared" si="1294"/>
        <v>0</v>
      </c>
      <c r="CD166" s="23">
        <f>+'QTR Raw'!AX87</f>
        <v>0</v>
      </c>
      <c r="CE166" s="23">
        <f t="shared" si="1294"/>
        <v>0</v>
      </c>
      <c r="CF166" s="23">
        <f>+'QTR Raw'!AZ87</f>
        <v>0</v>
      </c>
      <c r="CG166" s="23">
        <f t="shared" si="1295"/>
        <v>0</v>
      </c>
      <c r="CH166" s="23">
        <f t="shared" si="1248"/>
        <v>0</v>
      </c>
      <c r="CI166" s="23">
        <f>CI24/90*CI198</f>
        <v>3155.6307678886856</v>
      </c>
      <c r="CJ166" s="23">
        <f>+'QTR Raw'!BD87</f>
        <v>0</v>
      </c>
      <c r="CK166" s="23">
        <f t="shared" ref="CK166:DB166" si="1296">CK24/90*CK198</f>
        <v>3219.3277834833575</v>
      </c>
      <c r="CL166" s="23">
        <f>+'QTR Raw'!BF87</f>
        <v>0</v>
      </c>
      <c r="CM166" s="24">
        <f t="shared" si="1296"/>
        <v>3075.3700640055131</v>
      </c>
      <c r="CN166" s="24">
        <f t="shared" si="1296"/>
        <v>3227.2383339345561</v>
      </c>
      <c r="CO166" s="24">
        <f t="shared" si="1296"/>
        <v>3296.5464685249808</v>
      </c>
      <c r="CP166" s="24">
        <f t="shared" si="1296"/>
        <v>3497.4648196762791</v>
      </c>
      <c r="CQ166" s="24">
        <f t="shared" si="1296"/>
        <v>3494.1098454955572</v>
      </c>
      <c r="CR166" s="24">
        <f t="shared" si="1296"/>
        <v>3669.3019781951816</v>
      </c>
      <c r="CS166" s="24">
        <f t="shared" si="1296"/>
        <v>3733.3415252521122</v>
      </c>
      <c r="CT166" s="24">
        <f t="shared" si="1296"/>
        <v>3966.2170129452888</v>
      </c>
      <c r="CU166" s="24">
        <f t="shared" si="1296"/>
        <v>3965.798080822864</v>
      </c>
      <c r="CV166" s="24">
        <f t="shared" si="1296"/>
        <v>4168.729476614214</v>
      </c>
      <c r="CW166" s="24">
        <f t="shared" si="1296"/>
        <v>4233.449319575775</v>
      </c>
      <c r="CX166" s="24">
        <f t="shared" si="1296"/>
        <v>4512.4488053332207</v>
      </c>
      <c r="CY166" s="24">
        <f t="shared" si="1296"/>
        <v>4504.4445760515855</v>
      </c>
      <c r="CZ166" s="24">
        <f t="shared" si="1296"/>
        <v>4741.8956953812403</v>
      </c>
      <c r="DA166" s="24">
        <f t="shared" si="1296"/>
        <v>4808.0737701809521</v>
      </c>
      <c r="DB166" s="24">
        <f t="shared" si="1296"/>
        <v>5143.5722282390598</v>
      </c>
      <c r="DE166" s="123"/>
      <c r="DF166" s="23">
        <v>3360.7882346473612</v>
      </c>
    </row>
    <row r="167" spans="1:110" s="23" customFormat="1" outlineLevel="1" x14ac:dyDescent="0.2">
      <c r="A167" s="23" t="s">
        <v>70</v>
      </c>
      <c r="B167" s="23">
        <f>'Annual Raw'!C54</f>
        <v>106.8548</v>
      </c>
      <c r="C167" s="23">
        <f>'Annual Raw'!D54</f>
        <v>293.50700000000001</v>
      </c>
      <c r="D167" s="23">
        <f>'Annual Raw'!E54</f>
        <v>185.46119999999999</v>
      </c>
      <c r="E167" s="23">
        <f>'Annual Raw'!F54</f>
        <v>268.21820000000002</v>
      </c>
      <c r="F167" s="23">
        <f>'Annual Raw'!G54</f>
        <v>297.00119999999998</v>
      </c>
      <c r="G167" s="23">
        <f>'Annual Raw'!H54</f>
        <v>579.58150000000001</v>
      </c>
      <c r="H167" s="23">
        <f>'Annual Raw'!I54</f>
        <v>688.76139999999998</v>
      </c>
      <c r="I167" s="23">
        <f>'Annual Raw'!J54</f>
        <v>769.49099999999999</v>
      </c>
      <c r="J167" s="23">
        <f>'Annual Raw'!K54</f>
        <v>899.58050000000003</v>
      </c>
      <c r="K167" s="23">
        <f>'Annual Raw'!L54</f>
        <v>949.33600000000001</v>
      </c>
      <c r="L167" s="23">
        <f>'Annual Raw'!M54</f>
        <v>830.04679999999996</v>
      </c>
      <c r="M167" s="23">
        <f>'Annual Raw'!N54</f>
        <v>805.22119999999995</v>
      </c>
      <c r="N167" s="23">
        <f>'Annual Raw'!O54</f>
        <v>790.33550000000002</v>
      </c>
      <c r="O167" s="23">
        <f>'Annual Raw'!P54</f>
        <v>768.88109999999995</v>
      </c>
      <c r="P167" s="23">
        <f>'Annual Raw'!Q54</f>
        <v>759.37</v>
      </c>
      <c r="Q167" s="23">
        <f>'Annual Raw'!R54</f>
        <v>677.3</v>
      </c>
      <c r="R167" s="23">
        <f>'Annual Raw'!S54</f>
        <v>737.76</v>
      </c>
      <c r="S167" s="23">
        <f>'Annual Raw'!T54</f>
        <v>705.73</v>
      </c>
      <c r="T167" s="23">
        <f>'Annual Raw'!U54</f>
        <v>664.9</v>
      </c>
      <c r="U167" s="23">
        <f>'Annual Raw'!V54</f>
        <v>943.99</v>
      </c>
      <c r="V167" s="23">
        <f>'Annual Raw'!W54</f>
        <v>1625.47</v>
      </c>
      <c r="W167" s="23">
        <f>'Annual Raw'!X54</f>
        <v>1915.85</v>
      </c>
      <c r="X167" s="23">
        <f>'Annual Raw'!Y54</f>
        <v>2348.1799999999998</v>
      </c>
      <c r="Y167" s="23">
        <f>'Annual Raw'!Z54</f>
        <v>2707.15</v>
      </c>
      <c r="Z167" s="23">
        <f>'Annual Raw'!AA54</f>
        <v>3508.43</v>
      </c>
      <c r="AA167" s="23">
        <f>'Annual Raw'!AB54</f>
        <v>3875.3</v>
      </c>
      <c r="AB167" s="24">
        <f t="shared" si="1290"/>
        <v>4416.2608675946913</v>
      </c>
      <c r="AC167" s="24">
        <f t="shared" si="1291"/>
        <v>5008.1558756836412</v>
      </c>
      <c r="AD167" s="24">
        <f t="shared" si="1292"/>
        <v>5697.8846402984091</v>
      </c>
      <c r="AE167" s="24">
        <f t="shared" si="1293"/>
        <v>6494.8063590019165</v>
      </c>
      <c r="AJ167" s="23">
        <f>+'QTR Raw'!D89</f>
        <v>0</v>
      </c>
      <c r="AK167" s="23">
        <f>+AK197*AK24/90</f>
        <v>0</v>
      </c>
      <c r="AL167" s="23">
        <f>+'QTR Raw'!F89</f>
        <v>790.34</v>
      </c>
      <c r="AM167" s="23">
        <f>+AM197*AM24/90</f>
        <v>774.93915998918646</v>
      </c>
      <c r="AN167" s="23">
        <f>+'QTR Raw'!H89</f>
        <v>980.92</v>
      </c>
      <c r="AO167" s="23">
        <f>+AO197*AO24/90</f>
        <v>1055.6299940004551</v>
      </c>
      <c r="AP167" s="23">
        <f>+'QTR Raw'!J89</f>
        <v>768.88</v>
      </c>
      <c r="AQ167" s="23">
        <f>+AQ197*AQ24/90</f>
        <v>769.17387590121098</v>
      </c>
      <c r="AR167" s="23">
        <f>+'QTR Raw'!L89</f>
        <v>898.11</v>
      </c>
      <c r="AS167" s="23">
        <f>+AS197*AS24/90</f>
        <v>952.34141787348699</v>
      </c>
      <c r="AT167" s="23">
        <f>+'QTR Raw'!N89</f>
        <v>759.37</v>
      </c>
      <c r="AU167" s="23">
        <f>+AU197*AU24/90</f>
        <v>660.44434847736193</v>
      </c>
      <c r="AV167" s="23">
        <f>+'QTR Raw'!P89</f>
        <v>885.7</v>
      </c>
      <c r="AW167" s="23">
        <f>+AW197*AW24/90</f>
        <v>901.70090568750186</v>
      </c>
      <c r="AX167" s="23">
        <f>+'QTR Raw'!R89</f>
        <v>677.3</v>
      </c>
      <c r="AY167" s="23">
        <f>+AY197*AY24/90</f>
        <v>735.40029280195211</v>
      </c>
      <c r="AZ167" s="23">
        <f>+'QTR Raw'!T89</f>
        <v>763.31</v>
      </c>
      <c r="BA167" s="23">
        <f>+BA197*BA24/90</f>
        <v>819.40832379566359</v>
      </c>
      <c r="BB167" s="23">
        <f>+'QTR Raw'!V89</f>
        <v>737.76</v>
      </c>
      <c r="BC167" s="23">
        <f>+BC197*BC24/90</f>
        <v>747.60721011670842</v>
      </c>
      <c r="BD167" s="23">
        <f>+'QTR Raw'!X89</f>
        <v>703.26</v>
      </c>
      <c r="BE167" s="23">
        <f>+BE197*BE24/90</f>
        <v>719.15684955145559</v>
      </c>
      <c r="BF167" s="23">
        <f>+'QTR Raw'!Z89</f>
        <v>705.73</v>
      </c>
      <c r="BG167" s="23">
        <f>+BG197*BG24/90</f>
        <v>753.4599861999526</v>
      </c>
      <c r="BH167" s="23">
        <f>+'QTR Raw'!AB89</f>
        <v>825.79</v>
      </c>
      <c r="BI167" s="23">
        <f>+BI197*BI24/90</f>
        <v>896.93699035136035</v>
      </c>
      <c r="BJ167" s="23">
        <f>+'QTR Raw'!AD89</f>
        <v>664.9</v>
      </c>
      <c r="BK167" s="23">
        <f>+BK197*BK24/90</f>
        <v>895.92565532312756</v>
      </c>
      <c r="BL167" s="23">
        <f>+'QTR Raw'!AF89</f>
        <v>760.62</v>
      </c>
      <c r="BM167" s="23">
        <f>+BM197*BM24/90</f>
        <v>807.89888465192769</v>
      </c>
      <c r="BN167" s="23">
        <f>+'QTR Raw'!AH89</f>
        <v>943.99</v>
      </c>
      <c r="BO167" s="23">
        <f>+BO197*BO24/90</f>
        <v>1065.2274195748078</v>
      </c>
      <c r="BP167" s="23">
        <f>+'QTR Raw'!AJ89</f>
        <v>1431.23</v>
      </c>
      <c r="BQ167" s="23">
        <f>+BQ197*BQ24/90</f>
        <v>1579.5430831182089</v>
      </c>
      <c r="BR167" s="23">
        <f>+'QTR Raw'!AL89</f>
        <v>1625.47</v>
      </c>
      <c r="BS167" s="23">
        <f>+BS197*BS24/90</f>
        <v>1610.0781228228445</v>
      </c>
      <c r="BT167" s="23">
        <f>+'QTR Raw'!AN89</f>
        <v>1505.41</v>
      </c>
      <c r="BU167" s="23">
        <f>+BU197*BU24/90</f>
        <v>1592.3957297436305</v>
      </c>
      <c r="BV167" s="23">
        <f>+'QTR Raw'!AP89</f>
        <v>1915.85</v>
      </c>
      <c r="BW167" s="23">
        <f>+BW197*BW24/90</f>
        <v>2007.2076536573231</v>
      </c>
      <c r="BX167" s="23">
        <f>+'QTR Raw'!AR89</f>
        <v>1889.84</v>
      </c>
      <c r="BY167" s="23">
        <f>+BY197*BY24/90</f>
        <v>1952.4965647254721</v>
      </c>
      <c r="BZ167" s="23">
        <f>+'QTR Raw'!AT89</f>
        <v>2348.1799999999998</v>
      </c>
      <c r="CA167" s="23">
        <f>+CA197*CA24/90</f>
        <v>2427.6568016403544</v>
      </c>
      <c r="CB167" s="23">
        <f>+'QTR Raw'!AV89</f>
        <v>1912.25</v>
      </c>
      <c r="CC167" s="23">
        <f>+CC197*CC24/90</f>
        <v>1948.1720990524345</v>
      </c>
      <c r="CD167" s="23">
        <f>+'QTR Raw'!AX89</f>
        <v>2707.15</v>
      </c>
      <c r="CE167" s="23">
        <f>+CE197*CE24/90</f>
        <v>3000.2256974896482</v>
      </c>
      <c r="CF167" s="23">
        <f>+'QTR Raw'!AZ89</f>
        <v>2542.58</v>
      </c>
      <c r="CG167" s="23">
        <f>+CG197*CG24/90</f>
        <v>2680.8021888502658</v>
      </c>
      <c r="CH167" s="23">
        <f t="shared" si="1248"/>
        <v>3508.43</v>
      </c>
      <c r="CI167" s="23">
        <f>+CI197*CI24/90</f>
        <v>3638.3834129663942</v>
      </c>
      <c r="CJ167" s="23">
        <f>+'QTR Raw'!BD89</f>
        <v>2987.11</v>
      </c>
      <c r="CK167" s="23">
        <f t="shared" ref="CK167:DB167" si="1297">+CK197*CK24/90</f>
        <v>3074.9927143116056</v>
      </c>
      <c r="CL167" s="23">
        <f>+'QTR Raw'!BF89</f>
        <v>3875.3</v>
      </c>
      <c r="CM167" s="24">
        <f t="shared" si="1297"/>
        <v>3883.2803665761608</v>
      </c>
      <c r="CN167" s="24">
        <f t="shared" si="1297"/>
        <v>4075.0449538119569</v>
      </c>
      <c r="CO167" s="24">
        <f t="shared" si="1297"/>
        <v>4162.5605739479188</v>
      </c>
      <c r="CP167" s="24">
        <f t="shared" si="1297"/>
        <v>4416.2608675946913</v>
      </c>
      <c r="CQ167" s="24">
        <f t="shared" si="1297"/>
        <v>4412.0245301474188</v>
      </c>
      <c r="CR167" s="24">
        <f t="shared" si="1297"/>
        <v>4633.2402391944697</v>
      </c>
      <c r="CS167" s="24">
        <f t="shared" si="1297"/>
        <v>4714.1031957151281</v>
      </c>
      <c r="CT167" s="24">
        <f t="shared" si="1297"/>
        <v>5008.1558756836412</v>
      </c>
      <c r="CU167" s="24">
        <f t="shared" si="1297"/>
        <v>5007.6268886505104</v>
      </c>
      <c r="CV167" s="24">
        <f t="shared" si="1297"/>
        <v>5263.8690606940472</v>
      </c>
      <c r="CW167" s="24">
        <f t="shared" si="1297"/>
        <v>5345.5910291953551</v>
      </c>
      <c r="CX167" s="24">
        <f t="shared" si="1297"/>
        <v>5697.8846402984091</v>
      </c>
      <c r="CY167" s="24">
        <f t="shared" si="1297"/>
        <v>5687.7776724304631</v>
      </c>
      <c r="CZ167" s="24">
        <f t="shared" si="1297"/>
        <v>5987.6080182176656</v>
      </c>
      <c r="DA167" s="24">
        <f t="shared" si="1297"/>
        <v>6071.1713010808708</v>
      </c>
      <c r="DB167" s="24">
        <f t="shared" si="1297"/>
        <v>6494.8063590019165</v>
      </c>
      <c r="DE167" s="123"/>
      <c r="DF167" s="23">
        <v>3210.1109395896415</v>
      </c>
    </row>
    <row r="168" spans="1:110" s="23" customFormat="1" outlineLevel="1" x14ac:dyDescent="0.2">
      <c r="A168" s="23" t="s">
        <v>71</v>
      </c>
      <c r="B168" s="23">
        <f>'Annual Raw'!C55-Template!B140</f>
        <v>15.019600000000001</v>
      </c>
      <c r="C168" s="23">
        <f>'Annual Raw'!D55-Template!C140</f>
        <v>324.25310000000002</v>
      </c>
      <c r="D168" s="23">
        <f>'Annual Raw'!E55-Template!D140</f>
        <v>406.23559999999998</v>
      </c>
      <c r="E168" s="23">
        <f>'Annual Raw'!F55-Template!E140</f>
        <v>320.13159999999999</v>
      </c>
      <c r="F168" s="23">
        <f>'Annual Raw'!G55-Template!F140</f>
        <v>293.1352</v>
      </c>
      <c r="G168" s="23">
        <f>'Annual Raw'!H55-Template!G140</f>
        <v>162.1951</v>
      </c>
      <c r="H168" s="23">
        <f>'Annual Raw'!I55-Template!H140</f>
        <v>236.6037</v>
      </c>
      <c r="I168" s="23">
        <f>'Annual Raw'!J55-Template!I140</f>
        <v>272.04950000000002</v>
      </c>
      <c r="J168" s="23">
        <f>'Annual Raw'!K55-Template!J140</f>
        <v>393.5421</v>
      </c>
      <c r="K168" s="23">
        <f>'Annual Raw'!L55-Template!K140</f>
        <v>381.23970000000003</v>
      </c>
      <c r="L168" s="23">
        <f>'Annual Raw'!M55-Template!L140</f>
        <v>251.9691</v>
      </c>
      <c r="M168" s="23">
        <f>'Annual Raw'!N55-Template!M140</f>
        <v>266.91660000000002</v>
      </c>
      <c r="N168" s="23">
        <f>'Annual Raw'!O55-Template!N140</f>
        <v>331.14319999999992</v>
      </c>
      <c r="O168" s="23">
        <f>'Annual Raw'!P55-Template!O140</f>
        <v>331.26850000000002</v>
      </c>
      <c r="P168" s="23">
        <f>'Annual Raw'!Q55-Template!P140</f>
        <v>329.26</v>
      </c>
      <c r="Q168" s="23">
        <f>'Annual Raw'!R55-Template!Q140</f>
        <v>270.27999999999997</v>
      </c>
      <c r="R168" s="23">
        <f>'Annual Raw'!S55-Template!R140</f>
        <v>306.41999999999996</v>
      </c>
      <c r="S168" s="23">
        <f>'Annual Raw'!T55-Template!S140</f>
        <v>339.33000000000004</v>
      </c>
      <c r="T168" s="23">
        <f>'Annual Raw'!U55-Template!T140</f>
        <v>361.95</v>
      </c>
      <c r="U168" s="23">
        <f>'Annual Raw'!V55-Template!U140</f>
        <v>446.86</v>
      </c>
      <c r="V168" s="23">
        <f>'Annual Raw'!W55-Template!V140</f>
        <v>424.09</v>
      </c>
      <c r="W168" s="23">
        <f>'Annual Raw'!X55-Template!W140</f>
        <v>394.44000000000005</v>
      </c>
      <c r="X168" s="23">
        <f>'Annual Raw'!Y55-Template!X140</f>
        <v>456.48</v>
      </c>
      <c r="Y168" s="23">
        <f>'Annual Raw'!Z55-Template!Y140</f>
        <v>508.31</v>
      </c>
      <c r="Z168" s="23">
        <f>'Annual Raw'!AA55-Template!Z140</f>
        <v>516.03</v>
      </c>
      <c r="AA168" s="23">
        <f>'Annual Raw'!AB55-Template!AA140</f>
        <v>692.02</v>
      </c>
      <c r="AB168" s="24">
        <f t="shared" si="1290"/>
        <v>0</v>
      </c>
      <c r="AC168" s="24">
        <f t="shared" si="1291"/>
        <v>0</v>
      </c>
      <c r="AD168" s="24">
        <f t="shared" si="1292"/>
        <v>0</v>
      </c>
      <c r="AE168" s="24">
        <f t="shared" si="1293"/>
        <v>0</v>
      </c>
      <c r="AJ168" s="23">
        <f>+'QTR Raw'!D91</f>
        <v>0</v>
      </c>
      <c r="AK168" s="23">
        <f t="shared" si="1294"/>
        <v>0</v>
      </c>
      <c r="AL168" s="23">
        <f>+'QTR Raw'!F91</f>
        <v>703.08</v>
      </c>
      <c r="AM168" s="23">
        <f t="shared" si="1294"/>
        <v>703.08</v>
      </c>
      <c r="AN168" s="23">
        <f>+'QTR Raw'!H91</f>
        <v>770.73</v>
      </c>
      <c r="AO168" s="23">
        <f t="shared" si="1294"/>
        <v>770.73</v>
      </c>
      <c r="AP168" s="23">
        <f>+'QTR Raw'!J91</f>
        <v>368.03</v>
      </c>
      <c r="AQ168" s="23">
        <f t="shared" si="1294"/>
        <v>368.03</v>
      </c>
      <c r="AR168" s="23">
        <f>+'QTR Raw'!L91</f>
        <v>358</v>
      </c>
      <c r="AS168" s="23">
        <f t="shared" si="1294"/>
        <v>358</v>
      </c>
      <c r="AT168" s="23">
        <f>+'QTR Raw'!N91</f>
        <v>387.32</v>
      </c>
      <c r="AU168" s="23">
        <f t="shared" si="1294"/>
        <v>387.32</v>
      </c>
      <c r="AV168" s="23">
        <f>+'QTR Raw'!P91</f>
        <v>363.24</v>
      </c>
      <c r="AW168" s="23">
        <f t="shared" si="1294"/>
        <v>363.24</v>
      </c>
      <c r="AX168" s="23">
        <f>+'QTR Raw'!R91</f>
        <v>717.54</v>
      </c>
      <c r="AY168" s="23">
        <f t="shared" si="1294"/>
        <v>717.54</v>
      </c>
      <c r="AZ168" s="23">
        <f>+'QTR Raw'!T91</f>
        <v>770</v>
      </c>
      <c r="BA168" s="23">
        <f t="shared" si="1294"/>
        <v>770</v>
      </c>
      <c r="BB168" s="23">
        <f>+'QTR Raw'!V91</f>
        <v>381.41</v>
      </c>
      <c r="BC168" s="23">
        <f t="shared" si="1294"/>
        <v>381.41</v>
      </c>
      <c r="BD168" s="23">
        <f>+'QTR Raw'!X91</f>
        <v>378.17</v>
      </c>
      <c r="BE168" s="23">
        <f t="shared" si="1294"/>
        <v>378.17</v>
      </c>
      <c r="BF168" s="23">
        <f>+'QTR Raw'!Z91</f>
        <v>391.85</v>
      </c>
      <c r="BG168" s="23">
        <f t="shared" si="1294"/>
        <v>391.85</v>
      </c>
      <c r="BH168" s="23">
        <f>+'QTR Raw'!AB91</f>
        <v>448.62</v>
      </c>
      <c r="BI168" s="23">
        <f t="shared" si="1294"/>
        <v>448.62</v>
      </c>
      <c r="BJ168" s="23">
        <f>+'QTR Raw'!AD91</f>
        <v>425.87</v>
      </c>
      <c r="BK168" s="23">
        <f t="shared" si="1294"/>
        <v>425.87</v>
      </c>
      <c r="BL168" s="23">
        <f>+'QTR Raw'!AF91</f>
        <v>461.06</v>
      </c>
      <c r="BM168" s="23">
        <f t="shared" si="1294"/>
        <v>461.06</v>
      </c>
      <c r="BN168" s="23">
        <f>+'QTR Raw'!AH91</f>
        <v>554.39</v>
      </c>
      <c r="BO168" s="23">
        <f t="shared" si="1294"/>
        <v>554.39</v>
      </c>
      <c r="BP168" s="23">
        <f>+'QTR Raw'!AJ91</f>
        <v>552.17999999999995</v>
      </c>
      <c r="BQ168" s="23">
        <f t="shared" si="1294"/>
        <v>552.17999999999995</v>
      </c>
      <c r="BR168" s="23">
        <f>+'QTR Raw'!AL91</f>
        <v>448.18</v>
      </c>
      <c r="BS168" s="23">
        <f t="shared" si="1294"/>
        <v>448.18</v>
      </c>
      <c r="BT168" s="23">
        <f>+'QTR Raw'!AN91</f>
        <v>418.98</v>
      </c>
      <c r="BU168" s="23">
        <f t="shared" si="1294"/>
        <v>418.98</v>
      </c>
      <c r="BV168" s="23">
        <f>+'QTR Raw'!AP91</f>
        <v>414.84</v>
      </c>
      <c r="BW168" s="23">
        <f t="shared" si="1294"/>
        <v>414.84</v>
      </c>
      <c r="BX168" s="23">
        <f>+'QTR Raw'!AR91</f>
        <v>419.07</v>
      </c>
      <c r="BY168" s="23">
        <f t="shared" si="1294"/>
        <v>419.07</v>
      </c>
      <c r="BZ168" s="23">
        <f>+'QTR Raw'!AT91</f>
        <v>522.4</v>
      </c>
      <c r="CA168" s="23">
        <f t="shared" si="1294"/>
        <v>522.4</v>
      </c>
      <c r="CB168" s="23">
        <f>+'QTR Raw'!AV91</f>
        <v>472.29</v>
      </c>
      <c r="CC168" s="23">
        <f t="shared" si="1294"/>
        <v>472.29</v>
      </c>
      <c r="CD168" s="23">
        <f>+'QTR Raw'!AX91</f>
        <v>535.41999999999996</v>
      </c>
      <c r="CE168" s="23">
        <f t="shared" si="1294"/>
        <v>535.41999999999996</v>
      </c>
      <c r="CF168" s="23">
        <f>+'QTR Raw'!AZ91</f>
        <v>479.34</v>
      </c>
      <c r="CG168" s="23">
        <f t="shared" ref="CG168:CG169" si="1298">+CF168</f>
        <v>479.34</v>
      </c>
      <c r="CH168" s="23">
        <f t="shared" si="1248"/>
        <v>516.03</v>
      </c>
      <c r="CJ168" s="23">
        <f>+'QTR Raw'!BD91</f>
        <v>622.71</v>
      </c>
      <c r="CL168" s="23">
        <f>+'QTR Raw'!BF91</f>
        <v>698.8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  <c r="DF168" s="23">
        <v>698.8</v>
      </c>
    </row>
    <row r="169" spans="1:110" s="23" customFormat="1" outlineLevel="1" x14ac:dyDescent="0.2">
      <c r="A169" s="23" t="s">
        <v>72</v>
      </c>
      <c r="B169" s="23">
        <f>'Annual Raw'!C57</f>
        <v>80.625</v>
      </c>
      <c r="C169" s="23">
        <f>'Annual Raw'!D57</f>
        <v>113.0654</v>
      </c>
      <c r="D169" s="23">
        <f>'Annual Raw'!E57</f>
        <v>106.0286</v>
      </c>
      <c r="E169" s="23">
        <f>'Annual Raw'!F57</f>
        <v>107.16079999999999</v>
      </c>
      <c r="F169" s="23">
        <f>'Annual Raw'!G57</f>
        <v>139.32470000000001</v>
      </c>
      <c r="G169" s="23">
        <f>'Annual Raw'!H57</f>
        <v>136.637</v>
      </c>
      <c r="H169" s="23">
        <f>'Annual Raw'!I57</f>
        <v>155.55009999999999</v>
      </c>
      <c r="I169" s="23">
        <f>'Annual Raw'!J57</f>
        <v>316.48809999999997</v>
      </c>
      <c r="J169" s="23">
        <f>'Annual Raw'!K57</f>
        <v>323.41879999999998</v>
      </c>
      <c r="K169" s="23">
        <f>'Annual Raw'!L57</f>
        <v>229.1088</v>
      </c>
      <c r="L169" s="23">
        <f>'Annual Raw'!M57</f>
        <v>259.73739999999998</v>
      </c>
      <c r="M169" s="23">
        <f>'Annual Raw'!N57</f>
        <v>263.6268</v>
      </c>
      <c r="N169" s="23">
        <f>'Annual Raw'!O57</f>
        <v>310.08139999999997</v>
      </c>
      <c r="O169" s="23">
        <f>'Annual Raw'!P57</f>
        <v>254.99039999999999</v>
      </c>
      <c r="P169" s="23">
        <f>'Annual Raw'!Q57</f>
        <v>269.18</v>
      </c>
      <c r="Q169" s="23">
        <f>'Annual Raw'!R57</f>
        <v>106.53</v>
      </c>
      <c r="R169" s="23">
        <f>'Annual Raw'!S57</f>
        <v>158.91</v>
      </c>
      <c r="S169" s="23">
        <f>'Annual Raw'!T57</f>
        <v>129.38999999999999</v>
      </c>
      <c r="T169" s="23">
        <f>'Annual Raw'!U57</f>
        <v>77.459999999999994</v>
      </c>
      <c r="U169" s="23">
        <f>'Annual Raw'!V57</f>
        <v>126.03</v>
      </c>
      <c r="V169" s="23">
        <f>'Annual Raw'!W57</f>
        <v>125.8</v>
      </c>
      <c r="W169" s="23">
        <f>'Annual Raw'!X57</f>
        <v>93.61</v>
      </c>
      <c r="X169" s="23">
        <f>'Annual Raw'!Y57</f>
        <v>143.32</v>
      </c>
      <c r="Y169" s="23">
        <f>'Annual Raw'!Z57</f>
        <v>190.13</v>
      </c>
      <c r="Z169" s="23">
        <f>'Annual Raw'!AA57</f>
        <v>158.66999999999999</v>
      </c>
      <c r="AA169" s="23">
        <f>'Annual Raw'!AB57</f>
        <v>193.07</v>
      </c>
      <c r="AB169" s="24">
        <f t="shared" si="1290"/>
        <v>0</v>
      </c>
      <c r="AC169" s="24">
        <f t="shared" si="1291"/>
        <v>0</v>
      </c>
      <c r="AD169" s="24">
        <f t="shared" si="1292"/>
        <v>0</v>
      </c>
      <c r="AE169" s="24">
        <f t="shared" si="1293"/>
        <v>0</v>
      </c>
      <c r="AJ169" s="23">
        <f>+'QTR Raw'!D92</f>
        <v>123.13</v>
      </c>
      <c r="AK169" s="23">
        <f t="shared" si="1294"/>
        <v>123.13</v>
      </c>
      <c r="AL169" s="23">
        <f>+'QTR Raw'!F92</f>
        <v>310.08</v>
      </c>
      <c r="AM169" s="23">
        <f t="shared" si="1294"/>
        <v>310.08</v>
      </c>
      <c r="AN169" s="23">
        <f>+'QTR Raw'!H92</f>
        <v>151.72</v>
      </c>
      <c r="AO169" s="23">
        <f t="shared" si="1294"/>
        <v>151.72</v>
      </c>
      <c r="AP169" s="23">
        <f>+'QTR Raw'!J92</f>
        <v>254.99</v>
      </c>
      <c r="AQ169" s="23">
        <f t="shared" si="1294"/>
        <v>254.99</v>
      </c>
      <c r="AR169" s="23">
        <f>+'QTR Raw'!L92</f>
        <v>127.16</v>
      </c>
      <c r="AS169" s="23">
        <f t="shared" si="1294"/>
        <v>127.16</v>
      </c>
      <c r="AT169" s="23">
        <f>+'QTR Raw'!N92</f>
        <v>269.18</v>
      </c>
      <c r="AU169" s="23">
        <f t="shared" si="1294"/>
        <v>269.18</v>
      </c>
      <c r="AV169" s="23">
        <f>+'QTR Raw'!P92</f>
        <v>90.5</v>
      </c>
      <c r="AW169" s="23">
        <f t="shared" si="1294"/>
        <v>90.5</v>
      </c>
      <c r="AX169" s="23">
        <f>+'QTR Raw'!R92</f>
        <v>100.64</v>
      </c>
      <c r="AY169" s="23">
        <f t="shared" si="1294"/>
        <v>100.64</v>
      </c>
      <c r="AZ169" s="23">
        <f>+'QTR Raw'!T92</f>
        <v>88.22</v>
      </c>
      <c r="BA169" s="23">
        <f t="shared" si="1294"/>
        <v>88.22</v>
      </c>
      <c r="BB169" s="23">
        <f>+'QTR Raw'!V92</f>
        <v>125.9</v>
      </c>
      <c r="BC169" s="23">
        <f t="shared" si="1294"/>
        <v>125.9</v>
      </c>
      <c r="BD169" s="23">
        <f>+'QTR Raw'!X92</f>
        <v>194.64</v>
      </c>
      <c r="BE169" s="23">
        <f t="shared" si="1294"/>
        <v>194.64</v>
      </c>
      <c r="BF169" s="23">
        <f>+'QTR Raw'!Z92</f>
        <v>98.8</v>
      </c>
      <c r="BG169" s="23">
        <f t="shared" si="1294"/>
        <v>98.8</v>
      </c>
      <c r="BH169" s="23">
        <f>+'QTR Raw'!AB92</f>
        <v>102.94</v>
      </c>
      <c r="BI169" s="23">
        <f t="shared" si="1294"/>
        <v>102.94</v>
      </c>
      <c r="BJ169" s="23">
        <f>+'QTR Raw'!AD92</f>
        <v>49.51</v>
      </c>
      <c r="BK169" s="23">
        <f t="shared" si="1294"/>
        <v>49.51</v>
      </c>
      <c r="BL169" s="23">
        <f>+'QTR Raw'!AF92</f>
        <v>49.44</v>
      </c>
      <c r="BM169" s="23">
        <f t="shared" si="1294"/>
        <v>49.44</v>
      </c>
      <c r="BN169" s="23">
        <f>+'QTR Raw'!AH92</f>
        <v>92.41</v>
      </c>
      <c r="BO169" s="23">
        <f t="shared" si="1294"/>
        <v>92.41</v>
      </c>
      <c r="BP169" s="23">
        <f>+'QTR Raw'!AJ92</f>
        <v>88.72</v>
      </c>
      <c r="BQ169" s="23">
        <f t="shared" si="1294"/>
        <v>88.72</v>
      </c>
      <c r="BR169" s="23">
        <f>+'QTR Raw'!AL92</f>
        <v>101.71</v>
      </c>
      <c r="BS169" s="23">
        <f t="shared" si="1294"/>
        <v>101.71</v>
      </c>
      <c r="BT169" s="23">
        <f>+'QTR Raw'!AN92</f>
        <v>97.61</v>
      </c>
      <c r="BU169" s="23">
        <f t="shared" si="1294"/>
        <v>97.61</v>
      </c>
      <c r="BV169" s="23">
        <f>+'QTR Raw'!AP92</f>
        <v>73.209999999999994</v>
      </c>
      <c r="BW169" s="23">
        <f t="shared" si="1294"/>
        <v>73.209999999999994</v>
      </c>
      <c r="BX169" s="23">
        <f>+'QTR Raw'!AR92</f>
        <v>106.14</v>
      </c>
      <c r="BY169" s="23">
        <f t="shared" si="1294"/>
        <v>106.14</v>
      </c>
      <c r="BZ169" s="23">
        <f>+'QTR Raw'!AT92</f>
        <v>77.400000000000006</v>
      </c>
      <c r="CA169" s="23">
        <f t="shared" si="1294"/>
        <v>77.400000000000006</v>
      </c>
      <c r="CB169" s="23">
        <f>+'QTR Raw'!AV92</f>
        <v>78.39</v>
      </c>
      <c r="CC169" s="23">
        <f t="shared" si="1294"/>
        <v>78.39</v>
      </c>
      <c r="CD169" s="23">
        <f>+'QTR Raw'!AX92</f>
        <v>163.02000000000001</v>
      </c>
      <c r="CE169" s="23">
        <f t="shared" si="1294"/>
        <v>163.02000000000001</v>
      </c>
      <c r="CF169" s="23">
        <f>+'QTR Raw'!AZ92</f>
        <v>149.44999999999999</v>
      </c>
      <c r="CG169" s="23">
        <f t="shared" si="1298"/>
        <v>149.44999999999999</v>
      </c>
      <c r="CH169" s="23">
        <f t="shared" si="1248"/>
        <v>158.66999999999999</v>
      </c>
      <c r="CJ169" s="23">
        <f>+'QTR Raw'!BD92</f>
        <v>161.61000000000001</v>
      </c>
      <c r="CL169" s="23">
        <f>+'QTR Raw'!BF92</f>
        <v>186.29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186.29</v>
      </c>
    </row>
    <row r="170" spans="1:110" s="22" customFormat="1" x14ac:dyDescent="0.2">
      <c r="A170" s="22" t="s">
        <v>73</v>
      </c>
      <c r="B170" s="22">
        <f>SUM(B163:B169)</f>
        <v>202.49939999999998</v>
      </c>
      <c r="C170" s="22">
        <f t="shared" ref="C170:V170" si="1299">SUM(C163:C169)</f>
        <v>730.82549999999992</v>
      </c>
      <c r="D170" s="22">
        <f t="shared" si="1299"/>
        <v>697.72539999999992</v>
      </c>
      <c r="E170" s="22">
        <f t="shared" si="1299"/>
        <v>695.51059999999995</v>
      </c>
      <c r="F170" s="22">
        <f t="shared" si="1299"/>
        <v>729.46109999999999</v>
      </c>
      <c r="G170" s="22">
        <f t="shared" si="1299"/>
        <v>878.41360000000009</v>
      </c>
      <c r="H170" s="22">
        <f t="shared" si="1299"/>
        <v>1080.9151999999999</v>
      </c>
      <c r="I170" s="22">
        <f t="shared" si="1299"/>
        <v>1358.0286000000001</v>
      </c>
      <c r="J170" s="22">
        <f t="shared" si="1299"/>
        <v>1616.5414000000001</v>
      </c>
      <c r="K170" s="22">
        <f t="shared" si="1299"/>
        <v>1559.6845000000001</v>
      </c>
      <c r="L170" s="22">
        <f t="shared" si="1299"/>
        <v>1594.0752</v>
      </c>
      <c r="M170" s="22">
        <f t="shared" si="1299"/>
        <v>1665.5210999999999</v>
      </c>
      <c r="N170" s="22">
        <f t="shared" si="1299"/>
        <v>1727.1190999999999</v>
      </c>
      <c r="O170" s="22">
        <f t="shared" si="1299"/>
        <v>1654.1996999999999</v>
      </c>
      <c r="P170" s="22">
        <f t="shared" si="1299"/>
        <v>2978.3399999999997</v>
      </c>
      <c r="Q170" s="22">
        <f t="shared" si="1299"/>
        <v>1353.1999999999998</v>
      </c>
      <c r="R170" s="22">
        <f t="shared" si="1299"/>
        <v>1434.47</v>
      </c>
      <c r="S170" s="22">
        <f t="shared" si="1299"/>
        <v>1352.54</v>
      </c>
      <c r="T170" s="22">
        <f t="shared" si="1299"/>
        <v>1292.8</v>
      </c>
      <c r="U170" s="22">
        <f t="shared" si="1299"/>
        <v>2022.8500000000001</v>
      </c>
      <c r="V170" s="22">
        <f t="shared" si="1299"/>
        <v>2852.03</v>
      </c>
      <c r="W170" s="22">
        <f t="shared" ref="W170" si="1300">SUM(W163:W169)</f>
        <v>3037.03</v>
      </c>
      <c r="X170" s="22">
        <f t="shared" ref="X170:Y170" si="1301">SUM(X163:X169)</f>
        <v>3638.39</v>
      </c>
      <c r="Y170" s="22">
        <f t="shared" si="1301"/>
        <v>5835.76</v>
      </c>
      <c r="Z170" s="22">
        <f t="shared" ref="Z170:AA170" si="1302">SUM(Z163:Z169)</f>
        <v>6551.3499999999995</v>
      </c>
      <c r="AA170" s="22">
        <f t="shared" si="1302"/>
        <v>6944.35</v>
      </c>
      <c r="AB170" s="21">
        <f t="shared" ref="AA170:AD170" si="1303">SUM(AB163:AB169)</f>
        <v>7913.7256872709704</v>
      </c>
      <c r="AC170" s="21">
        <f t="shared" si="1303"/>
        <v>8974.37288862893</v>
      </c>
      <c r="AD170" s="21">
        <f t="shared" si="1303"/>
        <v>10210.33344563163</v>
      </c>
      <c r="AE170" s="21">
        <f t="shared" ref="AE170" si="1304">SUM(AE163:AE169)</f>
        <v>11638.378587240975</v>
      </c>
      <c r="AJ170" s="22">
        <f t="shared" ref="AJ170" si="1305">SUM(AJ163:AJ169)</f>
        <v>2032.35</v>
      </c>
      <c r="AK170" s="22">
        <f t="shared" ref="AK170" si="1306">SUM(AK163:AK169)</f>
        <v>2032.35</v>
      </c>
      <c r="AL170" s="22">
        <f t="shared" ref="AL170:AM170" si="1307">SUM(AL163:AL169)</f>
        <v>2099.06</v>
      </c>
      <c r="AM170" s="22">
        <f t="shared" si="1307"/>
        <v>2083.6591599891863</v>
      </c>
      <c r="AN170" s="22">
        <f t="shared" ref="AN170:AO170" si="1308">SUM(AN163:AN169)</f>
        <v>2138.52</v>
      </c>
      <c r="AO170" s="22">
        <f t="shared" si="1308"/>
        <v>2213.229994000455</v>
      </c>
      <c r="AP170" s="22">
        <f t="shared" ref="AP170:CE170" si="1309">SUM(AP163:AP169)</f>
        <v>1690.95</v>
      </c>
      <c r="AQ170" s="22">
        <f t="shared" si="1309"/>
        <v>1691.2438759012109</v>
      </c>
      <c r="AR170" s="22">
        <f t="shared" si="1309"/>
        <v>1708.4</v>
      </c>
      <c r="AS170" s="22">
        <f t="shared" si="1309"/>
        <v>1762.6314178734872</v>
      </c>
      <c r="AT170" s="22">
        <f t="shared" si="1309"/>
        <v>1720.43</v>
      </c>
      <c r="AU170" s="22">
        <f t="shared" si="1309"/>
        <v>1621.5043484773619</v>
      </c>
      <c r="AV170" s="22">
        <f t="shared" si="1309"/>
        <v>1676.69</v>
      </c>
      <c r="AW170" s="22">
        <f t="shared" si="1309"/>
        <v>1692.6909056875018</v>
      </c>
      <c r="AX170" s="22">
        <f t="shared" si="1309"/>
        <v>1794.57</v>
      </c>
      <c r="AY170" s="22">
        <f t="shared" si="1309"/>
        <v>1852.6702928019522</v>
      </c>
      <c r="AZ170" s="22">
        <f t="shared" si="1309"/>
        <v>1935.53</v>
      </c>
      <c r="BA170" s="22">
        <f t="shared" si="1309"/>
        <v>1991.6283237956636</v>
      </c>
      <c r="BB170" s="22">
        <f t="shared" si="1309"/>
        <v>1450.7</v>
      </c>
      <c r="BC170" s="22">
        <f t="shared" si="1309"/>
        <v>1460.5472101167086</v>
      </c>
      <c r="BD170" s="22">
        <f t="shared" si="1309"/>
        <v>1458.6399999999999</v>
      </c>
      <c r="BE170" s="22">
        <f t="shared" si="1309"/>
        <v>1474.5368495514558</v>
      </c>
      <c r="BF170" s="22">
        <f t="shared" si="1309"/>
        <v>1363.9399999999998</v>
      </c>
      <c r="BG170" s="22">
        <f t="shared" si="1309"/>
        <v>1411.6699861999525</v>
      </c>
      <c r="BH170" s="22">
        <f t="shared" ref="BH170" si="1310">SUM(BH163:BH169)</f>
        <v>1550.69</v>
      </c>
      <c r="BI170" s="22">
        <f t="shared" si="1309"/>
        <v>1621.8369903513603</v>
      </c>
      <c r="BJ170" s="22">
        <f t="shared" si="1309"/>
        <v>1317</v>
      </c>
      <c r="BK170" s="22">
        <f t="shared" si="1309"/>
        <v>1548.0256553231277</v>
      </c>
      <c r="BL170" s="22">
        <f t="shared" si="1309"/>
        <v>1692.17</v>
      </c>
      <c r="BM170" s="22">
        <f t="shared" si="1309"/>
        <v>1739.4488846519278</v>
      </c>
      <c r="BN170" s="22">
        <f t="shared" si="1309"/>
        <v>2096.7599999999998</v>
      </c>
      <c r="BO170" s="22">
        <f t="shared" si="1309"/>
        <v>2217.9974195748077</v>
      </c>
      <c r="BP170" s="22">
        <f t="shared" si="1309"/>
        <v>2584.4899999999998</v>
      </c>
      <c r="BQ170" s="22">
        <f t="shared" si="1309"/>
        <v>2732.8030831182086</v>
      </c>
      <c r="BR170" s="22">
        <f t="shared" si="1309"/>
        <v>2852.0299999999997</v>
      </c>
      <c r="BS170" s="22">
        <f t="shared" si="1309"/>
        <v>2836.6381228228443</v>
      </c>
      <c r="BT170" s="22">
        <f t="shared" si="1309"/>
        <v>2684</v>
      </c>
      <c r="BU170" s="22">
        <f t="shared" si="1309"/>
        <v>2770.9857297436306</v>
      </c>
      <c r="BV170" s="22">
        <f t="shared" si="1309"/>
        <v>3037.03</v>
      </c>
      <c r="BW170" s="22">
        <f t="shared" si="1309"/>
        <v>3128.3876536573234</v>
      </c>
      <c r="BX170" s="22">
        <f t="shared" si="1309"/>
        <v>3052.43</v>
      </c>
      <c r="BY170" s="22">
        <f t="shared" si="1309"/>
        <v>3115.0865647254723</v>
      </c>
      <c r="BZ170" s="22">
        <f t="shared" si="1309"/>
        <v>3638.39</v>
      </c>
      <c r="CA170" s="22">
        <f t="shared" si="1309"/>
        <v>3717.8668016403544</v>
      </c>
      <c r="CB170" s="22">
        <f t="shared" si="1309"/>
        <v>3199.02</v>
      </c>
      <c r="CC170" s="22">
        <f t="shared" si="1309"/>
        <v>3234.9420990524345</v>
      </c>
      <c r="CD170" s="22">
        <f t="shared" si="1309"/>
        <v>5835.76</v>
      </c>
      <c r="CE170" s="22">
        <f t="shared" si="1309"/>
        <v>6128.8356974896487</v>
      </c>
      <c r="CF170" s="22">
        <f t="shared" ref="CF170:CG170" si="1311">SUM(CF163:CF169)</f>
        <v>5924.24</v>
      </c>
      <c r="CG170" s="22">
        <f t="shared" si="1311"/>
        <v>6062.4621888502652</v>
      </c>
      <c r="CH170" s="22">
        <f t="shared" ref="CH170:CI170" si="1312">SUM(CH163:CH169)</f>
        <v>6551.3499999999995</v>
      </c>
      <c r="CI170" s="22">
        <f t="shared" si="1312"/>
        <v>6794.0141808550798</v>
      </c>
      <c r="CJ170" s="22">
        <f t="shared" ref="CJ170:DB170" si="1313">SUM(CJ163:CJ169)</f>
        <v>6114.43</v>
      </c>
      <c r="CK170" s="22">
        <f t="shared" si="1313"/>
        <v>6294.3204977949626</v>
      </c>
      <c r="CL170" s="22">
        <f t="shared" ref="CL170" si="1314">SUM(CL163:CL169)</f>
        <v>6944.35</v>
      </c>
      <c r="CM170" s="21">
        <f t="shared" si="1313"/>
        <v>6958.6504305816743</v>
      </c>
      <c r="CN170" s="21">
        <f t="shared" si="1313"/>
        <v>7302.2832877465135</v>
      </c>
      <c r="CO170" s="21">
        <f t="shared" si="1313"/>
        <v>7459.1070424728996</v>
      </c>
      <c r="CP170" s="21">
        <f t="shared" si="1313"/>
        <v>7913.7256872709704</v>
      </c>
      <c r="CQ170" s="21">
        <f t="shared" si="1313"/>
        <v>7906.134375642976</v>
      </c>
      <c r="CR170" s="21">
        <f t="shared" si="1313"/>
        <v>8302.5422173896513</v>
      </c>
      <c r="CS170" s="21">
        <f t="shared" si="1313"/>
        <v>8447.4447209672398</v>
      </c>
      <c r="CT170" s="21">
        <f t="shared" si="1313"/>
        <v>8974.37288862893</v>
      </c>
      <c r="CU170" s="21">
        <f t="shared" si="1313"/>
        <v>8973.4249694733735</v>
      </c>
      <c r="CV170" s="21">
        <f t="shared" si="1313"/>
        <v>9432.5985373082622</v>
      </c>
      <c r="CW170" s="21">
        <f t="shared" si="1313"/>
        <v>9579.0403487711301</v>
      </c>
      <c r="CX170" s="21">
        <f t="shared" si="1313"/>
        <v>10210.33344563163</v>
      </c>
      <c r="CY170" s="21">
        <f t="shared" si="1313"/>
        <v>10192.222248482049</v>
      </c>
      <c r="CZ170" s="21">
        <f t="shared" si="1313"/>
        <v>10729.503713598906</v>
      </c>
      <c r="DA170" s="21">
        <f t="shared" si="1313"/>
        <v>10879.245071261823</v>
      </c>
      <c r="DB170" s="21">
        <f t="shared" si="1313"/>
        <v>11638.378587240975</v>
      </c>
      <c r="DE170" s="126"/>
      <c r="DF170" s="22">
        <v>6570.8991742370026</v>
      </c>
    </row>
    <row r="171" spans="1:110" s="22" customFormat="1" x14ac:dyDescent="0.2">
      <c r="A171" s="22" t="s">
        <v>74</v>
      </c>
      <c r="B171" s="22">
        <f>B162-B170</f>
        <v>172.41419999999999</v>
      </c>
      <c r="C171" s="22">
        <f t="shared" ref="C171:V171" si="1315">C162-C170</f>
        <v>97.063800000000015</v>
      </c>
      <c r="D171" s="22">
        <f t="shared" si="1315"/>
        <v>149.22680000000003</v>
      </c>
      <c r="E171" s="22">
        <f t="shared" si="1315"/>
        <v>141.3361000000001</v>
      </c>
      <c r="F171" s="22">
        <f t="shared" si="1315"/>
        <v>160.90999999999997</v>
      </c>
      <c r="G171" s="22">
        <f t="shared" si="1315"/>
        <v>93.800999999999931</v>
      </c>
      <c r="H171" s="22">
        <f t="shared" si="1315"/>
        <v>181.76260000000002</v>
      </c>
      <c r="I171" s="22">
        <f t="shared" si="1315"/>
        <v>647.40900000000011</v>
      </c>
      <c r="J171" s="22">
        <f t="shared" si="1315"/>
        <v>1880.8472000000002</v>
      </c>
      <c r="K171" s="22">
        <f t="shared" si="1315"/>
        <v>534.56580000000008</v>
      </c>
      <c r="L171" s="22">
        <f t="shared" si="1315"/>
        <v>784.00670000000014</v>
      </c>
      <c r="M171" s="22">
        <f t="shared" si="1315"/>
        <v>1017.8094000000001</v>
      </c>
      <c r="N171" s="22">
        <f t="shared" si="1315"/>
        <v>1266.1143000000002</v>
      </c>
      <c r="O171" s="22">
        <f t="shared" si="1315"/>
        <v>1680.4857</v>
      </c>
      <c r="P171" s="22">
        <f t="shared" si="1315"/>
        <v>1660.0800000000004</v>
      </c>
      <c r="Q171" s="22">
        <f t="shared" si="1315"/>
        <v>1973.3700000000003</v>
      </c>
      <c r="R171" s="22">
        <f t="shared" si="1315"/>
        <v>1455.2999999999995</v>
      </c>
      <c r="S171" s="22">
        <f t="shared" si="1315"/>
        <v>1775.0900000000001</v>
      </c>
      <c r="T171" s="22">
        <f t="shared" si="1315"/>
        <v>2028.89</v>
      </c>
      <c r="U171" s="22">
        <f t="shared" si="1315"/>
        <v>1754.4899999999991</v>
      </c>
      <c r="V171" s="22">
        <f t="shared" si="1315"/>
        <v>1349.0399999999995</v>
      </c>
      <c r="W171" s="22">
        <f t="shared" ref="W171" si="1316">W162-W170</f>
        <v>1794.35</v>
      </c>
      <c r="X171" s="22">
        <f t="shared" ref="X171:Y171" si="1317">X162-X170</f>
        <v>1529.2499999999995</v>
      </c>
      <c r="Y171" s="22">
        <f t="shared" si="1317"/>
        <v>-829.51000000000022</v>
      </c>
      <c r="Z171" s="22">
        <f t="shared" ref="Z171:AA171" si="1318">Z162-Z170</f>
        <v>-202.19999999999982</v>
      </c>
      <c r="AA171" s="22">
        <f t="shared" si="1318"/>
        <v>-28.710000000000036</v>
      </c>
      <c r="AB171" s="21">
        <f t="shared" ref="AA171:AD171" si="1319">AB162-AB170</f>
        <v>706.0912016003067</v>
      </c>
      <c r="AC171" s="21">
        <f t="shared" si="1319"/>
        <v>800.72597749170018</v>
      </c>
      <c r="AD171" s="21">
        <f t="shared" si="1319"/>
        <v>911.00284445820944</v>
      </c>
      <c r="AE171" s="21">
        <f t="shared" ref="AE171" si="1320">AE162-AE170</f>
        <v>1038.4181921496638</v>
      </c>
      <c r="AJ171" s="22">
        <f t="shared" ref="AJ171" si="1321">AJ162-AJ170</f>
        <v>1245.0000000000005</v>
      </c>
      <c r="AK171" s="22">
        <f t="shared" ref="AK171" si="1322">AK162-AK170</f>
        <v>1302.0231429260839</v>
      </c>
      <c r="AL171" s="22">
        <f t="shared" ref="AL171:AM171" si="1323">AL162-AL170</f>
        <v>894.17000000000007</v>
      </c>
      <c r="AM171" s="22">
        <f t="shared" si="1323"/>
        <v>868.7305731278725</v>
      </c>
      <c r="AN171" s="22">
        <f t="shared" ref="AN171:AO171" si="1324">AN162-AN170</f>
        <v>1544.9</v>
      </c>
      <c r="AO171" s="22">
        <f t="shared" si="1324"/>
        <v>1668.9180416658046</v>
      </c>
      <c r="AP171" s="22">
        <f t="shared" ref="AP171:CE171" si="1325">AP162-AP170</f>
        <v>1643.7399999999996</v>
      </c>
      <c r="AQ171" s="22">
        <f t="shared" si="1325"/>
        <v>1644.2766002418937</v>
      </c>
      <c r="AR171" s="22">
        <f t="shared" si="1325"/>
        <v>1959.58</v>
      </c>
      <c r="AS171" s="22">
        <f t="shared" si="1325"/>
        <v>2060.3155032985314</v>
      </c>
      <c r="AT171" s="22">
        <f t="shared" si="1325"/>
        <v>1602.03</v>
      </c>
      <c r="AU171" s="22">
        <f t="shared" si="1325"/>
        <v>1408.9623332899905</v>
      </c>
      <c r="AV171" s="22">
        <f t="shared" si="1325"/>
        <v>2070.0699999999993</v>
      </c>
      <c r="AW171" s="22">
        <f t="shared" si="1325"/>
        <v>2100.7649292281885</v>
      </c>
      <c r="AX171" s="22">
        <f t="shared" si="1325"/>
        <v>1531.9999999999998</v>
      </c>
      <c r="AY171" s="22">
        <f t="shared" si="1325"/>
        <v>1664.4597462383081</v>
      </c>
      <c r="AZ171" s="22">
        <f t="shared" si="1325"/>
        <v>1144.2900000000002</v>
      </c>
      <c r="BA171" s="22">
        <f t="shared" si="1325"/>
        <v>1250.7739978046916</v>
      </c>
      <c r="BB171" s="22">
        <f t="shared" si="1325"/>
        <v>1439.07</v>
      </c>
      <c r="BC171" s="22">
        <f t="shared" si="1325"/>
        <v>1456.5237848475301</v>
      </c>
      <c r="BD171" s="22">
        <f t="shared" si="1325"/>
        <v>1669.9900000000002</v>
      </c>
      <c r="BE171" s="22">
        <f t="shared" si="1325"/>
        <v>1702.3791019655582</v>
      </c>
      <c r="BF171" s="22">
        <f t="shared" si="1325"/>
        <v>1763.6900000000003</v>
      </c>
      <c r="BG171" s="22">
        <f t="shared" si="1325"/>
        <v>1857.756751599147</v>
      </c>
      <c r="BH171" s="22">
        <f t="shared" ref="BH171" si="1326">BH162-BH170</f>
        <v>2087.6899999999996</v>
      </c>
      <c r="BI171" s="22">
        <f t="shared" si="1325"/>
        <v>2232.3687863953614</v>
      </c>
      <c r="BJ171" s="22">
        <f t="shared" si="1325"/>
        <v>2004.6899999999996</v>
      </c>
      <c r="BK171" s="22">
        <f t="shared" si="1325"/>
        <v>2569.4884854629217</v>
      </c>
      <c r="BL171" s="22">
        <f t="shared" si="1325"/>
        <v>2002.9699999999998</v>
      </c>
      <c r="BM171" s="22">
        <f t="shared" si="1325"/>
        <v>2109.6424318405498</v>
      </c>
      <c r="BN171" s="22">
        <f t="shared" si="1325"/>
        <v>1974.04</v>
      </c>
      <c r="BO171" s="22">
        <f t="shared" si="1325"/>
        <v>2191.1458972237347</v>
      </c>
      <c r="BP171" s="22">
        <f t="shared" si="1325"/>
        <v>2210.62</v>
      </c>
      <c r="BQ171" s="22">
        <f t="shared" si="1325"/>
        <v>2406.9131007356164</v>
      </c>
      <c r="BR171" s="22">
        <f t="shared" si="1325"/>
        <v>1735.4499999999998</v>
      </c>
      <c r="BS171" s="22">
        <f t="shared" si="1325"/>
        <v>1722.3350832010851</v>
      </c>
      <c r="BT171" s="22">
        <f t="shared" si="1325"/>
        <v>1915.9799999999996</v>
      </c>
      <c r="BU171" s="22">
        <f t="shared" si="1325"/>
        <v>1998.5222873476819</v>
      </c>
      <c r="BV171" s="22">
        <f t="shared" si="1325"/>
        <v>2172.7899999999995</v>
      </c>
      <c r="BW171" s="22">
        <f t="shared" si="1325"/>
        <v>2229.3355642578435</v>
      </c>
      <c r="BX171" s="22">
        <f t="shared" si="1325"/>
        <v>2495.2999999999997</v>
      </c>
      <c r="BY171" s="22">
        <f t="shared" si="1325"/>
        <v>2546.7593196651851</v>
      </c>
      <c r="BZ171" s="22">
        <f t="shared" si="1325"/>
        <v>1913.2900000000004</v>
      </c>
      <c r="CA171" s="22">
        <f t="shared" si="1325"/>
        <v>1952.2746475420945</v>
      </c>
      <c r="CB171" s="22">
        <f t="shared" si="1325"/>
        <v>2218.6800000000007</v>
      </c>
      <c r="CC171" s="22">
        <f t="shared" si="1325"/>
        <v>2247.999458511214</v>
      </c>
      <c r="CD171" s="22">
        <f t="shared" si="1325"/>
        <v>-323.66000000000076</v>
      </c>
      <c r="CE171" s="22">
        <f t="shared" si="1325"/>
        <v>-219.84420105731351</v>
      </c>
      <c r="CF171" s="22">
        <f t="shared" ref="CF171:CG171" si="1327">CF162-CF170</f>
        <v>424.30000000000018</v>
      </c>
      <c r="CG171" s="22">
        <f t="shared" si="1327"/>
        <v>520.28162101816451</v>
      </c>
      <c r="CH171" s="22">
        <f t="shared" ref="CH171:CI171" si="1328">CH162-CH170</f>
        <v>-202.19999999999982</v>
      </c>
      <c r="CI171" s="22">
        <f t="shared" si="1328"/>
        <v>-209.68955518616713</v>
      </c>
      <c r="CJ171" s="22">
        <f t="shared" ref="CJ171:DB171" si="1329">CJ162-CJ170</f>
        <v>1317.6100000000006</v>
      </c>
      <c r="CK171" s="22">
        <f t="shared" si="1329"/>
        <v>1356.3749410982909</v>
      </c>
      <c r="CL171" s="22">
        <f t="shared" ref="CL171" si="1330">CL162-CL170</f>
        <v>619.59999999999945</v>
      </c>
      <c r="CM171" s="21">
        <f t="shared" si="1329"/>
        <v>620.87593609026044</v>
      </c>
      <c r="CN171" s="21">
        <f t="shared" si="1329"/>
        <v>651.53610130361267</v>
      </c>
      <c r="CO171" s="21">
        <f t="shared" si="1329"/>
        <v>665.52848337370779</v>
      </c>
      <c r="CP171" s="21">
        <f t="shared" si="1329"/>
        <v>706.0912016003067</v>
      </c>
      <c r="CQ171" s="21">
        <f t="shared" si="1329"/>
        <v>705.41387734609998</v>
      </c>
      <c r="CR171" s="21">
        <f t="shared" si="1329"/>
        <v>740.78281738314399</v>
      </c>
      <c r="CS171" s="21">
        <f t="shared" si="1329"/>
        <v>753.71154234900314</v>
      </c>
      <c r="CT171" s="21">
        <f t="shared" si="1329"/>
        <v>800.72597749170018</v>
      </c>
      <c r="CU171" s="21">
        <f t="shared" si="1329"/>
        <v>800.64140071939255</v>
      </c>
      <c r="CV171" s="21">
        <f t="shared" si="1329"/>
        <v>841.6105256382798</v>
      </c>
      <c r="CW171" s="21">
        <f t="shared" si="1329"/>
        <v>854.67659321586689</v>
      </c>
      <c r="CX171" s="21">
        <f t="shared" si="1329"/>
        <v>911.00284445820944</v>
      </c>
      <c r="CY171" s="21">
        <f t="shared" si="1329"/>
        <v>909.3868980047755</v>
      </c>
      <c r="CZ171" s="21">
        <f t="shared" si="1329"/>
        <v>957.32509175745327</v>
      </c>
      <c r="DA171" s="21">
        <f t="shared" si="1329"/>
        <v>970.68555676972392</v>
      </c>
      <c r="DB171" s="21">
        <f t="shared" si="1329"/>
        <v>1038.4181921496638</v>
      </c>
      <c r="DE171" s="126"/>
      <c r="DF171" s="22">
        <v>1415.9753993367194</v>
      </c>
    </row>
    <row r="172" spans="1:110" s="23" customFormat="1" x14ac:dyDescent="0.2">
      <c r="AB172" s="24"/>
      <c r="AC172" s="24"/>
      <c r="AD172" s="24"/>
      <c r="AE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3"/>
    </row>
    <row r="173" spans="1:110" s="23" customFormat="1" outlineLevel="1" x14ac:dyDescent="0.2">
      <c r="A173" s="23" t="s">
        <v>75</v>
      </c>
      <c r="B173" s="23">
        <f>'Annual Raw'!C75</f>
        <v>29.247399999999999</v>
      </c>
      <c r="C173" s="23">
        <f>'Annual Raw'!D75</f>
        <v>24.185099999999998</v>
      </c>
      <c r="D173" s="23">
        <f>'Annual Raw'!E75</f>
        <v>30.851900000000001</v>
      </c>
      <c r="E173" s="23">
        <f>'Annual Raw'!F75</f>
        <v>88.029799999999994</v>
      </c>
      <c r="F173" s="23">
        <f>'Annual Raw'!G75</f>
        <v>107.239</v>
      </c>
      <c r="G173" s="23">
        <f>'Annual Raw'!H75</f>
        <v>251.60839999999999</v>
      </c>
      <c r="H173" s="23">
        <f>'Annual Raw'!I75</f>
        <v>179.2</v>
      </c>
      <c r="I173" s="23">
        <f>'Annual Raw'!J75</f>
        <v>1027.037</v>
      </c>
      <c r="J173" s="23">
        <f>'Annual Raw'!K75</f>
        <v>10.1267</v>
      </c>
      <c r="K173" s="23">
        <f>'Annual Raw'!L75</f>
        <v>142.85429999999999</v>
      </c>
      <c r="L173" s="23">
        <f>'Annual Raw'!M75</f>
        <v>106.5476</v>
      </c>
      <c r="M173" s="23">
        <f>'Annual Raw'!N75</f>
        <v>93.014099999999999</v>
      </c>
      <c r="N173" s="23">
        <f>'Annual Raw'!O75</f>
        <v>1.9064000000000001</v>
      </c>
      <c r="O173" s="23">
        <f>'Annual Raw'!P75</f>
        <v>3.1011000000000002</v>
      </c>
      <c r="P173" s="23">
        <f>'Annual Raw'!Q75</f>
        <v>4.26</v>
      </c>
      <c r="Q173" s="23">
        <f>'Annual Raw'!R75</f>
        <v>173.33</v>
      </c>
      <c r="R173" s="23">
        <f>'Annual Raw'!S75</f>
        <v>166.35</v>
      </c>
      <c r="S173" s="23">
        <f>'Annual Raw'!T75</f>
        <v>568.53</v>
      </c>
      <c r="T173" s="23">
        <f>'Annual Raw'!U75</f>
        <v>583.16</v>
      </c>
      <c r="U173" s="23">
        <f>'Annual Raw'!V75</f>
        <v>833.55</v>
      </c>
      <c r="V173" s="23">
        <f>'Annual Raw'!W75</f>
        <v>323.16000000000003</v>
      </c>
      <c r="W173" s="23">
        <f>'Annual Raw'!X75</f>
        <v>198.03</v>
      </c>
      <c r="X173" s="23">
        <f>'Annual Raw'!Y75</f>
        <v>754.74</v>
      </c>
      <c r="Y173" s="23">
        <f>'Annual Raw'!Z75</f>
        <v>238.64</v>
      </c>
      <c r="Z173" s="23">
        <f>'Annual Raw'!AA75</f>
        <v>292.22000000000003</v>
      </c>
      <c r="AA173" s="23">
        <f>'Annual Raw'!AB75</f>
        <v>868.2</v>
      </c>
      <c r="AB173" s="24">
        <f t="shared" ref="AB173:AB174" si="1331">+CP173</f>
        <v>0</v>
      </c>
      <c r="AC173" s="24">
        <f t="shared" ref="AC173:AC174" si="1332">+CT173</f>
        <v>0</v>
      </c>
      <c r="AD173" s="24">
        <f t="shared" ref="AD173:AD174" si="1333">+CX173</f>
        <v>0</v>
      </c>
      <c r="AE173" s="24">
        <f t="shared" ref="AE173:AE174" si="1334">+DB173</f>
        <v>0</v>
      </c>
      <c r="AJ173" s="23">
        <f>+'QTR Raw'!D80</f>
        <v>77.22</v>
      </c>
      <c r="AL173" s="23">
        <f>+'QTR Raw'!F80</f>
        <v>1.91</v>
      </c>
      <c r="AN173" s="23">
        <f>+'QTR Raw'!H80</f>
        <v>2.4700000000000002</v>
      </c>
      <c r="AP173" s="23">
        <f>+'QTR Raw'!J80</f>
        <v>3.1</v>
      </c>
      <c r="AR173" s="23">
        <f>+'QTR Raw'!L80</f>
        <v>3.5</v>
      </c>
      <c r="AT173" s="23">
        <f>+'QTR Raw'!N80</f>
        <v>4.26</v>
      </c>
      <c r="AV173" s="23">
        <f>+'QTR Raw'!P80</f>
        <v>30.68</v>
      </c>
      <c r="AX173" s="23">
        <f>+'QTR Raw'!R80</f>
        <v>173.33</v>
      </c>
      <c r="AZ173" s="23">
        <f>+'QTR Raw'!T80</f>
        <v>72.87</v>
      </c>
      <c r="BB173" s="23">
        <f>+'QTR Raw'!V80</f>
        <v>166.35</v>
      </c>
      <c r="BD173" s="23">
        <f>+'QTR Raw'!X80</f>
        <v>699.49</v>
      </c>
      <c r="BF173" s="23">
        <f>+'QTR Raw'!Z80</f>
        <v>568.53</v>
      </c>
      <c r="BH173" s="23">
        <f>+'QTR Raw'!AB80</f>
        <v>330.96</v>
      </c>
      <c r="BJ173" s="23">
        <f>+'QTR Raw'!AD80</f>
        <v>583.16</v>
      </c>
      <c r="BL173" s="23">
        <f>+'QTR Raw'!AF80</f>
        <v>280.93</v>
      </c>
      <c r="BN173" s="23">
        <f>+'QTR Raw'!AH80</f>
        <v>833.55</v>
      </c>
      <c r="BP173" s="23">
        <f>+'QTR Raw'!AJ80</f>
        <v>233.86</v>
      </c>
      <c r="BR173" s="23">
        <f>+'QTR Raw'!AL80</f>
        <v>323.16000000000003</v>
      </c>
      <c r="BT173" s="23">
        <f>+'QTR Raw'!AN80</f>
        <v>175.38</v>
      </c>
      <c r="BV173" s="23">
        <f>+'QTR Raw'!AP80</f>
        <v>198.03</v>
      </c>
      <c r="BX173" s="23">
        <f>+'QTR Raw'!AR80</f>
        <v>362.17</v>
      </c>
      <c r="BZ173" s="23">
        <f>+'QTR Raw'!AT80</f>
        <v>754.74</v>
      </c>
      <c r="CB173" s="23">
        <f>+'QTR Raw'!AV80</f>
        <v>537.22</v>
      </c>
      <c r="CD173" s="23">
        <f>+'QTR Raw'!AX80</f>
        <v>238.64</v>
      </c>
      <c r="CF173" s="23">
        <f>+'QTR Raw'!AZ80</f>
        <v>304.10000000000002</v>
      </c>
      <c r="CH173" s="23">
        <f t="shared" ref="CH173:CH174" si="1335">Z173</f>
        <v>292.22000000000003</v>
      </c>
      <c r="CJ173" s="23">
        <f>+'QTR Raw'!BD80</f>
        <v>551.53</v>
      </c>
      <c r="CL173" s="23">
        <f>+'QTR Raw'!BF80</f>
        <v>868.2</v>
      </c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  <c r="DF173" s="23">
        <v>868.2</v>
      </c>
    </row>
    <row r="174" spans="1:110" s="23" customFormat="1" outlineLevel="1" x14ac:dyDescent="0.2">
      <c r="A174" s="23" t="s">
        <v>76</v>
      </c>
      <c r="B174" s="23">
        <f>'Annual Raw'!C78</f>
        <v>8.4732000000000003</v>
      </c>
      <c r="C174" s="23">
        <f>'Annual Raw'!D78</f>
        <v>77.642499999999998</v>
      </c>
      <c r="D174" s="23">
        <f>'Annual Raw'!E78</f>
        <v>60.543500000000002</v>
      </c>
      <c r="E174" s="23">
        <f>'Annual Raw'!F78</f>
        <v>139.2672</v>
      </c>
      <c r="F174" s="23">
        <f>'Annual Raw'!G78</f>
        <v>64.212699999999998</v>
      </c>
      <c r="G174" s="23">
        <f>'Annual Raw'!H78</f>
        <v>22.1203</v>
      </c>
      <c r="H174" s="23">
        <f>'Annual Raw'!I78</f>
        <v>118.7649</v>
      </c>
      <c r="I174" s="23">
        <f>'Annual Raw'!J78</f>
        <v>1323.1959999999999</v>
      </c>
      <c r="J174" s="23">
        <f>'Annual Raw'!K78</f>
        <v>1089.1507999999999</v>
      </c>
      <c r="K174" s="23">
        <f>'Annual Raw'!L78</f>
        <v>1903.8299</v>
      </c>
      <c r="L174" s="23">
        <f>'Annual Raw'!M78</f>
        <v>997.31079999999997</v>
      </c>
      <c r="M174" s="23">
        <f>'Annual Raw'!N78</f>
        <v>736.16459999999995</v>
      </c>
      <c r="N174" s="23">
        <f>'Annual Raw'!O78</f>
        <v>697.70360000000005</v>
      </c>
      <c r="O174" s="23">
        <f>'Annual Raw'!P78</f>
        <v>725.23720000000003</v>
      </c>
      <c r="P174" s="23">
        <f>'Annual Raw'!Q78</f>
        <v>544.24</v>
      </c>
      <c r="Q174" s="23">
        <f>'Annual Raw'!R78</f>
        <v>501.03</v>
      </c>
      <c r="R174" s="23">
        <f>'Annual Raw'!S78</f>
        <v>574.82000000000005</v>
      </c>
      <c r="S174" s="23">
        <f>'Annual Raw'!T78</f>
        <v>1238.1400000000001</v>
      </c>
      <c r="T174" s="23">
        <f>'Annual Raw'!U78</f>
        <v>1033.6099999999999</v>
      </c>
      <c r="U174" s="23">
        <f>'Annual Raw'!V78</f>
        <v>1621.46</v>
      </c>
      <c r="V174" s="23">
        <f>'Annual Raw'!W78</f>
        <v>3074.88</v>
      </c>
      <c r="W174" s="23">
        <f>'Annual Raw'!X78</f>
        <v>2599.89</v>
      </c>
      <c r="X174" s="23">
        <f>'Annual Raw'!Y78</f>
        <v>2796.94</v>
      </c>
      <c r="Y174" s="23">
        <f>'Annual Raw'!Z78</f>
        <v>2454.4899999999998</v>
      </c>
      <c r="Z174" s="23">
        <f>'Annual Raw'!AA78</f>
        <v>2817.86</v>
      </c>
      <c r="AA174" s="23">
        <f>'Annual Raw'!AB78</f>
        <v>3420.49</v>
      </c>
      <c r="AB174" s="24">
        <f t="shared" si="1331"/>
        <v>6318.1114283952775</v>
      </c>
      <c r="AC174" s="24">
        <f t="shared" si="1332"/>
        <v>8769.2149065779813</v>
      </c>
      <c r="AD174" s="24">
        <f t="shared" si="1333"/>
        <v>11722.975603493807</v>
      </c>
      <c r="AE174" s="24">
        <f t="shared" si="1334"/>
        <v>15258.383775886816</v>
      </c>
      <c r="AJ174" s="23">
        <f>+'QTR Raw'!D83</f>
        <v>687.26</v>
      </c>
      <c r="AK174" s="23">
        <f t="shared" ref="AK174:AM174" si="1336">+AK224</f>
        <v>787.71685707391612</v>
      </c>
      <c r="AL174" s="23">
        <f>+'QTR Raw'!F83</f>
        <v>697.7</v>
      </c>
      <c r="AM174" s="23">
        <f t="shared" si="1336"/>
        <v>836.67942687212769</v>
      </c>
      <c r="AN174" s="23">
        <f>+'QTR Raw'!H83</f>
        <v>912.04</v>
      </c>
      <c r="AO174" s="23">
        <f t="shared" ref="AO174" si="1337">+AO224</f>
        <v>910.04195833419567</v>
      </c>
      <c r="AP174" s="23">
        <f>+'QTR Raw'!J83</f>
        <v>725.24</v>
      </c>
      <c r="AQ174" s="23">
        <f t="shared" ref="AQ174" si="1338">+AQ224</f>
        <v>825.03339975810582</v>
      </c>
      <c r="AR174" s="23">
        <f>+'QTR Raw'!L83</f>
        <v>650.79999999999995</v>
      </c>
      <c r="AS174" s="23">
        <f t="shared" ref="AS174" si="1339">+AS224</f>
        <v>637.80449670146891</v>
      </c>
      <c r="AT174" s="23">
        <f>+'QTR Raw'!N83</f>
        <v>544.24</v>
      </c>
      <c r="AU174" s="23">
        <f t="shared" ref="AU174" si="1340">+AU224</f>
        <v>813.89766671000916</v>
      </c>
      <c r="AV174" s="23">
        <f>+'QTR Raw'!P83</f>
        <v>406.89</v>
      </c>
      <c r="AW174" s="23">
        <f t="shared" ref="AW174" si="1341">+AW224</f>
        <v>464.65507077181064</v>
      </c>
      <c r="AX174" s="23">
        <f>+'QTR Raw'!R83</f>
        <v>501.03</v>
      </c>
      <c r="AY174" s="23">
        <f t="shared" ref="AY174" si="1342">+AY224</f>
        <v>645.55025376169169</v>
      </c>
      <c r="AZ174" s="23">
        <f>+'QTR Raw'!T83</f>
        <v>1038.44</v>
      </c>
      <c r="BA174" s="23">
        <f t="shared" ref="BA174" si="1343">+BA224</f>
        <v>1132.4560021953084</v>
      </c>
      <c r="BB174" s="23">
        <f>+'QTR Raw'!V83</f>
        <v>574.82000000000005</v>
      </c>
      <c r="BC174" s="23">
        <f t="shared" ref="BC174" si="1344">+BC224</f>
        <v>848.15621515246994</v>
      </c>
      <c r="BD174" s="23">
        <f>+'QTR Raw'!X83</f>
        <v>696.33</v>
      </c>
      <c r="BE174" s="23">
        <f t="shared" ref="BE174" si="1345">+BE224</f>
        <v>1531.3008980344421</v>
      </c>
      <c r="BF174" s="23">
        <f>+'QTR Raw'!Z83</f>
        <v>1238.1400000000001</v>
      </c>
      <c r="BG174" s="23">
        <f t="shared" ref="BG174" si="1346">+BG224</f>
        <v>1828.8432484008536</v>
      </c>
      <c r="BH174" s="23">
        <f>+'QTR Raw'!AB83</f>
        <v>1106.54</v>
      </c>
      <c r="BI174" s="23">
        <f t="shared" ref="BI174" si="1347">+BI224</f>
        <v>1392.1412136046381</v>
      </c>
      <c r="BJ174" s="23">
        <f>+'QTR Raw'!AD83</f>
        <v>1033.6099999999999</v>
      </c>
      <c r="BK174" s="23">
        <f t="shared" ref="BK174" si="1348">+BK224</f>
        <v>1225.7115145370785</v>
      </c>
      <c r="BL174" s="23">
        <f>+'QTR Raw'!AF83</f>
        <v>1290.17</v>
      </c>
      <c r="BM174" s="23">
        <f t="shared" ref="BM174" si="1349">+BM224</f>
        <v>1633.777568159451</v>
      </c>
      <c r="BN174" s="23">
        <f>+'QTR Raw'!AH83</f>
        <v>1621.46</v>
      </c>
      <c r="BO174" s="23">
        <f t="shared" ref="BO174" si="1350">+BO224</f>
        <v>2565.4641027762659</v>
      </c>
      <c r="BP174" s="23">
        <f>+'QTR Raw'!AJ83</f>
        <v>2281.19</v>
      </c>
      <c r="BQ174" s="23">
        <f t="shared" ref="BQ174" si="1351">+BQ224</f>
        <v>2536.9268992643838</v>
      </c>
      <c r="BR174" s="23">
        <f>+'QTR Raw'!AL83</f>
        <v>3074.88</v>
      </c>
      <c r="BS174" s="23">
        <f t="shared" ref="BS174" si="1352">+BS224</f>
        <v>3596.3049167989134</v>
      </c>
      <c r="BT174" s="23">
        <f>+'QTR Raw'!AN83</f>
        <v>2564.11</v>
      </c>
      <c r="BU174" s="23">
        <f t="shared" ref="BU174" si="1353">+BU224</f>
        <v>2921.997712652319</v>
      </c>
      <c r="BV174" s="23">
        <f>+'QTR Raw'!AP83</f>
        <v>2599.89</v>
      </c>
      <c r="BW174" s="23">
        <f t="shared" ref="BW174" si="1354">+BW224</f>
        <v>2996.8344357421556</v>
      </c>
      <c r="BX174" s="23">
        <f>+'QTR Raw'!AR83</f>
        <v>1744.5</v>
      </c>
      <c r="BY174" s="23">
        <f t="shared" ref="BY174" si="1355">+BY224</f>
        <v>2406.9706803348149</v>
      </c>
      <c r="BZ174" s="23">
        <f>+'QTR Raw'!AT83</f>
        <v>2796.94</v>
      </c>
      <c r="CA174" s="23">
        <f t="shared" ref="CA174" si="1356">+CA224</f>
        <v>3829.2853524579054</v>
      </c>
      <c r="CB174" s="23">
        <f>+'QTR Raw'!AV83</f>
        <v>2507.59</v>
      </c>
      <c r="CC174" s="23">
        <f t="shared" ref="CC174" si="1357">+CC224</f>
        <v>3294.360541488787</v>
      </c>
      <c r="CD174" s="23">
        <f>+'QTR Raw'!AX83</f>
        <v>2454.4899999999998</v>
      </c>
      <c r="CE174" s="23">
        <f t="shared" ref="CE174" si="1358">+CE224</f>
        <v>2879.6342010573121</v>
      </c>
      <c r="CF174" s="23">
        <f>+'QTR Raw'!AZ83</f>
        <v>2094.54</v>
      </c>
      <c r="CG174" s="23">
        <f t="shared" ref="CG174:CI174" si="1359">+CG224</f>
        <v>2581.5383789818361</v>
      </c>
      <c r="CH174" s="23">
        <f t="shared" si="1335"/>
        <v>2817.86</v>
      </c>
      <c r="CI174" s="23">
        <f t="shared" si="1359"/>
        <v>3600.6495551861676</v>
      </c>
      <c r="CJ174" s="23">
        <f>+'QTR Raw'!BD83</f>
        <v>1740.22</v>
      </c>
      <c r="CK174" s="23">
        <f t="shared" ref="CK174:DB174" si="1360">+CK224</f>
        <v>2796.8850589017093</v>
      </c>
      <c r="CL174" s="23">
        <f>+'QTR Raw'!BF83</f>
        <v>3420.49</v>
      </c>
      <c r="CM174" s="24">
        <f t="shared" si="1360"/>
        <v>4747.9511089290399</v>
      </c>
      <c r="CN174" s="24">
        <f t="shared" si="1360"/>
        <v>5230.3638235690014</v>
      </c>
      <c r="CO174" s="24">
        <f t="shared" si="1360"/>
        <v>5760.1161131004919</v>
      </c>
      <c r="CP174" s="24">
        <f t="shared" si="1360"/>
        <v>6318.1114283952775</v>
      </c>
      <c r="CQ174" s="24">
        <f t="shared" si="1360"/>
        <v>6897.3906342195151</v>
      </c>
      <c r="CR174" s="24">
        <f t="shared" si="1360"/>
        <v>7486.608375736062</v>
      </c>
      <c r="CS174" s="24">
        <f t="shared" si="1360"/>
        <v>8119.0596908694679</v>
      </c>
      <c r="CT174" s="24">
        <f t="shared" si="1360"/>
        <v>8769.2149065779813</v>
      </c>
      <c r="CU174" s="24">
        <f t="shared" si="1360"/>
        <v>9472.3873531744248</v>
      </c>
      <c r="CV174" s="24">
        <f t="shared" si="1360"/>
        <v>10183.508674266966</v>
      </c>
      <c r="CW174" s="24">
        <f t="shared" si="1360"/>
        <v>10943.360397625214</v>
      </c>
      <c r="CX174" s="24">
        <f t="shared" si="1360"/>
        <v>11722.975603493807</v>
      </c>
      <c r="CY174" s="24">
        <f t="shared" si="1360"/>
        <v>12567.678068983532</v>
      </c>
      <c r="CZ174" s="24">
        <f t="shared" si="1360"/>
        <v>13419.239627903458</v>
      </c>
      <c r="DA174" s="24">
        <f t="shared" si="1360"/>
        <v>14327.963310055919</v>
      </c>
      <c r="DB174" s="24">
        <f t="shared" si="1360"/>
        <v>15258.383775886816</v>
      </c>
      <c r="DE174" s="123"/>
      <c r="DF174" s="23">
        <v>3378.5718347545017</v>
      </c>
    </row>
    <row r="175" spans="1:110" s="22" customFormat="1" x14ac:dyDescent="0.2">
      <c r="A175" s="22" t="s">
        <v>77</v>
      </c>
      <c r="B175" s="22">
        <f>B173+B174</f>
        <v>37.720599999999997</v>
      </c>
      <c r="C175" s="22">
        <f t="shared" ref="C175:V175" si="1361">C173+C174</f>
        <v>101.82759999999999</v>
      </c>
      <c r="D175" s="22">
        <f t="shared" si="1361"/>
        <v>91.395399999999995</v>
      </c>
      <c r="E175" s="22">
        <f t="shared" si="1361"/>
        <v>227.297</v>
      </c>
      <c r="F175" s="22">
        <f t="shared" si="1361"/>
        <v>171.45170000000002</v>
      </c>
      <c r="G175" s="22">
        <f t="shared" si="1361"/>
        <v>273.7287</v>
      </c>
      <c r="H175" s="22">
        <f t="shared" si="1361"/>
        <v>297.9649</v>
      </c>
      <c r="I175" s="22">
        <f t="shared" si="1361"/>
        <v>2350.2330000000002</v>
      </c>
      <c r="J175" s="22">
        <f t="shared" si="1361"/>
        <v>1099.2774999999999</v>
      </c>
      <c r="K175" s="22">
        <f t="shared" si="1361"/>
        <v>2046.6841999999999</v>
      </c>
      <c r="L175" s="22">
        <f t="shared" si="1361"/>
        <v>1103.8584000000001</v>
      </c>
      <c r="M175" s="22">
        <f t="shared" si="1361"/>
        <v>829.17869999999994</v>
      </c>
      <c r="N175" s="22">
        <f t="shared" si="1361"/>
        <v>699.61</v>
      </c>
      <c r="O175" s="22">
        <f t="shared" si="1361"/>
        <v>728.3383</v>
      </c>
      <c r="P175" s="22">
        <f t="shared" si="1361"/>
        <v>548.5</v>
      </c>
      <c r="Q175" s="22">
        <f t="shared" si="1361"/>
        <v>674.36</v>
      </c>
      <c r="R175" s="22">
        <f t="shared" si="1361"/>
        <v>741.17000000000007</v>
      </c>
      <c r="S175" s="22">
        <f t="shared" si="1361"/>
        <v>1806.67</v>
      </c>
      <c r="T175" s="22">
        <f t="shared" si="1361"/>
        <v>1616.77</v>
      </c>
      <c r="U175" s="22">
        <f t="shared" si="1361"/>
        <v>2455.0100000000002</v>
      </c>
      <c r="V175" s="22">
        <f t="shared" si="1361"/>
        <v>3398.04</v>
      </c>
      <c r="W175" s="22">
        <f t="shared" ref="W175" si="1362">W173+W174</f>
        <v>2797.92</v>
      </c>
      <c r="X175" s="22">
        <f t="shared" ref="X175:Y175" si="1363">X173+X174</f>
        <v>3551.6800000000003</v>
      </c>
      <c r="Y175" s="22">
        <f t="shared" si="1363"/>
        <v>2693.1299999999997</v>
      </c>
      <c r="Z175" s="22">
        <f t="shared" ref="Z175:AA175" si="1364">Z173+Z174</f>
        <v>3110.08</v>
      </c>
      <c r="AA175" s="22">
        <f t="shared" si="1364"/>
        <v>4288.6899999999996</v>
      </c>
      <c r="AB175" s="21">
        <f t="shared" ref="AA175:AD175" si="1365">AB173+AB174</f>
        <v>6318.1114283952775</v>
      </c>
      <c r="AC175" s="21">
        <f t="shared" si="1365"/>
        <v>8769.2149065779813</v>
      </c>
      <c r="AD175" s="21">
        <f t="shared" si="1365"/>
        <v>11722.975603493807</v>
      </c>
      <c r="AE175" s="21">
        <f t="shared" ref="AE175" si="1366">AE173+AE174</f>
        <v>15258.383775886816</v>
      </c>
      <c r="AJ175" s="22">
        <f t="shared" ref="AJ175" si="1367">AJ173+AJ174</f>
        <v>764.48</v>
      </c>
      <c r="AK175" s="22">
        <f t="shared" ref="AK175" si="1368">AK173+AK174</f>
        <v>787.71685707391612</v>
      </c>
      <c r="AL175" s="22">
        <f t="shared" ref="AL175:AM175" si="1369">AL173+AL174</f>
        <v>699.61</v>
      </c>
      <c r="AM175" s="22">
        <f t="shared" si="1369"/>
        <v>836.67942687212769</v>
      </c>
      <c r="AN175" s="22">
        <f t="shared" ref="AN175:AO175" si="1370">AN173+AN174</f>
        <v>914.51</v>
      </c>
      <c r="AO175" s="22">
        <f t="shared" si="1370"/>
        <v>910.04195833419567</v>
      </c>
      <c r="AP175" s="22">
        <f t="shared" ref="AP175:CE175" si="1371">AP173+AP174</f>
        <v>728.34</v>
      </c>
      <c r="AQ175" s="22">
        <f t="shared" si="1371"/>
        <v>825.03339975810582</v>
      </c>
      <c r="AR175" s="22">
        <f t="shared" si="1371"/>
        <v>654.29999999999995</v>
      </c>
      <c r="AS175" s="22">
        <f t="shared" si="1371"/>
        <v>637.80449670146891</v>
      </c>
      <c r="AT175" s="22">
        <f t="shared" si="1371"/>
        <v>548.5</v>
      </c>
      <c r="AU175" s="22">
        <f t="shared" si="1371"/>
        <v>813.89766671000916</v>
      </c>
      <c r="AV175" s="22">
        <f t="shared" si="1371"/>
        <v>437.57</v>
      </c>
      <c r="AW175" s="22">
        <f t="shared" si="1371"/>
        <v>464.65507077181064</v>
      </c>
      <c r="AX175" s="22">
        <f t="shared" si="1371"/>
        <v>674.36</v>
      </c>
      <c r="AY175" s="22">
        <f t="shared" si="1371"/>
        <v>645.55025376169169</v>
      </c>
      <c r="AZ175" s="22">
        <f t="shared" si="1371"/>
        <v>1111.31</v>
      </c>
      <c r="BA175" s="22">
        <f t="shared" si="1371"/>
        <v>1132.4560021953084</v>
      </c>
      <c r="BB175" s="22">
        <f t="shared" si="1371"/>
        <v>741.17000000000007</v>
      </c>
      <c r="BC175" s="22">
        <f t="shared" si="1371"/>
        <v>848.15621515246994</v>
      </c>
      <c r="BD175" s="22">
        <f t="shared" si="1371"/>
        <v>1395.8200000000002</v>
      </c>
      <c r="BE175" s="22">
        <f t="shared" si="1371"/>
        <v>1531.3008980344421</v>
      </c>
      <c r="BF175" s="22">
        <f t="shared" si="1371"/>
        <v>1806.67</v>
      </c>
      <c r="BG175" s="22">
        <f t="shared" si="1371"/>
        <v>1828.8432484008536</v>
      </c>
      <c r="BH175" s="22">
        <f t="shared" si="1371"/>
        <v>1437.5</v>
      </c>
      <c r="BI175" s="22">
        <f t="shared" si="1371"/>
        <v>1392.1412136046381</v>
      </c>
      <c r="BJ175" s="22">
        <f t="shared" si="1371"/>
        <v>1616.77</v>
      </c>
      <c r="BK175" s="22">
        <f t="shared" si="1371"/>
        <v>1225.7115145370785</v>
      </c>
      <c r="BL175" s="22">
        <f t="shared" si="1371"/>
        <v>1571.1000000000001</v>
      </c>
      <c r="BM175" s="22">
        <f t="shared" si="1371"/>
        <v>1633.777568159451</v>
      </c>
      <c r="BN175" s="22">
        <f t="shared" si="1371"/>
        <v>2455.0100000000002</v>
      </c>
      <c r="BO175" s="22">
        <f t="shared" si="1371"/>
        <v>2565.4641027762659</v>
      </c>
      <c r="BP175" s="22">
        <f t="shared" si="1371"/>
        <v>2515.0500000000002</v>
      </c>
      <c r="BQ175" s="22">
        <f t="shared" si="1371"/>
        <v>2536.9268992643838</v>
      </c>
      <c r="BR175" s="22">
        <f t="shared" si="1371"/>
        <v>3398.04</v>
      </c>
      <c r="BS175" s="22">
        <f t="shared" si="1371"/>
        <v>3596.3049167989134</v>
      </c>
      <c r="BT175" s="22">
        <f t="shared" si="1371"/>
        <v>2739.4900000000002</v>
      </c>
      <c r="BU175" s="22">
        <f t="shared" si="1371"/>
        <v>2921.997712652319</v>
      </c>
      <c r="BV175" s="22">
        <f t="shared" si="1371"/>
        <v>2797.92</v>
      </c>
      <c r="BW175" s="22">
        <f t="shared" si="1371"/>
        <v>2996.8344357421556</v>
      </c>
      <c r="BX175" s="22">
        <f t="shared" si="1371"/>
        <v>2106.67</v>
      </c>
      <c r="BY175" s="22">
        <f t="shared" si="1371"/>
        <v>2406.9706803348149</v>
      </c>
      <c r="BZ175" s="22">
        <f t="shared" si="1371"/>
        <v>3551.6800000000003</v>
      </c>
      <c r="CA175" s="22">
        <f t="shared" si="1371"/>
        <v>3829.2853524579054</v>
      </c>
      <c r="CB175" s="22">
        <f t="shared" si="1371"/>
        <v>3044.8100000000004</v>
      </c>
      <c r="CC175" s="22">
        <f t="shared" si="1371"/>
        <v>3294.360541488787</v>
      </c>
      <c r="CD175" s="22">
        <f t="shared" si="1371"/>
        <v>2693.1299999999997</v>
      </c>
      <c r="CE175" s="22">
        <f t="shared" si="1371"/>
        <v>2879.6342010573121</v>
      </c>
      <c r="CF175" s="22">
        <f t="shared" ref="CF175:CG175" si="1372">CF173+CF174</f>
        <v>2398.64</v>
      </c>
      <c r="CG175" s="22">
        <f t="shared" si="1372"/>
        <v>2581.5383789818361</v>
      </c>
      <c r="CH175" s="22">
        <f t="shared" ref="CH175:CI175" si="1373">CH173+CH174</f>
        <v>3110.08</v>
      </c>
      <c r="CI175" s="22">
        <f t="shared" si="1373"/>
        <v>3600.6495551861676</v>
      </c>
      <c r="CJ175" s="22">
        <f t="shared" ref="CJ175:DB175" si="1374">CJ173+CJ174</f>
        <v>2291.75</v>
      </c>
      <c r="CK175" s="22">
        <f t="shared" si="1374"/>
        <v>2796.8850589017093</v>
      </c>
      <c r="CL175" s="22">
        <f t="shared" ref="CL175" si="1375">CL173+CL174</f>
        <v>4288.6899999999996</v>
      </c>
      <c r="CM175" s="21">
        <f t="shared" si="1374"/>
        <v>4747.9511089290399</v>
      </c>
      <c r="CN175" s="21">
        <f t="shared" si="1374"/>
        <v>5230.3638235690014</v>
      </c>
      <c r="CO175" s="21">
        <f t="shared" si="1374"/>
        <v>5760.1161131004919</v>
      </c>
      <c r="CP175" s="21">
        <f t="shared" si="1374"/>
        <v>6318.1114283952775</v>
      </c>
      <c r="CQ175" s="21">
        <f t="shared" si="1374"/>
        <v>6897.3906342195151</v>
      </c>
      <c r="CR175" s="21">
        <f t="shared" si="1374"/>
        <v>7486.608375736062</v>
      </c>
      <c r="CS175" s="21">
        <f t="shared" si="1374"/>
        <v>8119.0596908694679</v>
      </c>
      <c r="CT175" s="21">
        <f t="shared" si="1374"/>
        <v>8769.2149065779813</v>
      </c>
      <c r="CU175" s="21">
        <f t="shared" si="1374"/>
        <v>9472.3873531744248</v>
      </c>
      <c r="CV175" s="21">
        <f t="shared" si="1374"/>
        <v>10183.508674266966</v>
      </c>
      <c r="CW175" s="21">
        <f t="shared" si="1374"/>
        <v>10943.360397625214</v>
      </c>
      <c r="CX175" s="21">
        <f t="shared" si="1374"/>
        <v>11722.975603493807</v>
      </c>
      <c r="CY175" s="21">
        <f t="shared" si="1374"/>
        <v>12567.678068983532</v>
      </c>
      <c r="CZ175" s="21">
        <f t="shared" si="1374"/>
        <v>13419.239627903458</v>
      </c>
      <c r="DA175" s="21">
        <f t="shared" si="1374"/>
        <v>14327.963310055919</v>
      </c>
      <c r="DB175" s="21">
        <f t="shared" si="1374"/>
        <v>15258.383775886816</v>
      </c>
      <c r="DE175" s="126"/>
      <c r="DF175" s="22">
        <v>3378.5718347545017</v>
      </c>
    </row>
    <row r="176" spans="1:110" s="23" customFormat="1" x14ac:dyDescent="0.2">
      <c r="AB176" s="24"/>
      <c r="AC176" s="24"/>
      <c r="AD176" s="24"/>
      <c r="AE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E176" s="123"/>
    </row>
    <row r="177" spans="1:110" s="23" customFormat="1" x14ac:dyDescent="0.2">
      <c r="A177" s="23" t="s">
        <v>78</v>
      </c>
      <c r="B177" s="23">
        <f>-'Annual Raw'!C49</f>
        <v>0</v>
      </c>
      <c r="C177" s="23">
        <f>-'Annual Raw'!D49</f>
        <v>-74.658699999999996</v>
      </c>
      <c r="D177" s="23">
        <f>-'Annual Raw'!E49</f>
        <v>-82.867500000000007</v>
      </c>
      <c r="E177" s="23">
        <f>-'Annual Raw'!F49</f>
        <v>-78.193700000000007</v>
      </c>
      <c r="F177" s="23">
        <f>-'Annual Raw'!G49</f>
        <v>-62.409599999999998</v>
      </c>
      <c r="G177" s="23">
        <f>-'Annual Raw'!H49</f>
        <v>-52.987400000000001</v>
      </c>
      <c r="H177" s="23">
        <f>-'Annual Raw'!I49</f>
        <v>-41.165900000000001</v>
      </c>
      <c r="I177" s="23">
        <f>-'Annual Raw'!J49</f>
        <v>-36.781100000000002</v>
      </c>
      <c r="J177" s="23">
        <f>-'Annual Raw'!K49</f>
        <v>-48.373399999999997</v>
      </c>
      <c r="K177" s="23">
        <f>-'Annual Raw'!L49</f>
        <v>-74.748699999999999</v>
      </c>
      <c r="L177" s="23">
        <f>-'Annual Raw'!M49</f>
        <v>-63.6952</v>
      </c>
      <c r="M177" s="23">
        <f>-'Annual Raw'!N49</f>
        <v>-65.716099999999997</v>
      </c>
      <c r="N177" s="23">
        <f>-'Annual Raw'!O49</f>
        <v>-53.959000000000003</v>
      </c>
      <c r="O177" s="23">
        <f>-'Annual Raw'!P49</f>
        <v>-46.251399999999997</v>
      </c>
      <c r="P177" s="23">
        <f>-'Annual Raw'!Q49</f>
        <v>-102.17</v>
      </c>
      <c r="Q177" s="23">
        <f>-'Annual Raw'!R49</f>
        <v>-78.569999999999993</v>
      </c>
      <c r="R177" s="23">
        <f>-'Annual Raw'!S49</f>
        <v>-145.38</v>
      </c>
      <c r="S177" s="23">
        <f>-'Annual Raw'!T49</f>
        <v>0.32</v>
      </c>
      <c r="T177" s="23">
        <f>-'Annual Raw'!U49</f>
        <v>-87.41</v>
      </c>
      <c r="U177" s="23">
        <f>-'Annual Raw'!V49</f>
        <v>-286.47000000000003</v>
      </c>
      <c r="V177" s="23">
        <f>-'Annual Raw'!W49</f>
        <v>-532.11</v>
      </c>
      <c r="W177" s="23">
        <f>-'Annual Raw'!X49</f>
        <v>-733.69</v>
      </c>
      <c r="X177" s="23">
        <f>-'Annual Raw'!Y49</f>
        <v>-814.4</v>
      </c>
      <c r="Y177" s="23">
        <f>-'Annual Raw'!Z49</f>
        <v>-1653.05</v>
      </c>
      <c r="Z177" s="23">
        <f>-'Annual Raw'!AA49</f>
        <v>-2040.32</v>
      </c>
      <c r="AA177" s="23">
        <f>-'Annual Raw'!AB49</f>
        <v>-2025.22</v>
      </c>
      <c r="AB177" s="24">
        <f t="shared" ref="AB177:AB178" si="1376">+CP177</f>
        <v>-2025.22</v>
      </c>
      <c r="AC177" s="24">
        <f t="shared" ref="AC177:AC178" si="1377">+CT177</f>
        <v>-2025.22</v>
      </c>
      <c r="AD177" s="24">
        <f t="shared" ref="AD177:AD178" si="1378">+CX177</f>
        <v>-2025.22</v>
      </c>
      <c r="AE177" s="24">
        <f t="shared" ref="AE177:AE178" si="1379">+DB177</f>
        <v>-2025.22</v>
      </c>
      <c r="AJ177" s="23">
        <f>+'QTR Raw'!D96</f>
        <v>-57.93</v>
      </c>
      <c r="AK177" s="23">
        <f t="shared" ref="AK177:CE177" si="1380">+AJ177</f>
        <v>-57.93</v>
      </c>
      <c r="AL177" s="23">
        <f>+'QTR Raw'!F96</f>
        <v>-53.96</v>
      </c>
      <c r="AM177" s="23">
        <f t="shared" si="1380"/>
        <v>-53.96</v>
      </c>
      <c r="AN177" s="23">
        <f>+'QTR Raw'!H96</f>
        <v>-49.99</v>
      </c>
      <c r="AO177" s="23">
        <f t="shared" si="1380"/>
        <v>-49.99</v>
      </c>
      <c r="AP177" s="23">
        <f>+'QTR Raw'!J96</f>
        <v>-46.25</v>
      </c>
      <c r="AQ177" s="23">
        <f t="shared" si="1380"/>
        <v>-46.25</v>
      </c>
      <c r="AR177" s="23">
        <f>+'QTR Raw'!L96</f>
        <v>-52.1</v>
      </c>
      <c r="AS177" s="23">
        <f t="shared" si="1380"/>
        <v>-52.1</v>
      </c>
      <c r="AT177" s="23">
        <f>+'QTR Raw'!N96</f>
        <v>-102.17</v>
      </c>
      <c r="AU177" s="23">
        <f t="shared" si="1380"/>
        <v>-102.17</v>
      </c>
      <c r="AV177" s="23">
        <f>+'QTR Raw'!P96</f>
        <v>-113.84</v>
      </c>
      <c r="AW177" s="23">
        <f t="shared" si="1380"/>
        <v>-113.84</v>
      </c>
      <c r="AX177" s="23">
        <f>+'QTR Raw'!R96</f>
        <v>-78.569999999999993</v>
      </c>
      <c r="AY177" s="23">
        <f t="shared" si="1380"/>
        <v>-78.569999999999993</v>
      </c>
      <c r="AZ177" s="23">
        <f>+'QTR Raw'!T96</f>
        <v>-128.6</v>
      </c>
      <c r="BA177" s="23">
        <f t="shared" si="1380"/>
        <v>-128.6</v>
      </c>
      <c r="BB177" s="23">
        <f>+'QTR Raw'!V96</f>
        <v>-145.38</v>
      </c>
      <c r="BC177" s="23">
        <f t="shared" si="1380"/>
        <v>-145.38</v>
      </c>
      <c r="BD177" s="23">
        <f>+'QTR Raw'!X96</f>
        <v>-91.99</v>
      </c>
      <c r="BE177" s="23">
        <f t="shared" si="1380"/>
        <v>-91.99</v>
      </c>
      <c r="BF177" s="23">
        <f>+'QTR Raw'!Z96</f>
        <v>0.32</v>
      </c>
      <c r="BG177" s="23">
        <f t="shared" si="1380"/>
        <v>0.32</v>
      </c>
      <c r="BH177" s="23">
        <f>+'QTR Raw'!AB96</f>
        <v>-50</v>
      </c>
      <c r="BI177" s="23">
        <f t="shared" si="1380"/>
        <v>-50</v>
      </c>
      <c r="BJ177" s="23">
        <f>+'QTR Raw'!AD96</f>
        <v>-87.41</v>
      </c>
      <c r="BK177" s="23">
        <f t="shared" si="1380"/>
        <v>-87.41</v>
      </c>
      <c r="BL177" s="23">
        <f>+'QTR Raw'!AF96</f>
        <v>-97.7</v>
      </c>
      <c r="BM177" s="23">
        <f t="shared" si="1380"/>
        <v>-97.7</v>
      </c>
      <c r="BN177" s="23">
        <f>+'QTR Raw'!AH96</f>
        <v>-286.47000000000003</v>
      </c>
      <c r="BO177" s="23">
        <f t="shared" si="1380"/>
        <v>-286.47000000000003</v>
      </c>
      <c r="BP177" s="23">
        <f>+'QTR Raw'!AJ96</f>
        <v>-429.85</v>
      </c>
      <c r="BQ177" s="23">
        <f t="shared" si="1380"/>
        <v>-429.85</v>
      </c>
      <c r="BR177" s="23">
        <f>+'QTR Raw'!AL96</f>
        <v>-532.11</v>
      </c>
      <c r="BS177" s="23">
        <f t="shared" si="1380"/>
        <v>-532.11</v>
      </c>
      <c r="BT177" s="23">
        <f>+'QTR Raw'!AN96</f>
        <v>-621.47</v>
      </c>
      <c r="BU177" s="23">
        <f t="shared" si="1380"/>
        <v>-621.47</v>
      </c>
      <c r="BV177" s="23">
        <f>+'QTR Raw'!AP96</f>
        <v>-733.69</v>
      </c>
      <c r="BW177" s="23">
        <f t="shared" si="1380"/>
        <v>-733.69</v>
      </c>
      <c r="BX177" s="23">
        <f>+'QTR Raw'!AR96</f>
        <v>-753.13</v>
      </c>
      <c r="BY177" s="23">
        <f t="shared" si="1380"/>
        <v>-753.13</v>
      </c>
      <c r="BZ177" s="23">
        <f>+'QTR Raw'!AT96</f>
        <v>-814.4</v>
      </c>
      <c r="CA177" s="23">
        <f t="shared" si="1380"/>
        <v>-814.4</v>
      </c>
      <c r="CB177" s="23">
        <f>+'QTR Raw'!AV96</f>
        <v>-845.13</v>
      </c>
      <c r="CC177" s="23">
        <f t="shared" si="1380"/>
        <v>-845.13</v>
      </c>
      <c r="CD177" s="23">
        <f>+'QTR Raw'!AX96</f>
        <v>-1653.05</v>
      </c>
      <c r="CE177" s="23">
        <f t="shared" si="1380"/>
        <v>-1653.05</v>
      </c>
      <c r="CF177" s="23">
        <f>+'QTR Raw'!AZ96</f>
        <v>-1982.88</v>
      </c>
      <c r="CG177" s="23">
        <f t="shared" ref="CG177:CI178" si="1381">+CF177</f>
        <v>-1982.88</v>
      </c>
      <c r="CH177" s="23">
        <f t="shared" ref="CH177:CH178" si="1382">Z177</f>
        <v>-2040.32</v>
      </c>
      <c r="CI177" s="23">
        <f t="shared" si="1381"/>
        <v>-2040.32</v>
      </c>
      <c r="CJ177" s="23">
        <f>+'QTR Raw'!BD96</f>
        <v>-2046.92</v>
      </c>
      <c r="CK177" s="23">
        <f t="shared" ref="CK177:CK178" si="1383">+CJ177</f>
        <v>-2046.92</v>
      </c>
      <c r="CL177" s="23">
        <f>+'QTR Raw'!BF96</f>
        <v>-2025.22</v>
      </c>
      <c r="CM177" s="24">
        <f t="shared" ref="CM177:CM178" si="1384">+CL177</f>
        <v>-2025.22</v>
      </c>
      <c r="CN177" s="24">
        <f t="shared" ref="CN177:CN178" si="1385">+CM177</f>
        <v>-2025.22</v>
      </c>
      <c r="CO177" s="24">
        <f t="shared" ref="CO177:CO178" si="1386">+CN177</f>
        <v>-2025.22</v>
      </c>
      <c r="CP177" s="24">
        <f t="shared" ref="CP177:CP178" si="1387">+CO177</f>
        <v>-2025.22</v>
      </c>
      <c r="CQ177" s="24">
        <f t="shared" ref="CQ177:CQ178" si="1388">+CP177</f>
        <v>-2025.22</v>
      </c>
      <c r="CR177" s="24">
        <f t="shared" ref="CR177:CR178" si="1389">+CQ177</f>
        <v>-2025.22</v>
      </c>
      <c r="CS177" s="24">
        <f t="shared" ref="CS177:CS178" si="1390">+CR177</f>
        <v>-2025.22</v>
      </c>
      <c r="CT177" s="24">
        <f t="shared" ref="CT177:CT178" si="1391">+CS177</f>
        <v>-2025.22</v>
      </c>
      <c r="CU177" s="24">
        <f t="shared" ref="CU177:CU178" si="1392">+CT177</f>
        <v>-2025.22</v>
      </c>
      <c r="CV177" s="24">
        <f t="shared" ref="CV177:CV178" si="1393">+CU177</f>
        <v>-2025.22</v>
      </c>
      <c r="CW177" s="24">
        <f t="shared" ref="CW177:CW178" si="1394">+CV177</f>
        <v>-2025.22</v>
      </c>
      <c r="CX177" s="24">
        <f t="shared" ref="CX177:CX178" si="1395">+CW177</f>
        <v>-2025.22</v>
      </c>
      <c r="CY177" s="24">
        <f t="shared" ref="CY177:CY178" si="1396">+CX177</f>
        <v>-2025.22</v>
      </c>
      <c r="CZ177" s="24">
        <f t="shared" ref="CZ177:CZ178" si="1397">+CY177</f>
        <v>-2025.22</v>
      </c>
      <c r="DA177" s="24">
        <f t="shared" ref="DA177:DA178" si="1398">+CZ177</f>
        <v>-2025.22</v>
      </c>
      <c r="DB177" s="24">
        <f t="shared" ref="DB177:DB178" si="1399">+DA177</f>
        <v>-2025.22</v>
      </c>
      <c r="DE177" s="123"/>
      <c r="DF177" s="23">
        <v>-2046.92</v>
      </c>
    </row>
    <row r="178" spans="1:110" s="23" customFormat="1" x14ac:dyDescent="0.2">
      <c r="A178" s="23" t="s">
        <v>79</v>
      </c>
      <c r="B178" s="23">
        <f>'Annual Raw'!C83</f>
        <v>0</v>
      </c>
      <c r="C178" s="23">
        <f>'Annual Raw'!D83</f>
        <v>33.8949</v>
      </c>
      <c r="D178" s="23">
        <f>'Annual Raw'!E83</f>
        <v>92.109700000000004</v>
      </c>
      <c r="E178" s="23">
        <f>'Annual Raw'!F83</f>
        <v>47.868400000000001</v>
      </c>
      <c r="F178" s="23">
        <f>'Annual Raw'!G83</f>
        <v>53.804499999999997</v>
      </c>
      <c r="G178" s="23">
        <f>'Annual Raw'!H83</f>
        <v>35.206200000000003</v>
      </c>
      <c r="H178" s="23">
        <f>'Annual Raw'!I83</f>
        <v>25.667400000000001</v>
      </c>
      <c r="I178" s="23">
        <f>'Annual Raw'!J83</f>
        <v>16.615600000000001</v>
      </c>
      <c r="J178" s="23">
        <f>'Annual Raw'!K83</f>
        <v>7.6417000000000002</v>
      </c>
      <c r="K178" s="23">
        <f>'Annual Raw'!L83</f>
        <v>0</v>
      </c>
      <c r="L178" s="23">
        <f>'Annual Raw'!M83</f>
        <v>0</v>
      </c>
      <c r="M178" s="23">
        <f>'Annual Raw'!N83</f>
        <v>0</v>
      </c>
      <c r="N178" s="23">
        <f>'Annual Raw'!O83</f>
        <v>0</v>
      </c>
      <c r="O178" s="23">
        <f>'Annual Raw'!P83</f>
        <v>0</v>
      </c>
      <c r="P178" s="23">
        <f>'Annual Raw'!Q83</f>
        <v>0</v>
      </c>
      <c r="Q178" s="23">
        <f>'Annual Raw'!R83</f>
        <v>0</v>
      </c>
      <c r="R178" s="23">
        <f>'Annual Raw'!S83</f>
        <v>0</v>
      </c>
      <c r="S178" s="23">
        <f>'Annual Raw'!T83</f>
        <v>0</v>
      </c>
      <c r="T178" s="23">
        <f>'Annual Raw'!U83</f>
        <v>0</v>
      </c>
      <c r="U178" s="23">
        <f>'Annual Raw'!V83</f>
        <v>0</v>
      </c>
      <c r="V178" s="23">
        <f>'Annual Raw'!W83</f>
        <v>0</v>
      </c>
      <c r="W178" s="23">
        <f>'Annual Raw'!X83</f>
        <v>0</v>
      </c>
      <c r="X178" s="23">
        <f>'Annual Raw'!Y83</f>
        <v>0</v>
      </c>
      <c r="Y178" s="23">
        <f>'Annual Raw'!Z83</f>
        <v>0</v>
      </c>
      <c r="Z178" s="23">
        <f>'Annual Raw'!AA83</f>
        <v>0</v>
      </c>
      <c r="AA178" s="23">
        <f>'Annual Raw'!AB83</f>
        <v>0</v>
      </c>
      <c r="AB178" s="24">
        <f t="shared" si="1376"/>
        <v>0</v>
      </c>
      <c r="AC178" s="24">
        <f t="shared" si="1377"/>
        <v>0</v>
      </c>
      <c r="AD178" s="24">
        <f t="shared" si="1378"/>
        <v>0</v>
      </c>
      <c r="AE178" s="24">
        <f t="shared" si="1379"/>
        <v>0</v>
      </c>
      <c r="AJ178" s="23">
        <f>+'QTR Raw'!D95</f>
        <v>0</v>
      </c>
      <c r="AK178" s="23">
        <f t="shared" ref="AK178:CE178" si="1400">+AJ178</f>
        <v>0</v>
      </c>
      <c r="AL178" s="23">
        <f>+'QTR Raw'!F95</f>
        <v>0</v>
      </c>
      <c r="AM178" s="23">
        <f t="shared" si="1400"/>
        <v>0</v>
      </c>
      <c r="AN178" s="23">
        <f>+'QTR Raw'!H95</f>
        <v>0</v>
      </c>
      <c r="AO178" s="23">
        <f t="shared" si="1400"/>
        <v>0</v>
      </c>
      <c r="AP178" s="23">
        <f>+'QTR Raw'!J95</f>
        <v>0</v>
      </c>
      <c r="AQ178" s="23">
        <f t="shared" si="1400"/>
        <v>0</v>
      </c>
      <c r="AR178" s="23">
        <f>+'QTR Raw'!L95</f>
        <v>0</v>
      </c>
      <c r="AS178" s="23">
        <f t="shared" si="1400"/>
        <v>0</v>
      </c>
      <c r="AT178" s="23">
        <f>+'QTR Raw'!N95</f>
        <v>0</v>
      </c>
      <c r="AU178" s="23">
        <f t="shared" si="1400"/>
        <v>0</v>
      </c>
      <c r="AV178" s="23">
        <f>+'QTR Raw'!P95</f>
        <v>0</v>
      </c>
      <c r="AW178" s="23">
        <f t="shared" si="1400"/>
        <v>0</v>
      </c>
      <c r="AX178" s="23">
        <f>+'QTR Raw'!R95</f>
        <v>0</v>
      </c>
      <c r="AY178" s="23">
        <f t="shared" si="1400"/>
        <v>0</v>
      </c>
      <c r="AZ178" s="23">
        <f>+'QTR Raw'!T95</f>
        <v>0</v>
      </c>
      <c r="BA178" s="23">
        <f t="shared" si="1400"/>
        <v>0</v>
      </c>
      <c r="BB178" s="23">
        <f>+'QTR Raw'!V95</f>
        <v>0</v>
      </c>
      <c r="BC178" s="23">
        <f t="shared" si="1400"/>
        <v>0</v>
      </c>
      <c r="BD178" s="23">
        <f>+'QTR Raw'!X95</f>
        <v>0</v>
      </c>
      <c r="BE178" s="23">
        <f t="shared" si="1400"/>
        <v>0</v>
      </c>
      <c r="BF178" s="23">
        <f>+'QTR Raw'!Z95</f>
        <v>0</v>
      </c>
      <c r="BG178" s="23">
        <f t="shared" si="1400"/>
        <v>0</v>
      </c>
      <c r="BH178" s="23">
        <f>+'QTR Raw'!AB95</f>
        <v>0</v>
      </c>
      <c r="BI178" s="23">
        <f t="shared" si="1400"/>
        <v>0</v>
      </c>
      <c r="BJ178" s="23">
        <f>+'QTR Raw'!AD95</f>
        <v>0</v>
      </c>
      <c r="BK178" s="23">
        <f t="shared" si="1400"/>
        <v>0</v>
      </c>
      <c r="BL178" s="23">
        <f>+'QTR Raw'!AF95</f>
        <v>0</v>
      </c>
      <c r="BM178" s="23">
        <f t="shared" si="1400"/>
        <v>0</v>
      </c>
      <c r="BN178" s="23">
        <f>+'QTR Raw'!AH95</f>
        <v>0</v>
      </c>
      <c r="BO178" s="23">
        <f t="shared" si="1400"/>
        <v>0</v>
      </c>
      <c r="BP178" s="23">
        <f>+'QTR Raw'!AJ95</f>
        <v>0</v>
      </c>
      <c r="BQ178" s="23">
        <f t="shared" si="1400"/>
        <v>0</v>
      </c>
      <c r="BR178" s="23">
        <f>+'QTR Raw'!AL95</f>
        <v>0</v>
      </c>
      <c r="BS178" s="23">
        <f t="shared" si="1400"/>
        <v>0</v>
      </c>
      <c r="BT178" s="23">
        <f>+'QTR Raw'!AN95</f>
        <v>0</v>
      </c>
      <c r="BU178" s="23">
        <f t="shared" si="1400"/>
        <v>0</v>
      </c>
      <c r="BV178" s="23">
        <f>+'QTR Raw'!AP95</f>
        <v>0</v>
      </c>
      <c r="BW178" s="23">
        <f t="shared" si="1400"/>
        <v>0</v>
      </c>
      <c r="BX178" s="23">
        <f>+'QTR Raw'!AR95</f>
        <v>0</v>
      </c>
      <c r="BY178" s="23">
        <f t="shared" si="1400"/>
        <v>0</v>
      </c>
      <c r="BZ178" s="23">
        <f>+'QTR Raw'!AT95</f>
        <v>0</v>
      </c>
      <c r="CA178" s="23">
        <f t="shared" si="1400"/>
        <v>0</v>
      </c>
      <c r="CB178" s="23">
        <f>+'QTR Raw'!AV95</f>
        <v>0</v>
      </c>
      <c r="CC178" s="23">
        <f t="shared" si="1400"/>
        <v>0</v>
      </c>
      <c r="CD178" s="23">
        <f>+'QTR Raw'!AX95</f>
        <v>0</v>
      </c>
      <c r="CE178" s="23">
        <f t="shared" si="1400"/>
        <v>0</v>
      </c>
      <c r="CF178" s="23">
        <f>+'QTR Raw'!AZ95</f>
        <v>0</v>
      </c>
      <c r="CG178" s="23">
        <f t="shared" si="1381"/>
        <v>0</v>
      </c>
      <c r="CH178" s="23">
        <f t="shared" si="1382"/>
        <v>0</v>
      </c>
      <c r="CI178" s="23">
        <f t="shared" si="1381"/>
        <v>0</v>
      </c>
      <c r="CJ178" s="23">
        <f>+'QTR Raw'!BD95</f>
        <v>0</v>
      </c>
      <c r="CK178" s="23">
        <f t="shared" si="1383"/>
        <v>0</v>
      </c>
      <c r="CL178" s="23">
        <f>+'QTR Raw'!BF95</f>
        <v>0</v>
      </c>
      <c r="CM178" s="24">
        <f t="shared" si="1384"/>
        <v>0</v>
      </c>
      <c r="CN178" s="24">
        <f t="shared" si="1385"/>
        <v>0</v>
      </c>
      <c r="CO178" s="24">
        <f t="shared" si="1386"/>
        <v>0</v>
      </c>
      <c r="CP178" s="24">
        <f t="shared" si="1387"/>
        <v>0</v>
      </c>
      <c r="CQ178" s="24">
        <f t="shared" si="1388"/>
        <v>0</v>
      </c>
      <c r="CR178" s="24">
        <f t="shared" si="1389"/>
        <v>0</v>
      </c>
      <c r="CS178" s="24">
        <f t="shared" si="1390"/>
        <v>0</v>
      </c>
      <c r="CT178" s="24">
        <f t="shared" si="1391"/>
        <v>0</v>
      </c>
      <c r="CU178" s="24">
        <f t="shared" si="1392"/>
        <v>0</v>
      </c>
      <c r="CV178" s="24">
        <f t="shared" si="1393"/>
        <v>0</v>
      </c>
      <c r="CW178" s="24">
        <f t="shared" si="1394"/>
        <v>0</v>
      </c>
      <c r="CX178" s="24">
        <f t="shared" si="1395"/>
        <v>0</v>
      </c>
      <c r="CY178" s="24">
        <f t="shared" si="1396"/>
        <v>0</v>
      </c>
      <c r="CZ178" s="24">
        <f t="shared" si="1397"/>
        <v>0</v>
      </c>
      <c r="DA178" s="24">
        <f t="shared" si="1398"/>
        <v>0</v>
      </c>
      <c r="DB178" s="24">
        <f t="shared" si="1399"/>
        <v>0</v>
      </c>
      <c r="DE178" s="123"/>
      <c r="DF178" s="23">
        <v>0</v>
      </c>
    </row>
    <row r="179" spans="1:110" s="26" customFormat="1" x14ac:dyDescent="0.2">
      <c r="A179" s="26" t="s">
        <v>438</v>
      </c>
      <c r="B179" s="26">
        <f t="shared" ref="B179:W179" si="1401">B177+B175+B171+B154+B152+B178</f>
        <v>1136.0146999999999</v>
      </c>
      <c r="C179" s="26">
        <f t="shared" si="1401"/>
        <v>2882.5549000000001</v>
      </c>
      <c r="D179" s="26">
        <f t="shared" si="1401"/>
        <v>3037.5108999999998</v>
      </c>
      <c r="E179" s="26">
        <f t="shared" si="1401"/>
        <v>3221.3867000000005</v>
      </c>
      <c r="F179" s="26">
        <f t="shared" si="1401"/>
        <v>3248.9334000000003</v>
      </c>
      <c r="G179" s="26">
        <f t="shared" si="1401"/>
        <v>3370.6316999999999</v>
      </c>
      <c r="H179" s="26">
        <f t="shared" si="1401"/>
        <v>7360.4426000000003</v>
      </c>
      <c r="I179" s="26">
        <f t="shared" si="1401"/>
        <v>7051.6636000000008</v>
      </c>
      <c r="J179" s="26">
        <f t="shared" si="1401"/>
        <v>7105.9148999999998</v>
      </c>
      <c r="K179" s="26">
        <f t="shared" si="1401"/>
        <v>6577.157799999999</v>
      </c>
      <c r="L179" s="26">
        <f t="shared" si="1401"/>
        <v>6106.6941000000006</v>
      </c>
      <c r="M179" s="26">
        <f t="shared" si="1401"/>
        <v>6547.5802000000003</v>
      </c>
      <c r="N179" s="26">
        <f t="shared" si="1401"/>
        <v>7012.8044000000009</v>
      </c>
      <c r="O179" s="26">
        <f t="shared" si="1401"/>
        <v>8211.0151999999998</v>
      </c>
      <c r="P179" s="26">
        <f t="shared" si="1401"/>
        <v>7693.0300000000007</v>
      </c>
      <c r="Q179" s="26">
        <f t="shared" si="1401"/>
        <v>8462.9900000000016</v>
      </c>
      <c r="R179" s="26">
        <f t="shared" si="1401"/>
        <v>7971.5599999999995</v>
      </c>
      <c r="S179" s="26">
        <f t="shared" si="1401"/>
        <v>9108.2200000000012</v>
      </c>
      <c r="T179" s="26">
        <f t="shared" si="1401"/>
        <v>9500.4699999999993</v>
      </c>
      <c r="U179" s="26">
        <f t="shared" si="1401"/>
        <v>16163.720000000001</v>
      </c>
      <c r="V179" s="26">
        <f t="shared" si="1401"/>
        <v>16833.68</v>
      </c>
      <c r="W179" s="26">
        <f t="shared" si="1401"/>
        <v>17304.150000000001</v>
      </c>
      <c r="X179" s="26">
        <f t="shared" ref="X179:Y179" si="1402">X177+X175+X171+X154+X152+X178</f>
        <v>18309.7</v>
      </c>
      <c r="Y179" s="26">
        <f t="shared" si="1402"/>
        <v>20389.98</v>
      </c>
      <c r="Z179" s="26">
        <f t="shared" ref="Z179:AA179" si="1403">Z177+Z175+Z171+Z154+Z152+Z178</f>
        <v>23238.950000000004</v>
      </c>
      <c r="AA179" s="26">
        <f t="shared" si="1403"/>
        <v>25309.17</v>
      </c>
      <c r="AB179" s="27">
        <f t="shared" ref="AA179:AD179" si="1404">AB177+AB175+AB171+AB154+AB152+AB178</f>
        <v>27430.368559511982</v>
      </c>
      <c r="AC179" s="27">
        <f t="shared" si="1404"/>
        <v>29981.030186328182</v>
      </c>
      <c r="AD179" s="27">
        <f t="shared" si="1404"/>
        <v>33049.653433595522</v>
      </c>
      <c r="AE179" s="27">
        <f t="shared" ref="AE179" si="1405">AE177+AE175+AE171+AE154+AE152+AE178</f>
        <v>36716.748109493092</v>
      </c>
      <c r="AJ179" s="26">
        <f t="shared" ref="AJ179" si="1406">AJ177+AJ175+AJ171+AJ154+AJ152+AJ178</f>
        <v>6977.22</v>
      </c>
      <c r="AK179" s="26">
        <f t="shared" ref="AK179:AL179" si="1407">AK177+AK175+AK171+AK154+AK152+AK178</f>
        <v>7057.48</v>
      </c>
      <c r="AL179" s="26">
        <f t="shared" si="1407"/>
        <v>6640.8600000000006</v>
      </c>
      <c r="AM179" s="26">
        <f t="shared" ref="AM179:AO179" si="1408">AM177+AM175+AM171+AM154+AM152+AM178</f>
        <v>6752.4900000000007</v>
      </c>
      <c r="AN179" s="26">
        <f t="shared" si="1408"/>
        <v>8299.43</v>
      </c>
      <c r="AO179" s="26">
        <f t="shared" si="1408"/>
        <v>8418.98</v>
      </c>
      <c r="AP179" s="26">
        <f t="shared" ref="AP179:CE179" si="1409">AP177+AP175+AP171+AP154+AP152+AP178</f>
        <v>8174.2699999999986</v>
      </c>
      <c r="AQ179" s="26">
        <f t="shared" si="1409"/>
        <v>8271.5</v>
      </c>
      <c r="AR179" s="26">
        <f t="shared" si="1409"/>
        <v>8522.5399999999991</v>
      </c>
      <c r="AS179" s="26">
        <f t="shared" si="1409"/>
        <v>8606.7800000000007</v>
      </c>
      <c r="AT179" s="26">
        <f t="shared" si="1409"/>
        <v>7634.98</v>
      </c>
      <c r="AU179" s="26">
        <f t="shared" si="1409"/>
        <v>7707.3099999999995</v>
      </c>
      <c r="AV179" s="26">
        <f t="shared" si="1409"/>
        <v>8167.0499999999993</v>
      </c>
      <c r="AW179" s="26">
        <f t="shared" si="1409"/>
        <v>8224.8299999999981</v>
      </c>
      <c r="AX179" s="26">
        <f t="shared" si="1409"/>
        <v>8021.62</v>
      </c>
      <c r="AY179" s="26">
        <f t="shared" si="1409"/>
        <v>8125.2699999999995</v>
      </c>
      <c r="AZ179" s="26">
        <f t="shared" si="1409"/>
        <v>7893.82</v>
      </c>
      <c r="BA179" s="26">
        <f t="shared" si="1409"/>
        <v>8021.45</v>
      </c>
      <c r="BB179" s="26">
        <f t="shared" si="1409"/>
        <v>7955.33</v>
      </c>
      <c r="BC179" s="26">
        <f t="shared" si="1409"/>
        <v>8079.77</v>
      </c>
      <c r="BD179" s="26">
        <f t="shared" si="1409"/>
        <v>8475.4800000000014</v>
      </c>
      <c r="BE179" s="26">
        <f t="shared" si="1409"/>
        <v>8643.3500000000022</v>
      </c>
      <c r="BF179" s="26">
        <f t="shared" si="1409"/>
        <v>9096.82</v>
      </c>
      <c r="BG179" s="26">
        <f t="shared" si="1409"/>
        <v>9213.0600000000013</v>
      </c>
      <c r="BH179" s="26">
        <f t="shared" ref="BH179" si="1410">BH177+BH175+BH171+BH154+BH152+BH178</f>
        <v>9655.74</v>
      </c>
      <c r="BI179" s="26">
        <f t="shared" si="1409"/>
        <v>9755.06</v>
      </c>
      <c r="BJ179" s="26">
        <f t="shared" si="1409"/>
        <v>9476.27</v>
      </c>
      <c r="BK179" s="26">
        <f t="shared" si="1409"/>
        <v>9650.01</v>
      </c>
      <c r="BL179" s="26">
        <f t="shared" si="1409"/>
        <v>9543.83</v>
      </c>
      <c r="BM179" s="26">
        <f t="shared" si="1409"/>
        <v>9713.18</v>
      </c>
      <c r="BN179" s="26">
        <f t="shared" si="1409"/>
        <v>16089.81</v>
      </c>
      <c r="BO179" s="26">
        <f t="shared" si="1409"/>
        <v>16417.370000000003</v>
      </c>
      <c r="BP179" s="26">
        <f t="shared" si="1409"/>
        <v>16361</v>
      </c>
      <c r="BQ179" s="26">
        <f t="shared" si="1409"/>
        <v>16579.169999999998</v>
      </c>
      <c r="BR179" s="26">
        <f t="shared" si="1409"/>
        <v>16833.68</v>
      </c>
      <c r="BS179" s="26">
        <f t="shared" si="1409"/>
        <v>17018.829999999998</v>
      </c>
      <c r="BT179" s="26">
        <f t="shared" si="1409"/>
        <v>16448.739999999998</v>
      </c>
      <c r="BU179" s="26">
        <f t="shared" si="1409"/>
        <v>16713.79</v>
      </c>
      <c r="BV179" s="26">
        <f t="shared" si="1409"/>
        <v>17304.149999999998</v>
      </c>
      <c r="BW179" s="26">
        <f t="shared" si="1409"/>
        <v>17559.61</v>
      </c>
      <c r="BX179" s="26">
        <f t="shared" si="1409"/>
        <v>16963.489999999998</v>
      </c>
      <c r="BY179" s="26">
        <f t="shared" si="1409"/>
        <v>17315.25</v>
      </c>
      <c r="BZ179" s="26">
        <f t="shared" si="1409"/>
        <v>18309.7</v>
      </c>
      <c r="CA179" s="26">
        <f t="shared" si="1409"/>
        <v>18626.29</v>
      </c>
      <c r="CB179" s="26">
        <f t="shared" si="1409"/>
        <v>18105.38</v>
      </c>
      <c r="CC179" s="26">
        <f t="shared" si="1409"/>
        <v>18384.25</v>
      </c>
      <c r="CD179" s="26">
        <f t="shared" si="1409"/>
        <v>20389.980000000003</v>
      </c>
      <c r="CE179" s="26">
        <f t="shared" si="1409"/>
        <v>20680.300000000003</v>
      </c>
      <c r="CF179" s="26">
        <f t="shared" ref="CF179:CG179" si="1411">CF177+CF175+CF171+CF154+CF152+CF178</f>
        <v>22913.539999999997</v>
      </c>
      <c r="CG179" s="26">
        <f t="shared" si="1411"/>
        <v>23192.42</v>
      </c>
      <c r="CH179" s="26">
        <f t="shared" ref="CH179:CI179" si="1412">CH177+CH175+CH171+CH154+CH152+CH178</f>
        <v>23238.950000000004</v>
      </c>
      <c r="CI179" s="26">
        <f t="shared" si="1412"/>
        <v>23573.100000000002</v>
      </c>
      <c r="CJ179" s="26">
        <f t="shared" ref="CJ179:DB179" si="1413">CJ177+CJ175+CJ171+CJ154+CJ152+CJ178</f>
        <v>23698.879999999997</v>
      </c>
      <c r="CK179" s="26">
        <f t="shared" si="1413"/>
        <v>24083.49</v>
      </c>
      <c r="CL179" s="26">
        <f t="shared" ref="CL179" si="1414">CL177+CL175+CL171+CL154+CL152+CL178</f>
        <v>25309.17</v>
      </c>
      <c r="CM179" s="27">
        <f t="shared" si="1413"/>
        <v>25771.063944649319</v>
      </c>
      <c r="CN179" s="27">
        <f t="shared" si="1413"/>
        <v>26285.469833440253</v>
      </c>
      <c r="CO179" s="27">
        <f t="shared" si="1413"/>
        <v>26830.524043926274</v>
      </c>
      <c r="CP179" s="27">
        <f t="shared" si="1413"/>
        <v>27430.368559511982</v>
      </c>
      <c r="CQ179" s="27">
        <f t="shared" si="1413"/>
        <v>28010.2342722836</v>
      </c>
      <c r="CR179" s="27">
        <f t="shared" si="1413"/>
        <v>28636.062532985779</v>
      </c>
      <c r="CS179" s="27">
        <f t="shared" si="1413"/>
        <v>29282.662291968605</v>
      </c>
      <c r="CT179" s="27">
        <f t="shared" si="1413"/>
        <v>29981.030186328182</v>
      </c>
      <c r="CU179" s="27">
        <f t="shared" si="1413"/>
        <v>30685.295202398633</v>
      </c>
      <c r="CV179" s="27">
        <f t="shared" si="1413"/>
        <v>31438.542068850089</v>
      </c>
      <c r="CW179" s="27">
        <f t="shared" si="1413"/>
        <v>32212.595919335286</v>
      </c>
      <c r="CX179" s="27">
        <f t="shared" si="1413"/>
        <v>33049.653433595522</v>
      </c>
      <c r="CY179" s="27">
        <f t="shared" si="1413"/>
        <v>33893.836359559791</v>
      </c>
      <c r="CZ179" s="27">
        <f t="shared" si="1413"/>
        <v>34794.413214917018</v>
      </c>
      <c r="DA179" s="27">
        <f t="shared" si="1413"/>
        <v>35717.555500409428</v>
      </c>
      <c r="DB179" s="27">
        <f t="shared" si="1413"/>
        <v>36716.748109493092</v>
      </c>
      <c r="DE179" s="121"/>
      <c r="DF179" s="26">
        <v>24568.146664259089</v>
      </c>
    </row>
    <row r="180" spans="1:110" s="23" customFormat="1" x14ac:dyDescent="0.2">
      <c r="A180" s="28" t="s">
        <v>439</v>
      </c>
      <c r="B180" s="23">
        <f t="shared" ref="B180:W180" si="1415">B179-B143</f>
        <v>0</v>
      </c>
      <c r="C180" s="23">
        <f t="shared" si="1415"/>
        <v>0</v>
      </c>
      <c r="D180" s="23">
        <f t="shared" si="1415"/>
        <v>0</v>
      </c>
      <c r="E180" s="23">
        <f t="shared" si="1415"/>
        <v>0</v>
      </c>
      <c r="F180" s="23">
        <f t="shared" si="1415"/>
        <v>0</v>
      </c>
      <c r="G180" s="23">
        <f t="shared" si="1415"/>
        <v>0</v>
      </c>
      <c r="H180" s="23">
        <f t="shared" si="1415"/>
        <v>0</v>
      </c>
      <c r="I180" s="23">
        <f t="shared" si="1415"/>
        <v>0</v>
      </c>
      <c r="J180" s="23">
        <f t="shared" si="1415"/>
        <v>0</v>
      </c>
      <c r="K180" s="23">
        <f t="shared" si="1415"/>
        <v>0</v>
      </c>
      <c r="L180" s="23">
        <f t="shared" si="1415"/>
        <v>0</v>
      </c>
      <c r="M180" s="23">
        <f t="shared" si="1415"/>
        <v>0</v>
      </c>
      <c r="N180" s="23">
        <f t="shared" si="1415"/>
        <v>0</v>
      </c>
      <c r="O180" s="23">
        <f t="shared" si="1415"/>
        <v>0</v>
      </c>
      <c r="P180" s="23">
        <f t="shared" si="1415"/>
        <v>0</v>
      </c>
      <c r="Q180" s="23">
        <f t="shared" si="1415"/>
        <v>0</v>
      </c>
      <c r="R180" s="23">
        <f t="shared" si="1415"/>
        <v>0</v>
      </c>
      <c r="S180" s="23">
        <f t="shared" si="1415"/>
        <v>0</v>
      </c>
      <c r="T180" s="23">
        <f t="shared" si="1415"/>
        <v>0</v>
      </c>
      <c r="U180" s="23">
        <f t="shared" si="1415"/>
        <v>0</v>
      </c>
      <c r="V180" s="23">
        <f t="shared" si="1415"/>
        <v>0</v>
      </c>
      <c r="W180" s="23">
        <f t="shared" si="1415"/>
        <v>0</v>
      </c>
      <c r="X180" s="23">
        <f t="shared" ref="X180:Y180" si="1416">X179-X143</f>
        <v>0</v>
      </c>
      <c r="Y180" s="23">
        <f t="shared" si="1416"/>
        <v>0</v>
      </c>
      <c r="Z180" s="23">
        <f t="shared" ref="Z180:AA180" si="1417">Z179-Z143</f>
        <v>0</v>
      </c>
      <c r="AA180" s="23">
        <f t="shared" si="1417"/>
        <v>0</v>
      </c>
      <c r="AB180" s="24">
        <f t="shared" ref="AA180:AD180" si="1418">AB179-AB143</f>
        <v>0</v>
      </c>
      <c r="AC180" s="24">
        <f t="shared" si="1418"/>
        <v>0</v>
      </c>
      <c r="AD180" s="24">
        <f t="shared" si="1418"/>
        <v>0</v>
      </c>
      <c r="AE180" s="24">
        <f t="shared" ref="AE180" si="1419">AE179-AE143</f>
        <v>0</v>
      </c>
      <c r="AJ180" s="23">
        <f t="shared" ref="AJ180" si="1420">AJ179-AJ143</f>
        <v>0</v>
      </c>
      <c r="AK180" s="23">
        <f t="shared" ref="AK180" si="1421">AK179-AK143</f>
        <v>0</v>
      </c>
      <c r="AL180" s="23">
        <f t="shared" ref="AL180:AM180" si="1422">AL179-AL143</f>
        <v>0</v>
      </c>
      <c r="AM180" s="23">
        <f t="shared" si="1422"/>
        <v>0</v>
      </c>
      <c r="AN180" s="23">
        <f t="shared" ref="AN180:AO180" si="1423">AN179-AN143</f>
        <v>0</v>
      </c>
      <c r="AO180" s="23">
        <f t="shared" si="1423"/>
        <v>0</v>
      </c>
      <c r="AP180" s="23">
        <f t="shared" ref="AP180:CE180" si="1424">AP179-AP143</f>
        <v>9.9999999983992893E-3</v>
      </c>
      <c r="AQ180" s="23">
        <f t="shared" si="1424"/>
        <v>1.0000000000218279E-2</v>
      </c>
      <c r="AR180" s="23">
        <f t="shared" si="1424"/>
        <v>0</v>
      </c>
      <c r="AS180" s="23">
        <f t="shared" si="1424"/>
        <v>0</v>
      </c>
      <c r="AT180" s="23">
        <f t="shared" si="1424"/>
        <v>0</v>
      </c>
      <c r="AU180" s="23">
        <f t="shared" si="1424"/>
        <v>0</v>
      </c>
      <c r="AV180" s="23">
        <f t="shared" si="1424"/>
        <v>0</v>
      </c>
      <c r="AW180" s="23">
        <f t="shared" si="1424"/>
        <v>0</v>
      </c>
      <c r="AX180" s="23">
        <f t="shared" si="1424"/>
        <v>0</v>
      </c>
      <c r="AY180" s="23">
        <f t="shared" si="1424"/>
        <v>0</v>
      </c>
      <c r="AZ180" s="23">
        <f t="shared" si="1424"/>
        <v>0</v>
      </c>
      <c r="BA180" s="23">
        <f t="shared" si="1424"/>
        <v>0</v>
      </c>
      <c r="BB180" s="23">
        <f t="shared" si="1424"/>
        <v>0</v>
      </c>
      <c r="BC180" s="23">
        <f t="shared" si="1424"/>
        <v>0</v>
      </c>
      <c r="BD180" s="23">
        <f t="shared" si="1424"/>
        <v>0</v>
      </c>
      <c r="BE180" s="23">
        <f t="shared" si="1424"/>
        <v>0</v>
      </c>
      <c r="BF180" s="23">
        <f t="shared" si="1424"/>
        <v>0</v>
      </c>
      <c r="BG180" s="23">
        <f t="shared" si="1424"/>
        <v>0</v>
      </c>
      <c r="BH180" s="23">
        <f t="shared" ref="BH180" si="1425">BH179-BH143</f>
        <v>0</v>
      </c>
      <c r="BI180" s="23">
        <f t="shared" si="1424"/>
        <v>0</v>
      </c>
      <c r="BJ180" s="23">
        <f t="shared" si="1424"/>
        <v>0</v>
      </c>
      <c r="BK180" s="23">
        <f t="shared" si="1424"/>
        <v>0</v>
      </c>
      <c r="BL180" s="23">
        <f t="shared" si="1424"/>
        <v>0</v>
      </c>
      <c r="BM180" s="23">
        <f t="shared" si="1424"/>
        <v>0</v>
      </c>
      <c r="BN180" s="23">
        <f t="shared" si="1424"/>
        <v>0</v>
      </c>
      <c r="BO180" s="23">
        <f t="shared" si="1424"/>
        <v>0</v>
      </c>
      <c r="BP180" s="23">
        <f t="shared" si="1424"/>
        <v>0</v>
      </c>
      <c r="BQ180" s="23">
        <f t="shared" si="1424"/>
        <v>0</v>
      </c>
      <c r="BR180" s="23">
        <f t="shared" si="1424"/>
        <v>0</v>
      </c>
      <c r="BS180" s="23">
        <f t="shared" si="1424"/>
        <v>0</v>
      </c>
      <c r="BT180" s="23">
        <f t="shared" si="1424"/>
        <v>0</v>
      </c>
      <c r="BU180" s="23">
        <f t="shared" si="1424"/>
        <v>0</v>
      </c>
      <c r="BV180" s="23">
        <f t="shared" si="1424"/>
        <v>0</v>
      </c>
      <c r="BW180" s="23">
        <f t="shared" si="1424"/>
        <v>0</v>
      </c>
      <c r="BX180" s="23">
        <f t="shared" si="1424"/>
        <v>0</v>
      </c>
      <c r="BY180" s="23">
        <f t="shared" si="1424"/>
        <v>0</v>
      </c>
      <c r="BZ180" s="23">
        <f t="shared" si="1424"/>
        <v>0</v>
      </c>
      <c r="CA180" s="23">
        <f t="shared" si="1424"/>
        <v>0</v>
      </c>
      <c r="CB180" s="23">
        <f t="shared" si="1424"/>
        <v>0</v>
      </c>
      <c r="CC180" s="23">
        <f t="shared" si="1424"/>
        <v>0</v>
      </c>
      <c r="CD180" s="23">
        <f t="shared" si="1424"/>
        <v>0</v>
      </c>
      <c r="CE180" s="23">
        <f t="shared" si="1424"/>
        <v>0</v>
      </c>
      <c r="CF180" s="23">
        <f t="shared" ref="CF180:CG180" si="1426">CF179-CF143</f>
        <v>0</v>
      </c>
      <c r="CG180" s="23">
        <f t="shared" si="1426"/>
        <v>0</v>
      </c>
      <c r="CH180" s="23">
        <f t="shared" ref="CH180:CI180" si="1427">CH179-CH143</f>
        <v>0</v>
      </c>
      <c r="CI180" s="23">
        <f t="shared" si="1427"/>
        <v>0</v>
      </c>
      <c r="CJ180" s="23">
        <f t="shared" ref="CJ180:DB180" si="1428">CJ179-CJ143</f>
        <v>0</v>
      </c>
      <c r="CK180" s="23">
        <f t="shared" si="1428"/>
        <v>0</v>
      </c>
      <c r="CL180" s="23">
        <f t="shared" ref="CL180" si="1429">CL179-CL143</f>
        <v>0</v>
      </c>
      <c r="CM180" s="24">
        <f t="shared" si="1428"/>
        <v>0</v>
      </c>
      <c r="CN180" s="24">
        <f t="shared" si="1428"/>
        <v>0</v>
      </c>
      <c r="CO180" s="24">
        <f t="shared" si="1428"/>
        <v>0</v>
      </c>
      <c r="CP180" s="24">
        <f t="shared" si="1428"/>
        <v>0</v>
      </c>
      <c r="CQ180" s="24">
        <f t="shared" si="1428"/>
        <v>0</v>
      </c>
      <c r="CR180" s="24">
        <f t="shared" si="1428"/>
        <v>0</v>
      </c>
      <c r="CS180" s="24">
        <f t="shared" si="1428"/>
        <v>0</v>
      </c>
      <c r="CT180" s="24">
        <f t="shared" si="1428"/>
        <v>0</v>
      </c>
      <c r="CU180" s="24">
        <f t="shared" si="1428"/>
        <v>0</v>
      </c>
      <c r="CV180" s="24">
        <f t="shared" si="1428"/>
        <v>0</v>
      </c>
      <c r="CW180" s="24">
        <f t="shared" si="1428"/>
        <v>0</v>
      </c>
      <c r="CX180" s="24">
        <f t="shared" si="1428"/>
        <v>0</v>
      </c>
      <c r="CY180" s="24">
        <f t="shared" si="1428"/>
        <v>0</v>
      </c>
      <c r="CZ180" s="24">
        <f t="shared" si="1428"/>
        <v>0</v>
      </c>
      <c r="DA180" s="24">
        <f t="shared" si="1428"/>
        <v>0</v>
      </c>
      <c r="DB180" s="24">
        <f t="shared" si="1428"/>
        <v>0</v>
      </c>
      <c r="DE180" s="123"/>
      <c r="DF180" s="23">
        <v>0</v>
      </c>
    </row>
    <row r="181" spans="1:110" s="23" customFormat="1" x14ac:dyDescent="0.2">
      <c r="A181" s="28"/>
      <c r="AB181" s="24"/>
      <c r="AC181" s="24"/>
      <c r="AD181" s="24"/>
      <c r="AE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E181" s="123"/>
    </row>
    <row r="182" spans="1:110" s="22" customFormat="1" x14ac:dyDescent="0.2">
      <c r="A182" s="22" t="s">
        <v>80</v>
      </c>
      <c r="B182" s="22">
        <f t="shared" ref="B182:W182" si="1430">B142-B175</f>
        <v>201.31060000000002</v>
      </c>
      <c r="C182" s="22">
        <f t="shared" si="1430"/>
        <v>1628.9204</v>
      </c>
      <c r="D182" s="22">
        <f t="shared" si="1430"/>
        <v>1680.087</v>
      </c>
      <c r="E182" s="22">
        <f t="shared" si="1430"/>
        <v>1569.9224999999999</v>
      </c>
      <c r="F182" s="22">
        <f t="shared" si="1430"/>
        <v>1460.9046000000001</v>
      </c>
      <c r="G182" s="22">
        <f t="shared" si="1430"/>
        <v>1424.7373000000002</v>
      </c>
      <c r="H182" s="22">
        <f t="shared" si="1430"/>
        <v>4279.7956999999997</v>
      </c>
      <c r="I182" s="22">
        <f t="shared" si="1430"/>
        <v>259.07339999999976</v>
      </c>
      <c r="J182" s="22">
        <f t="shared" si="1430"/>
        <v>1331.7933999999998</v>
      </c>
      <c r="K182" s="22">
        <f t="shared" si="1430"/>
        <v>-249.89940000000001</v>
      </c>
      <c r="L182" s="22">
        <f t="shared" si="1430"/>
        <v>-62.365900000000011</v>
      </c>
      <c r="M182" s="22">
        <f t="shared" si="1430"/>
        <v>86.737100000000055</v>
      </c>
      <c r="N182" s="22">
        <f t="shared" si="1430"/>
        <v>689.16650000000016</v>
      </c>
      <c r="O182" s="22">
        <f t="shared" si="1430"/>
        <v>709.7604</v>
      </c>
      <c r="P182" s="22">
        <f t="shared" si="1430"/>
        <v>775.53</v>
      </c>
      <c r="Q182" s="22">
        <f t="shared" si="1430"/>
        <v>679.68999999999994</v>
      </c>
      <c r="R182" s="22">
        <f t="shared" si="1430"/>
        <v>45.389999999999986</v>
      </c>
      <c r="S182" s="22">
        <f t="shared" si="1430"/>
        <v>-739.09000000000015</v>
      </c>
      <c r="T182" s="22">
        <f t="shared" si="1430"/>
        <v>-475.66999999999985</v>
      </c>
      <c r="U182" s="22">
        <f t="shared" si="1430"/>
        <v>-1198.6200000000003</v>
      </c>
      <c r="V182" s="22">
        <f t="shared" si="1430"/>
        <v>-2191.3999999999996</v>
      </c>
      <c r="W182" s="22">
        <f t="shared" si="1430"/>
        <v>-1787.33</v>
      </c>
      <c r="X182" s="22">
        <f t="shared" ref="X182:Y182" si="1431">X142-X175</f>
        <v>-2368.86</v>
      </c>
      <c r="Y182" s="22">
        <f t="shared" si="1431"/>
        <v>260.72000000000025</v>
      </c>
      <c r="Z182" s="22">
        <f t="shared" ref="Z182:AA182" si="1432">Z142-Z175</f>
        <v>-1261.4299999999998</v>
      </c>
      <c r="AA182" s="22">
        <f t="shared" si="1432"/>
        <v>-2168.3799999999997</v>
      </c>
      <c r="AB182" s="21">
        <f t="shared" ref="AA182:AD182" si="1433">AB142-AB175</f>
        <v>-4197.801428395278</v>
      </c>
      <c r="AC182" s="21">
        <f t="shared" si="1433"/>
        <v>-6648.9049065779818</v>
      </c>
      <c r="AD182" s="21">
        <f t="shared" si="1433"/>
        <v>-9602.6656034938078</v>
      </c>
      <c r="AE182" s="21">
        <f t="shared" ref="AE182" si="1434">AE142-AE175</f>
        <v>-13138.073775886816</v>
      </c>
      <c r="AJ182" s="22">
        <f t="shared" ref="AJ182:AM182" si="1435">AJ142-AJ175</f>
        <v>242.28999999999996</v>
      </c>
      <c r="AK182" s="22">
        <f t="shared" si="1435"/>
        <v>219.05314292608386</v>
      </c>
      <c r="AL182" s="22">
        <f t="shared" si="1435"/>
        <v>317.22000000000003</v>
      </c>
      <c r="AM182" s="22">
        <f t="shared" si="1435"/>
        <v>180.15057312787235</v>
      </c>
      <c r="AN182" s="22">
        <f t="shared" ref="AN182:AO182" si="1436">AN142-AN175</f>
        <v>488.44000000000005</v>
      </c>
      <c r="AO182" s="22">
        <f t="shared" si="1436"/>
        <v>492.90804166580438</v>
      </c>
      <c r="AP182" s="22">
        <f t="shared" ref="AP182:CE182" si="1437">AP142-AP175</f>
        <v>672.99999999999989</v>
      </c>
      <c r="AQ182" s="22">
        <f t="shared" si="1437"/>
        <v>576.3066002418941</v>
      </c>
      <c r="AR182" s="22">
        <f t="shared" si="1437"/>
        <v>909.26</v>
      </c>
      <c r="AS182" s="22">
        <f t="shared" si="1437"/>
        <v>925.75550329853104</v>
      </c>
      <c r="AT182" s="22">
        <f t="shared" si="1437"/>
        <v>717.47</v>
      </c>
      <c r="AU182" s="22">
        <f t="shared" si="1437"/>
        <v>452.07233328999087</v>
      </c>
      <c r="AV182" s="22">
        <f t="shared" si="1437"/>
        <v>952.49</v>
      </c>
      <c r="AW182" s="22">
        <f t="shared" si="1437"/>
        <v>925.4049292281893</v>
      </c>
      <c r="AX182" s="22">
        <f t="shared" si="1437"/>
        <v>238.32000000000005</v>
      </c>
      <c r="AY182" s="22">
        <f t="shared" si="1437"/>
        <v>267.12974623830837</v>
      </c>
      <c r="AZ182" s="22">
        <f t="shared" si="1437"/>
        <v>-106.66999999999985</v>
      </c>
      <c r="BA182" s="22">
        <f t="shared" si="1437"/>
        <v>-127.81600219530833</v>
      </c>
      <c r="BB182" s="22">
        <f t="shared" si="1437"/>
        <v>29.159999999999968</v>
      </c>
      <c r="BC182" s="22">
        <f t="shared" si="1437"/>
        <v>-77.826215152469899</v>
      </c>
      <c r="BD182" s="22">
        <f t="shared" si="1437"/>
        <v>-527.86000000000013</v>
      </c>
      <c r="BE182" s="22">
        <f t="shared" si="1437"/>
        <v>-663.34089803444203</v>
      </c>
      <c r="BF182" s="22">
        <f t="shared" si="1437"/>
        <v>-750.49</v>
      </c>
      <c r="BG182" s="22">
        <f t="shared" si="1437"/>
        <v>-772.66324840085349</v>
      </c>
      <c r="BH182" s="22">
        <f t="shared" si="1437"/>
        <v>-216.26</v>
      </c>
      <c r="BI182" s="22">
        <f t="shared" si="1437"/>
        <v>-170.90121360463809</v>
      </c>
      <c r="BJ182" s="22">
        <f t="shared" si="1437"/>
        <v>-499.86999999999989</v>
      </c>
      <c r="BK182" s="22">
        <f t="shared" si="1437"/>
        <v>-108.81151453707844</v>
      </c>
      <c r="BL182" s="22">
        <f t="shared" si="1437"/>
        <v>-349.24</v>
      </c>
      <c r="BM182" s="22">
        <f t="shared" si="1437"/>
        <v>-411.91756815945087</v>
      </c>
      <c r="BN182" s="22">
        <f t="shared" si="1437"/>
        <v>-1272.5300000000002</v>
      </c>
      <c r="BO182" s="22">
        <f t="shared" si="1437"/>
        <v>-1382.9841027762659</v>
      </c>
      <c r="BP182" s="22">
        <f t="shared" si="1437"/>
        <v>-1374.92</v>
      </c>
      <c r="BQ182" s="22">
        <f t="shared" si="1437"/>
        <v>-1396.7968992643837</v>
      </c>
      <c r="BR182" s="22">
        <f t="shared" si="1437"/>
        <v>-2191.3999999999996</v>
      </c>
      <c r="BS182" s="22">
        <f t="shared" si="1437"/>
        <v>-2389.6649167989135</v>
      </c>
      <c r="BT182" s="22">
        <f t="shared" si="1437"/>
        <v>-1986.2900000000002</v>
      </c>
      <c r="BU182" s="22">
        <f t="shared" si="1437"/>
        <v>-2168.7977126523192</v>
      </c>
      <c r="BV182" s="22">
        <f t="shared" si="1437"/>
        <v>-1787.33</v>
      </c>
      <c r="BW182" s="22">
        <f t="shared" si="1437"/>
        <v>-1986.2444357421555</v>
      </c>
      <c r="BX182" s="22">
        <f t="shared" si="1437"/>
        <v>-1219.98</v>
      </c>
      <c r="BY182" s="22">
        <f t="shared" si="1437"/>
        <v>-1520.2806803348149</v>
      </c>
      <c r="BZ182" s="22">
        <f t="shared" si="1437"/>
        <v>-2368.86</v>
      </c>
      <c r="CA182" s="22">
        <f t="shared" si="1437"/>
        <v>-2646.4653524579053</v>
      </c>
      <c r="CB182" s="22">
        <f t="shared" si="1437"/>
        <v>-1969.7300000000005</v>
      </c>
      <c r="CC182" s="22">
        <f t="shared" si="1437"/>
        <v>-2219.2805414887871</v>
      </c>
      <c r="CD182" s="22">
        <f t="shared" si="1437"/>
        <v>260.72000000000025</v>
      </c>
      <c r="CE182" s="22">
        <f t="shared" si="1437"/>
        <v>74.215798942687798</v>
      </c>
      <c r="CF182" s="22">
        <f t="shared" ref="CF182:CG182" si="1438">CF142-CF175</f>
        <v>-1.5399999999999636</v>
      </c>
      <c r="CG182" s="22">
        <f t="shared" si="1438"/>
        <v>-184.43837898183619</v>
      </c>
      <c r="CH182" s="22">
        <f t="shared" ref="CH182:CI182" si="1439">CH142-CH175</f>
        <v>-1261.4299999999998</v>
      </c>
      <c r="CI182" s="22">
        <f t="shared" si="1439"/>
        <v>-1751.9995551861675</v>
      </c>
      <c r="CJ182" s="22">
        <f t="shared" ref="CJ182:DB182" si="1440">CJ142-CJ175</f>
        <v>-297.73999999999978</v>
      </c>
      <c r="CK182" s="22">
        <f t="shared" si="1440"/>
        <v>-802.87505890170905</v>
      </c>
      <c r="CL182" s="22">
        <f t="shared" ref="CL182" si="1441">CL142-CL175</f>
        <v>-2168.3799999999997</v>
      </c>
      <c r="CM182" s="21">
        <f t="shared" si="1440"/>
        <v>-2627.64110892904</v>
      </c>
      <c r="CN182" s="21">
        <f t="shared" si="1440"/>
        <v>-3110.0538235690015</v>
      </c>
      <c r="CO182" s="21">
        <f t="shared" si="1440"/>
        <v>-3639.806113100492</v>
      </c>
      <c r="CP182" s="21">
        <f t="shared" si="1440"/>
        <v>-4197.801428395278</v>
      </c>
      <c r="CQ182" s="21">
        <f t="shared" si="1440"/>
        <v>-4777.0806342195156</v>
      </c>
      <c r="CR182" s="21">
        <f t="shared" si="1440"/>
        <v>-5366.2983757360616</v>
      </c>
      <c r="CS182" s="21">
        <f t="shared" si="1440"/>
        <v>-5998.7496908694684</v>
      </c>
      <c r="CT182" s="21">
        <f t="shared" si="1440"/>
        <v>-6648.9049065779818</v>
      </c>
      <c r="CU182" s="21">
        <f t="shared" si="1440"/>
        <v>-7352.0773531744253</v>
      </c>
      <c r="CV182" s="21">
        <f t="shared" si="1440"/>
        <v>-8063.1986742669669</v>
      </c>
      <c r="CW182" s="21">
        <f t="shared" si="1440"/>
        <v>-8823.0503976252148</v>
      </c>
      <c r="CX182" s="21">
        <f t="shared" si="1440"/>
        <v>-9602.6656034938078</v>
      </c>
      <c r="CY182" s="21">
        <f t="shared" si="1440"/>
        <v>-10447.368068983533</v>
      </c>
      <c r="CZ182" s="21">
        <f t="shared" si="1440"/>
        <v>-11298.929627903459</v>
      </c>
      <c r="DA182" s="21">
        <f t="shared" si="1440"/>
        <v>-12207.653310055919</v>
      </c>
      <c r="DB182" s="21">
        <f t="shared" si="1440"/>
        <v>-13138.073775886816</v>
      </c>
      <c r="DE182" s="126"/>
      <c r="DF182" s="22">
        <v>-1384.5618347545014</v>
      </c>
    </row>
    <row r="183" spans="1:110" x14ac:dyDescent="0.2">
      <c r="AA183" s="2"/>
      <c r="CE183" s="111"/>
      <c r="CG183" s="111"/>
      <c r="CL183" s="2"/>
    </row>
    <row r="184" spans="1:110" s="49" customFormat="1" x14ac:dyDescent="0.2">
      <c r="A184" s="49" t="s">
        <v>81</v>
      </c>
      <c r="B184" s="49">
        <f>'Annual Raw'!C85</f>
        <v>9.0966000000000005</v>
      </c>
      <c r="C184" s="49">
        <f>'Annual Raw'!D85</f>
        <v>16.966799999999999</v>
      </c>
      <c r="D184" s="49">
        <f>'Annual Raw'!E85</f>
        <v>29.870699999999999</v>
      </c>
      <c r="E184" s="49">
        <f>'Annual Raw'!F85</f>
        <v>63.058399999999999</v>
      </c>
      <c r="F184" s="49">
        <f>'Annual Raw'!G85</f>
        <v>813.0462</v>
      </c>
      <c r="G184" s="49">
        <f>'Annual Raw'!H85</f>
        <v>52.233600000000003</v>
      </c>
      <c r="H184" s="49">
        <f>'Annual Raw'!I85</f>
        <v>21.169799999999999</v>
      </c>
      <c r="I184" s="49">
        <f>'Annual Raw'!J85</f>
        <v>33.7973</v>
      </c>
      <c r="J184" s="49">
        <f>'Annual Raw'!K85</f>
        <v>33.398200000000003</v>
      </c>
      <c r="K184" s="49">
        <f>'Annual Raw'!L85</f>
        <v>79.619699999999995</v>
      </c>
      <c r="L184" s="49">
        <f>'Annual Raw'!M85</f>
        <v>89.021000000000001</v>
      </c>
      <c r="M184" s="49">
        <f>'Annual Raw'!N85</f>
        <v>123.17019999999999</v>
      </c>
      <c r="N184" s="49">
        <f>'Annual Raw'!O85</f>
        <v>61.060400000000001</v>
      </c>
      <c r="O184" s="49">
        <f>'Annual Raw'!P85</f>
        <v>48.205199999999998</v>
      </c>
      <c r="P184" s="49">
        <f>'Annual Raw'!Q85</f>
        <v>57.32</v>
      </c>
      <c r="Q184" s="49">
        <f>'Annual Raw'!R85</f>
        <v>73.17</v>
      </c>
      <c r="R184" s="49">
        <f>'Annual Raw'!S85</f>
        <v>40.229999999999997</v>
      </c>
      <c r="S184" s="49">
        <f>'Annual Raw'!T85</f>
        <v>32.58</v>
      </c>
      <c r="T184" s="49">
        <f>'Annual Raw'!U85</f>
        <v>35.409999999999997</v>
      </c>
      <c r="U184" s="49">
        <f>'Annual Raw'!V85</f>
        <v>34.99</v>
      </c>
      <c r="V184" s="49">
        <f>'Annual Raw'!W85</f>
        <v>31.49</v>
      </c>
      <c r="W184" s="49">
        <f>'Annual Raw'!X85</f>
        <v>52.19</v>
      </c>
      <c r="X184" s="49">
        <f>'Annual Raw'!Y85</f>
        <v>55.86</v>
      </c>
      <c r="Y184" s="49">
        <f>'Annual Raw'!Z85</f>
        <v>96.58</v>
      </c>
      <c r="Z184" s="49">
        <f>'Annual Raw'!AA85</f>
        <v>567.84</v>
      </c>
      <c r="AA184" s="49">
        <f>'Annual Raw'!AB85</f>
        <v>651.83000000000004</v>
      </c>
      <c r="AB184" s="50"/>
      <c r="AC184" s="50"/>
      <c r="AD184" s="50"/>
      <c r="AE184" s="50"/>
      <c r="CM184" s="50"/>
      <c r="CN184" s="50"/>
      <c r="CO184" s="50"/>
      <c r="CP184" s="50"/>
      <c r="CQ184" s="50"/>
      <c r="CR184" s="50"/>
      <c r="CS184" s="50"/>
      <c r="CT184" s="50"/>
      <c r="CU184" s="50"/>
      <c r="CV184" s="50"/>
      <c r="CW184" s="50"/>
      <c r="CX184" s="50"/>
      <c r="CY184" s="50"/>
      <c r="CZ184" s="50"/>
      <c r="DA184" s="50"/>
      <c r="DB184" s="50"/>
      <c r="DE184" s="138"/>
    </row>
    <row r="185" spans="1:110" s="29" customFormat="1" x14ac:dyDescent="0.2">
      <c r="A185" s="29" t="s">
        <v>82</v>
      </c>
      <c r="B185" s="29">
        <f>'Annual Raw'!C95</f>
        <v>0</v>
      </c>
      <c r="C185" s="29">
        <f>'Annual Raw'!D95</f>
        <v>4.2701000000000002</v>
      </c>
      <c r="D185" s="29">
        <f>'Annual Raw'!E95</f>
        <v>4.2264999999999997</v>
      </c>
      <c r="E185" s="29">
        <f>'Annual Raw'!F95</f>
        <v>39.176499999999997</v>
      </c>
      <c r="F185" s="29">
        <f>'Annual Raw'!G95</f>
        <v>38.9315</v>
      </c>
      <c r="G185" s="29">
        <f>'Annual Raw'!H95</f>
        <v>39.0749</v>
      </c>
      <c r="H185" s="29">
        <f>'Annual Raw'!I95</f>
        <v>5.0773000000000001</v>
      </c>
      <c r="I185" s="29">
        <f>'Annual Raw'!J95</f>
        <v>3.4146000000000001</v>
      </c>
      <c r="J185" s="29">
        <f>'Annual Raw'!K95</f>
        <v>3.5268999999999999</v>
      </c>
      <c r="K185" s="29">
        <f>'Annual Raw'!L95</f>
        <v>60.255099999999999</v>
      </c>
      <c r="L185" s="29">
        <f>'Annual Raw'!M95</f>
        <v>59.854799999999997</v>
      </c>
      <c r="M185" s="29">
        <f>'Annual Raw'!N95</f>
        <v>77.064700000000002</v>
      </c>
      <c r="N185" s="29">
        <f>'Annual Raw'!O95</f>
        <v>8.0986999999999991</v>
      </c>
      <c r="O185" s="29">
        <f>'Annual Raw'!P95</f>
        <v>9.4202999999999992</v>
      </c>
      <c r="P185" s="29">
        <f>'Annual Raw'!Q95</f>
        <v>9.23</v>
      </c>
      <c r="Q185" s="29">
        <f>'Annual Raw'!R95</f>
        <v>9.6999999999999993</v>
      </c>
      <c r="R185" s="29">
        <f>'Annual Raw'!S95</f>
        <v>8.9600000000000009</v>
      </c>
      <c r="S185" s="29">
        <f>'Annual Raw'!T95</f>
        <v>0</v>
      </c>
      <c r="T185" s="29">
        <f>'Annual Raw'!U95</f>
        <v>0</v>
      </c>
      <c r="U185" s="29">
        <f>'Annual Raw'!V95</f>
        <v>0</v>
      </c>
      <c r="V185" s="29">
        <f>'Annual Raw'!W95</f>
        <v>0</v>
      </c>
      <c r="W185" s="29">
        <f>'Annual Raw'!X95</f>
        <v>0</v>
      </c>
      <c r="X185" s="29">
        <f>'Annual Raw'!Y95</f>
        <v>0</v>
      </c>
      <c r="Y185" s="29">
        <f>'Annual Raw'!Z95</f>
        <v>0</v>
      </c>
      <c r="Z185" s="29">
        <f>'Annual Raw'!AA95</f>
        <v>0</v>
      </c>
      <c r="AA185" s="29">
        <f>'Annual Raw'!AB95</f>
        <v>0</v>
      </c>
      <c r="AB185" s="30"/>
      <c r="AC185" s="30"/>
      <c r="AD185" s="30"/>
      <c r="AE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E185" s="139"/>
    </row>
    <row r="186" spans="1:110" s="29" customFormat="1" x14ac:dyDescent="0.2">
      <c r="A186" s="29" t="s">
        <v>83</v>
      </c>
      <c r="B186" s="29">
        <f>'Annual Raw'!C93</f>
        <v>9.0966000000000005</v>
      </c>
      <c r="C186" s="29">
        <f>'Annual Raw'!D93</f>
        <v>12.6967</v>
      </c>
      <c r="D186" s="29">
        <f>'Annual Raw'!E93</f>
        <v>25.644200000000001</v>
      </c>
      <c r="E186" s="29">
        <f>'Annual Raw'!F93</f>
        <v>18.223199999999999</v>
      </c>
      <c r="F186" s="29">
        <f>'Annual Raw'!G93</f>
        <v>21.814699999999998</v>
      </c>
      <c r="G186" s="29">
        <f>'Annual Raw'!H93</f>
        <v>12.059200000000001</v>
      </c>
      <c r="H186" s="29">
        <f>'Annual Raw'!I93</f>
        <v>13.7468</v>
      </c>
      <c r="I186" s="29">
        <f>'Annual Raw'!J93</f>
        <v>18.205400000000001</v>
      </c>
      <c r="J186" s="29">
        <f>'Annual Raw'!K93</f>
        <v>27.914999999999999</v>
      </c>
      <c r="K186" s="29">
        <f>'Annual Raw'!L93</f>
        <v>19.364599999999999</v>
      </c>
      <c r="L186" s="29">
        <f>'Annual Raw'!M93</f>
        <v>27.7926</v>
      </c>
      <c r="M186" s="29">
        <f>'Annual Raw'!N93</f>
        <v>46.105499999999999</v>
      </c>
      <c r="N186" s="29">
        <f>'Annual Raw'!O93</f>
        <v>52.9617</v>
      </c>
      <c r="O186" s="29">
        <f>'Annual Raw'!P93</f>
        <v>38.7849</v>
      </c>
      <c r="P186" s="29">
        <f>'Annual Raw'!Q93</f>
        <v>48.09</v>
      </c>
      <c r="Q186" s="29">
        <f>'Annual Raw'!R93</f>
        <v>63.47</v>
      </c>
      <c r="R186" s="29">
        <f>'Annual Raw'!S93</f>
        <v>31.27</v>
      </c>
      <c r="S186" s="29">
        <f>'Annual Raw'!T93</f>
        <v>32.58</v>
      </c>
      <c r="T186" s="29">
        <f>'Annual Raw'!U93</f>
        <v>35.409999999999997</v>
      </c>
      <c r="U186" s="29">
        <f>'Annual Raw'!V93</f>
        <v>34.99</v>
      </c>
      <c r="V186" s="29">
        <f>'Annual Raw'!W93</f>
        <v>31.49</v>
      </c>
      <c r="W186" s="29">
        <f>'Annual Raw'!X93</f>
        <v>52.19</v>
      </c>
      <c r="X186" s="29">
        <f>'Annual Raw'!Y93</f>
        <v>55.86</v>
      </c>
      <c r="Y186" s="29">
        <f>'Annual Raw'!Z93</f>
        <v>96.58</v>
      </c>
      <c r="Z186" s="29">
        <f>'Annual Raw'!AA93</f>
        <v>567.84</v>
      </c>
      <c r="AA186" s="29">
        <f>'Annual Raw'!AB93</f>
        <v>651.83000000000004</v>
      </c>
      <c r="AB186" s="30"/>
      <c r="AC186" s="30"/>
      <c r="AD186" s="30"/>
      <c r="AE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E186" s="139"/>
    </row>
    <row r="187" spans="1:110" s="29" customFormat="1" x14ac:dyDescent="0.2">
      <c r="A187" s="29" t="s">
        <v>84</v>
      </c>
      <c r="B187" s="29">
        <f t="shared" ref="B187:V187" si="1442">B184-B185-B186</f>
        <v>0</v>
      </c>
      <c r="C187" s="29">
        <f t="shared" si="1442"/>
        <v>0</v>
      </c>
      <c r="D187" s="29">
        <f t="shared" si="1442"/>
        <v>0</v>
      </c>
      <c r="E187" s="29">
        <f t="shared" si="1442"/>
        <v>5.6587000000000032</v>
      </c>
      <c r="F187" s="29">
        <f t="shared" si="1442"/>
        <v>752.3</v>
      </c>
      <c r="G187" s="29">
        <f t="shared" si="1442"/>
        <v>1.0995000000000026</v>
      </c>
      <c r="H187" s="29">
        <f t="shared" si="1442"/>
        <v>2.3456999999999972</v>
      </c>
      <c r="I187" s="29">
        <f t="shared" si="1442"/>
        <v>12.177299999999999</v>
      </c>
      <c r="J187" s="29">
        <f t="shared" si="1442"/>
        <v>1.9563000000000024</v>
      </c>
      <c r="K187" s="29">
        <f t="shared" si="1442"/>
        <v>0</v>
      </c>
      <c r="L187" s="29">
        <f t="shared" si="1442"/>
        <v>1.3736000000000033</v>
      </c>
      <c r="M187" s="29">
        <f t="shared" si="1442"/>
        <v>0</v>
      </c>
      <c r="N187" s="29">
        <f t="shared" si="1442"/>
        <v>0</v>
      </c>
      <c r="O187" s="29">
        <f t="shared" si="1442"/>
        <v>0</v>
      </c>
      <c r="P187" s="29">
        <f t="shared" si="1442"/>
        <v>0</v>
      </c>
      <c r="Q187" s="29">
        <f t="shared" si="1442"/>
        <v>0</v>
      </c>
      <c r="R187" s="29">
        <f t="shared" si="1442"/>
        <v>0</v>
      </c>
      <c r="S187" s="29">
        <f t="shared" si="1442"/>
        <v>0</v>
      </c>
      <c r="T187" s="29">
        <f t="shared" si="1442"/>
        <v>0</v>
      </c>
      <c r="U187" s="29">
        <f t="shared" si="1442"/>
        <v>0</v>
      </c>
      <c r="V187" s="29">
        <f t="shared" si="1442"/>
        <v>0</v>
      </c>
      <c r="W187" s="29">
        <f t="shared" ref="W187" si="1443">W184-W185-W186</f>
        <v>0</v>
      </c>
      <c r="X187" s="29">
        <f t="shared" ref="X187:Y187" si="1444">X184-X185-X186</f>
        <v>0</v>
      </c>
      <c r="Y187" s="29">
        <f t="shared" si="1444"/>
        <v>0</v>
      </c>
      <c r="Z187" s="29">
        <f t="shared" ref="Z187:AA187" si="1445">Z184-Z185-Z186</f>
        <v>0</v>
      </c>
      <c r="AA187" s="29">
        <f t="shared" si="1445"/>
        <v>0</v>
      </c>
      <c r="AB187" s="30">
        <f t="shared" ref="AA187:AD187" si="1446">AB184-AB185-AB186</f>
        <v>0</v>
      </c>
      <c r="AC187" s="30">
        <f t="shared" si="1446"/>
        <v>0</v>
      </c>
      <c r="AD187" s="30">
        <f t="shared" si="1446"/>
        <v>0</v>
      </c>
      <c r="AE187" s="30">
        <f t="shared" ref="AE187" si="1447">AE184-AE185-AE186</f>
        <v>0</v>
      </c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E187" s="139"/>
      <c r="DF187" s="29">
        <v>0</v>
      </c>
    </row>
    <row r="188" spans="1:110" s="5" customFormat="1" x14ac:dyDescent="0.2">
      <c r="AB188" s="63"/>
      <c r="AC188" s="63"/>
      <c r="AD188" s="63"/>
      <c r="AE188" s="63"/>
      <c r="CE188" s="112"/>
      <c r="CG188" s="112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E188" s="139"/>
    </row>
    <row r="189" spans="1:110" s="95" customFormat="1" x14ac:dyDescent="0.2">
      <c r="A189" s="95" t="s">
        <v>85</v>
      </c>
      <c r="B189" s="95">
        <f t="shared" ref="B189:W189" si="1448">B184/B134</f>
        <v>1.0141323669833391E-2</v>
      </c>
      <c r="C189" s="95">
        <f t="shared" si="1448"/>
        <v>1.570489590882963E-2</v>
      </c>
      <c r="D189" s="95">
        <f t="shared" si="1448"/>
        <v>2.5244793541811396E-2</v>
      </c>
      <c r="E189" s="95">
        <f t="shared" si="1448"/>
        <v>4.6958216626743224E-2</v>
      </c>
      <c r="F189" s="95">
        <f t="shared" si="1448"/>
        <v>0.53533229407075156</v>
      </c>
      <c r="G189" s="95">
        <f t="shared" si="1448"/>
        <v>3.3282560165566619E-2</v>
      </c>
      <c r="H189" s="95">
        <f t="shared" si="1448"/>
        <v>9.9202627334007525E-3</v>
      </c>
      <c r="I189" s="95">
        <f t="shared" si="1448"/>
        <v>9.8989714615628239E-3</v>
      </c>
      <c r="J189" s="95">
        <f t="shared" si="1448"/>
        <v>9.1429565710247265E-3</v>
      </c>
      <c r="K189" s="95">
        <f t="shared" si="1448"/>
        <v>2.1384541759665955E-2</v>
      </c>
      <c r="L189" s="95">
        <f t="shared" si="1448"/>
        <v>2.2496388791455612E-2</v>
      </c>
      <c r="M189" s="95">
        <f t="shared" si="1448"/>
        <v>2.6977030137588762E-2</v>
      </c>
      <c r="N189" s="95">
        <f t="shared" si="1448"/>
        <v>1.2694156327282394E-2</v>
      </c>
      <c r="O189" s="95">
        <f t="shared" si="1448"/>
        <v>8.2418296844118111E-3</v>
      </c>
      <c r="P189" s="95">
        <f t="shared" si="1448"/>
        <v>1.0435498171239024E-2</v>
      </c>
      <c r="Q189" s="95">
        <f t="shared" si="1448"/>
        <v>1.1712503421549277E-2</v>
      </c>
      <c r="R189" s="95">
        <f t="shared" si="1448"/>
        <v>6.4208762269571456E-3</v>
      </c>
      <c r="S189" s="95">
        <f t="shared" si="1448"/>
        <v>4.6333693611695778E-3</v>
      </c>
      <c r="T189" s="95">
        <f t="shared" si="1448"/>
        <v>4.829718659681465E-3</v>
      </c>
      <c r="U189" s="95">
        <f t="shared" si="1448"/>
        <v>2.5327799195938288E-3</v>
      </c>
      <c r="V189" s="95">
        <f t="shared" si="1448"/>
        <v>2.1665677067888769E-3</v>
      </c>
      <c r="W189" s="95">
        <f t="shared" si="1448"/>
        <v>3.4467181880261048E-3</v>
      </c>
      <c r="X189" s="95">
        <f t="shared" ref="X189:Y189" si="1449">X184/X134</f>
        <v>3.4318974780529975E-3</v>
      </c>
      <c r="Y189" s="95">
        <f t="shared" si="1449"/>
        <v>6.0149008612555808E-3</v>
      </c>
      <c r="Z189" s="95">
        <f t="shared" ref="Z189:AA189" si="1450">Z184/Z134</f>
        <v>2.83904669147866E-2</v>
      </c>
      <c r="AA189" s="95">
        <f t="shared" si="1450"/>
        <v>2.9917572115792841E-2</v>
      </c>
      <c r="AB189" s="87">
        <f t="shared" ref="AA189:AD189" si="1451">AB184/AB134</f>
        <v>0</v>
      </c>
      <c r="AC189" s="87">
        <f t="shared" si="1451"/>
        <v>0</v>
      </c>
      <c r="AD189" s="87">
        <f t="shared" si="1451"/>
        <v>0</v>
      </c>
      <c r="AE189" s="87">
        <f t="shared" ref="AE189" si="1452">AE184/AE134</f>
        <v>0</v>
      </c>
      <c r="CM189" s="96"/>
      <c r="CN189" s="96"/>
      <c r="CO189" s="96"/>
      <c r="CP189" s="96"/>
      <c r="CQ189" s="96"/>
      <c r="CR189" s="96"/>
      <c r="CS189" s="96"/>
      <c r="CT189" s="96"/>
      <c r="CU189" s="96"/>
      <c r="CV189" s="96"/>
      <c r="CW189" s="96"/>
      <c r="CX189" s="96"/>
      <c r="CY189" s="96"/>
      <c r="CZ189" s="96"/>
      <c r="DA189" s="96"/>
      <c r="DB189" s="96"/>
      <c r="DE189" s="140"/>
      <c r="DF189" s="95">
        <v>0</v>
      </c>
    </row>
    <row r="190" spans="1:110" x14ac:dyDescent="0.2">
      <c r="A190" s="152" t="s">
        <v>492</v>
      </c>
      <c r="AA190" s="2"/>
      <c r="CE190" s="111"/>
      <c r="CG190" s="111"/>
      <c r="CL190" s="2"/>
    </row>
    <row r="191" spans="1:110" s="6" customFormat="1" x14ac:dyDescent="0.2">
      <c r="AB191" s="19"/>
      <c r="AC191" s="19"/>
      <c r="AD191" s="19"/>
      <c r="AE191" s="19"/>
      <c r="CE191" s="113"/>
      <c r="CG191" s="113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E191" s="123"/>
    </row>
    <row r="192" spans="1:110" s="62" customFormat="1" x14ac:dyDescent="0.2">
      <c r="A192" s="153" t="s">
        <v>493</v>
      </c>
      <c r="AB192" s="63"/>
      <c r="AC192" s="63"/>
      <c r="AD192" s="63"/>
      <c r="AE192" s="63"/>
      <c r="CE192" s="114"/>
      <c r="CG192" s="114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E192" s="139"/>
    </row>
    <row r="193" spans="1:110" s="62" customFormat="1" outlineLevel="1" x14ac:dyDescent="0.2">
      <c r="A193" s="68" t="s">
        <v>464</v>
      </c>
      <c r="B193" s="67">
        <f t="shared" ref="B193:AE193" si="1453">B158/B22*365</f>
        <v>62.743905395625966</v>
      </c>
      <c r="C193" s="67">
        <f t="shared" si="1453"/>
        <v>42.533644136200117</v>
      </c>
      <c r="D193" s="67">
        <f t="shared" si="1453"/>
        <v>38.602633762121059</v>
      </c>
      <c r="E193" s="67">
        <f t="shared" si="1453"/>
        <v>44.958254424032859</v>
      </c>
      <c r="F193" s="67">
        <f t="shared" si="1453"/>
        <v>52.428840847646022</v>
      </c>
      <c r="G193" s="67">
        <f t="shared" si="1453"/>
        <v>49.811685136852418</v>
      </c>
      <c r="H193" s="67">
        <f t="shared" si="1453"/>
        <v>47.539157873677588</v>
      </c>
      <c r="I193" s="67">
        <f t="shared" si="1453"/>
        <v>46.145443926209197</v>
      </c>
      <c r="J193" s="67">
        <f t="shared" si="1453"/>
        <v>56.036983676056359</v>
      </c>
      <c r="K193" s="67">
        <f t="shared" si="1453"/>
        <v>58.16221623515424</v>
      </c>
      <c r="L193" s="67">
        <f t="shared" si="1453"/>
        <v>65.019752985963251</v>
      </c>
      <c r="M193" s="67">
        <f t="shared" si="1453"/>
        <v>63.788507278298752</v>
      </c>
      <c r="N193" s="67">
        <f t="shared" si="1453"/>
        <v>68.657864719600269</v>
      </c>
      <c r="O193" s="67">
        <f t="shared" si="1453"/>
        <v>71.621880190604202</v>
      </c>
      <c r="P193" s="67">
        <f t="shared" si="1453"/>
        <v>74.21052697418294</v>
      </c>
      <c r="Q193" s="67">
        <f t="shared" si="1453"/>
        <v>89.593169030850419</v>
      </c>
      <c r="R193" s="67">
        <f t="shared" si="1453"/>
        <v>78.225014934619551</v>
      </c>
      <c r="S193" s="67">
        <f t="shared" si="1453"/>
        <v>77.565077362131063</v>
      </c>
      <c r="T193" s="67">
        <f t="shared" si="1453"/>
        <v>81.031359029166381</v>
      </c>
      <c r="U193" s="67">
        <f t="shared" si="1453"/>
        <v>64.840066117280358</v>
      </c>
      <c r="V193" s="67">
        <f t="shared" si="1453"/>
        <v>70.758600003620046</v>
      </c>
      <c r="W193" s="67">
        <f t="shared" si="1453"/>
        <v>66.579598836895812</v>
      </c>
      <c r="X193" s="67">
        <f t="shared" si="1453"/>
        <v>71.544518818616339</v>
      </c>
      <c r="Y193" s="67">
        <f t="shared" si="1453"/>
        <v>66.475254589516538</v>
      </c>
      <c r="Z193" s="67">
        <f t="shared" si="1453"/>
        <v>74.579678516088379</v>
      </c>
      <c r="AA193" s="67">
        <f t="shared" ref="AA193" si="1454">AA158/AA22*365</f>
        <v>63.442095608619432</v>
      </c>
      <c r="AB193" s="18">
        <f t="shared" si="1453"/>
        <v>63.26647630663998</v>
      </c>
      <c r="AC193" s="18">
        <f t="shared" si="1453"/>
        <v>63.219399957239908</v>
      </c>
      <c r="AD193" s="18">
        <f t="shared" si="1453"/>
        <v>63.329841581671403</v>
      </c>
      <c r="AE193" s="18">
        <f t="shared" si="1453"/>
        <v>63.472948667332297</v>
      </c>
      <c r="AI193" s="67">
        <f>AJ158/AI22*90</f>
        <v>75.827256390933854</v>
      </c>
      <c r="AJ193" s="67">
        <f>AJ158/AJ22*90</f>
        <v>70.14107616826189</v>
      </c>
      <c r="AK193" s="67">
        <f t="shared" ref="AK193:CE193" si="1455">+AJ193</f>
        <v>70.14107616826189</v>
      </c>
      <c r="AL193" s="67">
        <f>AL158/AL22*90</f>
        <v>67.295377128953774</v>
      </c>
      <c r="AM193" s="67">
        <f t="shared" ref="AM193:AM194" si="1456">+AL193</f>
        <v>67.295377128953774</v>
      </c>
      <c r="AN193" s="67">
        <f>AN158/AN22*90</f>
        <v>83.857965947410875</v>
      </c>
      <c r="AO193" s="67">
        <f t="shared" ref="AO193:AO194" si="1457">+AN193</f>
        <v>83.857965947410875</v>
      </c>
      <c r="AP193" s="67">
        <f>AP158/AP22*90</f>
        <v>71.553093568874246</v>
      </c>
      <c r="AQ193" s="67">
        <f t="shared" ref="AQ193:AQ194" si="1458">+AP193</f>
        <v>71.553093568874246</v>
      </c>
      <c r="AR193" s="67">
        <f>AR158/AR22*90</f>
        <v>78.278621946629144</v>
      </c>
      <c r="AS193" s="67">
        <f t="shared" ref="AS193:AS194" si="1459">+AR193</f>
        <v>78.278621946629144</v>
      </c>
      <c r="AT193" s="67">
        <f>AT158/AT22*90</f>
        <v>76.080929966452558</v>
      </c>
      <c r="AU193" s="67">
        <f t="shared" ref="AU193:AU194" si="1460">+AT193</f>
        <v>76.080929966452558</v>
      </c>
      <c r="AV193" s="67">
        <f>AV158/AV22*90</f>
        <v>99.791128814879144</v>
      </c>
      <c r="AW193" s="67">
        <f t="shared" ref="AW193:AW194" si="1461">+AV193</f>
        <v>99.791128814879144</v>
      </c>
      <c r="AX193" s="67">
        <f>AX158/AX22*90</f>
        <v>91.726405355522886</v>
      </c>
      <c r="AY193" s="67">
        <f t="shared" ref="AY193:AY194" si="1462">+AX193</f>
        <v>91.726405355522886</v>
      </c>
      <c r="AZ193" s="67">
        <f>AZ158/AZ22*90</f>
        <v>83.121407957376476</v>
      </c>
      <c r="BA193" s="67">
        <f t="shared" ref="BA193:BA194" si="1463">+AZ193</f>
        <v>83.121407957376476</v>
      </c>
      <c r="BB193" s="67">
        <f>BB158/BB22*90</f>
        <v>77.745976444288544</v>
      </c>
      <c r="BC193" s="67">
        <f t="shared" ref="BC193:BC194" si="1464">+BB193</f>
        <v>77.745976444288544</v>
      </c>
      <c r="BD193" s="67">
        <f>BD158/BD22*90</f>
        <v>73.694966137553621</v>
      </c>
      <c r="BE193" s="67">
        <f t="shared" ref="BE193:BE194" si="1465">+BD193</f>
        <v>73.694966137553621</v>
      </c>
      <c r="BF193" s="67">
        <f>BF158/BF22*90</f>
        <v>77.20202558635394</v>
      </c>
      <c r="BG193" s="67">
        <f t="shared" ref="BG193:BG194" si="1466">+BF193</f>
        <v>77.20202558635394</v>
      </c>
      <c r="BH193" s="67">
        <f>BH158/BH22*90</f>
        <v>86.340445348038187</v>
      </c>
      <c r="BI193" s="67">
        <f t="shared" ref="BI193:BI194" si="1467">+BH193</f>
        <v>86.340445348038187</v>
      </c>
      <c r="BJ193" s="67">
        <f>BJ158/BJ22*90</f>
        <v>81.605555743300314</v>
      </c>
      <c r="BK193" s="67">
        <f t="shared" ref="BK193:BK194" si="1468">+BJ193</f>
        <v>81.605555743300314</v>
      </c>
      <c r="BL193" s="67">
        <f>BL158/BL22*90</f>
        <v>62.447860523972437</v>
      </c>
      <c r="BM193" s="67">
        <f t="shared" ref="BM193:BM194" si="1469">+BL193</f>
        <v>62.447860523972437</v>
      </c>
      <c r="BN193" s="67">
        <f>BN158/BN22*90</f>
        <v>64.066851556945238</v>
      </c>
      <c r="BO193" s="67">
        <f t="shared" ref="BO193:BO194" si="1470">+BN193</f>
        <v>64.066851556945238</v>
      </c>
      <c r="BP193" s="67">
        <f>BP158/BP22*90</f>
        <v>83.314409601127508</v>
      </c>
      <c r="BQ193" s="67">
        <f t="shared" ref="BQ193:BQ194" si="1471">+BP193</f>
        <v>83.314409601127508</v>
      </c>
      <c r="BR193" s="67">
        <f>BR158/BR22*90</f>
        <v>66.647921454487985</v>
      </c>
      <c r="BS193" s="67">
        <f t="shared" ref="BS193:BS194" si="1472">+BR193</f>
        <v>66.647921454487985</v>
      </c>
      <c r="BT193" s="67">
        <f>BT158/BT22*90</f>
        <v>67.710377433138149</v>
      </c>
      <c r="BU193" s="67">
        <f t="shared" ref="BU193:BU194" si="1473">+BT193</f>
        <v>67.710377433138149</v>
      </c>
      <c r="BV193" s="67">
        <f>BV158/BV22*90</f>
        <v>64.23923209916201</v>
      </c>
      <c r="BW193" s="67">
        <f t="shared" ref="BW193:BW194" si="1474">+BV193</f>
        <v>64.23923209916201</v>
      </c>
      <c r="BX193" s="67">
        <f>BX158/BX22*90</f>
        <v>69.094244807540775</v>
      </c>
      <c r="BY193" s="67">
        <f t="shared" ref="BY193:BY194" si="1475">+BX193</f>
        <v>69.094244807540775</v>
      </c>
      <c r="BZ193" s="67">
        <f>BZ158/BZ22*90</f>
        <v>67.192164101770516</v>
      </c>
      <c r="CA193" s="67">
        <f t="shared" ref="CA193:CA194" si="1476">+BZ193</f>
        <v>67.192164101770516</v>
      </c>
      <c r="CB193" s="67">
        <f>CB158/CB22*90</f>
        <v>63.184252955449971</v>
      </c>
      <c r="CC193" s="67">
        <f t="shared" ref="CC193:CC194" si="1477">+CB193</f>
        <v>63.184252955449971</v>
      </c>
      <c r="CD193" s="67">
        <f>CD158/CD22*90</f>
        <v>63.469648122965964</v>
      </c>
      <c r="CE193" s="67">
        <f t="shared" si="1455"/>
        <v>63.469648122965964</v>
      </c>
      <c r="CF193" s="67">
        <f>CF158/CF22*90</f>
        <v>70.597397050623456</v>
      </c>
      <c r="CG193" s="67">
        <f t="shared" ref="CG193:CI194" si="1478">+CF193</f>
        <v>70.597397050623456</v>
      </c>
      <c r="CH193" s="67">
        <f>CH158/CH22*90</f>
        <v>70.307385498088195</v>
      </c>
      <c r="CI193" s="67">
        <f t="shared" si="1478"/>
        <v>70.307385498088195</v>
      </c>
      <c r="CJ193" s="67">
        <f>CJ158/CJ22*90</f>
        <v>64.50806500332267</v>
      </c>
      <c r="CK193" s="67">
        <f t="shared" ref="CK193:CK194" si="1479">+CJ193</f>
        <v>64.50806500332267</v>
      </c>
      <c r="CL193" s="67">
        <f>CL158/CL22*90</f>
        <v>58.415641874109717</v>
      </c>
      <c r="CM193" s="30">
        <f t="shared" ref="CM193:CM194" si="1480">+CL193</f>
        <v>58.415641874109717</v>
      </c>
      <c r="CN193" s="30">
        <f t="shared" ref="CN193:CN194" si="1481">+CM193</f>
        <v>58.415641874109717</v>
      </c>
      <c r="CO193" s="30">
        <f t="shared" ref="CO193:CO194" si="1482">+CN193</f>
        <v>58.415641874109717</v>
      </c>
      <c r="CP193" s="30">
        <f t="shared" ref="CP193:CP194" si="1483">+CO193</f>
        <v>58.415641874109717</v>
      </c>
      <c r="CQ193" s="30">
        <f t="shared" ref="CQ193:CQ194" si="1484">+CP193</f>
        <v>58.415641874109717</v>
      </c>
      <c r="CR193" s="30">
        <f t="shared" ref="CR193:CR194" si="1485">+CQ193</f>
        <v>58.415641874109717</v>
      </c>
      <c r="CS193" s="30">
        <f t="shared" ref="CS193:CS194" si="1486">+CR193</f>
        <v>58.415641874109717</v>
      </c>
      <c r="CT193" s="30">
        <f t="shared" ref="CT193:CT194" si="1487">+CS193</f>
        <v>58.415641874109717</v>
      </c>
      <c r="CU193" s="30">
        <f t="shared" ref="CU193:CU194" si="1488">+CT193</f>
        <v>58.415641874109717</v>
      </c>
      <c r="CV193" s="30">
        <f t="shared" ref="CV193:CV194" si="1489">+CU193</f>
        <v>58.415641874109717</v>
      </c>
      <c r="CW193" s="30">
        <f t="shared" ref="CW193:CW194" si="1490">+CV193</f>
        <v>58.415641874109717</v>
      </c>
      <c r="CX193" s="30">
        <f t="shared" ref="CX193:CX194" si="1491">+CW193</f>
        <v>58.415641874109717</v>
      </c>
      <c r="CY193" s="30">
        <f t="shared" ref="CY193:CY194" si="1492">+CX193</f>
        <v>58.415641874109717</v>
      </c>
      <c r="CZ193" s="30">
        <f t="shared" ref="CZ193:CZ194" si="1493">+CY193</f>
        <v>58.415641874109717</v>
      </c>
      <c r="DA193" s="30">
        <f t="shared" ref="DA193:DA194" si="1494">+CZ193</f>
        <v>58.415641874109717</v>
      </c>
      <c r="DB193" s="30">
        <f t="shared" ref="DB193:DB194" si="1495">+DA193</f>
        <v>58.415641874109717</v>
      </c>
      <c r="DE193" s="139"/>
      <c r="DF193" s="62">
        <v>64.50806500332267</v>
      </c>
    </row>
    <row r="194" spans="1:110" s="62" customFormat="1" outlineLevel="1" x14ac:dyDescent="0.2">
      <c r="A194" s="68" t="s">
        <v>465</v>
      </c>
      <c r="B194" s="67">
        <f t="shared" ref="B194:AE194" si="1496">B159/B22*365</f>
        <v>26.912024178509732</v>
      </c>
      <c r="C194" s="67">
        <f t="shared" si="1496"/>
        <v>33.437682694198202</v>
      </c>
      <c r="D194" s="67">
        <f t="shared" si="1496"/>
        <v>30.912906496915767</v>
      </c>
      <c r="E194" s="67">
        <f t="shared" si="1496"/>
        <v>32.373335584262541</v>
      </c>
      <c r="F194" s="67">
        <f t="shared" si="1496"/>
        <v>35.702967881938868</v>
      </c>
      <c r="G194" s="67">
        <f t="shared" si="1496"/>
        <v>40.859044413950521</v>
      </c>
      <c r="H194" s="67">
        <f t="shared" si="1496"/>
        <v>38.692295298968581</v>
      </c>
      <c r="I194" s="67">
        <f t="shared" si="1496"/>
        <v>37.942301079590806</v>
      </c>
      <c r="J194" s="67">
        <f t="shared" si="1496"/>
        <v>33.872040033783016</v>
      </c>
      <c r="K194" s="67">
        <f t="shared" si="1496"/>
        <v>32.797796791409823</v>
      </c>
      <c r="L194" s="67">
        <f t="shared" si="1496"/>
        <v>34.846265678023421</v>
      </c>
      <c r="M194" s="67">
        <f t="shared" si="1496"/>
        <v>35.820660608378731</v>
      </c>
      <c r="N194" s="67">
        <f t="shared" si="1496"/>
        <v>35.394372826671692</v>
      </c>
      <c r="O194" s="67">
        <f t="shared" si="1496"/>
        <v>30.863950438007617</v>
      </c>
      <c r="P194" s="67">
        <f t="shared" si="1496"/>
        <v>28.130415039392339</v>
      </c>
      <c r="Q194" s="67">
        <f t="shared" si="1496"/>
        <v>32.582784101354015</v>
      </c>
      <c r="R194" s="67">
        <f t="shared" si="1496"/>
        <v>31.896549180992839</v>
      </c>
      <c r="S194" s="67">
        <f t="shared" si="1496"/>
        <v>34.719009295193935</v>
      </c>
      <c r="T194" s="67">
        <f t="shared" si="1496"/>
        <v>34.255085154795559</v>
      </c>
      <c r="U194" s="67">
        <f t="shared" si="1496"/>
        <v>34.934624619452094</v>
      </c>
      <c r="V194" s="67">
        <f t="shared" si="1496"/>
        <v>23.951136137382854</v>
      </c>
      <c r="W194" s="67">
        <f t="shared" si="1496"/>
        <v>24.532850933211645</v>
      </c>
      <c r="X194" s="67">
        <f t="shared" si="1496"/>
        <v>21.141048206652176</v>
      </c>
      <c r="Y194" s="67">
        <f t="shared" si="1496"/>
        <v>21.525514851192138</v>
      </c>
      <c r="Z194" s="67">
        <f t="shared" si="1496"/>
        <v>18.019522314865792</v>
      </c>
      <c r="AA194" s="67">
        <f t="shared" ref="AA194" si="1497">AA159/AA22*365</f>
        <v>20.657051131986851</v>
      </c>
      <c r="AB194" s="18">
        <f t="shared" si="1496"/>
        <v>20.599868643515254</v>
      </c>
      <c r="AC194" s="18">
        <f t="shared" si="1496"/>
        <v>20.584540357976525</v>
      </c>
      <c r="AD194" s="18">
        <f t="shared" si="1496"/>
        <v>20.620500681498235</v>
      </c>
      <c r="AE194" s="18">
        <f t="shared" si="1496"/>
        <v>20.667097036134493</v>
      </c>
      <c r="AI194" s="67">
        <f>AJ159/AI22*90</f>
        <v>43.53869340907773</v>
      </c>
      <c r="AJ194" s="67">
        <f>AJ159/AJ22*90</f>
        <v>40.273787501005387</v>
      </c>
      <c r="AK194" s="67">
        <f>+AJ194</f>
        <v>40.273787501005387</v>
      </c>
      <c r="AL194" s="67">
        <f>AL159/AL22*90</f>
        <v>34.691970802919705</v>
      </c>
      <c r="AM194" s="67">
        <f t="shared" si="1456"/>
        <v>34.691970802919705</v>
      </c>
      <c r="AN194" s="67">
        <f>AN159/AN22*90</f>
        <v>37.597440883795024</v>
      </c>
      <c r="AO194" s="67">
        <f t="shared" si="1457"/>
        <v>37.597440883795024</v>
      </c>
      <c r="AP194" s="67">
        <f>AP159/AP22*90</f>
        <v>30.834376128968078</v>
      </c>
      <c r="AQ194" s="67">
        <f t="shared" si="1458"/>
        <v>30.834376128968078</v>
      </c>
      <c r="AR194" s="67">
        <f>AR159/AR22*90</f>
        <v>36.116250965786392</v>
      </c>
      <c r="AS194" s="67">
        <f t="shared" si="1459"/>
        <v>36.116250965786392</v>
      </c>
      <c r="AT194" s="67">
        <f>AT159/AT22*90</f>
        <v>28.839414349985699</v>
      </c>
      <c r="AU194" s="67">
        <f t="shared" si="1460"/>
        <v>28.839414349985699</v>
      </c>
      <c r="AV194" s="67">
        <f>AV159/AV22*90</f>
        <v>39.553206145736624</v>
      </c>
      <c r="AW194" s="67">
        <f t="shared" si="1461"/>
        <v>39.553206145736624</v>
      </c>
      <c r="AX194" s="67">
        <f>AX159/AX22*90</f>
        <v>33.358588544436451</v>
      </c>
      <c r="AY194" s="67">
        <f t="shared" si="1462"/>
        <v>33.358588544436451</v>
      </c>
      <c r="AZ194" s="67">
        <f>AZ159/AZ22*90</f>
        <v>39.654300584593372</v>
      </c>
      <c r="BA194" s="67">
        <f t="shared" si="1463"/>
        <v>39.654300584593372</v>
      </c>
      <c r="BB194" s="67">
        <f>BB159/BB22*90</f>
        <v>31.701219403437637</v>
      </c>
      <c r="BC194" s="67">
        <f t="shared" si="1464"/>
        <v>31.701219403437637</v>
      </c>
      <c r="BD194" s="67">
        <f>BD159/BD22*90</f>
        <v>39.91903743189097</v>
      </c>
      <c r="BE194" s="67">
        <f t="shared" si="1465"/>
        <v>39.91903743189097</v>
      </c>
      <c r="BF194" s="67">
        <f>BF159/BF22*90</f>
        <v>34.556503198294244</v>
      </c>
      <c r="BG194" s="67">
        <f t="shared" si="1466"/>
        <v>34.556503198294244</v>
      </c>
      <c r="BH194" s="67">
        <f>BH159/BH22*90</f>
        <v>41.695411927058785</v>
      </c>
      <c r="BI194" s="67">
        <f t="shared" si="1467"/>
        <v>41.695411927058785</v>
      </c>
      <c r="BJ194" s="67">
        <f>BJ159/BJ22*90</f>
        <v>34.497820283194216</v>
      </c>
      <c r="BK194" s="67">
        <f t="shared" si="1468"/>
        <v>34.497820283194216</v>
      </c>
      <c r="BL194" s="67">
        <f>BL159/BL22*90</f>
        <v>32.525190982799828</v>
      </c>
      <c r="BM194" s="67">
        <f t="shared" si="1469"/>
        <v>32.525190982799828</v>
      </c>
      <c r="BN194" s="67">
        <f>BN159/BN22*90</f>
        <v>34.51803096011276</v>
      </c>
      <c r="BO194" s="67">
        <f t="shared" si="1470"/>
        <v>34.51803096011276</v>
      </c>
      <c r="BP194" s="67">
        <f>BP159/BP22*90</f>
        <v>24.292822883933642</v>
      </c>
      <c r="BQ194" s="67">
        <f t="shared" si="1471"/>
        <v>24.292822883933642</v>
      </c>
      <c r="BR194" s="67">
        <f>BR159/BR22*90</f>
        <v>22.559709207762364</v>
      </c>
      <c r="BS194" s="67">
        <f t="shared" si="1472"/>
        <v>22.559709207762364</v>
      </c>
      <c r="BT194" s="67">
        <f>BT159/BT22*90</f>
        <v>19.346118847918973</v>
      </c>
      <c r="BU194" s="67">
        <f t="shared" si="1473"/>
        <v>19.346118847918973</v>
      </c>
      <c r="BV194" s="67">
        <f>BV159/BV22*90</f>
        <v>23.670486645818965</v>
      </c>
      <c r="BW194" s="67">
        <f t="shared" si="1474"/>
        <v>23.670486645818965</v>
      </c>
      <c r="BX194" s="67">
        <f>BX159/BX22*90</f>
        <v>23.017231382227443</v>
      </c>
      <c r="BY194" s="67">
        <f t="shared" si="1475"/>
        <v>23.017231382227443</v>
      </c>
      <c r="BZ194" s="67">
        <f>BZ159/BZ22*90</f>
        <v>19.854949111981277</v>
      </c>
      <c r="CA194" s="67">
        <f t="shared" si="1476"/>
        <v>19.854949111981277</v>
      </c>
      <c r="CB194" s="67">
        <f>CB159/CB22*90</f>
        <v>20.530320479514057</v>
      </c>
      <c r="CC194" s="67">
        <f t="shared" si="1477"/>
        <v>20.530320479514057</v>
      </c>
      <c r="CD194" s="67">
        <f>CD159/CD22*90</f>
        <v>20.552262066647312</v>
      </c>
      <c r="CE194" s="114">
        <f t="shared" ref="CE194" si="1498">+CD194</f>
        <v>20.552262066647312</v>
      </c>
      <c r="CF194" s="67">
        <f>CF159/CF22*90</f>
        <v>21.403575792808077</v>
      </c>
      <c r="CG194" s="67">
        <f t="shared" si="1478"/>
        <v>21.403575792808077</v>
      </c>
      <c r="CH194" s="67">
        <f>CH159/CH22*90</f>
        <v>16.987274913090083</v>
      </c>
      <c r="CI194" s="67">
        <f t="shared" si="1478"/>
        <v>16.987274913090083</v>
      </c>
      <c r="CJ194" s="67">
        <f>CJ159/CJ22*90</f>
        <v>21.071225759681028</v>
      </c>
      <c r="CK194" s="67">
        <f t="shared" si="1479"/>
        <v>21.071225759681028</v>
      </c>
      <c r="CL194" s="67">
        <f>CL159/CL22*90</f>
        <v>19.020413646887341</v>
      </c>
      <c r="CM194" s="30">
        <f t="shared" si="1480"/>
        <v>19.020413646887341</v>
      </c>
      <c r="CN194" s="30">
        <f t="shared" si="1481"/>
        <v>19.020413646887341</v>
      </c>
      <c r="CO194" s="30">
        <f t="shared" si="1482"/>
        <v>19.020413646887341</v>
      </c>
      <c r="CP194" s="30">
        <f t="shared" si="1483"/>
        <v>19.020413646887341</v>
      </c>
      <c r="CQ194" s="30">
        <f t="shared" si="1484"/>
        <v>19.020413646887341</v>
      </c>
      <c r="CR194" s="30">
        <f t="shared" si="1485"/>
        <v>19.020413646887341</v>
      </c>
      <c r="CS194" s="30">
        <f t="shared" si="1486"/>
        <v>19.020413646887341</v>
      </c>
      <c r="CT194" s="30">
        <f t="shared" si="1487"/>
        <v>19.020413646887341</v>
      </c>
      <c r="CU194" s="30">
        <f t="shared" si="1488"/>
        <v>19.020413646887341</v>
      </c>
      <c r="CV194" s="30">
        <f t="shared" si="1489"/>
        <v>19.020413646887341</v>
      </c>
      <c r="CW194" s="30">
        <f t="shared" si="1490"/>
        <v>19.020413646887341</v>
      </c>
      <c r="CX194" s="30">
        <f t="shared" si="1491"/>
        <v>19.020413646887341</v>
      </c>
      <c r="CY194" s="30">
        <f t="shared" si="1492"/>
        <v>19.020413646887341</v>
      </c>
      <c r="CZ194" s="30">
        <f t="shared" si="1493"/>
        <v>19.020413646887341</v>
      </c>
      <c r="DA194" s="30">
        <f t="shared" si="1494"/>
        <v>19.020413646887341</v>
      </c>
      <c r="DB194" s="30">
        <f t="shared" si="1495"/>
        <v>19.020413646887341</v>
      </c>
      <c r="DE194" s="139"/>
      <c r="DF194" s="62">
        <v>21.071225759681028</v>
      </c>
    </row>
    <row r="195" spans="1:110" s="62" customFormat="1" outlineLevel="1" x14ac:dyDescent="0.2">
      <c r="A195" s="68" t="s">
        <v>466</v>
      </c>
      <c r="B195" s="67">
        <f>B196-B194-B193</f>
        <v>76.642372911222083</v>
      </c>
      <c r="C195" s="67">
        <f t="shared" ref="C195:U195" si="1499">C196-C194-C193</f>
        <v>23.831321573065971</v>
      </c>
      <c r="D195" s="67">
        <f t="shared" si="1499"/>
        <v>24.385444114408344</v>
      </c>
      <c r="E195" s="67">
        <f t="shared" si="1499"/>
        <v>22.602156606109148</v>
      </c>
      <c r="F195" s="67">
        <f t="shared" si="1499"/>
        <v>18.502315737499522</v>
      </c>
      <c r="G195" s="67">
        <f t="shared" si="1499"/>
        <v>23.525947621110703</v>
      </c>
      <c r="H195" s="67">
        <f t="shared" si="1499"/>
        <v>28.251322484980825</v>
      </c>
      <c r="I195" s="67">
        <f t="shared" si="1499"/>
        <v>85.705295227083013</v>
      </c>
      <c r="J195" s="67">
        <f t="shared" si="1499"/>
        <v>173.35379283661459</v>
      </c>
      <c r="K195" s="67">
        <f t="shared" si="1499"/>
        <v>41.20078652825331</v>
      </c>
      <c r="L195" s="67">
        <f t="shared" si="1499"/>
        <v>44.687707291192581</v>
      </c>
      <c r="M195" s="67">
        <f t="shared" si="1499"/>
        <v>47.8544461150899</v>
      </c>
      <c r="N195" s="67">
        <f t="shared" si="1499"/>
        <v>44.552607721933697</v>
      </c>
      <c r="O195" s="67">
        <f t="shared" si="1499"/>
        <v>54.802897864403533</v>
      </c>
      <c r="P195" s="67">
        <f t="shared" si="1499"/>
        <v>109.44740015561787</v>
      </c>
      <c r="Q195" s="67">
        <f t="shared" si="1499"/>
        <v>60.780534736474152</v>
      </c>
      <c r="R195" s="67">
        <f t="shared" si="1499"/>
        <v>45.458975890730187</v>
      </c>
      <c r="S195" s="67">
        <f t="shared" si="1499"/>
        <v>55.217941851849133</v>
      </c>
      <c r="T195" s="67">
        <f t="shared" si="1499"/>
        <v>51.908874026063572</v>
      </c>
      <c r="U195" s="67">
        <f t="shared" si="1499"/>
        <v>43.285287971261994</v>
      </c>
      <c r="V195" s="67">
        <f>V196-V194-V193</f>
        <v>37.455975376722876</v>
      </c>
      <c r="W195" s="67">
        <f t="shared" ref="W195" si="1500">W196-W194-W193</f>
        <v>50.811187111530657</v>
      </c>
      <c r="X195" s="67">
        <f t="shared" ref="X195:Y195" si="1501">X196-X194-X193</f>
        <v>44.161759712576782</v>
      </c>
      <c r="Y195" s="67">
        <f t="shared" si="1501"/>
        <v>32.168852777056202</v>
      </c>
      <c r="Z195" s="67">
        <f t="shared" ref="Z195:AA195" si="1502">Z196-Z194-Z193</f>
        <v>38.936744748358223</v>
      </c>
      <c r="AA195" s="67">
        <f t="shared" si="1502"/>
        <v>40.304752043204608</v>
      </c>
      <c r="AB195" s="18">
        <f t="shared" ref="AA195:AD195" si="1503">AB196-AB194-AB193</f>
        <v>51.823201109006554</v>
      </c>
      <c r="AC195" s="18">
        <f t="shared" si="1503"/>
        <v>51.784639658063504</v>
      </c>
      <c r="AD195" s="18">
        <f t="shared" si="1503"/>
        <v>51.875105238697031</v>
      </c>
      <c r="AE195" s="18">
        <f t="shared" ref="AE195" si="1504">AE196-AE194-AE193</f>
        <v>51.992327940406945</v>
      </c>
      <c r="AI195" s="67">
        <f t="shared" ref="AI195:AK195" si="1505">AI196-AI194-AI193</f>
        <v>-119.36594980001158</v>
      </c>
      <c r="AJ195" s="67">
        <f t="shared" ref="AJ195:AM195" si="1506">AJ196-AJ194-AJ193</f>
        <v>47.745676827796984</v>
      </c>
      <c r="AK195" s="67">
        <f t="shared" si="1505"/>
        <v>46.584651282024453</v>
      </c>
      <c r="AL195" s="67">
        <f t="shared" si="1506"/>
        <v>43.668613138686126</v>
      </c>
      <c r="AM195" s="67">
        <f t="shared" si="1506"/>
        <v>44.536466202728477</v>
      </c>
      <c r="AN195" s="67">
        <f t="shared" ref="AN195:AY195" si="1507">AN196-AN194-AN193</f>
        <v>50.001137844715245</v>
      </c>
      <c r="AO195" s="67">
        <f t="shared" si="1507"/>
        <v>46.462412410969179</v>
      </c>
      <c r="AP195" s="67">
        <f t="shared" si="1507"/>
        <v>54.750278806029527</v>
      </c>
      <c r="AQ195" s="67">
        <f t="shared" si="1507"/>
        <v>54.729360535103055</v>
      </c>
      <c r="AR195" s="67">
        <f t="shared" si="1507"/>
        <v>49.104443607979903</v>
      </c>
      <c r="AS195" s="67">
        <f t="shared" si="1507"/>
        <v>46.308173750583819</v>
      </c>
      <c r="AT195" s="67">
        <f t="shared" si="1507"/>
        <v>50.605310378904122</v>
      </c>
      <c r="AU195" s="67">
        <f t="shared" si="1507"/>
        <v>58.185303017617727</v>
      </c>
      <c r="AV195" s="67">
        <f t="shared" si="1507"/>
        <v>62.643385546137935</v>
      </c>
      <c r="AW195" s="67">
        <f t="shared" si="1507"/>
        <v>61.531763169197617</v>
      </c>
      <c r="AX195" s="67">
        <f t="shared" si="1507"/>
        <v>62.227734851565643</v>
      </c>
      <c r="AY195" s="67">
        <f t="shared" si="1507"/>
        <v>57.311433279937305</v>
      </c>
      <c r="AZ195" s="67">
        <f t="shared" ref="AZ195:BC195" si="1508">AZ196-AZ194-AZ193</f>
        <v>48.152364273204938</v>
      </c>
      <c r="BA195" s="67">
        <f t="shared" si="1508"/>
        <v>44.85575763146106</v>
      </c>
      <c r="BB195" s="67">
        <f t="shared" si="1508"/>
        <v>45.180591806036958</v>
      </c>
      <c r="BC195" s="67">
        <f t="shared" si="1508"/>
        <v>44.585489492026639</v>
      </c>
      <c r="BD195" s="67">
        <f t="shared" ref="BD195:CE195" si="1509">BD196-BD194-BD193</f>
        <v>52.788717245618002</v>
      </c>
      <c r="BE195" s="67">
        <f t="shared" si="1509"/>
        <v>51.621830916729763</v>
      </c>
      <c r="BF195" s="67">
        <f t="shared" si="1509"/>
        <v>54.959488272921092</v>
      </c>
      <c r="BG195" s="67">
        <f t="shared" si="1509"/>
        <v>51.4779289799677</v>
      </c>
      <c r="BH195" s="67">
        <f t="shared" si="1509"/>
        <v>57.925741252903393</v>
      </c>
      <c r="BI195" s="67">
        <f t="shared" si="1509"/>
        <v>53.330945633646721</v>
      </c>
      <c r="BJ195" s="67">
        <f t="shared" si="1509"/>
        <v>52.276705755128248</v>
      </c>
      <c r="BK195" s="67">
        <f t="shared" si="1509"/>
        <v>38.796502198665721</v>
      </c>
      <c r="BL195" s="67">
        <f t="shared" si="1509"/>
        <v>46.719612112122775</v>
      </c>
      <c r="BM195" s="67">
        <f t="shared" si="1509"/>
        <v>43.985543289904371</v>
      </c>
      <c r="BN195" s="67">
        <f t="shared" si="1509"/>
        <v>53.75084718277941</v>
      </c>
      <c r="BO195" s="67">
        <f t="shared" si="1509"/>
        <v>47.633267131187097</v>
      </c>
      <c r="BP195" s="67">
        <f t="shared" si="1509"/>
        <v>47.555351017854676</v>
      </c>
      <c r="BQ195" s="67">
        <f t="shared" si="1509"/>
        <v>43.090084572381684</v>
      </c>
      <c r="BR195" s="67">
        <f t="shared" si="1509"/>
        <v>46.730233568855738</v>
      </c>
      <c r="BS195" s="67">
        <f t="shared" si="1509"/>
        <v>47.176960970064414</v>
      </c>
      <c r="BT195" s="67">
        <f t="shared" si="1509"/>
        <v>49.436026269979408</v>
      </c>
      <c r="BU195" s="67">
        <f t="shared" si="1509"/>
        <v>46.735548781628125</v>
      </c>
      <c r="BV195" s="67">
        <f t="shared" si="1509"/>
        <v>59.751150245165178</v>
      </c>
      <c r="BW195" s="67">
        <f t="shared" si="1509"/>
        <v>57.031588629415978</v>
      </c>
      <c r="BX195" s="67">
        <f t="shared" si="1509"/>
        <v>56.353667058176342</v>
      </c>
      <c r="BY195" s="67">
        <f t="shared" si="1509"/>
        <v>54.545250464088866</v>
      </c>
      <c r="BZ195" s="67">
        <f t="shared" si="1509"/>
        <v>51.026520353825788</v>
      </c>
      <c r="CA195" s="67">
        <f t="shared" si="1509"/>
        <v>49.356010488585241</v>
      </c>
      <c r="CB195" s="67">
        <f t="shared" si="1509"/>
        <v>46.875070304088631</v>
      </c>
      <c r="CC195" s="67">
        <f t="shared" si="1509"/>
        <v>46.010746808555375</v>
      </c>
      <c r="CD195" s="67">
        <f t="shared" si="1509"/>
        <v>42.307751073354808</v>
      </c>
      <c r="CE195" s="114">
        <f t="shared" si="1509"/>
        <v>38.174937443561319</v>
      </c>
      <c r="CF195" s="67">
        <f t="shared" ref="CF195:CG195" si="1510">CF196-CF194-CF193</f>
        <v>43.572731910450941</v>
      </c>
      <c r="CG195" s="67">
        <f t="shared" si="1510"/>
        <v>41.326121398158236</v>
      </c>
      <c r="CH195" s="67">
        <f t="shared" ref="CH195" si="1511">CH196-CH194-CH193</f>
        <v>36.706255343711888</v>
      </c>
      <c r="CI195" s="67">
        <f>CH195</f>
        <v>36.706255343711888</v>
      </c>
      <c r="CJ195" s="67">
        <f t="shared" ref="CJ195:CL195" si="1512">CJ196-CJ194-CJ193</f>
        <v>49.116051471032463</v>
      </c>
      <c r="CK195" s="67">
        <f t="shared" ref="CK195:DB195" si="1513">CJ195</f>
        <v>49.116051471032463</v>
      </c>
      <c r="CL195" s="67">
        <f t="shared" si="1512"/>
        <v>47.849757620150093</v>
      </c>
      <c r="CM195" s="30">
        <f t="shared" si="1513"/>
        <v>47.849757620150093</v>
      </c>
      <c r="CN195" s="30">
        <f t="shared" si="1513"/>
        <v>47.849757620150093</v>
      </c>
      <c r="CO195" s="30">
        <f t="shared" si="1513"/>
        <v>47.849757620150093</v>
      </c>
      <c r="CP195" s="30">
        <f t="shared" si="1513"/>
        <v>47.849757620150093</v>
      </c>
      <c r="CQ195" s="30">
        <f t="shared" si="1513"/>
        <v>47.849757620150093</v>
      </c>
      <c r="CR195" s="30">
        <f t="shared" si="1513"/>
        <v>47.849757620150093</v>
      </c>
      <c r="CS195" s="30">
        <f t="shared" si="1513"/>
        <v>47.849757620150093</v>
      </c>
      <c r="CT195" s="30">
        <f t="shared" si="1513"/>
        <v>47.849757620150093</v>
      </c>
      <c r="CU195" s="30">
        <f t="shared" si="1513"/>
        <v>47.849757620150093</v>
      </c>
      <c r="CV195" s="30">
        <f t="shared" si="1513"/>
        <v>47.849757620150093</v>
      </c>
      <c r="CW195" s="30">
        <f t="shared" si="1513"/>
        <v>47.849757620150093</v>
      </c>
      <c r="CX195" s="30">
        <f t="shared" si="1513"/>
        <v>47.849757620150093</v>
      </c>
      <c r="CY195" s="30">
        <f t="shared" si="1513"/>
        <v>47.849757620150093</v>
      </c>
      <c r="CZ195" s="30">
        <f t="shared" si="1513"/>
        <v>47.849757620150093</v>
      </c>
      <c r="DA195" s="30">
        <f t="shared" si="1513"/>
        <v>47.849757620150093</v>
      </c>
      <c r="DB195" s="30">
        <f t="shared" si="1513"/>
        <v>47.849757620150093</v>
      </c>
      <c r="DE195" s="139"/>
      <c r="DF195" s="62">
        <v>49.116051471032463</v>
      </c>
    </row>
    <row r="196" spans="1:110" s="7" customFormat="1" outlineLevel="1" x14ac:dyDescent="0.2">
      <c r="A196" s="69" t="s">
        <v>467</v>
      </c>
      <c r="B196" s="70">
        <f t="shared" ref="B196:AE196" si="1514">B162/B22*365</f>
        <v>166.29830248535779</v>
      </c>
      <c r="C196" s="70">
        <f t="shared" si="1514"/>
        <v>99.802648403464289</v>
      </c>
      <c r="D196" s="70">
        <f t="shared" si="1514"/>
        <v>93.900984373445169</v>
      </c>
      <c r="E196" s="70">
        <f t="shared" si="1514"/>
        <v>99.933746614404555</v>
      </c>
      <c r="F196" s="70">
        <f t="shared" si="1514"/>
        <v>106.6341244670844</v>
      </c>
      <c r="G196" s="70">
        <f t="shared" si="1514"/>
        <v>114.19667717191365</v>
      </c>
      <c r="H196" s="70">
        <f t="shared" si="1514"/>
        <v>114.48277565762699</v>
      </c>
      <c r="I196" s="70">
        <f t="shared" si="1514"/>
        <v>169.79304023288302</v>
      </c>
      <c r="J196" s="70">
        <f t="shared" si="1514"/>
        <v>263.26281654645396</v>
      </c>
      <c r="K196" s="70">
        <f t="shared" si="1514"/>
        <v>132.16079955481737</v>
      </c>
      <c r="L196" s="70">
        <f t="shared" si="1514"/>
        <v>144.55372595517926</v>
      </c>
      <c r="M196" s="70">
        <f t="shared" si="1514"/>
        <v>147.46361400176738</v>
      </c>
      <c r="N196" s="70">
        <f t="shared" si="1514"/>
        <v>148.60484526820565</v>
      </c>
      <c r="O196" s="70">
        <f t="shared" si="1514"/>
        <v>157.28872849301536</v>
      </c>
      <c r="P196" s="70">
        <f t="shared" si="1514"/>
        <v>211.78834216919316</v>
      </c>
      <c r="Q196" s="70">
        <f t="shared" si="1514"/>
        <v>182.95648786867858</v>
      </c>
      <c r="R196" s="70">
        <f t="shared" si="1514"/>
        <v>155.58054000634257</v>
      </c>
      <c r="S196" s="70">
        <f t="shared" si="1514"/>
        <v>167.50202850917412</v>
      </c>
      <c r="T196" s="70">
        <f t="shared" si="1514"/>
        <v>167.1953182100255</v>
      </c>
      <c r="U196" s="70">
        <f t="shared" si="1514"/>
        <v>143.05997870799445</v>
      </c>
      <c r="V196" s="70">
        <f t="shared" si="1514"/>
        <v>132.16571151772578</v>
      </c>
      <c r="W196" s="70">
        <f t="shared" si="1514"/>
        <v>141.92363688163812</v>
      </c>
      <c r="X196" s="70">
        <f t="shared" si="1514"/>
        <v>136.84732673784529</v>
      </c>
      <c r="Y196" s="70">
        <f t="shared" si="1514"/>
        <v>120.16962221776488</v>
      </c>
      <c r="Z196" s="70">
        <f t="shared" si="1514"/>
        <v>131.5359455793124</v>
      </c>
      <c r="AA196" s="70">
        <f t="shared" ref="AA196" si="1515">AA162/AA22*365</f>
        <v>124.40389878381089</v>
      </c>
      <c r="AB196" s="71">
        <f t="shared" si="1514"/>
        <v>135.68954605916178</v>
      </c>
      <c r="AC196" s="71">
        <f t="shared" si="1514"/>
        <v>135.58857997327993</v>
      </c>
      <c r="AD196" s="71">
        <f t="shared" si="1514"/>
        <v>135.82544750186668</v>
      </c>
      <c r="AE196" s="71">
        <f t="shared" si="1514"/>
        <v>136.13237364387373</v>
      </c>
      <c r="AI196" s="70">
        <f t="shared" ref="AI196:CD196" si="1516">AI162/AI22*90</f>
        <v>0</v>
      </c>
      <c r="AJ196" s="70">
        <f t="shared" si="1516"/>
        <v>158.16054049706426</v>
      </c>
      <c r="AK196" s="70">
        <f t="shared" si="1516"/>
        <v>156.99951495129173</v>
      </c>
      <c r="AL196" s="70">
        <f t="shared" si="1516"/>
        <v>145.65596107055961</v>
      </c>
      <c r="AM196" s="70">
        <f t="shared" si="1516"/>
        <v>146.52381413460196</v>
      </c>
      <c r="AN196" s="70">
        <f t="shared" si="1516"/>
        <v>171.45654467592115</v>
      </c>
      <c r="AO196" s="70">
        <f t="shared" si="1516"/>
        <v>167.91781924217509</v>
      </c>
      <c r="AP196" s="70">
        <f t="shared" si="1516"/>
        <v>157.13774850387185</v>
      </c>
      <c r="AQ196" s="70">
        <f t="shared" si="1516"/>
        <v>157.11683023294538</v>
      </c>
      <c r="AR196" s="70">
        <f t="shared" si="1516"/>
        <v>163.49931652039544</v>
      </c>
      <c r="AS196" s="70">
        <f t="shared" si="1516"/>
        <v>160.70304666299936</v>
      </c>
      <c r="AT196" s="70">
        <f t="shared" si="1516"/>
        <v>155.52565469534238</v>
      </c>
      <c r="AU196" s="70">
        <f t="shared" si="1516"/>
        <v>163.10564733405599</v>
      </c>
      <c r="AV196" s="70">
        <f t="shared" si="1516"/>
        <v>201.9877205067537</v>
      </c>
      <c r="AW196" s="70">
        <f t="shared" si="1516"/>
        <v>200.87609812981339</v>
      </c>
      <c r="AX196" s="70">
        <f t="shared" si="1516"/>
        <v>187.31272875152499</v>
      </c>
      <c r="AY196" s="70">
        <f t="shared" si="1516"/>
        <v>182.39642717989665</v>
      </c>
      <c r="AZ196" s="70">
        <f t="shared" si="1516"/>
        <v>170.92807281517477</v>
      </c>
      <c r="BA196" s="70">
        <f t="shared" si="1516"/>
        <v>167.63146617343091</v>
      </c>
      <c r="BB196" s="70">
        <f t="shared" si="1516"/>
        <v>154.62778765376314</v>
      </c>
      <c r="BC196" s="70">
        <f t="shared" si="1516"/>
        <v>154.03268533975282</v>
      </c>
      <c r="BD196" s="70">
        <f t="shared" si="1516"/>
        <v>166.40272081506259</v>
      </c>
      <c r="BE196" s="70">
        <f t="shared" si="1516"/>
        <v>165.23583448617435</v>
      </c>
      <c r="BF196" s="70">
        <f t="shared" si="1516"/>
        <v>166.71801705756928</v>
      </c>
      <c r="BG196" s="70">
        <f t="shared" si="1516"/>
        <v>163.23645776461589</v>
      </c>
      <c r="BH196" s="70">
        <f t="shared" si="1516"/>
        <v>185.96159852800037</v>
      </c>
      <c r="BI196" s="70">
        <f t="shared" si="1516"/>
        <v>181.36680290874369</v>
      </c>
      <c r="BJ196" s="70">
        <f t="shared" si="1516"/>
        <v>168.38008178162278</v>
      </c>
      <c r="BK196" s="70">
        <f t="shared" si="1516"/>
        <v>154.89987822516025</v>
      </c>
      <c r="BL196" s="70">
        <f t="shared" si="1516"/>
        <v>141.69266361889504</v>
      </c>
      <c r="BM196" s="70">
        <f t="shared" si="1516"/>
        <v>138.95859479667664</v>
      </c>
      <c r="BN196" s="70">
        <f t="shared" si="1516"/>
        <v>152.3357296998374</v>
      </c>
      <c r="BO196" s="70">
        <f t="shared" si="1516"/>
        <v>146.21814964824509</v>
      </c>
      <c r="BP196" s="70">
        <f t="shared" si="1516"/>
        <v>155.16258350291582</v>
      </c>
      <c r="BQ196" s="70">
        <f t="shared" si="1516"/>
        <v>150.69731705744283</v>
      </c>
      <c r="BR196" s="70">
        <f t="shared" si="1516"/>
        <v>135.93786423110609</v>
      </c>
      <c r="BS196" s="70">
        <f t="shared" si="1516"/>
        <v>136.38459163231477</v>
      </c>
      <c r="BT196" s="70">
        <f t="shared" si="1516"/>
        <v>136.49252255103653</v>
      </c>
      <c r="BU196" s="70">
        <f t="shared" si="1516"/>
        <v>133.79204506268525</v>
      </c>
      <c r="BV196" s="70">
        <f t="shared" si="1516"/>
        <v>147.66086899014616</v>
      </c>
      <c r="BW196" s="70">
        <f t="shared" si="1516"/>
        <v>144.94130737439696</v>
      </c>
      <c r="BX196" s="70">
        <f t="shared" si="1516"/>
        <v>148.46514324794455</v>
      </c>
      <c r="BY196" s="70">
        <f t="shared" si="1516"/>
        <v>146.65672665385708</v>
      </c>
      <c r="BZ196" s="70">
        <f t="shared" si="1516"/>
        <v>138.07363356757759</v>
      </c>
      <c r="CA196" s="70">
        <f t="shared" si="1516"/>
        <v>136.40312370233704</v>
      </c>
      <c r="CB196" s="70">
        <f t="shared" si="1516"/>
        <v>130.58964373905266</v>
      </c>
      <c r="CC196" s="70">
        <f t="shared" si="1516"/>
        <v>129.72532024351941</v>
      </c>
      <c r="CD196" s="70">
        <f t="shared" si="1516"/>
        <v>126.32966126296809</v>
      </c>
      <c r="CE196" s="115">
        <f>CE162/CE24*90</f>
        <v>122.1968476331746</v>
      </c>
      <c r="CF196" s="70">
        <f>CF162/CF22*90</f>
        <v>135.57370475388248</v>
      </c>
      <c r="CG196" s="70">
        <f>CG162/CG24*90</f>
        <v>133.32709424158978</v>
      </c>
      <c r="CH196" s="70">
        <f>CH162/CH22*90</f>
        <v>124.00091575489016</v>
      </c>
      <c r="CI196" s="70">
        <f>CI193+CI194+CI195</f>
        <v>124.00091575489017</v>
      </c>
      <c r="CJ196" s="70">
        <f>CJ162/CJ22*90</f>
        <v>134.69534223403616</v>
      </c>
      <c r="CK196" s="70">
        <f t="shared" ref="CK196:DB196" si="1517">CK193+CK194+CK195</f>
        <v>134.69534223403616</v>
      </c>
      <c r="CL196" s="70">
        <f>CL162/CL22*90</f>
        <v>125.28581314114716</v>
      </c>
      <c r="CM196" s="50">
        <f t="shared" si="1517"/>
        <v>125.28581314114714</v>
      </c>
      <c r="CN196" s="50">
        <f t="shared" si="1517"/>
        <v>125.28581314114714</v>
      </c>
      <c r="CO196" s="50">
        <f t="shared" si="1517"/>
        <v>125.28581314114714</v>
      </c>
      <c r="CP196" s="50">
        <f t="shared" si="1517"/>
        <v>125.28581314114714</v>
      </c>
      <c r="CQ196" s="50">
        <f t="shared" si="1517"/>
        <v>125.28581314114714</v>
      </c>
      <c r="CR196" s="50">
        <f t="shared" si="1517"/>
        <v>125.28581314114714</v>
      </c>
      <c r="CS196" s="50">
        <f t="shared" si="1517"/>
        <v>125.28581314114714</v>
      </c>
      <c r="CT196" s="50">
        <f t="shared" si="1517"/>
        <v>125.28581314114714</v>
      </c>
      <c r="CU196" s="50">
        <f t="shared" si="1517"/>
        <v>125.28581314114714</v>
      </c>
      <c r="CV196" s="50">
        <f t="shared" si="1517"/>
        <v>125.28581314114714</v>
      </c>
      <c r="CW196" s="50">
        <f t="shared" si="1517"/>
        <v>125.28581314114714</v>
      </c>
      <c r="CX196" s="50">
        <f t="shared" si="1517"/>
        <v>125.28581314114714</v>
      </c>
      <c r="CY196" s="50">
        <f t="shared" si="1517"/>
        <v>125.28581314114714</v>
      </c>
      <c r="CZ196" s="50">
        <f t="shared" si="1517"/>
        <v>125.28581314114714</v>
      </c>
      <c r="DA196" s="50">
        <f t="shared" si="1517"/>
        <v>125.28581314114714</v>
      </c>
      <c r="DB196" s="50">
        <f t="shared" si="1517"/>
        <v>125.28581314114714</v>
      </c>
      <c r="DE196" s="138"/>
      <c r="DF196" s="7">
        <v>134.69534223403616</v>
      </c>
    </row>
    <row r="197" spans="1:110" s="62" customFormat="1" outlineLevel="1" x14ac:dyDescent="0.2">
      <c r="A197" s="68" t="s">
        <v>468</v>
      </c>
      <c r="B197" s="67">
        <f t="shared" ref="B197:AE197" si="1518">B167/B22*365</f>
        <v>47.396978536954677</v>
      </c>
      <c r="C197" s="67">
        <f t="shared" si="1518"/>
        <v>35.3824791852674</v>
      </c>
      <c r="D197" s="67">
        <f t="shared" si="1518"/>
        <v>20.561950536382557</v>
      </c>
      <c r="E197" s="67">
        <f t="shared" si="1518"/>
        <v>32.029820558737562</v>
      </c>
      <c r="F197" s="67">
        <f t="shared" si="1518"/>
        <v>35.569958332737244</v>
      </c>
      <c r="G197" s="67">
        <f t="shared" si="1518"/>
        <v>68.077851793537633</v>
      </c>
      <c r="H197" s="67">
        <f t="shared" si="1518"/>
        <v>62.447693970570391</v>
      </c>
      <c r="I197" s="67">
        <f t="shared" si="1518"/>
        <v>65.149978399647722</v>
      </c>
      <c r="J197" s="67">
        <f t="shared" si="1518"/>
        <v>67.71512211718975</v>
      </c>
      <c r="K197" s="67">
        <f t="shared" si="1518"/>
        <v>59.90926910989203</v>
      </c>
      <c r="L197" s="67">
        <f t="shared" si="1518"/>
        <v>50.455098984258477</v>
      </c>
      <c r="M197" s="67">
        <f t="shared" si="1518"/>
        <v>44.251287056454629</v>
      </c>
      <c r="N197" s="67">
        <f t="shared" si="1518"/>
        <v>39.237730237631965</v>
      </c>
      <c r="O197" s="67">
        <f t="shared" si="1518"/>
        <v>36.266188882858621</v>
      </c>
      <c r="P197" s="67">
        <f t="shared" si="1518"/>
        <v>34.672520684418451</v>
      </c>
      <c r="Q197" s="67">
        <f t="shared" si="1518"/>
        <v>37.25051005493826</v>
      </c>
      <c r="R197" s="67">
        <f t="shared" si="1518"/>
        <v>39.719804411797242</v>
      </c>
      <c r="S197" s="67">
        <f t="shared" si="1518"/>
        <v>37.7957771794552</v>
      </c>
      <c r="T197" s="67">
        <f t="shared" si="1518"/>
        <v>33.46735158243122</v>
      </c>
      <c r="U197" s="67">
        <f t="shared" si="1518"/>
        <v>35.751928420676904</v>
      </c>
      <c r="V197" s="67">
        <f t="shared" si="1518"/>
        <v>51.137305281920483</v>
      </c>
      <c r="W197" s="67">
        <f t="shared" si="1518"/>
        <v>56.278827109373793</v>
      </c>
      <c r="X197" s="67">
        <f t="shared" si="1518"/>
        <v>62.183541364970004</v>
      </c>
      <c r="Y197" s="67">
        <f t="shared" si="1518"/>
        <v>64.982210793872099</v>
      </c>
      <c r="Z197" s="67">
        <f t="shared" si="1518"/>
        <v>72.684478638688176</v>
      </c>
      <c r="AA197" s="67">
        <f t="shared" ref="AA197" si="1519">AA167/AA22*365</f>
        <v>69.711903591988928</v>
      </c>
      <c r="AB197" s="18">
        <f t="shared" si="1518"/>
        <v>69.518928316960015</v>
      </c>
      <c r="AC197" s="18">
        <f t="shared" si="1518"/>
        <v>69.467199541304694</v>
      </c>
      <c r="AD197" s="18">
        <f t="shared" si="1518"/>
        <v>69.588555808008252</v>
      </c>
      <c r="AE197" s="18">
        <f t="shared" si="1518"/>
        <v>69.745805773716626</v>
      </c>
      <c r="AI197" s="67">
        <f>AJ167/AI22*90</f>
        <v>0</v>
      </c>
      <c r="AJ197" s="67">
        <f>AJ167/AJ22*90</f>
        <v>0</v>
      </c>
      <c r="AK197" s="67">
        <f t="shared" ref="AK197:CE197" si="1520">+AJ197</f>
        <v>0</v>
      </c>
      <c r="AL197" s="67">
        <f>AL167/AL22*90</f>
        <v>38.459367396593677</v>
      </c>
      <c r="AM197" s="67">
        <f t="shared" ref="AM197" si="1521">+AL197</f>
        <v>38.459367396593677</v>
      </c>
      <c r="AN197" s="67">
        <f>AN167/AN22*90</f>
        <v>45.660053375261185</v>
      </c>
      <c r="AO197" s="67">
        <f t="shared" ref="AO197" si="1522">+AN197</f>
        <v>45.660053375261185</v>
      </c>
      <c r="AP197" s="67">
        <f>AP167/AP22*90</f>
        <v>36.231275491771946</v>
      </c>
      <c r="AQ197" s="67">
        <f t="shared" ref="AQ197" si="1523">+AP197</f>
        <v>36.231275491771946</v>
      </c>
      <c r="AR197" s="67">
        <f>AR167/AR22*90</f>
        <v>40.033034847554333</v>
      </c>
      <c r="AS197" s="67">
        <f t="shared" ref="AS197" si="1524">+AR197</f>
        <v>40.033034847554333</v>
      </c>
      <c r="AT197" s="67">
        <f>AT167/AT22*90</f>
        <v>35.546407302421137</v>
      </c>
      <c r="AU197" s="67">
        <f t="shared" ref="AU197" si="1525">+AT197</f>
        <v>35.546407302421137</v>
      </c>
      <c r="AV197" s="67">
        <f>AV167/AV22*90</f>
        <v>47.748060738566593</v>
      </c>
      <c r="AW197" s="67">
        <f t="shared" ref="AW197" si="1526">+AV197</f>
        <v>47.748060738566593</v>
      </c>
      <c r="AX197" s="67">
        <f>AX167/AX22*90</f>
        <v>38.137454249694997</v>
      </c>
      <c r="AY197" s="67">
        <f t="shared" ref="AY197" si="1527">+AX197</f>
        <v>38.137454249694997</v>
      </c>
      <c r="AZ197" s="67">
        <f>AZ167/AZ22*90</f>
        <v>42.363224883451316</v>
      </c>
      <c r="BA197" s="67">
        <f t="shared" ref="BA197" si="1528">+AZ197</f>
        <v>42.363224883451316</v>
      </c>
      <c r="BB197" s="67">
        <f>BB167/BB22*90</f>
        <v>39.476566169432274</v>
      </c>
      <c r="BC197" s="67">
        <f t="shared" ref="BC197" si="1529">+BB197</f>
        <v>39.476566169432274</v>
      </c>
      <c r="BD197" s="67">
        <f>BD167/BD22*90</f>
        <v>37.404351885777771</v>
      </c>
      <c r="BE197" s="67">
        <f t="shared" ref="BE197" si="1530">+BD197</f>
        <v>37.404351885777771</v>
      </c>
      <c r="BF197" s="67">
        <f>BF167/BF22*90</f>
        <v>37.618869936034116</v>
      </c>
      <c r="BG197" s="67">
        <f t="shared" ref="BG197" si="1531">+BF197</f>
        <v>37.618869936034116</v>
      </c>
      <c r="BH197" s="67">
        <f>BH167/BH22*90</f>
        <v>42.207034022954559</v>
      </c>
      <c r="BI197" s="67">
        <f t="shared" ref="BI197" si="1532">+BH197</f>
        <v>42.207034022954559</v>
      </c>
      <c r="BJ197" s="67">
        <f>BJ167/BJ22*90</f>
        <v>33.70450474806529</v>
      </c>
      <c r="BK197" s="67">
        <f t="shared" ref="BK197" si="1533">+BJ197</f>
        <v>33.70450474806529</v>
      </c>
      <c r="BL197" s="67">
        <f>BL167/BL22*90</f>
        <v>29.166492690886933</v>
      </c>
      <c r="BM197" s="67">
        <f t="shared" ref="BM197" si="1534">+BL197</f>
        <v>29.166492690886933</v>
      </c>
      <c r="BN197" s="67">
        <f>BN167/BN22*90</f>
        <v>35.325588454198076</v>
      </c>
      <c r="BO197" s="67">
        <f t="shared" ref="BO197" si="1535">+BN197</f>
        <v>35.325588454198076</v>
      </c>
      <c r="BP197" s="67">
        <f>BP167/BP22*90</f>
        <v>46.312460900141652</v>
      </c>
      <c r="BQ197" s="67">
        <f t="shared" ref="BQ197" si="1536">+BP197</f>
        <v>46.312460900141652</v>
      </c>
      <c r="BR197" s="67">
        <f>BR167/BR22*90</f>
        <v>48.166514114881373</v>
      </c>
      <c r="BS197" s="67">
        <f t="shared" ref="BS197" si="1537">+BR197</f>
        <v>48.166514114881373</v>
      </c>
      <c r="BT197" s="67">
        <f>BT167/BT22*90</f>
        <v>44.669152555784144</v>
      </c>
      <c r="BU197" s="67">
        <f t="shared" ref="BU197" si="1538">+BT197</f>
        <v>44.669152555784144</v>
      </c>
      <c r="BV197" s="67">
        <f>BV167/BV22*90</f>
        <v>54.300547015975894</v>
      </c>
      <c r="BW197" s="67">
        <f t="shared" ref="BW197" si="1539">+BV197</f>
        <v>54.300547015975894</v>
      </c>
      <c r="BX197" s="67">
        <f>BX167/BX22*90</f>
        <v>50.574805608004631</v>
      </c>
      <c r="BY197" s="67">
        <f t="shared" ref="BY197" si="1540">+BX197</f>
        <v>50.574805608004631</v>
      </c>
      <c r="BZ197" s="67">
        <f>BZ167/BZ22*90</f>
        <v>58.400654373219325</v>
      </c>
      <c r="CA197" s="67">
        <f t="shared" ref="CA197" si="1541">+BZ197</f>
        <v>58.400654373219325</v>
      </c>
      <c r="CB197" s="67">
        <f>CB167/CB22*90</f>
        <v>46.093369186186649</v>
      </c>
      <c r="CC197" s="67">
        <f t="shared" ref="CC197" si="1542">+CB197</f>
        <v>46.093369186186649</v>
      </c>
      <c r="CD197" s="67">
        <f>CD167/CD22*90</f>
        <v>62.044110681599413</v>
      </c>
      <c r="CE197" s="114">
        <f t="shared" si="1520"/>
        <v>62.044110681599413</v>
      </c>
      <c r="CF197" s="67">
        <f>CF167/CF22*90</f>
        <v>54.297049437055847</v>
      </c>
      <c r="CG197" s="67">
        <f t="shared" ref="CG197:CI197" si="1543">+CF197</f>
        <v>54.297049437055847</v>
      </c>
      <c r="CH197" s="67">
        <f>CH167/CH22*90</f>
        <v>68.520752047428275</v>
      </c>
      <c r="CI197" s="67">
        <f t="shared" si="1543"/>
        <v>68.520752047428275</v>
      </c>
      <c r="CJ197" s="67">
        <f>CJ167/CJ22*90</f>
        <v>54.137195674500099</v>
      </c>
      <c r="CK197" s="67">
        <f t="shared" ref="CK197" si="1544">+CJ197</f>
        <v>54.137195674500099</v>
      </c>
      <c r="CL197" s="67">
        <f>CL167/CL22*90</f>
        <v>64.188699246542825</v>
      </c>
      <c r="CM197" s="30">
        <f t="shared" ref="CM197" si="1545">+CL197</f>
        <v>64.188699246542825</v>
      </c>
      <c r="CN197" s="30">
        <f t="shared" ref="CN197" si="1546">+CM197</f>
        <v>64.188699246542825</v>
      </c>
      <c r="CO197" s="30">
        <f t="shared" ref="CO197" si="1547">+CN197</f>
        <v>64.188699246542825</v>
      </c>
      <c r="CP197" s="30">
        <f t="shared" ref="CP197" si="1548">+CO197</f>
        <v>64.188699246542825</v>
      </c>
      <c r="CQ197" s="30">
        <f t="shared" ref="CQ197" si="1549">+CP197</f>
        <v>64.188699246542825</v>
      </c>
      <c r="CR197" s="30">
        <f t="shared" ref="CR197" si="1550">+CQ197</f>
        <v>64.188699246542825</v>
      </c>
      <c r="CS197" s="30">
        <f t="shared" ref="CS197" si="1551">+CR197</f>
        <v>64.188699246542825</v>
      </c>
      <c r="CT197" s="30">
        <f t="shared" ref="CT197" si="1552">+CS197</f>
        <v>64.188699246542825</v>
      </c>
      <c r="CU197" s="30">
        <f t="shared" ref="CU197" si="1553">+CT197</f>
        <v>64.188699246542825</v>
      </c>
      <c r="CV197" s="30">
        <f t="shared" ref="CV197" si="1554">+CU197</f>
        <v>64.188699246542825</v>
      </c>
      <c r="CW197" s="30">
        <f t="shared" ref="CW197" si="1555">+CV197</f>
        <v>64.188699246542825</v>
      </c>
      <c r="CX197" s="30">
        <f t="shared" ref="CX197" si="1556">+CW197</f>
        <v>64.188699246542825</v>
      </c>
      <c r="CY197" s="30">
        <f t="shared" ref="CY197" si="1557">+CX197</f>
        <v>64.188699246542825</v>
      </c>
      <c r="CZ197" s="30">
        <f t="shared" ref="CZ197" si="1558">+CY197</f>
        <v>64.188699246542825</v>
      </c>
      <c r="DA197" s="30">
        <f t="shared" ref="DA197" si="1559">+CZ197</f>
        <v>64.188699246542825</v>
      </c>
      <c r="DB197" s="30">
        <f t="shared" ref="DB197" si="1560">+DA197</f>
        <v>64.188699246542825</v>
      </c>
      <c r="DE197" s="139"/>
      <c r="DF197" s="62">
        <v>54.137195674500099</v>
      </c>
    </row>
    <row r="198" spans="1:110" s="62" customFormat="1" outlineLevel="1" x14ac:dyDescent="0.2">
      <c r="A198" s="68" t="s">
        <v>466</v>
      </c>
      <c r="B198" s="67">
        <f>B199-B197</f>
        <v>42.424533604251891</v>
      </c>
      <c r="C198" s="67">
        <f t="shared" ref="C198:V198" si="1561">C199-C197</f>
        <v>52.719058569582188</v>
      </c>
      <c r="D198" s="67">
        <f t="shared" si="1561"/>
        <v>56.794365300987934</v>
      </c>
      <c r="E198" s="67">
        <f t="shared" si="1561"/>
        <v>51.025988907957434</v>
      </c>
      <c r="F198" s="67">
        <f t="shared" si="1561"/>
        <v>51.792991488181599</v>
      </c>
      <c r="G198" s="67">
        <f t="shared" si="1561"/>
        <v>35.100926125060283</v>
      </c>
      <c r="H198" s="67">
        <f t="shared" si="1561"/>
        <v>35.555274281915722</v>
      </c>
      <c r="I198" s="67">
        <f t="shared" si="1561"/>
        <v>49.829318247231626</v>
      </c>
      <c r="J198" s="67">
        <f t="shared" si="1561"/>
        <v>53.968594135544578</v>
      </c>
      <c r="K198" s="67">
        <f t="shared" si="1561"/>
        <v>38.516955574547843</v>
      </c>
      <c r="L198" s="67">
        <f t="shared" si="1561"/>
        <v>46.44211452749969</v>
      </c>
      <c r="M198" s="67">
        <f t="shared" si="1561"/>
        <v>47.27816136676384</v>
      </c>
      <c r="N198" s="67">
        <f t="shared" si="1561"/>
        <v>46.508428620298247</v>
      </c>
      <c r="O198" s="67">
        <f t="shared" si="1561"/>
        <v>41.758253088946994</v>
      </c>
      <c r="P198" s="67">
        <f t="shared" si="1561"/>
        <v>101.31725406995795</v>
      </c>
      <c r="Q198" s="67">
        <f t="shared" si="1561"/>
        <v>37.173512101185253</v>
      </c>
      <c r="R198" s="67">
        <f t="shared" si="1561"/>
        <v>37.509738846973619</v>
      </c>
      <c r="S198" s="67">
        <f t="shared" si="1561"/>
        <v>34.640282597372106</v>
      </c>
      <c r="T198" s="67">
        <f t="shared" si="1561"/>
        <v>31.60497828035578</v>
      </c>
      <c r="U198" s="67">
        <f t="shared" si="1561"/>
        <v>40.859887812298325</v>
      </c>
      <c r="V198" s="67">
        <f t="shared" si="1561"/>
        <v>38.58759199898639</v>
      </c>
      <c r="W198" s="67">
        <f t="shared" ref="W198" si="1562">W199-W197</f>
        <v>32.935091671314424</v>
      </c>
      <c r="X198" s="67">
        <f t="shared" ref="X198:Y198" si="1563">X199-X197</f>
        <v>34.166812980477637</v>
      </c>
      <c r="Y198" s="67">
        <f t="shared" si="1563"/>
        <v>75.098902724938085</v>
      </c>
      <c r="Z198" s="67">
        <f t="shared" ref="Z198:AA198" si="1564">Z199-Z197</f>
        <v>63.040463608861245</v>
      </c>
      <c r="AA198" s="67">
        <f t="shared" si="1564"/>
        <v>55.208452950479625</v>
      </c>
      <c r="AB198" s="18">
        <f t="shared" ref="AA198:AD198" si="1565">AB199-AB197</f>
        <v>55.055625874426781</v>
      </c>
      <c r="AC198" s="18">
        <f t="shared" si="1565"/>
        <v>55.014659188254129</v>
      </c>
      <c r="AD198" s="18">
        <f t="shared" si="1565"/>
        <v>55.110767476728938</v>
      </c>
      <c r="AE198" s="18">
        <f t="shared" ref="AE198" si="1566">AE199-AE197</f>
        <v>55.235301837231944</v>
      </c>
      <c r="AI198" s="67">
        <f t="shared" ref="AI198:AK198" si="1567">AI199-AI197</f>
        <v>0</v>
      </c>
      <c r="AJ198" s="67">
        <f t="shared" ref="AJ198:AM198" si="1568">AJ199-AJ197</f>
        <v>98.078500764095551</v>
      </c>
      <c r="AK198" s="67">
        <f t="shared" si="1567"/>
        <v>95.693538345636512</v>
      </c>
      <c r="AL198" s="67">
        <f t="shared" si="1568"/>
        <v>63.684671532846721</v>
      </c>
      <c r="AM198" s="67">
        <f t="shared" si="1568"/>
        <v>64.950315970575573</v>
      </c>
      <c r="AN198" s="67">
        <f t="shared" ref="AN198:AY198" si="1569">AN199-AN197</f>
        <v>53.884188096075476</v>
      </c>
      <c r="AO198" s="67">
        <f t="shared" si="1569"/>
        <v>50.070647942558907</v>
      </c>
      <c r="AP198" s="67">
        <f t="shared" si="1569"/>
        <v>43.449917012665388</v>
      </c>
      <c r="AQ198" s="67">
        <f t="shared" si="1569"/>
        <v>43.433316236274372</v>
      </c>
      <c r="AR198" s="67">
        <f t="shared" si="1569"/>
        <v>36.118479703627386</v>
      </c>
      <c r="AS198" s="67">
        <f t="shared" si="1569"/>
        <v>34.061700140121445</v>
      </c>
      <c r="AT198" s="67">
        <f t="shared" si="1569"/>
        <v>44.987595246144657</v>
      </c>
      <c r="AU198" s="67">
        <f t="shared" si="1569"/>
        <v>51.726129962085416</v>
      </c>
      <c r="AV198" s="67">
        <f t="shared" si="1569"/>
        <v>42.642247446763903</v>
      </c>
      <c r="AW198" s="67">
        <f t="shared" si="1569"/>
        <v>41.885550214460963</v>
      </c>
      <c r="AX198" s="67">
        <f t="shared" si="1569"/>
        <v>62.911314793380683</v>
      </c>
      <c r="AY198" s="67">
        <f t="shared" si="1569"/>
        <v>57.941006995263521</v>
      </c>
      <c r="AZ198" s="67">
        <f t="shared" ref="AZ198:BC198" si="1570">AZ199-AZ197</f>
        <v>65.057472681976265</v>
      </c>
      <c r="BA198" s="67">
        <f t="shared" si="1570"/>
        <v>60.603508691306395</v>
      </c>
      <c r="BB198" s="67">
        <f t="shared" si="1570"/>
        <v>38.14848065066559</v>
      </c>
      <c r="BC198" s="67">
        <f t="shared" si="1570"/>
        <v>37.646002745802093</v>
      </c>
      <c r="BD198" s="67">
        <f t="shared" ref="BD198:CE198" si="1571">BD199-BD197</f>
        <v>40.176462940418631</v>
      </c>
      <c r="BE198" s="67">
        <f t="shared" si="1571"/>
        <v>39.28836851807975</v>
      </c>
      <c r="BF198" s="67">
        <f t="shared" si="1571"/>
        <v>35.085820895522374</v>
      </c>
      <c r="BG198" s="67">
        <f t="shared" si="1571"/>
        <v>32.863213487259998</v>
      </c>
      <c r="BH198" s="67">
        <f t="shared" si="1571"/>
        <v>37.050435296188823</v>
      </c>
      <c r="BI198" s="67">
        <f t="shared" si="1571"/>
        <v>34.111514289598347</v>
      </c>
      <c r="BJ198" s="67">
        <f t="shared" si="1571"/>
        <v>33.05565881518028</v>
      </c>
      <c r="BK198" s="67">
        <f t="shared" si="1571"/>
        <v>24.53184303365714</v>
      </c>
      <c r="BL198" s="67">
        <f t="shared" si="1571"/>
        <v>35.720920125944268</v>
      </c>
      <c r="BM198" s="67">
        <f t="shared" si="1571"/>
        <v>33.630503497849944</v>
      </c>
      <c r="BN198" s="67">
        <f t="shared" si="1571"/>
        <v>43.1384639692644</v>
      </c>
      <c r="BO198" s="67">
        <f t="shared" si="1571"/>
        <v>38.228717975172351</v>
      </c>
      <c r="BP198" s="67">
        <f t="shared" si="1571"/>
        <v>37.317767694708301</v>
      </c>
      <c r="BQ198" s="67">
        <f t="shared" si="1571"/>
        <v>33.813771354852157</v>
      </c>
      <c r="BR198" s="67">
        <f t="shared" si="1571"/>
        <v>36.345868919604108</v>
      </c>
      <c r="BS198" s="67">
        <f t="shared" si="1571"/>
        <v>36.693324823996313</v>
      </c>
      <c r="BT198" s="67">
        <f t="shared" si="1571"/>
        <v>34.971613388194335</v>
      </c>
      <c r="BU198" s="67">
        <f t="shared" si="1571"/>
        <v>33.061264563424537</v>
      </c>
      <c r="BV198" s="67">
        <f t="shared" si="1571"/>
        <v>31.777376779691451</v>
      </c>
      <c r="BW198" s="67">
        <f t="shared" si="1571"/>
        <v>30.331035850945199</v>
      </c>
      <c r="BX198" s="67">
        <f t="shared" si="1571"/>
        <v>31.112561514101778</v>
      </c>
      <c r="BY198" s="67">
        <f t="shared" si="1571"/>
        <v>30.114144277676253</v>
      </c>
      <c r="BZ198" s="67">
        <f t="shared" si="1571"/>
        <v>32.088301697004198</v>
      </c>
      <c r="CA198" s="67">
        <f t="shared" si="1571"/>
        <v>31.037792585821165</v>
      </c>
      <c r="CB198" s="67">
        <f t="shared" si="1571"/>
        <v>31.016637295180757</v>
      </c>
      <c r="CC198" s="67">
        <f t="shared" si="1571"/>
        <v>30.444725441123879</v>
      </c>
      <c r="CD198" s="67">
        <f t="shared" si="1571"/>
        <v>71.703387370318865</v>
      </c>
      <c r="CE198" s="114">
        <f t="shared" si="1571"/>
        <v>64.699074233640545</v>
      </c>
      <c r="CF198" s="67">
        <f t="shared" ref="CF198:CG198" si="1572">CF199-CF197</f>
        <v>72.215686507136169</v>
      </c>
      <c r="CG198" s="67">
        <f t="shared" si="1572"/>
        <v>68.49224495674639</v>
      </c>
      <c r="CH198" s="67">
        <f t="shared" ref="CH198" si="1573">CH199-CH197</f>
        <v>59.429193918693116</v>
      </c>
      <c r="CI198" s="67">
        <f>CH198</f>
        <v>59.429193918693116</v>
      </c>
      <c r="CJ198" s="67">
        <f t="shared" ref="CJ198:CL198" si="1574">CJ199-CJ197</f>
        <v>56.678306047242209</v>
      </c>
      <c r="CK198" s="67">
        <f t="shared" ref="CK198:DB198" si="1575">CJ198</f>
        <v>56.678306047242209</v>
      </c>
      <c r="CL198" s="67">
        <f t="shared" si="1574"/>
        <v>50.83434248254386</v>
      </c>
      <c r="CM198" s="30">
        <f t="shared" si="1575"/>
        <v>50.83434248254386</v>
      </c>
      <c r="CN198" s="30">
        <f t="shared" si="1575"/>
        <v>50.83434248254386</v>
      </c>
      <c r="CO198" s="30">
        <f t="shared" si="1575"/>
        <v>50.83434248254386</v>
      </c>
      <c r="CP198" s="30">
        <f t="shared" si="1575"/>
        <v>50.83434248254386</v>
      </c>
      <c r="CQ198" s="30">
        <f t="shared" si="1575"/>
        <v>50.83434248254386</v>
      </c>
      <c r="CR198" s="30">
        <f t="shared" si="1575"/>
        <v>50.83434248254386</v>
      </c>
      <c r="CS198" s="30">
        <f t="shared" si="1575"/>
        <v>50.83434248254386</v>
      </c>
      <c r="CT198" s="30">
        <f t="shared" si="1575"/>
        <v>50.83434248254386</v>
      </c>
      <c r="CU198" s="30">
        <f t="shared" si="1575"/>
        <v>50.83434248254386</v>
      </c>
      <c r="CV198" s="30">
        <f t="shared" si="1575"/>
        <v>50.83434248254386</v>
      </c>
      <c r="CW198" s="30">
        <f t="shared" si="1575"/>
        <v>50.83434248254386</v>
      </c>
      <c r="CX198" s="30">
        <f t="shared" si="1575"/>
        <v>50.83434248254386</v>
      </c>
      <c r="CY198" s="30">
        <f t="shared" si="1575"/>
        <v>50.83434248254386</v>
      </c>
      <c r="CZ198" s="30">
        <f t="shared" si="1575"/>
        <v>50.83434248254386</v>
      </c>
      <c r="DA198" s="30">
        <f t="shared" si="1575"/>
        <v>50.83434248254386</v>
      </c>
      <c r="DB198" s="30">
        <f t="shared" si="1575"/>
        <v>50.83434248254386</v>
      </c>
      <c r="DE198" s="139"/>
      <c r="DF198" s="62">
        <v>56.678306047242209</v>
      </c>
    </row>
    <row r="199" spans="1:110" s="7" customFormat="1" outlineLevel="1" x14ac:dyDescent="0.2">
      <c r="A199" s="69" t="s">
        <v>469</v>
      </c>
      <c r="B199" s="70">
        <f t="shared" ref="B199:AE199" si="1576">B170/B22*365</f>
        <v>89.821512141206568</v>
      </c>
      <c r="C199" s="70">
        <f t="shared" si="1576"/>
        <v>88.101537754849588</v>
      </c>
      <c r="D199" s="70">
        <f t="shared" si="1576"/>
        <v>77.356315837370488</v>
      </c>
      <c r="E199" s="70">
        <f t="shared" si="1576"/>
        <v>83.055809466694996</v>
      </c>
      <c r="F199" s="70">
        <f t="shared" si="1576"/>
        <v>87.362949820918843</v>
      </c>
      <c r="G199" s="70">
        <f t="shared" si="1576"/>
        <v>103.17877791859792</v>
      </c>
      <c r="H199" s="70">
        <f t="shared" si="1576"/>
        <v>98.002968252486113</v>
      </c>
      <c r="I199" s="70">
        <f t="shared" si="1576"/>
        <v>114.97929664687935</v>
      </c>
      <c r="J199" s="70">
        <f t="shared" si="1576"/>
        <v>121.68371625273433</v>
      </c>
      <c r="K199" s="70">
        <f t="shared" si="1576"/>
        <v>98.426224684439873</v>
      </c>
      <c r="L199" s="70">
        <f t="shared" si="1576"/>
        <v>96.897213511758167</v>
      </c>
      <c r="M199" s="70">
        <f t="shared" si="1576"/>
        <v>91.529448423218469</v>
      </c>
      <c r="N199" s="70">
        <f t="shared" si="1576"/>
        <v>85.746158857930212</v>
      </c>
      <c r="O199" s="70">
        <f t="shared" si="1576"/>
        <v>78.024441971805615</v>
      </c>
      <c r="P199" s="70">
        <f t="shared" si="1576"/>
        <v>135.98977475437641</v>
      </c>
      <c r="Q199" s="70">
        <f t="shared" si="1576"/>
        <v>74.424022156123513</v>
      </c>
      <c r="R199" s="70">
        <f t="shared" si="1576"/>
        <v>77.22954325877086</v>
      </c>
      <c r="S199" s="70">
        <f t="shared" si="1576"/>
        <v>72.436059776827307</v>
      </c>
      <c r="T199" s="70">
        <f t="shared" si="1576"/>
        <v>65.072329862787001</v>
      </c>
      <c r="U199" s="70">
        <f t="shared" si="1576"/>
        <v>76.611816232975229</v>
      </c>
      <c r="V199" s="70">
        <f t="shared" si="1576"/>
        <v>89.724897280906873</v>
      </c>
      <c r="W199" s="70">
        <f t="shared" si="1576"/>
        <v>89.213918780688218</v>
      </c>
      <c r="X199" s="70">
        <f t="shared" si="1576"/>
        <v>96.350354345447641</v>
      </c>
      <c r="Y199" s="70">
        <f t="shared" si="1576"/>
        <v>140.08111351881018</v>
      </c>
      <c r="Z199" s="70">
        <f t="shared" si="1576"/>
        <v>135.72494224754942</v>
      </c>
      <c r="AA199" s="70">
        <f t="shared" ref="AA199" si="1577">AA170/AA22*365</f>
        <v>124.92035654246855</v>
      </c>
      <c r="AB199" s="71">
        <f t="shared" si="1576"/>
        <v>124.5745541913868</v>
      </c>
      <c r="AC199" s="71">
        <f t="shared" si="1576"/>
        <v>124.48185872955882</v>
      </c>
      <c r="AD199" s="71">
        <f t="shared" si="1576"/>
        <v>124.69932328473719</v>
      </c>
      <c r="AE199" s="71">
        <f t="shared" si="1576"/>
        <v>124.98110761094857</v>
      </c>
      <c r="AI199" s="70">
        <f t="shared" ref="AI199:CD199" si="1578">AI170/AI22*90</f>
        <v>0</v>
      </c>
      <c r="AJ199" s="70">
        <f t="shared" si="1578"/>
        <v>98.078500764095551</v>
      </c>
      <c r="AK199" s="70">
        <f>AK170/AK22*90</f>
        <v>95.693538345636512</v>
      </c>
      <c r="AL199" s="70">
        <f t="shared" si="1578"/>
        <v>102.1440389294404</v>
      </c>
      <c r="AM199" s="70">
        <f t="shared" si="1578"/>
        <v>103.40968336716925</v>
      </c>
      <c r="AN199" s="70">
        <f t="shared" si="1578"/>
        <v>99.544241471336662</v>
      </c>
      <c r="AO199" s="70">
        <f t="shared" si="1578"/>
        <v>95.730701317820092</v>
      </c>
      <c r="AP199" s="70">
        <f t="shared" si="1578"/>
        <v>79.681192504437334</v>
      </c>
      <c r="AQ199" s="70">
        <f t="shared" si="1578"/>
        <v>79.664591728046318</v>
      </c>
      <c r="AR199" s="70">
        <f t="shared" si="1578"/>
        <v>76.15151455118172</v>
      </c>
      <c r="AS199" s="70">
        <f t="shared" si="1578"/>
        <v>74.094734987675778</v>
      </c>
      <c r="AT199" s="70">
        <f t="shared" si="1578"/>
        <v>80.534002548565795</v>
      </c>
      <c r="AU199" s="70">
        <f t="shared" si="1578"/>
        <v>87.272537264506553</v>
      </c>
      <c r="AV199" s="70">
        <f t="shared" si="1578"/>
        <v>90.390308185330497</v>
      </c>
      <c r="AW199" s="70">
        <f t="shared" si="1578"/>
        <v>89.633610953027556</v>
      </c>
      <c r="AX199" s="70">
        <f t="shared" si="1578"/>
        <v>101.04876904307568</v>
      </c>
      <c r="AY199" s="70">
        <f t="shared" si="1578"/>
        <v>96.078461244958518</v>
      </c>
      <c r="AZ199" s="70">
        <f t="shared" si="1578"/>
        <v>107.42069756542757</v>
      </c>
      <c r="BA199" s="70">
        <f t="shared" si="1578"/>
        <v>102.96673357475771</v>
      </c>
      <c r="BB199" s="70">
        <f t="shared" si="1578"/>
        <v>77.625046820097864</v>
      </c>
      <c r="BC199" s="70">
        <f t="shared" si="1578"/>
        <v>77.122568915234368</v>
      </c>
      <c r="BD199" s="70">
        <f t="shared" si="1578"/>
        <v>77.580814826196402</v>
      </c>
      <c r="BE199" s="70">
        <f t="shared" si="1578"/>
        <v>76.692720403857521</v>
      </c>
      <c r="BF199" s="70">
        <f t="shared" si="1578"/>
        <v>72.704690831556491</v>
      </c>
      <c r="BG199" s="70">
        <f t="shared" si="1578"/>
        <v>70.482083423294114</v>
      </c>
      <c r="BH199" s="70">
        <f t="shared" si="1578"/>
        <v>79.257469319143382</v>
      </c>
      <c r="BI199" s="70">
        <f t="shared" si="1578"/>
        <v>76.318548312552906</v>
      </c>
      <c r="BJ199" s="70">
        <f t="shared" si="1578"/>
        <v>66.76016356324557</v>
      </c>
      <c r="BK199" s="70">
        <f t="shared" si="1578"/>
        <v>58.236347781722429</v>
      </c>
      <c r="BL199" s="70">
        <f t="shared" si="1578"/>
        <v>64.887412816831201</v>
      </c>
      <c r="BM199" s="70">
        <f t="shared" si="1578"/>
        <v>62.796996188736877</v>
      </c>
      <c r="BN199" s="70">
        <f t="shared" si="1578"/>
        <v>78.464052423462476</v>
      </c>
      <c r="BO199" s="70">
        <f t="shared" si="1578"/>
        <v>73.554306429370428</v>
      </c>
      <c r="BP199" s="70">
        <f t="shared" si="1578"/>
        <v>83.630228594849953</v>
      </c>
      <c r="BQ199" s="70">
        <f t="shared" si="1578"/>
        <v>80.126232254993809</v>
      </c>
      <c r="BR199" s="70">
        <f t="shared" si="1578"/>
        <v>84.512383034485481</v>
      </c>
      <c r="BS199" s="70">
        <f t="shared" si="1578"/>
        <v>84.859838938877687</v>
      </c>
      <c r="BT199" s="70">
        <f t="shared" si="1578"/>
        <v>79.640765943978479</v>
      </c>
      <c r="BU199" s="70">
        <f t="shared" si="1578"/>
        <v>77.730417119208681</v>
      </c>
      <c r="BV199" s="70">
        <f t="shared" si="1578"/>
        <v>86.077923795667346</v>
      </c>
      <c r="BW199" s="70">
        <f t="shared" si="1578"/>
        <v>84.631582866921093</v>
      </c>
      <c r="BX199" s="70">
        <f t="shared" si="1578"/>
        <v>81.687367122106409</v>
      </c>
      <c r="BY199" s="70">
        <f t="shared" si="1578"/>
        <v>80.688949885680884</v>
      </c>
      <c r="BZ199" s="70">
        <f t="shared" si="1578"/>
        <v>90.488956070223523</v>
      </c>
      <c r="CA199" s="70">
        <f t="shared" si="1578"/>
        <v>89.43844695904049</v>
      </c>
      <c r="CB199" s="70">
        <f t="shared" si="1578"/>
        <v>77.110006481367407</v>
      </c>
      <c r="CC199" s="70">
        <f t="shared" si="1578"/>
        <v>76.538094627310528</v>
      </c>
      <c r="CD199" s="70">
        <f t="shared" si="1578"/>
        <v>133.74749805191829</v>
      </c>
      <c r="CE199" s="115">
        <f>CE170/CE24*90</f>
        <v>126.74318491523996</v>
      </c>
      <c r="CF199" s="70">
        <f>CF170/CF22*90</f>
        <v>126.51273594419202</v>
      </c>
      <c r="CG199" s="70">
        <f>CG170/CG24*90</f>
        <v>122.78929439380224</v>
      </c>
      <c r="CH199" s="70">
        <f>CH170/CH22*90</f>
        <v>127.94994596612139</v>
      </c>
      <c r="CI199" s="70">
        <f>CI197+CI198</f>
        <v>127.94994596612139</v>
      </c>
      <c r="CJ199" s="70">
        <f>CJ170/CJ22*90</f>
        <v>110.81550172174231</v>
      </c>
      <c r="CK199" s="70">
        <f t="shared" ref="CK199:DB199" si="1579">CK197+CK198</f>
        <v>110.81550172174231</v>
      </c>
      <c r="CL199" s="70">
        <f>CL170/CL22*90</f>
        <v>115.02304172908669</v>
      </c>
      <c r="CM199" s="50">
        <f t="shared" si="1579"/>
        <v>115.02304172908669</v>
      </c>
      <c r="CN199" s="50">
        <f t="shared" si="1579"/>
        <v>115.02304172908669</v>
      </c>
      <c r="CO199" s="50">
        <f t="shared" si="1579"/>
        <v>115.02304172908669</v>
      </c>
      <c r="CP199" s="50">
        <f t="shared" si="1579"/>
        <v>115.02304172908669</v>
      </c>
      <c r="CQ199" s="50">
        <f t="shared" si="1579"/>
        <v>115.02304172908669</v>
      </c>
      <c r="CR199" s="50">
        <f t="shared" si="1579"/>
        <v>115.02304172908669</v>
      </c>
      <c r="CS199" s="50">
        <f t="shared" si="1579"/>
        <v>115.02304172908669</v>
      </c>
      <c r="CT199" s="50">
        <f t="shared" si="1579"/>
        <v>115.02304172908669</v>
      </c>
      <c r="CU199" s="50">
        <f t="shared" si="1579"/>
        <v>115.02304172908669</v>
      </c>
      <c r="CV199" s="50">
        <f t="shared" si="1579"/>
        <v>115.02304172908669</v>
      </c>
      <c r="CW199" s="50">
        <f t="shared" si="1579"/>
        <v>115.02304172908669</v>
      </c>
      <c r="CX199" s="50">
        <f t="shared" si="1579"/>
        <v>115.02304172908669</v>
      </c>
      <c r="CY199" s="50">
        <f t="shared" si="1579"/>
        <v>115.02304172908669</v>
      </c>
      <c r="CZ199" s="50">
        <f t="shared" si="1579"/>
        <v>115.02304172908669</v>
      </c>
      <c r="DA199" s="50">
        <f t="shared" si="1579"/>
        <v>115.02304172908669</v>
      </c>
      <c r="DB199" s="50">
        <f t="shared" si="1579"/>
        <v>115.02304172908669</v>
      </c>
      <c r="DE199" s="138"/>
      <c r="DF199" s="7">
        <v>110.81550172174231</v>
      </c>
    </row>
    <row r="200" spans="1:110" s="7" customFormat="1" x14ac:dyDescent="0.2">
      <c r="A200" s="69" t="s">
        <v>470</v>
      </c>
      <c r="B200" s="70">
        <f>B196-B199</f>
        <v>76.476790344151226</v>
      </c>
      <c r="C200" s="70">
        <f t="shared" ref="C200:V200" si="1580">C196-C199</f>
        <v>11.701110648614701</v>
      </c>
      <c r="D200" s="70">
        <f t="shared" si="1580"/>
        <v>16.544668536074681</v>
      </c>
      <c r="E200" s="70">
        <f t="shared" si="1580"/>
        <v>16.877937147709559</v>
      </c>
      <c r="F200" s="70">
        <f t="shared" si="1580"/>
        <v>19.271174646165562</v>
      </c>
      <c r="G200" s="70">
        <f t="shared" si="1580"/>
        <v>11.017899253315733</v>
      </c>
      <c r="H200" s="70">
        <f t="shared" si="1580"/>
        <v>16.479807405140875</v>
      </c>
      <c r="I200" s="70">
        <f t="shared" si="1580"/>
        <v>54.813743586003667</v>
      </c>
      <c r="J200" s="70">
        <f t="shared" si="1580"/>
        <v>141.57910029371965</v>
      </c>
      <c r="K200" s="70">
        <f t="shared" si="1580"/>
        <v>33.7345748703775</v>
      </c>
      <c r="L200" s="70">
        <f t="shared" si="1580"/>
        <v>47.656512443421093</v>
      </c>
      <c r="M200" s="70">
        <f t="shared" si="1580"/>
        <v>55.934165578548914</v>
      </c>
      <c r="N200" s="70">
        <f t="shared" si="1580"/>
        <v>62.858686410275439</v>
      </c>
      <c r="O200" s="70">
        <f t="shared" si="1580"/>
        <v>79.26428652120974</v>
      </c>
      <c r="P200" s="70">
        <f t="shared" si="1580"/>
        <v>75.798567414816745</v>
      </c>
      <c r="Q200" s="70">
        <f t="shared" si="1580"/>
        <v>108.53246571255507</v>
      </c>
      <c r="R200" s="70">
        <f t="shared" si="1580"/>
        <v>78.350996747571713</v>
      </c>
      <c r="S200" s="70">
        <f t="shared" si="1580"/>
        <v>95.065968732346818</v>
      </c>
      <c r="T200" s="70">
        <f t="shared" si="1580"/>
        <v>102.1229883472385</v>
      </c>
      <c r="U200" s="70">
        <f t="shared" si="1580"/>
        <v>66.448162475019217</v>
      </c>
      <c r="V200" s="70">
        <f t="shared" si="1580"/>
        <v>42.440814236818909</v>
      </c>
      <c r="W200" s="70">
        <f t="shared" ref="W200" si="1581">W196-W199</f>
        <v>52.7097181009499</v>
      </c>
      <c r="X200" s="70">
        <f t="shared" ref="X200:Y200" si="1582">X196-X199</f>
        <v>40.496972392397652</v>
      </c>
      <c r="Y200" s="70">
        <f t="shared" si="1582"/>
        <v>-19.911491301045302</v>
      </c>
      <c r="Z200" s="70">
        <f t="shared" ref="Z200:AA200" si="1583">Z196-Z199</f>
        <v>-4.1889966682370243</v>
      </c>
      <c r="AA200" s="70">
        <f t="shared" si="1583"/>
        <v>-0.51645775865766552</v>
      </c>
      <c r="AB200" s="71">
        <f t="shared" ref="AA200:AD200" si="1584">AB196-AB199</f>
        <v>11.114991867774989</v>
      </c>
      <c r="AC200" s="71">
        <f t="shared" si="1584"/>
        <v>11.106721243721111</v>
      </c>
      <c r="AD200" s="71">
        <f t="shared" si="1584"/>
        <v>11.126124217129487</v>
      </c>
      <c r="AE200" s="71">
        <f t="shared" ref="AE200" si="1585">AE196-AE199</f>
        <v>11.151266032925164</v>
      </c>
      <c r="AI200" s="70">
        <f t="shared" ref="AI200:AK200" si="1586">AI196-AI199</f>
        <v>0</v>
      </c>
      <c r="AJ200" s="70">
        <f t="shared" ref="AJ200:AM200" si="1587">AJ196-AJ199</f>
        <v>60.08203973296871</v>
      </c>
      <c r="AK200" s="70">
        <f t="shared" si="1586"/>
        <v>61.305976605655218</v>
      </c>
      <c r="AL200" s="70">
        <f t="shared" si="1587"/>
        <v>43.511922141119214</v>
      </c>
      <c r="AM200" s="70">
        <f t="shared" si="1587"/>
        <v>43.114130767432712</v>
      </c>
      <c r="AN200" s="70">
        <f t="shared" ref="AN200:AY200" si="1588">AN196-AN199</f>
        <v>71.912303204584489</v>
      </c>
      <c r="AO200" s="70">
        <f t="shared" si="1588"/>
        <v>72.187117924354993</v>
      </c>
      <c r="AP200" s="70">
        <f t="shared" si="1588"/>
        <v>77.456555999434514</v>
      </c>
      <c r="AQ200" s="70">
        <f t="shared" si="1588"/>
        <v>77.452238504899057</v>
      </c>
      <c r="AR200" s="70">
        <f t="shared" si="1588"/>
        <v>87.34780196921372</v>
      </c>
      <c r="AS200" s="70">
        <f t="shared" si="1588"/>
        <v>86.608311675323577</v>
      </c>
      <c r="AT200" s="70">
        <f t="shared" si="1588"/>
        <v>74.991652146776588</v>
      </c>
      <c r="AU200" s="70">
        <f t="shared" si="1588"/>
        <v>75.833110069549434</v>
      </c>
      <c r="AV200" s="70">
        <f t="shared" si="1588"/>
        <v>111.59741232142321</v>
      </c>
      <c r="AW200" s="70">
        <f t="shared" si="1588"/>
        <v>111.24248717678583</v>
      </c>
      <c r="AX200" s="70">
        <f t="shared" si="1588"/>
        <v>86.263959708449306</v>
      </c>
      <c r="AY200" s="70">
        <f t="shared" si="1588"/>
        <v>86.31796593493813</v>
      </c>
      <c r="AZ200" s="70">
        <f t="shared" ref="AZ200:BC200" si="1589">AZ196-AZ199</f>
        <v>63.507375249747199</v>
      </c>
      <c r="BA200" s="70">
        <f t="shared" si="1589"/>
        <v>64.664732598673197</v>
      </c>
      <c r="BB200" s="70">
        <f t="shared" si="1589"/>
        <v>77.002740833665271</v>
      </c>
      <c r="BC200" s="70">
        <f t="shared" si="1589"/>
        <v>76.910116424518449</v>
      </c>
      <c r="BD200" s="70">
        <f t="shared" ref="BD200:CE200" si="1590">BD196-BD199</f>
        <v>88.821905988866192</v>
      </c>
      <c r="BE200" s="70">
        <f t="shared" si="1590"/>
        <v>88.543114082316833</v>
      </c>
      <c r="BF200" s="70">
        <f t="shared" si="1590"/>
        <v>94.013326226012794</v>
      </c>
      <c r="BG200" s="70">
        <f t="shared" si="1590"/>
        <v>92.754374341321778</v>
      </c>
      <c r="BH200" s="70">
        <f t="shared" si="1590"/>
        <v>106.70412920885698</v>
      </c>
      <c r="BI200" s="70">
        <f t="shared" si="1590"/>
        <v>105.04825459619079</v>
      </c>
      <c r="BJ200" s="70">
        <f t="shared" si="1590"/>
        <v>101.61991821837721</v>
      </c>
      <c r="BK200" s="70">
        <f t="shared" si="1590"/>
        <v>96.663530443437821</v>
      </c>
      <c r="BL200" s="70">
        <f t="shared" si="1590"/>
        <v>76.805250802063838</v>
      </c>
      <c r="BM200" s="70">
        <f t="shared" si="1590"/>
        <v>76.161598607939766</v>
      </c>
      <c r="BN200" s="70">
        <f t="shared" si="1590"/>
        <v>73.871677276374925</v>
      </c>
      <c r="BO200" s="70">
        <f t="shared" si="1590"/>
        <v>72.663843218874661</v>
      </c>
      <c r="BP200" s="70">
        <f t="shared" si="1590"/>
        <v>71.532354908065869</v>
      </c>
      <c r="BQ200" s="70">
        <f t="shared" si="1590"/>
        <v>70.571084802449022</v>
      </c>
      <c r="BR200" s="70">
        <f t="shared" si="1590"/>
        <v>51.425481196620609</v>
      </c>
      <c r="BS200" s="70">
        <f t="shared" si="1590"/>
        <v>51.52475269343708</v>
      </c>
      <c r="BT200" s="70">
        <f t="shared" si="1590"/>
        <v>56.85175660705805</v>
      </c>
      <c r="BU200" s="70">
        <f t="shared" si="1590"/>
        <v>56.061627943476566</v>
      </c>
      <c r="BV200" s="70">
        <f t="shared" si="1590"/>
        <v>61.58294519447881</v>
      </c>
      <c r="BW200" s="70">
        <f t="shared" si="1590"/>
        <v>60.309724507475863</v>
      </c>
      <c r="BX200" s="70">
        <f t="shared" si="1590"/>
        <v>66.777776125838145</v>
      </c>
      <c r="BY200" s="70">
        <f t="shared" si="1590"/>
        <v>65.967776768176194</v>
      </c>
      <c r="BZ200" s="70">
        <f t="shared" si="1590"/>
        <v>47.584677497354065</v>
      </c>
      <c r="CA200" s="70">
        <f t="shared" si="1590"/>
        <v>46.96467674329655</v>
      </c>
      <c r="CB200" s="70">
        <f t="shared" si="1590"/>
        <v>53.479637257685255</v>
      </c>
      <c r="CC200" s="70">
        <f t="shared" si="1590"/>
        <v>53.187225616208877</v>
      </c>
      <c r="CD200" s="70">
        <f t="shared" si="1590"/>
        <v>-7.417836788950197</v>
      </c>
      <c r="CE200" s="115">
        <f t="shared" si="1590"/>
        <v>-4.546337282065366</v>
      </c>
      <c r="CF200" s="70">
        <f t="shared" ref="CF200:CG200" si="1591">CF196-CF199</f>
        <v>9.0609688096904648</v>
      </c>
      <c r="CG200" s="70">
        <f t="shared" si="1591"/>
        <v>10.537799847787539</v>
      </c>
      <c r="CH200" s="70">
        <f t="shared" ref="CH200:CI200" si="1592">CH196-CH199</f>
        <v>-3.9490302112312321</v>
      </c>
      <c r="CI200" s="70">
        <f t="shared" si="1592"/>
        <v>-3.9490302112312179</v>
      </c>
      <c r="CJ200" s="70">
        <f t="shared" ref="CJ200:DB200" si="1593">CJ196-CJ199</f>
        <v>23.879840512293853</v>
      </c>
      <c r="CK200" s="70">
        <f t="shared" si="1593"/>
        <v>23.879840512293853</v>
      </c>
      <c r="CL200" s="70">
        <f t="shared" ref="CL200" si="1594">CL196-CL199</f>
        <v>10.262771412060474</v>
      </c>
      <c r="CM200" s="50">
        <f t="shared" si="1593"/>
        <v>10.262771412060459</v>
      </c>
      <c r="CN200" s="50">
        <f t="shared" si="1593"/>
        <v>10.262771412060459</v>
      </c>
      <c r="CO200" s="50">
        <f t="shared" si="1593"/>
        <v>10.262771412060459</v>
      </c>
      <c r="CP200" s="50">
        <f t="shared" si="1593"/>
        <v>10.262771412060459</v>
      </c>
      <c r="CQ200" s="50">
        <f t="shared" si="1593"/>
        <v>10.262771412060459</v>
      </c>
      <c r="CR200" s="50">
        <f t="shared" si="1593"/>
        <v>10.262771412060459</v>
      </c>
      <c r="CS200" s="50">
        <f t="shared" si="1593"/>
        <v>10.262771412060459</v>
      </c>
      <c r="CT200" s="50">
        <f t="shared" si="1593"/>
        <v>10.262771412060459</v>
      </c>
      <c r="CU200" s="50">
        <f t="shared" si="1593"/>
        <v>10.262771412060459</v>
      </c>
      <c r="CV200" s="50">
        <f t="shared" si="1593"/>
        <v>10.262771412060459</v>
      </c>
      <c r="CW200" s="50">
        <f t="shared" si="1593"/>
        <v>10.262771412060459</v>
      </c>
      <c r="CX200" s="50">
        <f t="shared" si="1593"/>
        <v>10.262771412060459</v>
      </c>
      <c r="CY200" s="50">
        <f t="shared" si="1593"/>
        <v>10.262771412060459</v>
      </c>
      <c r="CZ200" s="50">
        <f t="shared" si="1593"/>
        <v>10.262771412060459</v>
      </c>
      <c r="DA200" s="50">
        <f t="shared" si="1593"/>
        <v>10.262771412060459</v>
      </c>
      <c r="DB200" s="50">
        <f t="shared" si="1593"/>
        <v>10.262771412060459</v>
      </c>
      <c r="DE200" s="138"/>
      <c r="DF200" s="7">
        <v>23.879840512293853</v>
      </c>
    </row>
    <row r="201" spans="1:110" s="7" customFormat="1" x14ac:dyDescent="0.2">
      <c r="A201" s="69" t="s">
        <v>86</v>
      </c>
      <c r="AB201" s="77"/>
      <c r="AC201" s="77"/>
      <c r="AD201" s="77"/>
      <c r="AE201" s="77"/>
      <c r="CE201" s="115"/>
      <c r="CG201" s="115"/>
      <c r="CM201" s="50"/>
      <c r="CN201" s="50"/>
      <c r="CO201" s="50"/>
      <c r="CP201" s="50"/>
      <c r="CQ201" s="50"/>
      <c r="CR201" s="50"/>
      <c r="CS201" s="50"/>
      <c r="CT201" s="50"/>
      <c r="CU201" s="50"/>
      <c r="CV201" s="50"/>
      <c r="CW201" s="50"/>
      <c r="CX201" s="50"/>
      <c r="CY201" s="50"/>
      <c r="CZ201" s="50"/>
      <c r="DA201" s="50"/>
      <c r="DB201" s="50"/>
      <c r="DE201" s="138"/>
    </row>
    <row r="202" spans="1:110" s="86" customFormat="1" x14ac:dyDescent="0.2">
      <c r="A202" s="86" t="s">
        <v>440</v>
      </c>
      <c r="C202" s="86">
        <f t="shared" ref="C202:Y202" si="1595">C24/B24-1</f>
        <v>2.7244225898184693</v>
      </c>
      <c r="D202" s="86">
        <f t="shared" si="1595"/>
        <v>8.9405650560703043E-2</v>
      </c>
      <c r="E202" s="86">
        <f t="shared" si="1595"/>
        <v>-7.1605790166308303E-2</v>
      </c>
      <c r="F202" s="86">
        <f t="shared" si="1595"/>
        <v>-2.6936067345971759E-3</v>
      </c>
      <c r="G202" s="86">
        <f t="shared" si="1595"/>
        <v>2.1432986775566043E-2</v>
      </c>
      <c r="H202" s="86">
        <f t="shared" si="1595"/>
        <v>0.29562601298878977</v>
      </c>
      <c r="I202" s="86">
        <f t="shared" si="1595"/>
        <v>7.0747616595972396E-2</v>
      </c>
      <c r="J202" s="86">
        <f t="shared" si="1595"/>
        <v>0.12488925135225148</v>
      </c>
      <c r="K202" s="86">
        <f t="shared" si="1595"/>
        <v>0.19288361159822043</v>
      </c>
      <c r="L202" s="86">
        <f t="shared" si="1595"/>
        <v>3.8080803874783298E-2</v>
      </c>
      <c r="M202" s="86">
        <f t="shared" si="1595"/>
        <v>0.10608980275720348</v>
      </c>
      <c r="N202" s="86">
        <f t="shared" si="1595"/>
        <v>0.10706745371556159</v>
      </c>
      <c r="O202" s="86">
        <f t="shared" si="1595"/>
        <v>5.2596133608133977E-2</v>
      </c>
      <c r="P202" s="86">
        <f t="shared" si="1595"/>
        <v>3.3056638957768003E-2</v>
      </c>
      <c r="Q202" s="86">
        <f t="shared" si="1595"/>
        <v>-0.16974650304814343</v>
      </c>
      <c r="R202" s="86">
        <f t="shared" si="1595"/>
        <v>2.1548879385945074E-2</v>
      </c>
      <c r="S202" s="86">
        <f t="shared" si="1595"/>
        <v>5.2805864696034988E-3</v>
      </c>
      <c r="T202" s="86">
        <f t="shared" si="1595"/>
        <v>6.3995246025515984E-2</v>
      </c>
      <c r="U202" s="86">
        <f t="shared" si="1595"/>
        <v>0.32902433979176715</v>
      </c>
      <c r="V202" s="86">
        <f t="shared" si="1595"/>
        <v>0.20385227581655685</v>
      </c>
      <c r="W202" s="86">
        <f t="shared" si="1595"/>
        <v>7.0965167302618593E-2</v>
      </c>
      <c r="X202" s="86">
        <f t="shared" si="1595"/>
        <v>0.10927561915661266</v>
      </c>
      <c r="Y202" s="86">
        <f t="shared" si="1595"/>
        <v>0.10321943589133409</v>
      </c>
      <c r="Z202" s="86">
        <f>Z24/Y24-1</f>
        <v>0.1586527553540249</v>
      </c>
      <c r="AA202" s="86">
        <f>AA24/Z24-1</f>
        <v>0.15166786806899646</v>
      </c>
      <c r="AB202" s="87">
        <f t="shared" ref="AA202:AE202" si="1596">AB24/AA24-1</f>
        <v>0.14275535284449203</v>
      </c>
      <c r="AC202" s="87">
        <f t="shared" si="1596"/>
        <v>0.13487073138543848</v>
      </c>
      <c r="AD202" s="87">
        <f t="shared" si="1596"/>
        <v>0.13573702102179541</v>
      </c>
      <c r="AE202" s="87">
        <f t="shared" si="1596"/>
        <v>0.13729278106597276</v>
      </c>
      <c r="AN202" s="86">
        <f t="shared" ref="AN202:CI202" si="1597">+(AN24+AM24)/(AJ24+AI24)-1</f>
        <v>4.3701341206946909E-2</v>
      </c>
      <c r="AO202" s="86">
        <f t="shared" si="1597"/>
        <v>6.298095001032733E-2</v>
      </c>
      <c r="AP202" s="86">
        <f t="shared" si="1597"/>
        <v>6.1085954803732134E-2</v>
      </c>
      <c r="AQ202" s="86">
        <f t="shared" si="1597"/>
        <v>4.3033502959355374E-2</v>
      </c>
      <c r="AR202" s="86">
        <f t="shared" si="1597"/>
        <v>4.8786476431434744E-2</v>
      </c>
      <c r="AS202" s="86">
        <f t="shared" si="1597"/>
        <v>3.6335826138079064E-2</v>
      </c>
      <c r="AT202" s="86">
        <f t="shared" si="1597"/>
        <v>1.828765595752091E-2</v>
      </c>
      <c r="AU202" s="86">
        <f t="shared" si="1597"/>
        <v>-5.9090349919776797E-2</v>
      </c>
      <c r="AV202" s="86">
        <f t="shared" si="1597"/>
        <v>-0.14965621135240503</v>
      </c>
      <c r="AW202" s="86">
        <f t="shared" si="1597"/>
        <v>-0.19014538181958041</v>
      </c>
      <c r="AX202" s="86">
        <f t="shared" si="1597"/>
        <v>-0.18842419991879211</v>
      </c>
      <c r="AY202" s="86">
        <f t="shared" si="1597"/>
        <v>-7.2609831341120423E-2</v>
      </c>
      <c r="AZ202" s="86">
        <f t="shared" si="1597"/>
        <v>4.6294772311716859E-3</v>
      </c>
      <c r="BA202" s="86">
        <f t="shared" si="1597"/>
        <v>-1.9590034015422031E-3</v>
      </c>
      <c r="BB202" s="86">
        <f t="shared" si="1597"/>
        <v>3.7850671324091145E-2</v>
      </c>
      <c r="BC202" s="86">
        <f t="shared" si="1597"/>
        <v>1.5771744640516561E-2</v>
      </c>
      <c r="BD202" s="86">
        <f t="shared" si="1597"/>
        <v>1.1754192606714176E-2</v>
      </c>
      <c r="BE202" s="86">
        <f t="shared" si="1597"/>
        <v>1.7864896534085295E-2</v>
      </c>
      <c r="BF202" s="86">
        <f t="shared" si="1597"/>
        <v>-1.1686372812822476E-3</v>
      </c>
      <c r="BG202" s="86">
        <f t="shared" si="1597"/>
        <v>3.0888350130965359E-2</v>
      </c>
      <c r="BH202" s="86">
        <f t="shared" si="1597"/>
        <v>4.9137951339001784E-2</v>
      </c>
      <c r="BI202" s="86">
        <f t="shared" si="1597"/>
        <v>7.3314185704727031E-2</v>
      </c>
      <c r="BJ202" s="86">
        <f t="shared" si="1597"/>
        <v>7.8755934117041404E-2</v>
      </c>
      <c r="BK202" s="86">
        <f t="shared" si="1597"/>
        <v>0.19387910019793808</v>
      </c>
      <c r="BL202" s="86">
        <f t="shared" si="1597"/>
        <v>0.33000791365695137</v>
      </c>
      <c r="BM202" s="86">
        <f t="shared" si="1597"/>
        <v>0.31757067606745726</v>
      </c>
      <c r="BN202" s="86">
        <f t="shared" si="1597"/>
        <v>0.32807399052071018</v>
      </c>
      <c r="BO202" s="86">
        <f t="shared" si="1597"/>
        <v>0.22820563268087413</v>
      </c>
      <c r="BP202" s="86">
        <f t="shared" si="1597"/>
        <v>0.15947487356074452</v>
      </c>
      <c r="BQ202" s="86">
        <f t="shared" si="1597"/>
        <v>0.208856143453656</v>
      </c>
      <c r="BR202" s="86">
        <f t="shared" si="1597"/>
        <v>0.2467930722602536</v>
      </c>
      <c r="BS202" s="86">
        <f t="shared" si="1597"/>
        <v>0.18104138747475051</v>
      </c>
      <c r="BT202" s="86">
        <f t="shared" si="1597"/>
        <v>9.941858878122023E-2</v>
      </c>
      <c r="BU202" s="86">
        <f t="shared" si="1597"/>
        <v>6.67589601599754E-2</v>
      </c>
      <c r="BV202" s="86">
        <f t="shared" si="1597"/>
        <v>4.5361057709627728E-2</v>
      </c>
      <c r="BW202" s="86">
        <f t="shared" si="1597"/>
        <v>7.5518386682722038E-2</v>
      </c>
      <c r="BX202" s="86">
        <f t="shared" si="1597"/>
        <v>0.10730636687753869</v>
      </c>
      <c r="BY202" s="86">
        <f t="shared" si="1597"/>
        <v>9.5505888007690443E-2</v>
      </c>
      <c r="BZ202" s="86">
        <f t="shared" si="1597"/>
        <v>0.1111393075273468</v>
      </c>
      <c r="CA202" s="86">
        <f t="shared" si="1597"/>
        <v>0.13190838849381148</v>
      </c>
      <c r="CB202" s="86">
        <f t="shared" si="1597"/>
        <v>0.11735785993171777</v>
      </c>
      <c r="CC202" s="86">
        <f t="shared" si="1597"/>
        <v>0.1023897273897274</v>
      </c>
      <c r="CD202" s="86">
        <f t="shared" si="1597"/>
        <v>8.9885074323867054E-2</v>
      </c>
      <c r="CE202" s="86">
        <f t="shared" si="1597"/>
        <v>0.12487465930428776</v>
      </c>
      <c r="CF202" s="86">
        <f t="shared" si="1597"/>
        <v>0.1460242756177601</v>
      </c>
      <c r="CG202" s="86">
        <f t="shared" si="1597"/>
        <v>0.14862756543773292</v>
      </c>
      <c r="CH202" s="86">
        <f t="shared" si="1597"/>
        <v>0.17086326747606351</v>
      </c>
      <c r="CI202" s="86">
        <f t="shared" si="1597"/>
        <v>0.13384692131063991</v>
      </c>
      <c r="CJ202" s="86">
        <f>+(CJ24+CI24)/(CF24+CE24)-1</f>
        <v>0.13754593463856968</v>
      </c>
      <c r="CL202" s="86">
        <f>+(CL24+CK24)/(CH24+CG24)-1</f>
        <v>0.16503273389322293</v>
      </c>
      <c r="CM202" s="87"/>
      <c r="CN202" s="87"/>
      <c r="CO202" s="87"/>
      <c r="CP202" s="87"/>
      <c r="CQ202" s="87"/>
      <c r="CR202" s="87"/>
      <c r="CS202" s="87"/>
      <c r="CT202" s="87"/>
      <c r="CU202" s="87"/>
      <c r="CV202" s="87"/>
      <c r="CW202" s="87"/>
      <c r="CX202" s="87"/>
      <c r="CY202" s="87"/>
      <c r="CZ202" s="87"/>
      <c r="DA202" s="87"/>
      <c r="DB202" s="87"/>
      <c r="DE202" s="141"/>
      <c r="DF202" s="86">
        <v>0.15166786806899646</v>
      </c>
    </row>
    <row r="203" spans="1:110" s="86" customFormat="1" x14ac:dyDescent="0.2">
      <c r="A203" s="86" t="s">
        <v>441</v>
      </c>
      <c r="C203" s="86">
        <f t="shared" ref="C203" si="1598">C200/B200-1</f>
        <v>-0.84699788529357944</v>
      </c>
      <c r="D203" s="86">
        <f t="shared" ref="D203" si="1599">D200/C200-1</f>
        <v>0.41394001244090539</v>
      </c>
      <c r="E203" s="86">
        <f>E200/D200-1</f>
        <v>2.0143565336966818E-2</v>
      </c>
      <c r="F203" s="86">
        <f t="shared" ref="F203" si="1600">F200/E200-1</f>
        <v>0.14179680120332594</v>
      </c>
      <c r="G203" s="86">
        <f t="shared" ref="G203" si="1601">G200/F200-1</f>
        <v>-0.42827048918328425</v>
      </c>
      <c r="H203" s="86">
        <f t="shared" ref="H203" si="1602">H200/G200-1</f>
        <v>0.49573044972084235</v>
      </c>
      <c r="I203" s="86">
        <f t="shared" ref="I203" si="1603">I200/H200-1</f>
        <v>2.3261155448275765</v>
      </c>
      <c r="J203" s="86">
        <f t="shared" ref="J203" si="1604">J200/I200-1</f>
        <v>1.5829124418692495</v>
      </c>
      <c r="K203" s="86">
        <f>K200/J200-1</f>
        <v>-0.76172630847072886</v>
      </c>
      <c r="L203" s="86">
        <f t="shared" ref="L203" si="1605">L200/K200-1</f>
        <v>0.41269047043093221</v>
      </c>
      <c r="M203" s="86">
        <f t="shared" ref="M203" si="1606">M200/L200-1</f>
        <v>0.17369406007112342</v>
      </c>
      <c r="N203" s="86">
        <f t="shared" ref="N203" si="1607">N200/M200-1</f>
        <v>0.12379769609689362</v>
      </c>
      <c r="O203" s="86">
        <f t="shared" ref="O203" si="1608">O200/N200-1</f>
        <v>0.26099177453145916</v>
      </c>
      <c r="P203" s="86">
        <f t="shared" ref="P203" si="1609">P200/O200-1</f>
        <v>-4.3723589254356487E-2</v>
      </c>
      <c r="Q203" s="86">
        <f t="shared" ref="Q203" si="1610">Q200/P200-1</f>
        <v>0.43185378581890799</v>
      </c>
      <c r="R203" s="86">
        <f t="shared" ref="R203" si="1611">R200/Q200-1</f>
        <v>-0.27808701080207698</v>
      </c>
      <c r="S203" s="86">
        <f t="shared" ref="S203" si="1612">S200/R200-1</f>
        <v>0.21333451619801047</v>
      </c>
      <c r="T203" s="86">
        <f t="shared" ref="T203" si="1613">T200/S200-1</f>
        <v>7.4232869122286438E-2</v>
      </c>
      <c r="U203" s="86">
        <f t="shared" ref="U203" si="1614">U200/T200-1</f>
        <v>-0.34933198146256528</v>
      </c>
      <c r="V203" s="86">
        <f t="shared" ref="V203" si="1615">V200/U200-1</f>
        <v>-0.36129438864807928</v>
      </c>
      <c r="W203" s="86">
        <f t="shared" ref="W203:AA203" si="1616">W200/V200-1</f>
        <v>0.24195821990668476</v>
      </c>
      <c r="X203" s="86">
        <f t="shared" si="1616"/>
        <v>-0.23169817916996516</v>
      </c>
      <c r="Y203" s="86">
        <f t="shared" si="1616"/>
        <v>-1.491678516312573</v>
      </c>
      <c r="Z203" s="86">
        <f t="shared" si="1616"/>
        <v>-0.78961913977698328</v>
      </c>
      <c r="AA203" s="86">
        <f t="shared" si="1616"/>
        <v>-0.87671086907905771</v>
      </c>
      <c r="AB203" s="87">
        <f t="shared" ref="AB203" si="1617">AB200/AA200-1</f>
        <v>-22.521589484228411</v>
      </c>
      <c r="AC203" s="87">
        <f t="shared" ref="AC203" si="1618">AC200/AB200-1</f>
        <v>-7.4409627575677817E-4</v>
      </c>
      <c r="AD203" s="87">
        <f t="shared" ref="AD203" si="1619">AD200/AC200-1</f>
        <v>1.7469578089344129E-3</v>
      </c>
      <c r="AE203" s="87">
        <f t="shared" ref="AE203" si="1620">AE200/AD200-1</f>
        <v>2.259710147489713E-3</v>
      </c>
      <c r="AN203" s="86">
        <f t="shared" ref="AN203:CI203" si="1621">+AN200/AJ200-1</f>
        <v>0.19690182830334546</v>
      </c>
      <c r="AO203" s="86">
        <f t="shared" si="1621"/>
        <v>0.17748907889832122</v>
      </c>
      <c r="AP203" s="86">
        <f t="shared" si="1621"/>
        <v>0.78012260061104666</v>
      </c>
      <c r="AQ203" s="86">
        <f t="shared" si="1621"/>
        <v>0.79644671309028126</v>
      </c>
      <c r="AR203" s="86">
        <f t="shared" si="1621"/>
        <v>0.21464336527668326</v>
      </c>
      <c r="AS203" s="86">
        <f t="shared" si="1621"/>
        <v>0.1997751699421022</v>
      </c>
      <c r="AT203" s="86">
        <f t="shared" si="1621"/>
        <v>-3.1823049977537377E-2</v>
      </c>
      <c r="AU203" s="86">
        <f t="shared" si="1621"/>
        <v>-2.0904863004665875E-2</v>
      </c>
      <c r="AV203" s="86">
        <f t="shared" si="1621"/>
        <v>0.27762130019890385</v>
      </c>
      <c r="AW203" s="86">
        <f t="shared" si="1621"/>
        <v>0.28443200225182341</v>
      </c>
      <c r="AX203" s="86">
        <f t="shared" si="1621"/>
        <v>0.15031416483010829</v>
      </c>
      <c r="AY203" s="86">
        <f t="shared" si="1621"/>
        <v>0.13826224265063947</v>
      </c>
      <c r="AZ203" s="86">
        <f t="shared" si="1621"/>
        <v>-0.43092430255611069</v>
      </c>
      <c r="BA203" s="86">
        <f t="shared" si="1621"/>
        <v>-0.41870472119246638</v>
      </c>
      <c r="BB203" s="86">
        <f t="shared" si="1621"/>
        <v>-0.10735907447426074</v>
      </c>
      <c r="BC203" s="86">
        <f t="shared" si="1621"/>
        <v>-0.10899063026474487</v>
      </c>
      <c r="BD203" s="86">
        <f t="shared" si="1621"/>
        <v>0.39860773082760592</v>
      </c>
      <c r="BE203" s="86">
        <f t="shared" si="1621"/>
        <v>0.3692643659696131</v>
      </c>
      <c r="BF203" s="86">
        <f t="shared" si="1621"/>
        <v>0.2209088301037534</v>
      </c>
      <c r="BG203" s="86">
        <f t="shared" si="1621"/>
        <v>0.20601006282903356</v>
      </c>
      <c r="BH203" s="86">
        <f t="shared" si="1621"/>
        <v>0.20132672251181294</v>
      </c>
      <c r="BI203" s="86">
        <f t="shared" si="1621"/>
        <v>0.18640795148146072</v>
      </c>
      <c r="BJ203" s="86">
        <f t="shared" si="1621"/>
        <v>8.0909720969533527E-2</v>
      </c>
      <c r="BK203" s="86">
        <f t="shared" si="1621"/>
        <v>4.2145247918237816E-2</v>
      </c>
      <c r="BL203" s="86">
        <f t="shared" si="1621"/>
        <v>-0.2802035743928023</v>
      </c>
      <c r="BM203" s="86">
        <f t="shared" si="1621"/>
        <v>-0.27498463538773066</v>
      </c>
      <c r="BN203" s="86">
        <f t="shared" si="1621"/>
        <v>-0.27305907570573329</v>
      </c>
      <c r="BO203" s="86">
        <f t="shared" si="1621"/>
        <v>-0.24828068160211114</v>
      </c>
      <c r="BP203" s="86">
        <f t="shared" si="1621"/>
        <v>-6.8652804839956061E-2</v>
      </c>
      <c r="BQ203" s="86">
        <f t="shared" si="1621"/>
        <v>-7.3403314894547655E-2</v>
      </c>
      <c r="BR203" s="86">
        <f t="shared" si="1621"/>
        <v>-0.30385388429420279</v>
      </c>
      <c r="BS203" s="86">
        <f t="shared" si="1621"/>
        <v>-0.29091621897514275</v>
      </c>
      <c r="BT203" s="86">
        <f t="shared" si="1621"/>
        <v>-0.2052301831790031</v>
      </c>
      <c r="BU203" s="86">
        <f t="shared" si="1621"/>
        <v>-0.20560059264483543</v>
      </c>
      <c r="BV203" s="86">
        <f t="shared" si="1621"/>
        <v>0.19751811284024878</v>
      </c>
      <c r="BW203" s="86">
        <f t="shared" si="1621"/>
        <v>0.17050002872032732</v>
      </c>
      <c r="BX203" s="86">
        <f t="shared" si="1621"/>
        <v>0.1745947726362389</v>
      </c>
      <c r="BY203" s="86">
        <f t="shared" si="1621"/>
        <v>0.17670105539367098</v>
      </c>
      <c r="BZ203" s="86">
        <f t="shared" si="1621"/>
        <v>-0.22730753868491105</v>
      </c>
      <c r="CA203" s="86">
        <f t="shared" si="1621"/>
        <v>-0.22127522340986805</v>
      </c>
      <c r="CB203" s="86">
        <f t="shared" si="1621"/>
        <v>-0.19914018764406671</v>
      </c>
      <c r="CC203" s="86">
        <f t="shared" si="1621"/>
        <v>-0.19373930391622407</v>
      </c>
      <c r="CD203" s="86">
        <f t="shared" si="1621"/>
        <v>-1.1558870875895431</v>
      </c>
      <c r="CE203" s="86">
        <f t="shared" si="1621"/>
        <v>-1.0968033338526977</v>
      </c>
      <c r="CF203" s="86">
        <f t="shared" si="1621"/>
        <v>-0.83057161053596407</v>
      </c>
      <c r="CG203" s="86">
        <f t="shared" si="1621"/>
        <v>-0.80187348135383596</v>
      </c>
      <c r="CH203" s="86">
        <f t="shared" si="1621"/>
        <v>-0.46763047993805817</v>
      </c>
      <c r="CI203" s="86">
        <f t="shared" si="1621"/>
        <v>-0.13138204092125694</v>
      </c>
      <c r="CJ203" s="86">
        <f>+CJ200/CF200-1</f>
        <v>1.6354621689851752</v>
      </c>
      <c r="CL203" s="86">
        <f>+CL200/CH200-1</f>
        <v>-3.5988080270626082</v>
      </c>
      <c r="CM203" s="87"/>
      <c r="CN203" s="87"/>
      <c r="CO203" s="87"/>
      <c r="CP203" s="87"/>
      <c r="CQ203" s="87"/>
      <c r="CR203" s="87"/>
      <c r="CS203" s="87"/>
      <c r="CT203" s="87"/>
      <c r="CU203" s="87"/>
      <c r="CV203" s="87"/>
      <c r="CW203" s="87"/>
      <c r="CX203" s="87"/>
      <c r="CY203" s="87"/>
      <c r="CZ203" s="87"/>
      <c r="DA203" s="87"/>
      <c r="DB203" s="87"/>
      <c r="DE203" s="141"/>
      <c r="DF203" s="86">
        <v>-3.6607434872383791</v>
      </c>
    </row>
    <row r="204" spans="1:110" s="103" customFormat="1" x14ac:dyDescent="0.2">
      <c r="A204" s="147" t="s">
        <v>87</v>
      </c>
      <c r="C204" s="103">
        <f>IF(C203&gt;C202,"RF",0)</f>
        <v>0</v>
      </c>
      <c r="D204" s="103" t="str">
        <f>IF(D203&gt;D202,"RF",0)</f>
        <v>RF</v>
      </c>
      <c r="E204" s="103" t="str">
        <f t="shared" ref="E204:U204" si="1622">IF(E203&gt;E202,"RF",0)</f>
        <v>RF</v>
      </c>
      <c r="F204" s="103" t="str">
        <f t="shared" si="1622"/>
        <v>RF</v>
      </c>
      <c r="G204" s="103">
        <f t="shared" si="1622"/>
        <v>0</v>
      </c>
      <c r="H204" s="103" t="str">
        <f t="shared" si="1622"/>
        <v>RF</v>
      </c>
      <c r="I204" s="103" t="str">
        <f t="shared" si="1622"/>
        <v>RF</v>
      </c>
      <c r="J204" s="103" t="str">
        <f t="shared" si="1622"/>
        <v>RF</v>
      </c>
      <c r="K204" s="103">
        <f t="shared" si="1622"/>
        <v>0</v>
      </c>
      <c r="L204" s="103" t="str">
        <f t="shared" si="1622"/>
        <v>RF</v>
      </c>
      <c r="M204" s="103" t="str">
        <f t="shared" si="1622"/>
        <v>RF</v>
      </c>
      <c r="N204" s="103" t="str">
        <f t="shared" si="1622"/>
        <v>RF</v>
      </c>
      <c r="O204" s="103" t="str">
        <f t="shared" si="1622"/>
        <v>RF</v>
      </c>
      <c r="P204" s="103">
        <f t="shared" si="1622"/>
        <v>0</v>
      </c>
      <c r="Q204" s="103" t="str">
        <f t="shared" si="1622"/>
        <v>RF</v>
      </c>
      <c r="R204" s="103">
        <f t="shared" si="1622"/>
        <v>0</v>
      </c>
      <c r="S204" s="103" t="str">
        <f t="shared" si="1622"/>
        <v>RF</v>
      </c>
      <c r="T204" s="103" t="str">
        <f t="shared" si="1622"/>
        <v>RF</v>
      </c>
      <c r="U204" s="103">
        <f t="shared" si="1622"/>
        <v>0</v>
      </c>
      <c r="V204" s="103">
        <f>IF(V203&gt;V202,"RF",0)</f>
        <v>0</v>
      </c>
      <c r="W204" s="103" t="str">
        <f t="shared" ref="W204" si="1623">IF(W203&gt;W202,"RF",0)</f>
        <v>RF</v>
      </c>
      <c r="X204" s="103">
        <f t="shared" ref="X204:Y204" si="1624">IF(X203&gt;X202,"RF",0)</f>
        <v>0</v>
      </c>
      <c r="Y204" s="103">
        <f t="shared" si="1624"/>
        <v>0</v>
      </c>
      <c r="Z204" s="103">
        <f t="shared" ref="Z204:AA204" si="1625">IF(Z203&gt;Z202,"RF",0)</f>
        <v>0</v>
      </c>
      <c r="AA204" s="103">
        <f t="shared" si="1625"/>
        <v>0</v>
      </c>
      <c r="AB204" s="73">
        <f t="shared" ref="AA204:AD204" si="1626">IF(AB203&gt;AB202,"RF",0)</f>
        <v>0</v>
      </c>
      <c r="AC204" s="73">
        <f t="shared" si="1626"/>
        <v>0</v>
      </c>
      <c r="AD204" s="73">
        <f t="shared" si="1626"/>
        <v>0</v>
      </c>
      <c r="AE204" s="73">
        <f t="shared" ref="AE204" si="1627">IF(AE203&gt;AE202,"RF",0)</f>
        <v>0</v>
      </c>
      <c r="CM204" s="73"/>
      <c r="CN204" s="73"/>
      <c r="CO204" s="73"/>
      <c r="CP204" s="73"/>
      <c r="CQ204" s="73"/>
      <c r="CR204" s="73"/>
      <c r="CS204" s="73"/>
      <c r="CT204" s="73"/>
      <c r="CU204" s="73"/>
      <c r="CV204" s="73"/>
      <c r="CW204" s="73"/>
      <c r="CX204" s="73"/>
      <c r="CY204" s="73"/>
      <c r="CZ204" s="73"/>
      <c r="DA204" s="73"/>
      <c r="DB204" s="73"/>
      <c r="DE204" s="142"/>
      <c r="DF204" s="103">
        <v>0</v>
      </c>
    </row>
    <row r="205" spans="1:110" x14ac:dyDescent="0.2">
      <c r="A205" s="153" t="s">
        <v>494</v>
      </c>
      <c r="AA205" s="2"/>
      <c r="CL205" s="2"/>
    </row>
    <row r="206" spans="1:110" x14ac:dyDescent="0.2">
      <c r="A206" s="152" t="s">
        <v>495</v>
      </c>
      <c r="AA206" s="2"/>
      <c r="CL206" s="2"/>
    </row>
    <row r="207" spans="1:110" s="23" customFormat="1" x14ac:dyDescent="0.2">
      <c r="A207" s="23" t="s">
        <v>22</v>
      </c>
      <c r="C207" s="23">
        <f t="shared" ref="C207:AE207" si="1628">C62</f>
        <v>98.667399999999688</v>
      </c>
      <c r="D207" s="23">
        <f t="shared" si="1628"/>
        <v>83.338299999999151</v>
      </c>
      <c r="E207" s="23">
        <f t="shared" si="1628"/>
        <v>205.00299999999996</v>
      </c>
      <c r="F207" s="23">
        <f t="shared" si="1628"/>
        <v>215.46650000000028</v>
      </c>
      <c r="G207" s="23">
        <f t="shared" si="1628"/>
        <v>299.1472000000004</v>
      </c>
      <c r="H207" s="23">
        <f t="shared" si="1628"/>
        <v>443.35230000000035</v>
      </c>
      <c r="I207" s="23">
        <f t="shared" si="1628"/>
        <v>1542.5470999999993</v>
      </c>
      <c r="J207" s="23">
        <f t="shared" si="1628"/>
        <v>700.54640000000029</v>
      </c>
      <c r="K207" s="23">
        <f t="shared" si="1628"/>
        <v>390.30129999999969</v>
      </c>
      <c r="L207" s="23">
        <f t="shared" si="1628"/>
        <v>254.32719999999952</v>
      </c>
      <c r="M207" s="23">
        <f t="shared" si="1628"/>
        <v>356.14400000000001</v>
      </c>
      <c r="N207" s="23">
        <f t="shared" si="1628"/>
        <v>372.75010000000111</v>
      </c>
      <c r="O207" s="23">
        <f t="shared" si="1628"/>
        <v>480.51499999999942</v>
      </c>
      <c r="P207" s="23">
        <f t="shared" si="1628"/>
        <v>247.81999999999852</v>
      </c>
      <c r="Q207" s="23">
        <f t="shared" si="1628"/>
        <v>-5.5199999999995271</v>
      </c>
      <c r="R207" s="23">
        <f t="shared" si="1628"/>
        <v>389.43999999999971</v>
      </c>
      <c r="S207" s="23">
        <f t="shared" si="1628"/>
        <v>495.56000000000029</v>
      </c>
      <c r="T207" s="23">
        <f t="shared" si="1628"/>
        <v>408.18999999999983</v>
      </c>
      <c r="U207" s="23">
        <f t="shared" si="1628"/>
        <v>459.75999999999857</v>
      </c>
      <c r="V207" s="23">
        <f t="shared" si="1628"/>
        <v>856.69000000000096</v>
      </c>
      <c r="W207" s="23">
        <f t="shared" si="1628"/>
        <v>935.78000000000065</v>
      </c>
      <c r="X207" s="23">
        <f t="shared" si="1628"/>
        <v>1203.7699999999993</v>
      </c>
      <c r="Y207" s="23">
        <f t="shared" si="1628"/>
        <v>1150.3300000000008</v>
      </c>
      <c r="Z207" s="23">
        <f t="shared" si="1628"/>
        <v>1278.4700000000014</v>
      </c>
      <c r="AA207" s="23">
        <f t="shared" ref="AA207" si="1629">AA62</f>
        <v>1542.3000000000002</v>
      </c>
      <c r="AB207" s="24">
        <f t="shared" si="1628"/>
        <v>2121.1985595119877</v>
      </c>
      <c r="AC207" s="24">
        <f t="shared" si="1628"/>
        <v>2550.6616268162002</v>
      </c>
      <c r="AD207" s="24">
        <f t="shared" si="1628"/>
        <v>3068.6232472673391</v>
      </c>
      <c r="AE207" s="24">
        <f t="shared" si="1628"/>
        <v>3667.0946758975697</v>
      </c>
      <c r="AI207" s="23">
        <f t="shared" ref="AI207:BN207" si="1630">AI62</f>
        <v>77.690000000000197</v>
      </c>
      <c r="AJ207" s="23">
        <f t="shared" si="1630"/>
        <v>119.04000000000015</v>
      </c>
      <c r="AK207" s="23">
        <f t="shared" si="1630"/>
        <v>80.259999999999678</v>
      </c>
      <c r="AL207" s="23">
        <f t="shared" si="1630"/>
        <v>95.75999999999982</v>
      </c>
      <c r="AM207" s="23">
        <f t="shared" si="1630"/>
        <v>111.62999999999988</v>
      </c>
      <c r="AN207" s="23">
        <f t="shared" si="1630"/>
        <v>180.03000000000014</v>
      </c>
      <c r="AO207" s="23">
        <f t="shared" si="1630"/>
        <v>119.55</v>
      </c>
      <c r="AP207" s="23">
        <f t="shared" si="1630"/>
        <v>69.299999999999969</v>
      </c>
      <c r="AQ207" s="23">
        <f t="shared" si="1630"/>
        <v>97.229999999999947</v>
      </c>
      <c r="AR207" s="23">
        <f t="shared" si="1630"/>
        <v>62.450000000000145</v>
      </c>
      <c r="AS207" s="23">
        <f t="shared" si="1630"/>
        <v>84.240000000000251</v>
      </c>
      <c r="AT207" s="23">
        <f t="shared" si="1630"/>
        <v>3.8999999999999204</v>
      </c>
      <c r="AU207" s="23">
        <f t="shared" si="1630"/>
        <v>72.329999999999643</v>
      </c>
      <c r="AV207" s="23">
        <f t="shared" si="1630"/>
        <v>80.44</v>
      </c>
      <c r="AW207" s="23">
        <f t="shared" si="1630"/>
        <v>57.779999999999866</v>
      </c>
      <c r="AX207" s="23">
        <f t="shared" si="1630"/>
        <v>-216.07000000000016</v>
      </c>
      <c r="AY207" s="23">
        <f t="shared" si="1630"/>
        <v>103.65000000000003</v>
      </c>
      <c r="AZ207" s="23">
        <f t="shared" si="1630"/>
        <v>126.75000000000001</v>
      </c>
      <c r="BA207" s="23">
        <f t="shared" si="1630"/>
        <v>127.62999999999994</v>
      </c>
      <c r="BB207" s="23">
        <f t="shared" si="1630"/>
        <v>31.410000000000025</v>
      </c>
      <c r="BC207" s="23">
        <f t="shared" si="1630"/>
        <v>124.44000000000018</v>
      </c>
      <c r="BD207" s="23">
        <f t="shared" si="1630"/>
        <v>143.80000000000013</v>
      </c>
      <c r="BE207" s="23">
        <f t="shared" si="1630"/>
        <v>167.87000000000015</v>
      </c>
      <c r="BF207" s="23">
        <f t="shared" si="1630"/>
        <v>59.450000000000266</v>
      </c>
      <c r="BG207" s="23">
        <f t="shared" si="1630"/>
        <v>116.24000000000007</v>
      </c>
      <c r="BH207" s="23">
        <f t="shared" si="1630"/>
        <v>169.72999999999973</v>
      </c>
      <c r="BI207" s="23">
        <f t="shared" si="1630"/>
        <v>99.319999999999908</v>
      </c>
      <c r="BJ207" s="23">
        <f t="shared" si="1630"/>
        <v>22.899999999999991</v>
      </c>
      <c r="BK207" s="23">
        <f t="shared" si="1630"/>
        <v>173.74000000000009</v>
      </c>
      <c r="BL207" s="23">
        <f t="shared" si="1630"/>
        <v>193.1600000000002</v>
      </c>
      <c r="BM207" s="23">
        <f t="shared" si="1630"/>
        <v>169.35000000000011</v>
      </c>
      <c r="BN207" s="23">
        <f t="shared" si="1630"/>
        <v>-76.489999999999839</v>
      </c>
      <c r="BO207" s="23">
        <f t="shared" ref="BO207:CT207" si="1631">BO62</f>
        <v>327.55999999999995</v>
      </c>
      <c r="BP207" s="23">
        <f t="shared" si="1631"/>
        <v>257.06000000000029</v>
      </c>
      <c r="BQ207" s="23">
        <f t="shared" si="1631"/>
        <v>218.16999999999996</v>
      </c>
      <c r="BR207" s="23">
        <f t="shared" si="1631"/>
        <v>53.899999999999814</v>
      </c>
      <c r="BS207" s="23">
        <f t="shared" si="1631"/>
        <v>185.14999999999966</v>
      </c>
      <c r="BT207" s="23">
        <f t="shared" si="1631"/>
        <v>268.03999999999996</v>
      </c>
      <c r="BU207" s="23">
        <f t="shared" si="1631"/>
        <v>265.05000000000018</v>
      </c>
      <c r="BV207" s="23">
        <f t="shared" si="1631"/>
        <v>217.53999999999965</v>
      </c>
      <c r="BW207" s="23">
        <f t="shared" si="1631"/>
        <v>255.45999999999967</v>
      </c>
      <c r="BX207" s="23">
        <f t="shared" si="1631"/>
        <v>327.96000000000038</v>
      </c>
      <c r="BY207" s="23">
        <f t="shared" si="1631"/>
        <v>351.76000000000022</v>
      </c>
      <c r="BZ207" s="23">
        <f t="shared" si="1631"/>
        <v>268.5899999999998</v>
      </c>
      <c r="CA207" s="23">
        <f t="shared" si="1631"/>
        <v>316.59000000000009</v>
      </c>
      <c r="CB207" s="23">
        <f t="shared" si="1631"/>
        <v>338.24000000000035</v>
      </c>
      <c r="CC207" s="23">
        <f t="shared" si="1631"/>
        <v>278.87000000000023</v>
      </c>
      <c r="CD207" s="23">
        <f t="shared" si="1631"/>
        <v>216.63</v>
      </c>
      <c r="CE207" s="23">
        <f t="shared" si="1631"/>
        <v>290.31999999999982</v>
      </c>
      <c r="CF207" s="23">
        <f t="shared" si="1631"/>
        <v>364.41999999999967</v>
      </c>
      <c r="CG207" s="23">
        <f t="shared" si="1631"/>
        <v>278.88000000000022</v>
      </c>
      <c r="CH207" s="23">
        <f t="shared" si="1631"/>
        <v>344.85000000000019</v>
      </c>
      <c r="CI207" s="23">
        <f t="shared" si="1631"/>
        <v>334.15000000000003</v>
      </c>
      <c r="CJ207" s="23">
        <f t="shared" si="1631"/>
        <v>404.45999999999924</v>
      </c>
      <c r="CK207" s="23">
        <f t="shared" si="1631"/>
        <v>384.60999999999984</v>
      </c>
      <c r="CL207" s="23">
        <f t="shared" ref="CL207" si="1632">CL62</f>
        <v>419.07999999999959</v>
      </c>
      <c r="CM207" s="24">
        <f t="shared" si="1631"/>
        <v>461.8939446493211</v>
      </c>
      <c r="CN207" s="24">
        <f t="shared" si="1631"/>
        <v>514.40588879093696</v>
      </c>
      <c r="CO207" s="24">
        <f t="shared" si="1631"/>
        <v>545.0542104860217</v>
      </c>
      <c r="CP207" s="24">
        <f t="shared" si="1631"/>
        <v>599.84451558571095</v>
      </c>
      <c r="CQ207" s="24">
        <f t="shared" si="1631"/>
        <v>579.8657127716159</v>
      </c>
      <c r="CR207" s="24">
        <f t="shared" si="1631"/>
        <v>625.82826070218312</v>
      </c>
      <c r="CS207" s="24">
        <f t="shared" si="1631"/>
        <v>646.59975898282391</v>
      </c>
      <c r="CT207" s="24">
        <f t="shared" si="1631"/>
        <v>698.36789435957598</v>
      </c>
      <c r="CU207" s="24">
        <f t="shared" ref="CU207:DB207" si="1633">CU62</f>
        <v>704.26501607045134</v>
      </c>
      <c r="CV207" s="24">
        <f t="shared" si="1633"/>
        <v>753.24686645145516</v>
      </c>
      <c r="CW207" s="24">
        <f t="shared" si="1633"/>
        <v>774.05385048519611</v>
      </c>
      <c r="CX207" s="24">
        <f t="shared" si="1633"/>
        <v>837.05751426023835</v>
      </c>
      <c r="CY207" s="24">
        <f t="shared" si="1633"/>
        <v>844.18292596426409</v>
      </c>
      <c r="CZ207" s="24">
        <f t="shared" si="1633"/>
        <v>900.57685535723181</v>
      </c>
      <c r="DA207" s="24">
        <f t="shared" si="1633"/>
        <v>923.14228549241375</v>
      </c>
      <c r="DB207" s="24">
        <f t="shared" si="1633"/>
        <v>999.19260908366073</v>
      </c>
      <c r="DE207" s="123"/>
      <c r="DF207" s="23">
        <v>484.65666425908785</v>
      </c>
    </row>
    <row r="208" spans="1:110" s="23" customFormat="1" x14ac:dyDescent="0.2">
      <c r="A208" s="23" t="s">
        <v>88</v>
      </c>
      <c r="C208" s="23">
        <f t="shared" ref="C208:AE208" si="1634">C46</f>
        <v>92.024100000000004</v>
      </c>
      <c r="D208" s="23">
        <f t="shared" si="1634"/>
        <v>88.768299999999996</v>
      </c>
      <c r="E208" s="23">
        <f t="shared" si="1634"/>
        <v>82.676400000000001</v>
      </c>
      <c r="F208" s="23">
        <f t="shared" si="1634"/>
        <v>77.852500000000006</v>
      </c>
      <c r="G208" s="23">
        <f t="shared" si="1634"/>
        <v>75.836500000000001</v>
      </c>
      <c r="H208" s="23">
        <f t="shared" si="1634"/>
        <v>96.704999999999998</v>
      </c>
      <c r="I208" s="23">
        <f t="shared" si="1634"/>
        <v>91.629599999999996</v>
      </c>
      <c r="J208" s="23">
        <f t="shared" si="1634"/>
        <v>98.687399999999997</v>
      </c>
      <c r="K208" s="23">
        <f t="shared" si="1634"/>
        <v>102.9233</v>
      </c>
      <c r="L208" s="23">
        <f t="shared" si="1634"/>
        <v>99.439099999999996</v>
      </c>
      <c r="M208" s="23">
        <f t="shared" si="1634"/>
        <v>96.135499999999993</v>
      </c>
      <c r="N208" s="23">
        <f t="shared" si="1634"/>
        <v>105.09569999999999</v>
      </c>
      <c r="O208" s="23">
        <f t="shared" si="1634"/>
        <v>129.05860000000001</v>
      </c>
      <c r="P208" s="23">
        <f t="shared" si="1634"/>
        <v>133.1</v>
      </c>
      <c r="Q208" s="23">
        <f t="shared" si="1634"/>
        <v>116.79</v>
      </c>
      <c r="R208" s="23">
        <f t="shared" si="1634"/>
        <v>126.04</v>
      </c>
      <c r="S208" s="23">
        <f t="shared" si="1634"/>
        <v>116.04</v>
      </c>
      <c r="T208" s="23">
        <f t="shared" si="1634"/>
        <v>122.57</v>
      </c>
      <c r="U208" s="23">
        <f t="shared" si="1634"/>
        <v>241.71</v>
      </c>
      <c r="V208" s="23">
        <f t="shared" si="1634"/>
        <v>254.74</v>
      </c>
      <c r="W208" s="23">
        <f t="shared" si="1634"/>
        <v>278.01</v>
      </c>
      <c r="X208" s="23">
        <f t="shared" si="1634"/>
        <v>304.08</v>
      </c>
      <c r="Y208" s="23">
        <f t="shared" si="1634"/>
        <v>377.15</v>
      </c>
      <c r="Z208" s="23">
        <f t="shared" si="1634"/>
        <v>600.74</v>
      </c>
      <c r="AA208" s="23">
        <f t="shared" ref="AA208" si="1635">AA46</f>
        <v>626.67999999999995</v>
      </c>
      <c r="AB208" s="24">
        <f t="shared" si="1634"/>
        <v>654.71407048359856</v>
      </c>
      <c r="AC208" s="24">
        <f t="shared" si="1634"/>
        <v>655.07662725789817</v>
      </c>
      <c r="AD208" s="24">
        <f t="shared" si="1634"/>
        <v>655.41431661499462</v>
      </c>
      <c r="AE208" s="24">
        <f t="shared" si="1634"/>
        <v>655.72884418689432</v>
      </c>
      <c r="AI208" s="23">
        <f t="shared" ref="AI208:BN208" si="1636">AI46</f>
        <v>24.99</v>
      </c>
      <c r="AJ208" s="23">
        <f t="shared" si="1636"/>
        <v>25.06</v>
      </c>
      <c r="AK208" s="23">
        <f t="shared" si="1636"/>
        <v>24.59</v>
      </c>
      <c r="AL208" s="23">
        <f t="shared" si="1636"/>
        <v>30.46</v>
      </c>
      <c r="AM208" s="23">
        <f t="shared" si="1636"/>
        <v>28.78</v>
      </c>
      <c r="AN208" s="23">
        <f t="shared" si="1636"/>
        <v>31.48</v>
      </c>
      <c r="AO208" s="23">
        <f t="shared" si="1636"/>
        <v>32.159999999999997</v>
      </c>
      <c r="AP208" s="23">
        <f t="shared" si="1636"/>
        <v>36.64</v>
      </c>
      <c r="AQ208" s="23">
        <f t="shared" si="1636"/>
        <v>35</v>
      </c>
      <c r="AR208" s="23">
        <f t="shared" si="1636"/>
        <v>34.409999999999997</v>
      </c>
      <c r="AS208" s="23">
        <f t="shared" si="1636"/>
        <v>38.04</v>
      </c>
      <c r="AT208" s="23">
        <f t="shared" si="1636"/>
        <v>25.66</v>
      </c>
      <c r="AU208" s="23">
        <f t="shared" si="1636"/>
        <v>29.62</v>
      </c>
      <c r="AV208" s="23">
        <f t="shared" si="1636"/>
        <v>30.24</v>
      </c>
      <c r="AW208" s="23">
        <f t="shared" si="1636"/>
        <v>32.32</v>
      </c>
      <c r="AX208" s="23">
        <f t="shared" si="1636"/>
        <v>24.61</v>
      </c>
      <c r="AY208" s="23">
        <f t="shared" si="1636"/>
        <v>36.25</v>
      </c>
      <c r="AZ208" s="23">
        <f t="shared" si="1636"/>
        <v>27.51</v>
      </c>
      <c r="BA208" s="23">
        <f t="shared" si="1636"/>
        <v>31.08</v>
      </c>
      <c r="BB208" s="23">
        <f t="shared" si="1636"/>
        <v>31.2</v>
      </c>
      <c r="BC208" s="23">
        <f t="shared" si="1636"/>
        <v>29.05</v>
      </c>
      <c r="BD208" s="23">
        <f t="shared" si="1636"/>
        <v>29.47</v>
      </c>
      <c r="BE208" s="23">
        <f t="shared" si="1636"/>
        <v>29.05</v>
      </c>
      <c r="BF208" s="23">
        <f t="shared" si="1636"/>
        <v>28.47</v>
      </c>
      <c r="BG208" s="23">
        <f t="shared" si="1636"/>
        <v>29.49</v>
      </c>
      <c r="BH208" s="23">
        <f t="shared" si="1636"/>
        <v>30.48</v>
      </c>
      <c r="BI208" s="23">
        <f t="shared" si="1636"/>
        <v>29.62</v>
      </c>
      <c r="BJ208" s="23">
        <f t="shared" si="1636"/>
        <v>32.979999999999997</v>
      </c>
      <c r="BK208" s="23">
        <f t="shared" si="1636"/>
        <v>57.57</v>
      </c>
      <c r="BL208" s="23">
        <f t="shared" si="1636"/>
        <v>58.66</v>
      </c>
      <c r="BM208" s="23">
        <f t="shared" si="1636"/>
        <v>61.44</v>
      </c>
      <c r="BN208" s="23">
        <f t="shared" si="1636"/>
        <v>64.040000000000006</v>
      </c>
      <c r="BO208" s="23">
        <f t="shared" ref="BO208:CT208" si="1637">BO46</f>
        <v>61.9</v>
      </c>
      <c r="BP208" s="23">
        <f t="shared" si="1637"/>
        <v>62.57</v>
      </c>
      <c r="BQ208" s="23">
        <f t="shared" si="1637"/>
        <v>64.400000000000006</v>
      </c>
      <c r="BR208" s="23">
        <f t="shared" si="1637"/>
        <v>65.87</v>
      </c>
      <c r="BS208" s="23">
        <f t="shared" si="1637"/>
        <v>66.790000000000006</v>
      </c>
      <c r="BT208" s="23">
        <f t="shared" si="1637"/>
        <v>69.31</v>
      </c>
      <c r="BU208" s="23">
        <f t="shared" si="1637"/>
        <v>69.8</v>
      </c>
      <c r="BV208" s="23">
        <f t="shared" si="1637"/>
        <v>72.11</v>
      </c>
      <c r="BW208" s="23">
        <f t="shared" si="1637"/>
        <v>72.92</v>
      </c>
      <c r="BX208" s="23">
        <f t="shared" si="1637"/>
        <v>73.14</v>
      </c>
      <c r="BY208" s="23">
        <f t="shared" si="1637"/>
        <v>75.16</v>
      </c>
      <c r="BZ208" s="23">
        <f t="shared" si="1637"/>
        <v>82.86</v>
      </c>
      <c r="CA208" s="23">
        <f t="shared" si="1637"/>
        <v>81.95</v>
      </c>
      <c r="CB208" s="23">
        <f t="shared" si="1637"/>
        <v>93.93</v>
      </c>
      <c r="CC208" s="23">
        <f t="shared" si="1637"/>
        <v>85.51</v>
      </c>
      <c r="CD208" s="23">
        <f t="shared" si="1637"/>
        <v>115.76</v>
      </c>
      <c r="CE208" s="23">
        <f t="shared" si="1637"/>
        <v>148</v>
      </c>
      <c r="CF208" s="23">
        <f t="shared" si="1637"/>
        <v>149.33000000000001</v>
      </c>
      <c r="CG208" s="23">
        <f t="shared" si="1637"/>
        <v>150.32</v>
      </c>
      <c r="CH208" s="23">
        <f t="shared" si="1637"/>
        <v>153.09</v>
      </c>
      <c r="CI208" s="23">
        <f t="shared" si="1637"/>
        <v>148.93</v>
      </c>
      <c r="CJ208" s="23">
        <f t="shared" si="1637"/>
        <v>153.28</v>
      </c>
      <c r="CK208" s="23">
        <f t="shared" si="1637"/>
        <v>159.29</v>
      </c>
      <c r="CL208" s="23">
        <f t="shared" ref="CL208" si="1638">CL46</f>
        <v>165.18</v>
      </c>
      <c r="CM208" s="24">
        <f t="shared" si="1637"/>
        <v>163.64310036997992</v>
      </c>
      <c r="CN208" s="24">
        <f t="shared" si="1637"/>
        <v>163.66699106237712</v>
      </c>
      <c r="CO208" s="24">
        <f t="shared" si="1637"/>
        <v>163.69046111556818</v>
      </c>
      <c r="CP208" s="24">
        <f t="shared" si="1637"/>
        <v>163.71351793567337</v>
      </c>
      <c r="CQ208" s="24">
        <f t="shared" si="1637"/>
        <v>163.7361687984147</v>
      </c>
      <c r="CR208" s="24">
        <f t="shared" si="1637"/>
        <v>163.75842085141184</v>
      </c>
      <c r="CS208" s="24">
        <f t="shared" si="1637"/>
        <v>163.78028111643772</v>
      </c>
      <c r="CT208" s="24">
        <f t="shared" si="1637"/>
        <v>163.80175649163388</v>
      </c>
      <c r="CU208" s="24">
        <f t="shared" ref="CU208:DB208" si="1639">CU46</f>
        <v>163.82285375368775</v>
      </c>
      <c r="CV208" s="24">
        <f t="shared" si="1639"/>
        <v>163.84357955997069</v>
      </c>
      <c r="CW208" s="24">
        <f t="shared" si="1639"/>
        <v>163.86394045063892</v>
      </c>
      <c r="CX208" s="24">
        <f t="shared" si="1639"/>
        <v>163.88394285069725</v>
      </c>
      <c r="CY208" s="24">
        <f t="shared" si="1639"/>
        <v>163.90359307202667</v>
      </c>
      <c r="CZ208" s="24">
        <f t="shared" si="1639"/>
        <v>163.92289731537591</v>
      </c>
      <c r="DA208" s="24">
        <f t="shared" si="1639"/>
        <v>163.94186167231823</v>
      </c>
      <c r="DB208" s="24">
        <f t="shared" si="1639"/>
        <v>163.96049212717355</v>
      </c>
      <c r="DE208" s="123"/>
      <c r="DF208" s="23">
        <v>156.63056983213286</v>
      </c>
    </row>
    <row r="209" spans="1:110" s="22" customFormat="1" x14ac:dyDescent="0.2">
      <c r="A209" s="22" t="s">
        <v>89</v>
      </c>
      <c r="C209" s="22">
        <f t="shared" ref="C209:W209" si="1640">C207+C208</f>
        <v>190.69149999999968</v>
      </c>
      <c r="D209" s="22">
        <f t="shared" si="1640"/>
        <v>172.10659999999916</v>
      </c>
      <c r="E209" s="22">
        <f t="shared" si="1640"/>
        <v>287.67939999999999</v>
      </c>
      <c r="F209" s="22">
        <f t="shared" si="1640"/>
        <v>293.3190000000003</v>
      </c>
      <c r="G209" s="22">
        <f t="shared" si="1640"/>
        <v>374.9837000000004</v>
      </c>
      <c r="H209" s="22">
        <f t="shared" si="1640"/>
        <v>540.0573000000004</v>
      </c>
      <c r="I209" s="22">
        <f t="shared" si="1640"/>
        <v>1634.1766999999993</v>
      </c>
      <c r="J209" s="22">
        <f t="shared" si="1640"/>
        <v>799.23380000000031</v>
      </c>
      <c r="K209" s="22">
        <f t="shared" si="1640"/>
        <v>493.22459999999967</v>
      </c>
      <c r="L209" s="22">
        <f t="shared" si="1640"/>
        <v>353.76629999999955</v>
      </c>
      <c r="M209" s="22">
        <f t="shared" si="1640"/>
        <v>452.27949999999998</v>
      </c>
      <c r="N209" s="22">
        <f t="shared" si="1640"/>
        <v>477.84580000000108</v>
      </c>
      <c r="O209" s="22">
        <f t="shared" si="1640"/>
        <v>609.57359999999949</v>
      </c>
      <c r="P209" s="22">
        <f t="shared" si="1640"/>
        <v>380.91999999999848</v>
      </c>
      <c r="Q209" s="22">
        <f t="shared" si="1640"/>
        <v>111.27000000000048</v>
      </c>
      <c r="R209" s="22">
        <f t="shared" si="1640"/>
        <v>515.47999999999968</v>
      </c>
      <c r="S209" s="22">
        <f t="shared" si="1640"/>
        <v>611.60000000000025</v>
      </c>
      <c r="T209" s="22">
        <f t="shared" si="1640"/>
        <v>530.75999999999976</v>
      </c>
      <c r="U209" s="22">
        <f t="shared" si="1640"/>
        <v>701.46999999999855</v>
      </c>
      <c r="V209" s="22">
        <f t="shared" si="1640"/>
        <v>1111.430000000001</v>
      </c>
      <c r="W209" s="22">
        <f t="shared" si="1640"/>
        <v>1213.7900000000006</v>
      </c>
      <c r="X209" s="22">
        <f t="shared" ref="X209:Y209" si="1641">X207+X208</f>
        <v>1507.8499999999992</v>
      </c>
      <c r="Y209" s="22">
        <f t="shared" si="1641"/>
        <v>1527.4800000000009</v>
      </c>
      <c r="Z209" s="22">
        <f t="shared" ref="Z209:AA209" si="1642">Z207+Z208</f>
        <v>1879.2100000000014</v>
      </c>
      <c r="AA209" s="22">
        <f t="shared" si="1642"/>
        <v>2168.98</v>
      </c>
      <c r="AB209" s="21">
        <f t="shared" ref="AA209:AD209" si="1643">AB207+AB208</f>
        <v>2775.912629995586</v>
      </c>
      <c r="AC209" s="21">
        <f t="shared" si="1643"/>
        <v>3205.7382540740982</v>
      </c>
      <c r="AD209" s="21">
        <f t="shared" si="1643"/>
        <v>3724.0375638823339</v>
      </c>
      <c r="AE209" s="21">
        <f t="shared" ref="AE209" si="1644">AE207+AE208</f>
        <v>4322.8235200844638</v>
      </c>
      <c r="AI209" s="22">
        <f t="shared" ref="AI209" si="1645">AI207+AI208</f>
        <v>102.68000000000019</v>
      </c>
      <c r="AJ209" s="22">
        <f t="shared" ref="AJ209:AL209" si="1646">AJ207+AJ208</f>
        <v>144.10000000000014</v>
      </c>
      <c r="AK209" s="22">
        <f t="shared" si="1646"/>
        <v>104.84999999999968</v>
      </c>
      <c r="AL209" s="22">
        <f t="shared" si="1646"/>
        <v>126.21999999999983</v>
      </c>
      <c r="AM209" s="22">
        <f t="shared" ref="AM209" si="1647">AM207+AM208</f>
        <v>140.40999999999988</v>
      </c>
      <c r="AN209" s="22">
        <f t="shared" ref="AN209:CD209" si="1648">AN207+AN208</f>
        <v>211.51000000000013</v>
      </c>
      <c r="AO209" s="22">
        <f t="shared" si="1648"/>
        <v>151.70999999999998</v>
      </c>
      <c r="AP209" s="22">
        <f t="shared" si="1648"/>
        <v>105.93999999999997</v>
      </c>
      <c r="AQ209" s="22">
        <f t="shared" si="1648"/>
        <v>132.22999999999996</v>
      </c>
      <c r="AR209" s="22">
        <f t="shared" si="1648"/>
        <v>96.860000000000142</v>
      </c>
      <c r="AS209" s="22">
        <f t="shared" si="1648"/>
        <v>122.28000000000026</v>
      </c>
      <c r="AT209" s="22">
        <f t="shared" si="1648"/>
        <v>29.559999999999921</v>
      </c>
      <c r="AU209" s="22">
        <f t="shared" si="1648"/>
        <v>101.94999999999965</v>
      </c>
      <c r="AV209" s="22">
        <f t="shared" si="1648"/>
        <v>110.67999999999999</v>
      </c>
      <c r="AW209" s="22">
        <f t="shared" si="1648"/>
        <v>90.099999999999866</v>
      </c>
      <c r="AX209" s="22">
        <f t="shared" si="1648"/>
        <v>-191.46000000000015</v>
      </c>
      <c r="AY209" s="22">
        <f t="shared" si="1648"/>
        <v>139.90000000000003</v>
      </c>
      <c r="AZ209" s="22">
        <f t="shared" si="1648"/>
        <v>154.26000000000002</v>
      </c>
      <c r="BA209" s="22">
        <f t="shared" si="1648"/>
        <v>158.70999999999992</v>
      </c>
      <c r="BB209" s="22">
        <f t="shared" si="1648"/>
        <v>62.610000000000028</v>
      </c>
      <c r="BC209" s="22">
        <f t="shared" si="1648"/>
        <v>153.49000000000018</v>
      </c>
      <c r="BD209" s="22">
        <f t="shared" si="1648"/>
        <v>173.27000000000012</v>
      </c>
      <c r="BE209" s="22">
        <f t="shared" si="1648"/>
        <v>196.92000000000016</v>
      </c>
      <c r="BF209" s="22">
        <f t="shared" si="1648"/>
        <v>87.920000000000272</v>
      </c>
      <c r="BG209" s="22">
        <f t="shared" si="1648"/>
        <v>145.73000000000008</v>
      </c>
      <c r="BH209" s="22">
        <f t="shared" si="1648"/>
        <v>200.20999999999972</v>
      </c>
      <c r="BI209" s="22">
        <f t="shared" si="1648"/>
        <v>128.93999999999991</v>
      </c>
      <c r="BJ209" s="22">
        <f t="shared" si="1648"/>
        <v>55.879999999999988</v>
      </c>
      <c r="BK209" s="22">
        <f t="shared" si="1648"/>
        <v>231.31000000000009</v>
      </c>
      <c r="BL209" s="22">
        <f t="shared" si="1648"/>
        <v>251.82000000000019</v>
      </c>
      <c r="BM209" s="22">
        <f t="shared" si="1648"/>
        <v>230.79000000000011</v>
      </c>
      <c r="BN209" s="22">
        <f t="shared" si="1648"/>
        <v>-12.449999999999832</v>
      </c>
      <c r="BO209" s="22">
        <f t="shared" si="1648"/>
        <v>389.45999999999992</v>
      </c>
      <c r="BP209" s="22">
        <f t="shared" si="1648"/>
        <v>319.63000000000028</v>
      </c>
      <c r="BQ209" s="22">
        <f t="shared" si="1648"/>
        <v>282.56999999999994</v>
      </c>
      <c r="BR209" s="22">
        <f t="shared" si="1648"/>
        <v>119.76999999999981</v>
      </c>
      <c r="BS209" s="22">
        <f t="shared" si="1648"/>
        <v>251.93999999999966</v>
      </c>
      <c r="BT209" s="22">
        <f t="shared" si="1648"/>
        <v>337.34999999999997</v>
      </c>
      <c r="BU209" s="22">
        <f t="shared" si="1648"/>
        <v>334.85000000000019</v>
      </c>
      <c r="BV209" s="22">
        <f t="shared" si="1648"/>
        <v>289.64999999999964</v>
      </c>
      <c r="BW209" s="22">
        <f t="shared" si="1648"/>
        <v>328.37999999999965</v>
      </c>
      <c r="BX209" s="22">
        <f t="shared" si="1648"/>
        <v>401.10000000000036</v>
      </c>
      <c r="BY209" s="22">
        <f t="shared" si="1648"/>
        <v>426.92000000000019</v>
      </c>
      <c r="BZ209" s="22">
        <f t="shared" si="1648"/>
        <v>351.44999999999982</v>
      </c>
      <c r="CA209" s="22">
        <f t="shared" si="1648"/>
        <v>398.54000000000008</v>
      </c>
      <c r="CB209" s="22">
        <f t="shared" si="1648"/>
        <v>432.17000000000036</v>
      </c>
      <c r="CC209" s="22">
        <f t="shared" si="1648"/>
        <v>364.38000000000022</v>
      </c>
      <c r="CD209" s="22">
        <f t="shared" si="1648"/>
        <v>332.39</v>
      </c>
      <c r="CE209" s="22">
        <f t="shared" ref="CE209:CF209" si="1649">CE207+CE208</f>
        <v>438.31999999999982</v>
      </c>
      <c r="CF209" s="22">
        <f t="shared" si="1649"/>
        <v>513.74999999999966</v>
      </c>
      <c r="CG209" s="22">
        <f t="shared" ref="CG209:CH209" si="1650">CG207+CG208</f>
        <v>429.20000000000022</v>
      </c>
      <c r="CH209" s="22">
        <f t="shared" si="1650"/>
        <v>497.94000000000017</v>
      </c>
      <c r="CI209" s="22">
        <f t="shared" ref="CI209:CJ209" si="1651">CI207+CI208</f>
        <v>483.08000000000004</v>
      </c>
      <c r="CJ209" s="22">
        <f t="shared" si="1651"/>
        <v>557.73999999999921</v>
      </c>
      <c r="CK209" s="22">
        <f t="shared" ref="CK209:DB209" si="1652">CK207+CK208</f>
        <v>543.89999999999986</v>
      </c>
      <c r="CL209" s="22">
        <f t="shared" si="1652"/>
        <v>584.25999999999954</v>
      </c>
      <c r="CM209" s="21">
        <f t="shared" si="1652"/>
        <v>625.53704501930099</v>
      </c>
      <c r="CN209" s="21">
        <f t="shared" si="1652"/>
        <v>678.07287985331413</v>
      </c>
      <c r="CO209" s="21">
        <f t="shared" si="1652"/>
        <v>708.74467160158986</v>
      </c>
      <c r="CP209" s="21">
        <f t="shared" si="1652"/>
        <v>763.55803352138435</v>
      </c>
      <c r="CQ209" s="21">
        <f t="shared" si="1652"/>
        <v>743.60188157003063</v>
      </c>
      <c r="CR209" s="21">
        <f t="shared" si="1652"/>
        <v>789.58668155359499</v>
      </c>
      <c r="CS209" s="21">
        <f t="shared" si="1652"/>
        <v>810.38004009926158</v>
      </c>
      <c r="CT209" s="21">
        <f t="shared" si="1652"/>
        <v>862.16965085120989</v>
      </c>
      <c r="CU209" s="21">
        <f t="shared" si="1652"/>
        <v>868.08786982413903</v>
      </c>
      <c r="CV209" s="21">
        <f t="shared" si="1652"/>
        <v>917.09044601142591</v>
      </c>
      <c r="CW209" s="21">
        <f t="shared" si="1652"/>
        <v>937.917790935835</v>
      </c>
      <c r="CX209" s="21">
        <f t="shared" si="1652"/>
        <v>1000.9414571109356</v>
      </c>
      <c r="CY209" s="21">
        <f t="shared" si="1652"/>
        <v>1008.0865190362907</v>
      </c>
      <c r="CZ209" s="21">
        <f t="shared" si="1652"/>
        <v>1064.4997526726077</v>
      </c>
      <c r="DA209" s="21">
        <f t="shared" si="1652"/>
        <v>1087.084147164732</v>
      </c>
      <c r="DB209" s="21">
        <f t="shared" si="1652"/>
        <v>1163.1531012108344</v>
      </c>
      <c r="DE209" s="126"/>
      <c r="DF209" s="22">
        <v>641.28723409122074</v>
      </c>
    </row>
    <row r="210" spans="1:110" s="23" customFormat="1" x14ac:dyDescent="0.2">
      <c r="A210" s="23" t="s">
        <v>65</v>
      </c>
      <c r="C210" s="23">
        <f t="shared" ref="C210:AA210" si="1653">B162-C162+B177+B178-C177-C178</f>
        <v>-412.21189999999996</v>
      </c>
      <c r="D210" s="23">
        <f t="shared" si="1653"/>
        <v>-69.068900000000014</v>
      </c>
      <c r="E210" s="23">
        <f>D162-E162+D177+D178-E177-E178</f>
        <v>49.672999999999895</v>
      </c>
      <c r="F210" s="23">
        <f t="shared" si="1653"/>
        <v>-75.244599999999906</v>
      </c>
      <c r="G210" s="23">
        <f t="shared" si="1653"/>
        <v>-72.667400000000086</v>
      </c>
      <c r="H210" s="23">
        <f t="shared" si="1653"/>
        <v>-292.74589999999984</v>
      </c>
      <c r="I210" s="23">
        <f t="shared" si="1653"/>
        <v>-738.09280000000012</v>
      </c>
      <c r="J210" s="23">
        <f>I162-J162+I177+I178-J177-J178</f>
        <v>-1471.3847999999998</v>
      </c>
      <c r="K210" s="23">
        <f>J162-K162+J177+J178-K177-K178</f>
        <v>1437.1553000000001</v>
      </c>
      <c r="L210" s="23">
        <f t="shared" si="1653"/>
        <v>-294.88509999999997</v>
      </c>
      <c r="M210" s="23">
        <f t="shared" si="1653"/>
        <v>-303.22769999999991</v>
      </c>
      <c r="N210" s="23">
        <f t="shared" si="1653"/>
        <v>-321.66000000000003</v>
      </c>
      <c r="O210" s="23">
        <f t="shared" si="1653"/>
        <v>-349.15959999999978</v>
      </c>
      <c r="P210" s="23">
        <f t="shared" si="1653"/>
        <v>-1247.8160000000003</v>
      </c>
      <c r="Q210" s="23">
        <f t="shared" si="1653"/>
        <v>1288.2499999999998</v>
      </c>
      <c r="R210" s="23">
        <f t="shared" si="1653"/>
        <v>503.61000000000064</v>
      </c>
      <c r="S210" s="23">
        <f t="shared" si="1653"/>
        <v>-383.56000000000057</v>
      </c>
      <c r="T210" s="23">
        <f t="shared" si="1653"/>
        <v>-106.32999999999996</v>
      </c>
      <c r="U210" s="23">
        <f t="shared" si="1653"/>
        <v>-256.58999999999912</v>
      </c>
      <c r="V210" s="23">
        <f t="shared" si="1653"/>
        <v>-178.09000000000049</v>
      </c>
      <c r="W210" s="23">
        <f t="shared" si="1653"/>
        <v>-428.73000000000047</v>
      </c>
      <c r="X210" s="23">
        <f t="shared" si="1653"/>
        <v>-255.54999999999939</v>
      </c>
      <c r="Y210" s="23">
        <f t="shared" si="1653"/>
        <v>1000.0399999999994</v>
      </c>
      <c r="Z210" s="23">
        <f t="shared" si="1653"/>
        <v>-955.62999999999988</v>
      </c>
      <c r="AA210" s="23">
        <f t="shared" si="1653"/>
        <v>-581.59000000000037</v>
      </c>
      <c r="AB210" s="24">
        <f t="shared" ref="AB210" si="1654">AA162-AB162+AA177+AA178-AB177-AB178</f>
        <v>-1704.176888871277</v>
      </c>
      <c r="AC210" s="24">
        <f t="shared" ref="AC210" si="1655">AB162-AC162+AB177+AB178-AC177-AC178</f>
        <v>-1155.2819772493533</v>
      </c>
      <c r="AD210" s="24">
        <f t="shared" ref="AD210" si="1656">AC162-AD162+AC177+AC178-AD177-AD178</f>
        <v>-1346.2374239692092</v>
      </c>
      <c r="AE210" s="24">
        <f t="shared" ref="AE210" si="1657">AD162-AE162+AD177+AD178-AE177-AE178</f>
        <v>-1555.4604893008002</v>
      </c>
      <c r="AI210" s="23">
        <f>AH162-AI162+AH177+AH178-AI177-AJ178</f>
        <v>0</v>
      </c>
      <c r="AJ210" s="23">
        <f t="shared" ref="AJ210:AL210" si="1658">AI162-AJ162+AI177+AI178-AJ177-AK178</f>
        <v>-3219.4200000000005</v>
      </c>
      <c r="AK210" s="23">
        <f t="shared" si="1658"/>
        <v>-57.023142926083445</v>
      </c>
      <c r="AL210" s="23">
        <f t="shared" si="1658"/>
        <v>337.17314292608376</v>
      </c>
      <c r="AM210" s="23">
        <f t="shared" ref="AM210" si="1659">AL162-AM162+AL177+AL178-AM177-AM178</f>
        <v>40.840266882941251</v>
      </c>
      <c r="AN210" s="23">
        <f t="shared" ref="AN210" si="1660">AM162-AN162+AM177+AM178-AN177-AN178</f>
        <v>-735.00026688294133</v>
      </c>
      <c r="AO210" s="23">
        <f t="shared" ref="AO210" si="1661">AN162-AO162+AN177+AN178-AO177-AO178</f>
        <v>-198.72803566625953</v>
      </c>
      <c r="AP210" s="23">
        <f t="shared" ref="AP210" si="1662">AO162-AP162+AO177+AO178-AP177-AP178</f>
        <v>543.71803566625999</v>
      </c>
      <c r="AQ210" s="23">
        <f t="shared" ref="AQ210" si="1663">AP162-AQ162+AP177+AP178-AQ177-AQ178</f>
        <v>-0.8304761431049883</v>
      </c>
      <c r="AR210" s="23">
        <f t="shared" ref="AR210" si="1664">AQ162-AR162+AQ177+AQ178-AR177-AR178</f>
        <v>-326.60952385689541</v>
      </c>
      <c r="AS210" s="23">
        <f t="shared" ref="AS210" si="1665">AR162-AS162+AR177+AR178-AS177-AS178</f>
        <v>-154.96692117201837</v>
      </c>
      <c r="AT210" s="23">
        <f t="shared" ref="AT210" si="1666">AS162-AT162+AS177+AS178-AT177-AT178</f>
        <v>550.55692117201829</v>
      </c>
      <c r="AU210" s="23">
        <f t="shared" ref="AU210" si="1667">AT162-AU162+AT177+AT178-AU177-AU178</f>
        <v>291.99331823264765</v>
      </c>
      <c r="AV210" s="23">
        <f t="shared" ref="AV210" si="1668">AU162-AV162+AU177+AU178-AV177-AV178</f>
        <v>-704.62331823264685</v>
      </c>
      <c r="AW210" s="23">
        <f t="shared" ref="AW210" si="1669">AV162-AW162+AV177+AV178-AW177-AW178</f>
        <v>-46.695834915691194</v>
      </c>
      <c r="AX210" s="23">
        <f t="shared" ref="AX210" si="1670">AW162-AX162+AW177+AW178-AX177-AX178</f>
        <v>431.61583491569075</v>
      </c>
      <c r="AY210" s="23">
        <f t="shared" ref="AY210" si="1671">AX162-AY162+AX177+AX178-AY177-AY178</f>
        <v>-190.56003904026056</v>
      </c>
      <c r="AZ210" s="23">
        <f t="shared" ref="AZ210" si="1672">AY162-AZ162+AY177+AY178-AZ177-AZ178</f>
        <v>487.34003904026008</v>
      </c>
      <c r="BA210" s="23">
        <f t="shared" ref="BA210" si="1673">AZ162-BA162+AZ177+AZ178-BA177-BA178</f>
        <v>-162.58232160035507</v>
      </c>
      <c r="BB210" s="23">
        <f t="shared" ref="BB210" si="1674">BA162-BB162+BA177+BA178-BB177-BB178</f>
        <v>369.4123216003552</v>
      </c>
      <c r="BC210" s="23">
        <f t="shared" ref="BC210" si="1675">BB162-BC162+BB177+BB178-BC177-BC178</f>
        <v>-27.300994964238726</v>
      </c>
      <c r="BD210" s="23">
        <f t="shared" ref="BD210" si="1676">BC162-BD162+BC177+BC178-BD177-BD178</f>
        <v>-264.94900503576139</v>
      </c>
      <c r="BE210" s="23">
        <f t="shared" ref="BE210" si="1677">BD162-BE162+BD177+BD178-BE177-BE178</f>
        <v>-48.285951517013942</v>
      </c>
      <c r="BF210" s="23">
        <f t="shared" ref="BF210" si="1678">BE162-BF162+BE177+BE178-BF177-BF178</f>
        <v>-43.024048482986068</v>
      </c>
      <c r="BG210" s="23">
        <f t="shared" ref="BG210" si="1679">BF162-BG162+BF177+BF178-BG177-BG178</f>
        <v>-141.79673779909945</v>
      </c>
      <c r="BH210" s="23">
        <f t="shared" ref="BH210" si="1680">BG162-BH162+BG177+BG178-BH177-BH178</f>
        <v>-318.63326220090011</v>
      </c>
      <c r="BI210" s="23">
        <f t="shared" ref="BI210" si="1681">BH162-BI162+BH177+BH178-BI177-BI178</f>
        <v>-215.82577674672211</v>
      </c>
      <c r="BJ210" s="23">
        <f t="shared" ref="BJ210" si="1682">BI162-BJ162+BI177+BI178-BJ177-BJ178</f>
        <v>569.92577674672214</v>
      </c>
      <c r="BK210" s="23">
        <f t="shared" ref="BK210" si="1683">BJ162-BK162+BJ177+BJ178-BK177-BK178</f>
        <v>-795.82414078604961</v>
      </c>
      <c r="BL210" s="23">
        <f t="shared" ref="BL210" si="1684">BK162-BL162+BK177+BK178-BL177-BL178</f>
        <v>432.66414078604936</v>
      </c>
      <c r="BM210" s="23">
        <f t="shared" ref="BM210" si="1685">BL162-BM162+BL177+BL178-BM177-BM178</f>
        <v>-153.95131649247742</v>
      </c>
      <c r="BN210" s="23">
        <f t="shared" ref="BN210" si="1686">BM162-BN162+BM177+BM178-BN177-BN178</f>
        <v>-32.938683507522398</v>
      </c>
      <c r="BO210" s="23">
        <f t="shared" ref="BO210" si="1687">BN162-BO162+BN177+BN178-BO177-BO178</f>
        <v>-338.34331679854267</v>
      </c>
      <c r="BP210" s="23">
        <f t="shared" ref="BP210" si="1688">BO162-BP162+BO177+BO178-BP177-BP178</f>
        <v>-242.58668320145728</v>
      </c>
      <c r="BQ210" s="23">
        <f t="shared" ref="BQ210" si="1689">BP162-BQ162+BP177+BP178-BQ177-BQ178</f>
        <v>-344.60618385382531</v>
      </c>
      <c r="BR210" s="23">
        <f t="shared" ref="BR210" si="1690">BQ162-BR162+BQ177+BQ178-BR177-BR178</f>
        <v>654.49618385382541</v>
      </c>
      <c r="BS210" s="23">
        <f t="shared" ref="BS210" si="1691">BR162-BS162+BR177+BR178-BS177-BS178</f>
        <v>28.506793976070185</v>
      </c>
      <c r="BT210" s="23">
        <f t="shared" ref="BT210" si="1692">BS162-BT162+BS177+BS178-BT177-BT178</f>
        <v>48.353206023929829</v>
      </c>
      <c r="BU210" s="23">
        <f t="shared" ref="BU210" si="1693">BT162-BU162+BT177+BT178-BU177-BU178</f>
        <v>-169.5280170913129</v>
      </c>
      <c r="BV210" s="23">
        <f t="shared" ref="BV210" si="1694">BU162-BV162+BU177+BU178-BV177-BV178</f>
        <v>-328.09198290868721</v>
      </c>
      <c r="BW210" s="23">
        <f t="shared" ref="BW210" si="1695">BV162-BW162+BV177+BV178-BW177-BW178</f>
        <v>-147.90321791516726</v>
      </c>
      <c r="BX210" s="23">
        <f t="shared" ref="BX210" si="1696">BW162-BX162+BW177+BW178-BX177-BX178</f>
        <v>-170.56678208483265</v>
      </c>
      <c r="BY210" s="23">
        <f t="shared" ref="BY210" si="1697">BX162-BY162+BX177+BX178-BY177-BY178</f>
        <v>-114.11588439065781</v>
      </c>
      <c r="BZ210" s="23">
        <f t="shared" ref="BZ210" si="1698">BY162-BZ162+BY177+BY178-BZ177-BZ178</f>
        <v>171.43588439065707</v>
      </c>
      <c r="CA210" s="23">
        <f t="shared" ref="CA210" si="1699">BZ162-CA162+BZ177+BZ178-CA177-CA178</f>
        <v>-118.46144918244863</v>
      </c>
      <c r="CB210" s="23">
        <f t="shared" ref="CB210" si="1700">CA162-CB162+CA177+CA178-CB177-CB178</f>
        <v>283.17144918244821</v>
      </c>
      <c r="CC210" s="23">
        <f t="shared" ref="CC210" si="1701">CB162-CC162+CB177+CB178-CC177-CC178</f>
        <v>-65.241557563647802</v>
      </c>
      <c r="CD210" s="23">
        <f t="shared" ref="CD210" si="1702">CC162-CD162+CC177+CC178-CD177-CD178</f>
        <v>778.76155756364903</v>
      </c>
      <c r="CE210" s="23">
        <f t="shared" ref="CE210" si="1703">CD162-CE162+CD177+CD178-CE177-CE178</f>
        <v>-396.891496432336</v>
      </c>
      <c r="CF210" s="23">
        <f t="shared" ref="CF210" si="1704">CE162-CF162+CE177+CE178-CF177-CF178</f>
        <v>-109.71850356766481</v>
      </c>
      <c r="CG210" s="23">
        <f t="shared" ref="CG210" si="1705">CF162-CG162+CF177+CF178-CG177-CG178</f>
        <v>-234.20380986842974</v>
      </c>
      <c r="CH210" s="23">
        <f t="shared" ref="CH210:CL210" si="1706">CG162-CH162+CG177+CG178-CH177-CH178</f>
        <v>291.0338098684299</v>
      </c>
      <c r="CI210" s="23">
        <f t="shared" si="1706"/>
        <v>-235.17462566891277</v>
      </c>
      <c r="CJ210" s="23">
        <f t="shared" si="1706"/>
        <v>-841.11537433108788</v>
      </c>
      <c r="CK210" s="23">
        <f t="shared" ref="CK210" si="1707">CJ162-CK162+CJ177+CJ178-CK177-CK178</f>
        <v>-218.65543889325272</v>
      </c>
      <c r="CL210" s="23">
        <f t="shared" si="1706"/>
        <v>65.045438893253731</v>
      </c>
      <c r="CM210" s="24">
        <f t="shared" ref="CM210" si="1708">CL162-CM162+CL177+CL178-CM177-CM178</f>
        <v>-15.57636667193492</v>
      </c>
      <c r="CN210" s="24">
        <f t="shared" ref="CN210" si="1709">CM162-CN162+CM177+CM178-CN177-CN178</f>
        <v>-374.29302237819161</v>
      </c>
      <c r="CO210" s="24">
        <f t="shared" ref="CO210" si="1710">CN162-CO162+CN177+CN178-CO177-CO178</f>
        <v>-170.81613679648149</v>
      </c>
      <c r="CP210" s="24">
        <f t="shared" ref="CP210" si="1711">CO162-CP162+CO177+CO178-CP177-CP178</f>
        <v>-495.18136302466996</v>
      </c>
      <c r="CQ210" s="24">
        <f t="shared" ref="CQ210" si="1712">CP162-CQ162+CP177+CP178-CQ177-CQ178</f>
        <v>8.2686358822011243</v>
      </c>
      <c r="CR210" s="24">
        <f t="shared" ref="CR210" si="1713">CQ162-CR162+CQ177+CQ178-CR177-CR178</f>
        <v>-431.77678178371957</v>
      </c>
      <c r="CS210" s="24">
        <f t="shared" ref="CS210" si="1714">CR162-CS162+CR177+CR178-CS177-CS178</f>
        <v>-157.83122854344788</v>
      </c>
      <c r="CT210" s="24">
        <f t="shared" ref="CT210" si="1715">CS162-CT162+CS177+CS178-CT177-CT178</f>
        <v>-573.94260280438743</v>
      </c>
      <c r="CU210" s="24">
        <f t="shared" ref="CU210" si="1716">CT162-CU162+CT177+CT178-CU177-CU178</f>
        <v>1.0324959278641472</v>
      </c>
      <c r="CV210" s="24">
        <f t="shared" ref="CV210" si="1717">CU162-CV162+CU177+CU178-CV177-CV178</f>
        <v>-500.14269275377615</v>
      </c>
      <c r="CW210" s="24">
        <f t="shared" ref="CW210" si="1718">CV162-CW162+CV177+CV178-CW177-CW178</f>
        <v>-159.50787904045524</v>
      </c>
      <c r="CX210" s="24">
        <f t="shared" ref="CX210" si="1719">CW162-CX162+CW177+CW178-CX177-CX178</f>
        <v>-687.61934810284242</v>
      </c>
      <c r="CY210" s="24">
        <f t="shared" ref="CY210" si="1720">CX162-CY162+CX177+CX178-CY177-CY178</f>
        <v>19.727143603015065</v>
      </c>
      <c r="CZ210" s="24">
        <f t="shared" ref="CZ210" si="1721">CY162-CZ162+CY177+CY178-CZ177-CZ178</f>
        <v>-585.21965886953535</v>
      </c>
      <c r="DA210" s="24">
        <f t="shared" ref="DA210" si="1722">CZ162-DA162+CZ177+CZ178-DA177-DA178</f>
        <v>-163.1018226751878</v>
      </c>
      <c r="DB210" s="24">
        <f t="shared" ref="DB210" si="1723">DA162-DB162+DA177+DA178-DB177-DB178</f>
        <v>-826.86615135909256</v>
      </c>
      <c r="DE210" s="123"/>
      <c r="DF210" s="23">
        <v>-336.17913468046845</v>
      </c>
    </row>
    <row r="211" spans="1:110" s="23" customFormat="1" x14ac:dyDescent="0.2">
      <c r="A211" s="23" t="s">
        <v>73</v>
      </c>
      <c r="C211" s="23">
        <f t="shared" ref="C211:AA211" si="1724">B170-C170</f>
        <v>-528.3261</v>
      </c>
      <c r="D211" s="23">
        <f t="shared" si="1724"/>
        <v>33.100099999999998</v>
      </c>
      <c r="E211" s="23">
        <f>D170-E170</f>
        <v>2.2147999999999683</v>
      </c>
      <c r="F211" s="23">
        <f t="shared" si="1724"/>
        <v>-33.950500000000034</v>
      </c>
      <c r="G211" s="23">
        <f t="shared" si="1724"/>
        <v>-148.9525000000001</v>
      </c>
      <c r="H211" s="23">
        <f t="shared" si="1724"/>
        <v>-202.50159999999983</v>
      </c>
      <c r="I211" s="23">
        <f t="shared" si="1724"/>
        <v>-277.11340000000018</v>
      </c>
      <c r="J211" s="23">
        <f>I170-J170</f>
        <v>-258.51279999999997</v>
      </c>
      <c r="K211" s="23">
        <f>J170-K170</f>
        <v>56.856899999999996</v>
      </c>
      <c r="L211" s="23">
        <f t="shared" si="1724"/>
        <v>-34.390699999999924</v>
      </c>
      <c r="M211" s="23">
        <f t="shared" si="1724"/>
        <v>-71.445899999999938</v>
      </c>
      <c r="N211" s="23">
        <f t="shared" si="1724"/>
        <v>-61.597999999999956</v>
      </c>
      <c r="O211" s="23">
        <f t="shared" si="1724"/>
        <v>72.919399999999996</v>
      </c>
      <c r="P211" s="23">
        <f t="shared" si="1724"/>
        <v>-1324.1402999999998</v>
      </c>
      <c r="Q211" s="23">
        <f t="shared" si="1724"/>
        <v>1625.1399999999999</v>
      </c>
      <c r="R211" s="23">
        <f t="shared" si="1724"/>
        <v>-81.270000000000209</v>
      </c>
      <c r="S211" s="23">
        <f t="shared" si="1724"/>
        <v>81.930000000000064</v>
      </c>
      <c r="T211" s="23">
        <f t="shared" si="1724"/>
        <v>59.740000000000009</v>
      </c>
      <c r="U211" s="23">
        <f t="shared" si="1724"/>
        <v>-730.05000000000018</v>
      </c>
      <c r="V211" s="23">
        <f t="shared" si="1724"/>
        <v>-829.18000000000006</v>
      </c>
      <c r="W211" s="23">
        <f t="shared" si="1724"/>
        <v>-185</v>
      </c>
      <c r="X211" s="23">
        <f t="shared" si="1724"/>
        <v>-601.35999999999967</v>
      </c>
      <c r="Y211" s="23">
        <f t="shared" si="1724"/>
        <v>-2197.3700000000003</v>
      </c>
      <c r="Z211" s="23">
        <f t="shared" si="1724"/>
        <v>-715.58999999999924</v>
      </c>
      <c r="AA211" s="23">
        <f t="shared" si="1724"/>
        <v>-393.00000000000091</v>
      </c>
      <c r="AB211" s="24">
        <f t="shared" ref="AB211" si="1725">AA170-AB170</f>
        <v>-969.37568727097005</v>
      </c>
      <c r="AC211" s="24">
        <f t="shared" ref="AC211" si="1726">AB170-AC170</f>
        <v>-1060.6472013579596</v>
      </c>
      <c r="AD211" s="24">
        <f t="shared" ref="AD211" si="1727">AC170-AD170</f>
        <v>-1235.9605570026997</v>
      </c>
      <c r="AE211" s="24">
        <f t="shared" ref="AE211" si="1728">AD170-AE170</f>
        <v>-1428.0451416093456</v>
      </c>
      <c r="AI211" s="23">
        <f t="shared" ref="AI211" si="1729">AH170-AI170</f>
        <v>0</v>
      </c>
      <c r="AJ211" s="23">
        <f t="shared" ref="AJ211" si="1730">AI170-AJ170</f>
        <v>-2032.35</v>
      </c>
      <c r="AK211" s="23">
        <f t="shared" ref="AK211" si="1731">AJ170-AK170</f>
        <v>0</v>
      </c>
      <c r="AL211" s="23">
        <f t="shared" ref="AL211" si="1732">AK170-AL170</f>
        <v>-66.710000000000036</v>
      </c>
      <c r="AM211" s="23">
        <f t="shared" ref="AM211" si="1733">AL170-AM170</f>
        <v>15.400840010813681</v>
      </c>
      <c r="AN211" s="23">
        <f t="shared" ref="AN211" si="1734">AM170-AN170</f>
        <v>-54.860840010813718</v>
      </c>
      <c r="AO211" s="23">
        <f t="shared" ref="AO211" si="1735">AN170-AO170</f>
        <v>-74.709994000455026</v>
      </c>
      <c r="AP211" s="23">
        <f t="shared" ref="AP211" si="1736">AO170-AP170</f>
        <v>522.27999400045496</v>
      </c>
      <c r="AQ211" s="23">
        <f t="shared" ref="AQ211" si="1737">AP170-AQ170</f>
        <v>-0.2938759012108676</v>
      </c>
      <c r="AR211" s="23">
        <f t="shared" ref="AR211" si="1738">AQ170-AR170</f>
        <v>-17.156124098789178</v>
      </c>
      <c r="AS211" s="23">
        <f t="shared" ref="AS211" si="1739">AR170-AS170</f>
        <v>-54.231417873487089</v>
      </c>
      <c r="AT211" s="23">
        <f t="shared" ref="AT211" si="1740">AS170-AT170</f>
        <v>42.201417873487117</v>
      </c>
      <c r="AU211" s="23">
        <f t="shared" ref="AU211" si="1741">AT170-AU170</f>
        <v>98.925651522638191</v>
      </c>
      <c r="AV211" s="23">
        <f t="shared" ref="AV211" si="1742">AU170-AV170</f>
        <v>-55.185651522638182</v>
      </c>
      <c r="AW211" s="23">
        <f t="shared" ref="AW211" si="1743">AV170-AW170</f>
        <v>-16.0009056875017</v>
      </c>
      <c r="AX211" s="23">
        <f t="shared" ref="AX211" si="1744">AW170-AX170</f>
        <v>-101.87909431249818</v>
      </c>
      <c r="AY211" s="23">
        <f t="shared" ref="AY211" si="1745">AX170-AY170</f>
        <v>-58.100292801952264</v>
      </c>
      <c r="AZ211" s="23">
        <f t="shared" ref="AZ211" si="1746">AY170-AZ170</f>
        <v>-82.859707198047772</v>
      </c>
      <c r="BA211" s="23">
        <f t="shared" ref="BA211" si="1747">AZ170-BA170</f>
        <v>-56.098323795663646</v>
      </c>
      <c r="BB211" s="23">
        <f t="shared" ref="BB211" si="1748">BA170-BB170</f>
        <v>540.92832379566357</v>
      </c>
      <c r="BC211" s="23">
        <f t="shared" ref="BC211" si="1749">BB170-BC170</f>
        <v>-9.8472101167085384</v>
      </c>
      <c r="BD211" s="23">
        <f t="shared" ref="BD211" si="1750">BC170-BD170</f>
        <v>1.9072101167087112</v>
      </c>
      <c r="BE211" s="23">
        <f t="shared" ref="BE211" si="1751">BD170-BE170</f>
        <v>-15.896849551455944</v>
      </c>
      <c r="BF211" s="23">
        <f t="shared" ref="BF211" si="1752">BE170-BF170</f>
        <v>110.59684955145599</v>
      </c>
      <c r="BG211" s="23">
        <f t="shared" ref="BG211" si="1753">BF170-BG170</f>
        <v>-47.729986199952691</v>
      </c>
      <c r="BH211" s="23">
        <f t="shared" ref="BH211" si="1754">BG170-BH170</f>
        <v>-139.02001380004754</v>
      </c>
      <c r="BI211" s="23">
        <f t="shared" ref="BI211" si="1755">BH170-BI170</f>
        <v>-71.146990351360273</v>
      </c>
      <c r="BJ211" s="23">
        <f t="shared" ref="BJ211" si="1756">BI170-BJ170</f>
        <v>304.83699035136033</v>
      </c>
      <c r="BK211" s="23">
        <f t="shared" ref="BK211" si="1757">BJ170-BK170</f>
        <v>-231.02565532312769</v>
      </c>
      <c r="BL211" s="23">
        <f t="shared" ref="BL211" si="1758">BK170-BL170</f>
        <v>-144.14434467687238</v>
      </c>
      <c r="BM211" s="23">
        <f t="shared" ref="BM211" si="1759">BL170-BM170</f>
        <v>-47.278884651927683</v>
      </c>
      <c r="BN211" s="23">
        <f t="shared" ref="BN211" si="1760">BM170-BN170</f>
        <v>-357.31111534807201</v>
      </c>
      <c r="BO211" s="23">
        <f t="shared" ref="BO211" si="1761">BN170-BO170</f>
        <v>-121.23741957480797</v>
      </c>
      <c r="BP211" s="23">
        <f t="shared" ref="BP211" si="1762">BO170-BP170</f>
        <v>-366.49258042519205</v>
      </c>
      <c r="BQ211" s="23">
        <f t="shared" ref="BQ211" si="1763">BP170-BQ170</f>
        <v>-148.31308311820885</v>
      </c>
      <c r="BR211" s="23">
        <f t="shared" ref="BR211" si="1764">BQ170-BR170</f>
        <v>-119.22691688179111</v>
      </c>
      <c r="BS211" s="23">
        <f t="shared" ref="BS211" si="1765">BR170-BS170</f>
        <v>15.391877177155493</v>
      </c>
      <c r="BT211" s="23">
        <f t="shared" ref="BT211" si="1766">BS170-BT170</f>
        <v>152.63812282284425</v>
      </c>
      <c r="BU211" s="23">
        <f t="shared" ref="BU211" si="1767">BT170-BU170</f>
        <v>-86.9857297436306</v>
      </c>
      <c r="BV211" s="23">
        <f t="shared" ref="BV211" si="1768">BU170-BV170</f>
        <v>-266.0442702563696</v>
      </c>
      <c r="BW211" s="23">
        <f t="shared" ref="BW211" si="1769">BV170-BW170</f>
        <v>-91.357653657323226</v>
      </c>
      <c r="BX211" s="23">
        <f t="shared" ref="BX211" si="1770">BW170-BX170</f>
        <v>75.95765365732359</v>
      </c>
      <c r="BY211" s="23">
        <f t="shared" ref="BY211" si="1771">BX170-BY170</f>
        <v>-62.656564725472435</v>
      </c>
      <c r="BZ211" s="23">
        <f t="shared" ref="BZ211" si="1772">BY170-BZ170</f>
        <v>-523.3034352745276</v>
      </c>
      <c r="CA211" s="23">
        <f t="shared" ref="CA211" si="1773">BZ170-CA170</f>
        <v>-79.476801640354552</v>
      </c>
      <c r="CB211" s="23">
        <f t="shared" ref="CB211" si="1774">CA170-CB170</f>
        <v>518.84680164035444</v>
      </c>
      <c r="CC211" s="23">
        <f t="shared" ref="CC211" si="1775">CB170-CC170</f>
        <v>-35.922099052434532</v>
      </c>
      <c r="CD211" s="23">
        <f t="shared" ref="CD211" si="1776">CC170-CD170</f>
        <v>-2600.8179009475657</v>
      </c>
      <c r="CE211" s="23">
        <f t="shared" ref="CE211" si="1777">CD170-CE170</f>
        <v>-293.07569748964852</v>
      </c>
      <c r="CF211" s="23">
        <f t="shared" ref="CF211" si="1778">CE170-CF170</f>
        <v>204.59569748964896</v>
      </c>
      <c r="CG211" s="23">
        <f t="shared" ref="CG211" si="1779">CF170-CG170</f>
        <v>-138.22218885026541</v>
      </c>
      <c r="CH211" s="23">
        <f t="shared" ref="CH211:CL211" si="1780">CG170-CH170</f>
        <v>-488.88781114973426</v>
      </c>
      <c r="CI211" s="23">
        <f t="shared" si="1780"/>
        <v>-242.6641808550803</v>
      </c>
      <c r="CJ211" s="23">
        <f t="shared" si="1780"/>
        <v>679.58418085507947</v>
      </c>
      <c r="CK211" s="23">
        <f t="shared" ref="CK211" si="1781">CJ170-CK170</f>
        <v>-179.89049779496236</v>
      </c>
      <c r="CL211" s="23">
        <f t="shared" si="1780"/>
        <v>-650.02950220503772</v>
      </c>
      <c r="CM211" s="24">
        <f t="shared" ref="CM211" si="1782">CL170-CM170</f>
        <v>-14.300430581673936</v>
      </c>
      <c r="CN211" s="24">
        <f t="shared" ref="CN211" si="1783">CM170-CN170</f>
        <v>-343.63285716483915</v>
      </c>
      <c r="CO211" s="24">
        <f t="shared" ref="CO211" si="1784">CN170-CO170</f>
        <v>-156.82375472638614</v>
      </c>
      <c r="CP211" s="24">
        <f t="shared" ref="CP211" si="1785">CO170-CP170</f>
        <v>-454.61864479807082</v>
      </c>
      <c r="CQ211" s="24">
        <f t="shared" ref="CQ211" si="1786">CP170-CQ170</f>
        <v>7.5913116279944006</v>
      </c>
      <c r="CR211" s="24">
        <f t="shared" ref="CR211" si="1787">CQ170-CR170</f>
        <v>-396.40784174667533</v>
      </c>
      <c r="CS211" s="24">
        <f t="shared" ref="CS211" si="1788">CR170-CS170</f>
        <v>-144.9025035775885</v>
      </c>
      <c r="CT211" s="24">
        <f t="shared" ref="CT211" si="1789">CS170-CT170</f>
        <v>-526.92816766169017</v>
      </c>
      <c r="CU211" s="24">
        <f t="shared" ref="CU211" si="1790">CT170-CU170</f>
        <v>0.9479191555565194</v>
      </c>
      <c r="CV211" s="24">
        <f t="shared" ref="CV211" si="1791">CU170-CV170</f>
        <v>-459.17356783488867</v>
      </c>
      <c r="CW211" s="24">
        <f t="shared" ref="CW211" si="1792">CV170-CW170</f>
        <v>-146.44181146286792</v>
      </c>
      <c r="CX211" s="24">
        <f t="shared" ref="CX211" si="1793">CW170-CX170</f>
        <v>-631.29309686049965</v>
      </c>
      <c r="CY211" s="24">
        <f t="shared" ref="CY211" si="1794">CX170-CY170</f>
        <v>18.11119714958113</v>
      </c>
      <c r="CZ211" s="24">
        <f t="shared" ref="CZ211" si="1795">CY170-CZ170</f>
        <v>-537.28146511685736</v>
      </c>
      <c r="DA211" s="24">
        <f t="shared" ref="DA211" si="1796">CZ170-DA170</f>
        <v>-149.74135766291693</v>
      </c>
      <c r="DB211" s="24">
        <f t="shared" ref="DB211" si="1797">DA170-DB170</f>
        <v>-759.13351597915243</v>
      </c>
      <c r="DE211" s="123"/>
      <c r="DF211" s="23">
        <v>-276.57867644203998</v>
      </c>
    </row>
    <row r="212" spans="1:110" s="22" customFormat="1" x14ac:dyDescent="0.2">
      <c r="A212" s="22" t="s">
        <v>90</v>
      </c>
      <c r="C212" s="22">
        <f t="shared" ref="C212:W212" si="1798">C210-C211</f>
        <v>116.11420000000004</v>
      </c>
      <c r="D212" s="22">
        <f t="shared" si="1798"/>
        <v>-102.16900000000001</v>
      </c>
      <c r="E212" s="22">
        <f t="shared" si="1798"/>
        <v>47.458199999999927</v>
      </c>
      <c r="F212" s="22">
        <f t="shared" si="1798"/>
        <v>-41.294099999999872</v>
      </c>
      <c r="G212" s="22">
        <f t="shared" si="1798"/>
        <v>76.285100000000014</v>
      </c>
      <c r="H212" s="22">
        <f t="shared" si="1798"/>
        <v>-90.24430000000001</v>
      </c>
      <c r="I212" s="22">
        <f t="shared" si="1798"/>
        <v>-460.97939999999994</v>
      </c>
      <c r="J212" s="22">
        <f>J210-J211</f>
        <v>-1212.8719999999998</v>
      </c>
      <c r="K212" s="22">
        <f t="shared" si="1798"/>
        <v>1380.2984000000001</v>
      </c>
      <c r="L212" s="22">
        <f t="shared" si="1798"/>
        <v>-260.49440000000004</v>
      </c>
      <c r="M212" s="22">
        <f t="shared" si="1798"/>
        <v>-231.78179999999998</v>
      </c>
      <c r="N212" s="22">
        <f t="shared" si="1798"/>
        <v>-260.06200000000007</v>
      </c>
      <c r="O212" s="22">
        <f t="shared" si="1798"/>
        <v>-422.07899999999978</v>
      </c>
      <c r="P212" s="22">
        <f t="shared" si="1798"/>
        <v>76.324299999999539</v>
      </c>
      <c r="Q212" s="22">
        <f t="shared" si="1798"/>
        <v>-336.8900000000001</v>
      </c>
      <c r="R212" s="22">
        <f t="shared" si="1798"/>
        <v>584.88000000000079</v>
      </c>
      <c r="S212" s="22">
        <f t="shared" si="1798"/>
        <v>-465.49000000000063</v>
      </c>
      <c r="T212" s="22">
        <f t="shared" si="1798"/>
        <v>-166.06999999999996</v>
      </c>
      <c r="U212" s="22">
        <f t="shared" si="1798"/>
        <v>473.46000000000106</v>
      </c>
      <c r="V212" s="22">
        <f t="shared" si="1798"/>
        <v>651.08999999999958</v>
      </c>
      <c r="W212" s="22">
        <f t="shared" si="1798"/>
        <v>-243.73000000000047</v>
      </c>
      <c r="X212" s="22">
        <f t="shared" ref="X212:Y212" si="1799">X210-X211</f>
        <v>345.81000000000029</v>
      </c>
      <c r="Y212" s="22">
        <f t="shared" si="1799"/>
        <v>3197.41</v>
      </c>
      <c r="Z212" s="22">
        <f t="shared" ref="Z212:AA212" si="1800">Z210-Z211</f>
        <v>-240.04000000000065</v>
      </c>
      <c r="AA212" s="22">
        <f t="shared" si="1800"/>
        <v>-188.58999999999946</v>
      </c>
      <c r="AB212" s="21">
        <f t="shared" ref="AA212:AD212" si="1801">AB210-AB211</f>
        <v>-734.80120160030697</v>
      </c>
      <c r="AC212" s="21">
        <f t="shared" si="1801"/>
        <v>-94.634775891393701</v>
      </c>
      <c r="AD212" s="21">
        <f t="shared" si="1801"/>
        <v>-110.27686696650949</v>
      </c>
      <c r="AE212" s="21">
        <f t="shared" ref="AE212" si="1802">AE210-AE211</f>
        <v>-127.4153476914546</v>
      </c>
      <c r="AI212" s="22">
        <f t="shared" ref="AI212" si="1803">AI210-AI211</f>
        <v>0</v>
      </c>
      <c r="AJ212" s="22">
        <f t="shared" ref="AJ212:AL212" si="1804">AJ210-AJ211</f>
        <v>-1187.0700000000006</v>
      </c>
      <c r="AK212" s="22">
        <f t="shared" si="1804"/>
        <v>-57.023142926083445</v>
      </c>
      <c r="AL212" s="22">
        <f t="shared" si="1804"/>
        <v>403.88314292608379</v>
      </c>
      <c r="AM212" s="22">
        <f t="shared" ref="AM212" si="1805">AM210-AM211</f>
        <v>25.439426872127569</v>
      </c>
      <c r="AN212" s="22">
        <f t="shared" ref="AN212:CD212" si="1806">AN210-AN211</f>
        <v>-680.13942687212761</v>
      </c>
      <c r="AO212" s="22">
        <f t="shared" si="1806"/>
        <v>-124.0180416658045</v>
      </c>
      <c r="AP212" s="22">
        <f t="shared" si="1806"/>
        <v>21.438041665805031</v>
      </c>
      <c r="AQ212" s="22">
        <f t="shared" si="1806"/>
        <v>-0.5366002418941207</v>
      </c>
      <c r="AR212" s="22">
        <f t="shared" si="1806"/>
        <v>-309.45339975810623</v>
      </c>
      <c r="AS212" s="22">
        <f t="shared" si="1806"/>
        <v>-100.73550329853128</v>
      </c>
      <c r="AT212" s="22">
        <f t="shared" si="1806"/>
        <v>508.35550329853118</v>
      </c>
      <c r="AU212" s="22">
        <f t="shared" si="1806"/>
        <v>193.06766671000946</v>
      </c>
      <c r="AV212" s="22">
        <f t="shared" si="1806"/>
        <v>-649.43766671000867</v>
      </c>
      <c r="AW212" s="22">
        <f t="shared" si="1806"/>
        <v>-30.694929228189494</v>
      </c>
      <c r="AX212" s="22">
        <f t="shared" si="1806"/>
        <v>533.49492922818899</v>
      </c>
      <c r="AY212" s="22">
        <f t="shared" si="1806"/>
        <v>-132.4597462383083</v>
      </c>
      <c r="AZ212" s="22">
        <f t="shared" si="1806"/>
        <v>570.19974623830785</v>
      </c>
      <c r="BA212" s="22">
        <f t="shared" si="1806"/>
        <v>-106.48399780469143</v>
      </c>
      <c r="BB212" s="22">
        <f t="shared" si="1806"/>
        <v>-171.51600219530837</v>
      </c>
      <c r="BC212" s="22">
        <f t="shared" si="1806"/>
        <v>-17.453784847530187</v>
      </c>
      <c r="BD212" s="22">
        <f t="shared" si="1806"/>
        <v>-266.8562151524701</v>
      </c>
      <c r="BE212" s="22">
        <f t="shared" si="1806"/>
        <v>-32.389101965557998</v>
      </c>
      <c r="BF212" s="22">
        <f t="shared" si="1806"/>
        <v>-153.62089803444206</v>
      </c>
      <c r="BG212" s="22">
        <f t="shared" si="1806"/>
        <v>-94.066751599146755</v>
      </c>
      <c r="BH212" s="22">
        <f t="shared" si="1806"/>
        <v>-179.61324840085257</v>
      </c>
      <c r="BI212" s="22">
        <f t="shared" si="1806"/>
        <v>-144.67878639536184</v>
      </c>
      <c r="BJ212" s="22">
        <f t="shared" si="1806"/>
        <v>265.08878639536181</v>
      </c>
      <c r="BK212" s="22">
        <f t="shared" si="1806"/>
        <v>-564.79848546292192</v>
      </c>
      <c r="BL212" s="22">
        <f t="shared" si="1806"/>
        <v>576.80848546292168</v>
      </c>
      <c r="BM212" s="22">
        <f t="shared" si="1806"/>
        <v>-106.67243184054973</v>
      </c>
      <c r="BN212" s="22">
        <f t="shared" si="1806"/>
        <v>324.37243184054961</v>
      </c>
      <c r="BO212" s="22">
        <f t="shared" si="1806"/>
        <v>-217.1058972237347</v>
      </c>
      <c r="BP212" s="22">
        <f t="shared" si="1806"/>
        <v>123.90589722373477</v>
      </c>
      <c r="BQ212" s="22">
        <f t="shared" si="1806"/>
        <v>-196.29310073561646</v>
      </c>
      <c r="BR212" s="22">
        <f t="shared" si="1806"/>
        <v>773.72310073561653</v>
      </c>
      <c r="BS212" s="22">
        <f t="shared" si="1806"/>
        <v>13.114916798914692</v>
      </c>
      <c r="BT212" s="22">
        <f t="shared" si="1806"/>
        <v>-104.28491679891442</v>
      </c>
      <c r="BU212" s="22">
        <f t="shared" si="1806"/>
        <v>-82.542287347682304</v>
      </c>
      <c r="BV212" s="22">
        <f t="shared" si="1806"/>
        <v>-62.047712652317614</v>
      </c>
      <c r="BW212" s="22">
        <f t="shared" si="1806"/>
        <v>-56.545564257844035</v>
      </c>
      <c r="BX212" s="22">
        <f t="shared" si="1806"/>
        <v>-246.52443574215624</v>
      </c>
      <c r="BY212" s="22">
        <f t="shared" si="1806"/>
        <v>-51.459319665185376</v>
      </c>
      <c r="BZ212" s="22">
        <f t="shared" si="1806"/>
        <v>694.73931966518467</v>
      </c>
      <c r="CA212" s="22">
        <f t="shared" si="1806"/>
        <v>-38.984647542094081</v>
      </c>
      <c r="CB212" s="22">
        <f t="shared" si="1806"/>
        <v>-235.67535245790623</v>
      </c>
      <c r="CC212" s="22">
        <f t="shared" si="1806"/>
        <v>-29.31945851121327</v>
      </c>
      <c r="CD212" s="22">
        <f t="shared" si="1806"/>
        <v>3379.5794585112149</v>
      </c>
      <c r="CE212" s="22">
        <f t="shared" ref="CE212:CF212" si="1807">CE210-CE211</f>
        <v>-103.81579894268748</v>
      </c>
      <c r="CF212" s="22">
        <f t="shared" si="1807"/>
        <v>-314.31420105731377</v>
      </c>
      <c r="CG212" s="22">
        <f t="shared" ref="CG212:CH212" si="1808">CG210-CG211</f>
        <v>-95.981621018164333</v>
      </c>
      <c r="CH212" s="22">
        <f t="shared" si="1808"/>
        <v>779.92162101816416</v>
      </c>
      <c r="CI212" s="22">
        <f t="shared" ref="CI212:CJ212" si="1809">CI210-CI211</f>
        <v>7.4895551861675358</v>
      </c>
      <c r="CJ212" s="22">
        <f t="shared" si="1809"/>
        <v>-1520.6995551861673</v>
      </c>
      <c r="CK212" s="22">
        <f t="shared" ref="CK212:DB212" si="1810">CK210-CK211</f>
        <v>-38.764941098290365</v>
      </c>
      <c r="CL212" s="22">
        <f t="shared" si="1810"/>
        <v>715.07494109829145</v>
      </c>
      <c r="CM212" s="21">
        <f t="shared" si="1810"/>
        <v>-1.2759360902609842</v>
      </c>
      <c r="CN212" s="21">
        <f t="shared" si="1810"/>
        <v>-30.660165213352457</v>
      </c>
      <c r="CO212" s="21">
        <f t="shared" si="1810"/>
        <v>-13.992382070095346</v>
      </c>
      <c r="CP212" s="21">
        <f t="shared" si="1810"/>
        <v>-40.562718226599145</v>
      </c>
      <c r="CQ212" s="21">
        <f t="shared" si="1810"/>
        <v>0.67732425420672371</v>
      </c>
      <c r="CR212" s="21">
        <f t="shared" si="1810"/>
        <v>-35.36894003704424</v>
      </c>
      <c r="CS212" s="21">
        <f t="shared" si="1810"/>
        <v>-12.928724965859374</v>
      </c>
      <c r="CT212" s="21">
        <f t="shared" si="1810"/>
        <v>-47.014435142697266</v>
      </c>
      <c r="CU212" s="21">
        <f t="shared" si="1810"/>
        <v>8.4576772307627834E-2</v>
      </c>
      <c r="CV212" s="21">
        <f t="shared" si="1810"/>
        <v>-40.969124918887474</v>
      </c>
      <c r="CW212" s="21">
        <f t="shared" si="1810"/>
        <v>-13.066067577587319</v>
      </c>
      <c r="CX212" s="21">
        <f t="shared" si="1810"/>
        <v>-56.326251242342778</v>
      </c>
      <c r="CY212" s="21">
        <f t="shared" si="1810"/>
        <v>1.6159464534339349</v>
      </c>
      <c r="CZ212" s="21">
        <f t="shared" si="1810"/>
        <v>-47.938193752677989</v>
      </c>
      <c r="DA212" s="21">
        <f t="shared" si="1810"/>
        <v>-13.360465012270879</v>
      </c>
      <c r="DB212" s="21">
        <f t="shared" si="1810"/>
        <v>-67.73263537994012</v>
      </c>
      <c r="DE212" s="126"/>
      <c r="DF212" s="22">
        <v>-59.600458238428473</v>
      </c>
    </row>
    <row r="213" spans="1:110" s="22" customFormat="1" x14ac:dyDescent="0.2">
      <c r="A213" s="22" t="s">
        <v>91</v>
      </c>
      <c r="C213" s="22">
        <f t="shared" ref="C213:W213" si="1811">C209+C212</f>
        <v>306.80569999999972</v>
      </c>
      <c r="D213" s="22">
        <f>D209+D212</f>
        <v>69.937599999999151</v>
      </c>
      <c r="E213" s="22">
        <f t="shared" si="1811"/>
        <v>335.13759999999991</v>
      </c>
      <c r="F213" s="22">
        <f t="shared" si="1811"/>
        <v>252.02490000000043</v>
      </c>
      <c r="G213" s="22">
        <f t="shared" si="1811"/>
        <v>451.2688000000004</v>
      </c>
      <c r="H213" s="22">
        <f t="shared" si="1811"/>
        <v>449.81300000000039</v>
      </c>
      <c r="I213" s="22">
        <f t="shared" si="1811"/>
        <v>1173.1972999999994</v>
      </c>
      <c r="J213" s="22">
        <f>J209+J212</f>
        <v>-413.63819999999953</v>
      </c>
      <c r="K213" s="22">
        <f t="shared" si="1811"/>
        <v>1873.5229999999997</v>
      </c>
      <c r="L213" s="22">
        <f t="shared" si="1811"/>
        <v>93.271899999999505</v>
      </c>
      <c r="M213" s="22">
        <f t="shared" si="1811"/>
        <v>220.49770000000001</v>
      </c>
      <c r="N213" s="22">
        <f t="shared" si="1811"/>
        <v>217.78380000000101</v>
      </c>
      <c r="O213" s="22">
        <f t="shared" si="1811"/>
        <v>187.49459999999971</v>
      </c>
      <c r="P213" s="22">
        <f t="shared" si="1811"/>
        <v>457.24429999999802</v>
      </c>
      <c r="Q213" s="22">
        <f t="shared" si="1811"/>
        <v>-225.61999999999961</v>
      </c>
      <c r="R213" s="22">
        <f t="shared" si="1811"/>
        <v>1100.3600000000006</v>
      </c>
      <c r="S213" s="22">
        <f t="shared" si="1811"/>
        <v>146.10999999999962</v>
      </c>
      <c r="T213" s="22">
        <f t="shared" si="1811"/>
        <v>364.68999999999983</v>
      </c>
      <c r="U213" s="22">
        <f t="shared" si="1811"/>
        <v>1174.9299999999996</v>
      </c>
      <c r="V213" s="22">
        <f t="shared" si="1811"/>
        <v>1762.5200000000004</v>
      </c>
      <c r="W213" s="22">
        <f t="shared" si="1811"/>
        <v>970.06000000000017</v>
      </c>
      <c r="X213" s="22">
        <f t="shared" ref="X213:Y213" si="1812">X209+X212</f>
        <v>1853.6599999999994</v>
      </c>
      <c r="Y213" s="22">
        <f t="shared" si="1812"/>
        <v>4724.8900000000012</v>
      </c>
      <c r="Z213" s="22">
        <f t="shared" ref="Z213:AA213" si="1813">Z209+Z212</f>
        <v>1639.1700000000008</v>
      </c>
      <c r="AA213" s="22">
        <f t="shared" si="1813"/>
        <v>1980.3900000000006</v>
      </c>
      <c r="AB213" s="21">
        <f t="shared" ref="AA213:AD213" si="1814">AB209+AB212</f>
        <v>2041.1114283952791</v>
      </c>
      <c r="AC213" s="21">
        <f t="shared" si="1814"/>
        <v>3111.1034781827047</v>
      </c>
      <c r="AD213" s="21">
        <f t="shared" si="1814"/>
        <v>3613.7606969158242</v>
      </c>
      <c r="AE213" s="21">
        <f t="shared" ref="AE213" si="1815">AE209+AE212</f>
        <v>4195.4081723930094</v>
      </c>
      <c r="AI213" s="22">
        <f t="shared" ref="AI213" si="1816">AI209+AI212</f>
        <v>102.68000000000019</v>
      </c>
      <c r="AJ213" s="22">
        <f t="shared" ref="AJ213:AL213" si="1817">AJ209+AJ212</f>
        <v>-1042.9700000000005</v>
      </c>
      <c r="AK213" s="22">
        <f t="shared" si="1817"/>
        <v>47.826857073916237</v>
      </c>
      <c r="AL213" s="22">
        <f t="shared" si="1817"/>
        <v>530.10314292608359</v>
      </c>
      <c r="AM213" s="22">
        <f t="shared" ref="AM213" si="1818">AM209+AM212</f>
        <v>165.84942687212745</v>
      </c>
      <c r="AN213" s="22">
        <f t="shared" ref="AN213:CD213" si="1819">AN209+AN212</f>
        <v>-468.62942687212751</v>
      </c>
      <c r="AO213" s="22">
        <f t="shared" si="1819"/>
        <v>27.691958334195476</v>
      </c>
      <c r="AP213" s="22">
        <f t="shared" si="1819"/>
        <v>127.378041665805</v>
      </c>
      <c r="AQ213" s="22">
        <f t="shared" si="1819"/>
        <v>131.69339975810584</v>
      </c>
      <c r="AR213" s="22">
        <f t="shared" si="1819"/>
        <v>-212.5933997581061</v>
      </c>
      <c r="AS213" s="22">
        <f t="shared" si="1819"/>
        <v>21.544496701468972</v>
      </c>
      <c r="AT213" s="22">
        <f t="shared" si="1819"/>
        <v>537.91550329853112</v>
      </c>
      <c r="AU213" s="22">
        <f t="shared" si="1819"/>
        <v>295.01766671000911</v>
      </c>
      <c r="AV213" s="22">
        <f t="shared" si="1819"/>
        <v>-538.75766671000872</v>
      </c>
      <c r="AW213" s="22">
        <f t="shared" si="1819"/>
        <v>59.405070771810372</v>
      </c>
      <c r="AX213" s="22">
        <f t="shared" si="1819"/>
        <v>342.03492922818884</v>
      </c>
      <c r="AY213" s="22">
        <f t="shared" si="1819"/>
        <v>7.4402537616917357</v>
      </c>
      <c r="AZ213" s="22">
        <f t="shared" si="1819"/>
        <v>724.45974623830784</v>
      </c>
      <c r="BA213" s="22">
        <f t="shared" si="1819"/>
        <v>52.226002195308496</v>
      </c>
      <c r="BB213" s="22">
        <f t="shared" si="1819"/>
        <v>-108.90600219530835</v>
      </c>
      <c r="BC213" s="22">
        <f t="shared" si="1819"/>
        <v>136.03621515246999</v>
      </c>
      <c r="BD213" s="22">
        <f t="shared" si="1819"/>
        <v>-93.586215152469975</v>
      </c>
      <c r="BE213" s="22">
        <f t="shared" si="1819"/>
        <v>164.53089803444215</v>
      </c>
      <c r="BF213" s="22">
        <f t="shared" si="1819"/>
        <v>-65.700898034441792</v>
      </c>
      <c r="BG213" s="22">
        <f t="shared" si="1819"/>
        <v>51.66324840085332</v>
      </c>
      <c r="BH213" s="22">
        <f t="shared" si="1819"/>
        <v>20.596751599147154</v>
      </c>
      <c r="BI213" s="22">
        <f t="shared" si="1819"/>
        <v>-15.738786395361927</v>
      </c>
      <c r="BJ213" s="22">
        <f t="shared" si="1819"/>
        <v>320.9687863953618</v>
      </c>
      <c r="BK213" s="22">
        <f t="shared" si="1819"/>
        <v>-333.48848546292186</v>
      </c>
      <c r="BL213" s="22">
        <f t="shared" si="1819"/>
        <v>828.62848546292184</v>
      </c>
      <c r="BM213" s="22">
        <f t="shared" si="1819"/>
        <v>124.11756815945037</v>
      </c>
      <c r="BN213" s="22">
        <f t="shared" si="1819"/>
        <v>311.92243184054979</v>
      </c>
      <c r="BO213" s="22">
        <f t="shared" si="1819"/>
        <v>172.35410277626522</v>
      </c>
      <c r="BP213" s="22">
        <f t="shared" si="1819"/>
        <v>443.53589722373505</v>
      </c>
      <c r="BQ213" s="22">
        <f t="shared" si="1819"/>
        <v>86.276899264383474</v>
      </c>
      <c r="BR213" s="22">
        <f t="shared" si="1819"/>
        <v>893.49310073561628</v>
      </c>
      <c r="BS213" s="22">
        <f t="shared" si="1819"/>
        <v>265.05491679891435</v>
      </c>
      <c r="BT213" s="22">
        <f t="shared" si="1819"/>
        <v>233.06508320108554</v>
      </c>
      <c r="BU213" s="22">
        <f t="shared" si="1819"/>
        <v>252.30771265231789</v>
      </c>
      <c r="BV213" s="22">
        <f t="shared" si="1819"/>
        <v>227.60228734768202</v>
      </c>
      <c r="BW213" s="22">
        <f t="shared" si="1819"/>
        <v>271.83443574215562</v>
      </c>
      <c r="BX213" s="22">
        <f t="shared" si="1819"/>
        <v>154.57556425784412</v>
      </c>
      <c r="BY213" s="22">
        <f t="shared" si="1819"/>
        <v>375.46068033481481</v>
      </c>
      <c r="BZ213" s="22">
        <f t="shared" si="1819"/>
        <v>1046.1893196651845</v>
      </c>
      <c r="CA213" s="22">
        <f t="shared" si="1819"/>
        <v>359.555352457906</v>
      </c>
      <c r="CB213" s="22">
        <f t="shared" si="1819"/>
        <v>196.49464754209413</v>
      </c>
      <c r="CC213" s="22">
        <f t="shared" si="1819"/>
        <v>335.06054148878695</v>
      </c>
      <c r="CD213" s="22">
        <f t="shared" si="1819"/>
        <v>3711.9694585112147</v>
      </c>
      <c r="CE213" s="22">
        <f t="shared" ref="CE213:CF213" si="1820">CE209+CE212</f>
        <v>334.50420105731234</v>
      </c>
      <c r="CF213" s="22">
        <f t="shared" si="1820"/>
        <v>199.43579894268589</v>
      </c>
      <c r="CG213" s="22">
        <f t="shared" ref="CG213:CH213" si="1821">CG209+CG212</f>
        <v>333.21837898183588</v>
      </c>
      <c r="CH213" s="22">
        <f t="shared" si="1821"/>
        <v>1277.8616210181644</v>
      </c>
      <c r="CI213" s="22">
        <f t="shared" ref="CI213:CJ213" si="1822">CI209+CI212</f>
        <v>490.56955518616758</v>
      </c>
      <c r="CJ213" s="22">
        <f t="shared" si="1822"/>
        <v>-962.95955518616813</v>
      </c>
      <c r="CK213" s="22">
        <f t="shared" ref="CK213:DB213" si="1823">CK209+CK212</f>
        <v>505.1350589017095</v>
      </c>
      <c r="CL213" s="22">
        <f t="shared" si="1823"/>
        <v>1299.334941098291</v>
      </c>
      <c r="CM213" s="21">
        <f t="shared" si="1823"/>
        <v>624.26110892904001</v>
      </c>
      <c r="CN213" s="21">
        <f t="shared" si="1823"/>
        <v>647.41271463996168</v>
      </c>
      <c r="CO213" s="21">
        <f t="shared" si="1823"/>
        <v>694.75228953149451</v>
      </c>
      <c r="CP213" s="21">
        <f t="shared" si="1823"/>
        <v>722.9953152947852</v>
      </c>
      <c r="CQ213" s="21">
        <f t="shared" si="1823"/>
        <v>744.27920582423735</v>
      </c>
      <c r="CR213" s="21">
        <f t="shared" si="1823"/>
        <v>754.21774151655075</v>
      </c>
      <c r="CS213" s="21">
        <f t="shared" si="1823"/>
        <v>797.4513151334022</v>
      </c>
      <c r="CT213" s="21">
        <f t="shared" si="1823"/>
        <v>815.15521570851263</v>
      </c>
      <c r="CU213" s="21">
        <f t="shared" si="1823"/>
        <v>868.17244659644666</v>
      </c>
      <c r="CV213" s="21">
        <f t="shared" si="1823"/>
        <v>876.12132109253844</v>
      </c>
      <c r="CW213" s="21">
        <f t="shared" si="1823"/>
        <v>924.85172335824768</v>
      </c>
      <c r="CX213" s="21">
        <f t="shared" si="1823"/>
        <v>944.61520586859285</v>
      </c>
      <c r="CY213" s="21">
        <f t="shared" si="1823"/>
        <v>1009.7024654897247</v>
      </c>
      <c r="CZ213" s="21">
        <f t="shared" si="1823"/>
        <v>1016.5615589199297</v>
      </c>
      <c r="DA213" s="21">
        <f t="shared" si="1823"/>
        <v>1073.7236821524612</v>
      </c>
      <c r="DB213" s="21">
        <f t="shared" si="1823"/>
        <v>1095.4204658308943</v>
      </c>
      <c r="DE213" s="126"/>
      <c r="DF213" s="22">
        <v>581.68677585279227</v>
      </c>
    </row>
    <row r="214" spans="1:110" s="23" customFormat="1" x14ac:dyDescent="0.2">
      <c r="AB214" s="24"/>
      <c r="AC214" s="24"/>
      <c r="AD214" s="24"/>
      <c r="AE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E214" s="123"/>
    </row>
    <row r="215" spans="1:110" s="22" customFormat="1" x14ac:dyDescent="0.2">
      <c r="A215" s="22" t="s">
        <v>92</v>
      </c>
      <c r="C215" s="22">
        <f t="shared" ref="C215:W215" si="1824">C216+C217</f>
        <v>-1890.5715000000005</v>
      </c>
      <c r="D215" s="22">
        <f>D216+D217</f>
        <v>-151.98749999999981</v>
      </c>
      <c r="E215" s="22">
        <f t="shared" si="1824"/>
        <v>-178.10880000000031</v>
      </c>
      <c r="F215" s="22">
        <f t="shared" si="1824"/>
        <v>-119.95039999999963</v>
      </c>
      <c r="G215" s="22">
        <f t="shared" si="1824"/>
        <v>-171.54289999999978</v>
      </c>
      <c r="H215" s="22">
        <f t="shared" si="1824"/>
        <v>-3972.0353999999998</v>
      </c>
      <c r="I215" s="22">
        <f t="shared" si="1824"/>
        <v>2730.3968999999993</v>
      </c>
      <c r="J215" s="22">
        <f t="shared" si="1824"/>
        <v>-191.02219999999971</v>
      </c>
      <c r="K215" s="22">
        <f t="shared" si="1824"/>
        <v>-7.0578999999991083</v>
      </c>
      <c r="L215" s="22">
        <f t="shared" si="1824"/>
        <v>-311.30680000000098</v>
      </c>
      <c r="M215" s="22">
        <f t="shared" si="1824"/>
        <v>-579.91949999999952</v>
      </c>
      <c r="N215" s="22">
        <f t="shared" si="1824"/>
        <v>-439.82660000000016</v>
      </c>
      <c r="O215" s="22">
        <f t="shared" si="1824"/>
        <v>-876.46210000000008</v>
      </c>
      <c r="P215" s="22">
        <f t="shared" si="1824"/>
        <v>128.72259999999903</v>
      </c>
      <c r="Q215" s="22">
        <f t="shared" si="1824"/>
        <v>-423.99999999999977</v>
      </c>
      <c r="R215" s="22">
        <f t="shared" si="1824"/>
        <v>-152.67999999999938</v>
      </c>
      <c r="S215" s="22">
        <f t="shared" si="1824"/>
        <v>278.28999999999974</v>
      </c>
      <c r="T215" s="22">
        <f t="shared" si="1824"/>
        <v>-538.64999999999895</v>
      </c>
      <c r="U215" s="22">
        <f t="shared" si="1824"/>
        <v>-6540.1800000000021</v>
      </c>
      <c r="V215" s="22">
        <f t="shared" si="1824"/>
        <v>-632.75999999999817</v>
      </c>
      <c r="W215" s="22">
        <f t="shared" si="1824"/>
        <v>-1104.8700000000003</v>
      </c>
      <c r="X215" s="22">
        <f t="shared" ref="X215:Y215" si="1825">X216+X217</f>
        <v>-901.68000000000075</v>
      </c>
      <c r="Y215" s="22">
        <f t="shared" si="1825"/>
        <v>-6513.3899999999994</v>
      </c>
      <c r="Z215" s="22">
        <f t="shared" ref="Z215:AA215" si="1826">Z216+Z217</f>
        <v>-2792.7200000000039</v>
      </c>
      <c r="AA215" s="22">
        <f t="shared" si="1826"/>
        <v>-1329.6999999999957</v>
      </c>
      <c r="AB215" s="21">
        <f t="shared" ref="AA215:AD215" si="1827">AB216+AB217</f>
        <v>-11.690000000000623</v>
      </c>
      <c r="AC215" s="21">
        <f t="shared" si="1827"/>
        <v>-660</v>
      </c>
      <c r="AD215" s="21">
        <f t="shared" si="1827"/>
        <v>-660</v>
      </c>
      <c r="AE215" s="21">
        <f t="shared" ref="AE215" si="1828">AE216+AE217</f>
        <v>-660</v>
      </c>
      <c r="AI215" s="22">
        <f t="shared" ref="AI215" si="1829">AI216+AI217</f>
        <v>-24.99</v>
      </c>
      <c r="AJ215" s="22">
        <f t="shared" ref="AJ215:AL215" si="1830">AJ216+AJ217</f>
        <v>-5050.7299999999996</v>
      </c>
      <c r="AK215" s="22">
        <f t="shared" si="1830"/>
        <v>-24.590000000000146</v>
      </c>
      <c r="AL215" s="22">
        <f t="shared" si="1830"/>
        <v>-105.83000000000061</v>
      </c>
      <c r="AM215" s="22">
        <f t="shared" ref="AM215" si="1831">AM216+AM217</f>
        <v>-28.779999999999745</v>
      </c>
      <c r="AN215" s="22">
        <f t="shared" ref="AN215:CD215" si="1832">AN216+AN217</f>
        <v>-820.44999999999936</v>
      </c>
      <c r="AO215" s="22">
        <f t="shared" si="1832"/>
        <v>-32.159999999999854</v>
      </c>
      <c r="AP215" s="22">
        <f t="shared" si="1832"/>
        <v>4.92999999999995</v>
      </c>
      <c r="AQ215" s="22">
        <f t="shared" si="1832"/>
        <v>-35</v>
      </c>
      <c r="AR215" s="22">
        <f t="shared" si="1832"/>
        <v>-146.7299999999999</v>
      </c>
      <c r="AS215" s="22">
        <f t="shared" si="1832"/>
        <v>-38.039999999999964</v>
      </c>
      <c r="AT215" s="22">
        <f t="shared" si="1832"/>
        <v>348.48000000000025</v>
      </c>
      <c r="AU215" s="22">
        <f t="shared" si="1832"/>
        <v>-29.619999999999891</v>
      </c>
      <c r="AV215" s="22">
        <f t="shared" si="1832"/>
        <v>-216.87000000000035</v>
      </c>
      <c r="AW215" s="22">
        <f t="shared" si="1832"/>
        <v>-32.319999999999709</v>
      </c>
      <c r="AX215" s="22">
        <f t="shared" si="1832"/>
        <v>-145.1899999999996</v>
      </c>
      <c r="AY215" s="22">
        <f t="shared" si="1832"/>
        <v>-36.25</v>
      </c>
      <c r="AZ215" s="22">
        <f t="shared" si="1832"/>
        <v>99.500000000000227</v>
      </c>
      <c r="BA215" s="22">
        <f t="shared" si="1832"/>
        <v>-31.079999999999927</v>
      </c>
      <c r="BB215" s="22">
        <f t="shared" si="1832"/>
        <v>-184.84999999999991</v>
      </c>
      <c r="BC215" s="22">
        <f t="shared" si="1832"/>
        <v>-29.050000000000182</v>
      </c>
      <c r="BD215" s="22">
        <f t="shared" si="1832"/>
        <v>389.33999999999901</v>
      </c>
      <c r="BE215" s="22">
        <f t="shared" si="1832"/>
        <v>-29.050000000000182</v>
      </c>
      <c r="BF215" s="22">
        <f t="shared" si="1832"/>
        <v>-52.949999999999932</v>
      </c>
      <c r="BG215" s="22">
        <f t="shared" si="1832"/>
        <v>-29.489999999999782</v>
      </c>
      <c r="BH215" s="22">
        <f t="shared" si="1832"/>
        <v>-684.88999999999953</v>
      </c>
      <c r="BI215" s="22">
        <f t="shared" si="1832"/>
        <v>-29.619999999999891</v>
      </c>
      <c r="BJ215" s="22">
        <f t="shared" si="1832"/>
        <v>205.3500000000007</v>
      </c>
      <c r="BK215" s="22">
        <f t="shared" si="1832"/>
        <v>-57.569999999999709</v>
      </c>
      <c r="BL215" s="22">
        <f t="shared" si="1832"/>
        <v>-183.89999999999964</v>
      </c>
      <c r="BM215" s="22">
        <f t="shared" si="1832"/>
        <v>-61.4399999999996</v>
      </c>
      <c r="BN215" s="22">
        <f t="shared" si="1832"/>
        <v>-5943.8099999999995</v>
      </c>
      <c r="BO215" s="22">
        <f t="shared" si="1832"/>
        <v>-61.899999999999636</v>
      </c>
      <c r="BP215" s="22">
        <f t="shared" si="1832"/>
        <v>-180.51999999999964</v>
      </c>
      <c r="BQ215" s="22">
        <f t="shared" si="1832"/>
        <v>-64.399999999999636</v>
      </c>
      <c r="BR215" s="22">
        <f t="shared" si="1832"/>
        <v>-232.99000000000103</v>
      </c>
      <c r="BS215" s="22">
        <f t="shared" si="1832"/>
        <v>-66.790000000000873</v>
      </c>
      <c r="BT215" s="22">
        <f t="shared" si="1832"/>
        <v>-251.74999999999898</v>
      </c>
      <c r="BU215" s="22">
        <f t="shared" si="1832"/>
        <v>-69.799999999999272</v>
      </c>
      <c r="BV215" s="22">
        <f t="shared" si="1832"/>
        <v>-724.50000000000057</v>
      </c>
      <c r="BW215" s="22">
        <f t="shared" si="1832"/>
        <v>-72.920000000000073</v>
      </c>
      <c r="BX215" s="22">
        <f t="shared" si="1832"/>
        <v>-120.66000000000008</v>
      </c>
      <c r="BY215" s="22">
        <f t="shared" si="1832"/>
        <v>-75.159999999999854</v>
      </c>
      <c r="BZ215" s="22">
        <f t="shared" si="1832"/>
        <v>-627.34000000000162</v>
      </c>
      <c r="CA215" s="22">
        <f t="shared" si="1832"/>
        <v>-81.950000000000728</v>
      </c>
      <c r="CB215" s="22">
        <f t="shared" si="1832"/>
        <v>-121.81999999999903</v>
      </c>
      <c r="CC215" s="22">
        <f t="shared" si="1832"/>
        <v>-85.510000000000218</v>
      </c>
      <c r="CD215" s="22">
        <f t="shared" si="1832"/>
        <v>-6102.3000000000029</v>
      </c>
      <c r="CE215" s="22">
        <f t="shared" ref="CE215:CF215" si="1833">CE216+CE217</f>
        <v>-148</v>
      </c>
      <c r="CF215" s="22">
        <f t="shared" si="1833"/>
        <v>-2549.2499999999982</v>
      </c>
      <c r="CG215" s="22">
        <f t="shared" ref="CG215:CH215" si="1834">CG216+CG217</f>
        <v>-150.31999999999971</v>
      </c>
      <c r="CH215" s="22">
        <f t="shared" si="1834"/>
        <v>-451.00000000000364</v>
      </c>
      <c r="CI215" s="22">
        <f t="shared" ref="CI215:CJ215" si="1835">CI216+CI217</f>
        <v>0</v>
      </c>
      <c r="CJ215" s="22">
        <f t="shared" si="1835"/>
        <v>-67.259999999994989</v>
      </c>
      <c r="CK215" s="22">
        <f t="shared" ref="CK215:DB215" si="1836">CK216+CK217</f>
        <v>0</v>
      </c>
      <c r="CL215" s="22">
        <f t="shared" si="1836"/>
        <v>-614.12999999999784</v>
      </c>
      <c r="CM215" s="21">
        <f t="shared" si="1836"/>
        <v>-165</v>
      </c>
      <c r="CN215" s="21">
        <f t="shared" si="1836"/>
        <v>-165</v>
      </c>
      <c r="CO215" s="21">
        <f t="shared" si="1836"/>
        <v>-165.00000000000364</v>
      </c>
      <c r="CP215" s="21">
        <f t="shared" si="1836"/>
        <v>-165</v>
      </c>
      <c r="CQ215" s="21">
        <f t="shared" si="1836"/>
        <v>-165</v>
      </c>
      <c r="CR215" s="21">
        <f t="shared" si="1836"/>
        <v>-165.00000000000364</v>
      </c>
      <c r="CS215" s="21">
        <f t="shared" si="1836"/>
        <v>-164.99999999999636</v>
      </c>
      <c r="CT215" s="21">
        <f t="shared" si="1836"/>
        <v>-165</v>
      </c>
      <c r="CU215" s="21">
        <f t="shared" si="1836"/>
        <v>-165.00000000000364</v>
      </c>
      <c r="CV215" s="21">
        <f t="shared" si="1836"/>
        <v>-164.99999999999636</v>
      </c>
      <c r="CW215" s="21">
        <f t="shared" si="1836"/>
        <v>-165</v>
      </c>
      <c r="CX215" s="21">
        <f t="shared" si="1836"/>
        <v>-165</v>
      </c>
      <c r="CY215" s="21">
        <f t="shared" si="1836"/>
        <v>-165</v>
      </c>
      <c r="CZ215" s="21">
        <f t="shared" si="1836"/>
        <v>-165.00000000000364</v>
      </c>
      <c r="DA215" s="21">
        <f t="shared" si="1836"/>
        <v>-165</v>
      </c>
      <c r="DB215" s="21">
        <f t="shared" si="1836"/>
        <v>-165</v>
      </c>
      <c r="DE215" s="126"/>
      <c r="DF215" s="22">
        <v>0</v>
      </c>
    </row>
    <row r="216" spans="1:110" s="23" customFormat="1" x14ac:dyDescent="0.2">
      <c r="A216" s="23" t="s">
        <v>93</v>
      </c>
      <c r="C216" s="23">
        <f t="shared" ref="C216:AA216" si="1837">B154-C154</f>
        <v>400.96489999999994</v>
      </c>
      <c r="D216" s="23">
        <f t="shared" si="1837"/>
        <v>-4.2983000000000118</v>
      </c>
      <c r="E216" s="23">
        <f>D154-E154</f>
        <v>-14.973299999999995</v>
      </c>
      <c r="F216" s="23">
        <f t="shared" si="1837"/>
        <v>-11.649100000000004</v>
      </c>
      <c r="G216" s="23">
        <f t="shared" si="1837"/>
        <v>-109.15520000000001</v>
      </c>
      <c r="H216" s="23">
        <f t="shared" si="1837"/>
        <v>-101.2251</v>
      </c>
      <c r="I216" s="23">
        <f t="shared" si="1837"/>
        <v>69.027899999999988</v>
      </c>
      <c r="J216" s="23">
        <f>I154-J154</f>
        <v>22.792200000000037</v>
      </c>
      <c r="K216" s="23">
        <f>J154-K154</f>
        <v>-35.081500000000005</v>
      </c>
      <c r="L216" s="23">
        <f t="shared" si="1837"/>
        <v>-103.70000000000005</v>
      </c>
      <c r="M216" s="23">
        <f t="shared" si="1837"/>
        <v>6.4411000000000058</v>
      </c>
      <c r="N216" s="23">
        <f t="shared" si="1837"/>
        <v>-102.50769999999994</v>
      </c>
      <c r="O216" s="23">
        <f t="shared" si="1837"/>
        <v>-31.841099999999983</v>
      </c>
      <c r="P216" s="23">
        <f t="shared" si="1837"/>
        <v>-9.8934000000000424</v>
      </c>
      <c r="Q216" s="23">
        <f t="shared" si="1837"/>
        <v>-504.76</v>
      </c>
      <c r="R216" s="23">
        <f t="shared" si="1837"/>
        <v>-162.17000000000007</v>
      </c>
      <c r="S216" s="23">
        <f t="shared" si="1837"/>
        <v>691.8900000000001</v>
      </c>
      <c r="T216" s="23">
        <f t="shared" si="1837"/>
        <v>-11.700000000000045</v>
      </c>
      <c r="U216" s="23">
        <f t="shared" si="1837"/>
        <v>115.19999999999999</v>
      </c>
      <c r="V216" s="23">
        <f t="shared" si="1837"/>
        <v>6.5699999999999932</v>
      </c>
      <c r="W216" s="23">
        <f t="shared" si="1837"/>
        <v>-116.51999999999998</v>
      </c>
      <c r="X216" s="23">
        <f t="shared" si="1837"/>
        <v>-78.980000000000018</v>
      </c>
      <c r="Y216" s="23">
        <f t="shared" si="1837"/>
        <v>46.32000000000005</v>
      </c>
      <c r="Z216" s="23">
        <f t="shared" si="1837"/>
        <v>-44.540000000000077</v>
      </c>
      <c r="AA216" s="23">
        <f t="shared" si="1837"/>
        <v>102.03000000000009</v>
      </c>
      <c r="AB216" s="24">
        <f t="shared" ref="AB216" si="1838">AA154-AB154</f>
        <v>-213.58000000000004</v>
      </c>
      <c r="AC216" s="24">
        <f t="shared" ref="AC216" si="1839">AB154-AC154</f>
        <v>0</v>
      </c>
      <c r="AD216" s="24">
        <f t="shared" ref="AD216" si="1840">AC154-AD154</f>
        <v>0</v>
      </c>
      <c r="AE216" s="24">
        <f t="shared" ref="AE216" si="1841">AD154-AE154</f>
        <v>0</v>
      </c>
      <c r="AI216" s="23">
        <f t="shared" ref="AI216" si="1842">AH154-AI154</f>
        <v>0</v>
      </c>
      <c r="AJ216" s="23">
        <f t="shared" ref="AJ216" si="1843">AI154-AJ154</f>
        <v>-524.55999999999995</v>
      </c>
      <c r="AK216" s="23">
        <f t="shared" ref="AK216" si="1844">AJ154-AK154</f>
        <v>0</v>
      </c>
      <c r="AL216" s="23">
        <f t="shared" ref="AL216" si="1845">AK154-AL154</f>
        <v>-51.470000000000027</v>
      </c>
      <c r="AM216" s="23">
        <f t="shared" ref="AM216" si="1846">AL154-AM154</f>
        <v>0</v>
      </c>
      <c r="AN216" s="23">
        <f t="shared" ref="AN216" si="1847">AM154-AN154</f>
        <v>-4.7300000000000182</v>
      </c>
      <c r="AO216" s="23">
        <f t="shared" ref="AO216" si="1848">AN154-AO154</f>
        <v>0</v>
      </c>
      <c r="AP216" s="23">
        <f t="shared" ref="AP216" si="1849">AO154-AP154</f>
        <v>-27.110000000000014</v>
      </c>
      <c r="AQ216" s="23">
        <f t="shared" ref="AQ216" si="1850">AP154-AQ154</f>
        <v>0</v>
      </c>
      <c r="AR216" s="23">
        <f t="shared" ref="AR216" si="1851">AQ154-AR154</f>
        <v>12.810000000000059</v>
      </c>
      <c r="AS216" s="23">
        <f t="shared" ref="AS216" si="1852">AR154-AS154</f>
        <v>0</v>
      </c>
      <c r="AT216" s="23">
        <f t="shared" ref="AT216" si="1853">AS154-AT154</f>
        <v>-22.700000000000045</v>
      </c>
      <c r="AU216" s="23">
        <f t="shared" ref="AU216" si="1854">AT154-AU154</f>
        <v>0</v>
      </c>
      <c r="AV216" s="23">
        <f t="shared" ref="AV216" si="1855">AU154-AV154</f>
        <v>9.0199999999999818</v>
      </c>
      <c r="AW216" s="23">
        <f t="shared" ref="AW216" si="1856">AV154-AW154</f>
        <v>0</v>
      </c>
      <c r="AX216" s="23">
        <f t="shared" ref="AX216" si="1857">AW154-AX154</f>
        <v>-583.86999999999989</v>
      </c>
      <c r="AY216" s="23">
        <f t="shared" ref="AY216" si="1858">AX154-AY154</f>
        <v>0</v>
      </c>
      <c r="AZ216" s="23">
        <f t="shared" ref="AZ216" si="1859">AY154-AZ154</f>
        <v>-201.31000000000017</v>
      </c>
      <c r="BA216" s="23">
        <f t="shared" ref="BA216" si="1860">AZ154-BA154</f>
        <v>0</v>
      </c>
      <c r="BB216" s="23">
        <f t="shared" ref="BB216" si="1861">BA154-BB154</f>
        <v>40.570000000000164</v>
      </c>
      <c r="BC216" s="23">
        <f t="shared" ref="BC216" si="1862">BB154-BC154</f>
        <v>0</v>
      </c>
      <c r="BD216" s="23">
        <f t="shared" ref="BD216" si="1863">BC154-BD154</f>
        <v>588.54999999999995</v>
      </c>
      <c r="BE216" s="23">
        <f t="shared" ref="BE216" si="1864">BD154-BE154</f>
        <v>0</v>
      </c>
      <c r="BF216" s="23">
        <f t="shared" ref="BF216" si="1865">BE154-BF154</f>
        <v>121.66999999999996</v>
      </c>
      <c r="BG216" s="23">
        <f t="shared" ref="BG216" si="1866">BF154-BG154</f>
        <v>0</v>
      </c>
      <c r="BH216" s="23">
        <f t="shared" ref="BH216" si="1867">BG154-BH154</f>
        <v>-76.580000000000041</v>
      </c>
      <c r="BI216" s="23">
        <f t="shared" ref="BI216" si="1868">BH154-BI154</f>
        <v>0</v>
      </c>
      <c r="BJ216" s="23">
        <f t="shared" ref="BJ216" si="1869">BI154-BJ154</f>
        <v>63.610000000000014</v>
      </c>
      <c r="BK216" s="23">
        <f t="shared" ref="BK216" si="1870">BJ154-BK154</f>
        <v>0</v>
      </c>
      <c r="BL216" s="23">
        <f t="shared" ref="BL216" si="1871">BK154-BL154</f>
        <v>-19.25</v>
      </c>
      <c r="BM216" s="23">
        <f t="shared" ref="BM216" si="1872">BL154-BM154</f>
        <v>0</v>
      </c>
      <c r="BN216" s="23">
        <f t="shared" ref="BN216" si="1873">BM154-BN154</f>
        <v>136.01</v>
      </c>
      <c r="BO216" s="23">
        <f t="shared" ref="BO216" si="1874">BN154-BO154</f>
        <v>0</v>
      </c>
      <c r="BP216" s="23">
        <f t="shared" ref="BP216" si="1875">BO154-BP154</f>
        <v>-85.449999999999932</v>
      </c>
      <c r="BQ216" s="23">
        <f t="shared" ref="BQ216" si="1876">BP154-BQ154</f>
        <v>0</v>
      </c>
      <c r="BR216" s="23">
        <f t="shared" ref="BR216" si="1877">BQ154-BR154</f>
        <v>108.88999999999999</v>
      </c>
      <c r="BS216" s="23">
        <f t="shared" ref="BS216" si="1878">BR154-BS154</f>
        <v>0</v>
      </c>
      <c r="BT216" s="23">
        <f t="shared" ref="BT216" si="1879">BS154-BT154</f>
        <v>-193.88</v>
      </c>
      <c r="BU216" s="23">
        <f t="shared" ref="BU216" si="1880">BT154-BU154</f>
        <v>0</v>
      </c>
      <c r="BV216" s="23">
        <f t="shared" ref="BV216" si="1881">BU154-BV154</f>
        <v>-121.56000000000006</v>
      </c>
      <c r="BW216" s="23">
        <f t="shared" ref="BW216" si="1882">BV154-BW154</f>
        <v>0</v>
      </c>
      <c r="BX216" s="23">
        <f t="shared" ref="BX216" si="1883">BW154-BX154</f>
        <v>-76.069999999999936</v>
      </c>
      <c r="BY216" s="23">
        <f t="shared" ref="BY216" si="1884">BX154-BY154</f>
        <v>0</v>
      </c>
      <c r="BZ216" s="23">
        <f t="shared" ref="BZ216" si="1885">BY154-BZ154</f>
        <v>14.399999999999977</v>
      </c>
      <c r="CA216" s="23">
        <f t="shared" ref="CA216" si="1886">BZ154-CA154</f>
        <v>0</v>
      </c>
      <c r="CB216" s="23">
        <f t="shared" ref="CB216" si="1887">CA154-CB154</f>
        <v>-1.2799999999999727</v>
      </c>
      <c r="CC216" s="23">
        <f t="shared" ref="CC216" si="1888">CB154-CC154</f>
        <v>0</v>
      </c>
      <c r="CD216" s="23">
        <f t="shared" ref="CD216" si="1889">CC154-CD154</f>
        <v>47.599999999999909</v>
      </c>
      <c r="CE216" s="23">
        <f t="shared" ref="CE216" si="1890">CD154-CE154</f>
        <v>0</v>
      </c>
      <c r="CF216" s="23">
        <f t="shared" ref="CF216" si="1891">CE154-CF154</f>
        <v>-55.759999999999991</v>
      </c>
      <c r="CG216" s="23">
        <f t="shared" ref="CG216" si="1892">CF154-CG154</f>
        <v>0</v>
      </c>
      <c r="CH216" s="23">
        <f t="shared" ref="CH216:CL216" si="1893">CG154-CH154</f>
        <v>226</v>
      </c>
      <c r="CI216" s="23">
        <f t="shared" si="1893"/>
        <v>0</v>
      </c>
      <c r="CJ216" s="23">
        <f t="shared" si="1893"/>
        <v>-56.819999999999936</v>
      </c>
      <c r="CK216" s="23">
        <f t="shared" ref="CK216" si="1894">CJ154-CK154</f>
        <v>0</v>
      </c>
      <c r="CL216" s="23">
        <f t="shared" si="1893"/>
        <v>-54.730000000000018</v>
      </c>
      <c r="CM216" s="24">
        <f t="shared" ref="CM216" si="1895">CL154-CM154</f>
        <v>0</v>
      </c>
      <c r="CN216" s="24">
        <f t="shared" ref="CN216" si="1896">CM154-CN154</f>
        <v>0</v>
      </c>
      <c r="CO216" s="24">
        <f t="shared" ref="CO216" si="1897">CN154-CO154</f>
        <v>0</v>
      </c>
      <c r="CP216" s="24">
        <f t="shared" ref="CP216" si="1898">CO154-CP154</f>
        <v>0</v>
      </c>
      <c r="CQ216" s="24">
        <f t="shared" ref="CQ216" si="1899">CP154-CQ154</f>
        <v>0</v>
      </c>
      <c r="CR216" s="24">
        <f t="shared" ref="CR216" si="1900">CQ154-CR154</f>
        <v>0</v>
      </c>
      <c r="CS216" s="24">
        <f t="shared" ref="CS216" si="1901">CR154-CS154</f>
        <v>0</v>
      </c>
      <c r="CT216" s="24">
        <f t="shared" ref="CT216" si="1902">CS154-CT154</f>
        <v>0</v>
      </c>
      <c r="CU216" s="24">
        <f t="shared" ref="CU216" si="1903">CT154-CU154</f>
        <v>0</v>
      </c>
      <c r="CV216" s="24">
        <f t="shared" ref="CV216" si="1904">CU154-CV154</f>
        <v>0</v>
      </c>
      <c r="CW216" s="24">
        <f t="shared" ref="CW216" si="1905">CV154-CW154</f>
        <v>0</v>
      </c>
      <c r="CX216" s="24">
        <f t="shared" ref="CX216" si="1906">CW154-CX154</f>
        <v>0</v>
      </c>
      <c r="CY216" s="24">
        <f t="shared" ref="CY216" si="1907">CX154-CY154</f>
        <v>0</v>
      </c>
      <c r="CZ216" s="24">
        <f t="shared" ref="CZ216" si="1908">CY154-CZ154</f>
        <v>0</v>
      </c>
      <c r="DA216" s="24">
        <f t="shared" ref="DA216" si="1909">CZ154-DA154</f>
        <v>0</v>
      </c>
      <c r="DB216" s="24">
        <f t="shared" ref="DB216" si="1910">DA154-DB154</f>
        <v>0</v>
      </c>
      <c r="DE216" s="123"/>
      <c r="DF216" s="23">
        <v>0</v>
      </c>
    </row>
    <row r="217" spans="1:110" s="23" customFormat="1" x14ac:dyDescent="0.2">
      <c r="A217" s="23" t="s">
        <v>94</v>
      </c>
      <c r="C217" s="23">
        <f t="shared" ref="C217:AE217" si="1911">B152-C46-C152</f>
        <v>-2291.5364000000004</v>
      </c>
      <c r="D217" s="23">
        <f t="shared" si="1911"/>
        <v>-147.6891999999998</v>
      </c>
      <c r="E217" s="23">
        <f t="shared" si="1911"/>
        <v>-163.13550000000032</v>
      </c>
      <c r="F217" s="23">
        <f t="shared" si="1911"/>
        <v>-108.30129999999963</v>
      </c>
      <c r="G217" s="23">
        <f t="shared" si="1911"/>
        <v>-62.387699999999768</v>
      </c>
      <c r="H217" s="23">
        <f t="shared" si="1911"/>
        <v>-3870.8102999999996</v>
      </c>
      <c r="I217" s="23">
        <f t="shared" si="1911"/>
        <v>2661.3689999999992</v>
      </c>
      <c r="J217" s="23">
        <f t="shared" si="1911"/>
        <v>-213.81439999999975</v>
      </c>
      <c r="K217" s="23">
        <f t="shared" si="1911"/>
        <v>28.023600000000897</v>
      </c>
      <c r="L217" s="23">
        <f t="shared" si="1911"/>
        <v>-207.60680000000093</v>
      </c>
      <c r="M217" s="23">
        <f t="shared" si="1911"/>
        <v>-586.36059999999952</v>
      </c>
      <c r="N217" s="23">
        <f t="shared" si="1911"/>
        <v>-337.31890000000021</v>
      </c>
      <c r="O217" s="23">
        <f t="shared" si="1911"/>
        <v>-844.62100000000009</v>
      </c>
      <c r="P217" s="23">
        <f t="shared" si="1911"/>
        <v>138.61599999999908</v>
      </c>
      <c r="Q217" s="23">
        <f t="shared" si="1911"/>
        <v>80.760000000000218</v>
      </c>
      <c r="R217" s="23">
        <f t="shared" si="1911"/>
        <v>9.4900000000006912</v>
      </c>
      <c r="S217" s="23">
        <f t="shared" si="1911"/>
        <v>-413.60000000000036</v>
      </c>
      <c r="T217" s="23">
        <f t="shared" si="1911"/>
        <v>-526.94999999999891</v>
      </c>
      <c r="U217" s="23">
        <f t="shared" si="1911"/>
        <v>-6655.3800000000019</v>
      </c>
      <c r="V217" s="23">
        <f t="shared" si="1911"/>
        <v>-639.32999999999811</v>
      </c>
      <c r="W217" s="23">
        <f t="shared" si="1911"/>
        <v>-988.35000000000036</v>
      </c>
      <c r="X217" s="23">
        <f t="shared" si="1911"/>
        <v>-822.70000000000073</v>
      </c>
      <c r="Y217" s="23">
        <f t="shared" si="1911"/>
        <v>-6559.7099999999991</v>
      </c>
      <c r="Z217" s="23">
        <f t="shared" si="1911"/>
        <v>-2748.1800000000039</v>
      </c>
      <c r="AA217" s="23">
        <f t="shared" si="1911"/>
        <v>-1431.7299999999959</v>
      </c>
      <c r="AB217" s="24">
        <f t="shared" si="1911"/>
        <v>201.88999999999942</v>
      </c>
      <c r="AC217" s="24">
        <f t="shared" si="1911"/>
        <v>-660</v>
      </c>
      <c r="AD217" s="24">
        <f t="shared" si="1911"/>
        <v>-660</v>
      </c>
      <c r="AE217" s="24">
        <f t="shared" si="1911"/>
        <v>-660</v>
      </c>
      <c r="AI217" s="23">
        <f t="shared" ref="AI217:BN217" si="1912">AH152-AI46-AI152</f>
        <v>-24.99</v>
      </c>
      <c r="AJ217" s="23">
        <f t="shared" si="1912"/>
        <v>-4526.17</v>
      </c>
      <c r="AK217" s="23">
        <f t="shared" si="1912"/>
        <v>-24.590000000000146</v>
      </c>
      <c r="AL217" s="23">
        <f t="shared" si="1912"/>
        <v>-54.360000000000582</v>
      </c>
      <c r="AM217" s="23">
        <f t="shared" si="1912"/>
        <v>-28.779999999999745</v>
      </c>
      <c r="AN217" s="23">
        <f t="shared" si="1912"/>
        <v>-815.71999999999935</v>
      </c>
      <c r="AO217" s="23">
        <f t="shared" si="1912"/>
        <v>-32.159999999999854</v>
      </c>
      <c r="AP217" s="23">
        <f t="shared" si="1912"/>
        <v>32.039999999999964</v>
      </c>
      <c r="AQ217" s="23">
        <f t="shared" si="1912"/>
        <v>-35</v>
      </c>
      <c r="AR217" s="23">
        <f t="shared" si="1912"/>
        <v>-159.53999999999996</v>
      </c>
      <c r="AS217" s="23">
        <f t="shared" si="1912"/>
        <v>-38.039999999999964</v>
      </c>
      <c r="AT217" s="23">
        <f t="shared" si="1912"/>
        <v>371.18000000000029</v>
      </c>
      <c r="AU217" s="23">
        <f t="shared" si="1912"/>
        <v>-29.619999999999891</v>
      </c>
      <c r="AV217" s="23">
        <f t="shared" si="1912"/>
        <v>-225.89000000000033</v>
      </c>
      <c r="AW217" s="23">
        <f t="shared" si="1912"/>
        <v>-32.319999999999709</v>
      </c>
      <c r="AX217" s="23">
        <f t="shared" si="1912"/>
        <v>438.68000000000029</v>
      </c>
      <c r="AY217" s="23">
        <f t="shared" si="1912"/>
        <v>-36.25</v>
      </c>
      <c r="AZ217" s="23">
        <f t="shared" si="1912"/>
        <v>300.8100000000004</v>
      </c>
      <c r="BA217" s="23">
        <f t="shared" si="1912"/>
        <v>-31.079999999999927</v>
      </c>
      <c r="BB217" s="23">
        <f t="shared" si="1912"/>
        <v>-225.42000000000007</v>
      </c>
      <c r="BC217" s="23">
        <f t="shared" si="1912"/>
        <v>-29.050000000000182</v>
      </c>
      <c r="BD217" s="23">
        <f t="shared" si="1912"/>
        <v>-199.21000000000095</v>
      </c>
      <c r="BE217" s="23">
        <f t="shared" si="1912"/>
        <v>-29.050000000000182</v>
      </c>
      <c r="BF217" s="23">
        <f t="shared" si="1912"/>
        <v>-174.61999999999989</v>
      </c>
      <c r="BG217" s="23">
        <f t="shared" si="1912"/>
        <v>-29.489999999999782</v>
      </c>
      <c r="BH217" s="23">
        <f t="shared" si="1912"/>
        <v>-608.30999999999949</v>
      </c>
      <c r="BI217" s="23">
        <f t="shared" si="1912"/>
        <v>-29.619999999999891</v>
      </c>
      <c r="BJ217" s="23">
        <f t="shared" si="1912"/>
        <v>141.74000000000069</v>
      </c>
      <c r="BK217" s="23">
        <f t="shared" si="1912"/>
        <v>-57.569999999999709</v>
      </c>
      <c r="BL217" s="23">
        <f t="shared" si="1912"/>
        <v>-164.64999999999964</v>
      </c>
      <c r="BM217" s="23">
        <f t="shared" si="1912"/>
        <v>-61.4399999999996</v>
      </c>
      <c r="BN217" s="23">
        <f t="shared" si="1912"/>
        <v>-6079.82</v>
      </c>
      <c r="BO217" s="23">
        <f t="shared" ref="BO217:CT217" si="1913">BN152-BO46-BO152</f>
        <v>-61.899999999999636</v>
      </c>
      <c r="BP217" s="23">
        <f t="shared" si="1913"/>
        <v>-95.069999999999709</v>
      </c>
      <c r="BQ217" s="23">
        <f t="shared" si="1913"/>
        <v>-64.399999999999636</v>
      </c>
      <c r="BR217" s="23">
        <f t="shared" si="1913"/>
        <v>-341.88000000000102</v>
      </c>
      <c r="BS217" s="23">
        <f t="shared" si="1913"/>
        <v>-66.790000000000873</v>
      </c>
      <c r="BT217" s="23">
        <f t="shared" si="1913"/>
        <v>-57.869999999998981</v>
      </c>
      <c r="BU217" s="23">
        <f t="shared" si="1913"/>
        <v>-69.799999999999272</v>
      </c>
      <c r="BV217" s="23">
        <f t="shared" si="1913"/>
        <v>-602.94000000000051</v>
      </c>
      <c r="BW217" s="23">
        <f t="shared" si="1913"/>
        <v>-72.920000000000073</v>
      </c>
      <c r="BX217" s="23">
        <f t="shared" si="1913"/>
        <v>-44.590000000000146</v>
      </c>
      <c r="BY217" s="23">
        <f t="shared" si="1913"/>
        <v>-75.159999999999854</v>
      </c>
      <c r="BZ217" s="23">
        <f t="shared" si="1913"/>
        <v>-641.7400000000016</v>
      </c>
      <c r="CA217" s="23">
        <f t="shared" si="1913"/>
        <v>-81.950000000000728</v>
      </c>
      <c r="CB217" s="23">
        <f t="shared" si="1913"/>
        <v>-120.53999999999905</v>
      </c>
      <c r="CC217" s="23">
        <f t="shared" si="1913"/>
        <v>-85.510000000000218</v>
      </c>
      <c r="CD217" s="23">
        <f t="shared" si="1913"/>
        <v>-6149.9000000000033</v>
      </c>
      <c r="CE217" s="23">
        <f t="shared" si="1913"/>
        <v>-148</v>
      </c>
      <c r="CF217" s="23">
        <f t="shared" si="1913"/>
        <v>-2493.489999999998</v>
      </c>
      <c r="CG217" s="23">
        <f t="shared" si="1913"/>
        <v>-150.31999999999971</v>
      </c>
      <c r="CH217" s="23">
        <f t="shared" si="1913"/>
        <v>-677.00000000000364</v>
      </c>
      <c r="CI217" s="23">
        <f t="shared" si="1913"/>
        <v>0</v>
      </c>
      <c r="CJ217" s="23">
        <f t="shared" si="1913"/>
        <v>-10.439999999995052</v>
      </c>
      <c r="CK217" s="23">
        <f t="shared" si="1913"/>
        <v>0</v>
      </c>
      <c r="CL217" s="23">
        <f t="shared" si="1913"/>
        <v>-559.39999999999782</v>
      </c>
      <c r="CM217" s="24">
        <f t="shared" si="1913"/>
        <v>-165</v>
      </c>
      <c r="CN217" s="24">
        <f t="shared" si="1913"/>
        <v>-165</v>
      </c>
      <c r="CO217" s="24">
        <f t="shared" si="1913"/>
        <v>-165.00000000000364</v>
      </c>
      <c r="CP217" s="24">
        <f t="shared" si="1913"/>
        <v>-165</v>
      </c>
      <c r="CQ217" s="24">
        <f t="shared" si="1913"/>
        <v>-165</v>
      </c>
      <c r="CR217" s="24">
        <f t="shared" si="1913"/>
        <v>-165.00000000000364</v>
      </c>
      <c r="CS217" s="24">
        <f t="shared" si="1913"/>
        <v>-164.99999999999636</v>
      </c>
      <c r="CT217" s="24">
        <f t="shared" si="1913"/>
        <v>-165</v>
      </c>
      <c r="CU217" s="24">
        <f t="shared" ref="CU217:DB217" si="1914">CT152-CU46-CU152</f>
        <v>-165.00000000000364</v>
      </c>
      <c r="CV217" s="24">
        <f t="shared" si="1914"/>
        <v>-164.99999999999636</v>
      </c>
      <c r="CW217" s="24">
        <f t="shared" si="1914"/>
        <v>-165</v>
      </c>
      <c r="CX217" s="24">
        <f t="shared" si="1914"/>
        <v>-165</v>
      </c>
      <c r="CY217" s="24">
        <f t="shared" si="1914"/>
        <v>-165</v>
      </c>
      <c r="CZ217" s="24">
        <f t="shared" si="1914"/>
        <v>-165.00000000000364</v>
      </c>
      <c r="DA217" s="24">
        <f t="shared" si="1914"/>
        <v>-165</v>
      </c>
      <c r="DB217" s="24">
        <f t="shared" si="1914"/>
        <v>-165</v>
      </c>
      <c r="DE217" s="123"/>
      <c r="DF217" s="23">
        <v>0</v>
      </c>
    </row>
    <row r="218" spans="1:110" s="23" customFormat="1" x14ac:dyDescent="0.2">
      <c r="AB218" s="24"/>
      <c r="AC218" s="24"/>
      <c r="AD218" s="24"/>
      <c r="AE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E218" s="123"/>
    </row>
    <row r="219" spans="1:110" s="22" customFormat="1" x14ac:dyDescent="0.2">
      <c r="A219" s="22" t="s">
        <v>95</v>
      </c>
      <c r="C219" s="22">
        <f t="shared" ref="C219:W219" si="1915">C220+C221</f>
        <v>1647.8728000000006</v>
      </c>
      <c r="D219" s="22">
        <f t="shared" si="1915"/>
        <v>71.617700000000468</v>
      </c>
      <c r="E219" s="22">
        <f t="shared" si="1915"/>
        <v>-21.127199999999732</v>
      </c>
      <c r="F219" s="22">
        <f t="shared" si="1915"/>
        <v>-187.91980000000015</v>
      </c>
      <c r="G219" s="22">
        <f t="shared" si="1915"/>
        <v>-177.44890000000032</v>
      </c>
      <c r="H219" s="22">
        <f t="shared" si="1915"/>
        <v>3546.4585999999986</v>
      </c>
      <c r="I219" s="22">
        <f t="shared" si="1915"/>
        <v>-1851.3260999999984</v>
      </c>
      <c r="J219" s="22">
        <f t="shared" si="1915"/>
        <v>-646.2951000000005</v>
      </c>
      <c r="K219" s="22">
        <f t="shared" si="1915"/>
        <v>-919.05839999999944</v>
      </c>
      <c r="L219" s="22">
        <f t="shared" si="1915"/>
        <v>-724.79089999999951</v>
      </c>
      <c r="M219" s="22">
        <f t="shared" si="1915"/>
        <v>84.742099999999027</v>
      </c>
      <c r="N219" s="22">
        <f t="shared" si="1915"/>
        <v>92.474099999999567</v>
      </c>
      <c r="O219" s="22">
        <f t="shared" si="1915"/>
        <v>717.69579999999985</v>
      </c>
      <c r="P219" s="22">
        <f t="shared" si="1915"/>
        <v>-765.80519999999842</v>
      </c>
      <c r="Q219" s="22">
        <f t="shared" si="1915"/>
        <v>775.47999999999956</v>
      </c>
      <c r="R219" s="22">
        <f t="shared" si="1915"/>
        <v>-880.86999999999955</v>
      </c>
      <c r="S219" s="22">
        <f t="shared" si="1915"/>
        <v>641.09999999999889</v>
      </c>
      <c r="T219" s="22">
        <f t="shared" si="1915"/>
        <v>-15.939999999999145</v>
      </c>
      <c r="U219" s="22">
        <f t="shared" si="1915"/>
        <v>6203.4900000000025</v>
      </c>
      <c r="V219" s="22">
        <f t="shared" si="1915"/>
        <v>-186.7300000000007</v>
      </c>
      <c r="W219" s="22">
        <f t="shared" si="1915"/>
        <v>-465.31000000000051</v>
      </c>
      <c r="X219" s="22">
        <f t="shared" ref="X219:Y219" si="1916">X220+X221</f>
        <v>-198.2199999999998</v>
      </c>
      <c r="Y219" s="22">
        <f t="shared" si="1916"/>
        <v>929.9499999999997</v>
      </c>
      <c r="Z219" s="22">
        <f t="shared" ref="Z219:AA219" si="1917">Z220+Z221</f>
        <v>1570.5000000000018</v>
      </c>
      <c r="AA219" s="22">
        <f t="shared" si="1917"/>
        <v>527.92000000000121</v>
      </c>
      <c r="AB219" s="21">
        <f t="shared" ref="AA219:AD219" si="1918">AB220+AB221</f>
        <v>0</v>
      </c>
      <c r="AC219" s="21">
        <f t="shared" si="1918"/>
        <v>0</v>
      </c>
      <c r="AD219" s="21">
        <f t="shared" si="1918"/>
        <v>3.637978807091713E-12</v>
      </c>
      <c r="AE219" s="21">
        <f t="shared" ref="AE219" si="1919">AE220+AE221</f>
        <v>3.637978807091713E-12</v>
      </c>
      <c r="AI219" s="22">
        <f t="shared" ref="AI219" si="1920">AI220+AI221</f>
        <v>-77.690000000000197</v>
      </c>
      <c r="AJ219" s="22">
        <f t="shared" ref="AJ219:AL219" si="1921">AJ220+AJ221</f>
        <v>6858.18</v>
      </c>
      <c r="AK219" s="22">
        <f t="shared" si="1921"/>
        <v>0</v>
      </c>
      <c r="AL219" s="22">
        <f t="shared" si="1921"/>
        <v>-512.37999999999943</v>
      </c>
      <c r="AM219" s="22">
        <f t="shared" ref="AM219" si="1922">AM220+AM221</f>
        <v>0</v>
      </c>
      <c r="AN219" s="22">
        <f t="shared" ref="AN219:CD219" si="1923">AN220+AN221</f>
        <v>1366.91</v>
      </c>
      <c r="AO219" s="22">
        <f t="shared" si="1923"/>
        <v>0</v>
      </c>
      <c r="AP219" s="22">
        <f t="shared" si="1923"/>
        <v>-314.01999999999987</v>
      </c>
      <c r="AQ219" s="22">
        <f t="shared" si="1923"/>
        <v>0</v>
      </c>
      <c r="AR219" s="22">
        <f t="shared" si="1923"/>
        <v>188.60000000000002</v>
      </c>
      <c r="AS219" s="22">
        <f t="shared" si="1923"/>
        <v>0</v>
      </c>
      <c r="AT219" s="22">
        <f t="shared" si="1923"/>
        <v>-975.7</v>
      </c>
      <c r="AU219" s="22">
        <f t="shared" si="1923"/>
        <v>0</v>
      </c>
      <c r="AV219" s="22">
        <f t="shared" si="1923"/>
        <v>379.29999999999973</v>
      </c>
      <c r="AW219" s="22">
        <f t="shared" si="1923"/>
        <v>0</v>
      </c>
      <c r="AX219" s="22">
        <f t="shared" si="1923"/>
        <v>12.860000000000809</v>
      </c>
      <c r="AY219" s="22">
        <f t="shared" si="1923"/>
        <v>0</v>
      </c>
      <c r="AZ219" s="22">
        <f t="shared" si="1923"/>
        <v>-358.1999999999997</v>
      </c>
      <c r="BA219" s="22">
        <f t="shared" si="1923"/>
        <v>0</v>
      </c>
      <c r="BB219" s="22">
        <f t="shared" si="1923"/>
        <v>-97.529999999999973</v>
      </c>
      <c r="BC219" s="22">
        <f t="shared" si="1923"/>
        <v>0</v>
      </c>
      <c r="BD219" s="22">
        <f t="shared" si="1923"/>
        <v>251.9099999999986</v>
      </c>
      <c r="BE219" s="22">
        <f t="shared" si="1923"/>
        <v>0</v>
      </c>
      <c r="BF219" s="22">
        <f t="shared" si="1923"/>
        <v>394.02000000000044</v>
      </c>
      <c r="BG219" s="22">
        <f t="shared" si="1923"/>
        <v>0</v>
      </c>
      <c r="BH219" s="22">
        <f t="shared" si="1923"/>
        <v>272.95000000000118</v>
      </c>
      <c r="BI219" s="22">
        <f t="shared" si="1923"/>
        <v>0</v>
      </c>
      <c r="BJ219" s="22">
        <f t="shared" si="1923"/>
        <v>-301.6899999999996</v>
      </c>
      <c r="BK219" s="22">
        <f t="shared" si="1923"/>
        <v>0</v>
      </c>
      <c r="BL219" s="22">
        <f t="shared" si="1923"/>
        <v>-299.33999999999958</v>
      </c>
      <c r="BM219" s="22">
        <f t="shared" si="1923"/>
        <v>0</v>
      </c>
      <c r="BN219" s="22">
        <f t="shared" si="1923"/>
        <v>6453.1200000000008</v>
      </c>
      <c r="BO219" s="22">
        <f t="shared" si="1923"/>
        <v>0</v>
      </c>
      <c r="BP219" s="22">
        <f t="shared" si="1923"/>
        <v>-313.43000000000029</v>
      </c>
      <c r="BQ219" s="22">
        <f t="shared" si="1923"/>
        <v>0</v>
      </c>
      <c r="BR219" s="22">
        <f t="shared" si="1923"/>
        <v>200.61000000000126</v>
      </c>
      <c r="BS219" s="22">
        <f t="shared" si="1923"/>
        <v>0</v>
      </c>
      <c r="BT219" s="22">
        <f t="shared" si="1923"/>
        <v>-838.13000000000079</v>
      </c>
      <c r="BU219" s="22">
        <f t="shared" si="1923"/>
        <v>0</v>
      </c>
      <c r="BV219" s="22">
        <f t="shared" si="1923"/>
        <v>372.8200000000021</v>
      </c>
      <c r="BW219" s="22">
        <f t="shared" si="1923"/>
        <v>0</v>
      </c>
      <c r="BX219" s="22">
        <f t="shared" si="1923"/>
        <v>-924.07999999999981</v>
      </c>
      <c r="BY219" s="22">
        <f t="shared" si="1923"/>
        <v>0</v>
      </c>
      <c r="BZ219" s="22">
        <f t="shared" si="1923"/>
        <v>725.85999999999831</v>
      </c>
      <c r="CA219" s="22">
        <f t="shared" si="1923"/>
        <v>0</v>
      </c>
      <c r="CB219" s="22">
        <f t="shared" si="1923"/>
        <v>-859.14999999999975</v>
      </c>
      <c r="CC219" s="22">
        <f t="shared" si="1923"/>
        <v>0</v>
      </c>
      <c r="CD219" s="22">
        <f t="shared" si="1923"/>
        <v>1789.1000000000013</v>
      </c>
      <c r="CE219" s="22">
        <f t="shared" ref="CE219:CF219" si="1924">CE220+CE221</f>
        <v>0</v>
      </c>
      <c r="CF219" s="22">
        <f t="shared" si="1924"/>
        <v>1868.8199999999988</v>
      </c>
      <c r="CG219" s="22">
        <f t="shared" ref="CG219:CH219" si="1925">CG220+CG221</f>
        <v>0</v>
      </c>
      <c r="CH219" s="22">
        <f t="shared" si="1925"/>
        <v>-298.31999999999562</v>
      </c>
      <c r="CI219" s="22">
        <f t="shared" ref="CI219:CJ219" si="1926">CI220+CI221</f>
        <v>0</v>
      </c>
      <c r="CJ219" s="22">
        <f t="shared" si="1926"/>
        <v>-278.68000000000234</v>
      </c>
      <c r="CK219" s="22">
        <f t="shared" ref="CK219:DB219" si="1927">CK220+CK221</f>
        <v>0</v>
      </c>
      <c r="CL219" s="22">
        <f t="shared" si="1927"/>
        <v>806.59999999999991</v>
      </c>
      <c r="CM219" s="21">
        <f t="shared" si="1927"/>
        <v>0</v>
      </c>
      <c r="CN219" s="21">
        <f t="shared" si="1927"/>
        <v>0</v>
      </c>
      <c r="CO219" s="21">
        <f t="shared" si="1927"/>
        <v>0</v>
      </c>
      <c r="CP219" s="21">
        <f t="shared" si="1927"/>
        <v>0</v>
      </c>
      <c r="CQ219" s="21">
        <f t="shared" si="1927"/>
        <v>0</v>
      </c>
      <c r="CR219" s="21">
        <f t="shared" si="1927"/>
        <v>0</v>
      </c>
      <c r="CS219" s="21">
        <f t="shared" si="1927"/>
        <v>0</v>
      </c>
      <c r="CT219" s="21">
        <f t="shared" si="1927"/>
        <v>0</v>
      </c>
      <c r="CU219" s="21">
        <f t="shared" si="1927"/>
        <v>0</v>
      </c>
      <c r="CV219" s="21">
        <f t="shared" si="1927"/>
        <v>0</v>
      </c>
      <c r="CW219" s="21">
        <f t="shared" si="1927"/>
        <v>0</v>
      </c>
      <c r="CX219" s="21">
        <f t="shared" si="1927"/>
        <v>0</v>
      </c>
      <c r="CY219" s="21">
        <f t="shared" si="1927"/>
        <v>0</v>
      </c>
      <c r="CZ219" s="21">
        <f t="shared" si="1927"/>
        <v>0</v>
      </c>
      <c r="DA219" s="21">
        <f t="shared" si="1927"/>
        <v>0</v>
      </c>
      <c r="DB219" s="21">
        <f t="shared" si="1927"/>
        <v>3.637978807091713E-12</v>
      </c>
      <c r="DE219" s="126"/>
      <c r="DF219" s="22">
        <v>0</v>
      </c>
    </row>
    <row r="220" spans="1:110" s="23" customFormat="1" x14ac:dyDescent="0.2">
      <c r="A220" s="23" t="s">
        <v>49</v>
      </c>
      <c r="C220" s="23">
        <f t="shared" ref="C220:AA220" si="1928">C142-B142</f>
        <v>1491.7168000000001</v>
      </c>
      <c r="D220" s="23">
        <f t="shared" si="1928"/>
        <v>40.734399999999823</v>
      </c>
      <c r="E220" s="23">
        <f>E142-D142</f>
        <v>25.737100000000055</v>
      </c>
      <c r="F220" s="23">
        <f t="shared" si="1928"/>
        <v>-164.86319999999978</v>
      </c>
      <c r="G220" s="23">
        <f t="shared" si="1928"/>
        <v>66.109699999999975</v>
      </c>
      <c r="H220" s="23">
        <f t="shared" si="1928"/>
        <v>2879.2945999999993</v>
      </c>
      <c r="I220" s="23">
        <f t="shared" si="1928"/>
        <v>-1968.4541999999997</v>
      </c>
      <c r="J220" s="23">
        <f>J142-I142</f>
        <v>-178.23550000000023</v>
      </c>
      <c r="K220" s="23">
        <f>K142-J142</f>
        <v>-634.28609999999981</v>
      </c>
      <c r="L220" s="23">
        <f t="shared" si="1928"/>
        <v>-755.29229999999984</v>
      </c>
      <c r="M220" s="23">
        <f t="shared" si="1928"/>
        <v>-125.57670000000007</v>
      </c>
      <c r="N220" s="23">
        <f t="shared" si="1928"/>
        <v>472.86070000000018</v>
      </c>
      <c r="O220" s="23">
        <f t="shared" si="1928"/>
        <v>49.322199999999839</v>
      </c>
      <c r="P220" s="23">
        <f t="shared" si="1928"/>
        <v>-114.06870000000004</v>
      </c>
      <c r="Q220" s="23">
        <f t="shared" si="1928"/>
        <v>30.019999999999982</v>
      </c>
      <c r="R220" s="23">
        <f t="shared" si="1928"/>
        <v>-567.4899999999999</v>
      </c>
      <c r="S220" s="23">
        <f t="shared" si="1928"/>
        <v>281.01999999999987</v>
      </c>
      <c r="T220" s="23">
        <f t="shared" si="1928"/>
        <v>73.520000000000209</v>
      </c>
      <c r="U220" s="23">
        <f t="shared" si="1928"/>
        <v>115.28999999999974</v>
      </c>
      <c r="V220" s="23">
        <f t="shared" si="1928"/>
        <v>-49.749999999999773</v>
      </c>
      <c r="W220" s="23">
        <f t="shared" si="1928"/>
        <v>-196.05000000000007</v>
      </c>
      <c r="X220" s="23">
        <f t="shared" si="1928"/>
        <v>172.23000000000013</v>
      </c>
      <c r="Y220" s="23">
        <f t="shared" si="1928"/>
        <v>1771.0299999999997</v>
      </c>
      <c r="Z220" s="23">
        <f t="shared" si="1928"/>
        <v>-1105.1999999999998</v>
      </c>
      <c r="AA220" s="23">
        <f t="shared" si="1928"/>
        <v>271.65999999999985</v>
      </c>
      <c r="AB220" s="24">
        <f t="shared" ref="AB220" si="1929">AB142-AA142</f>
        <v>0</v>
      </c>
      <c r="AC220" s="24">
        <f t="shared" ref="AC220" si="1930">AC142-AB142</f>
        <v>0</v>
      </c>
      <c r="AD220" s="24">
        <f t="shared" ref="AD220" si="1931">AD142-AC142</f>
        <v>0</v>
      </c>
      <c r="AE220" s="24">
        <f t="shared" ref="AE220" si="1932">AE142-AD142</f>
        <v>0</v>
      </c>
      <c r="AI220" s="23">
        <f t="shared" ref="AI220" si="1933">AI142-AH142</f>
        <v>0</v>
      </c>
      <c r="AJ220" s="23">
        <f t="shared" ref="AJ220" si="1934">AJ142-AI142</f>
        <v>1006.77</v>
      </c>
      <c r="AK220" s="23">
        <f t="shared" ref="AK220" si="1935">AK142-AJ142</f>
        <v>0</v>
      </c>
      <c r="AL220" s="23">
        <f t="shared" ref="AL220" si="1936">AL142-AK142</f>
        <v>10.060000000000059</v>
      </c>
      <c r="AM220" s="23">
        <f t="shared" ref="AM220" si="1937">AM142-AL142</f>
        <v>0</v>
      </c>
      <c r="AN220" s="23">
        <f t="shared" ref="AN220" si="1938">AN142-AM142</f>
        <v>386.12</v>
      </c>
      <c r="AO220" s="23">
        <f t="shared" ref="AO220" si="1939">AO142-AN142</f>
        <v>0</v>
      </c>
      <c r="AP220" s="23">
        <f t="shared" ref="AP220" si="1940">AP142-AO142</f>
        <v>-1.6100000000001273</v>
      </c>
      <c r="AQ220" s="23">
        <f t="shared" ref="AQ220" si="1941">AQ142-AP142</f>
        <v>0</v>
      </c>
      <c r="AR220" s="23">
        <f t="shared" ref="AR220" si="1942">AR142-AQ142</f>
        <v>162.22000000000003</v>
      </c>
      <c r="AS220" s="23">
        <f t="shared" ref="AS220" si="1943">AS142-AR142</f>
        <v>0</v>
      </c>
      <c r="AT220" s="23">
        <f t="shared" ref="AT220" si="1944">AT142-AS142</f>
        <v>-297.58999999999992</v>
      </c>
      <c r="AU220" s="23">
        <f t="shared" ref="AU220" si="1945">AU142-AT142</f>
        <v>0</v>
      </c>
      <c r="AV220" s="23">
        <f t="shared" ref="AV220" si="1946">AV142-AU142</f>
        <v>124.08999999999992</v>
      </c>
      <c r="AW220" s="23">
        <f t="shared" ref="AW220" si="1947">AW142-AV142</f>
        <v>0</v>
      </c>
      <c r="AX220" s="23">
        <f t="shared" ref="AX220" si="1948">AX142-AW142</f>
        <v>-477.37999999999988</v>
      </c>
      <c r="AY220" s="23">
        <f t="shared" ref="AY220" si="1949">AY142-AX142</f>
        <v>0</v>
      </c>
      <c r="AZ220" s="23">
        <f t="shared" ref="AZ220" si="1950">AZ142-AY142</f>
        <v>91.960000000000036</v>
      </c>
      <c r="BA220" s="23">
        <f t="shared" ref="BA220" si="1951">BA142-AZ142</f>
        <v>0</v>
      </c>
      <c r="BB220" s="23">
        <f t="shared" ref="BB220" si="1952">BB142-BA142</f>
        <v>-234.31000000000006</v>
      </c>
      <c r="BC220" s="23">
        <f t="shared" ref="BC220" si="1953">BC142-BB142</f>
        <v>0</v>
      </c>
      <c r="BD220" s="23">
        <f t="shared" ref="BD220" si="1954">BD142-BC142</f>
        <v>97.63</v>
      </c>
      <c r="BE220" s="23">
        <f t="shared" ref="BE220" si="1955">BE142-BD142</f>
        <v>0</v>
      </c>
      <c r="BF220" s="23">
        <f t="shared" ref="BF220" si="1956">BF142-BE142</f>
        <v>188.22000000000003</v>
      </c>
      <c r="BG220" s="23">
        <f t="shared" ref="BG220" si="1957">BG142-BF142</f>
        <v>0</v>
      </c>
      <c r="BH220" s="23">
        <f t="shared" ref="BH220" si="1958">BH142-BG142</f>
        <v>165.05999999999995</v>
      </c>
      <c r="BI220" s="23">
        <f t="shared" ref="BI220" si="1959">BI142-BH142</f>
        <v>0</v>
      </c>
      <c r="BJ220" s="23">
        <f t="shared" ref="BJ220" si="1960">BJ142-BI142</f>
        <v>-104.33999999999992</v>
      </c>
      <c r="BK220" s="23">
        <f t="shared" ref="BK220" si="1961">BK142-BJ142</f>
        <v>0</v>
      </c>
      <c r="BL220" s="23">
        <f t="shared" ref="BL220" si="1962">BL142-BK142</f>
        <v>104.96000000000004</v>
      </c>
      <c r="BM220" s="23">
        <f t="shared" ref="BM220" si="1963">BM142-BL142</f>
        <v>0</v>
      </c>
      <c r="BN220" s="23">
        <f t="shared" ref="BN220" si="1964">BN142-BM142</f>
        <v>-39.380000000000109</v>
      </c>
      <c r="BO220" s="23">
        <f t="shared" ref="BO220" si="1965">BO142-BN142</f>
        <v>0</v>
      </c>
      <c r="BP220" s="23">
        <f t="shared" ref="BP220" si="1966">BP142-BO142</f>
        <v>-42.349999999999909</v>
      </c>
      <c r="BQ220" s="23">
        <f t="shared" ref="BQ220" si="1967">BQ142-BP142</f>
        <v>0</v>
      </c>
      <c r="BR220" s="23">
        <f t="shared" ref="BR220" si="1968">BR142-BQ142</f>
        <v>66.509999999999991</v>
      </c>
      <c r="BS220" s="23">
        <f t="shared" ref="BS220" si="1969">BS142-BR142</f>
        <v>0</v>
      </c>
      <c r="BT220" s="23">
        <f t="shared" ref="BT220" si="1970">BT142-BS142</f>
        <v>-453.44000000000005</v>
      </c>
      <c r="BU220" s="23">
        <f t="shared" ref="BU220" si="1971">BU142-BT142</f>
        <v>0</v>
      </c>
      <c r="BV220" s="23">
        <f t="shared" ref="BV220" si="1972">BV142-BU142</f>
        <v>257.39</v>
      </c>
      <c r="BW220" s="23">
        <f t="shared" ref="BW220" si="1973">BW142-BV142</f>
        <v>0</v>
      </c>
      <c r="BX220" s="23">
        <f t="shared" ref="BX220" si="1974">BX142-BW142</f>
        <v>-123.89999999999998</v>
      </c>
      <c r="BY220" s="23">
        <f t="shared" ref="BY220" si="1975">BY142-BX142</f>
        <v>0</v>
      </c>
      <c r="BZ220" s="23">
        <f t="shared" ref="BZ220" si="1976">BZ142-BY142</f>
        <v>296.13000000000011</v>
      </c>
      <c r="CA220" s="23">
        <f t="shared" ref="CA220" si="1977">CA142-BZ142</f>
        <v>0</v>
      </c>
      <c r="CB220" s="23">
        <f t="shared" ref="CB220" si="1978">CB142-CA142</f>
        <v>-107.74000000000024</v>
      </c>
      <c r="CC220" s="23">
        <f t="shared" ref="CC220" si="1979">CC142-CB142</f>
        <v>0</v>
      </c>
      <c r="CD220" s="23">
        <f t="shared" ref="CD220" si="1980">CD142-CC142</f>
        <v>1878.77</v>
      </c>
      <c r="CE220" s="23">
        <f t="shared" ref="CE220" si="1981">CE142-CD142</f>
        <v>0</v>
      </c>
      <c r="CF220" s="23">
        <f t="shared" ref="CF220" si="1982">CF142-CE142</f>
        <v>-556.75</v>
      </c>
      <c r="CG220" s="23">
        <f t="shared" ref="CG220" si="1983">CG142-CF142</f>
        <v>0</v>
      </c>
      <c r="CH220" s="23">
        <f t="shared" ref="CH220:CL220" si="1984">CH142-CG142</f>
        <v>-548.44999999999982</v>
      </c>
      <c r="CI220" s="23">
        <f t="shared" si="1984"/>
        <v>0</v>
      </c>
      <c r="CJ220" s="23">
        <f t="shared" si="1984"/>
        <v>145.36000000000013</v>
      </c>
      <c r="CK220" s="23">
        <f t="shared" ref="CK220" si="1985">CK142-CJ142</f>
        <v>0</v>
      </c>
      <c r="CL220" s="23">
        <f t="shared" si="1984"/>
        <v>126.29999999999973</v>
      </c>
      <c r="CM220" s="24">
        <f t="shared" ref="CM220" si="1986">CM142-CL142</f>
        <v>0</v>
      </c>
      <c r="CN220" s="24">
        <f t="shared" ref="CN220" si="1987">CN142-CM142</f>
        <v>0</v>
      </c>
      <c r="CO220" s="24">
        <f t="shared" ref="CO220" si="1988">CO142-CN142</f>
        <v>0</v>
      </c>
      <c r="CP220" s="24">
        <f t="shared" ref="CP220" si="1989">CP142-CO142</f>
        <v>0</v>
      </c>
      <c r="CQ220" s="24">
        <f t="shared" ref="CQ220" si="1990">CQ142-CP142</f>
        <v>0</v>
      </c>
      <c r="CR220" s="24">
        <f t="shared" ref="CR220" si="1991">CR142-CQ142</f>
        <v>0</v>
      </c>
      <c r="CS220" s="24">
        <f t="shared" ref="CS220" si="1992">CS142-CR142</f>
        <v>0</v>
      </c>
      <c r="CT220" s="24">
        <f t="shared" ref="CT220" si="1993">CT142-CS142</f>
        <v>0</v>
      </c>
      <c r="CU220" s="24">
        <f t="shared" ref="CU220" si="1994">CU142-CT142</f>
        <v>0</v>
      </c>
      <c r="CV220" s="24">
        <f t="shared" ref="CV220" si="1995">CV142-CU142</f>
        <v>0</v>
      </c>
      <c r="CW220" s="24">
        <f t="shared" ref="CW220" si="1996">CW142-CV142</f>
        <v>0</v>
      </c>
      <c r="CX220" s="24">
        <f t="shared" ref="CX220" si="1997">CX142-CW142</f>
        <v>0</v>
      </c>
      <c r="CY220" s="24">
        <f t="shared" ref="CY220" si="1998">CY142-CX142</f>
        <v>0</v>
      </c>
      <c r="CZ220" s="24">
        <f t="shared" ref="CZ220" si="1999">CZ142-CY142</f>
        <v>0</v>
      </c>
      <c r="DA220" s="24">
        <f t="shared" ref="DA220" si="2000">DA142-CZ142</f>
        <v>0</v>
      </c>
      <c r="DB220" s="24">
        <f t="shared" ref="DB220" si="2001">DB142-DA142</f>
        <v>0</v>
      </c>
      <c r="DE220" s="123"/>
      <c r="DF220" s="23">
        <v>0</v>
      </c>
    </row>
    <row r="221" spans="1:110" s="23" customFormat="1" x14ac:dyDescent="0.2">
      <c r="A221" s="23" t="s">
        <v>27</v>
      </c>
      <c r="C221" s="23">
        <f t="shared" ref="C221:AE221" si="2002">C134-C62-B134+C136-B136</f>
        <v>156.15600000000035</v>
      </c>
      <c r="D221" s="23">
        <f t="shared" si="2002"/>
        <v>30.883300000000645</v>
      </c>
      <c r="E221" s="23">
        <f t="shared" si="2002"/>
        <v>-46.864299999999787</v>
      </c>
      <c r="F221" s="23">
        <f t="shared" si="2002"/>
        <v>-23.056600000000373</v>
      </c>
      <c r="G221" s="23">
        <f t="shared" si="2002"/>
        <v>-243.5586000000003</v>
      </c>
      <c r="H221" s="23">
        <f t="shared" si="2002"/>
        <v>667.16399999999942</v>
      </c>
      <c r="I221" s="23">
        <f t="shared" si="2002"/>
        <v>117.12810000000115</v>
      </c>
      <c r="J221" s="23">
        <f t="shared" si="2002"/>
        <v>-468.05960000000027</v>
      </c>
      <c r="K221" s="23">
        <f t="shared" si="2002"/>
        <v>-284.77229999999963</v>
      </c>
      <c r="L221" s="23">
        <f t="shared" si="2002"/>
        <v>30.501400000000331</v>
      </c>
      <c r="M221" s="23">
        <f t="shared" si="2002"/>
        <v>210.3187999999991</v>
      </c>
      <c r="N221" s="23">
        <f t="shared" si="2002"/>
        <v>-380.38660000000061</v>
      </c>
      <c r="O221" s="23">
        <f t="shared" si="2002"/>
        <v>668.37360000000001</v>
      </c>
      <c r="P221" s="23">
        <f t="shared" si="2002"/>
        <v>-651.73649999999839</v>
      </c>
      <c r="Q221" s="23">
        <f t="shared" si="2002"/>
        <v>745.45999999999958</v>
      </c>
      <c r="R221" s="23">
        <f t="shared" si="2002"/>
        <v>-313.37999999999965</v>
      </c>
      <c r="S221" s="23">
        <f t="shared" si="2002"/>
        <v>360.07999999999902</v>
      </c>
      <c r="T221" s="23">
        <f t="shared" si="2002"/>
        <v>-89.459999999999354</v>
      </c>
      <c r="U221" s="23">
        <f t="shared" si="2002"/>
        <v>6088.2000000000025</v>
      </c>
      <c r="V221" s="23">
        <f t="shared" si="2002"/>
        <v>-136.98000000000093</v>
      </c>
      <c r="W221" s="23">
        <f t="shared" si="2002"/>
        <v>-269.26000000000045</v>
      </c>
      <c r="X221" s="23">
        <f t="shared" si="2002"/>
        <v>-370.44999999999993</v>
      </c>
      <c r="Y221" s="23">
        <f t="shared" si="2002"/>
        <v>-841.08</v>
      </c>
      <c r="Z221" s="23">
        <f t="shared" si="2002"/>
        <v>2675.7000000000016</v>
      </c>
      <c r="AA221" s="23">
        <f t="shared" si="2002"/>
        <v>256.26000000000136</v>
      </c>
      <c r="AB221" s="24">
        <f t="shared" si="2002"/>
        <v>0</v>
      </c>
      <c r="AC221" s="24">
        <f t="shared" si="2002"/>
        <v>0</v>
      </c>
      <c r="AD221" s="24">
        <f t="shared" si="2002"/>
        <v>3.637978807091713E-12</v>
      </c>
      <c r="AE221" s="24">
        <f t="shared" si="2002"/>
        <v>3.637978807091713E-12</v>
      </c>
      <c r="AI221" s="23">
        <f t="shared" ref="AI221:BN221" si="2003">AI134-AI62-AH134+AI136-AH136</f>
        <v>-77.690000000000197</v>
      </c>
      <c r="AJ221" s="23">
        <f t="shared" si="2003"/>
        <v>5851.41</v>
      </c>
      <c r="AK221" s="23">
        <f t="shared" si="2003"/>
        <v>0</v>
      </c>
      <c r="AL221" s="23">
        <f t="shared" si="2003"/>
        <v>-522.43999999999949</v>
      </c>
      <c r="AM221" s="23">
        <f t="shared" si="2003"/>
        <v>0</v>
      </c>
      <c r="AN221" s="23">
        <f t="shared" si="2003"/>
        <v>980.79000000000008</v>
      </c>
      <c r="AO221" s="23">
        <f t="shared" si="2003"/>
        <v>0</v>
      </c>
      <c r="AP221" s="23">
        <f t="shared" si="2003"/>
        <v>-312.40999999999974</v>
      </c>
      <c r="AQ221" s="23">
        <f t="shared" si="2003"/>
        <v>0</v>
      </c>
      <c r="AR221" s="23">
        <f t="shared" si="2003"/>
        <v>26.379999999999995</v>
      </c>
      <c r="AS221" s="23">
        <f t="shared" si="2003"/>
        <v>0</v>
      </c>
      <c r="AT221" s="23">
        <f t="shared" si="2003"/>
        <v>-678.11000000000013</v>
      </c>
      <c r="AU221" s="23">
        <f t="shared" si="2003"/>
        <v>0</v>
      </c>
      <c r="AV221" s="23">
        <f t="shared" si="2003"/>
        <v>255.20999999999981</v>
      </c>
      <c r="AW221" s="23">
        <f t="shared" si="2003"/>
        <v>0</v>
      </c>
      <c r="AX221" s="23">
        <f t="shared" si="2003"/>
        <v>490.24000000000069</v>
      </c>
      <c r="AY221" s="23">
        <f t="shared" si="2003"/>
        <v>0</v>
      </c>
      <c r="AZ221" s="23">
        <f t="shared" si="2003"/>
        <v>-450.15999999999974</v>
      </c>
      <c r="BA221" s="23">
        <f t="shared" si="2003"/>
        <v>0</v>
      </c>
      <c r="BB221" s="23">
        <f t="shared" si="2003"/>
        <v>136.78000000000009</v>
      </c>
      <c r="BC221" s="23">
        <f t="shared" si="2003"/>
        <v>0</v>
      </c>
      <c r="BD221" s="23">
        <f t="shared" si="2003"/>
        <v>154.27999999999861</v>
      </c>
      <c r="BE221" s="23">
        <f t="shared" si="2003"/>
        <v>0</v>
      </c>
      <c r="BF221" s="23">
        <f t="shared" si="2003"/>
        <v>205.80000000000041</v>
      </c>
      <c r="BG221" s="23">
        <f t="shared" si="2003"/>
        <v>0</v>
      </c>
      <c r="BH221" s="23">
        <f t="shared" si="2003"/>
        <v>107.89000000000124</v>
      </c>
      <c r="BI221" s="23">
        <f t="shared" si="2003"/>
        <v>0</v>
      </c>
      <c r="BJ221" s="23">
        <f t="shared" si="2003"/>
        <v>-197.34999999999968</v>
      </c>
      <c r="BK221" s="23">
        <f t="shared" si="2003"/>
        <v>0</v>
      </c>
      <c r="BL221" s="23">
        <f t="shared" si="2003"/>
        <v>-404.29999999999961</v>
      </c>
      <c r="BM221" s="23">
        <f t="shared" si="2003"/>
        <v>0</v>
      </c>
      <c r="BN221" s="23">
        <f t="shared" si="2003"/>
        <v>6492.5000000000009</v>
      </c>
      <c r="BO221" s="23">
        <f t="shared" ref="BO221:CT221" si="2004">BO134-BO62-BN134+BO136-BN136</f>
        <v>0</v>
      </c>
      <c r="BP221" s="23">
        <f t="shared" si="2004"/>
        <v>-271.08000000000038</v>
      </c>
      <c r="BQ221" s="23">
        <f t="shared" si="2004"/>
        <v>0</v>
      </c>
      <c r="BR221" s="23">
        <f t="shared" si="2004"/>
        <v>134.10000000000127</v>
      </c>
      <c r="BS221" s="23">
        <f t="shared" si="2004"/>
        <v>0</v>
      </c>
      <c r="BT221" s="23">
        <f t="shared" si="2004"/>
        <v>-384.69000000000074</v>
      </c>
      <c r="BU221" s="23">
        <f t="shared" si="2004"/>
        <v>0</v>
      </c>
      <c r="BV221" s="23">
        <f t="shared" si="2004"/>
        <v>115.43000000000211</v>
      </c>
      <c r="BW221" s="23">
        <f t="shared" si="2004"/>
        <v>0</v>
      </c>
      <c r="BX221" s="23">
        <f t="shared" si="2004"/>
        <v>-800.17999999999984</v>
      </c>
      <c r="BY221" s="23">
        <f t="shared" si="2004"/>
        <v>0</v>
      </c>
      <c r="BZ221" s="23">
        <f t="shared" si="2004"/>
        <v>429.7299999999982</v>
      </c>
      <c r="CA221" s="23">
        <f t="shared" si="2004"/>
        <v>0</v>
      </c>
      <c r="CB221" s="23">
        <f t="shared" si="2004"/>
        <v>-751.40999999999951</v>
      </c>
      <c r="CC221" s="23">
        <f t="shared" si="2004"/>
        <v>0</v>
      </c>
      <c r="CD221" s="23">
        <f t="shared" si="2004"/>
        <v>-89.669999999998709</v>
      </c>
      <c r="CE221" s="23">
        <f t="shared" si="2004"/>
        <v>0</v>
      </c>
      <c r="CF221" s="23">
        <f t="shared" si="2004"/>
        <v>2425.5699999999988</v>
      </c>
      <c r="CG221" s="23">
        <f t="shared" si="2004"/>
        <v>0</v>
      </c>
      <c r="CH221" s="23">
        <f t="shared" si="2004"/>
        <v>250.1300000000042</v>
      </c>
      <c r="CI221" s="23">
        <f t="shared" si="2004"/>
        <v>0</v>
      </c>
      <c r="CJ221" s="23">
        <f t="shared" si="2004"/>
        <v>-424.04000000000246</v>
      </c>
      <c r="CK221" s="23">
        <f t="shared" si="2004"/>
        <v>0</v>
      </c>
      <c r="CL221" s="23">
        <f t="shared" si="2004"/>
        <v>680.30000000000018</v>
      </c>
      <c r="CM221" s="24">
        <f t="shared" si="2004"/>
        <v>0</v>
      </c>
      <c r="CN221" s="24">
        <f t="shared" si="2004"/>
        <v>0</v>
      </c>
      <c r="CO221" s="24">
        <f t="shared" si="2004"/>
        <v>0</v>
      </c>
      <c r="CP221" s="24">
        <f t="shared" si="2004"/>
        <v>0</v>
      </c>
      <c r="CQ221" s="24">
        <f t="shared" si="2004"/>
        <v>0</v>
      </c>
      <c r="CR221" s="24">
        <f t="shared" si="2004"/>
        <v>0</v>
      </c>
      <c r="CS221" s="24">
        <f t="shared" si="2004"/>
        <v>0</v>
      </c>
      <c r="CT221" s="24">
        <f t="shared" si="2004"/>
        <v>0</v>
      </c>
      <c r="CU221" s="24">
        <f t="shared" ref="CU221:DB221" si="2005">CU134-CU62-CT134+CU136-CT136</f>
        <v>0</v>
      </c>
      <c r="CV221" s="24">
        <f t="shared" si="2005"/>
        <v>0</v>
      </c>
      <c r="CW221" s="24">
        <f t="shared" si="2005"/>
        <v>0</v>
      </c>
      <c r="CX221" s="24">
        <f t="shared" si="2005"/>
        <v>0</v>
      </c>
      <c r="CY221" s="24">
        <f t="shared" si="2005"/>
        <v>0</v>
      </c>
      <c r="CZ221" s="24">
        <f t="shared" si="2005"/>
        <v>0</v>
      </c>
      <c r="DA221" s="24">
        <f t="shared" si="2005"/>
        <v>0</v>
      </c>
      <c r="DB221" s="24">
        <f t="shared" si="2005"/>
        <v>3.637978807091713E-12</v>
      </c>
      <c r="DE221" s="123"/>
      <c r="DF221" s="23">
        <v>0</v>
      </c>
    </row>
    <row r="222" spans="1:110" s="23" customFormat="1" x14ac:dyDescent="0.2">
      <c r="AB222" s="24"/>
      <c r="AC222" s="24"/>
      <c r="AD222" s="24"/>
      <c r="AE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E222" s="123"/>
    </row>
    <row r="223" spans="1:110" s="23" customFormat="1" x14ac:dyDescent="0.2">
      <c r="A223" s="23" t="s">
        <v>442</v>
      </c>
      <c r="C223" s="23">
        <f t="shared" ref="C223" si="2006">B175</f>
        <v>37.720599999999997</v>
      </c>
      <c r="D223" s="23">
        <f t="shared" ref="D223" si="2007">C175</f>
        <v>101.82759999999999</v>
      </c>
      <c r="E223" s="23">
        <f>D175</f>
        <v>91.395399999999995</v>
      </c>
      <c r="F223" s="23">
        <f t="shared" ref="F223" si="2008">E175</f>
        <v>227.297</v>
      </c>
      <c r="G223" s="23">
        <f t="shared" ref="G223" si="2009">F175</f>
        <v>171.45170000000002</v>
      </c>
      <c r="H223" s="23">
        <f t="shared" ref="H223" si="2010">G175</f>
        <v>273.7287</v>
      </c>
      <c r="I223" s="23">
        <f t="shared" ref="I223" si="2011">H175</f>
        <v>297.9649</v>
      </c>
      <c r="J223" s="23">
        <f>I175</f>
        <v>2350.2330000000002</v>
      </c>
      <c r="K223" s="23">
        <f>J175</f>
        <v>1099.2774999999999</v>
      </c>
      <c r="L223" s="23">
        <f t="shared" ref="L223" si="2012">K175</f>
        <v>2046.6841999999999</v>
      </c>
      <c r="M223" s="23">
        <f t="shared" ref="M223" si="2013">L175</f>
        <v>1103.8584000000001</v>
      </c>
      <c r="N223" s="23">
        <f t="shared" ref="N223" si="2014">M175</f>
        <v>829.17869999999994</v>
      </c>
      <c r="O223" s="23">
        <f t="shared" ref="O223" si="2015">N175</f>
        <v>699.61</v>
      </c>
      <c r="P223" s="23">
        <f t="shared" ref="P223" si="2016">O175</f>
        <v>728.3383</v>
      </c>
      <c r="Q223" s="23">
        <f t="shared" ref="Q223" si="2017">P175</f>
        <v>548.5</v>
      </c>
      <c r="R223" s="23">
        <f t="shared" ref="R223" si="2018">Q175</f>
        <v>674.36</v>
      </c>
      <c r="S223" s="23">
        <f t="shared" ref="S223" si="2019">R175</f>
        <v>741.17000000000007</v>
      </c>
      <c r="T223" s="23">
        <f t="shared" ref="T223" si="2020">S175</f>
        <v>1806.67</v>
      </c>
      <c r="U223" s="23">
        <f t="shared" ref="U223" si="2021">T175</f>
        <v>1616.77</v>
      </c>
      <c r="V223" s="23">
        <f t="shared" ref="V223" si="2022">U175</f>
        <v>2455.0100000000002</v>
      </c>
      <c r="W223" s="23">
        <f t="shared" ref="W223:AA223" si="2023">V175</f>
        <v>3398.04</v>
      </c>
      <c r="X223" s="23">
        <f t="shared" si="2023"/>
        <v>2797.92</v>
      </c>
      <c r="Y223" s="23">
        <f t="shared" si="2023"/>
        <v>3551.6800000000003</v>
      </c>
      <c r="Z223" s="23">
        <f t="shared" si="2023"/>
        <v>2693.1299999999997</v>
      </c>
      <c r="AA223" s="23">
        <f t="shared" si="2023"/>
        <v>3110.08</v>
      </c>
      <c r="AB223" s="24">
        <f t="shared" ref="AB223" si="2024">AA175</f>
        <v>4288.6899999999996</v>
      </c>
      <c r="AC223" s="24">
        <f t="shared" ref="AC223" si="2025">AB175</f>
        <v>6318.1114283952775</v>
      </c>
      <c r="AD223" s="24">
        <f t="shared" ref="AD223" si="2026">AC175</f>
        <v>8769.2149065779813</v>
      </c>
      <c r="AE223" s="24">
        <f t="shared" ref="AE223" si="2027">AD175</f>
        <v>11722.975603493807</v>
      </c>
      <c r="AI223" s="23">
        <f t="shared" ref="AI223" si="2028">AH175</f>
        <v>0</v>
      </c>
      <c r="AJ223" s="23">
        <f t="shared" ref="AJ223" si="2029">AI175</f>
        <v>0</v>
      </c>
      <c r="AK223" s="23">
        <f t="shared" ref="AK223" si="2030">AJ175</f>
        <v>764.48</v>
      </c>
      <c r="AL223" s="23">
        <f t="shared" ref="AL223" si="2031">AK175</f>
        <v>787.71685707391612</v>
      </c>
      <c r="AM223" s="23">
        <f t="shared" ref="AM223" si="2032">AL175</f>
        <v>699.61</v>
      </c>
      <c r="AN223" s="23">
        <f t="shared" ref="AN223" si="2033">AM175</f>
        <v>836.67942687212769</v>
      </c>
      <c r="AO223" s="23">
        <f t="shared" ref="AO223" si="2034">AN175</f>
        <v>914.51</v>
      </c>
      <c r="AP223" s="23">
        <f t="shared" ref="AP223" si="2035">AO175</f>
        <v>910.04195833419567</v>
      </c>
      <c r="AQ223" s="23">
        <f t="shared" ref="AQ223" si="2036">AP175</f>
        <v>728.34</v>
      </c>
      <c r="AR223" s="23">
        <f t="shared" ref="AR223" si="2037">AQ175</f>
        <v>825.03339975810582</v>
      </c>
      <c r="AS223" s="23">
        <f t="shared" ref="AS223" si="2038">AR175</f>
        <v>654.29999999999995</v>
      </c>
      <c r="AT223" s="23">
        <f t="shared" ref="AT223" si="2039">AS175</f>
        <v>637.80449670146891</v>
      </c>
      <c r="AU223" s="23">
        <f t="shared" ref="AU223" si="2040">AT175</f>
        <v>548.5</v>
      </c>
      <c r="AV223" s="23">
        <f t="shared" ref="AV223" si="2041">AU175</f>
        <v>813.89766671000916</v>
      </c>
      <c r="AW223" s="23">
        <f t="shared" ref="AW223" si="2042">AV175</f>
        <v>437.57</v>
      </c>
      <c r="AX223" s="23">
        <f t="shared" ref="AX223" si="2043">AW175</f>
        <v>464.65507077181064</v>
      </c>
      <c r="AY223" s="23">
        <f t="shared" ref="AY223" si="2044">AX175</f>
        <v>674.36</v>
      </c>
      <c r="AZ223" s="23">
        <f t="shared" ref="AZ223" si="2045">AY175</f>
        <v>645.55025376169169</v>
      </c>
      <c r="BA223" s="23">
        <f t="shared" ref="BA223" si="2046">AZ175</f>
        <v>1111.31</v>
      </c>
      <c r="BB223" s="23">
        <f t="shared" ref="BB223" si="2047">BA175</f>
        <v>1132.4560021953084</v>
      </c>
      <c r="BC223" s="23">
        <f t="shared" ref="BC223" si="2048">BB175</f>
        <v>741.17000000000007</v>
      </c>
      <c r="BD223" s="23">
        <f t="shared" ref="BD223" si="2049">BC175</f>
        <v>848.15621515246994</v>
      </c>
      <c r="BE223" s="23">
        <f t="shared" ref="BE223" si="2050">BD175</f>
        <v>1395.8200000000002</v>
      </c>
      <c r="BF223" s="23">
        <f t="shared" ref="BF223" si="2051">BE175</f>
        <v>1531.3008980344421</v>
      </c>
      <c r="BG223" s="23">
        <f t="shared" ref="BG223" si="2052">BF175</f>
        <v>1806.67</v>
      </c>
      <c r="BH223" s="23">
        <f t="shared" ref="BH223" si="2053">BG175</f>
        <v>1828.8432484008536</v>
      </c>
      <c r="BI223" s="23">
        <f t="shared" ref="BI223" si="2054">BH175</f>
        <v>1437.5</v>
      </c>
      <c r="BJ223" s="23">
        <f t="shared" ref="BJ223" si="2055">BI175</f>
        <v>1392.1412136046381</v>
      </c>
      <c r="BK223" s="23">
        <f t="shared" ref="BK223" si="2056">BJ175</f>
        <v>1616.77</v>
      </c>
      <c r="BL223" s="23">
        <f t="shared" ref="BL223" si="2057">BK175</f>
        <v>1225.7115145370785</v>
      </c>
      <c r="BM223" s="23">
        <f t="shared" ref="BM223" si="2058">BL175</f>
        <v>1571.1000000000001</v>
      </c>
      <c r="BN223" s="23">
        <f t="shared" ref="BN223" si="2059">BM175</f>
        <v>1633.777568159451</v>
      </c>
      <c r="BO223" s="23">
        <f t="shared" ref="BO223" si="2060">BN175</f>
        <v>2455.0100000000002</v>
      </c>
      <c r="BP223" s="23">
        <f t="shared" ref="BP223" si="2061">BO175</f>
        <v>2565.4641027762659</v>
      </c>
      <c r="BQ223" s="23">
        <f t="shared" ref="BQ223" si="2062">BP175</f>
        <v>2515.0500000000002</v>
      </c>
      <c r="BR223" s="23">
        <f t="shared" ref="BR223" si="2063">BQ175</f>
        <v>2536.9268992643838</v>
      </c>
      <c r="BS223" s="23">
        <f t="shared" ref="BS223" si="2064">BR175</f>
        <v>3398.04</v>
      </c>
      <c r="BT223" s="23">
        <f t="shared" ref="BT223" si="2065">BS175</f>
        <v>3596.3049167989134</v>
      </c>
      <c r="BU223" s="23">
        <f t="shared" ref="BU223" si="2066">BT175</f>
        <v>2739.4900000000002</v>
      </c>
      <c r="BV223" s="23">
        <f t="shared" ref="BV223" si="2067">BU175</f>
        <v>2921.997712652319</v>
      </c>
      <c r="BW223" s="23">
        <f t="shared" ref="BW223" si="2068">BV175</f>
        <v>2797.92</v>
      </c>
      <c r="BX223" s="23">
        <f t="shared" ref="BX223" si="2069">BW175</f>
        <v>2996.8344357421556</v>
      </c>
      <c r="BY223" s="23">
        <f t="shared" ref="BY223" si="2070">BX175</f>
        <v>2106.67</v>
      </c>
      <c r="BZ223" s="23">
        <f t="shared" ref="BZ223" si="2071">BY175</f>
        <v>2406.9706803348149</v>
      </c>
      <c r="CA223" s="23">
        <f t="shared" ref="CA223" si="2072">BZ175</f>
        <v>3551.6800000000003</v>
      </c>
      <c r="CB223" s="23">
        <f t="shared" ref="CB223" si="2073">CA175</f>
        <v>3829.2853524579054</v>
      </c>
      <c r="CC223" s="23">
        <f t="shared" ref="CC223" si="2074">CB175</f>
        <v>3044.8100000000004</v>
      </c>
      <c r="CD223" s="23">
        <f t="shared" ref="CD223" si="2075">CC175</f>
        <v>3294.360541488787</v>
      </c>
      <c r="CE223" s="23">
        <f t="shared" ref="CE223" si="2076">CD175</f>
        <v>2693.1299999999997</v>
      </c>
      <c r="CF223" s="23">
        <f t="shared" ref="CF223" si="2077">CE175</f>
        <v>2879.6342010573121</v>
      </c>
      <c r="CG223" s="23">
        <f t="shared" ref="CG223" si="2078">CF175</f>
        <v>2398.64</v>
      </c>
      <c r="CH223" s="23">
        <f t="shared" ref="CH223:CL223" si="2079">CG175</f>
        <v>2581.5383789818361</v>
      </c>
      <c r="CI223" s="23">
        <f t="shared" si="2079"/>
        <v>3110.08</v>
      </c>
      <c r="CJ223" s="23">
        <f t="shared" si="2079"/>
        <v>3600.6495551861676</v>
      </c>
      <c r="CK223" s="23">
        <f t="shared" ref="CK223" si="2080">CJ175</f>
        <v>2291.75</v>
      </c>
      <c r="CL223" s="23">
        <f t="shared" si="2079"/>
        <v>2796.8850589017093</v>
      </c>
      <c r="CM223" s="24">
        <f t="shared" ref="CM223" si="2081">CL175</f>
        <v>4288.6899999999996</v>
      </c>
      <c r="CN223" s="24">
        <f t="shared" ref="CN223" si="2082">CM175</f>
        <v>4747.9511089290399</v>
      </c>
      <c r="CO223" s="24">
        <f t="shared" ref="CO223" si="2083">CN175</f>
        <v>5230.3638235690014</v>
      </c>
      <c r="CP223" s="24">
        <f t="shared" ref="CP223" si="2084">CO175</f>
        <v>5760.1161131004919</v>
      </c>
      <c r="CQ223" s="24">
        <f t="shared" ref="CQ223" si="2085">CP175</f>
        <v>6318.1114283952775</v>
      </c>
      <c r="CR223" s="24">
        <f t="shared" ref="CR223" si="2086">CQ175</f>
        <v>6897.3906342195151</v>
      </c>
      <c r="CS223" s="24">
        <f t="shared" ref="CS223" si="2087">CR175</f>
        <v>7486.608375736062</v>
      </c>
      <c r="CT223" s="24">
        <f t="shared" ref="CT223" si="2088">CS175</f>
        <v>8119.0596908694679</v>
      </c>
      <c r="CU223" s="24">
        <f t="shared" ref="CU223" si="2089">CT175</f>
        <v>8769.2149065779813</v>
      </c>
      <c r="CV223" s="24">
        <f t="shared" ref="CV223" si="2090">CU175</f>
        <v>9472.3873531744248</v>
      </c>
      <c r="CW223" s="24">
        <f t="shared" ref="CW223" si="2091">CV175</f>
        <v>10183.508674266966</v>
      </c>
      <c r="CX223" s="24">
        <f t="shared" ref="CX223" si="2092">CW175</f>
        <v>10943.360397625214</v>
      </c>
      <c r="CY223" s="24">
        <f t="shared" ref="CY223" si="2093">CX175</f>
        <v>11722.975603493807</v>
      </c>
      <c r="CZ223" s="24">
        <f t="shared" ref="CZ223" si="2094">CY175</f>
        <v>12567.678068983532</v>
      </c>
      <c r="DA223" s="24">
        <f t="shared" ref="DA223" si="2095">CZ175</f>
        <v>13419.239627903458</v>
      </c>
      <c r="DB223" s="24">
        <f t="shared" ref="DB223" si="2096">DA175</f>
        <v>14327.963310055919</v>
      </c>
      <c r="DE223" s="123"/>
      <c r="DF223" s="23">
        <v>2796.8850589017093</v>
      </c>
    </row>
    <row r="224" spans="1:110" s="23" customFormat="1" x14ac:dyDescent="0.2">
      <c r="A224" s="23" t="s">
        <v>443</v>
      </c>
      <c r="C224" s="23">
        <f t="shared" ref="C224:W224" si="2097">C223+C219+C215+C213</f>
        <v>101.8275999999999</v>
      </c>
      <c r="D224" s="23">
        <f t="shared" si="2097"/>
        <v>91.395399999999796</v>
      </c>
      <c r="E224" s="23">
        <f t="shared" si="2097"/>
        <v>227.29699999999985</v>
      </c>
      <c r="F224" s="23">
        <f t="shared" si="2097"/>
        <v>171.45170000000064</v>
      </c>
      <c r="G224" s="23">
        <f t="shared" si="2097"/>
        <v>273.72870000000034</v>
      </c>
      <c r="H224" s="23">
        <f t="shared" si="2097"/>
        <v>297.96489999999932</v>
      </c>
      <c r="I224" s="23">
        <f t="shared" si="2097"/>
        <v>2350.2330000000002</v>
      </c>
      <c r="J224" s="23">
        <f>J223+J219+J215+J213</f>
        <v>1099.2775000000006</v>
      </c>
      <c r="K224" s="23">
        <f>K223+K219+K215+K213</f>
        <v>2046.6842000000011</v>
      </c>
      <c r="L224" s="23">
        <f>L223+L219+L215+L213</f>
        <v>1103.8583999999989</v>
      </c>
      <c r="M224" s="23">
        <f>M223+M219+M215+M213</f>
        <v>829.17869999999959</v>
      </c>
      <c r="N224" s="23">
        <f t="shared" si="2097"/>
        <v>699.61000000000035</v>
      </c>
      <c r="O224" s="23">
        <f t="shared" si="2097"/>
        <v>728.33829999999944</v>
      </c>
      <c r="P224" s="23">
        <f t="shared" si="2097"/>
        <v>548.49999999999864</v>
      </c>
      <c r="Q224" s="23">
        <f t="shared" si="2097"/>
        <v>674.36000000000013</v>
      </c>
      <c r="R224" s="23">
        <f t="shared" si="2097"/>
        <v>741.17000000000166</v>
      </c>
      <c r="S224" s="23">
        <f t="shared" si="2097"/>
        <v>1806.6699999999985</v>
      </c>
      <c r="T224" s="23">
        <f t="shared" si="2097"/>
        <v>1616.7700000000018</v>
      </c>
      <c r="U224" s="23">
        <f t="shared" si="2097"/>
        <v>2455.0099999999993</v>
      </c>
      <c r="V224" s="23">
        <f t="shared" si="2097"/>
        <v>3398.0400000000018</v>
      </c>
      <c r="W224" s="23">
        <f t="shared" si="2097"/>
        <v>2797.9199999999992</v>
      </c>
      <c r="X224" s="23">
        <f t="shared" ref="X224:Y224" si="2098">X223+X219+X215+X213</f>
        <v>3551.6799999999989</v>
      </c>
      <c r="Y224" s="23">
        <f t="shared" si="2098"/>
        <v>2693.1300000000019</v>
      </c>
      <c r="Z224" s="23">
        <f t="shared" ref="Z224:AA224" si="2099">Z223+Z219+Z215+Z213</f>
        <v>3110.0799999999981</v>
      </c>
      <c r="AA224" s="23">
        <f t="shared" si="2099"/>
        <v>4288.690000000006</v>
      </c>
      <c r="AB224" s="24">
        <f t="shared" ref="AA224:AD224" si="2100">AB223+AB219+AB215+AB213</f>
        <v>6318.1114283952784</v>
      </c>
      <c r="AC224" s="24">
        <f t="shared" si="2100"/>
        <v>8769.2149065779813</v>
      </c>
      <c r="AD224" s="24">
        <f t="shared" si="2100"/>
        <v>11722.975603493809</v>
      </c>
      <c r="AE224" s="24">
        <f t="shared" ref="AE224" si="2101">AE223+AE219+AE215+AE213</f>
        <v>15258.383775886821</v>
      </c>
      <c r="AI224" s="23">
        <f t="shared" ref="AI224" si="2102">AI223+AI219+AI215+AI213</f>
        <v>0</v>
      </c>
      <c r="AJ224" s="23">
        <f t="shared" ref="AJ224:AL224" si="2103">AJ223+AJ219+AJ215+AJ213</f>
        <v>764.48000000000025</v>
      </c>
      <c r="AK224" s="23">
        <f t="shared" si="2103"/>
        <v>787.71685707391612</v>
      </c>
      <c r="AL224" s="23">
        <f t="shared" si="2103"/>
        <v>699.60999999999967</v>
      </c>
      <c r="AM224" s="23">
        <f t="shared" ref="AM224" si="2104">AM223+AM219+AM215+AM213</f>
        <v>836.67942687212769</v>
      </c>
      <c r="AN224" s="23">
        <f t="shared" ref="AN224:CD224" si="2105">AN223+AN219+AN215+AN213</f>
        <v>914.51000000000079</v>
      </c>
      <c r="AO224" s="23">
        <f t="shared" si="2105"/>
        <v>910.04195833419567</v>
      </c>
      <c r="AP224" s="23">
        <f t="shared" si="2105"/>
        <v>728.33000000000072</v>
      </c>
      <c r="AQ224" s="23">
        <f t="shared" si="2105"/>
        <v>825.03339975810582</v>
      </c>
      <c r="AR224" s="23">
        <f t="shared" si="2105"/>
        <v>654.30999999999983</v>
      </c>
      <c r="AS224" s="23">
        <f t="shared" si="2105"/>
        <v>637.80449670146891</v>
      </c>
      <c r="AT224" s="23">
        <f t="shared" si="2105"/>
        <v>548.50000000000023</v>
      </c>
      <c r="AU224" s="23">
        <f t="shared" si="2105"/>
        <v>813.89766671000916</v>
      </c>
      <c r="AV224" s="23">
        <f t="shared" si="2105"/>
        <v>437.56999999999982</v>
      </c>
      <c r="AW224" s="23">
        <f t="shared" si="2105"/>
        <v>464.65507077181064</v>
      </c>
      <c r="AX224" s="23">
        <f t="shared" si="2105"/>
        <v>674.3600000000007</v>
      </c>
      <c r="AY224" s="23">
        <f t="shared" si="2105"/>
        <v>645.55025376169169</v>
      </c>
      <c r="AZ224" s="23">
        <f t="shared" si="2105"/>
        <v>1111.31</v>
      </c>
      <c r="BA224" s="23">
        <f t="shared" si="2105"/>
        <v>1132.4560021953084</v>
      </c>
      <c r="BB224" s="23">
        <f t="shared" si="2105"/>
        <v>741.17000000000019</v>
      </c>
      <c r="BC224" s="23">
        <f t="shared" si="2105"/>
        <v>848.15621515246994</v>
      </c>
      <c r="BD224" s="23">
        <f t="shared" si="2105"/>
        <v>1395.8199999999974</v>
      </c>
      <c r="BE224" s="23">
        <f t="shared" si="2105"/>
        <v>1531.3008980344421</v>
      </c>
      <c r="BF224" s="23">
        <f t="shared" si="2105"/>
        <v>1806.670000000001</v>
      </c>
      <c r="BG224" s="23">
        <f t="shared" si="2105"/>
        <v>1828.8432484008536</v>
      </c>
      <c r="BH224" s="23">
        <f t="shared" si="2105"/>
        <v>1437.5000000000025</v>
      </c>
      <c r="BI224" s="23">
        <f t="shared" si="2105"/>
        <v>1392.1412136046381</v>
      </c>
      <c r="BJ224" s="23">
        <f t="shared" si="2105"/>
        <v>1616.7700000000009</v>
      </c>
      <c r="BK224" s="23">
        <f t="shared" si="2105"/>
        <v>1225.7115145370785</v>
      </c>
      <c r="BL224" s="23">
        <f t="shared" si="2105"/>
        <v>1571.1000000000013</v>
      </c>
      <c r="BM224" s="23">
        <f t="shared" si="2105"/>
        <v>1633.777568159451</v>
      </c>
      <c r="BN224" s="23">
        <f t="shared" si="2105"/>
        <v>2455.0100000000025</v>
      </c>
      <c r="BO224" s="23">
        <f t="shared" si="2105"/>
        <v>2565.4641027762659</v>
      </c>
      <c r="BP224" s="23">
        <f t="shared" si="2105"/>
        <v>2515.0500000000011</v>
      </c>
      <c r="BQ224" s="23">
        <f t="shared" si="2105"/>
        <v>2536.9268992643838</v>
      </c>
      <c r="BR224" s="23">
        <f t="shared" si="2105"/>
        <v>3398.0400000000004</v>
      </c>
      <c r="BS224" s="23">
        <f t="shared" si="2105"/>
        <v>3596.3049167989134</v>
      </c>
      <c r="BT224" s="23">
        <f t="shared" si="2105"/>
        <v>2739.4899999999993</v>
      </c>
      <c r="BU224" s="23">
        <f t="shared" si="2105"/>
        <v>2921.997712652319</v>
      </c>
      <c r="BV224" s="23">
        <f t="shared" si="2105"/>
        <v>2797.9200000000028</v>
      </c>
      <c r="BW224" s="23">
        <f t="shared" si="2105"/>
        <v>2996.8344357421556</v>
      </c>
      <c r="BX224" s="23">
        <f t="shared" si="2105"/>
        <v>2106.6699999999996</v>
      </c>
      <c r="BY224" s="23">
        <f t="shared" si="2105"/>
        <v>2406.9706803348149</v>
      </c>
      <c r="BZ224" s="23">
        <f t="shared" si="2105"/>
        <v>3551.6799999999962</v>
      </c>
      <c r="CA224" s="23">
        <f t="shared" si="2105"/>
        <v>3829.2853524579054</v>
      </c>
      <c r="CB224" s="23">
        <f t="shared" si="2105"/>
        <v>3044.8100000000009</v>
      </c>
      <c r="CC224" s="23">
        <f t="shared" si="2105"/>
        <v>3294.360541488787</v>
      </c>
      <c r="CD224" s="23">
        <f t="shared" si="2105"/>
        <v>2693.13</v>
      </c>
      <c r="CE224" s="23">
        <f t="shared" ref="CE224:CF224" si="2106">CE223+CE219+CE215+CE213</f>
        <v>2879.6342010573121</v>
      </c>
      <c r="CF224" s="23">
        <f t="shared" si="2106"/>
        <v>2398.639999999999</v>
      </c>
      <c r="CG224" s="23">
        <f t="shared" ref="CG224:CH224" si="2107">CG223+CG219+CG215+CG213</f>
        <v>2581.5383789818361</v>
      </c>
      <c r="CH224" s="23">
        <f t="shared" si="2107"/>
        <v>3110.0800000000013</v>
      </c>
      <c r="CI224" s="23">
        <f t="shared" ref="CI224:CJ224" si="2108">CI223+CI219+CI215+CI213</f>
        <v>3600.6495551861676</v>
      </c>
      <c r="CJ224" s="23">
        <f t="shared" si="2108"/>
        <v>2291.7500000000023</v>
      </c>
      <c r="CK224" s="23">
        <f t="shared" ref="CK224:DB224" si="2109">CK223+CK219+CK215+CK213</f>
        <v>2796.8850589017093</v>
      </c>
      <c r="CL224" s="23">
        <f t="shared" si="2109"/>
        <v>4288.6900000000023</v>
      </c>
      <c r="CM224" s="24">
        <f t="shared" si="2109"/>
        <v>4747.9511089290399</v>
      </c>
      <c r="CN224" s="24">
        <f t="shared" si="2109"/>
        <v>5230.3638235690014</v>
      </c>
      <c r="CO224" s="24">
        <f t="shared" si="2109"/>
        <v>5760.1161131004919</v>
      </c>
      <c r="CP224" s="24">
        <f t="shared" si="2109"/>
        <v>6318.1114283952775</v>
      </c>
      <c r="CQ224" s="24">
        <f t="shared" si="2109"/>
        <v>6897.3906342195151</v>
      </c>
      <c r="CR224" s="24">
        <f t="shared" si="2109"/>
        <v>7486.608375736062</v>
      </c>
      <c r="CS224" s="24">
        <f t="shared" si="2109"/>
        <v>8119.0596908694679</v>
      </c>
      <c r="CT224" s="24">
        <f t="shared" si="2109"/>
        <v>8769.2149065779813</v>
      </c>
      <c r="CU224" s="24">
        <f t="shared" si="2109"/>
        <v>9472.3873531744248</v>
      </c>
      <c r="CV224" s="24">
        <f t="shared" si="2109"/>
        <v>10183.508674266966</v>
      </c>
      <c r="CW224" s="24">
        <f t="shared" si="2109"/>
        <v>10943.360397625214</v>
      </c>
      <c r="CX224" s="24">
        <f t="shared" si="2109"/>
        <v>11722.975603493807</v>
      </c>
      <c r="CY224" s="24">
        <f t="shared" si="2109"/>
        <v>12567.678068983532</v>
      </c>
      <c r="CZ224" s="24">
        <f t="shared" si="2109"/>
        <v>13419.239627903458</v>
      </c>
      <c r="DA224" s="24">
        <f t="shared" si="2109"/>
        <v>14327.963310055919</v>
      </c>
      <c r="DB224" s="24">
        <f t="shared" si="2109"/>
        <v>15258.383775886816</v>
      </c>
      <c r="DE224" s="123"/>
      <c r="DF224" s="23">
        <v>3378.5718347545017</v>
      </c>
    </row>
    <row r="225" spans="1:110" s="28" customFormat="1" x14ac:dyDescent="0.2">
      <c r="A225" s="28" t="s">
        <v>444</v>
      </c>
      <c r="C225" s="28">
        <f t="shared" ref="C225:W225" si="2110">C224-C175</f>
        <v>0</v>
      </c>
      <c r="D225" s="28">
        <f t="shared" si="2110"/>
        <v>-1.9895196601282805E-13</v>
      </c>
      <c r="E225" s="28">
        <f t="shared" si="2110"/>
        <v>0</v>
      </c>
      <c r="F225" s="28">
        <f t="shared" si="2110"/>
        <v>6.2527760746888816E-13</v>
      </c>
      <c r="G225" s="28">
        <f t="shared" si="2110"/>
        <v>0</v>
      </c>
      <c r="H225" s="28">
        <f t="shared" si="2110"/>
        <v>-6.8212102632969618E-13</v>
      </c>
      <c r="I225" s="28">
        <f t="shared" si="2110"/>
        <v>0</v>
      </c>
      <c r="J225" s="28">
        <f>J224-J175</f>
        <v>0</v>
      </c>
      <c r="K225" s="28">
        <f t="shared" si="2110"/>
        <v>0</v>
      </c>
      <c r="L225" s="28">
        <f t="shared" si="2110"/>
        <v>0</v>
      </c>
      <c r="M225" s="28">
        <f t="shared" si="2110"/>
        <v>0</v>
      </c>
      <c r="N225" s="28">
        <f t="shared" si="2110"/>
        <v>0</v>
      </c>
      <c r="O225" s="28">
        <f t="shared" si="2110"/>
        <v>0</v>
      </c>
      <c r="P225" s="28">
        <f t="shared" si="2110"/>
        <v>-1.3642420526593924E-12</v>
      </c>
      <c r="Q225" s="28">
        <f t="shared" si="2110"/>
        <v>0</v>
      </c>
      <c r="R225" s="28">
        <f t="shared" si="2110"/>
        <v>1.5916157281026244E-12</v>
      </c>
      <c r="S225" s="28">
        <f t="shared" si="2110"/>
        <v>0</v>
      </c>
      <c r="T225" s="28">
        <f t="shared" si="2110"/>
        <v>1.8189894035458565E-12</v>
      </c>
      <c r="U225" s="28">
        <f t="shared" si="2110"/>
        <v>0</v>
      </c>
      <c r="V225" s="28">
        <f t="shared" si="2110"/>
        <v>0</v>
      </c>
      <c r="W225" s="28">
        <f t="shared" si="2110"/>
        <v>0</v>
      </c>
      <c r="X225" s="28">
        <f t="shared" ref="X225:Y225" si="2111">X224-X175</f>
        <v>0</v>
      </c>
      <c r="Y225" s="28">
        <f t="shared" si="2111"/>
        <v>0</v>
      </c>
      <c r="Z225" s="28">
        <f t="shared" ref="Z225:AA225" si="2112">Z224-Z175</f>
        <v>0</v>
      </c>
      <c r="AA225" s="28">
        <f t="shared" si="2112"/>
        <v>0</v>
      </c>
      <c r="AB225" s="30">
        <f t="shared" ref="AA225:AD225" si="2113">AB224-AB175</f>
        <v>0</v>
      </c>
      <c r="AC225" s="30">
        <f t="shared" si="2113"/>
        <v>0</v>
      </c>
      <c r="AD225" s="30">
        <f t="shared" si="2113"/>
        <v>0</v>
      </c>
      <c r="AE225" s="30">
        <f t="shared" ref="AE225" si="2114">AE224-AE175</f>
        <v>0</v>
      </c>
      <c r="AI225" s="28">
        <f t="shared" ref="AI225" si="2115">AI224-AI175</f>
        <v>0</v>
      </c>
      <c r="AJ225" s="28">
        <f t="shared" ref="AJ225:AL225" si="2116">AJ224-AJ175</f>
        <v>0</v>
      </c>
      <c r="AK225" s="28">
        <f t="shared" si="2116"/>
        <v>0</v>
      </c>
      <c r="AL225" s="28">
        <f t="shared" si="2116"/>
        <v>0</v>
      </c>
      <c r="AM225" s="28">
        <f t="shared" ref="AM225" si="2117">AM224-AM175</f>
        <v>0</v>
      </c>
      <c r="AN225" s="28">
        <f t="shared" ref="AN225:CD225" si="2118">AN224-AN175</f>
        <v>0</v>
      </c>
      <c r="AO225" s="28">
        <f t="shared" si="2118"/>
        <v>0</v>
      </c>
      <c r="AP225" s="28">
        <f t="shared" si="2118"/>
        <v>-9.999999999308784E-3</v>
      </c>
      <c r="AQ225" s="28">
        <f t="shared" si="2118"/>
        <v>0</v>
      </c>
      <c r="AR225" s="28">
        <f t="shared" si="2118"/>
        <v>9.9999999998772182E-3</v>
      </c>
      <c r="AS225" s="28">
        <f t="shared" si="2118"/>
        <v>0</v>
      </c>
      <c r="AT225" s="28">
        <f t="shared" si="2118"/>
        <v>0</v>
      </c>
      <c r="AU225" s="28">
        <f t="shared" si="2118"/>
        <v>0</v>
      </c>
      <c r="AV225" s="28">
        <f t="shared" si="2118"/>
        <v>0</v>
      </c>
      <c r="AW225" s="28">
        <f t="shared" si="2118"/>
        <v>0</v>
      </c>
      <c r="AX225" s="28">
        <f t="shared" si="2118"/>
        <v>0</v>
      </c>
      <c r="AY225" s="28">
        <f t="shared" si="2118"/>
        <v>0</v>
      </c>
      <c r="AZ225" s="28">
        <f t="shared" si="2118"/>
        <v>0</v>
      </c>
      <c r="BA225" s="28">
        <f t="shared" si="2118"/>
        <v>0</v>
      </c>
      <c r="BB225" s="28">
        <f t="shared" si="2118"/>
        <v>0</v>
      </c>
      <c r="BC225" s="28">
        <f t="shared" si="2118"/>
        <v>0</v>
      </c>
      <c r="BD225" s="28">
        <f t="shared" si="2118"/>
        <v>-2.7284841053187847E-12</v>
      </c>
      <c r="BE225" s="28">
        <f t="shared" si="2118"/>
        <v>0</v>
      </c>
      <c r="BF225" s="28">
        <f t="shared" si="2118"/>
        <v>0</v>
      </c>
      <c r="BG225" s="28">
        <f t="shared" si="2118"/>
        <v>0</v>
      </c>
      <c r="BH225" s="28">
        <f t="shared" si="2118"/>
        <v>2.5011104298755527E-12</v>
      </c>
      <c r="BI225" s="28">
        <f t="shared" si="2118"/>
        <v>0</v>
      </c>
      <c r="BJ225" s="28">
        <f t="shared" si="2118"/>
        <v>0</v>
      </c>
      <c r="BK225" s="28">
        <f t="shared" si="2118"/>
        <v>0</v>
      </c>
      <c r="BL225" s="28">
        <f t="shared" si="2118"/>
        <v>0</v>
      </c>
      <c r="BM225" s="28">
        <f t="shared" si="2118"/>
        <v>0</v>
      </c>
      <c r="BN225" s="28">
        <f t="shared" si="2118"/>
        <v>0</v>
      </c>
      <c r="BO225" s="28">
        <f t="shared" si="2118"/>
        <v>0</v>
      </c>
      <c r="BP225" s="28">
        <f t="shared" si="2118"/>
        <v>0</v>
      </c>
      <c r="BQ225" s="28">
        <f t="shared" si="2118"/>
        <v>0</v>
      </c>
      <c r="BR225" s="28">
        <f t="shared" si="2118"/>
        <v>0</v>
      </c>
      <c r="BS225" s="28">
        <f t="shared" si="2118"/>
        <v>0</v>
      </c>
      <c r="BT225" s="28">
        <f t="shared" si="2118"/>
        <v>0</v>
      </c>
      <c r="BU225" s="28">
        <f t="shared" si="2118"/>
        <v>0</v>
      </c>
      <c r="BV225" s="28">
        <f t="shared" si="2118"/>
        <v>0</v>
      </c>
      <c r="BW225" s="28">
        <f t="shared" si="2118"/>
        <v>0</v>
      </c>
      <c r="BX225" s="28">
        <f t="shared" si="2118"/>
        <v>0</v>
      </c>
      <c r="BY225" s="28">
        <f t="shared" si="2118"/>
        <v>0</v>
      </c>
      <c r="BZ225" s="28">
        <f t="shared" si="2118"/>
        <v>-4.0927261579781771E-12</v>
      </c>
      <c r="CA225" s="28">
        <f t="shared" si="2118"/>
        <v>0</v>
      </c>
      <c r="CB225" s="28">
        <f t="shared" si="2118"/>
        <v>0</v>
      </c>
      <c r="CC225" s="28">
        <f t="shared" si="2118"/>
        <v>0</v>
      </c>
      <c r="CD225" s="28">
        <f t="shared" si="2118"/>
        <v>0</v>
      </c>
      <c r="CE225" s="28">
        <f t="shared" ref="CE225:CF225" si="2119">CE224-CE175</f>
        <v>0</v>
      </c>
      <c r="CF225" s="28">
        <f t="shared" si="2119"/>
        <v>0</v>
      </c>
      <c r="CG225" s="28">
        <f t="shared" ref="CG225:CH225" si="2120">CG224-CG175</f>
        <v>0</v>
      </c>
      <c r="CH225" s="28">
        <f t="shared" si="2120"/>
        <v>0</v>
      </c>
      <c r="CI225" s="28">
        <f t="shared" ref="CI225:CJ225" si="2121">CI224-CI175</f>
        <v>0</v>
      </c>
      <c r="CJ225" s="28">
        <f t="shared" si="2121"/>
        <v>0</v>
      </c>
      <c r="CK225" s="28">
        <f t="shared" ref="CK225:DB225" si="2122">CK224-CK175</f>
        <v>0</v>
      </c>
      <c r="CL225" s="28">
        <f t="shared" si="2122"/>
        <v>0</v>
      </c>
      <c r="CM225" s="30">
        <f t="shared" si="2122"/>
        <v>0</v>
      </c>
      <c r="CN225" s="30">
        <f t="shared" si="2122"/>
        <v>0</v>
      </c>
      <c r="CO225" s="30">
        <f t="shared" si="2122"/>
        <v>0</v>
      </c>
      <c r="CP225" s="30">
        <f t="shared" si="2122"/>
        <v>0</v>
      </c>
      <c r="CQ225" s="30">
        <f t="shared" si="2122"/>
        <v>0</v>
      </c>
      <c r="CR225" s="30">
        <f t="shared" si="2122"/>
        <v>0</v>
      </c>
      <c r="CS225" s="30">
        <f t="shared" si="2122"/>
        <v>0</v>
      </c>
      <c r="CT225" s="30">
        <f t="shared" si="2122"/>
        <v>0</v>
      </c>
      <c r="CU225" s="30">
        <f t="shared" si="2122"/>
        <v>0</v>
      </c>
      <c r="CV225" s="30">
        <f t="shared" si="2122"/>
        <v>0</v>
      </c>
      <c r="CW225" s="30">
        <f t="shared" si="2122"/>
        <v>0</v>
      </c>
      <c r="CX225" s="30">
        <f t="shared" si="2122"/>
        <v>0</v>
      </c>
      <c r="CY225" s="30">
        <f t="shared" si="2122"/>
        <v>0</v>
      </c>
      <c r="CZ225" s="30">
        <f t="shared" si="2122"/>
        <v>0</v>
      </c>
      <c r="DA225" s="30">
        <f t="shared" si="2122"/>
        <v>0</v>
      </c>
      <c r="DB225" s="30">
        <f t="shared" si="2122"/>
        <v>0</v>
      </c>
      <c r="DE225" s="139"/>
      <c r="DF225" s="28">
        <v>0</v>
      </c>
    </row>
    <row r="226" spans="1:110" s="23" customFormat="1" x14ac:dyDescent="0.2">
      <c r="AB226" s="24"/>
      <c r="AC226" s="24"/>
      <c r="AD226" s="24"/>
      <c r="AE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E226" s="123"/>
    </row>
    <row r="227" spans="1:110" s="22" customFormat="1" x14ac:dyDescent="0.2">
      <c r="A227" s="22" t="s">
        <v>96</v>
      </c>
      <c r="C227" s="22">
        <f t="shared" ref="C227:W227" si="2123">C213+C215</f>
        <v>-1583.7658000000008</v>
      </c>
      <c r="D227" s="22">
        <f t="shared" si="2123"/>
        <v>-82.049900000000662</v>
      </c>
      <c r="E227" s="22">
        <f t="shared" si="2123"/>
        <v>157.02879999999959</v>
      </c>
      <c r="F227" s="22">
        <f t="shared" si="2123"/>
        <v>132.0745000000008</v>
      </c>
      <c r="G227" s="22">
        <f t="shared" si="2123"/>
        <v>279.72590000000059</v>
      </c>
      <c r="H227" s="22">
        <f t="shared" si="2123"/>
        <v>-3522.2223999999992</v>
      </c>
      <c r="I227" s="22">
        <f t="shared" si="2123"/>
        <v>3903.5941999999986</v>
      </c>
      <c r="J227" s="22">
        <f>J213+J215</f>
        <v>-604.6603999999993</v>
      </c>
      <c r="K227" s="22">
        <f t="shared" si="2123"/>
        <v>1866.4651000000006</v>
      </c>
      <c r="L227" s="22">
        <f t="shared" si="2123"/>
        <v>-218.03490000000147</v>
      </c>
      <c r="M227" s="22">
        <f t="shared" si="2123"/>
        <v>-359.42179999999951</v>
      </c>
      <c r="N227" s="22">
        <f t="shared" si="2123"/>
        <v>-222.04279999999915</v>
      </c>
      <c r="O227" s="22">
        <f t="shared" si="2123"/>
        <v>-688.96750000000043</v>
      </c>
      <c r="P227" s="22">
        <f t="shared" si="2123"/>
        <v>585.96689999999705</v>
      </c>
      <c r="Q227" s="22">
        <f t="shared" si="2123"/>
        <v>-649.61999999999944</v>
      </c>
      <c r="R227" s="22">
        <f t="shared" si="2123"/>
        <v>947.6800000000012</v>
      </c>
      <c r="S227" s="22">
        <f t="shared" si="2123"/>
        <v>424.39999999999935</v>
      </c>
      <c r="T227" s="22">
        <f t="shared" si="2123"/>
        <v>-173.95999999999913</v>
      </c>
      <c r="U227" s="22">
        <f t="shared" si="2123"/>
        <v>-5365.2500000000027</v>
      </c>
      <c r="V227" s="22">
        <f t="shared" si="2123"/>
        <v>1129.7600000000023</v>
      </c>
      <c r="W227" s="22">
        <f t="shared" si="2123"/>
        <v>-134.81000000000017</v>
      </c>
      <c r="X227" s="22">
        <f t="shared" ref="X227:Y227" si="2124">X213+X215</f>
        <v>951.97999999999865</v>
      </c>
      <c r="Y227" s="22">
        <f t="shared" si="2124"/>
        <v>-1788.4999999999982</v>
      </c>
      <c r="Z227" s="22">
        <f t="shared" ref="Z227:AA227" si="2125">Z213+Z215</f>
        <v>-1153.5500000000031</v>
      </c>
      <c r="AA227" s="22">
        <f t="shared" si="2125"/>
        <v>650.69000000000483</v>
      </c>
      <c r="AB227" s="21">
        <f t="shared" ref="AA227:AD227" si="2126">AB213+AB215</f>
        <v>2029.4214283952783</v>
      </c>
      <c r="AC227" s="21">
        <f t="shared" si="2126"/>
        <v>2451.1034781827047</v>
      </c>
      <c r="AD227" s="21">
        <f t="shared" si="2126"/>
        <v>2953.7606969158242</v>
      </c>
      <c r="AE227" s="21">
        <f t="shared" ref="AE227" si="2127">AE213+AE215</f>
        <v>3535.4081723930094</v>
      </c>
      <c r="AI227" s="22">
        <f t="shared" ref="AI227" si="2128">AI213+AI215</f>
        <v>77.690000000000197</v>
      </c>
      <c r="AJ227" s="22">
        <f t="shared" ref="AJ227:AL227" si="2129">AJ213+AJ215</f>
        <v>-6093.7</v>
      </c>
      <c r="AK227" s="22">
        <f t="shared" si="2129"/>
        <v>23.236857073916092</v>
      </c>
      <c r="AL227" s="22">
        <f t="shared" si="2129"/>
        <v>424.27314292608298</v>
      </c>
      <c r="AM227" s="22">
        <f t="shared" ref="AM227" si="2130">AM213+AM215</f>
        <v>137.06942687212771</v>
      </c>
      <c r="AN227" s="22">
        <f t="shared" ref="AN227:CD227" si="2131">AN213+AN215</f>
        <v>-1289.079426872127</v>
      </c>
      <c r="AO227" s="22">
        <f t="shared" si="2131"/>
        <v>-4.4680416658043782</v>
      </c>
      <c r="AP227" s="22">
        <f t="shared" si="2131"/>
        <v>132.30804166580495</v>
      </c>
      <c r="AQ227" s="22">
        <f t="shared" si="2131"/>
        <v>96.693399758105841</v>
      </c>
      <c r="AR227" s="22">
        <f t="shared" si="2131"/>
        <v>-359.32339975810601</v>
      </c>
      <c r="AS227" s="22">
        <f t="shared" si="2131"/>
        <v>-16.495503298530991</v>
      </c>
      <c r="AT227" s="22">
        <f t="shared" si="2131"/>
        <v>886.39550329853137</v>
      </c>
      <c r="AU227" s="22">
        <f t="shared" si="2131"/>
        <v>265.39766671000922</v>
      </c>
      <c r="AV227" s="22">
        <f t="shared" si="2131"/>
        <v>-755.62766671000907</v>
      </c>
      <c r="AW227" s="22">
        <f t="shared" si="2131"/>
        <v>27.085070771810663</v>
      </c>
      <c r="AX227" s="22">
        <f t="shared" si="2131"/>
        <v>196.84492922818924</v>
      </c>
      <c r="AY227" s="22">
        <f t="shared" si="2131"/>
        <v>-28.809746238308264</v>
      </c>
      <c r="AZ227" s="22">
        <f t="shared" si="2131"/>
        <v>823.95974623830807</v>
      </c>
      <c r="BA227" s="22">
        <f t="shared" si="2131"/>
        <v>21.146002195308569</v>
      </c>
      <c r="BB227" s="22">
        <f t="shared" si="2131"/>
        <v>-293.75600219530827</v>
      </c>
      <c r="BC227" s="22">
        <f t="shared" si="2131"/>
        <v>106.98621515246981</v>
      </c>
      <c r="BD227" s="22">
        <f t="shared" si="2131"/>
        <v>295.753784847529</v>
      </c>
      <c r="BE227" s="22">
        <f t="shared" si="2131"/>
        <v>135.48089803444196</v>
      </c>
      <c r="BF227" s="22">
        <f t="shared" si="2131"/>
        <v>-118.65089803444172</v>
      </c>
      <c r="BG227" s="22">
        <f t="shared" si="2131"/>
        <v>22.173248400853538</v>
      </c>
      <c r="BH227" s="22">
        <f t="shared" si="2131"/>
        <v>-664.29324840085235</v>
      </c>
      <c r="BI227" s="22">
        <f t="shared" si="2131"/>
        <v>-45.358786395361818</v>
      </c>
      <c r="BJ227" s="22">
        <f t="shared" si="2131"/>
        <v>526.31878639536251</v>
      </c>
      <c r="BK227" s="22">
        <f t="shared" si="2131"/>
        <v>-391.05848546292157</v>
      </c>
      <c r="BL227" s="22">
        <f t="shared" si="2131"/>
        <v>644.72848546292221</v>
      </c>
      <c r="BM227" s="22">
        <f t="shared" si="2131"/>
        <v>62.677568159450772</v>
      </c>
      <c r="BN227" s="22">
        <f t="shared" si="2131"/>
        <v>-5631.88756815945</v>
      </c>
      <c r="BO227" s="22">
        <f t="shared" si="2131"/>
        <v>110.45410277626559</v>
      </c>
      <c r="BP227" s="22">
        <f t="shared" si="2131"/>
        <v>263.01589722373541</v>
      </c>
      <c r="BQ227" s="22">
        <f t="shared" si="2131"/>
        <v>21.876899264383837</v>
      </c>
      <c r="BR227" s="22">
        <f t="shared" si="2131"/>
        <v>660.50310073561525</v>
      </c>
      <c r="BS227" s="22">
        <f t="shared" si="2131"/>
        <v>198.26491679891348</v>
      </c>
      <c r="BT227" s="22">
        <f t="shared" si="2131"/>
        <v>-18.684916798913434</v>
      </c>
      <c r="BU227" s="22">
        <f t="shared" si="2131"/>
        <v>182.50771265231862</v>
      </c>
      <c r="BV227" s="22">
        <f t="shared" si="2131"/>
        <v>-496.89771265231855</v>
      </c>
      <c r="BW227" s="22">
        <f t="shared" si="2131"/>
        <v>198.91443574215555</v>
      </c>
      <c r="BX227" s="22">
        <f t="shared" si="2131"/>
        <v>33.915564257844039</v>
      </c>
      <c r="BY227" s="22">
        <f t="shared" si="2131"/>
        <v>300.30068033481496</v>
      </c>
      <c r="BZ227" s="22">
        <f t="shared" si="2131"/>
        <v>418.84931966518286</v>
      </c>
      <c r="CA227" s="22">
        <f t="shared" si="2131"/>
        <v>277.60535245790527</v>
      </c>
      <c r="CB227" s="22">
        <f t="shared" si="2131"/>
        <v>74.674647542095101</v>
      </c>
      <c r="CC227" s="22">
        <f t="shared" si="2131"/>
        <v>249.55054148878673</v>
      </c>
      <c r="CD227" s="22">
        <f t="shared" si="2131"/>
        <v>-2390.3305414887882</v>
      </c>
      <c r="CE227" s="22">
        <f t="shared" ref="CE227:CF227" si="2132">CE213+CE215</f>
        <v>186.50420105731234</v>
      </c>
      <c r="CF227" s="22">
        <f t="shared" si="2132"/>
        <v>-2349.8142010573124</v>
      </c>
      <c r="CG227" s="22">
        <f t="shared" ref="CG227:CH227" si="2133">CG213+CG215</f>
        <v>182.89837898183617</v>
      </c>
      <c r="CH227" s="22">
        <f t="shared" si="2133"/>
        <v>826.8616210181608</v>
      </c>
      <c r="CI227" s="22">
        <f t="shared" ref="CI227:CJ227" si="2134">CI213+CI215</f>
        <v>490.56955518616758</v>
      </c>
      <c r="CJ227" s="22">
        <f t="shared" si="2134"/>
        <v>-1030.2195551861632</v>
      </c>
      <c r="CK227" s="22">
        <f t="shared" ref="CK227:DB227" si="2135">CK213+CK215</f>
        <v>505.1350589017095</v>
      </c>
      <c r="CL227" s="22">
        <f t="shared" si="2135"/>
        <v>685.20494109829315</v>
      </c>
      <c r="CM227" s="21">
        <f t="shared" si="2135"/>
        <v>459.26110892904001</v>
      </c>
      <c r="CN227" s="21">
        <f t="shared" si="2135"/>
        <v>482.41271463996168</v>
      </c>
      <c r="CO227" s="21">
        <f t="shared" si="2135"/>
        <v>529.75228953149087</v>
      </c>
      <c r="CP227" s="21">
        <f t="shared" si="2135"/>
        <v>557.9953152947852</v>
      </c>
      <c r="CQ227" s="21">
        <f t="shared" si="2135"/>
        <v>579.27920582423735</v>
      </c>
      <c r="CR227" s="21">
        <f t="shared" si="2135"/>
        <v>589.21774151654711</v>
      </c>
      <c r="CS227" s="21">
        <f t="shared" si="2135"/>
        <v>632.45131513340584</v>
      </c>
      <c r="CT227" s="21">
        <f t="shared" si="2135"/>
        <v>650.15521570851263</v>
      </c>
      <c r="CU227" s="21">
        <f t="shared" si="2135"/>
        <v>703.17244659644302</v>
      </c>
      <c r="CV227" s="21">
        <f t="shared" si="2135"/>
        <v>711.12132109254208</v>
      </c>
      <c r="CW227" s="21">
        <f t="shared" si="2135"/>
        <v>759.85172335824768</v>
      </c>
      <c r="CX227" s="21">
        <f t="shared" si="2135"/>
        <v>779.61520586859285</v>
      </c>
      <c r="CY227" s="21">
        <f t="shared" si="2135"/>
        <v>844.70246548972466</v>
      </c>
      <c r="CZ227" s="21">
        <f t="shared" si="2135"/>
        <v>851.56155891992603</v>
      </c>
      <c r="DA227" s="21">
        <f t="shared" si="2135"/>
        <v>908.72368215246115</v>
      </c>
      <c r="DB227" s="21">
        <f t="shared" si="2135"/>
        <v>930.42046583089427</v>
      </c>
      <c r="DE227" s="126"/>
      <c r="DF227" s="22">
        <v>581.68677585279227</v>
      </c>
    </row>
    <row r="228" spans="1:110" x14ac:dyDescent="0.2">
      <c r="A228" s="152" t="s">
        <v>496</v>
      </c>
      <c r="AA228" s="2"/>
      <c r="CL228" s="2"/>
    </row>
    <row r="229" spans="1:110" x14ac:dyDescent="0.2">
      <c r="AA229" s="2"/>
      <c r="CL229" s="2"/>
    </row>
    <row r="230" spans="1:110" s="7" customFormat="1" hidden="1" outlineLevel="1" x14ac:dyDescent="0.2">
      <c r="A230" s="61" t="s">
        <v>97</v>
      </c>
      <c r="AB230" s="77"/>
      <c r="AC230" s="77"/>
      <c r="AD230" s="77"/>
      <c r="AE230" s="77"/>
      <c r="CM230" s="50"/>
      <c r="CN230" s="50"/>
      <c r="CO230" s="50"/>
      <c r="CP230" s="50"/>
      <c r="CQ230" s="50"/>
      <c r="CR230" s="50"/>
      <c r="CS230" s="50"/>
      <c r="CT230" s="50"/>
      <c r="CU230" s="50"/>
      <c r="CV230" s="50"/>
      <c r="CW230" s="50"/>
      <c r="CX230" s="50"/>
      <c r="CY230" s="50"/>
      <c r="CZ230" s="50"/>
      <c r="DA230" s="50"/>
      <c r="DB230" s="50"/>
      <c r="DE230" s="138"/>
    </row>
    <row r="231" spans="1:110" s="62" customFormat="1" hidden="1" outlineLevel="1" x14ac:dyDescent="0.2">
      <c r="A231" s="62" t="s">
        <v>98</v>
      </c>
      <c r="AB231" s="63"/>
      <c r="AC231" s="63"/>
      <c r="AD231" s="63"/>
      <c r="AE231" s="63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10" s="62" customFormat="1" hidden="1" outlineLevel="1" x14ac:dyDescent="0.2">
      <c r="A232" s="62" t="s">
        <v>99</v>
      </c>
      <c r="AB232" s="63"/>
      <c r="AC232" s="63"/>
      <c r="AD232" s="63"/>
      <c r="AE232" s="63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10" s="62" customFormat="1" hidden="1" outlineLevel="1" x14ac:dyDescent="0.2">
      <c r="A233" s="62" t="s">
        <v>100</v>
      </c>
      <c r="AB233" s="63"/>
      <c r="AC233" s="63"/>
      <c r="AD233" s="63"/>
      <c r="AE233" s="63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2" customFormat="1" hidden="1" outlineLevel="1" x14ac:dyDescent="0.2">
      <c r="AB234" s="63"/>
      <c r="AC234" s="63"/>
      <c r="AD234" s="63"/>
      <c r="AE234" s="63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62" customFormat="1" hidden="1" outlineLevel="1" x14ac:dyDescent="0.2">
      <c r="AB235" s="63"/>
      <c r="AC235" s="63"/>
      <c r="AD235" s="63"/>
      <c r="AE235" s="63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2" customFormat="1" hidden="1" outlineLevel="1" x14ac:dyDescent="0.2">
      <c r="AB236" s="63"/>
      <c r="AC236" s="63"/>
      <c r="AD236" s="63"/>
      <c r="AE236" s="63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11" customFormat="1" collapsed="1" x14ac:dyDescent="0.2">
      <c r="AB237" s="63"/>
      <c r="AC237" s="63"/>
      <c r="AD237" s="63"/>
      <c r="AE237" s="63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83" customFormat="1" x14ac:dyDescent="0.2">
      <c r="A238" s="82" t="s">
        <v>101</v>
      </c>
      <c r="AB238" s="72"/>
      <c r="AC238" s="72"/>
      <c r="AD238" s="72"/>
      <c r="AE238" s="72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66" customFormat="1" x14ac:dyDescent="0.2">
      <c r="A239" s="66" t="s">
        <v>471</v>
      </c>
      <c r="AB239" s="50"/>
      <c r="AC239" s="50"/>
      <c r="AD239" s="50"/>
      <c r="AE239" s="50"/>
      <c r="AL239" s="66">
        <f t="shared" ref="AL239:BQ239" si="2136">SUM(AI24:AL24)</f>
        <v>7350.98</v>
      </c>
      <c r="AM239" s="66">
        <f t="shared" si="2136"/>
        <v>7439.34</v>
      </c>
      <c r="AN239" s="66">
        <f t="shared" si="2136"/>
        <v>7507.869999999999</v>
      </c>
      <c r="AO239" s="66">
        <f t="shared" si="2136"/>
        <v>7677.18</v>
      </c>
      <c r="AP239" s="66">
        <f t="shared" si="2136"/>
        <v>7737.6100000000006</v>
      </c>
      <c r="AQ239" s="66">
        <f t="shared" si="2136"/>
        <v>7834.8099999999995</v>
      </c>
      <c r="AR239" s="66">
        <f t="shared" si="2136"/>
        <v>7920.41</v>
      </c>
      <c r="AS239" s="66">
        <f t="shared" si="2136"/>
        <v>7980.67</v>
      </c>
      <c r="AT239" s="66">
        <f t="shared" si="2136"/>
        <v>7993.3899999999994</v>
      </c>
      <c r="AU239" s="66">
        <f t="shared" si="2136"/>
        <v>7754.91</v>
      </c>
      <c r="AV239" s="66">
        <f t="shared" si="2136"/>
        <v>7405.28</v>
      </c>
      <c r="AW239" s="66">
        <f t="shared" si="2136"/>
        <v>6963.8899999999994</v>
      </c>
      <c r="AX239" s="66">
        <f t="shared" si="2136"/>
        <v>6639.59</v>
      </c>
      <c r="AY239" s="66">
        <f t="shared" si="2136"/>
        <v>6702.87</v>
      </c>
      <c r="AZ239" s="66">
        <f t="shared" si="2136"/>
        <v>6655.06</v>
      </c>
      <c r="BA239" s="66">
        <f t="shared" si="2136"/>
        <v>6696.2699999999995</v>
      </c>
      <c r="BB239" s="66">
        <f t="shared" si="2136"/>
        <v>6779.89</v>
      </c>
      <c r="BC239" s="66">
        <f t="shared" si="2136"/>
        <v>6748.85</v>
      </c>
      <c r="BD239" s="66">
        <f t="shared" si="2136"/>
        <v>6819.35</v>
      </c>
      <c r="BE239" s="66">
        <f t="shared" si="2136"/>
        <v>6808.920000000001</v>
      </c>
      <c r="BF239" s="66">
        <f t="shared" si="2136"/>
        <v>6815.35</v>
      </c>
      <c r="BG239" s="66">
        <f t="shared" si="2136"/>
        <v>6913.52</v>
      </c>
      <c r="BH239" s="66">
        <f t="shared" si="2136"/>
        <v>6982.25</v>
      </c>
      <c r="BI239" s="66">
        <f t="shared" si="2136"/>
        <v>7164.44</v>
      </c>
      <c r="BJ239" s="66">
        <f t="shared" si="2136"/>
        <v>7251.5</v>
      </c>
      <c r="BK239" s="66">
        <f t="shared" si="2136"/>
        <v>7841.27</v>
      </c>
      <c r="BL239" s="66">
        <f t="shared" si="2136"/>
        <v>8427.4699999999993</v>
      </c>
      <c r="BM239" s="66">
        <f t="shared" si="2136"/>
        <v>9007.8499999999985</v>
      </c>
      <c r="BN239" s="66">
        <f t="shared" si="2136"/>
        <v>9637.42</v>
      </c>
      <c r="BO239" s="66">
        <f t="shared" si="2136"/>
        <v>9958.9700000000012</v>
      </c>
      <c r="BP239" s="66">
        <f t="shared" si="2136"/>
        <v>10393.24</v>
      </c>
      <c r="BQ239" s="66">
        <f t="shared" si="2136"/>
        <v>10969.84</v>
      </c>
      <c r="BR239" s="66">
        <f t="shared" ref="BR239:CW239" si="2137">SUM(BO24:BR24)</f>
        <v>11602.029999999999</v>
      </c>
      <c r="BS239" s="66">
        <f t="shared" si="2137"/>
        <v>11896.579999999998</v>
      </c>
      <c r="BT239" s="66">
        <f t="shared" si="2137"/>
        <v>12148.36</v>
      </c>
      <c r="BU239" s="66">
        <f t="shared" si="2137"/>
        <v>12287.18</v>
      </c>
      <c r="BV239" s="66">
        <f t="shared" si="2137"/>
        <v>12425.369999999999</v>
      </c>
      <c r="BW239" s="66">
        <f t="shared" si="2137"/>
        <v>12743.74</v>
      </c>
      <c r="BX239" s="66">
        <f t="shared" si="2137"/>
        <v>13073.669999999998</v>
      </c>
      <c r="BY239" s="66">
        <f t="shared" si="2137"/>
        <v>13339.84</v>
      </c>
      <c r="BZ239" s="66">
        <f t="shared" si="2137"/>
        <v>13783.16</v>
      </c>
      <c r="CA239" s="66">
        <f t="shared" si="2137"/>
        <v>14197.54</v>
      </c>
      <c r="CB239" s="66">
        <f t="shared" si="2137"/>
        <v>14568.270000000002</v>
      </c>
      <c r="CC239" s="66">
        <f t="shared" si="2137"/>
        <v>14897.640000000001</v>
      </c>
      <c r="CD239" s="66">
        <f t="shared" si="2137"/>
        <v>15205.85</v>
      </c>
      <c r="CE239" s="66">
        <f t="shared" si="2137"/>
        <v>15816.710000000001</v>
      </c>
      <c r="CF239" s="66">
        <f t="shared" si="2137"/>
        <v>16297.380000000001</v>
      </c>
      <c r="CG239" s="66">
        <f t="shared" si="2137"/>
        <v>16937.02</v>
      </c>
      <c r="CH239" s="66">
        <f t="shared" si="2137"/>
        <v>17618.300000000003</v>
      </c>
      <c r="CI239" s="66">
        <f t="shared" si="2137"/>
        <v>18045.14</v>
      </c>
      <c r="CJ239" s="66">
        <f t="shared" si="2137"/>
        <v>18796.59</v>
      </c>
      <c r="CK239" s="66">
        <f t="shared" si="2137"/>
        <v>19465.03</v>
      </c>
      <c r="CL239" s="66">
        <f t="shared" si="2137"/>
        <v>20290.43</v>
      </c>
      <c r="CM239" s="50">
        <f t="shared" si="2137"/>
        <v>20956.329399384707</v>
      </c>
      <c r="CN239" s="50">
        <f t="shared" si="2137"/>
        <v>21704.114988095702</v>
      </c>
      <c r="CO239" s="50">
        <f t="shared" si="2137"/>
        <v>22428.507625005077</v>
      </c>
      <c r="CP239" s="50">
        <f t="shared" si="2137"/>
        <v>23186.997494016468</v>
      </c>
      <c r="CQ239" s="50">
        <f t="shared" si="2137"/>
        <v>23928.358127274296</v>
      </c>
      <c r="CR239" s="50">
        <f t="shared" si="2137"/>
        <v>24711.012648617198</v>
      </c>
      <c r="CS239" s="50">
        <f t="shared" si="2137"/>
        <v>25484.339364093867</v>
      </c>
      <c r="CT239" s="50">
        <f t="shared" si="2137"/>
        <v>26314.2448046668</v>
      </c>
      <c r="CU239" s="50">
        <f t="shared" si="2137"/>
        <v>27149.348380444048</v>
      </c>
      <c r="CV239" s="50">
        <f t="shared" si="2137"/>
        <v>28033.563119193699</v>
      </c>
      <c r="CW239" s="50">
        <f t="shared" si="2137"/>
        <v>28918.982292355737</v>
      </c>
      <c r="CX239" s="50">
        <f t="shared" ref="CX239:DB239" si="2138">SUM(CU24:CX24)</f>
        <v>29886.062004890529</v>
      </c>
      <c r="CY239" s="50">
        <f t="shared" si="2138"/>
        <v>30839.712277582301</v>
      </c>
      <c r="CZ239" s="50">
        <f t="shared" si="2138"/>
        <v>31854.478224574661</v>
      </c>
      <c r="DA239" s="50">
        <f t="shared" si="2138"/>
        <v>32871.825907830818</v>
      </c>
      <c r="DB239" s="50">
        <f t="shared" si="2138"/>
        <v>33989.202572652051</v>
      </c>
      <c r="DE239" s="138"/>
      <c r="DF239" s="66">
        <v>20193.436342822391</v>
      </c>
    </row>
    <row r="240" spans="1:110" s="66" customFormat="1" x14ac:dyDescent="0.2">
      <c r="A240" s="66" t="s">
        <v>472</v>
      </c>
      <c r="AB240" s="50"/>
      <c r="AC240" s="50"/>
      <c r="AD240" s="50"/>
      <c r="AE240" s="50"/>
      <c r="AL240" s="66">
        <f t="shared" ref="AL240:BQ240" si="2139">SUM(AI42:AL42)</f>
        <v>768.4899999999999</v>
      </c>
      <c r="AM240" s="66">
        <f t="shared" si="2139"/>
        <v>794.82999999999959</v>
      </c>
      <c r="AN240" s="66">
        <f t="shared" si="2139"/>
        <v>791.51999999999953</v>
      </c>
      <c r="AO240" s="66">
        <f t="shared" si="2139"/>
        <v>784.54999999999984</v>
      </c>
      <c r="AP240" s="66">
        <f t="shared" si="2139"/>
        <v>751.89</v>
      </c>
      <c r="AQ240" s="66">
        <f t="shared" si="2139"/>
        <v>746.07</v>
      </c>
      <c r="AR240" s="66">
        <f t="shared" si="2139"/>
        <v>774.19</v>
      </c>
      <c r="AS240" s="66">
        <f t="shared" si="2139"/>
        <v>777.15000000000032</v>
      </c>
      <c r="AT240" s="66">
        <f t="shared" si="2139"/>
        <v>774.86000000000024</v>
      </c>
      <c r="AU240" s="66">
        <f t="shared" si="2139"/>
        <v>756.18</v>
      </c>
      <c r="AV240" s="66">
        <f t="shared" si="2139"/>
        <v>710.93999999999983</v>
      </c>
      <c r="AW240" s="66">
        <f t="shared" si="2139"/>
        <v>682.63999999999942</v>
      </c>
      <c r="AX240" s="66">
        <f t="shared" si="2139"/>
        <v>654.32999999999936</v>
      </c>
      <c r="AY240" s="66">
        <f t="shared" si="2139"/>
        <v>710.1999999999997</v>
      </c>
      <c r="AZ240" s="66">
        <f t="shared" si="2139"/>
        <v>755.43999999999971</v>
      </c>
      <c r="BA240" s="66">
        <f t="shared" si="2139"/>
        <v>765.99999999999977</v>
      </c>
      <c r="BB240" s="66">
        <f t="shared" si="2139"/>
        <v>791.41</v>
      </c>
      <c r="BC240" s="66">
        <f t="shared" si="2139"/>
        <v>797.09000000000015</v>
      </c>
      <c r="BD240" s="66">
        <f t="shared" si="2139"/>
        <v>825.07000000000028</v>
      </c>
      <c r="BE240" s="66">
        <f t="shared" si="2139"/>
        <v>878.67000000000053</v>
      </c>
      <c r="BF240" s="66">
        <f t="shared" si="2139"/>
        <v>838.91000000000076</v>
      </c>
      <c r="BG240" s="66">
        <f t="shared" si="2139"/>
        <v>843.51000000000067</v>
      </c>
      <c r="BH240" s="66">
        <f t="shared" si="2139"/>
        <v>796.20000000000027</v>
      </c>
      <c r="BI240" s="66">
        <f t="shared" si="2139"/>
        <v>757.34</v>
      </c>
      <c r="BJ240" s="66">
        <f t="shared" si="2139"/>
        <v>785.90999999999974</v>
      </c>
      <c r="BK240" s="66">
        <f t="shared" si="2139"/>
        <v>888.00999999999976</v>
      </c>
      <c r="BL240" s="66">
        <f t="shared" si="2139"/>
        <v>1036.1500000000001</v>
      </c>
      <c r="BM240" s="66">
        <f t="shared" si="2139"/>
        <v>1158.0600000000004</v>
      </c>
      <c r="BN240" s="66">
        <f t="shared" si="2139"/>
        <v>1292.1500000000005</v>
      </c>
      <c r="BO240" s="66">
        <f t="shared" si="2139"/>
        <v>1423.9300000000003</v>
      </c>
      <c r="BP240" s="66">
        <f t="shared" si="2139"/>
        <v>1508.7200000000007</v>
      </c>
      <c r="BQ240" s="66">
        <f t="shared" si="2139"/>
        <v>1551.9200000000003</v>
      </c>
      <c r="BR240" s="66">
        <f t="shared" ref="BR240:CW240" si="2140">SUM(BO42:BR42)</f>
        <v>1543.76</v>
      </c>
      <c r="BS240" s="66">
        <f t="shared" si="2140"/>
        <v>1460.6</v>
      </c>
      <c r="BT240" s="66">
        <f t="shared" si="2140"/>
        <v>1474.3199999999995</v>
      </c>
      <c r="BU240" s="66">
        <f t="shared" si="2140"/>
        <v>1574.6499999999996</v>
      </c>
      <c r="BV240" s="66">
        <f t="shared" si="2140"/>
        <v>1718.7799999999995</v>
      </c>
      <c r="BW240" s="66">
        <f t="shared" si="2140"/>
        <v>1776.5899999999997</v>
      </c>
      <c r="BX240" s="66">
        <f t="shared" si="2140"/>
        <v>1797.1299999999999</v>
      </c>
      <c r="BY240" s="66">
        <f t="shared" si="2140"/>
        <v>1789.13</v>
      </c>
      <c r="BZ240" s="66">
        <f t="shared" si="2140"/>
        <v>1856.47</v>
      </c>
      <c r="CA240" s="66">
        <f t="shared" si="2140"/>
        <v>1944.2000000000007</v>
      </c>
      <c r="CB240" s="66">
        <f t="shared" si="2140"/>
        <v>2047.4500000000005</v>
      </c>
      <c r="CC240" s="66">
        <f t="shared" si="2140"/>
        <v>2166.1700000000005</v>
      </c>
      <c r="CD240" s="66">
        <f t="shared" si="2140"/>
        <v>2284.1000000000004</v>
      </c>
      <c r="CE240" s="66">
        <f t="shared" si="2140"/>
        <v>2406.4500000000003</v>
      </c>
      <c r="CF240" s="66">
        <f t="shared" si="2140"/>
        <v>2495.6499999999996</v>
      </c>
      <c r="CG240" s="66">
        <f t="shared" si="2140"/>
        <v>2488</v>
      </c>
      <c r="CH240" s="66">
        <f t="shared" si="2140"/>
        <v>2479.3500000000004</v>
      </c>
      <c r="CI240" s="66">
        <f t="shared" si="2140"/>
        <v>2418.9100000000003</v>
      </c>
      <c r="CJ240" s="66">
        <f t="shared" si="2140"/>
        <v>2464.3999999999996</v>
      </c>
      <c r="CK240" s="66">
        <f t="shared" si="2140"/>
        <v>2620.3399999999992</v>
      </c>
      <c r="CL240" s="66">
        <f t="shared" si="2140"/>
        <v>2791.7999999999988</v>
      </c>
      <c r="CM240" s="50">
        <f t="shared" si="2140"/>
        <v>2954.9127398770534</v>
      </c>
      <c r="CN240" s="50">
        <f t="shared" si="2140"/>
        <v>3112.0847259280936</v>
      </c>
      <c r="CO240" s="50">
        <f t="shared" si="2140"/>
        <v>3252.5263882092704</v>
      </c>
      <c r="CP240" s="50">
        <f t="shared" si="2140"/>
        <v>3383.837499189136</v>
      </c>
      <c r="CQ240" s="50">
        <f t="shared" si="2140"/>
        <v>3515.7739652052178</v>
      </c>
      <c r="CR240" s="50">
        <f t="shared" si="2140"/>
        <v>3641.1474811830276</v>
      </c>
      <c r="CS240" s="50">
        <f t="shared" si="2140"/>
        <v>3754.0246944413216</v>
      </c>
      <c r="CT240" s="50">
        <f t="shared" si="2140"/>
        <v>3864.722952460208</v>
      </c>
      <c r="CU240" s="50">
        <f t="shared" si="2140"/>
        <v>3993.7680397789982</v>
      </c>
      <c r="CV240" s="50">
        <f t="shared" si="2140"/>
        <v>4125.1485955189337</v>
      </c>
      <c r="CW240" s="50">
        <f t="shared" si="2140"/>
        <v>4254.0991264734366</v>
      </c>
      <c r="CX240" s="50">
        <f t="shared" ref="CX240:DB240" si="2141">SUM(CU42:CX42)</f>
        <v>4394.9011832461219</v>
      </c>
      <c r="CY240" s="50">
        <f t="shared" si="2141"/>
        <v>4536.5896008614509</v>
      </c>
      <c r="CZ240" s="50">
        <f t="shared" si="2141"/>
        <v>4685.8604719982004</v>
      </c>
      <c r="DA240" s="50">
        <f t="shared" si="2141"/>
        <v>4835.1321533219852</v>
      </c>
      <c r="DB240" s="50">
        <f t="shared" si="2141"/>
        <v>4999.3824219795179</v>
      </c>
      <c r="DE240" s="138"/>
      <c r="DF240" s="66">
        <v>2821.3138817218532</v>
      </c>
    </row>
    <row r="241" spans="1:110" s="66" customFormat="1" x14ac:dyDescent="0.2">
      <c r="A241" s="66" t="s">
        <v>473</v>
      </c>
      <c r="AB241" s="50"/>
      <c r="AC241" s="50"/>
      <c r="AD241" s="50"/>
      <c r="AE241" s="50"/>
      <c r="AL241" s="66">
        <f t="shared" ref="AL241:BQ241" si="2142">SUM(AI55:AL55)</f>
        <v>500.88999999999987</v>
      </c>
      <c r="AM241" s="66">
        <f t="shared" si="2142"/>
        <v>511.16999999999956</v>
      </c>
      <c r="AN241" s="66">
        <f t="shared" si="2142"/>
        <v>440.35999999999956</v>
      </c>
      <c r="AO241" s="66">
        <f t="shared" si="2142"/>
        <v>475.20999999999981</v>
      </c>
      <c r="AP241" s="66">
        <f t="shared" si="2142"/>
        <v>433.61</v>
      </c>
      <c r="AQ241" s="66">
        <f t="shared" si="2142"/>
        <v>434.47000000000008</v>
      </c>
      <c r="AR241" s="66">
        <f t="shared" si="2142"/>
        <v>459.71000000000004</v>
      </c>
      <c r="AS241" s="66">
        <f t="shared" si="2142"/>
        <v>408.10000000000025</v>
      </c>
      <c r="AT241" s="66">
        <f t="shared" si="2142"/>
        <v>414.35000000000025</v>
      </c>
      <c r="AU241" s="66">
        <f t="shared" si="2142"/>
        <v>387.95999999999992</v>
      </c>
      <c r="AV241" s="66">
        <f t="shared" si="2142"/>
        <v>371.94999999999982</v>
      </c>
      <c r="AW241" s="66">
        <f t="shared" si="2142"/>
        <v>354.7199999999994</v>
      </c>
      <c r="AX241" s="66">
        <f t="shared" si="2142"/>
        <v>302.62999999999931</v>
      </c>
      <c r="AY241" s="66">
        <f t="shared" si="2142"/>
        <v>341.92999999999972</v>
      </c>
      <c r="AZ241" s="66">
        <f t="shared" si="2142"/>
        <v>372.3299999999997</v>
      </c>
      <c r="BA241" s="66">
        <f t="shared" si="2142"/>
        <v>396.61999999999978</v>
      </c>
      <c r="BB241" s="66">
        <f t="shared" si="2142"/>
        <v>458.35</v>
      </c>
      <c r="BC241" s="66">
        <f t="shared" si="2142"/>
        <v>468.18000000000018</v>
      </c>
      <c r="BD241" s="66">
        <f t="shared" si="2142"/>
        <v>495.70000000000033</v>
      </c>
      <c r="BE241" s="66">
        <f t="shared" si="2142"/>
        <v>598.90000000000055</v>
      </c>
      <c r="BF241" s="66">
        <f t="shared" si="2142"/>
        <v>588.39000000000078</v>
      </c>
      <c r="BG241" s="66">
        <f t="shared" si="2142"/>
        <v>602.31000000000063</v>
      </c>
      <c r="BH241" s="66">
        <f t="shared" si="2142"/>
        <v>598.46000000000026</v>
      </c>
      <c r="BI241" s="66">
        <f t="shared" si="2142"/>
        <v>521.26</v>
      </c>
      <c r="BJ241" s="66">
        <f t="shared" si="2142"/>
        <v>507.11999999999972</v>
      </c>
      <c r="BK241" s="66">
        <f t="shared" si="2142"/>
        <v>560.91999999999973</v>
      </c>
      <c r="BL241" s="66">
        <f t="shared" si="2142"/>
        <v>629.26000000000022</v>
      </c>
      <c r="BM241" s="66">
        <f t="shared" si="2142"/>
        <v>698.01000000000045</v>
      </c>
      <c r="BN241" s="66">
        <f t="shared" si="2142"/>
        <v>809.98000000000047</v>
      </c>
      <c r="BO241" s="66">
        <f t="shared" si="2142"/>
        <v>930.18000000000029</v>
      </c>
      <c r="BP241" s="66">
        <f t="shared" si="2142"/>
        <v>988.26000000000045</v>
      </c>
      <c r="BQ241" s="66">
        <f t="shared" si="2142"/>
        <v>1041.3500000000004</v>
      </c>
      <c r="BR241" s="66">
        <f t="shared" ref="BR241:CW241" si="2143">SUM(BO55:BR55)</f>
        <v>1024.44</v>
      </c>
      <c r="BS241" s="66">
        <f t="shared" si="2143"/>
        <v>943.22999999999979</v>
      </c>
      <c r="BT241" s="66">
        <f t="shared" si="2143"/>
        <v>962.69999999999936</v>
      </c>
      <c r="BU241" s="66">
        <f t="shared" si="2143"/>
        <v>1020.3999999999996</v>
      </c>
      <c r="BV241" s="66">
        <f t="shared" si="2143"/>
        <v>1131.0099999999993</v>
      </c>
      <c r="BW241" s="66">
        <f t="shared" si="2143"/>
        <v>1186.9199999999996</v>
      </c>
      <c r="BX241" s="66">
        <f t="shared" si="2143"/>
        <v>1152.9799999999998</v>
      </c>
      <c r="BY241" s="66">
        <f t="shared" si="2143"/>
        <v>1143</v>
      </c>
      <c r="BZ241" s="66">
        <f t="shared" si="2143"/>
        <v>1187.0700000000002</v>
      </c>
      <c r="CA241" s="66">
        <f t="shared" si="2143"/>
        <v>1250.3200000000006</v>
      </c>
      <c r="CB241" s="66">
        <f t="shared" si="2143"/>
        <v>1380.2900000000004</v>
      </c>
      <c r="CC241" s="66">
        <f t="shared" si="2143"/>
        <v>1496.4700000000005</v>
      </c>
      <c r="CD241" s="66">
        <f t="shared" si="2143"/>
        <v>1628.0300000000007</v>
      </c>
      <c r="CE241" s="66">
        <f t="shared" si="2143"/>
        <v>1595.5500000000004</v>
      </c>
      <c r="CF241" s="66">
        <f t="shared" si="2143"/>
        <v>1608.3299999999997</v>
      </c>
      <c r="CG241" s="66">
        <f t="shared" si="2143"/>
        <v>1507.1799999999998</v>
      </c>
      <c r="CH241" s="66">
        <f t="shared" si="2143"/>
        <v>1385.42</v>
      </c>
      <c r="CI241" s="66">
        <f t="shared" si="2143"/>
        <v>1400.6100000000001</v>
      </c>
      <c r="CJ241" s="66">
        <f t="shared" si="2143"/>
        <v>1411.1499999999999</v>
      </c>
      <c r="CK241" s="66">
        <f t="shared" si="2143"/>
        <v>1530.8899999999994</v>
      </c>
      <c r="CL241" s="66">
        <f t="shared" si="2143"/>
        <v>1657.5599999999988</v>
      </c>
      <c r="CM241" s="50">
        <f t="shared" si="2143"/>
        <v>1797.95394464932</v>
      </c>
      <c r="CN241" s="50">
        <f t="shared" si="2143"/>
        <v>1940.2498334402576</v>
      </c>
      <c r="CO241" s="50">
        <f t="shared" si="2143"/>
        <v>2084.5940439262795</v>
      </c>
      <c r="CP241" s="50">
        <f t="shared" si="2143"/>
        <v>2220.9585595119906</v>
      </c>
      <c r="CQ241" s="50">
        <f t="shared" si="2143"/>
        <v>2338.9303276342857</v>
      </c>
      <c r="CR241" s="50">
        <f t="shared" si="2143"/>
        <v>2450.3526995455322</v>
      </c>
      <c r="CS241" s="50">
        <f t="shared" si="2143"/>
        <v>2551.8982480423338</v>
      </c>
      <c r="CT241" s="50">
        <f t="shared" si="2143"/>
        <v>2650.421626816199</v>
      </c>
      <c r="CU241" s="50">
        <f t="shared" si="2143"/>
        <v>2774.8209301150346</v>
      </c>
      <c r="CV241" s="50">
        <f t="shared" si="2143"/>
        <v>2902.2395358643062</v>
      </c>
      <c r="CW241" s="50">
        <f t="shared" si="2143"/>
        <v>3029.6936273666788</v>
      </c>
      <c r="CX241" s="50">
        <f t="shared" ref="CX241:DB241" si="2144">SUM(CU55:CX55)</f>
        <v>3168.3832472673412</v>
      </c>
      <c r="CY241" s="50">
        <f t="shared" si="2144"/>
        <v>3308.3011571611542</v>
      </c>
      <c r="CZ241" s="50">
        <f t="shared" si="2144"/>
        <v>3455.6311460669303</v>
      </c>
      <c r="DA241" s="50">
        <f t="shared" si="2144"/>
        <v>3604.7195810741478</v>
      </c>
      <c r="DB241" s="50">
        <f t="shared" si="2144"/>
        <v>3766.8546758975708</v>
      </c>
      <c r="DE241" s="138"/>
      <c r="DF241" s="66">
        <v>1671.9766642590871</v>
      </c>
    </row>
    <row r="242" spans="1:110" s="93" customFormat="1" x14ac:dyDescent="0.2">
      <c r="AB242" s="30"/>
      <c r="AC242" s="30"/>
      <c r="AD242" s="30"/>
      <c r="AE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11" customFormat="1" x14ac:dyDescent="0.2">
      <c r="AB243" s="63"/>
      <c r="AC243" s="63"/>
      <c r="AD243" s="63"/>
      <c r="AE243" s="63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62" customFormat="1" hidden="1" outlineLevel="1" x14ac:dyDescent="0.2">
      <c r="A244" s="61" t="s">
        <v>339</v>
      </c>
      <c r="AB244" s="63"/>
      <c r="AC244" s="63"/>
      <c r="AD244" s="63"/>
      <c r="AE244" s="63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64" customFormat="1" hidden="1" outlineLevel="1" x14ac:dyDescent="0.2">
      <c r="A245" s="64" t="s">
        <v>474</v>
      </c>
      <c r="B245" s="64">
        <f t="shared" ref="B245:Z245" si="2145">B22-B251</f>
        <v>822.87950000000001</v>
      </c>
      <c r="C245" s="64">
        <f t="shared" si="2145"/>
        <v>3027.7712999999999</v>
      </c>
      <c r="D245" s="64">
        <f t="shared" si="2145"/>
        <v>3292.1651999999999</v>
      </c>
      <c r="E245" s="64">
        <f t="shared" si="2145"/>
        <v>3056.5155</v>
      </c>
      <c r="F245" s="64">
        <f t="shared" si="2145"/>
        <v>3047.6684</v>
      </c>
      <c r="G245" s="64">
        <f t="shared" si="2145"/>
        <v>3107.4313000000002</v>
      </c>
      <c r="H245" s="64">
        <f t="shared" si="2145"/>
        <v>4025.7357000000002</v>
      </c>
      <c r="I245" s="64">
        <f t="shared" si="2145"/>
        <v>4311.0407999999998</v>
      </c>
      <c r="J245" s="64">
        <f t="shared" si="2145"/>
        <v>4848.9447</v>
      </c>
      <c r="K245" s="64">
        <f t="shared" si="2145"/>
        <v>5783.8735999999999</v>
      </c>
      <c r="L245" s="64">
        <f t="shared" si="2145"/>
        <v>6004.6871000000001</v>
      </c>
      <c r="M245" s="64">
        <f t="shared" si="2145"/>
        <v>6641.7443999999996</v>
      </c>
      <c r="N245" s="64">
        <f t="shared" si="2145"/>
        <v>7351.915</v>
      </c>
      <c r="O245" s="64">
        <f t="shared" si="2145"/>
        <v>7738.3814000000002</v>
      </c>
      <c r="P245" s="64">
        <f t="shared" si="2145"/>
        <v>7993.94</v>
      </c>
      <c r="Q245" s="64">
        <f t="shared" si="2145"/>
        <v>6636.54</v>
      </c>
      <c r="R245" s="64">
        <f t="shared" si="2145"/>
        <v>6779.55</v>
      </c>
      <c r="S245" s="64">
        <f t="shared" si="2145"/>
        <v>6815.35</v>
      </c>
      <c r="T245" s="64">
        <f t="shared" si="2145"/>
        <v>7251.5</v>
      </c>
      <c r="U245" s="64">
        <f t="shared" si="2145"/>
        <v>9637.42</v>
      </c>
      <c r="V245" s="64">
        <f t="shared" si="2145"/>
        <v>11602.03</v>
      </c>
      <c r="W245" s="64">
        <f t="shared" si="2145"/>
        <v>12425.37</v>
      </c>
      <c r="X245" s="64">
        <f t="shared" si="2145"/>
        <v>13783.16</v>
      </c>
      <c r="Y245" s="64">
        <f t="shared" si="2145"/>
        <v>15205.85</v>
      </c>
      <c r="Z245" s="64">
        <f t="shared" si="2145"/>
        <v>17618.3</v>
      </c>
      <c r="AA245" s="64">
        <f t="shared" ref="AA245" si="2146">AA22-AA251</f>
        <v>20290.43</v>
      </c>
      <c r="AB245" s="30"/>
      <c r="AC245" s="30"/>
      <c r="AD245" s="30"/>
      <c r="AE245" s="30"/>
      <c r="AI245" s="64">
        <f t="shared" ref="AI245:BN245" si="2147">AI22-AI251</f>
        <v>1725.1000000000001</v>
      </c>
      <c r="AJ245" s="64">
        <f t="shared" si="2147"/>
        <v>1864.95</v>
      </c>
      <c r="AK245" s="64">
        <f t="shared" si="2147"/>
        <v>1911.4299999999998</v>
      </c>
      <c r="AL245" s="64">
        <f t="shared" si="2147"/>
        <v>1849.5</v>
      </c>
      <c r="AM245" s="64">
        <f t="shared" si="2147"/>
        <v>1813.46</v>
      </c>
      <c r="AN245" s="64">
        <f t="shared" si="2147"/>
        <v>1933.48</v>
      </c>
      <c r="AO245" s="64">
        <f t="shared" si="2147"/>
        <v>2080.7399999999998</v>
      </c>
      <c r="AP245" s="64">
        <f t="shared" si="2147"/>
        <v>1909.93</v>
      </c>
      <c r="AQ245" s="64">
        <f t="shared" si="2147"/>
        <v>1910.66</v>
      </c>
      <c r="AR245" s="64">
        <f t="shared" si="2147"/>
        <v>2019.0800000000002</v>
      </c>
      <c r="AS245" s="64">
        <f t="shared" si="2147"/>
        <v>2141</v>
      </c>
      <c r="AT245" s="64">
        <f t="shared" si="2147"/>
        <v>1922.6499999999999</v>
      </c>
      <c r="AU245" s="64">
        <f t="shared" si="2147"/>
        <v>1672.1799999999998</v>
      </c>
      <c r="AV245" s="64">
        <f t="shared" si="2147"/>
        <v>1669.45</v>
      </c>
      <c r="AW245" s="64">
        <f t="shared" si="2147"/>
        <v>1699.61</v>
      </c>
      <c r="AX245" s="64">
        <f t="shared" si="2147"/>
        <v>1598.35</v>
      </c>
      <c r="AY245" s="64">
        <f t="shared" si="2147"/>
        <v>1735.46</v>
      </c>
      <c r="AZ245" s="64">
        <f t="shared" si="2147"/>
        <v>1621.64</v>
      </c>
      <c r="BA245" s="64">
        <f t="shared" si="2147"/>
        <v>1740.82</v>
      </c>
      <c r="BB245" s="64">
        <f t="shared" si="2147"/>
        <v>1681.97</v>
      </c>
      <c r="BC245" s="64">
        <f t="shared" si="2147"/>
        <v>1704.42</v>
      </c>
      <c r="BD245" s="64">
        <f t="shared" si="2147"/>
        <v>1692.14</v>
      </c>
      <c r="BE245" s="64">
        <f t="shared" si="2147"/>
        <v>1730.39</v>
      </c>
      <c r="BF245" s="64">
        <f t="shared" si="2147"/>
        <v>1688.4</v>
      </c>
      <c r="BG245" s="64">
        <f t="shared" si="2147"/>
        <v>1802.59</v>
      </c>
      <c r="BH245" s="64">
        <f t="shared" si="2147"/>
        <v>1760.87</v>
      </c>
      <c r="BI245" s="64">
        <f t="shared" si="2147"/>
        <v>1912.58</v>
      </c>
      <c r="BJ245" s="64">
        <f t="shared" si="2147"/>
        <v>1775.46</v>
      </c>
      <c r="BK245" s="64">
        <f t="shared" si="2147"/>
        <v>2392.36</v>
      </c>
      <c r="BL245" s="64">
        <f t="shared" si="2147"/>
        <v>2347.0700000000002</v>
      </c>
      <c r="BM245" s="64">
        <f t="shared" si="2147"/>
        <v>2492.96</v>
      </c>
      <c r="BN245" s="64">
        <f t="shared" si="2147"/>
        <v>2405.0300000000002</v>
      </c>
      <c r="BO245" s="64">
        <f t="shared" ref="BO245:CT245" si="2148">BO22-BO251</f>
        <v>2713.91</v>
      </c>
      <c r="BP245" s="64">
        <f t="shared" si="2148"/>
        <v>2781.34</v>
      </c>
      <c r="BQ245" s="64">
        <f t="shared" si="2148"/>
        <v>3069.56</v>
      </c>
      <c r="BR245" s="64">
        <f t="shared" si="2148"/>
        <v>3037.22</v>
      </c>
      <c r="BS245" s="64">
        <f t="shared" si="2148"/>
        <v>3008.46</v>
      </c>
      <c r="BT245" s="64">
        <f t="shared" si="2148"/>
        <v>3033.12</v>
      </c>
      <c r="BU245" s="64">
        <f t="shared" si="2148"/>
        <v>3208.38</v>
      </c>
      <c r="BV245" s="64">
        <f t="shared" si="2148"/>
        <v>3175.41</v>
      </c>
      <c r="BW245" s="64">
        <f t="shared" si="2148"/>
        <v>3326.83</v>
      </c>
      <c r="BX245" s="64">
        <f t="shared" si="2148"/>
        <v>3363.05</v>
      </c>
      <c r="BY245" s="64">
        <f t="shared" si="2148"/>
        <v>3474.55</v>
      </c>
      <c r="BZ245" s="64">
        <f t="shared" si="2148"/>
        <v>3618.73</v>
      </c>
      <c r="CA245" s="64">
        <f t="shared" si="2148"/>
        <v>3741.21</v>
      </c>
      <c r="CB245" s="64">
        <f t="shared" si="2148"/>
        <v>3733.78</v>
      </c>
      <c r="CC245" s="64">
        <f t="shared" si="2148"/>
        <v>3803.92</v>
      </c>
      <c r="CD245" s="64">
        <f t="shared" si="2148"/>
        <v>3926.94</v>
      </c>
      <c r="CE245" s="64">
        <f t="shared" si="2148"/>
        <v>4352.07</v>
      </c>
      <c r="CF245" s="64">
        <f t="shared" si="2148"/>
        <v>4214.45</v>
      </c>
      <c r="CG245" s="64">
        <f t="shared" si="2148"/>
        <v>4443.5600000000004</v>
      </c>
      <c r="CH245" s="64">
        <f t="shared" si="2148"/>
        <v>4608.22</v>
      </c>
      <c r="CI245" s="64">
        <f t="shared" si="2148"/>
        <v>4778.91</v>
      </c>
      <c r="CJ245" s="64">
        <f t="shared" si="2148"/>
        <v>4965.8999999999996</v>
      </c>
      <c r="CK245" s="64">
        <f t="shared" si="2148"/>
        <v>5112</v>
      </c>
      <c r="CL245" s="64">
        <f t="shared" ref="CL245" si="2149">CL22-CL251</f>
        <v>5433.62</v>
      </c>
      <c r="CM245" s="30">
        <f t="shared" si="2148"/>
        <v>5444.8093993847078</v>
      </c>
      <c r="CN245" s="30">
        <f t="shared" si="2148"/>
        <v>5713.6855887109969</v>
      </c>
      <c r="CO245" s="30">
        <f t="shared" si="2148"/>
        <v>5836.3926369093715</v>
      </c>
      <c r="CP245" s="30">
        <f t="shared" si="2148"/>
        <v>6192.1098690113959</v>
      </c>
      <c r="CQ245" s="30">
        <f t="shared" si="2148"/>
        <v>6186.1700326425344</v>
      </c>
      <c r="CR245" s="30">
        <f t="shared" si="2148"/>
        <v>6496.340110053894</v>
      </c>
      <c r="CS245" s="30">
        <f t="shared" si="2148"/>
        <v>6609.7193523860424</v>
      </c>
      <c r="CT245" s="30">
        <f t="shared" si="2148"/>
        <v>7022.015309584328</v>
      </c>
      <c r="CU245" s="30">
        <f t="shared" ref="CU245:DB245" si="2150">CU22-CU251</f>
        <v>7021.2736084197822</v>
      </c>
      <c r="CV245" s="30">
        <f t="shared" si="2150"/>
        <v>7380.5548488035474</v>
      </c>
      <c r="CW245" s="30">
        <f t="shared" si="2150"/>
        <v>7495.1385255480773</v>
      </c>
      <c r="CX245" s="30">
        <f t="shared" si="2150"/>
        <v>7989.0950221191242</v>
      </c>
      <c r="CY245" s="30">
        <f t="shared" si="2150"/>
        <v>7974.9238811115547</v>
      </c>
      <c r="CZ245" s="30">
        <f t="shared" si="2150"/>
        <v>8395.3207957959039</v>
      </c>
      <c r="DA245" s="30">
        <f t="shared" si="2150"/>
        <v>8512.4862088042319</v>
      </c>
      <c r="DB245" s="30">
        <f t="shared" si="2150"/>
        <v>9106.4716869403637</v>
      </c>
      <c r="DE245" s="139"/>
      <c r="DF245" s="64">
        <v>5336.6263428223929</v>
      </c>
    </row>
    <row r="246" spans="1:110" s="64" customFormat="1" hidden="1" outlineLevel="1" x14ac:dyDescent="0.2">
      <c r="A246" s="64" t="s">
        <v>475</v>
      </c>
      <c r="B246" s="64">
        <f t="shared" ref="B246:Z246" si="2151">B42-B252</f>
        <v>104.66500000000008</v>
      </c>
      <c r="C246" s="64">
        <f t="shared" si="2151"/>
        <v>353.44339999999966</v>
      </c>
      <c r="D246" s="64">
        <f t="shared" si="2151"/>
        <v>329.0683999999992</v>
      </c>
      <c r="E246" s="64">
        <f t="shared" si="2151"/>
        <v>460.08539999999994</v>
      </c>
      <c r="F246" s="64">
        <f t="shared" si="2151"/>
        <v>520.15260000000035</v>
      </c>
      <c r="G246" s="64">
        <f t="shared" si="2151"/>
        <v>544.1560000000004</v>
      </c>
      <c r="H246" s="64">
        <f t="shared" si="2151"/>
        <v>680.14220000000023</v>
      </c>
      <c r="I246" s="64">
        <f t="shared" si="2151"/>
        <v>681.23589999999922</v>
      </c>
      <c r="J246" s="64">
        <f t="shared" si="2151"/>
        <v>619.37440000000015</v>
      </c>
      <c r="K246" s="64">
        <f t="shared" si="2151"/>
        <v>683.45669999999973</v>
      </c>
      <c r="L246" s="64">
        <f t="shared" si="2151"/>
        <v>608.11439999999948</v>
      </c>
      <c r="M246" s="64">
        <f t="shared" si="2151"/>
        <v>623.05420000000004</v>
      </c>
      <c r="N246" s="64">
        <f t="shared" si="2151"/>
        <v>768.48970000000099</v>
      </c>
      <c r="O246" s="64">
        <f t="shared" si="2151"/>
        <v>751.88689999999951</v>
      </c>
      <c r="P246" s="64">
        <f t="shared" si="2151"/>
        <v>774.84999999999854</v>
      </c>
      <c r="Q246" s="64">
        <f t="shared" si="2151"/>
        <v>654.33000000000038</v>
      </c>
      <c r="R246" s="64">
        <f t="shared" si="2151"/>
        <v>791.12999999999965</v>
      </c>
      <c r="S246" s="64">
        <f t="shared" si="2151"/>
        <v>838.91000000000031</v>
      </c>
      <c r="T246" s="64">
        <f t="shared" si="2151"/>
        <v>785.90999999999985</v>
      </c>
      <c r="U246" s="64">
        <f t="shared" si="2151"/>
        <v>1292.1499999999987</v>
      </c>
      <c r="V246" s="64">
        <f t="shared" si="2151"/>
        <v>1543.7600000000011</v>
      </c>
      <c r="W246" s="64">
        <f t="shared" si="2151"/>
        <v>1718.7800000000007</v>
      </c>
      <c r="X246" s="64">
        <f t="shared" si="2151"/>
        <v>1851.5499999999993</v>
      </c>
      <c r="Y246" s="64">
        <f t="shared" si="2151"/>
        <v>2279.9500000000007</v>
      </c>
      <c r="Z246" s="64">
        <f t="shared" si="2151"/>
        <v>2479.3500000000013</v>
      </c>
      <c r="AA246" s="64">
        <f t="shared" ref="AA246" si="2152">AA42-AA252</f>
        <v>2791.8</v>
      </c>
      <c r="AB246" s="30"/>
      <c r="AC246" s="30"/>
      <c r="AD246" s="30"/>
      <c r="AE246" s="30"/>
      <c r="AI246" s="64">
        <f t="shared" ref="AI246:BN246" si="2153">AI42-AI252</f>
        <v>180.7800000000002</v>
      </c>
      <c r="AJ246" s="64">
        <f t="shared" si="2153"/>
        <v>161.17000000000019</v>
      </c>
      <c r="AK246" s="64">
        <f t="shared" si="2153"/>
        <v>203.22999999999968</v>
      </c>
      <c r="AL246" s="64">
        <f t="shared" si="2153"/>
        <v>223.30999999999983</v>
      </c>
      <c r="AM246" s="64">
        <f t="shared" si="2153"/>
        <v>207.11999999999989</v>
      </c>
      <c r="AN246" s="64">
        <f t="shared" si="2153"/>
        <v>157.86000000000013</v>
      </c>
      <c r="AO246" s="64">
        <f t="shared" si="2153"/>
        <v>196.26</v>
      </c>
      <c r="AP246" s="64">
        <f t="shared" si="2153"/>
        <v>190.64999999999998</v>
      </c>
      <c r="AQ246" s="64">
        <f t="shared" si="2153"/>
        <v>201.29999999999995</v>
      </c>
      <c r="AR246" s="64">
        <f t="shared" si="2153"/>
        <v>185.98000000000013</v>
      </c>
      <c r="AS246" s="64">
        <f t="shared" si="2153"/>
        <v>199.22000000000025</v>
      </c>
      <c r="AT246" s="64">
        <f t="shared" si="2153"/>
        <v>188.3599999999999</v>
      </c>
      <c r="AU246" s="64">
        <f t="shared" si="2153"/>
        <v>182.61999999999966</v>
      </c>
      <c r="AV246" s="64">
        <f t="shared" si="2153"/>
        <v>140.74</v>
      </c>
      <c r="AW246" s="64">
        <f t="shared" si="2153"/>
        <v>170.91999999999985</v>
      </c>
      <c r="AX246" s="64">
        <f t="shared" si="2153"/>
        <v>160.04999999999984</v>
      </c>
      <c r="AY246" s="64">
        <f t="shared" si="2153"/>
        <v>238.49</v>
      </c>
      <c r="AZ246" s="64">
        <f t="shared" si="2153"/>
        <v>185.98000000000002</v>
      </c>
      <c r="BA246" s="64">
        <f t="shared" si="2153"/>
        <v>181.4799999999999</v>
      </c>
      <c r="BB246" s="64">
        <f t="shared" si="2153"/>
        <v>185.46000000000004</v>
      </c>
      <c r="BC246" s="64">
        <f t="shared" si="2153"/>
        <v>244.17000000000019</v>
      </c>
      <c r="BD246" s="64">
        <f t="shared" si="2153"/>
        <v>213.96000000000015</v>
      </c>
      <c r="BE246" s="64">
        <f t="shared" si="2153"/>
        <v>235.08000000000015</v>
      </c>
      <c r="BF246" s="64">
        <f t="shared" si="2153"/>
        <v>145.70000000000027</v>
      </c>
      <c r="BG246" s="64">
        <f t="shared" si="2153"/>
        <v>248.7700000000001</v>
      </c>
      <c r="BH246" s="64">
        <f t="shared" si="2153"/>
        <v>166.64999999999975</v>
      </c>
      <c r="BI246" s="64">
        <f t="shared" si="2153"/>
        <v>196.21999999999991</v>
      </c>
      <c r="BJ246" s="64">
        <f t="shared" si="2153"/>
        <v>174.26999999999998</v>
      </c>
      <c r="BK246" s="64">
        <f t="shared" si="2153"/>
        <v>350.87000000000012</v>
      </c>
      <c r="BL246" s="64">
        <f t="shared" si="2153"/>
        <v>314.79000000000019</v>
      </c>
      <c r="BM246" s="64">
        <f t="shared" si="2153"/>
        <v>318.13000000000011</v>
      </c>
      <c r="BN246" s="64">
        <f t="shared" si="2153"/>
        <v>308.36000000000013</v>
      </c>
      <c r="BO246" s="64">
        <f t="shared" ref="BO246:CT246" si="2154">BO42-BO252</f>
        <v>482.65</v>
      </c>
      <c r="BP246" s="64">
        <f t="shared" si="2154"/>
        <v>399.58000000000027</v>
      </c>
      <c r="BQ246" s="64">
        <f t="shared" si="2154"/>
        <v>361.32999999999993</v>
      </c>
      <c r="BR246" s="64">
        <f t="shared" si="2154"/>
        <v>300.19999999999982</v>
      </c>
      <c r="BS246" s="64">
        <f t="shared" si="2154"/>
        <v>399.48999999999967</v>
      </c>
      <c r="BT246" s="64">
        <f t="shared" si="2154"/>
        <v>413.29999999999995</v>
      </c>
      <c r="BU246" s="64">
        <f t="shared" si="2154"/>
        <v>461.6600000000002</v>
      </c>
      <c r="BV246" s="64">
        <f t="shared" si="2154"/>
        <v>444.3299999999997</v>
      </c>
      <c r="BW246" s="64">
        <f t="shared" si="2154"/>
        <v>457.29999999999973</v>
      </c>
      <c r="BX246" s="64">
        <f t="shared" si="2154"/>
        <v>433.84000000000037</v>
      </c>
      <c r="BY246" s="64">
        <f t="shared" si="2154"/>
        <v>453.6600000000002</v>
      </c>
      <c r="BZ246" s="64">
        <f t="shared" si="2154"/>
        <v>511.66999999999985</v>
      </c>
      <c r="CA246" s="64">
        <f t="shared" si="2154"/>
        <v>545.0300000000002</v>
      </c>
      <c r="CB246" s="64">
        <f t="shared" si="2154"/>
        <v>537.09000000000037</v>
      </c>
      <c r="CC246" s="64">
        <f t="shared" si="2154"/>
        <v>572.38000000000011</v>
      </c>
      <c r="CD246" s="64">
        <f t="shared" si="2154"/>
        <v>629.59999999999991</v>
      </c>
      <c r="CE246" s="64">
        <f t="shared" si="2154"/>
        <v>667.37999999999988</v>
      </c>
      <c r="CF246" s="64">
        <f t="shared" si="2154"/>
        <v>626.28999999999974</v>
      </c>
      <c r="CG246" s="64">
        <f t="shared" si="2154"/>
        <v>564.73000000000025</v>
      </c>
      <c r="CH246" s="64">
        <f t="shared" si="2154"/>
        <v>620.95000000000027</v>
      </c>
      <c r="CI246" s="64">
        <f t="shared" si="2154"/>
        <v>606.94000000000005</v>
      </c>
      <c r="CJ246" s="64">
        <f t="shared" si="2154"/>
        <v>671.77999999999929</v>
      </c>
      <c r="CK246" s="64">
        <f t="shared" si="2154"/>
        <v>720.66999999999985</v>
      </c>
      <c r="CL246" s="64">
        <f t="shared" ref="CL246" si="2155">CL42-CL252</f>
        <v>792.40999999999963</v>
      </c>
      <c r="CM246" s="30">
        <f t="shared" si="2154"/>
        <v>770.05273987705482</v>
      </c>
      <c r="CN246" s="30">
        <f t="shared" si="2154"/>
        <v>828.95198605103928</v>
      </c>
      <c r="CO246" s="30">
        <f t="shared" si="2154"/>
        <v>861.11166228117713</v>
      </c>
      <c r="CP246" s="30">
        <f t="shared" si="2154"/>
        <v>923.72111097986453</v>
      </c>
      <c r="CQ246" s="30">
        <f t="shared" si="2154"/>
        <v>901.98920589313707</v>
      </c>
      <c r="CR246" s="30">
        <f t="shared" si="2154"/>
        <v>954.32550202884886</v>
      </c>
      <c r="CS246" s="30">
        <f t="shared" si="2154"/>
        <v>973.98887553947088</v>
      </c>
      <c r="CT246" s="30">
        <f t="shared" si="2154"/>
        <v>1034.4193689987517</v>
      </c>
      <c r="CU246" s="30">
        <f t="shared" ref="CU246:DB246" si="2156">CU42-CU252</f>
        <v>1031.0342932119268</v>
      </c>
      <c r="CV246" s="30">
        <f t="shared" si="2156"/>
        <v>1085.7060577687844</v>
      </c>
      <c r="CW246" s="30">
        <f t="shared" si="2156"/>
        <v>1102.9394064939743</v>
      </c>
      <c r="CX246" s="30">
        <f t="shared" si="2156"/>
        <v>1175.2214257714372</v>
      </c>
      <c r="CY246" s="30">
        <f t="shared" si="2156"/>
        <v>1172.7227108272555</v>
      </c>
      <c r="CZ246" s="30">
        <f t="shared" si="2156"/>
        <v>1234.9769289055334</v>
      </c>
      <c r="DA246" s="30">
        <f t="shared" si="2156"/>
        <v>1252.2110878177591</v>
      </c>
      <c r="DB246" s="30">
        <f t="shared" si="2156"/>
        <v>1339.4716944289698</v>
      </c>
      <c r="DE246" s="139"/>
      <c r="DF246" s="64">
        <v>821.92388172185406</v>
      </c>
    </row>
    <row r="247" spans="1:110" s="89" customFormat="1" hidden="1" outlineLevel="1" x14ac:dyDescent="0.2">
      <c r="A247" s="86" t="s">
        <v>476</v>
      </c>
      <c r="B247" s="86">
        <f>+B246/B245</f>
        <v>0.12719359274353059</v>
      </c>
      <c r="C247" s="86">
        <f t="shared" ref="C247" si="2157">+C246/C245</f>
        <v>0.11673384974618119</v>
      </c>
      <c r="D247" s="86">
        <f t="shared" ref="D247" si="2158">+D246/D245</f>
        <v>9.9955008333117434E-2</v>
      </c>
      <c r="E247" s="86">
        <f t="shared" ref="E247" si="2159">+E246/E245</f>
        <v>0.15052611380508293</v>
      </c>
      <c r="F247" s="86">
        <f t="shared" ref="F247" si="2160">+F246/F245</f>
        <v>0.17067230805031161</v>
      </c>
      <c r="G247" s="86">
        <f t="shared" ref="G247" si="2161">+G246/G245</f>
        <v>0.17511441041351433</v>
      </c>
      <c r="H247" s="86">
        <f t="shared" ref="H247" si="2162">+H246/H245</f>
        <v>0.16894854771514189</v>
      </c>
      <c r="I247" s="86">
        <f t="shared" ref="I247" si="2163">+I246/I245</f>
        <v>0.15802121380989928</v>
      </c>
      <c r="J247" s="86">
        <f t="shared" ref="J247" si="2164">+J246/J245</f>
        <v>0.12773385516234081</v>
      </c>
      <c r="K247" s="86">
        <f t="shared" ref="K247" si="2165">+K246/K245</f>
        <v>0.11816591220112413</v>
      </c>
      <c r="L247" s="86">
        <f t="shared" ref="L247" si="2166">+L246/L245</f>
        <v>0.10127328699608669</v>
      </c>
      <c r="M247" s="86">
        <f t="shared" ref="M247" si="2167">+M246/M245</f>
        <v>9.3808819261397669E-2</v>
      </c>
      <c r="N247" s="86">
        <f t="shared" ref="N247" si="2168">+N246/N245</f>
        <v>0.1045291872933788</v>
      </c>
      <c r="O247" s="86">
        <f t="shared" ref="O247" si="2169">+O246/O245</f>
        <v>9.7163329271932691E-2</v>
      </c>
      <c r="P247" s="86">
        <f t="shared" ref="P247" si="2170">+P246/P245</f>
        <v>9.6929674228227708E-2</v>
      </c>
      <c r="Q247" s="86">
        <f t="shared" ref="Q247" si="2171">+Q246/Q245</f>
        <v>9.8595051035630071E-2</v>
      </c>
      <c r="R247" s="86">
        <f t="shared" ref="R247" si="2172">+R246/R245</f>
        <v>0.11669358585746836</v>
      </c>
      <c r="S247" s="86">
        <f t="shared" ref="S247" si="2173">+S246/S245</f>
        <v>0.12309125723550518</v>
      </c>
      <c r="T247" s="86">
        <f t="shared" ref="T247" si="2174">+T246/T245</f>
        <v>0.1083789560780528</v>
      </c>
      <c r="U247" s="86">
        <f t="shared" ref="U247" si="2175">+U246/U245</f>
        <v>0.13407633993330151</v>
      </c>
      <c r="V247" s="86">
        <f t="shared" ref="V247" si="2176">+V246/V245</f>
        <v>0.1330594732128775</v>
      </c>
      <c r="W247" s="86">
        <f t="shared" ref="W247" si="2177">+W246/W245</f>
        <v>0.13832827513385923</v>
      </c>
      <c r="X247" s="86">
        <f t="shared" ref="X247:Y247" si="2178">+X246/X245</f>
        <v>0.13433421653670125</v>
      </c>
      <c r="Y247" s="86">
        <f t="shared" si="2178"/>
        <v>0.14993900373869271</v>
      </c>
      <c r="Z247" s="86">
        <f t="shared" ref="Z247:AA247" si="2179">+Z246/Z245</f>
        <v>0.14072583620440118</v>
      </c>
      <c r="AA247" s="86">
        <f t="shared" si="2179"/>
        <v>0.13759195837643659</v>
      </c>
      <c r="AB247" s="87"/>
      <c r="AC247" s="87"/>
      <c r="AD247" s="87"/>
      <c r="AE247" s="87"/>
      <c r="AF247" s="86"/>
      <c r="AG247" s="86"/>
      <c r="AH247" s="86"/>
      <c r="AI247" s="86">
        <f t="shared" ref="AI247" si="2180">+AI246/AI245</f>
        <v>0.10479392498985576</v>
      </c>
      <c r="AJ247" s="86">
        <f t="shared" ref="AJ247" si="2181">+AJ246/AJ245</f>
        <v>8.6420547467760622E-2</v>
      </c>
      <c r="AK247" s="86">
        <f t="shared" ref="AK247" si="2182">+AK246/AK245</f>
        <v>0.10632353787478468</v>
      </c>
      <c r="AL247" s="86">
        <f t="shared" ref="AL247" si="2183">+AL246/AL245</f>
        <v>0.12074074074074065</v>
      </c>
      <c r="AM247" s="86">
        <f t="shared" ref="AM247" si="2184">+AM246/AM245</f>
        <v>0.11421261014855574</v>
      </c>
      <c r="AN247" s="86">
        <f t="shared" ref="AN247" si="2185">+AN246/AN245</f>
        <v>8.1645530339077788E-2</v>
      </c>
      <c r="AO247" s="86">
        <f t="shared" ref="AO247" si="2186">+AO246/AO245</f>
        <v>9.4322212289858418E-2</v>
      </c>
      <c r="AP247" s="86">
        <f t="shared" ref="AP247" si="2187">+AP246/AP245</f>
        <v>9.9820412266418121E-2</v>
      </c>
      <c r="AQ247" s="86">
        <f t="shared" ref="AQ247" si="2188">+AQ246/AQ245</f>
        <v>0.10535626432750984</v>
      </c>
      <c r="AR247" s="86">
        <f t="shared" ref="AR247" si="2189">+AR246/AR245</f>
        <v>9.2111258593022619E-2</v>
      </c>
      <c r="AS247" s="86">
        <f t="shared" ref="AS247" si="2190">+AS246/AS245</f>
        <v>9.3049976646427016E-2</v>
      </c>
      <c r="AT247" s="86">
        <f t="shared" ref="AT247" si="2191">+AT246/AT245</f>
        <v>9.7968949106701647E-2</v>
      </c>
      <c r="AU247" s="86">
        <f t="shared" ref="AU247" si="2192">+AU246/AU245</f>
        <v>0.10921073090217541</v>
      </c>
      <c r="AV247" s="86">
        <f t="shared" ref="AV247" si="2193">+AV246/AV245</f>
        <v>8.430321363323251E-2</v>
      </c>
      <c r="AW247" s="86">
        <f t="shared" ref="AW247" si="2194">+AW246/AW245</f>
        <v>0.10056424709197984</v>
      </c>
      <c r="AX247" s="86">
        <f t="shared" ref="AX247" si="2195">+AX246/AX245</f>
        <v>0.10013451371727085</v>
      </c>
      <c r="AY247" s="86">
        <f t="shared" ref="AY247" si="2196">+AY246/AY245</f>
        <v>0.13742177866387009</v>
      </c>
      <c r="AZ247" s="86">
        <f t="shared" ref="AZ247" si="2197">+AZ246/AZ245</f>
        <v>0.11468636688784194</v>
      </c>
      <c r="BA247" s="86">
        <f t="shared" ref="BA247" si="2198">+BA246/BA245</f>
        <v>0.10424972139566406</v>
      </c>
      <c r="BB247" s="86">
        <f t="shared" ref="BB247" si="2199">+BB246/BB245</f>
        <v>0.11026355999215208</v>
      </c>
      <c r="BC247" s="86">
        <f t="shared" ref="BC247" si="2200">+BC246/BC245</f>
        <v>0.14325694371105724</v>
      </c>
      <c r="BD247" s="86">
        <f t="shared" ref="BD247" si="2201">+BD246/BD245</f>
        <v>0.12644343848617734</v>
      </c>
      <c r="BE247" s="86">
        <f t="shared" ref="BE247" si="2202">+BE246/BE245</f>
        <v>0.13585376706985139</v>
      </c>
      <c r="BF247" s="86">
        <f t="shared" ref="BF247" si="2203">+BF246/BF245</f>
        <v>8.6294716891731973E-2</v>
      </c>
      <c r="BG247" s="86">
        <f t="shared" ref="BG247" si="2204">+BG246/BG245</f>
        <v>0.13800697884710339</v>
      </c>
      <c r="BH247" s="86">
        <f t="shared" ref="BH247" si="2205">+BH246/BH245</f>
        <v>9.4640717372662247E-2</v>
      </c>
      <c r="BI247" s="86">
        <f t="shared" ref="BI247" si="2206">+BI246/BI245</f>
        <v>0.10259440127994642</v>
      </c>
      <c r="BJ247" s="86">
        <f t="shared" ref="BJ247" si="2207">+BJ246/BJ245</f>
        <v>9.8154844378358266E-2</v>
      </c>
      <c r="BK247" s="86">
        <f t="shared" ref="BK247" si="2208">+BK246/BK245</f>
        <v>0.14666270962564168</v>
      </c>
      <c r="BL247" s="86">
        <f t="shared" ref="BL247" si="2209">+BL246/BL245</f>
        <v>0.13412041396294111</v>
      </c>
      <c r="BM247" s="86">
        <f t="shared" ref="BM247" si="2210">+BM246/BM245</f>
        <v>0.12761135357165784</v>
      </c>
      <c r="BN247" s="86">
        <f t="shared" ref="BN247" si="2211">+BN246/BN245</f>
        <v>0.12821461686548613</v>
      </c>
      <c r="BO247" s="86">
        <f t="shared" ref="BO247" si="2212">+BO246/BO245</f>
        <v>0.17784303827319256</v>
      </c>
      <c r="BP247" s="86">
        <f t="shared" ref="BP247" si="2213">+BP246/BP245</f>
        <v>0.14366456456240526</v>
      </c>
      <c r="BQ247" s="86">
        <f t="shared" ref="BQ247" si="2214">+BQ246/BQ245</f>
        <v>0.11771393945712087</v>
      </c>
      <c r="BR247" s="86">
        <f t="shared" ref="BR247" si="2215">+BR246/BR245</f>
        <v>9.8840386932787169E-2</v>
      </c>
      <c r="BS247" s="86">
        <f t="shared" ref="BS247" si="2216">+BS246/BS245</f>
        <v>0.13278886872353285</v>
      </c>
      <c r="BT247" s="86">
        <f t="shared" ref="BT247" si="2217">+BT246/BT245</f>
        <v>0.13626233053753231</v>
      </c>
      <c r="BU247" s="86">
        <f t="shared" ref="BU247" si="2218">+BU246/BU245</f>
        <v>0.14389193300045511</v>
      </c>
      <c r="BV247" s="86">
        <f t="shared" ref="BV247" si="2219">+BV246/BV245</f>
        <v>0.13992838720039294</v>
      </c>
      <c r="BW247" s="86">
        <f t="shared" ref="BW247" si="2220">+BW246/BW245</f>
        <v>0.13745818091095721</v>
      </c>
      <c r="BX247" s="86">
        <f t="shared" ref="BX247" si="2221">+BX246/BX245</f>
        <v>0.12900194763681788</v>
      </c>
      <c r="BY247" s="86">
        <f t="shared" ref="BY247" si="2222">+BY246/BY245</f>
        <v>0.13056654818609609</v>
      </c>
      <c r="BZ247" s="86">
        <f t="shared" ref="BZ247" si="2223">+BZ246/BZ245</f>
        <v>0.14139490926374718</v>
      </c>
      <c r="CA247" s="86">
        <f t="shared" ref="CA247" si="2224">+CA246/CA245</f>
        <v>0.14568281384899542</v>
      </c>
      <c r="CB247" s="86">
        <f t="shared" ref="CB247:CC247" si="2225">+CB246/CB245</f>
        <v>0.14384618268885696</v>
      </c>
      <c r="CC247" s="86">
        <f t="shared" si="2225"/>
        <v>0.15047109297777034</v>
      </c>
      <c r="CD247" s="86">
        <f t="shared" ref="CD247" si="2226">+CD246/CD245</f>
        <v>0.16032839819299502</v>
      </c>
      <c r="CE247" s="86">
        <f t="shared" ref="CE247:CF247" si="2227">+CE246/CE245</f>
        <v>0.15334771729315014</v>
      </c>
      <c r="CF247" s="86">
        <f t="shared" si="2227"/>
        <v>0.14860539334907277</v>
      </c>
      <c r="CG247" s="86">
        <f t="shared" ref="CG247:CH247" si="2228">+CG246/CG245</f>
        <v>0.12708954081862295</v>
      </c>
      <c r="CH247" s="86">
        <f t="shared" si="2228"/>
        <v>0.13474834100802485</v>
      </c>
      <c r="CI247" s="86">
        <f t="shared" ref="CI247:CJ247" si="2229">+CI246/CI245</f>
        <v>0.12700385652795304</v>
      </c>
      <c r="CJ247" s="86">
        <f t="shared" si="2229"/>
        <v>0.13527860005235695</v>
      </c>
      <c r="CK247" s="86">
        <f t="shared" ref="CK247:DB247" si="2230">+CK246/CK245</f>
        <v>0.14097613458528949</v>
      </c>
      <c r="CL247" s="86">
        <f t="shared" si="2230"/>
        <v>0.14583463694553533</v>
      </c>
      <c r="CM247" s="47">
        <f t="shared" si="2230"/>
        <v>0.14142877801453893</v>
      </c>
      <c r="CN247" s="47">
        <f t="shared" si="2230"/>
        <v>0.14508183433979435</v>
      </c>
      <c r="CO247" s="47">
        <f t="shared" si="2230"/>
        <v>0.14754176352624107</v>
      </c>
      <c r="CP247" s="47">
        <f t="shared" si="2230"/>
        <v>0.14917711903056746</v>
      </c>
      <c r="CQ247" s="47">
        <f t="shared" si="2230"/>
        <v>0.14580737372778552</v>
      </c>
      <c r="CR247" s="47">
        <f t="shared" si="2230"/>
        <v>0.146902022656097</v>
      </c>
      <c r="CS247" s="47">
        <f t="shared" si="2230"/>
        <v>0.14735706973517274</v>
      </c>
      <c r="CT247" s="47">
        <f t="shared" si="2230"/>
        <v>0.14731089628740565</v>
      </c>
      <c r="CU247" s="47">
        <f t="shared" si="2230"/>
        <v>0.14684434060161528</v>
      </c>
      <c r="CV247" s="47">
        <f t="shared" si="2230"/>
        <v>0.1471035823200727</v>
      </c>
      <c r="CW247" s="47">
        <f t="shared" si="2230"/>
        <v>0.14715397223606652</v>
      </c>
      <c r="CX247" s="47">
        <f t="shared" si="2230"/>
        <v>0.14710319786129009</v>
      </c>
      <c r="CY247" s="47">
        <f t="shared" si="2230"/>
        <v>0.14705127325476114</v>
      </c>
      <c r="CZ247" s="47">
        <f t="shared" si="2230"/>
        <v>0.1471030064180476</v>
      </c>
      <c r="DA247" s="47">
        <f t="shared" si="2230"/>
        <v>0.14710286244254134</v>
      </c>
      <c r="DB247" s="47">
        <f t="shared" si="2230"/>
        <v>0.14709008499416001</v>
      </c>
      <c r="DE247" s="130"/>
      <c r="DF247" s="89">
        <v>0.1540156325217181</v>
      </c>
    </row>
    <row r="248" spans="1:110" s="64" customFormat="1" hidden="1" outlineLevel="1" x14ac:dyDescent="0.2">
      <c r="A248" s="64" t="s">
        <v>477</v>
      </c>
      <c r="B248" s="64">
        <f t="shared" ref="B248:Z248" si="2231">B55-B254</f>
        <v>100.20890000000009</v>
      </c>
      <c r="C248" s="64">
        <f t="shared" si="2231"/>
        <v>103.48869999999968</v>
      </c>
      <c r="D248" s="64">
        <f t="shared" si="2231"/>
        <v>117.08149999999915</v>
      </c>
      <c r="E248" s="64">
        <f t="shared" si="2231"/>
        <v>207.69579999999996</v>
      </c>
      <c r="F248" s="64">
        <f t="shared" si="2231"/>
        <v>262.67700000000031</v>
      </c>
      <c r="G248" s="64">
        <f t="shared" si="2231"/>
        <v>293.28000000000043</v>
      </c>
      <c r="H248" s="64">
        <f t="shared" si="2231"/>
        <v>320.35440000000028</v>
      </c>
      <c r="I248" s="64">
        <f t="shared" si="2231"/>
        <v>339.67519999999922</v>
      </c>
      <c r="J248" s="64">
        <f t="shared" si="2231"/>
        <v>101.51690000000019</v>
      </c>
      <c r="K248" s="64">
        <f t="shared" si="2231"/>
        <v>377.17649999999963</v>
      </c>
      <c r="L248" s="64">
        <f t="shared" si="2231"/>
        <v>282.53269999999952</v>
      </c>
      <c r="M248" s="64">
        <f t="shared" si="2231"/>
        <v>409.37350000000004</v>
      </c>
      <c r="N248" s="64">
        <f t="shared" si="2231"/>
        <v>500.88460000000111</v>
      </c>
      <c r="O248" s="64">
        <f t="shared" si="2231"/>
        <v>433.60919999999936</v>
      </c>
      <c r="P248" s="64">
        <f t="shared" si="2231"/>
        <v>414.34999999999854</v>
      </c>
      <c r="Q248" s="64">
        <f t="shared" si="2231"/>
        <v>302.63000000000045</v>
      </c>
      <c r="R248" s="64">
        <f t="shared" si="2231"/>
        <v>458.34999999999974</v>
      </c>
      <c r="S248" s="64">
        <f t="shared" si="2231"/>
        <v>588.39000000000033</v>
      </c>
      <c r="T248" s="64">
        <f t="shared" si="2231"/>
        <v>507.11999999999989</v>
      </c>
      <c r="U248" s="64">
        <f t="shared" si="2231"/>
        <v>809.97999999999865</v>
      </c>
      <c r="V248" s="64">
        <f t="shared" si="2231"/>
        <v>1024.440000000001</v>
      </c>
      <c r="W248" s="64">
        <f t="shared" si="2231"/>
        <v>1131.0100000000007</v>
      </c>
      <c r="X248" s="64">
        <f t="shared" si="2231"/>
        <v>1187.0699999999993</v>
      </c>
      <c r="Y248" s="64">
        <f t="shared" si="2231"/>
        <v>1628.0300000000007</v>
      </c>
      <c r="Z248" s="64">
        <f t="shared" si="2231"/>
        <v>1385.4200000000014</v>
      </c>
      <c r="AA248" s="64">
        <f t="shared" ref="AA248" si="2232">AA55-AA254</f>
        <v>1657.5600000000002</v>
      </c>
      <c r="AB248" s="30"/>
      <c r="AC248" s="30"/>
      <c r="AD248" s="30"/>
      <c r="AE248" s="30"/>
      <c r="AI248" s="64">
        <f t="shared" ref="AI248:BN248" si="2233">AI55-AI254</f>
        <v>103.98000000000019</v>
      </c>
      <c r="AJ248" s="64">
        <f t="shared" si="2233"/>
        <v>139.32000000000016</v>
      </c>
      <c r="AK248" s="64">
        <f t="shared" si="2233"/>
        <v>105.01999999999968</v>
      </c>
      <c r="AL248" s="64">
        <f t="shared" si="2233"/>
        <v>152.56999999999982</v>
      </c>
      <c r="AM248" s="64">
        <f t="shared" si="2233"/>
        <v>114.25999999999989</v>
      </c>
      <c r="AN248" s="64">
        <f t="shared" si="2233"/>
        <v>68.510000000000133</v>
      </c>
      <c r="AO248" s="64">
        <f t="shared" si="2233"/>
        <v>139.87</v>
      </c>
      <c r="AP248" s="64">
        <f t="shared" si="2233"/>
        <v>110.96999999999997</v>
      </c>
      <c r="AQ248" s="64">
        <f t="shared" si="2233"/>
        <v>115.11999999999995</v>
      </c>
      <c r="AR248" s="64">
        <f t="shared" si="2233"/>
        <v>93.750000000000142</v>
      </c>
      <c r="AS248" s="64">
        <f t="shared" si="2233"/>
        <v>88.260000000000247</v>
      </c>
      <c r="AT248" s="64">
        <f t="shared" si="2233"/>
        <v>117.2199999999999</v>
      </c>
      <c r="AU248" s="64">
        <f t="shared" si="2233"/>
        <v>88.729999999999649</v>
      </c>
      <c r="AV248" s="64">
        <f t="shared" si="2233"/>
        <v>77.739999999999995</v>
      </c>
      <c r="AW248" s="64">
        <f t="shared" si="2233"/>
        <v>71.029999999999859</v>
      </c>
      <c r="AX248" s="64">
        <f t="shared" si="2233"/>
        <v>65.129999999999825</v>
      </c>
      <c r="AY248" s="64">
        <f t="shared" si="2233"/>
        <v>128.03000000000003</v>
      </c>
      <c r="AZ248" s="64">
        <f t="shared" si="2233"/>
        <v>108.14000000000001</v>
      </c>
      <c r="BA248" s="64">
        <f t="shared" si="2233"/>
        <v>95.319999999999936</v>
      </c>
      <c r="BB248" s="64">
        <f t="shared" si="2233"/>
        <v>126.86000000000004</v>
      </c>
      <c r="BC248" s="64">
        <f t="shared" si="2233"/>
        <v>137.86000000000018</v>
      </c>
      <c r="BD248" s="64">
        <f t="shared" si="2233"/>
        <v>135.66000000000014</v>
      </c>
      <c r="BE248" s="64">
        <f t="shared" si="2233"/>
        <v>198.52000000000015</v>
      </c>
      <c r="BF248" s="64">
        <f t="shared" si="2233"/>
        <v>116.35000000000026</v>
      </c>
      <c r="BG248" s="64">
        <f t="shared" si="2233"/>
        <v>151.78000000000009</v>
      </c>
      <c r="BH248" s="64">
        <f t="shared" si="2233"/>
        <v>131.80999999999975</v>
      </c>
      <c r="BI248" s="64">
        <f t="shared" si="2233"/>
        <v>121.31999999999992</v>
      </c>
      <c r="BJ248" s="64">
        <f t="shared" si="2233"/>
        <v>102.21</v>
      </c>
      <c r="BK248" s="64">
        <f t="shared" si="2233"/>
        <v>205.5800000000001</v>
      </c>
      <c r="BL248" s="64">
        <f t="shared" si="2233"/>
        <v>200.15000000000018</v>
      </c>
      <c r="BM248" s="64">
        <f t="shared" si="2233"/>
        <v>190.07000000000011</v>
      </c>
      <c r="BN248" s="64">
        <f t="shared" si="2233"/>
        <v>214.18000000000012</v>
      </c>
      <c r="BO248" s="64">
        <f t="shared" ref="BO248:CT248" si="2234">BO55-BO254</f>
        <v>325.77999999999997</v>
      </c>
      <c r="BP248" s="64">
        <f t="shared" si="2234"/>
        <v>258.23000000000025</v>
      </c>
      <c r="BQ248" s="64">
        <f t="shared" si="2234"/>
        <v>243.15999999999997</v>
      </c>
      <c r="BR248" s="64">
        <f t="shared" si="2234"/>
        <v>197.26999999999981</v>
      </c>
      <c r="BS248" s="64">
        <f t="shared" si="2234"/>
        <v>244.56999999999965</v>
      </c>
      <c r="BT248" s="64">
        <f t="shared" si="2234"/>
        <v>277.69999999999993</v>
      </c>
      <c r="BU248" s="64">
        <f t="shared" si="2234"/>
        <v>300.86000000000018</v>
      </c>
      <c r="BV248" s="64">
        <f t="shared" si="2234"/>
        <v>307.87999999999965</v>
      </c>
      <c r="BW248" s="64">
        <f t="shared" si="2234"/>
        <v>300.47999999999968</v>
      </c>
      <c r="BX248" s="64">
        <f t="shared" si="2234"/>
        <v>243.76000000000039</v>
      </c>
      <c r="BY248" s="64">
        <f t="shared" si="2234"/>
        <v>290.88000000000022</v>
      </c>
      <c r="BZ248" s="64">
        <f t="shared" si="2234"/>
        <v>351.94999999999982</v>
      </c>
      <c r="CA248" s="64">
        <f t="shared" si="2234"/>
        <v>363.73000000000013</v>
      </c>
      <c r="CB248" s="64">
        <f t="shared" si="2234"/>
        <v>373.73000000000036</v>
      </c>
      <c r="CC248" s="64">
        <f t="shared" si="2234"/>
        <v>407.06000000000023</v>
      </c>
      <c r="CD248" s="64">
        <f t="shared" si="2234"/>
        <v>483.51</v>
      </c>
      <c r="CE248" s="64">
        <f t="shared" si="2234"/>
        <v>331.24999999999983</v>
      </c>
      <c r="CF248" s="64">
        <f t="shared" si="2234"/>
        <v>386.50999999999971</v>
      </c>
      <c r="CG248" s="64">
        <f t="shared" si="2234"/>
        <v>305.91000000000025</v>
      </c>
      <c r="CH248" s="64">
        <f t="shared" si="2234"/>
        <v>361.75000000000023</v>
      </c>
      <c r="CI248" s="64">
        <f t="shared" si="2234"/>
        <v>346.44000000000005</v>
      </c>
      <c r="CJ248" s="64">
        <f t="shared" si="2234"/>
        <v>397.04999999999927</v>
      </c>
      <c r="CK248" s="64">
        <f t="shared" si="2234"/>
        <v>425.64999999999986</v>
      </c>
      <c r="CL248" s="64">
        <f t="shared" ref="CL248" si="2235">CL55-CL254</f>
        <v>488.41999999999956</v>
      </c>
      <c r="CM248" s="30">
        <f t="shared" si="2234"/>
        <v>486.8339446493211</v>
      </c>
      <c r="CN248" s="30">
        <f t="shared" si="2234"/>
        <v>539.34588879093701</v>
      </c>
      <c r="CO248" s="30">
        <f t="shared" si="2234"/>
        <v>569.99421048602176</v>
      </c>
      <c r="CP248" s="30">
        <f t="shared" si="2234"/>
        <v>624.78451558571101</v>
      </c>
      <c r="CQ248" s="30">
        <f t="shared" si="2234"/>
        <v>604.80571277161596</v>
      </c>
      <c r="CR248" s="30">
        <f t="shared" si="2234"/>
        <v>650.76826070218317</v>
      </c>
      <c r="CS248" s="30">
        <f t="shared" si="2234"/>
        <v>671.53975898282397</v>
      </c>
      <c r="CT248" s="30">
        <f t="shared" si="2234"/>
        <v>723.30789435957604</v>
      </c>
      <c r="CU248" s="30">
        <f t="shared" ref="CU248:DB248" si="2236">CU55-CU254</f>
        <v>729.20501607045139</v>
      </c>
      <c r="CV248" s="30">
        <f t="shared" si="2236"/>
        <v>778.18686645145522</v>
      </c>
      <c r="CW248" s="30">
        <f t="shared" si="2236"/>
        <v>798.99385048519616</v>
      </c>
      <c r="CX248" s="30">
        <f t="shared" si="2236"/>
        <v>861.9975142602384</v>
      </c>
      <c r="CY248" s="30">
        <f t="shared" si="2236"/>
        <v>869.12292596426414</v>
      </c>
      <c r="CZ248" s="30">
        <f t="shared" si="2236"/>
        <v>925.51685535723186</v>
      </c>
      <c r="DA248" s="30">
        <f t="shared" si="2236"/>
        <v>948.0822854924138</v>
      </c>
      <c r="DB248" s="30">
        <f t="shared" si="2236"/>
        <v>1024.1326090836608</v>
      </c>
      <c r="DE248" s="139"/>
      <c r="DF248" s="64">
        <v>502.83666425908785</v>
      </c>
    </row>
    <row r="249" spans="1:110" s="64" customFormat="1" hidden="1" outlineLevel="1" x14ac:dyDescent="0.2">
      <c r="AB249" s="30"/>
      <c r="AC249" s="30"/>
      <c r="AD249" s="30"/>
      <c r="AE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64" customFormat="1" hidden="1" outlineLevel="1" x14ac:dyDescent="0.2">
      <c r="A250" s="65" t="s">
        <v>352</v>
      </c>
      <c r="AB250" s="30"/>
      <c r="AC250" s="30"/>
      <c r="AD250" s="30"/>
      <c r="AE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64" customFormat="1" hidden="1" outlineLevel="1" x14ac:dyDescent="0.2">
      <c r="A251" s="64" t="s">
        <v>478</v>
      </c>
      <c r="AB251" s="30"/>
      <c r="AC251" s="30"/>
      <c r="AD251" s="30"/>
      <c r="AE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64" customFormat="1" hidden="1" outlineLevel="1" x14ac:dyDescent="0.2">
      <c r="A252" s="64" t="s">
        <v>479</v>
      </c>
      <c r="AB252" s="30"/>
      <c r="AC252" s="30"/>
      <c r="AD252" s="30"/>
      <c r="AE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89" customFormat="1" hidden="1" outlineLevel="1" x14ac:dyDescent="0.2">
      <c r="A253" s="86" t="s">
        <v>480</v>
      </c>
      <c r="B253" s="86" t="e">
        <f>+B252/B251</f>
        <v>#DIV/0!</v>
      </c>
      <c r="C253" s="86" t="e">
        <f t="shared" ref="C253:X253" si="2237">+C252/C251</f>
        <v>#DIV/0!</v>
      </c>
      <c r="D253" s="86" t="e">
        <f t="shared" si="2237"/>
        <v>#DIV/0!</v>
      </c>
      <c r="E253" s="86" t="e">
        <f t="shared" si="2237"/>
        <v>#DIV/0!</v>
      </c>
      <c r="F253" s="86" t="e">
        <f t="shared" si="2237"/>
        <v>#DIV/0!</v>
      </c>
      <c r="G253" s="86" t="e">
        <f t="shared" si="2237"/>
        <v>#DIV/0!</v>
      </c>
      <c r="H253" s="86" t="e">
        <f t="shared" si="2237"/>
        <v>#DIV/0!</v>
      </c>
      <c r="I253" s="86" t="e">
        <f t="shared" si="2237"/>
        <v>#DIV/0!</v>
      </c>
      <c r="J253" s="86" t="e">
        <f t="shared" si="2237"/>
        <v>#DIV/0!</v>
      </c>
      <c r="K253" s="86" t="e">
        <f t="shared" si="2237"/>
        <v>#DIV/0!</v>
      </c>
      <c r="L253" s="86" t="e">
        <f t="shared" si="2237"/>
        <v>#DIV/0!</v>
      </c>
      <c r="M253" s="86" t="e">
        <f t="shared" si="2237"/>
        <v>#DIV/0!</v>
      </c>
      <c r="N253" s="86" t="e">
        <f t="shared" si="2237"/>
        <v>#DIV/0!</v>
      </c>
      <c r="O253" s="86" t="e">
        <f t="shared" si="2237"/>
        <v>#DIV/0!</v>
      </c>
      <c r="P253" s="86" t="e">
        <f t="shared" si="2237"/>
        <v>#DIV/0!</v>
      </c>
      <c r="Q253" s="86" t="e">
        <f t="shared" si="2237"/>
        <v>#DIV/0!</v>
      </c>
      <c r="R253" s="86" t="e">
        <f t="shared" si="2237"/>
        <v>#DIV/0!</v>
      </c>
      <c r="S253" s="86" t="e">
        <f t="shared" si="2237"/>
        <v>#DIV/0!</v>
      </c>
      <c r="T253" s="86" t="e">
        <f t="shared" si="2237"/>
        <v>#DIV/0!</v>
      </c>
      <c r="U253" s="86" t="e">
        <f t="shared" si="2237"/>
        <v>#DIV/0!</v>
      </c>
      <c r="V253" s="86" t="e">
        <f t="shared" si="2237"/>
        <v>#DIV/0!</v>
      </c>
      <c r="W253" s="86" t="e">
        <f t="shared" si="2237"/>
        <v>#DIV/0!</v>
      </c>
      <c r="X253" s="86" t="e">
        <f t="shared" si="2237"/>
        <v>#DIV/0!</v>
      </c>
      <c r="Y253" s="86" t="e">
        <f t="shared" ref="Y253:Z253" si="2238">+Y252/Y251</f>
        <v>#DIV/0!</v>
      </c>
      <c r="Z253" s="86" t="e">
        <f t="shared" si="2238"/>
        <v>#DIV/0!</v>
      </c>
      <c r="AA253" s="86" t="e">
        <f t="shared" ref="AA253" si="2239">+AA252/AA251</f>
        <v>#DIV/0!</v>
      </c>
      <c r="AB253" s="87"/>
      <c r="AC253" s="87"/>
      <c r="AD253" s="87"/>
      <c r="AE253" s="87"/>
      <c r="AF253" s="86"/>
      <c r="AG253" s="86"/>
      <c r="AH253" s="86"/>
      <c r="AI253" s="86" t="e">
        <f t="shared" ref="AI253" si="2240">+AI252/AI251</f>
        <v>#DIV/0!</v>
      </c>
      <c r="AJ253" s="86" t="e">
        <f t="shared" ref="AJ253" si="2241">+AJ252/AJ251</f>
        <v>#DIV/0!</v>
      </c>
      <c r="AK253" s="86" t="e">
        <f t="shared" ref="AK253" si="2242">+AK252/AK251</f>
        <v>#DIV/0!</v>
      </c>
      <c r="AL253" s="86" t="e">
        <f t="shared" ref="AL253" si="2243">+AL252/AL251</f>
        <v>#DIV/0!</v>
      </c>
      <c r="AM253" s="86" t="e">
        <f t="shared" ref="AM253" si="2244">+AM252/AM251</f>
        <v>#DIV/0!</v>
      </c>
      <c r="AN253" s="86" t="e">
        <f t="shared" ref="AN253" si="2245">+AN252/AN251</f>
        <v>#DIV/0!</v>
      </c>
      <c r="AO253" s="86" t="e">
        <f t="shared" ref="AO253" si="2246">+AO252/AO251</f>
        <v>#DIV/0!</v>
      </c>
      <c r="AP253" s="86" t="e">
        <f t="shared" ref="AP253" si="2247">+AP252/AP251</f>
        <v>#DIV/0!</v>
      </c>
      <c r="AQ253" s="86" t="e">
        <f t="shared" ref="AQ253" si="2248">+AQ252/AQ251</f>
        <v>#DIV/0!</v>
      </c>
      <c r="AR253" s="86" t="e">
        <f t="shared" ref="AR253" si="2249">+AR252/AR251</f>
        <v>#DIV/0!</v>
      </c>
      <c r="AS253" s="86" t="e">
        <f t="shared" ref="AS253" si="2250">+AS252/AS251</f>
        <v>#DIV/0!</v>
      </c>
      <c r="AT253" s="86" t="e">
        <f t="shared" ref="AT253" si="2251">+AT252/AT251</f>
        <v>#DIV/0!</v>
      </c>
      <c r="AU253" s="86" t="e">
        <f t="shared" ref="AU253" si="2252">+AU252/AU251</f>
        <v>#DIV/0!</v>
      </c>
      <c r="AV253" s="86" t="e">
        <f t="shared" ref="AV253" si="2253">+AV252/AV251</f>
        <v>#DIV/0!</v>
      </c>
      <c r="AW253" s="86" t="e">
        <f t="shared" ref="AW253" si="2254">+AW252/AW251</f>
        <v>#DIV/0!</v>
      </c>
      <c r="AX253" s="86" t="e">
        <f t="shared" ref="AX253" si="2255">+AX252/AX251</f>
        <v>#DIV/0!</v>
      </c>
      <c r="AY253" s="86" t="e">
        <f t="shared" ref="AY253" si="2256">+AY252/AY251</f>
        <v>#DIV/0!</v>
      </c>
      <c r="AZ253" s="86" t="e">
        <f t="shared" ref="AZ253" si="2257">+AZ252/AZ251</f>
        <v>#DIV/0!</v>
      </c>
      <c r="BA253" s="86" t="e">
        <f t="shared" ref="BA253" si="2258">+BA252/BA251</f>
        <v>#DIV/0!</v>
      </c>
      <c r="BB253" s="86" t="e">
        <f t="shared" ref="BB253" si="2259">+BB252/BB251</f>
        <v>#DIV/0!</v>
      </c>
      <c r="BC253" s="86" t="e">
        <f t="shared" ref="BC253" si="2260">+BC252/BC251</f>
        <v>#DIV/0!</v>
      </c>
      <c r="BD253" s="86" t="e">
        <f t="shared" ref="BD253" si="2261">+BD252/BD251</f>
        <v>#DIV/0!</v>
      </c>
      <c r="BE253" s="86" t="e">
        <f t="shared" ref="BE253" si="2262">+BE252/BE251</f>
        <v>#DIV/0!</v>
      </c>
      <c r="BF253" s="86" t="e">
        <f t="shared" ref="BF253" si="2263">+BF252/BF251</f>
        <v>#DIV/0!</v>
      </c>
      <c r="BG253" s="86" t="e">
        <f t="shared" ref="BG253" si="2264">+BG252/BG251</f>
        <v>#DIV/0!</v>
      </c>
      <c r="BH253" s="86" t="e">
        <f t="shared" ref="BH253" si="2265">+BH252/BH251</f>
        <v>#DIV/0!</v>
      </c>
      <c r="BI253" s="86" t="e">
        <f t="shared" ref="BI253" si="2266">+BI252/BI251</f>
        <v>#DIV/0!</v>
      </c>
      <c r="BJ253" s="86" t="e">
        <f t="shared" ref="BJ253" si="2267">+BJ252/BJ251</f>
        <v>#DIV/0!</v>
      </c>
      <c r="BK253" s="86" t="e">
        <f t="shared" ref="BK253" si="2268">+BK252/BK251</f>
        <v>#DIV/0!</v>
      </c>
      <c r="BL253" s="86" t="e">
        <f t="shared" ref="BL253" si="2269">+BL252/BL251</f>
        <v>#DIV/0!</v>
      </c>
      <c r="BM253" s="86" t="e">
        <f t="shared" ref="BM253" si="2270">+BM252/BM251</f>
        <v>#DIV/0!</v>
      </c>
      <c r="BN253" s="86" t="e">
        <f t="shared" ref="BN253" si="2271">+BN252/BN251</f>
        <v>#DIV/0!</v>
      </c>
      <c r="BO253" s="86" t="e">
        <f t="shared" ref="BO253" si="2272">+BO252/BO251</f>
        <v>#DIV/0!</v>
      </c>
      <c r="BP253" s="86" t="e">
        <f t="shared" ref="BP253" si="2273">+BP252/BP251</f>
        <v>#DIV/0!</v>
      </c>
      <c r="BQ253" s="86" t="e">
        <f t="shared" ref="BQ253" si="2274">+BQ252/BQ251</f>
        <v>#DIV/0!</v>
      </c>
      <c r="BR253" s="86" t="e">
        <f t="shared" ref="BR253" si="2275">+BR252/BR251</f>
        <v>#DIV/0!</v>
      </c>
      <c r="BS253" s="86" t="e">
        <f t="shared" ref="BS253" si="2276">+BS252/BS251</f>
        <v>#DIV/0!</v>
      </c>
      <c r="BT253" s="86" t="e">
        <f t="shared" ref="BT253" si="2277">+BT252/BT251</f>
        <v>#DIV/0!</v>
      </c>
      <c r="BU253" s="86" t="e">
        <f t="shared" ref="BU253" si="2278">+BU252/BU251</f>
        <v>#DIV/0!</v>
      </c>
      <c r="BV253" s="86" t="e">
        <f t="shared" ref="BV253" si="2279">+BV252/BV251</f>
        <v>#DIV/0!</v>
      </c>
      <c r="BW253" s="86" t="e">
        <f t="shared" ref="BW253" si="2280">+BW252/BW251</f>
        <v>#DIV/0!</v>
      </c>
      <c r="BX253" s="86" t="e">
        <f t="shared" ref="BX253" si="2281">+BX252/BX251</f>
        <v>#DIV/0!</v>
      </c>
      <c r="BY253" s="86" t="e">
        <f t="shared" ref="BY253" si="2282">+BY252/BY251</f>
        <v>#DIV/0!</v>
      </c>
      <c r="BZ253" s="86" t="e">
        <f t="shared" ref="BZ253" si="2283">+BZ252/BZ251</f>
        <v>#DIV/0!</v>
      </c>
      <c r="CA253" s="86" t="e">
        <f t="shared" ref="CA253" si="2284">+CA252/CA251</f>
        <v>#DIV/0!</v>
      </c>
      <c r="CB253" s="86" t="e">
        <f t="shared" ref="CB253:CC253" si="2285">+CB252/CB251</f>
        <v>#DIV/0!</v>
      </c>
      <c r="CC253" s="86" t="e">
        <f t="shared" si="2285"/>
        <v>#DIV/0!</v>
      </c>
      <c r="CD253" s="86" t="e">
        <f t="shared" ref="CD253" si="2286">+CD252/CD251</f>
        <v>#DIV/0!</v>
      </c>
      <c r="CE253" s="86" t="e">
        <f t="shared" ref="CE253:CF253" si="2287">+CE252/CE251</f>
        <v>#DIV/0!</v>
      </c>
      <c r="CF253" s="86" t="e">
        <f t="shared" si="2287"/>
        <v>#DIV/0!</v>
      </c>
      <c r="CG253" s="86" t="e">
        <f t="shared" ref="CG253:CH253" si="2288">+CG252/CG251</f>
        <v>#DIV/0!</v>
      </c>
      <c r="CH253" s="86" t="e">
        <f t="shared" si="2288"/>
        <v>#DIV/0!</v>
      </c>
      <c r="CI253" s="86" t="e">
        <f t="shared" ref="CI253:CJ253" si="2289">+CI252/CI251</f>
        <v>#DIV/0!</v>
      </c>
      <c r="CJ253" s="86" t="e">
        <f t="shared" si="2289"/>
        <v>#DIV/0!</v>
      </c>
      <c r="CK253" s="86" t="e">
        <f t="shared" ref="CK253:DB253" si="2290">+CK252/CK251</f>
        <v>#DIV/0!</v>
      </c>
      <c r="CL253" s="86" t="e">
        <f t="shared" si="2290"/>
        <v>#DIV/0!</v>
      </c>
      <c r="CM253" s="47" t="e">
        <f t="shared" si="2290"/>
        <v>#DIV/0!</v>
      </c>
      <c r="CN253" s="47" t="e">
        <f t="shared" si="2290"/>
        <v>#DIV/0!</v>
      </c>
      <c r="CO253" s="47" t="e">
        <f t="shared" si="2290"/>
        <v>#DIV/0!</v>
      </c>
      <c r="CP253" s="47" t="e">
        <f t="shared" si="2290"/>
        <v>#DIV/0!</v>
      </c>
      <c r="CQ253" s="47" t="e">
        <f t="shared" si="2290"/>
        <v>#DIV/0!</v>
      </c>
      <c r="CR253" s="47" t="e">
        <f t="shared" si="2290"/>
        <v>#DIV/0!</v>
      </c>
      <c r="CS253" s="47" t="e">
        <f t="shared" si="2290"/>
        <v>#DIV/0!</v>
      </c>
      <c r="CT253" s="47" t="e">
        <f t="shared" si="2290"/>
        <v>#DIV/0!</v>
      </c>
      <c r="CU253" s="47" t="e">
        <f t="shared" si="2290"/>
        <v>#DIV/0!</v>
      </c>
      <c r="CV253" s="47" t="e">
        <f t="shared" si="2290"/>
        <v>#DIV/0!</v>
      </c>
      <c r="CW253" s="47" t="e">
        <f t="shared" si="2290"/>
        <v>#DIV/0!</v>
      </c>
      <c r="CX253" s="47" t="e">
        <f t="shared" si="2290"/>
        <v>#DIV/0!</v>
      </c>
      <c r="CY253" s="47" t="e">
        <f t="shared" si="2290"/>
        <v>#DIV/0!</v>
      </c>
      <c r="CZ253" s="47" t="e">
        <f t="shared" si="2290"/>
        <v>#DIV/0!</v>
      </c>
      <c r="DA253" s="47" t="e">
        <f t="shared" si="2290"/>
        <v>#DIV/0!</v>
      </c>
      <c r="DB253" s="47" t="e">
        <f t="shared" si="2290"/>
        <v>#DIV/0!</v>
      </c>
      <c r="DE253" s="130"/>
    </row>
    <row r="254" spans="1:110" s="64" customFormat="1" hidden="1" outlineLevel="1" x14ac:dyDescent="0.2">
      <c r="A254" s="64" t="s">
        <v>481</v>
      </c>
      <c r="AB254" s="30"/>
      <c r="AC254" s="30"/>
      <c r="AD254" s="30"/>
      <c r="AE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62" customFormat="1" hidden="1" outlineLevel="1" x14ac:dyDescent="0.2">
      <c r="AB255" s="63"/>
      <c r="AC255" s="63"/>
      <c r="AD255" s="63"/>
      <c r="AE255" s="63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11" customFormat="1" collapsed="1" x14ac:dyDescent="0.2">
      <c r="AB256" s="63"/>
      <c r="AC256" s="63"/>
      <c r="AD256" s="63"/>
      <c r="AE256" s="63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62" customFormat="1" x14ac:dyDescent="0.2">
      <c r="A257" s="154" t="s">
        <v>497</v>
      </c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63"/>
      <c r="AC257" s="63"/>
      <c r="AD257" s="63"/>
      <c r="AE257" s="63"/>
      <c r="AL257" s="180"/>
      <c r="CF257" s="180"/>
      <c r="CG257" s="180"/>
      <c r="CH257" s="180"/>
      <c r="CI257" s="180"/>
      <c r="CJ257" s="180"/>
      <c r="CK257" s="180"/>
      <c r="CL257" s="18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0" s="84" customFormat="1" x14ac:dyDescent="0.2">
      <c r="A258" s="84" t="s">
        <v>512</v>
      </c>
      <c r="B258" s="84">
        <f>B22/B179</f>
        <v>0.72435638376862554</v>
      </c>
      <c r="C258" s="84">
        <f>C22/C179</f>
        <v>1.050377670170306</v>
      </c>
      <c r="D258" s="84">
        <f>D22/D179</f>
        <v>1.083836505738959</v>
      </c>
      <c r="E258" s="84">
        <f t="shared" ref="E258:Y258" si="2291">E24/(E175+E162+E152)</f>
        <v>0.8162062568275259</v>
      </c>
      <c r="F258" s="84">
        <f t="shared" si="2291"/>
        <v>0.80792535848642799</v>
      </c>
      <c r="G258" s="84">
        <f t="shared" si="2291"/>
        <v>0.78944912091551678</v>
      </c>
      <c r="H258" s="84">
        <f t="shared" si="2291"/>
        <v>0.50161583102633867</v>
      </c>
      <c r="I258" s="84">
        <f t="shared" si="2291"/>
        <v>0.53430524284114467</v>
      </c>
      <c r="J258" s="84">
        <f t="shared" si="2291"/>
        <v>0.57561965072805754</v>
      </c>
      <c r="K258" s="84">
        <f t="shared" si="2291"/>
        <v>0.73806066241914625</v>
      </c>
      <c r="L258" s="84">
        <f t="shared" si="2291"/>
        <v>0.82410119912599133</v>
      </c>
      <c r="M258" s="84">
        <f t="shared" si="2291"/>
        <v>0.85070980491254933</v>
      </c>
      <c r="N258" s="84">
        <f t="shared" si="2291"/>
        <v>0.89451271785332842</v>
      </c>
      <c r="O258" s="84">
        <f t="shared" si="2291"/>
        <v>0.83167922626765645</v>
      </c>
      <c r="P258" s="84">
        <f t="shared" si="2291"/>
        <v>0.78707790046653225</v>
      </c>
      <c r="Q258" s="84">
        <f t="shared" si="2291"/>
        <v>0.75653880878772117</v>
      </c>
      <c r="R258" s="84">
        <f t="shared" si="2291"/>
        <v>0.8201015638608784</v>
      </c>
      <c r="S258" s="84">
        <f t="shared" si="2291"/>
        <v>0.69067679809964699</v>
      </c>
      <c r="T258" s="84">
        <f t="shared" si="2291"/>
        <v>0.70566105303721804</v>
      </c>
      <c r="U258" s="84">
        <f t="shared" si="2291"/>
        <v>0.53589631522697723</v>
      </c>
      <c r="V258" s="84">
        <f t="shared" si="2291"/>
        <v>0.58788837547738571</v>
      </c>
      <c r="W258" s="84">
        <f t="shared" si="2291"/>
        <v>0.60683730211832421</v>
      </c>
      <c r="X258" s="84">
        <f t="shared" si="2291"/>
        <v>0.62411690498119465</v>
      </c>
      <c r="Y258" s="84">
        <f t="shared" si="2291"/>
        <v>0.55807674126358697</v>
      </c>
      <c r="Z258" s="84">
        <f>Z24/(Z175+Z162+Z152)</f>
        <v>0.56551980039911187</v>
      </c>
      <c r="AA258" s="84">
        <f>AA24/(AA175+AA162+AA152)</f>
        <v>0.60201273901980523</v>
      </c>
      <c r="AB258" s="50">
        <f t="shared" ref="AA258:AE258" si="2292">AB24/(AB175+AB162+AB152)</f>
        <v>0.63384812633011367</v>
      </c>
      <c r="AC258" s="50">
        <f t="shared" si="2292"/>
        <v>0.65470334582523082</v>
      </c>
      <c r="AD258" s="50">
        <f t="shared" si="2292"/>
        <v>0.67163905559300141</v>
      </c>
      <c r="AE258" s="50">
        <f t="shared" si="2292"/>
        <v>0.68537193411116459</v>
      </c>
      <c r="AL258" s="84">
        <f>SUM(AI24:AL24)/(AL175+AL162+AL152)</f>
        <v>0.89451377185030134</v>
      </c>
      <c r="AM258" s="84">
        <f t="shared" ref="AM258:CL258" si="2293">SUM(AJ24:AM24)/(AM175+AM162+AM152)</f>
        <v>0.894788208873594</v>
      </c>
      <c r="AN258" s="84">
        <f t="shared" si="2293"/>
        <v>0.75782109540757292</v>
      </c>
      <c r="AO258" s="84">
        <f t="shared" si="2293"/>
        <v>0.7600084744907365</v>
      </c>
      <c r="AP258" s="84">
        <f t="shared" si="2293"/>
        <v>0.83167913495851087</v>
      </c>
      <c r="AQ258" s="84">
        <f t="shared" si="2293"/>
        <v>0.83339078427460234</v>
      </c>
      <c r="AR258" s="84">
        <f t="shared" si="2293"/>
        <v>0.81755020138357015</v>
      </c>
      <c r="AS258" s="84">
        <f t="shared" si="2293"/>
        <v>0.81216195558488535</v>
      </c>
      <c r="AT258" s="84">
        <f t="shared" si="2293"/>
        <v>0.90424805029966671</v>
      </c>
      <c r="AU258" s="84">
        <f t="shared" si="2293"/>
        <v>0.87991746191503639</v>
      </c>
      <c r="AV258" s="84">
        <f t="shared" si="2293"/>
        <v>0.79210682822681744</v>
      </c>
      <c r="AW258" s="84">
        <f t="shared" si="2293"/>
        <v>0.73906082709924048</v>
      </c>
      <c r="AX258" s="84">
        <f t="shared" si="2293"/>
        <v>0.76298271116907901</v>
      </c>
      <c r="AY258" s="84">
        <f t="shared" si="2293"/>
        <v>0.75619871372460667</v>
      </c>
      <c r="AZ258" s="84">
        <f t="shared" si="2293"/>
        <v>0.77709442867435086</v>
      </c>
      <c r="BA258" s="84">
        <f t="shared" si="2293"/>
        <v>0.76548411057319643</v>
      </c>
      <c r="BB258" s="84">
        <f t="shared" si="2293"/>
        <v>0.82701151247978189</v>
      </c>
      <c r="BC258" s="84">
        <f t="shared" si="2293"/>
        <v>0.80995784618839373</v>
      </c>
      <c r="BD258" s="84">
        <f t="shared" si="2293"/>
        <v>0.7363267183584179</v>
      </c>
      <c r="BE258" s="84">
        <f t="shared" si="2293"/>
        <v>0.72089619898893187</v>
      </c>
      <c r="BF258" s="84">
        <f t="shared" si="2293"/>
        <v>0.69421766247576977</v>
      </c>
      <c r="BG258" s="84">
        <f t="shared" si="2293"/>
        <v>0.69264863920845665</v>
      </c>
      <c r="BH258" s="84">
        <f t="shared" si="2293"/>
        <v>0.66265877806376183</v>
      </c>
      <c r="BI258" s="84">
        <f t="shared" si="2293"/>
        <v>0.66912439340567598</v>
      </c>
      <c r="BJ258" s="84">
        <f t="shared" si="2293"/>
        <v>0.70922228590318637</v>
      </c>
      <c r="BK258" s="84">
        <f t="shared" si="2293"/>
        <v>0.73770016088178758</v>
      </c>
      <c r="BL258" s="84">
        <f t="shared" si="2293"/>
        <v>0.79069180501672398</v>
      </c>
      <c r="BM258" s="84">
        <f t="shared" si="2293"/>
        <v>0.82830965425716407</v>
      </c>
      <c r="BN258" s="84">
        <f t="shared" si="2293"/>
        <v>0.53739161466958862</v>
      </c>
      <c r="BO258" s="84">
        <f t="shared" si="2293"/>
        <v>0.54176370994047196</v>
      </c>
      <c r="BP258" s="84">
        <f t="shared" si="2293"/>
        <v>0.55428987416369124</v>
      </c>
      <c r="BQ258" s="84">
        <f t="shared" si="2293"/>
        <v>0.57382544416304859</v>
      </c>
      <c r="BR258" s="84">
        <f t="shared" si="2293"/>
        <v>0.58887813979551229</v>
      </c>
      <c r="BS258" s="84">
        <f t="shared" si="2293"/>
        <v>0.59867012370417994</v>
      </c>
      <c r="BT258" s="84">
        <f t="shared" si="2293"/>
        <v>0.63789569968752025</v>
      </c>
      <c r="BU258" s="84">
        <f t="shared" si="2293"/>
        <v>0.6334751996162965</v>
      </c>
      <c r="BV258" s="84">
        <f t="shared" si="2293"/>
        <v>0.61379462969156073</v>
      </c>
      <c r="BW258" s="84">
        <f t="shared" si="2293"/>
        <v>0.61891815594169519</v>
      </c>
      <c r="BX258" s="84">
        <f t="shared" si="2293"/>
        <v>0.65823718484475591</v>
      </c>
      <c r="BY258" s="84">
        <f t="shared" si="2293"/>
        <v>0.65791096791510739</v>
      </c>
      <c r="BZ258" s="84">
        <f t="shared" si="2293"/>
        <v>0.63024635245099558</v>
      </c>
      <c r="CA258" s="84">
        <f t="shared" si="2293"/>
        <v>0.6376461412101514</v>
      </c>
      <c r="CB258" s="84">
        <f t="shared" si="2293"/>
        <v>0.68539663631179892</v>
      </c>
      <c r="CC258" s="84">
        <f t="shared" si="2293"/>
        <v>0.6906637844388952</v>
      </c>
      <c r="CD258" s="84">
        <f t="shared" si="2293"/>
        <v>0.56251086671031847</v>
      </c>
      <c r="CE258" s="84">
        <f t="shared" si="2293"/>
        <v>0.5727476404284787</v>
      </c>
      <c r="CF258" s="84">
        <f t="shared" si="2293"/>
        <v>0.54473111860636048</v>
      </c>
      <c r="CG258" s="84">
        <f t="shared" si="2293"/>
        <v>0.55832687313583007</v>
      </c>
      <c r="CH258" s="84">
        <f t="shared" si="2293"/>
        <v>0.56551980039911198</v>
      </c>
      <c r="CI258" s="84">
        <f t="shared" si="2293"/>
        <v>0.56869146879117449</v>
      </c>
      <c r="CJ258" s="84">
        <f t="shared" si="2293"/>
        <v>0.60386847928612364</v>
      </c>
      <c r="CK258" s="84">
        <f t="shared" ref="CK258" si="2294">SUM(CH24:CK24)/(CK175+CK162+CK152)</f>
        <v>0.61420425863157491</v>
      </c>
      <c r="CL258" s="84">
        <f t="shared" si="2293"/>
        <v>0.60585194594087799</v>
      </c>
      <c r="CM258" s="50">
        <f t="shared" ref="CM258:DB258" si="2295">SUM(CJ24:CM24)/(CM175+CM162+CM152)</f>
        <v>0.61696263689508168</v>
      </c>
      <c r="CN258" s="50">
        <f t="shared" si="2295"/>
        <v>0.62323422081527413</v>
      </c>
      <c r="CO258" s="50">
        <f t="shared" si="2295"/>
        <v>0.63131144301138009</v>
      </c>
      <c r="CP258" s="50">
        <f t="shared" si="2295"/>
        <v>0.63384812633011367</v>
      </c>
      <c r="CQ258" s="50">
        <f t="shared" si="2295"/>
        <v>0.6440389474627416</v>
      </c>
      <c r="CR258" s="50">
        <f t="shared" si="2295"/>
        <v>0.64729479481315422</v>
      </c>
      <c r="CS258" s="50">
        <f t="shared" si="2295"/>
        <v>0.65399249365074286</v>
      </c>
      <c r="CT258" s="50">
        <f t="shared" si="2295"/>
        <v>0.65470334582523082</v>
      </c>
      <c r="CU258" s="50">
        <f t="shared" si="2295"/>
        <v>0.66386414559353291</v>
      </c>
      <c r="CV258" s="50">
        <f t="shared" si="2295"/>
        <v>0.66574814872022792</v>
      </c>
      <c r="CW258" s="50">
        <f t="shared" si="2295"/>
        <v>0.67208345283838944</v>
      </c>
      <c r="CX258" s="50">
        <f t="shared" si="2295"/>
        <v>0.67163905559300141</v>
      </c>
      <c r="CY258" s="50">
        <f t="shared" si="2295"/>
        <v>0.6804386890076024</v>
      </c>
      <c r="CZ258" s="50">
        <f t="shared" si="2295"/>
        <v>0.68121693177115916</v>
      </c>
      <c r="DA258" s="50">
        <f t="shared" si="2295"/>
        <v>0.68720599930708115</v>
      </c>
      <c r="DB258" s="50">
        <f t="shared" si="2295"/>
        <v>0.68537193411116459</v>
      </c>
      <c r="DE258" s="138"/>
      <c r="DF258" s="84">
        <v>0.62224218423384414</v>
      </c>
    </row>
    <row r="259" spans="1:110" s="84" customFormat="1" x14ac:dyDescent="0.2">
      <c r="A259" s="84" t="s">
        <v>513</v>
      </c>
      <c r="E259" s="181">
        <f>+E56</f>
        <v>6.8106936151292652E-2</v>
      </c>
      <c r="F259" s="181">
        <f t="shared" ref="F259:AE259" si="2296">+F56</f>
        <v>8.6368837420347705E-2</v>
      </c>
      <c r="G259" s="181">
        <f t="shared" si="2296"/>
        <v>9.4407738550309567E-2</v>
      </c>
      <c r="H259" s="181">
        <f t="shared" si="2296"/>
        <v>7.9593239534769503E-2</v>
      </c>
      <c r="I259" s="181">
        <f t="shared" si="2296"/>
        <v>7.8817419424883961E-2</v>
      </c>
      <c r="J259" s="181">
        <f t="shared" si="2296"/>
        <v>2.0940495410483827E-2</v>
      </c>
      <c r="K259" s="181">
        <f t="shared" si="2296"/>
        <v>6.5222157188136981E-2</v>
      </c>
      <c r="L259" s="181">
        <f t="shared" si="2296"/>
        <v>4.7063919464680068E-2</v>
      </c>
      <c r="M259" s="181">
        <f t="shared" si="2296"/>
        <v>6.1652218646894998E-2</v>
      </c>
      <c r="N259" s="181">
        <f t="shared" si="2296"/>
        <v>6.8138501741591639E-2</v>
      </c>
      <c r="O259" s="181">
        <f t="shared" si="2296"/>
        <v>5.603916020276329E-2</v>
      </c>
      <c r="P259" s="181">
        <f t="shared" si="2296"/>
        <v>5.183657997420351E-2</v>
      </c>
      <c r="Q259" s="181">
        <f t="shared" si="2296"/>
        <v>4.5600568971180831E-2</v>
      </c>
      <c r="R259" s="181">
        <f t="shared" si="2296"/>
        <v>6.760773207661272E-2</v>
      </c>
      <c r="S259" s="181">
        <f t="shared" si="2296"/>
        <v>8.6333056996339183E-2</v>
      </c>
      <c r="T259" s="181">
        <f t="shared" si="2296"/>
        <v>6.9933117286078733E-2</v>
      </c>
      <c r="U259" s="181">
        <f t="shared" si="2296"/>
        <v>8.4045315032446305E-2</v>
      </c>
      <c r="V259" s="181">
        <f t="shared" si="2296"/>
        <v>8.8298340893791946E-2</v>
      </c>
      <c r="W259" s="181">
        <f t="shared" si="2296"/>
        <v>9.1024251189300645E-2</v>
      </c>
      <c r="X259" s="181">
        <f t="shared" si="2296"/>
        <v>8.6124662269029692E-2</v>
      </c>
      <c r="Y259" s="181">
        <f t="shared" si="2296"/>
        <v>0.10706603050799532</v>
      </c>
      <c r="Z259" s="181">
        <f t="shared" si="2296"/>
        <v>7.8635282632263132E-2</v>
      </c>
      <c r="AA259" s="181">
        <f t="shared" ref="AA259" si="2297">+AA56</f>
        <v>8.1691713778367439E-2</v>
      </c>
      <c r="AB259" s="182">
        <f t="shared" si="2296"/>
        <v>9.5784655175173858E-2</v>
      </c>
      <c r="AC259" s="182">
        <f t="shared" si="2296"/>
        <v>0.1007219339369432</v>
      </c>
      <c r="AD259" s="182">
        <f t="shared" si="2296"/>
        <v>0.10601541436770318</v>
      </c>
      <c r="AE259" s="182">
        <f t="shared" si="2296"/>
        <v>0.11082503827048909</v>
      </c>
      <c r="AL259" s="181">
        <f t="shared" ref="AL259:CW259" si="2298">+AL56</f>
        <v>8.2492565558258887E-2</v>
      </c>
      <c r="AM259" s="181">
        <f t="shared" si="2298"/>
        <v>6.300662821347032E-2</v>
      </c>
      <c r="AN259" s="181">
        <f t="shared" si="2298"/>
        <v>3.5433518836502129E-2</v>
      </c>
      <c r="AO259" s="181">
        <f t="shared" si="2298"/>
        <v>6.7221277045666453E-2</v>
      </c>
      <c r="AP259" s="181">
        <f t="shared" si="2298"/>
        <v>5.8101605818014254E-2</v>
      </c>
      <c r="AQ259" s="181">
        <f t="shared" si="2298"/>
        <v>6.0251431442538153E-2</v>
      </c>
      <c r="AR259" s="181">
        <f t="shared" si="2298"/>
        <v>4.6432038354101937E-2</v>
      </c>
      <c r="AS259" s="181">
        <f t="shared" si="2298"/>
        <v>4.1223727230266349E-2</v>
      </c>
      <c r="AT259" s="181">
        <f t="shared" si="2298"/>
        <v>6.0967934881543652E-2</v>
      </c>
      <c r="AU259" s="181">
        <f t="shared" si="2298"/>
        <v>5.3062469351385415E-2</v>
      </c>
      <c r="AV259" s="181">
        <f t="shared" si="2298"/>
        <v>4.6566234388571083E-2</v>
      </c>
      <c r="AW259" s="181">
        <f t="shared" si="2298"/>
        <v>4.1791940503997899E-2</v>
      </c>
      <c r="AX259" s="181">
        <f t="shared" si="2298"/>
        <v>4.0748271655144261E-2</v>
      </c>
      <c r="AY259" s="181">
        <f t="shared" si="2298"/>
        <v>7.3772947806345301E-2</v>
      </c>
      <c r="AZ259" s="181">
        <f t="shared" si="2298"/>
        <v>6.6685577563454279E-2</v>
      </c>
      <c r="BA259" s="181">
        <f t="shared" si="2298"/>
        <v>5.4755804735699236E-2</v>
      </c>
      <c r="BB259" s="181">
        <f t="shared" si="2298"/>
        <v>7.5423461773991243E-2</v>
      </c>
      <c r="BC259" s="181">
        <f t="shared" si="2298"/>
        <v>8.0883819715797847E-2</v>
      </c>
      <c r="BD259" s="181">
        <f t="shared" si="2298"/>
        <v>8.0170671457444498E-2</v>
      </c>
      <c r="BE259" s="181">
        <f t="shared" si="2298"/>
        <v>0.11472558209421006</v>
      </c>
      <c r="BF259" s="181">
        <f t="shared" si="2298"/>
        <v>6.8911395403932874E-2</v>
      </c>
      <c r="BG259" s="181">
        <f t="shared" si="2298"/>
        <v>8.4201066243571807E-2</v>
      </c>
      <c r="BH259" s="181">
        <f t="shared" si="2298"/>
        <v>7.485504324566819E-2</v>
      </c>
      <c r="BI259" s="181">
        <f t="shared" si="2298"/>
        <v>6.3432640726139522E-2</v>
      </c>
      <c r="BJ259" s="181">
        <f t="shared" si="2298"/>
        <v>5.7568179514041425E-2</v>
      </c>
      <c r="BK259" s="181">
        <f t="shared" si="2298"/>
        <v>8.5931883161397146E-2</v>
      </c>
      <c r="BL259" s="181">
        <f t="shared" si="2298"/>
        <v>8.5276536277145612E-2</v>
      </c>
      <c r="BM259" s="181">
        <f t="shared" si="2298"/>
        <v>7.6242699441627662E-2</v>
      </c>
      <c r="BN259" s="181">
        <f t="shared" si="2298"/>
        <v>8.9055022182675525E-2</v>
      </c>
      <c r="BO259" s="181">
        <f t="shared" si="2298"/>
        <v>0.12004082670390691</v>
      </c>
      <c r="BP259" s="181">
        <f t="shared" si="2298"/>
        <v>9.2843737191425801E-2</v>
      </c>
      <c r="BQ259" s="181">
        <f t="shared" si="2298"/>
        <v>7.921656524062079E-2</v>
      </c>
      <c r="BR259" s="181">
        <f t="shared" si="2298"/>
        <v>6.4950843205299522E-2</v>
      </c>
      <c r="BS259" s="181">
        <f t="shared" si="2298"/>
        <v>8.1294084016406948E-2</v>
      </c>
      <c r="BT259" s="181">
        <f t="shared" si="2298"/>
        <v>9.1555889644985997E-2</v>
      </c>
      <c r="BU259" s="181">
        <f t="shared" si="2298"/>
        <v>9.3773181480996698E-2</v>
      </c>
      <c r="BV259" s="181">
        <f t="shared" si="2298"/>
        <v>9.6957558236574065E-2</v>
      </c>
      <c r="BW259" s="181">
        <f t="shared" si="2298"/>
        <v>9.0320214738955601E-2</v>
      </c>
      <c r="BX259" s="181">
        <f t="shared" si="2298"/>
        <v>7.248182453427704E-2</v>
      </c>
      <c r="BY259" s="181">
        <f t="shared" si="2298"/>
        <v>8.3717315911413043E-2</v>
      </c>
      <c r="BZ259" s="181">
        <f t="shared" si="2298"/>
        <v>9.7257877763745795E-2</v>
      </c>
      <c r="CA259" s="181">
        <f t="shared" si="2298"/>
        <v>9.7222556338724675E-2</v>
      </c>
      <c r="CB259" s="181">
        <f t="shared" si="2298"/>
        <v>0.10009427443502304</v>
      </c>
      <c r="CC259" s="181">
        <f t="shared" si="2298"/>
        <v>0.10701066268480941</v>
      </c>
      <c r="CD259" s="181">
        <f t="shared" si="2298"/>
        <v>0.1231264037647634</v>
      </c>
      <c r="CE259" s="181">
        <f t="shared" si="2298"/>
        <v>7.6113205899721245E-2</v>
      </c>
      <c r="CF259" s="181">
        <f t="shared" si="2298"/>
        <v>9.1710662126730583E-2</v>
      </c>
      <c r="CG259" s="181">
        <f t="shared" si="2298"/>
        <v>6.8843449846519508E-2</v>
      </c>
      <c r="CH259" s="181">
        <f t="shared" si="2298"/>
        <v>7.8501026426689741E-2</v>
      </c>
      <c r="CI259" s="181">
        <f t="shared" si="2298"/>
        <v>7.2493518396454432E-2</v>
      </c>
      <c r="CJ259" s="181">
        <f t="shared" si="2298"/>
        <v>7.9955295112668259E-2</v>
      </c>
      <c r="CK259" s="181">
        <f t="shared" si="2298"/>
        <v>8.3264866979655683E-2</v>
      </c>
      <c r="CL259" s="181">
        <f t="shared" ref="CL259" si="2299">+CL56</f>
        <v>8.9888508949834467E-2</v>
      </c>
      <c r="CM259" s="182">
        <f t="shared" si="2298"/>
        <v>8.9412486083412929E-2</v>
      </c>
      <c r="CN259" s="182">
        <f t="shared" si="2298"/>
        <v>9.4395444134442313E-2</v>
      </c>
      <c r="CO259" s="182">
        <f t="shared" si="2298"/>
        <v>9.766207415199861E-2</v>
      </c>
      <c r="CP259" s="182">
        <f t="shared" si="2298"/>
        <v>0.10090010171047906</v>
      </c>
      <c r="CQ259" s="182">
        <f t="shared" si="2298"/>
        <v>9.7767392357507227E-2</v>
      </c>
      <c r="CR259" s="182">
        <f t="shared" si="2298"/>
        <v>0.10017459826264921</v>
      </c>
      <c r="CS259" s="182">
        <f t="shared" si="2298"/>
        <v>0.10159883093075728</v>
      </c>
      <c r="CT259" s="182">
        <f t="shared" si="2298"/>
        <v>0.10300574158138551</v>
      </c>
      <c r="CU259" s="182">
        <f t="shared" si="2298"/>
        <v>0.10385651617336236</v>
      </c>
      <c r="CV259" s="182">
        <f t="shared" si="2298"/>
        <v>0.10543744777909293</v>
      </c>
      <c r="CW259" s="182">
        <f t="shared" si="2298"/>
        <v>0.10660161219992531</v>
      </c>
      <c r="CX259" s="182">
        <f t="shared" ref="CX259:DB259" si="2300">+CX56</f>
        <v>0.10789676576303779</v>
      </c>
      <c r="CY259" s="182">
        <f t="shared" si="2300"/>
        <v>0.10898197135433031</v>
      </c>
      <c r="CZ259" s="182">
        <f t="shared" si="2300"/>
        <v>0.11024198811088907</v>
      </c>
      <c r="DA259" s="182">
        <f t="shared" si="2300"/>
        <v>0.11137548563800764</v>
      </c>
      <c r="DB259" s="182">
        <f t="shared" si="2300"/>
        <v>0.11246206481401293</v>
      </c>
      <c r="DE259" s="138"/>
      <c r="DF259" s="84">
        <v>9.4223697136935305E-2</v>
      </c>
    </row>
    <row r="260" spans="1:110" s="84" customFormat="1" x14ac:dyDescent="0.2">
      <c r="A260" s="84" t="s">
        <v>514</v>
      </c>
      <c r="E260" s="84">
        <f>(E175+E162+E152+E154)/E134</f>
        <v>2.9394106720877256</v>
      </c>
      <c r="F260" s="84">
        <f t="shared" ref="F260:AE260" si="2301">(F175+F162+F152+F154)/F134</f>
        <v>2.6251517347072881</v>
      </c>
      <c r="G260" s="84">
        <f t="shared" si="2301"/>
        <v>2.7187655015599925</v>
      </c>
      <c r="H260" s="84">
        <f t="shared" si="2301"/>
        <v>3.9629205941773367</v>
      </c>
      <c r="I260" s="84">
        <f t="shared" si="2301"/>
        <v>2.4690410416611872</v>
      </c>
      <c r="J260" s="84">
        <f t="shared" si="2301"/>
        <v>2.3989750138547898</v>
      </c>
      <c r="K260" s="84">
        <f t="shared" si="2301"/>
        <v>2.2054982705636563</v>
      </c>
      <c r="L260" s="84">
        <f t="shared" si="2301"/>
        <v>1.9621483936313342</v>
      </c>
      <c r="M260" s="84">
        <f t="shared" si="2301"/>
        <v>1.8132462763184136</v>
      </c>
      <c r="N260" s="84">
        <f t="shared" si="2301"/>
        <v>1.8282048460008928</v>
      </c>
      <c r="O260" s="84">
        <f t="shared" si="2301"/>
        <v>1.694601768427209</v>
      </c>
      <c r="P260" s="84">
        <f t="shared" si="2301"/>
        <v>1.9613966672674543</v>
      </c>
      <c r="Q260" s="84">
        <f t="shared" si="2301"/>
        <v>1.5838787803117254</v>
      </c>
      <c r="R260" s="84">
        <f t="shared" si="2301"/>
        <v>1.5244449764583832</v>
      </c>
      <c r="S260" s="84">
        <f t="shared" si="2301"/>
        <v>1.487632971158769</v>
      </c>
      <c r="T260" s="84">
        <f t="shared" si="2301"/>
        <v>1.4840616556346491</v>
      </c>
      <c r="U260" s="84">
        <f t="shared" si="2301"/>
        <v>1.3371861893642063</v>
      </c>
      <c r="V260" s="84">
        <f t="shared" si="2301"/>
        <v>1.3910217819520576</v>
      </c>
      <c r="W260" s="84">
        <f t="shared" si="2301"/>
        <v>1.391820995196124</v>
      </c>
      <c r="X260" s="84">
        <f t="shared" si="2301"/>
        <v>1.3984699610670708</v>
      </c>
      <c r="Y260" s="84">
        <f t="shared" si="2301"/>
        <v>1.7362617310184663</v>
      </c>
      <c r="Z260" s="84">
        <f t="shared" si="2301"/>
        <v>1.5914450619666538</v>
      </c>
      <c r="AA260" s="84">
        <f t="shared" ref="AA260" si="2302">(AA175+AA162+AA152+AA154)/AA134</f>
        <v>1.5733192335248647</v>
      </c>
      <c r="AB260" s="50">
        <f t="shared" si="2301"/>
        <v>1.5629988083124446</v>
      </c>
      <c r="AC260" s="50">
        <f t="shared" si="2301"/>
        <v>1.5488120771631455</v>
      </c>
      <c r="AD260" s="50">
        <f t="shared" si="2301"/>
        <v>1.5336354062919739</v>
      </c>
      <c r="AE260" s="50">
        <f t="shared" si="2301"/>
        <v>1.5177039499481653</v>
      </c>
      <c r="AL260" s="84">
        <f t="shared" ref="AL260:CW260" si="2303">(AL175+AL162+AL152+AL154)/AL134</f>
        <v>1.8282038701737173</v>
      </c>
      <c r="AM260" s="84">
        <f t="shared" si="2303"/>
        <v>1.8062902747984331</v>
      </c>
      <c r="AN260" s="84">
        <f t="shared" si="2303"/>
        <v>1.7622495358274035</v>
      </c>
      <c r="AO260" s="84">
        <f t="shared" si="2303"/>
        <v>1.7595453786856292</v>
      </c>
      <c r="AP260" s="84">
        <f t="shared" si="2303"/>
        <v>1.6946015028595363</v>
      </c>
      <c r="AQ260" s="84">
        <f t="shared" si="2303"/>
        <v>1.683292837617592</v>
      </c>
      <c r="AR260" s="84">
        <f t="shared" si="2303"/>
        <v>1.7087763261534983</v>
      </c>
      <c r="AS260" s="84">
        <f t="shared" si="2303"/>
        <v>1.7078789348237935</v>
      </c>
      <c r="AT260" s="84">
        <f t="shared" si="2303"/>
        <v>1.7218171457492459</v>
      </c>
      <c r="AU260" s="84">
        <f t="shared" si="2303"/>
        <v>1.6946596566610175</v>
      </c>
      <c r="AV260" s="84">
        <f t="shared" si="2303"/>
        <v>1.6989761010624596</v>
      </c>
      <c r="AW260" s="84">
        <f t="shared" si="2303"/>
        <v>1.6948559577488174</v>
      </c>
      <c r="AX260" s="84">
        <f t="shared" si="2303"/>
        <v>1.5838787803117251</v>
      </c>
      <c r="AY260" s="84">
        <f t="shared" si="2303"/>
        <v>1.5834979251186385</v>
      </c>
      <c r="AZ260" s="84">
        <f t="shared" si="2303"/>
        <v>1.6413869608145326</v>
      </c>
      <c r="BA260" s="84">
        <f t="shared" si="2303"/>
        <v>1.6372280736203977</v>
      </c>
      <c r="BB260" s="84">
        <f t="shared" si="2303"/>
        <v>1.5244449764583832</v>
      </c>
      <c r="BC260" s="84">
        <f t="shared" si="2303"/>
        <v>1.5157727944419992</v>
      </c>
      <c r="BD260" s="84">
        <f t="shared" si="2303"/>
        <v>1.5074567622060411</v>
      </c>
      <c r="BE260" s="84">
        <f t="shared" si="2303"/>
        <v>1.4972952815640481</v>
      </c>
      <c r="BF260" s="84">
        <f t="shared" si="2303"/>
        <v>1.4876329711587692</v>
      </c>
      <c r="BG260" s="84">
        <f t="shared" si="2303"/>
        <v>1.486380499031869</v>
      </c>
      <c r="BH260" s="84">
        <f t="shared" si="2303"/>
        <v>1.5231027567972766</v>
      </c>
      <c r="BI260" s="84">
        <f t="shared" si="2303"/>
        <v>1.5256652385452392</v>
      </c>
      <c r="BJ260" s="84">
        <f t="shared" si="2303"/>
        <v>1.4840616556346489</v>
      </c>
      <c r="BK260" s="84">
        <f t="shared" si="2303"/>
        <v>1.5036374538598225</v>
      </c>
      <c r="BL260" s="84">
        <f t="shared" si="2303"/>
        <v>1.5515287082846214</v>
      </c>
      <c r="BM260" s="84">
        <f t="shared" si="2303"/>
        <v>1.5453578217165329</v>
      </c>
      <c r="BN260" s="84">
        <f t="shared" si="2303"/>
        <v>1.3371861893642061</v>
      </c>
      <c r="BO260" s="84">
        <f t="shared" si="2303"/>
        <v>1.337949051122425</v>
      </c>
      <c r="BP260" s="84">
        <f t="shared" si="2303"/>
        <v>1.3729642397808965</v>
      </c>
      <c r="BQ260" s="84">
        <f t="shared" si="2303"/>
        <v>1.3776357294666941</v>
      </c>
      <c r="BR260" s="84">
        <f t="shared" si="2303"/>
        <v>1.3910217819520576</v>
      </c>
      <c r="BS260" s="84">
        <f t="shared" si="2303"/>
        <v>1.385057679513171</v>
      </c>
      <c r="BT260" s="84">
        <f t="shared" si="2303"/>
        <v>1.3537002963800517</v>
      </c>
      <c r="BU260" s="84">
        <f t="shared" si="2303"/>
        <v>1.3532451459666728</v>
      </c>
      <c r="BV260" s="84">
        <f t="shared" si="2303"/>
        <v>1.391820995196124</v>
      </c>
      <c r="BW260" s="84">
        <f t="shared" si="2303"/>
        <v>1.3912535657745673</v>
      </c>
      <c r="BX260" s="84">
        <f t="shared" si="2303"/>
        <v>1.3948836256544062</v>
      </c>
      <c r="BY260" s="84">
        <f t="shared" si="2303"/>
        <v>1.3898808929688304</v>
      </c>
      <c r="BZ260" s="84">
        <f t="shared" si="2303"/>
        <v>1.3984699610670708</v>
      </c>
      <c r="CA260" s="84">
        <f t="shared" si="2303"/>
        <v>1.3956570906112922</v>
      </c>
      <c r="CB260" s="84">
        <f t="shared" si="2303"/>
        <v>1.3711220101632322</v>
      </c>
      <c r="CC260" s="84">
        <f t="shared" si="2303"/>
        <v>1.3670100430380752</v>
      </c>
      <c r="CD260" s="84">
        <f t="shared" si="2303"/>
        <v>1.7362617310184663</v>
      </c>
      <c r="CE260" s="84">
        <f t="shared" si="2303"/>
        <v>1.7411142212592712</v>
      </c>
      <c r="CF260" s="84">
        <f t="shared" si="2303"/>
        <v>1.6109624641239235</v>
      </c>
      <c r="CG260" s="84">
        <f t="shared" si="2303"/>
        <v>1.6093054910845748</v>
      </c>
      <c r="CH260" s="84">
        <f t="shared" si="2303"/>
        <v>1.5914450619666538</v>
      </c>
      <c r="CI260" s="84">
        <f t="shared" si="2303"/>
        <v>1.5936595839267655</v>
      </c>
      <c r="CJ260" s="84">
        <f t="shared" si="2303"/>
        <v>1.5683685097899258</v>
      </c>
      <c r="CK260" s="84">
        <f t="shared" si="2303"/>
        <v>1.5664983722676014</v>
      </c>
      <c r="CL260" s="84">
        <f t="shared" ref="CL260" si="2304">(CL175+CL162+CL152+CL154)/CL134</f>
        <v>1.5733192335248649</v>
      </c>
      <c r="CM260" s="50">
        <f t="shared" si="2303"/>
        <v>1.5620599644149025</v>
      </c>
      <c r="CN260" s="50">
        <f t="shared" si="2303"/>
        <v>1.564454372650028</v>
      </c>
      <c r="CO260" s="50">
        <f t="shared" si="2303"/>
        <v>1.5579832572834789</v>
      </c>
      <c r="CP260" s="50">
        <f t="shared" si="2303"/>
        <v>1.5629988083124446</v>
      </c>
      <c r="CQ260" s="50">
        <f t="shared" si="2303"/>
        <v>1.5493575591176003</v>
      </c>
      <c r="CR260" s="50">
        <f t="shared" si="2303"/>
        <v>1.5514521466380349</v>
      </c>
      <c r="CS260" s="50">
        <f t="shared" si="2303"/>
        <v>1.5432356124054194</v>
      </c>
      <c r="CT260" s="50">
        <f t="shared" si="2303"/>
        <v>1.5488120771631455</v>
      </c>
      <c r="CU260" s="50">
        <f t="shared" si="2303"/>
        <v>1.5345482727299224</v>
      </c>
      <c r="CV260" s="50">
        <f t="shared" si="2303"/>
        <v>1.536573094692425</v>
      </c>
      <c r="CW260" s="50">
        <f t="shared" si="2303"/>
        <v>1.5272009894441172</v>
      </c>
      <c r="CX260" s="50">
        <f t="shared" ref="CX260:DB260" si="2305">(CX175+CX162+CX152+CX154)/CX134</f>
        <v>1.5336354062919739</v>
      </c>
      <c r="CY260" s="50">
        <f t="shared" si="2305"/>
        <v>1.5182069173449184</v>
      </c>
      <c r="CZ260" s="50">
        <f t="shared" si="2305"/>
        <v>1.52046435414417</v>
      </c>
      <c r="DA260" s="50">
        <f t="shared" si="2305"/>
        <v>1.5101922034505562</v>
      </c>
      <c r="DB260" s="50">
        <f t="shared" si="2305"/>
        <v>1.5177039499481653</v>
      </c>
      <c r="DE260" s="138"/>
      <c r="DF260" s="84">
        <v>1.5665937985871616</v>
      </c>
    </row>
    <row r="261" spans="1:110" s="84" customFormat="1" x14ac:dyDescent="0.2">
      <c r="A261" s="154" t="s">
        <v>498</v>
      </c>
      <c r="AB261" s="50"/>
      <c r="AC261" s="50"/>
      <c r="AD261" s="50"/>
      <c r="AE261" s="50"/>
      <c r="CM261" s="50"/>
      <c r="CN261" s="50"/>
      <c r="CO261" s="50"/>
      <c r="CP261" s="50"/>
      <c r="CQ261" s="50"/>
      <c r="CR261" s="50"/>
      <c r="CS261" s="50"/>
      <c r="CT261" s="50"/>
      <c r="CU261" s="50"/>
      <c r="CV261" s="50"/>
      <c r="CW261" s="50"/>
      <c r="CX261" s="50"/>
      <c r="CY261" s="50"/>
      <c r="CZ261" s="50"/>
      <c r="DA261" s="50"/>
      <c r="DB261" s="50"/>
      <c r="DE261" s="138"/>
    </row>
    <row r="262" spans="1:110" s="88" customFormat="1" x14ac:dyDescent="0.2">
      <c r="A262" s="88" t="s">
        <v>102</v>
      </c>
      <c r="B262" s="88">
        <f t="shared" ref="B262:AE262" si="2306">B175/B134</f>
        <v>4.2052724492702483E-2</v>
      </c>
      <c r="C262" s="88">
        <f t="shared" si="2306"/>
        <v>9.4254182205597975E-2</v>
      </c>
      <c r="D262" s="88">
        <f t="shared" si="2306"/>
        <v>7.7241511034936219E-2</v>
      </c>
      <c r="F262" s="88">
        <f t="shared" si="2306"/>
        <v>0.11288858109579784</v>
      </c>
      <c r="G262" s="88">
        <f t="shared" si="2306"/>
        <v>0.17441631300144608</v>
      </c>
      <c r="H262" s="88">
        <f t="shared" si="2306"/>
        <v>0.13962768157145944</v>
      </c>
      <c r="I262" s="88">
        <f t="shared" si="2306"/>
        <v>0.68836532489350288</v>
      </c>
      <c r="J262" s="88">
        <f t="shared" si="2306"/>
        <v>0.30093377613178651</v>
      </c>
      <c r="K262" s="88">
        <f t="shared" si="2306"/>
        <v>0.54970571031727711</v>
      </c>
      <c r="L262" s="88">
        <f t="shared" si="2306"/>
        <v>0.27895471559647866</v>
      </c>
      <c r="M262" s="88">
        <f t="shared" si="2306"/>
        <v>0.18160869089557921</v>
      </c>
      <c r="N262" s="88">
        <f t="shared" si="2306"/>
        <v>0.14544547215756917</v>
      </c>
      <c r="O262" s="88">
        <f t="shared" si="2306"/>
        <v>0.12452681912395416</v>
      </c>
      <c r="P262" s="88">
        <f t="shared" si="2306"/>
        <v>9.9858177720247812E-2</v>
      </c>
      <c r="Q262" s="88">
        <f t="shared" si="2306"/>
        <v>0.10794647816531326</v>
      </c>
      <c r="R262" s="88">
        <f t="shared" si="2306"/>
        <v>0.11829383129838003</v>
      </c>
      <c r="S262" s="88">
        <f t="shared" si="2306"/>
        <v>0.25693583252744756</v>
      </c>
      <c r="T262" s="88">
        <f t="shared" si="2306"/>
        <v>0.22051805245448186</v>
      </c>
      <c r="U262" s="88">
        <f t="shared" si="2306"/>
        <v>0.17770791741646316</v>
      </c>
      <c r="V262" s="88">
        <f t="shared" si="2306"/>
        <v>0.23379116323838917</v>
      </c>
      <c r="W262" s="88">
        <f t="shared" si="2306"/>
        <v>0.18477949324855336</v>
      </c>
      <c r="X262" s="88">
        <f t="shared" si="2306"/>
        <v>0.21820625912730524</v>
      </c>
      <c r="Y262" s="88">
        <f t="shared" si="2306"/>
        <v>0.1677253049955813</v>
      </c>
      <c r="Z262" s="88">
        <f t="shared" si="2306"/>
        <v>0.15549560323742517</v>
      </c>
      <c r="AA262" s="88">
        <f t="shared" ref="AA262" si="2307">AA175/AA134</f>
        <v>0.19684149603006854</v>
      </c>
      <c r="AB262" s="42">
        <f t="shared" si="2306"/>
        <v>0.26425961600880038</v>
      </c>
      <c r="AC262" s="42">
        <f t="shared" si="2306"/>
        <v>0.33142165578362859</v>
      </c>
      <c r="AD262" s="42">
        <f t="shared" si="2306"/>
        <v>0.3970119977714443</v>
      </c>
      <c r="AE262" s="42">
        <f t="shared" si="2306"/>
        <v>0.45965760152241342</v>
      </c>
      <c r="AL262" s="88">
        <f t="shared" ref="AL262:CW262" si="2308">AL175/AL134</f>
        <v>0.14544543587270173</v>
      </c>
      <c r="AM262" s="88">
        <f t="shared" si="2308"/>
        <v>0.1699963279061569</v>
      </c>
      <c r="AN262" s="88">
        <f t="shared" si="2308"/>
        <v>0.15366171269186502</v>
      </c>
      <c r="AO262" s="88">
        <f t="shared" si="2308"/>
        <v>0.14989984489115396</v>
      </c>
      <c r="AP262" s="88">
        <f t="shared" si="2308"/>
        <v>0.12452704377783666</v>
      </c>
      <c r="AQ262" s="88">
        <f t="shared" si="2308"/>
        <v>0.13875248899411138</v>
      </c>
      <c r="AR262" s="88">
        <f t="shared" si="2308"/>
        <v>0.10872780327629125</v>
      </c>
      <c r="AS262" s="88">
        <f t="shared" si="2308"/>
        <v>0.10452350151285457</v>
      </c>
      <c r="AT262" s="88">
        <f t="shared" si="2308"/>
        <v>9.9858177720247812E-2</v>
      </c>
      <c r="AU262" s="88">
        <f t="shared" si="2308"/>
        <v>0.14624979635839105</v>
      </c>
      <c r="AV262" s="88">
        <f t="shared" si="2308"/>
        <v>7.4658799883294977E-2</v>
      </c>
      <c r="AW262" s="88">
        <f t="shared" si="2308"/>
        <v>7.850613913704349E-2</v>
      </c>
      <c r="AX262" s="88">
        <f t="shared" si="2308"/>
        <v>0.10794647816531326</v>
      </c>
      <c r="AY262" s="88">
        <f t="shared" si="2308"/>
        <v>0.10164833104413158</v>
      </c>
      <c r="AZ262" s="88">
        <f t="shared" si="2308"/>
        <v>0.18317924305934438</v>
      </c>
      <c r="BA262" s="88">
        <f t="shared" si="2308"/>
        <v>0.18281873076015323</v>
      </c>
      <c r="BB262" s="88">
        <f t="shared" si="2308"/>
        <v>0.11829383129838003</v>
      </c>
      <c r="BC262" s="88">
        <f t="shared" si="2308"/>
        <v>0.13273304837799257</v>
      </c>
      <c r="BD262" s="88">
        <f t="shared" si="2308"/>
        <v>0.20986586999568491</v>
      </c>
      <c r="BE262" s="88">
        <f t="shared" si="2308"/>
        <v>0.224567802635395</v>
      </c>
      <c r="BF262" s="88">
        <f t="shared" si="2308"/>
        <v>0.25693583252744756</v>
      </c>
      <c r="BG262" s="88">
        <f t="shared" si="2308"/>
        <v>0.25585956714208119</v>
      </c>
      <c r="BH262" s="88">
        <f t="shared" si="2308"/>
        <v>0.19450751374068731</v>
      </c>
      <c r="BI262" s="88">
        <f t="shared" si="2308"/>
        <v>0.18587211020946384</v>
      </c>
      <c r="BJ262" s="88">
        <f t="shared" si="2308"/>
        <v>0.22051805245448186</v>
      </c>
      <c r="BK262" s="88">
        <f t="shared" si="2308"/>
        <v>0.16330996552323832</v>
      </c>
      <c r="BL262" s="88">
        <f t="shared" si="2308"/>
        <v>0.21507599050495152</v>
      </c>
      <c r="BM262" s="88">
        <f t="shared" si="2308"/>
        <v>0.21858866263584392</v>
      </c>
      <c r="BN262" s="88">
        <f t="shared" si="2308"/>
        <v>0.17770791741646316</v>
      </c>
      <c r="BO262" s="88">
        <f t="shared" si="2308"/>
        <v>0.18140205868417611</v>
      </c>
      <c r="BP262" s="88">
        <f t="shared" si="2308"/>
        <v>0.17822003181678073</v>
      </c>
      <c r="BQ262" s="88">
        <f t="shared" si="2308"/>
        <v>0.17703335323982353</v>
      </c>
      <c r="BR262" s="88">
        <f t="shared" si="2308"/>
        <v>0.23379116323838917</v>
      </c>
      <c r="BS262" s="88">
        <f t="shared" si="2308"/>
        <v>0.24431983597439841</v>
      </c>
      <c r="BT262" s="88">
        <f t="shared" si="2308"/>
        <v>0.187729523222148</v>
      </c>
      <c r="BU262" s="88">
        <f t="shared" si="2308"/>
        <v>0.19666422435705955</v>
      </c>
      <c r="BV262" s="88">
        <f t="shared" si="2308"/>
        <v>0.18477949324855336</v>
      </c>
      <c r="BW262" s="88">
        <f t="shared" si="2308"/>
        <v>0.19463249871680646</v>
      </c>
      <c r="BX262" s="88">
        <f t="shared" si="2308"/>
        <v>0.14148742901853326</v>
      </c>
      <c r="BY262" s="88">
        <f t="shared" si="2308"/>
        <v>0.15792517000519085</v>
      </c>
      <c r="BZ262" s="88">
        <f t="shared" si="2308"/>
        <v>0.21820625912730524</v>
      </c>
      <c r="CA262" s="88">
        <f t="shared" si="2308"/>
        <v>0.23077298382225991</v>
      </c>
      <c r="CB262" s="88">
        <f t="shared" si="2308"/>
        <v>0.18848282594552168</v>
      </c>
      <c r="CC262" s="88">
        <f t="shared" si="2308"/>
        <v>0.20047005762054496</v>
      </c>
      <c r="CD262" s="88">
        <f t="shared" si="2308"/>
        <v>0.16772530499558128</v>
      </c>
      <c r="CE262" s="88">
        <f t="shared" si="2308"/>
        <v>0.1761555529422211</v>
      </c>
      <c r="CF262" s="88">
        <f t="shared" si="2308"/>
        <v>0.12537431076901687</v>
      </c>
      <c r="CG262" s="88">
        <f t="shared" si="2308"/>
        <v>0.13299556682789224</v>
      </c>
      <c r="CH262" s="88">
        <f t="shared" si="2308"/>
        <v>0.15549560323742517</v>
      </c>
      <c r="CI262" s="88">
        <f t="shared" si="2308"/>
        <v>0.17706460931035287</v>
      </c>
      <c r="CJ262" s="88">
        <f t="shared" si="2308"/>
        <v>0.11281489594742607</v>
      </c>
      <c r="CK262" s="88">
        <f t="shared" si="2308"/>
        <v>0.13512266177469237</v>
      </c>
      <c r="CL262" s="88">
        <f t="shared" ref="CL262" si="2309">CL175/CL134</f>
        <v>0.19684149603006856</v>
      </c>
      <c r="CM262" s="42">
        <f t="shared" si="2308"/>
        <v>0.21339658594041294</v>
      </c>
      <c r="CN262" s="42">
        <f t="shared" si="2308"/>
        <v>0.22976642602931222</v>
      </c>
      <c r="CO262" s="42">
        <f t="shared" si="2308"/>
        <v>0.24712105917406357</v>
      </c>
      <c r="CP262" s="42">
        <f t="shared" si="2308"/>
        <v>0.26425961600880038</v>
      </c>
      <c r="CQ262" s="42">
        <f t="shared" si="2308"/>
        <v>0.28165727103519533</v>
      </c>
      <c r="CR262" s="42">
        <f t="shared" si="2308"/>
        <v>0.29809996092496255</v>
      </c>
      <c r="CS262" s="42">
        <f t="shared" si="2308"/>
        <v>0.31516838108558709</v>
      </c>
      <c r="CT262" s="42">
        <f t="shared" si="2308"/>
        <v>0.33142165578362859</v>
      </c>
      <c r="CU262" s="42">
        <f t="shared" si="2308"/>
        <v>0.3487154907023699</v>
      </c>
      <c r="CV262" s="42">
        <f t="shared" si="2308"/>
        <v>0.364779324337345</v>
      </c>
      <c r="CW262" s="42">
        <f t="shared" si="2308"/>
        <v>0.38142195151644664</v>
      </c>
      <c r="CX262" s="42">
        <f t="shared" ref="CX262:DB262" si="2310">CX175/CX134</f>
        <v>0.3970119977714443</v>
      </c>
      <c r="CY262" s="42">
        <f t="shared" si="2310"/>
        <v>0.41378891141758978</v>
      </c>
      <c r="CZ262" s="42">
        <f t="shared" si="2310"/>
        <v>0.42910296236543921</v>
      </c>
      <c r="DA262" s="42">
        <f t="shared" si="2310"/>
        <v>0.44502425501376741</v>
      </c>
      <c r="DB262" s="42">
        <f t="shared" si="2310"/>
        <v>0.45965760152241342</v>
      </c>
      <c r="DE262" s="125"/>
      <c r="DF262" s="88">
        <v>0.15949060244821583</v>
      </c>
    </row>
    <row r="263" spans="1:110" s="89" customFormat="1" x14ac:dyDescent="0.2">
      <c r="A263" s="89" t="s">
        <v>103</v>
      </c>
      <c r="C263" s="89">
        <f t="shared" ref="C263:AE263" si="2311">C142/B142-1</f>
        <v>6.2406782043515658</v>
      </c>
      <c r="D263" s="89">
        <f t="shared" si="2311"/>
        <v>2.3535719815940714E-2</v>
      </c>
      <c r="F263" s="89">
        <f t="shared" si="2311"/>
        <v>-9.1732367693539874E-2</v>
      </c>
      <c r="G263" s="89">
        <f t="shared" si="2311"/>
        <v>4.0499552701821262E-2</v>
      </c>
      <c r="H263" s="89">
        <f t="shared" si="2311"/>
        <v>1.6952324038279243</v>
      </c>
      <c r="I263" s="89">
        <f t="shared" si="2311"/>
        <v>-0.4300037446257019</v>
      </c>
      <c r="J263" s="89">
        <f t="shared" si="2311"/>
        <v>-6.8307616154239414E-2</v>
      </c>
      <c r="K263" s="89">
        <f>K142/J142-1</f>
        <v>-0.26090810432554634</v>
      </c>
      <c r="L263" s="89">
        <f t="shared" si="2311"/>
        <v>-0.4203576855725849</v>
      </c>
      <c r="M263" s="89">
        <f t="shared" si="2311"/>
        <v>-0.1205737919380121</v>
      </c>
      <c r="N263" s="89">
        <f t="shared" si="2311"/>
        <v>0.5162709279608455</v>
      </c>
      <c r="O263" s="89">
        <f t="shared" si="2311"/>
        <v>3.5514857862298133E-2</v>
      </c>
      <c r="P263" s="89">
        <f t="shared" si="2311"/>
        <v>-7.9319103758316523E-2</v>
      </c>
      <c r="Q263" s="89">
        <f t="shared" si="2311"/>
        <v>2.2673202268830739E-2</v>
      </c>
      <c r="R263" s="89">
        <f t="shared" si="2311"/>
        <v>-0.4191056460248882</v>
      </c>
      <c r="S263" s="89">
        <f t="shared" si="2311"/>
        <v>0.3572772579332788</v>
      </c>
      <c r="T263" s="89">
        <f t="shared" si="2311"/>
        <v>6.8866033458851117E-2</v>
      </c>
      <c r="U263" s="89">
        <f t="shared" si="2311"/>
        <v>0.10103408991324137</v>
      </c>
      <c r="V263" s="89">
        <f t="shared" si="2311"/>
        <v>-3.959757718542789E-2</v>
      </c>
      <c r="W263" s="89">
        <f t="shared" si="2311"/>
        <v>-0.16247596631969774</v>
      </c>
      <c r="X263" s="89">
        <f t="shared" si="2311"/>
        <v>0.17042519716205407</v>
      </c>
      <c r="Y263" s="89">
        <f t="shared" si="2311"/>
        <v>1.4972946010381962</v>
      </c>
      <c r="Z263" s="89">
        <f t="shared" si="2311"/>
        <v>-0.3741557628180171</v>
      </c>
      <c r="AA263" s="89">
        <f t="shared" si="2311"/>
        <v>0.14695047737538203</v>
      </c>
      <c r="AB263" s="47">
        <f t="shared" si="2311"/>
        <v>0</v>
      </c>
      <c r="AC263" s="47">
        <f t="shared" si="2311"/>
        <v>0</v>
      </c>
      <c r="AD263" s="47">
        <f t="shared" si="2311"/>
        <v>0</v>
      </c>
      <c r="AE263" s="47">
        <f t="shared" si="2311"/>
        <v>0</v>
      </c>
      <c r="AL263" s="89">
        <f t="shared" ref="AL263:CW263" si="2312">AL142/AK142-1</f>
        <v>9.9923517784599181E-3</v>
      </c>
      <c r="AM263" s="89">
        <f t="shared" si="2312"/>
        <v>0</v>
      </c>
      <c r="AN263" s="89">
        <f t="shared" si="2312"/>
        <v>0.37972915826637688</v>
      </c>
      <c r="AO263" s="89">
        <f t="shared" si="2312"/>
        <v>0</v>
      </c>
      <c r="AP263" s="89">
        <f t="shared" si="2312"/>
        <v>-1.1475818810364746E-3</v>
      </c>
      <c r="AQ263" s="89">
        <f t="shared" si="2312"/>
        <v>0</v>
      </c>
      <c r="AR263" s="89">
        <f t="shared" si="2312"/>
        <v>0.11576062911213558</v>
      </c>
      <c r="AS263" s="89">
        <f t="shared" si="2312"/>
        <v>0</v>
      </c>
      <c r="AT263" s="89">
        <f t="shared" si="2312"/>
        <v>-0.19032848115838208</v>
      </c>
      <c r="AU263" s="89">
        <f t="shared" si="2312"/>
        <v>0</v>
      </c>
      <c r="AV263" s="89">
        <f t="shared" si="2312"/>
        <v>9.8019700308854096E-2</v>
      </c>
      <c r="AW263" s="89">
        <f t="shared" si="2312"/>
        <v>0</v>
      </c>
      <c r="AX263" s="89">
        <f t="shared" si="2312"/>
        <v>-0.34342402486223611</v>
      </c>
      <c r="AY263" s="89">
        <f t="shared" si="2312"/>
        <v>0</v>
      </c>
      <c r="AZ263" s="89">
        <f t="shared" si="2312"/>
        <v>0.10075820660034185</v>
      </c>
      <c r="BA263" s="89">
        <f t="shared" si="2312"/>
        <v>0</v>
      </c>
      <c r="BB263" s="89">
        <f t="shared" si="2312"/>
        <v>-0.23322782290173594</v>
      </c>
      <c r="BC263" s="89">
        <f t="shared" si="2312"/>
        <v>0</v>
      </c>
      <c r="BD263" s="89">
        <f t="shared" si="2312"/>
        <v>0.12673789155297088</v>
      </c>
      <c r="BE263" s="89">
        <f t="shared" si="2312"/>
        <v>0</v>
      </c>
      <c r="BF263" s="89">
        <f t="shared" si="2312"/>
        <v>0.2168533112124984</v>
      </c>
      <c r="BG263" s="89">
        <f t="shared" si="2312"/>
        <v>0</v>
      </c>
      <c r="BH263" s="89">
        <f t="shared" si="2312"/>
        <v>0.1562801795148554</v>
      </c>
      <c r="BI263" s="89">
        <f t="shared" si="2312"/>
        <v>0</v>
      </c>
      <c r="BJ263" s="89">
        <f t="shared" si="2312"/>
        <v>-8.5437751793259298E-2</v>
      </c>
      <c r="BK263" s="89">
        <f t="shared" si="2312"/>
        <v>0</v>
      </c>
      <c r="BL263" s="89">
        <f t="shared" si="2312"/>
        <v>9.3974393410332091E-2</v>
      </c>
      <c r="BM263" s="89">
        <f t="shared" si="2312"/>
        <v>0</v>
      </c>
      <c r="BN263" s="89">
        <f t="shared" si="2312"/>
        <v>-3.2229551667130485E-2</v>
      </c>
      <c r="BO263" s="89">
        <f t="shared" si="2312"/>
        <v>0</v>
      </c>
      <c r="BP263" s="89">
        <f t="shared" si="2312"/>
        <v>-3.581455923144572E-2</v>
      </c>
      <c r="BQ263" s="89">
        <f t="shared" si="2312"/>
        <v>0</v>
      </c>
      <c r="BR263" s="89">
        <f t="shared" si="2312"/>
        <v>5.8335452974660695E-2</v>
      </c>
      <c r="BS263" s="89">
        <f t="shared" si="2312"/>
        <v>0</v>
      </c>
      <c r="BT263" s="89">
        <f t="shared" si="2312"/>
        <v>-0.37578731021680034</v>
      </c>
      <c r="BU263" s="89">
        <f t="shared" si="2312"/>
        <v>0</v>
      </c>
      <c r="BV263" s="89">
        <f t="shared" si="2312"/>
        <v>0.34172862453531594</v>
      </c>
      <c r="BW263" s="89">
        <f t="shared" si="2312"/>
        <v>0</v>
      </c>
      <c r="BX263" s="89">
        <f t="shared" si="2312"/>
        <v>-0.12260164854194078</v>
      </c>
      <c r="BY263" s="89">
        <f t="shared" si="2312"/>
        <v>0</v>
      </c>
      <c r="BZ263" s="89">
        <f t="shared" si="2312"/>
        <v>0.33397241425977531</v>
      </c>
      <c r="CA263" s="89">
        <f t="shared" si="2312"/>
        <v>0</v>
      </c>
      <c r="CB263" s="89">
        <f t="shared" si="2312"/>
        <v>-9.108740129520998E-2</v>
      </c>
      <c r="CC263" s="89">
        <f t="shared" si="2312"/>
        <v>0</v>
      </c>
      <c r="CD263" s="89">
        <f t="shared" si="2312"/>
        <v>1.7475629720578936</v>
      </c>
      <c r="CE263" s="89">
        <f t="shared" si="2312"/>
        <v>0</v>
      </c>
      <c r="CF263" s="89">
        <f t="shared" si="2312"/>
        <v>-0.18848282749631839</v>
      </c>
      <c r="CG263" s="89">
        <f t="shared" si="2312"/>
        <v>0</v>
      </c>
      <c r="CH263" s="89">
        <f t="shared" si="2312"/>
        <v>-0.22879729673355298</v>
      </c>
      <c r="CI263" s="89">
        <f t="shared" si="2312"/>
        <v>0</v>
      </c>
      <c r="CJ263" s="89">
        <f t="shared" si="2312"/>
        <v>7.8630351878397731E-2</v>
      </c>
      <c r="CK263" s="89">
        <f t="shared" si="2312"/>
        <v>0</v>
      </c>
      <c r="CL263" s="89">
        <f t="shared" si="2312"/>
        <v>6.3339702408713894E-2</v>
      </c>
      <c r="CM263" s="47">
        <f t="shared" si="2312"/>
        <v>0</v>
      </c>
      <c r="CN263" s="47">
        <f t="shared" si="2312"/>
        <v>0</v>
      </c>
      <c r="CO263" s="47">
        <f t="shared" si="2312"/>
        <v>0</v>
      </c>
      <c r="CP263" s="47">
        <f t="shared" si="2312"/>
        <v>0</v>
      </c>
      <c r="CQ263" s="47">
        <f t="shared" si="2312"/>
        <v>0</v>
      </c>
      <c r="CR263" s="47">
        <f t="shared" si="2312"/>
        <v>0</v>
      </c>
      <c r="CS263" s="47">
        <f t="shared" si="2312"/>
        <v>0</v>
      </c>
      <c r="CT263" s="47">
        <f t="shared" si="2312"/>
        <v>0</v>
      </c>
      <c r="CU263" s="47">
        <f t="shared" si="2312"/>
        <v>0</v>
      </c>
      <c r="CV263" s="47">
        <f t="shared" si="2312"/>
        <v>0</v>
      </c>
      <c r="CW263" s="47">
        <f t="shared" si="2312"/>
        <v>0</v>
      </c>
      <c r="CX263" s="47">
        <f t="shared" ref="CX263:DB263" si="2313">CX142/CW142-1</f>
        <v>0</v>
      </c>
      <c r="CY263" s="47">
        <f t="shared" si="2313"/>
        <v>0</v>
      </c>
      <c r="CZ263" s="47">
        <f t="shared" si="2313"/>
        <v>0</v>
      </c>
      <c r="DA263" s="47">
        <f t="shared" si="2313"/>
        <v>0</v>
      </c>
      <c r="DB263" s="47">
        <f t="shared" si="2313"/>
        <v>0</v>
      </c>
      <c r="DE263" s="130"/>
      <c r="DF263" s="89">
        <v>0</v>
      </c>
    </row>
    <row r="264" spans="1:110" s="89" customFormat="1" x14ac:dyDescent="0.2">
      <c r="A264" s="89" t="s">
        <v>104</v>
      </c>
      <c r="C264" s="89">
        <f>C42/B42-1</f>
        <v>2.376901543018195</v>
      </c>
      <c r="D264" s="89">
        <f>D42/C42-1</f>
        <v>-6.8964366005986988E-2</v>
      </c>
      <c r="F264" s="89">
        <f t="shared" ref="F264:AE264" si="2314">F42/E42-1</f>
        <v>0.13055663144277219</v>
      </c>
      <c r="G264" s="89">
        <f t="shared" si="2314"/>
        <v>4.6146842292050572E-2</v>
      </c>
      <c r="H264" s="89">
        <f t="shared" si="2314"/>
        <v>0.24990296900153575</v>
      </c>
      <c r="I264" s="89">
        <f t="shared" si="2314"/>
        <v>1.6080460821266129E-3</v>
      </c>
      <c r="J264" s="89">
        <f t="shared" si="2314"/>
        <v>-9.0807751030148487E-2</v>
      </c>
      <c r="K264" s="89">
        <f t="shared" si="2314"/>
        <v>0.10346294583696003</v>
      </c>
      <c r="L264" s="89">
        <f t="shared" si="2314"/>
        <v>-0.11023712255655738</v>
      </c>
      <c r="M264" s="89">
        <f t="shared" si="2314"/>
        <v>2.4567416920238339E-2</v>
      </c>
      <c r="N264" s="89">
        <f t="shared" si="2314"/>
        <v>0.23342351275378759</v>
      </c>
      <c r="O264" s="89">
        <f t="shared" si="2314"/>
        <v>-2.1604453514473154E-2</v>
      </c>
      <c r="P264" s="89">
        <f t="shared" si="2314"/>
        <v>3.0540630512380318E-2</v>
      </c>
      <c r="Q264" s="89">
        <f t="shared" si="2314"/>
        <v>-0.15553978189326756</v>
      </c>
      <c r="R264" s="89">
        <f t="shared" si="2314"/>
        <v>0.20906881848608383</v>
      </c>
      <c r="S264" s="89">
        <f t="shared" si="2314"/>
        <v>6.0394625409225577E-2</v>
      </c>
      <c r="T264" s="89">
        <f t="shared" si="2314"/>
        <v>-6.3177218056764683E-2</v>
      </c>
      <c r="U264" s="89">
        <f t="shared" si="2314"/>
        <v>0.64414500388085028</v>
      </c>
      <c r="V264" s="89">
        <f t="shared" si="2314"/>
        <v>0.19472197500290411</v>
      </c>
      <c r="W264" s="89">
        <f t="shared" si="2314"/>
        <v>0.1133725449551739</v>
      </c>
      <c r="X264" s="89">
        <f t="shared" si="2314"/>
        <v>7.7246651694806046E-2</v>
      </c>
      <c r="Y264" s="89">
        <f t="shared" si="2314"/>
        <v>0.23137371391536909</v>
      </c>
      <c r="Z264" s="89">
        <f t="shared" si="2314"/>
        <v>8.7458058290752261E-2</v>
      </c>
      <c r="AA264" s="89">
        <f t="shared" si="2314"/>
        <v>0.12602093290580152</v>
      </c>
      <c r="AB264" s="47">
        <f t="shared" si="2314"/>
        <v>0.21206300565553837</v>
      </c>
      <c r="AC264" s="47">
        <f t="shared" si="2314"/>
        <v>0.14211245468681999</v>
      </c>
      <c r="AD264" s="47">
        <f t="shared" si="2314"/>
        <v>0.13718401999512242</v>
      </c>
      <c r="AE264" s="47">
        <f t="shared" si="2314"/>
        <v>0.13754148581036363</v>
      </c>
      <c r="AL264" s="89">
        <f t="shared" ref="AL264:CW264" si="2315">AL42/AK42-1</f>
        <v>9.8804310387246908E-2</v>
      </c>
      <c r="AM264" s="89">
        <f t="shared" si="2315"/>
        <v>-7.2500111951994795E-2</v>
      </c>
      <c r="AN264" s="89">
        <f t="shared" si="2315"/>
        <v>-0.23783314020857371</v>
      </c>
      <c r="AO264" s="89">
        <f t="shared" si="2315"/>
        <v>0.24325351577346921</v>
      </c>
      <c r="AP264" s="89">
        <f t="shared" si="2315"/>
        <v>-2.858453072454914E-2</v>
      </c>
      <c r="AQ264" s="89">
        <f t="shared" si="2315"/>
        <v>5.5861526357198876E-2</v>
      </c>
      <c r="AR264" s="89">
        <f t="shared" si="2315"/>
        <v>-7.6105315449576882E-2</v>
      </c>
      <c r="AS264" s="89">
        <f t="shared" si="2315"/>
        <v>7.1190450586085197E-2</v>
      </c>
      <c r="AT264" s="89">
        <f t="shared" si="2315"/>
        <v>-5.4512599136634532E-2</v>
      </c>
      <c r="AU264" s="89">
        <f t="shared" si="2315"/>
        <v>-3.0473561265662807E-2</v>
      </c>
      <c r="AV264" s="89">
        <f t="shared" si="2315"/>
        <v>-0.22932866060672286</v>
      </c>
      <c r="AW264" s="89">
        <f t="shared" si="2315"/>
        <v>0.21443797072616055</v>
      </c>
      <c r="AX264" s="89">
        <f t="shared" si="2315"/>
        <v>-6.3597004446524719E-2</v>
      </c>
      <c r="AY264" s="89">
        <f t="shared" si="2315"/>
        <v>0.49009684473602144</v>
      </c>
      <c r="AZ264" s="89">
        <f t="shared" si="2315"/>
        <v>-0.22017694662249987</v>
      </c>
      <c r="BA264" s="89">
        <f t="shared" si="2315"/>
        <v>-2.4196150123669824E-2</v>
      </c>
      <c r="BB264" s="89">
        <f t="shared" si="2315"/>
        <v>2.1930791271766115E-2</v>
      </c>
      <c r="BC264" s="89">
        <f t="shared" si="2315"/>
        <v>0.31656421869945084</v>
      </c>
      <c r="BD264" s="89">
        <f t="shared" si="2315"/>
        <v>-0.12372527337510753</v>
      </c>
      <c r="BE264" s="89">
        <f t="shared" si="2315"/>
        <v>9.8710039259674698E-2</v>
      </c>
      <c r="BF264" s="89">
        <f t="shared" si="2315"/>
        <v>-0.38021099200272168</v>
      </c>
      <c r="BG264" s="89">
        <f t="shared" si="2315"/>
        <v>0.70741249142072493</v>
      </c>
      <c r="BH264" s="89">
        <f t="shared" si="2315"/>
        <v>-0.33010411223218361</v>
      </c>
      <c r="BI264" s="89">
        <f t="shared" si="2315"/>
        <v>0.1774377437743786</v>
      </c>
      <c r="BJ264" s="89">
        <f t="shared" si="2315"/>
        <v>-0.11186423402303503</v>
      </c>
      <c r="BK264" s="89">
        <f t="shared" si="2315"/>
        <v>1.0133700579560463</v>
      </c>
      <c r="BL264" s="89">
        <f t="shared" si="2315"/>
        <v>-0.10283010801721415</v>
      </c>
      <c r="BM264" s="89">
        <f t="shared" si="2315"/>
        <v>1.0610248101909026E-2</v>
      </c>
      <c r="BN264" s="89">
        <f t="shared" si="2315"/>
        <v>-3.0710715745135619E-2</v>
      </c>
      <c r="BO264" s="89">
        <f t="shared" si="2315"/>
        <v>0.56521598132053374</v>
      </c>
      <c r="BP264" s="89">
        <f t="shared" si="2315"/>
        <v>-0.17211229669532724</v>
      </c>
      <c r="BQ264" s="89">
        <f t="shared" si="2315"/>
        <v>-9.5725511787377537E-2</v>
      </c>
      <c r="BR264" s="89">
        <f t="shared" si="2315"/>
        <v>-0.16918052749564139</v>
      </c>
      <c r="BS264" s="89">
        <f t="shared" si="2315"/>
        <v>0.33074616922051936</v>
      </c>
      <c r="BT264" s="89">
        <f t="shared" si="2315"/>
        <v>3.4569075571354135E-2</v>
      </c>
      <c r="BU264" s="89">
        <f t="shared" si="2315"/>
        <v>0.11700943624485904</v>
      </c>
      <c r="BV264" s="89">
        <f t="shared" si="2315"/>
        <v>-3.7538448208639497E-2</v>
      </c>
      <c r="BW264" s="89">
        <f t="shared" si="2315"/>
        <v>2.9190016429230692E-2</v>
      </c>
      <c r="BX264" s="89">
        <f t="shared" si="2315"/>
        <v>-5.1301115241634276E-2</v>
      </c>
      <c r="BY264" s="89">
        <f t="shared" si="2315"/>
        <v>4.568504517794536E-2</v>
      </c>
      <c r="BZ264" s="89">
        <f t="shared" si="2315"/>
        <v>0.12787109288894682</v>
      </c>
      <c r="CA264" s="89">
        <f t="shared" si="2315"/>
        <v>6.5198272323959472E-2</v>
      </c>
      <c r="CB264" s="89">
        <f t="shared" si="2315"/>
        <v>-1.4568005430893427E-2</v>
      </c>
      <c r="CC264" s="89">
        <f t="shared" si="2315"/>
        <v>6.5705933828594354E-2</v>
      </c>
      <c r="CD264" s="89">
        <f t="shared" si="2315"/>
        <v>9.9968552360319762E-2</v>
      </c>
      <c r="CE264" s="89">
        <f t="shared" si="2315"/>
        <v>6.0006353240152466E-2</v>
      </c>
      <c r="CF264" s="89">
        <f t="shared" si="2315"/>
        <v>-6.1569121040486952E-2</v>
      </c>
      <c r="CG264" s="89">
        <f t="shared" si="2315"/>
        <v>-9.8293122994139281E-2</v>
      </c>
      <c r="CH264" s="89">
        <f t="shared" si="2315"/>
        <v>9.9551998300072553E-2</v>
      </c>
      <c r="CI264" s="89">
        <f t="shared" si="2315"/>
        <v>-2.2562203075932374E-2</v>
      </c>
      <c r="CJ264" s="89">
        <f t="shared" si="2315"/>
        <v>0.10683098823606829</v>
      </c>
      <c r="CK264" s="89">
        <f t="shared" si="2315"/>
        <v>7.2776801929203883E-2</v>
      </c>
      <c r="CL264" s="89">
        <f t="shared" si="2315"/>
        <v>9.9546255567735331E-2</v>
      </c>
      <c r="CM264" s="47">
        <f t="shared" si="2315"/>
        <v>-2.8214257925751607E-2</v>
      </c>
      <c r="CN264" s="47">
        <f t="shared" si="2315"/>
        <v>7.6487288628293459E-2</v>
      </c>
      <c r="CO264" s="47">
        <f t="shared" si="2315"/>
        <v>3.8795583786872978E-2</v>
      </c>
      <c r="CP264" s="47">
        <f t="shared" si="2315"/>
        <v>7.2707700337989012E-2</v>
      </c>
      <c r="CQ264" s="47">
        <f t="shared" si="2315"/>
        <v>-2.3526478748195689E-2</v>
      </c>
      <c r="CR264" s="47">
        <f t="shared" si="2315"/>
        <v>5.8023195614507417E-2</v>
      </c>
      <c r="CS264" s="47">
        <f t="shared" si="2315"/>
        <v>2.0604472445532096E-2</v>
      </c>
      <c r="CT264" s="47">
        <f t="shared" si="2315"/>
        <v>6.2044336415864709E-2</v>
      </c>
      <c r="CU264" s="47">
        <f t="shared" si="2315"/>
        <v>-3.2724404514017369E-3</v>
      </c>
      <c r="CV264" s="47">
        <f t="shared" si="2315"/>
        <v>5.3026135907217498E-2</v>
      </c>
      <c r="CW264" s="47">
        <f t="shared" si="2315"/>
        <v>1.5872941485290948E-2</v>
      </c>
      <c r="CX264" s="47">
        <f t="shared" ref="CX264:DB264" si="2316">CX42/CW42-1</f>
        <v>6.5535802648699626E-2</v>
      </c>
      <c r="CY264" s="47">
        <f t="shared" si="2316"/>
        <v>-2.1261652394922725E-3</v>
      </c>
      <c r="CZ264" s="47">
        <f t="shared" si="2316"/>
        <v>5.3085198660783872E-2</v>
      </c>
      <c r="DA264" s="47">
        <f t="shared" si="2316"/>
        <v>1.3955045239184338E-2</v>
      </c>
      <c r="DB264" s="47">
        <f t="shared" si="2316"/>
        <v>6.968522117407594E-2</v>
      </c>
      <c r="DE264" s="130"/>
      <c r="DF264" s="89">
        <v>0.1404996485518395</v>
      </c>
    </row>
    <row r="265" spans="1:110" s="103" customFormat="1" x14ac:dyDescent="0.2">
      <c r="A265" s="147" t="s">
        <v>105</v>
      </c>
      <c r="C265" s="103" t="str">
        <f>IF(C263&gt;C264,"RF",0)</f>
        <v>RF</v>
      </c>
      <c r="D265" s="103" t="str">
        <f t="shared" ref="D265:U265" si="2317">IF(D263&gt;D264,"RF",0)</f>
        <v>RF</v>
      </c>
      <c r="F265" s="103">
        <f t="shared" si="2317"/>
        <v>0</v>
      </c>
      <c r="G265" s="103">
        <f t="shared" si="2317"/>
        <v>0</v>
      </c>
      <c r="H265" s="103" t="str">
        <f t="shared" si="2317"/>
        <v>RF</v>
      </c>
      <c r="I265" s="103">
        <f t="shared" si="2317"/>
        <v>0</v>
      </c>
      <c r="J265" s="103" t="str">
        <f t="shared" si="2317"/>
        <v>RF</v>
      </c>
      <c r="K265" s="103">
        <f t="shared" si="2317"/>
        <v>0</v>
      </c>
      <c r="L265" s="103">
        <f t="shared" si="2317"/>
        <v>0</v>
      </c>
      <c r="M265" s="103">
        <f t="shared" si="2317"/>
        <v>0</v>
      </c>
      <c r="N265" s="103" t="str">
        <f t="shared" si="2317"/>
        <v>RF</v>
      </c>
      <c r="O265" s="103" t="str">
        <f t="shared" si="2317"/>
        <v>RF</v>
      </c>
      <c r="P265" s="103">
        <f t="shared" si="2317"/>
        <v>0</v>
      </c>
      <c r="Q265" s="103" t="str">
        <f t="shared" si="2317"/>
        <v>RF</v>
      </c>
      <c r="R265" s="103">
        <f t="shared" si="2317"/>
        <v>0</v>
      </c>
      <c r="S265" s="103" t="str">
        <f t="shared" si="2317"/>
        <v>RF</v>
      </c>
      <c r="T265" s="103" t="str">
        <f t="shared" si="2317"/>
        <v>RF</v>
      </c>
      <c r="U265" s="103">
        <f t="shared" si="2317"/>
        <v>0</v>
      </c>
      <c r="V265" s="103">
        <f>IF(V263&gt;V264,"RF",0)</f>
        <v>0</v>
      </c>
      <c r="W265" s="103">
        <f t="shared" ref="W265:AE265" si="2318">IF(W263&gt;W264,"RF",0)</f>
        <v>0</v>
      </c>
      <c r="X265" s="103" t="str">
        <f t="shared" si="2318"/>
        <v>RF</v>
      </c>
      <c r="Y265" s="103" t="str">
        <f t="shared" si="2318"/>
        <v>RF</v>
      </c>
      <c r="Z265" s="103">
        <f t="shared" si="2318"/>
        <v>0</v>
      </c>
      <c r="AA265" s="103" t="str">
        <f t="shared" ref="AA265" si="2319">IF(AA263&gt;AA264,"RF",0)</f>
        <v>RF</v>
      </c>
      <c r="AB265" s="73">
        <f t="shared" si="2318"/>
        <v>0</v>
      </c>
      <c r="AC265" s="73">
        <f t="shared" si="2318"/>
        <v>0</v>
      </c>
      <c r="AD265" s="73">
        <f t="shared" si="2318"/>
        <v>0</v>
      </c>
      <c r="AE265" s="73">
        <f t="shared" si="2318"/>
        <v>0</v>
      </c>
      <c r="AL265" s="103">
        <f t="shared" ref="AL265:CW265" si="2320">IF(AL263&gt;AL264,"RF",0)</f>
        <v>0</v>
      </c>
      <c r="AM265" s="103" t="str">
        <f t="shared" si="2320"/>
        <v>RF</v>
      </c>
      <c r="AN265" s="103" t="str">
        <f t="shared" si="2320"/>
        <v>RF</v>
      </c>
      <c r="AO265" s="103">
        <f t="shared" si="2320"/>
        <v>0</v>
      </c>
      <c r="AP265" s="103" t="str">
        <f t="shared" si="2320"/>
        <v>RF</v>
      </c>
      <c r="AQ265" s="103">
        <f t="shared" si="2320"/>
        <v>0</v>
      </c>
      <c r="AR265" s="103" t="str">
        <f t="shared" si="2320"/>
        <v>RF</v>
      </c>
      <c r="AS265" s="103">
        <f t="shared" si="2320"/>
        <v>0</v>
      </c>
      <c r="AT265" s="103">
        <f t="shared" si="2320"/>
        <v>0</v>
      </c>
      <c r="AU265" s="103" t="str">
        <f t="shared" si="2320"/>
        <v>RF</v>
      </c>
      <c r="AV265" s="103" t="str">
        <f t="shared" si="2320"/>
        <v>RF</v>
      </c>
      <c r="AW265" s="103">
        <f t="shared" si="2320"/>
        <v>0</v>
      </c>
      <c r="AX265" s="103">
        <f t="shared" si="2320"/>
        <v>0</v>
      </c>
      <c r="AY265" s="103">
        <f t="shared" si="2320"/>
        <v>0</v>
      </c>
      <c r="AZ265" s="103" t="str">
        <f t="shared" si="2320"/>
        <v>RF</v>
      </c>
      <c r="BA265" s="103" t="str">
        <f t="shared" si="2320"/>
        <v>RF</v>
      </c>
      <c r="BB265" s="103">
        <f t="shared" si="2320"/>
        <v>0</v>
      </c>
      <c r="BC265" s="103">
        <f t="shared" si="2320"/>
        <v>0</v>
      </c>
      <c r="BD265" s="103" t="str">
        <f t="shared" si="2320"/>
        <v>RF</v>
      </c>
      <c r="BE265" s="103">
        <f t="shared" si="2320"/>
        <v>0</v>
      </c>
      <c r="BF265" s="103" t="str">
        <f t="shared" si="2320"/>
        <v>RF</v>
      </c>
      <c r="BG265" s="103">
        <f t="shared" si="2320"/>
        <v>0</v>
      </c>
      <c r="BH265" s="103" t="str">
        <f t="shared" si="2320"/>
        <v>RF</v>
      </c>
      <c r="BI265" s="103">
        <f t="shared" si="2320"/>
        <v>0</v>
      </c>
      <c r="BJ265" s="103" t="str">
        <f t="shared" si="2320"/>
        <v>RF</v>
      </c>
      <c r="BK265" s="103">
        <f t="shared" si="2320"/>
        <v>0</v>
      </c>
      <c r="BL265" s="103" t="str">
        <f t="shared" si="2320"/>
        <v>RF</v>
      </c>
      <c r="BM265" s="103">
        <f t="shared" si="2320"/>
        <v>0</v>
      </c>
      <c r="BN265" s="103">
        <f t="shared" si="2320"/>
        <v>0</v>
      </c>
      <c r="BO265" s="103">
        <f t="shared" si="2320"/>
        <v>0</v>
      </c>
      <c r="BP265" s="103" t="str">
        <f t="shared" si="2320"/>
        <v>RF</v>
      </c>
      <c r="BQ265" s="103" t="str">
        <f t="shared" si="2320"/>
        <v>RF</v>
      </c>
      <c r="BR265" s="103" t="str">
        <f t="shared" si="2320"/>
        <v>RF</v>
      </c>
      <c r="BS265" s="103">
        <f t="shared" si="2320"/>
        <v>0</v>
      </c>
      <c r="BT265" s="103">
        <f t="shared" si="2320"/>
        <v>0</v>
      </c>
      <c r="BU265" s="103">
        <f t="shared" si="2320"/>
        <v>0</v>
      </c>
      <c r="BV265" s="103" t="str">
        <f t="shared" si="2320"/>
        <v>RF</v>
      </c>
      <c r="BW265" s="103">
        <f t="shared" si="2320"/>
        <v>0</v>
      </c>
      <c r="BX265" s="103">
        <f t="shared" si="2320"/>
        <v>0</v>
      </c>
      <c r="BY265" s="103">
        <f t="shared" si="2320"/>
        <v>0</v>
      </c>
      <c r="BZ265" s="103" t="str">
        <f t="shared" si="2320"/>
        <v>RF</v>
      </c>
      <c r="CA265" s="103">
        <f t="shared" si="2320"/>
        <v>0</v>
      </c>
      <c r="CB265" s="103">
        <f t="shared" si="2320"/>
        <v>0</v>
      </c>
      <c r="CC265" s="103">
        <f t="shared" si="2320"/>
        <v>0</v>
      </c>
      <c r="CD265" s="103" t="str">
        <f t="shared" si="2320"/>
        <v>RF</v>
      </c>
      <c r="CE265" s="103">
        <f t="shared" si="2320"/>
        <v>0</v>
      </c>
      <c r="CF265" s="103">
        <f t="shared" si="2320"/>
        <v>0</v>
      </c>
      <c r="CG265" s="103" t="str">
        <f t="shared" si="2320"/>
        <v>RF</v>
      </c>
      <c r="CH265" s="103">
        <f t="shared" si="2320"/>
        <v>0</v>
      </c>
      <c r="CI265" s="103" t="str">
        <f t="shared" si="2320"/>
        <v>RF</v>
      </c>
      <c r="CJ265" s="103">
        <f t="shared" si="2320"/>
        <v>0</v>
      </c>
      <c r="CK265" s="103">
        <f t="shared" si="2320"/>
        <v>0</v>
      </c>
      <c r="CL265" s="103">
        <f t="shared" ref="CL265" si="2321">IF(CL263&gt;CL264,"RF",0)</f>
        <v>0</v>
      </c>
      <c r="CM265" s="73" t="str">
        <f t="shared" si="2320"/>
        <v>RF</v>
      </c>
      <c r="CN265" s="73">
        <f t="shared" si="2320"/>
        <v>0</v>
      </c>
      <c r="CO265" s="73">
        <f t="shared" si="2320"/>
        <v>0</v>
      </c>
      <c r="CP265" s="73">
        <f t="shared" si="2320"/>
        <v>0</v>
      </c>
      <c r="CQ265" s="73" t="str">
        <f t="shared" si="2320"/>
        <v>RF</v>
      </c>
      <c r="CR265" s="73">
        <f t="shared" si="2320"/>
        <v>0</v>
      </c>
      <c r="CS265" s="73">
        <f t="shared" si="2320"/>
        <v>0</v>
      </c>
      <c r="CT265" s="73">
        <f t="shared" si="2320"/>
        <v>0</v>
      </c>
      <c r="CU265" s="73" t="str">
        <f t="shared" si="2320"/>
        <v>RF</v>
      </c>
      <c r="CV265" s="73">
        <f t="shared" si="2320"/>
        <v>0</v>
      </c>
      <c r="CW265" s="73">
        <f t="shared" si="2320"/>
        <v>0</v>
      </c>
      <c r="CX265" s="73">
        <f t="shared" ref="CX265:DB265" si="2322">IF(CX263&gt;CX264,"RF",0)</f>
        <v>0</v>
      </c>
      <c r="CY265" s="73" t="str">
        <f t="shared" si="2322"/>
        <v>RF</v>
      </c>
      <c r="CZ265" s="73">
        <f t="shared" si="2322"/>
        <v>0</v>
      </c>
      <c r="DA265" s="73">
        <f t="shared" si="2322"/>
        <v>0</v>
      </c>
      <c r="DB265" s="73">
        <f t="shared" si="2322"/>
        <v>0</v>
      </c>
      <c r="DE265" s="142"/>
      <c r="DF265" s="103">
        <v>0</v>
      </c>
    </row>
    <row r="266" spans="1:110" s="86" customFormat="1" x14ac:dyDescent="0.2">
      <c r="A266" s="86" t="s">
        <v>432</v>
      </c>
      <c r="B266" s="86">
        <f>B50/B22</f>
        <v>4.4515873830858588E-2</v>
      </c>
      <c r="C266" s="86">
        <f>C50/C22</f>
        <v>6.3405317303853168E-2</v>
      </c>
      <c r="D266" s="86">
        <f>D50/D22</f>
        <v>5.5407669092668865E-2</v>
      </c>
      <c r="F266" s="86">
        <f t="shared" ref="F266:AE266" si="2323">F50/F22</f>
        <v>4.4270728403391919E-2</v>
      </c>
      <c r="G266" s="86">
        <f t="shared" si="2323"/>
        <v>3.6086461509221457E-2</v>
      </c>
      <c r="H266" s="86">
        <f t="shared" si="2323"/>
        <v>7.1001630832346993E-2</v>
      </c>
      <c r="I266" s="86">
        <f t="shared" si="2323"/>
        <v>7.1039156020049732E-2</v>
      </c>
      <c r="J266" s="86">
        <f t="shared" si="2323"/>
        <v>4.3334789938932486E-2</v>
      </c>
      <c r="K266" s="86">
        <f t="shared" si="2323"/>
        <v>2.5774871705356771E-2</v>
      </c>
      <c r="L266" s="86">
        <f t="shared" si="2323"/>
        <v>2.0154672172676573E-2</v>
      </c>
      <c r="M266" s="86">
        <f t="shared" si="2323"/>
        <v>1.0592473266511131E-2</v>
      </c>
      <c r="N266" s="86">
        <f t="shared" si="2323"/>
        <v>1.1486095799529783E-2</v>
      </c>
      <c r="O266" s="86">
        <f t="shared" si="2323"/>
        <v>1.1182118782617769E-2</v>
      </c>
      <c r="P266" s="86">
        <f t="shared" si="2323"/>
        <v>1.0240256994673465E-2</v>
      </c>
      <c r="Q266" s="86">
        <f t="shared" si="2323"/>
        <v>1.7614600379113214E-2</v>
      </c>
      <c r="R266" s="86">
        <f t="shared" si="2323"/>
        <v>1.3500896077173264E-2</v>
      </c>
      <c r="S266" s="86">
        <f t="shared" si="2323"/>
        <v>6.274072498110881E-3</v>
      </c>
      <c r="T266" s="86">
        <f t="shared" si="2323"/>
        <v>7.235744328759567E-3</v>
      </c>
      <c r="U266" s="86">
        <f t="shared" si="2323"/>
        <v>8.0789256875802851E-3</v>
      </c>
      <c r="V266" s="86">
        <f t="shared" si="2323"/>
        <v>5.9205156339019981E-3</v>
      </c>
      <c r="W266" s="86">
        <f t="shared" si="2323"/>
        <v>5.8573708469043572E-3</v>
      </c>
      <c r="X266" s="86">
        <f t="shared" si="2323"/>
        <v>6.3236587255752668E-3</v>
      </c>
      <c r="Y266" s="86">
        <f t="shared" si="2323"/>
        <v>8.536846016500229E-3</v>
      </c>
      <c r="Z266" s="86">
        <f t="shared" si="2323"/>
        <v>1.6471509737034786E-2</v>
      </c>
      <c r="AA266" s="86">
        <f t="shared" ref="AA266" si="2324">AA50/AA22</f>
        <v>6.7534300653066493E-3</v>
      </c>
      <c r="AB266" s="87">
        <f t="shared" si="2323"/>
        <v>-8.7696852446002126E-3</v>
      </c>
      <c r="AC266" s="87">
        <f t="shared" si="2323"/>
        <v>-1.1594440737444076E-2</v>
      </c>
      <c r="AD266" s="87">
        <f t="shared" si="2323"/>
        <v>-1.5502493098583996E-2</v>
      </c>
      <c r="AE266" s="87">
        <f t="shared" si="2323"/>
        <v>-1.9222258826461558E-2</v>
      </c>
      <c r="AL266" s="86">
        <f t="shared" ref="AL266:CW266" si="2325">AL50/AL22</f>
        <v>1.5387942687212761E-2</v>
      </c>
      <c r="AM266" s="86">
        <f t="shared" si="2325"/>
        <v>1.1232671247229055E-2</v>
      </c>
      <c r="AN266" s="86">
        <f t="shared" si="2325"/>
        <v>9.3768748577694096E-3</v>
      </c>
      <c r="AO266" s="86">
        <f t="shared" si="2325"/>
        <v>1.3355825331372494E-2</v>
      </c>
      <c r="AP266" s="86">
        <f t="shared" si="2325"/>
        <v>1.0597247019524275E-2</v>
      </c>
      <c r="AQ266" s="86">
        <f t="shared" si="2325"/>
        <v>7.9082620665110476E-3</v>
      </c>
      <c r="AR266" s="86">
        <f t="shared" si="2325"/>
        <v>1.069794163678507E-2</v>
      </c>
      <c r="AS266" s="86">
        <f t="shared" si="2325"/>
        <v>1.2508173750583839E-2</v>
      </c>
      <c r="AT266" s="86">
        <f t="shared" si="2325"/>
        <v>9.5545211036850188E-3</v>
      </c>
      <c r="AU266" s="86">
        <f t="shared" si="2325"/>
        <v>1.2666100539415614E-2</v>
      </c>
      <c r="AV266" s="86">
        <f t="shared" si="2325"/>
        <v>1.2549043098026295E-2</v>
      </c>
      <c r="AW266" s="86">
        <f t="shared" si="2325"/>
        <v>1.7851154088290844E-2</v>
      </c>
      <c r="AX266" s="86">
        <f t="shared" si="2325"/>
        <v>2.7797416085338006E-2</v>
      </c>
      <c r="AY266" s="86">
        <f t="shared" si="2325"/>
        <v>1.2699802934092402E-2</v>
      </c>
      <c r="AZ266" s="86">
        <f t="shared" si="2325"/>
        <v>1.4275671542389184E-2</v>
      </c>
      <c r="BA266" s="86">
        <f t="shared" si="2325"/>
        <v>1.2390712422881171E-2</v>
      </c>
      <c r="BB266" s="86">
        <f t="shared" si="2325"/>
        <v>1.4726778717813039E-2</v>
      </c>
      <c r="BC266" s="86">
        <f t="shared" si="2325"/>
        <v>6.4890109245373797E-3</v>
      </c>
      <c r="BD266" s="86">
        <f t="shared" si="2325"/>
        <v>5.6851087971444437E-3</v>
      </c>
      <c r="BE266" s="86">
        <f t="shared" si="2325"/>
        <v>4.9121874259559981E-3</v>
      </c>
      <c r="BF266" s="86">
        <f t="shared" si="2325"/>
        <v>8.0431177446102821E-3</v>
      </c>
      <c r="BG266" s="86">
        <f t="shared" si="2325"/>
        <v>6.9732995301205495E-3</v>
      </c>
      <c r="BH266" s="86">
        <f t="shared" si="2325"/>
        <v>6.5138255521418401E-3</v>
      </c>
      <c r="BI266" s="86">
        <f t="shared" si="2325"/>
        <v>6.770958600424557E-3</v>
      </c>
      <c r="BJ266" s="86">
        <f t="shared" si="2325"/>
        <v>8.7188672231421713E-3</v>
      </c>
      <c r="BK266" s="86">
        <f t="shared" si="2325"/>
        <v>7.7872895383637904E-3</v>
      </c>
      <c r="BL266" s="86">
        <f t="shared" si="2325"/>
        <v>8.6959485656584595E-3</v>
      </c>
      <c r="BM266" s="86">
        <f t="shared" si="2325"/>
        <v>8.0707271677042548E-3</v>
      </c>
      <c r="BN266" s="86">
        <f t="shared" si="2325"/>
        <v>7.7753707853956073E-3</v>
      </c>
      <c r="BO266" s="86">
        <f t="shared" si="2325"/>
        <v>6.3671971436046158E-3</v>
      </c>
      <c r="BP266" s="86">
        <f t="shared" si="2325"/>
        <v>6.424960630487463E-3</v>
      </c>
      <c r="BQ266" s="86">
        <f t="shared" si="2325"/>
        <v>5.8933527932342094E-3</v>
      </c>
      <c r="BR266" s="86">
        <f t="shared" si="2325"/>
        <v>5.0868886679265911E-3</v>
      </c>
      <c r="BS266" s="86">
        <f t="shared" si="2325"/>
        <v>6.7908498035539775E-3</v>
      </c>
      <c r="BT266" s="86">
        <f t="shared" si="2325"/>
        <v>6.5213377644142015E-3</v>
      </c>
      <c r="BU266" s="86">
        <f t="shared" si="2325"/>
        <v>5.0368098541943287E-3</v>
      </c>
      <c r="BV266" s="86">
        <f t="shared" si="2325"/>
        <v>5.1678365943295512E-3</v>
      </c>
      <c r="BW266" s="86">
        <f t="shared" si="2325"/>
        <v>4.890541446361852E-3</v>
      </c>
      <c r="BX266" s="86">
        <f t="shared" si="2325"/>
        <v>5.8131755400603622E-3</v>
      </c>
      <c r="BY266" s="86">
        <f t="shared" si="2325"/>
        <v>6.8152710422932465E-3</v>
      </c>
      <c r="BZ266" s="86">
        <f t="shared" si="2325"/>
        <v>7.6435655602932516E-3</v>
      </c>
      <c r="CA266" s="86">
        <f t="shared" si="2325"/>
        <v>7.011100686676236E-3</v>
      </c>
      <c r="CB266" s="86">
        <f t="shared" si="2325"/>
        <v>7.3812597421379937E-3</v>
      </c>
      <c r="CC266" s="86">
        <f t="shared" si="2325"/>
        <v>8.7252097835916632E-3</v>
      </c>
      <c r="CD266" s="86">
        <f t="shared" si="2325"/>
        <v>1.0906711077836686E-2</v>
      </c>
      <c r="CE266" s="86">
        <f t="shared" si="2325"/>
        <v>2.1507007010457092E-2</v>
      </c>
      <c r="CF266" s="86">
        <f t="shared" si="2325"/>
        <v>2.3417053233518018E-2</v>
      </c>
      <c r="CG266" s="86">
        <f t="shared" si="2325"/>
        <v>1.3034593884182951E-2</v>
      </c>
      <c r="CH266" s="86">
        <f t="shared" si="2325"/>
        <v>8.6779711038101476E-3</v>
      </c>
      <c r="CI266" s="86">
        <f t="shared" si="2325"/>
        <v>7.0643724196521795E-3</v>
      </c>
      <c r="CJ266" s="86">
        <f t="shared" si="2325"/>
        <v>6.6916369640951283E-3</v>
      </c>
      <c r="CK266" s="86">
        <f t="shared" si="2325"/>
        <v>6.1854460093896712E-3</v>
      </c>
      <c r="CL266" s="86">
        <f t="shared" ref="CL266" si="2326">CL50/CL22</f>
        <v>7.0707925839495591E-3</v>
      </c>
      <c r="CM266" s="87">
        <f t="shared" si="2325"/>
        <v>-7.0138125371826954E-3</v>
      </c>
      <c r="CN266" s="87">
        <f t="shared" si="2325"/>
        <v>-8.0993683722507381E-3</v>
      </c>
      <c r="CO266" s="87">
        <f t="shared" si="2325"/>
        <v>-9.3847962191361024E-3</v>
      </c>
      <c r="CP266" s="87">
        <f t="shared" si="2325"/>
        <v>-1.0352399879762884E-2</v>
      </c>
      <c r="CQ266" s="87">
        <f t="shared" si="2325"/>
        <v>-1.0178676158862653E-2</v>
      </c>
      <c r="CR266" s="87">
        <f t="shared" si="2325"/>
        <v>-1.1030242921302079E-2</v>
      </c>
      <c r="CS266" s="87">
        <f t="shared" si="2325"/>
        <v>-1.2178198701732052E-2</v>
      </c>
      <c r="CT266" s="87">
        <f t="shared" si="2325"/>
        <v>-1.2814162515457191E-2</v>
      </c>
      <c r="CU266" s="87">
        <f t="shared" si="2325"/>
        <v>-1.4204484707599352E-2</v>
      </c>
      <c r="CV266" s="87">
        <f t="shared" si="2325"/>
        <v>-1.4942123262656048E-2</v>
      </c>
      <c r="CW266" s="87">
        <f t="shared" si="2325"/>
        <v>-1.613685720440507E-2</v>
      </c>
      <c r="CX266" s="87">
        <f t="shared" ref="CX266:DB266" si="2327">CX50/CX22</f>
        <v>-1.6565800706833153E-2</v>
      </c>
      <c r="CY266" s="87">
        <f t="shared" si="2327"/>
        <v>-1.8061612399030275E-2</v>
      </c>
      <c r="CZ266" s="87">
        <f t="shared" si="2327"/>
        <v>-1.8666412498880135E-2</v>
      </c>
      <c r="DA266" s="87">
        <f t="shared" si="2327"/>
        <v>-1.9910040411373505E-2</v>
      </c>
      <c r="DB266" s="87">
        <f t="shared" si="2327"/>
        <v>-2.0108205015719166E-2</v>
      </c>
      <c r="DE266" s="141"/>
      <c r="DF266" s="86">
        <v>-7.0235841071034902E-4</v>
      </c>
    </row>
    <row r="267" spans="1:110" s="86" customFormat="1" x14ac:dyDescent="0.2">
      <c r="A267" s="86" t="s">
        <v>433</v>
      </c>
      <c r="B267" s="86">
        <f>B46/B22</f>
        <v>2.4760368924004062E-2</v>
      </c>
      <c r="C267" s="86">
        <f>C46/C22</f>
        <v>3.0393345758974597E-2</v>
      </c>
      <c r="D267" s="86">
        <f>D46/D22</f>
        <v>2.6963501102557064E-2</v>
      </c>
      <c r="F267" s="86">
        <f t="shared" ref="F267:AE267" si="2328">F46/F22</f>
        <v>2.5544937894161977E-2</v>
      </c>
      <c r="G267" s="86">
        <f t="shared" si="2328"/>
        <v>2.4404883866619993E-2</v>
      </c>
      <c r="H267" s="86">
        <f t="shared" si="2328"/>
        <v>2.4021696208223503E-2</v>
      </c>
      <c r="I267" s="86">
        <f t="shared" si="2328"/>
        <v>2.1254635307557286E-2</v>
      </c>
      <c r="J267" s="86">
        <f t="shared" si="2328"/>
        <v>2.0352345944469111E-2</v>
      </c>
      <c r="K267" s="86">
        <f t="shared" si="2328"/>
        <v>1.7794873663905794E-2</v>
      </c>
      <c r="L267" s="86">
        <f t="shared" si="2328"/>
        <v>1.6560246744580578E-2</v>
      </c>
      <c r="M267" s="86">
        <f t="shared" si="2328"/>
        <v>1.4474435360686268E-2</v>
      </c>
      <c r="N267" s="86">
        <f t="shared" si="2328"/>
        <v>1.4295010211625134E-2</v>
      </c>
      <c r="O267" s="86">
        <f t="shared" si="2328"/>
        <v>1.6677725396166181E-2</v>
      </c>
      <c r="P267" s="86">
        <f t="shared" si="2328"/>
        <v>1.6650112460188594E-2</v>
      </c>
      <c r="Q267" s="86">
        <f t="shared" si="2328"/>
        <v>1.7598025477131157E-2</v>
      </c>
      <c r="R267" s="86">
        <f t="shared" si="2328"/>
        <v>1.8591204430972556E-2</v>
      </c>
      <c r="S267" s="86">
        <f t="shared" si="2328"/>
        <v>1.7026271578128784E-2</v>
      </c>
      <c r="T267" s="86">
        <f t="shared" si="2328"/>
        <v>1.6902709784182582E-2</v>
      </c>
      <c r="U267" s="86">
        <f t="shared" si="2328"/>
        <v>2.5080363831813911E-2</v>
      </c>
      <c r="V267" s="86">
        <f t="shared" si="2328"/>
        <v>2.1956502439659267E-2</v>
      </c>
      <c r="W267" s="86">
        <f t="shared" si="2328"/>
        <v>2.237438402236714E-2</v>
      </c>
      <c r="X267" s="86">
        <f t="shared" si="2328"/>
        <v>2.2061704282617337E-2</v>
      </c>
      <c r="Y267" s="86">
        <f t="shared" si="2328"/>
        <v>2.4802954126208004E-2</v>
      </c>
      <c r="Z267" s="86">
        <f t="shared" si="2328"/>
        <v>3.4097500893956856E-2</v>
      </c>
      <c r="AA267" s="86">
        <f t="shared" ref="AA267" si="2329">AA46/AA22</f>
        <v>3.0885496265973662E-2</v>
      </c>
      <c r="AB267" s="87">
        <f t="shared" si="2328"/>
        <v>2.8236259164324796E-2</v>
      </c>
      <c r="AC267" s="87">
        <f t="shared" si="2328"/>
        <v>2.4894373071338193E-2</v>
      </c>
      <c r="AD267" s="87">
        <f t="shared" si="2328"/>
        <v>2.193043421069471E-2</v>
      </c>
      <c r="AE267" s="87">
        <f t="shared" si="2328"/>
        <v>1.929226914886489E-2</v>
      </c>
      <c r="AL267" s="86">
        <f t="shared" ref="AL267:CW267" si="2330">AL46/AL22</f>
        <v>1.6469316031359829E-2</v>
      </c>
      <c r="AM267" s="86">
        <f t="shared" si="2330"/>
        <v>1.587021494822053E-2</v>
      </c>
      <c r="AN267" s="86">
        <f t="shared" si="2330"/>
        <v>1.6281523470633261E-2</v>
      </c>
      <c r="AO267" s="86">
        <f t="shared" si="2330"/>
        <v>1.5456039678191412E-2</v>
      </c>
      <c r="AP267" s="86">
        <f t="shared" si="2330"/>
        <v>1.9183949149968845E-2</v>
      </c>
      <c r="AQ267" s="86">
        <f t="shared" si="2330"/>
        <v>1.831827745386411E-2</v>
      </c>
      <c r="AR267" s="86">
        <f t="shared" si="2330"/>
        <v>1.7042415357489547E-2</v>
      </c>
      <c r="AS267" s="86">
        <f t="shared" si="2330"/>
        <v>1.7767398411957028E-2</v>
      </c>
      <c r="AT267" s="86">
        <f t="shared" si="2330"/>
        <v>1.3346162848152291E-2</v>
      </c>
      <c r="AU267" s="86">
        <f t="shared" si="2330"/>
        <v>1.77134040593716E-2</v>
      </c>
      <c r="AV267" s="86">
        <f t="shared" si="2330"/>
        <v>1.8113750037437478E-2</v>
      </c>
      <c r="AW267" s="86">
        <f t="shared" si="2330"/>
        <v>1.9016127229187874E-2</v>
      </c>
      <c r="AX267" s="86">
        <f t="shared" si="2330"/>
        <v>1.5397128288547566E-2</v>
      </c>
      <c r="AY267" s="86">
        <f t="shared" si="2330"/>
        <v>2.0887833773178294E-2</v>
      </c>
      <c r="AZ267" s="86">
        <f t="shared" si="2330"/>
        <v>1.6964307737845637E-2</v>
      </c>
      <c r="BA267" s="86">
        <f t="shared" si="2330"/>
        <v>1.7853655173998461E-2</v>
      </c>
      <c r="BB267" s="86">
        <f t="shared" si="2330"/>
        <v>1.8549676867007141E-2</v>
      </c>
      <c r="BC267" s="86">
        <f t="shared" si="2330"/>
        <v>1.7043921099259573E-2</v>
      </c>
      <c r="BD267" s="86">
        <f t="shared" si="2330"/>
        <v>1.741581665819613E-2</v>
      </c>
      <c r="BE267" s="86">
        <f t="shared" si="2330"/>
        <v>1.6788122908708441E-2</v>
      </c>
      <c r="BF267" s="86">
        <f t="shared" si="2330"/>
        <v>1.6862117981520965E-2</v>
      </c>
      <c r="BG267" s="86">
        <f t="shared" si="2330"/>
        <v>1.6359793408373506E-2</v>
      </c>
      <c r="BH267" s="86">
        <f t="shared" si="2330"/>
        <v>1.7309625355648062E-2</v>
      </c>
      <c r="BI267" s="86">
        <f t="shared" si="2330"/>
        <v>1.5486933879889992E-2</v>
      </c>
      <c r="BJ267" s="86">
        <f t="shared" si="2330"/>
        <v>1.857546776610005E-2</v>
      </c>
      <c r="BK267" s="86">
        <f t="shared" si="2330"/>
        <v>2.406410406460566E-2</v>
      </c>
      <c r="BL267" s="86">
        <f t="shared" si="2330"/>
        <v>2.4992863442504908E-2</v>
      </c>
      <c r="BM267" s="86">
        <f t="shared" si="2330"/>
        <v>2.4645401450484564E-2</v>
      </c>
      <c r="BN267" s="86">
        <f t="shared" si="2330"/>
        <v>2.6627526475761217E-2</v>
      </c>
      <c r="BO267" s="86">
        <f t="shared" si="2330"/>
        <v>2.2808420323444774E-2</v>
      </c>
      <c r="BP267" s="86">
        <f t="shared" si="2330"/>
        <v>2.2496350679888109E-2</v>
      </c>
      <c r="BQ267" s="86">
        <f t="shared" si="2330"/>
        <v>2.0980205632077562E-2</v>
      </c>
      <c r="BR267" s="86">
        <f t="shared" si="2330"/>
        <v>2.1687595893613243E-2</v>
      </c>
      <c r="BS267" s="86">
        <f t="shared" si="2330"/>
        <v>2.2200727282396977E-2</v>
      </c>
      <c r="BT267" s="86">
        <f t="shared" si="2330"/>
        <v>2.2851057656802239E-2</v>
      </c>
      <c r="BU267" s="86">
        <f t="shared" si="2330"/>
        <v>2.1755527711804709E-2</v>
      </c>
      <c r="BV267" s="86">
        <f t="shared" si="2330"/>
        <v>2.2708878538519436E-2</v>
      </c>
      <c r="BW267" s="86">
        <f t="shared" si="2330"/>
        <v>2.1918763507603335E-2</v>
      </c>
      <c r="BX267" s="86">
        <f t="shared" si="2330"/>
        <v>2.1748115549872882E-2</v>
      </c>
      <c r="BY267" s="86">
        <f t="shared" si="2330"/>
        <v>2.1631578189981435E-2</v>
      </c>
      <c r="BZ267" s="86">
        <f t="shared" si="2330"/>
        <v>2.2897535875845944E-2</v>
      </c>
      <c r="CA267" s="86">
        <f t="shared" si="2330"/>
        <v>2.1904677898327011E-2</v>
      </c>
      <c r="CB267" s="86">
        <f t="shared" si="2330"/>
        <v>2.5156811595755509E-2</v>
      </c>
      <c r="CC267" s="86">
        <f t="shared" si="2330"/>
        <v>2.2479442259563821E-2</v>
      </c>
      <c r="CD267" s="86">
        <f t="shared" si="2330"/>
        <v>2.9478423403464276E-2</v>
      </c>
      <c r="CE267" s="86">
        <f t="shared" si="2330"/>
        <v>3.400680595670566E-2</v>
      </c>
      <c r="CF267" s="86">
        <f t="shared" si="2330"/>
        <v>3.5432856007308194E-2</v>
      </c>
      <c r="CG267" s="86">
        <f t="shared" si="2330"/>
        <v>3.3828731917651608E-2</v>
      </c>
      <c r="CH267" s="86">
        <f t="shared" si="2330"/>
        <v>3.322107017460104E-2</v>
      </c>
      <c r="CI267" s="86">
        <f t="shared" si="2330"/>
        <v>3.1164010203163485E-2</v>
      </c>
      <c r="CJ267" s="86">
        <f t="shared" si="2330"/>
        <v>3.0866509595440909E-2</v>
      </c>
      <c r="CK267" s="86">
        <f t="shared" si="2330"/>
        <v>3.1160015649452269E-2</v>
      </c>
      <c r="CL267" s="86">
        <f t="shared" ref="CL267" si="2331">CL46/CL22</f>
        <v>3.0399623087370851E-2</v>
      </c>
      <c r="CM267" s="87">
        <f t="shared" si="2330"/>
        <v>3.0054881331286355E-2</v>
      </c>
      <c r="CN267" s="87">
        <f t="shared" si="2330"/>
        <v>2.8644731762235497E-2</v>
      </c>
      <c r="CO267" s="87">
        <f t="shared" si="2330"/>
        <v>2.8046512854599435E-2</v>
      </c>
      <c r="CP267" s="87">
        <f t="shared" si="2330"/>
        <v>2.6439052503732643E-2</v>
      </c>
      <c r="CQ267" s="87">
        <f t="shared" si="2330"/>
        <v>2.6468100284089965E-2</v>
      </c>
      <c r="CR267" s="87">
        <f t="shared" si="2330"/>
        <v>2.5207796709715877E-2</v>
      </c>
      <c r="CS267" s="87">
        <f t="shared" si="2330"/>
        <v>2.4778704266364152E-2</v>
      </c>
      <c r="CT267" s="87">
        <f t="shared" si="2330"/>
        <v>2.3326886836612468E-2</v>
      </c>
      <c r="CU267" s="87">
        <f t="shared" si="2330"/>
        <v>2.3332355764805177E-2</v>
      </c>
      <c r="CV267" s="87">
        <f t="shared" si="2330"/>
        <v>2.2199358031534874E-2</v>
      </c>
      <c r="CW267" s="87">
        <f t="shared" si="2330"/>
        <v>2.1862696718958435E-2</v>
      </c>
      <c r="CX267" s="87">
        <f t="shared" ref="CX267:DB267" si="2332">CX46/CX22</f>
        <v>2.051345520324362E-2</v>
      </c>
      <c r="CY267" s="87">
        <f t="shared" si="2332"/>
        <v>2.0552370845849575E-2</v>
      </c>
      <c r="CZ267" s="87">
        <f t="shared" si="2332"/>
        <v>1.9525507279896083E-2</v>
      </c>
      <c r="DA267" s="87">
        <f t="shared" si="2332"/>
        <v>1.9258987051603987E-2</v>
      </c>
      <c r="DB267" s="87">
        <f t="shared" si="2332"/>
        <v>1.8004831922149401E-2</v>
      </c>
      <c r="DE267" s="141"/>
      <c r="DF267" s="86">
        <v>2.9350109932803601E-2</v>
      </c>
    </row>
    <row r="268" spans="1:110" s="85" customFormat="1" x14ac:dyDescent="0.2">
      <c r="AB268" s="58"/>
      <c r="AC268" s="58"/>
      <c r="AD268" s="58"/>
      <c r="AE268" s="58"/>
      <c r="CM268" s="72"/>
      <c r="CN268" s="72"/>
      <c r="CO268" s="72"/>
      <c r="CP268" s="72"/>
      <c r="CQ268" s="72"/>
      <c r="CR268" s="72"/>
      <c r="CS268" s="72"/>
      <c r="CT268" s="72"/>
      <c r="CU268" s="72"/>
      <c r="CV268" s="72"/>
      <c r="CW268" s="72"/>
      <c r="CX268" s="72"/>
      <c r="CY268" s="72"/>
      <c r="CZ268" s="72"/>
      <c r="DA268" s="72"/>
      <c r="DB268" s="72"/>
      <c r="DE268" s="143"/>
    </row>
  </sheetData>
  <sortState xmlns:xlrd2="http://schemas.microsoft.com/office/spreadsheetml/2017/richdata2" ref="A34:DE39">
    <sortCondition ref="A34:A3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100800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Tata Consumer Products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1714.88</v>
      </c>
      <c r="D6">
        <f>_xll.EQNXTDZ($A$1,$B6,D$1,$B$1)</f>
        <v>1842.57</v>
      </c>
      <c r="E6">
        <f>_xll.EQNXTDZ($A$1,$B6,E$1,$B$1)</f>
        <v>1900.11</v>
      </c>
      <c r="F6">
        <f>_xll.EQNXTDZ($A$1,$B6,F$1,$B$1)</f>
        <v>1810.89</v>
      </c>
      <c r="G6">
        <f>_xll.EQNXTDZ($A$1,$B6,G$1,$B$1)</f>
        <v>1796.15</v>
      </c>
      <c r="H6">
        <f>_xll.EQNXTDZ($A$1,$B6,H$1,$B$1)</f>
        <v>1906.23</v>
      </c>
      <c r="I6">
        <f>_xll.EQNXTDZ($A$1,$B6,I$1,$B$1)</f>
        <v>2053.91</v>
      </c>
      <c r="J6">
        <f>_xll.EQNXTDZ($A$1,$B6,J$1,$B$1)</f>
        <v>1865.69</v>
      </c>
      <c r="K6">
        <f>_xll.EQNXTDZ($A$1,$B6,K$1,$B$1)</f>
        <v>1883.95</v>
      </c>
      <c r="L6">
        <f>_xll.EQNXTDZ($A$1,$B6,L$1,$B$1)</f>
        <v>1964.41</v>
      </c>
      <c r="M6">
        <f>_xll.EQNXTDZ($A$1,$B6,M$1,$B$1)</f>
        <v>2109.73</v>
      </c>
      <c r="N6">
        <f>_xll.EQNXTDZ($A$1,$B6,N$1,$B$1)</f>
        <v>1874.58</v>
      </c>
      <c r="O6">
        <f>_xll.EQNXTDZ($A$1,$B6,O$1,$B$1)</f>
        <v>1648.12</v>
      </c>
      <c r="P6">
        <f>_xll.EQNXTDZ($A$1,$B6,P$1,$B$1)</f>
        <v>1640.28</v>
      </c>
      <c r="Q6">
        <f>_xll.EQNXTDZ($A$1,$B6,Q$1,$B$1)</f>
        <v>1673.03</v>
      </c>
      <c r="R6">
        <f>_xll.EQNXTDZ($A$1,$B6,R$1,$B$1)</f>
        <v>1598.35</v>
      </c>
      <c r="S6">
        <f>_xll.EQNXTDZ($A$1,$B6,S$1,$B$1)</f>
        <v>1735.46</v>
      </c>
      <c r="T6">
        <f>_xll.EQNXTDZ($A$1,$B6,T$1,$B$1)</f>
        <v>1621.64</v>
      </c>
      <c r="U6">
        <f>_xll.EQNXTDZ($A$1,$B6,U$1,$B$1)</f>
        <v>1740.82</v>
      </c>
      <c r="V6">
        <f>_xll.EQNXTDZ($A$1,$B6,V$1,$B$1)</f>
        <v>1681.97</v>
      </c>
      <c r="W6">
        <f>_xll.EQNXTDZ($A$1,$B6,W$1,$B$1)</f>
        <v>1704.42</v>
      </c>
      <c r="X6">
        <f>_xll.EQNXTDZ($A$1,$B6,X$1,$B$1)</f>
        <v>1692.14</v>
      </c>
      <c r="Y6">
        <f>_xll.EQNXTDZ($A$1,$B6,Y$1,$B$1)</f>
        <v>1730.39</v>
      </c>
      <c r="Z6">
        <f>_xll.EQNXTDZ($A$1,$B6,Z$1,$B$1)</f>
        <v>1688.4</v>
      </c>
      <c r="AA6">
        <f>_xll.EQNXTDZ($A$1,$B6,AA$1,$B$1)</f>
        <v>1802.59</v>
      </c>
      <c r="AB6">
        <f>_xll.EQNXTDZ($A$1,$B6,AB$1,$B$1)</f>
        <v>1760.87</v>
      </c>
      <c r="AC6">
        <f>_xll.EQNXTDZ($A$1,$B6,AC$1,$B$1)</f>
        <v>1912.58</v>
      </c>
      <c r="AD6">
        <f>_xll.EQNXTDZ($A$1,$B6,AD$1,$B$1)</f>
        <v>1775.46</v>
      </c>
      <c r="AE6">
        <f>_xll.EQNXTDZ($A$1,$B6,AE$1,$B$1)</f>
        <v>2392.36</v>
      </c>
      <c r="AF6">
        <f>_xll.EQNXTDZ($A$1,$B6,AF$1,$B$1)</f>
        <v>2347.0700000000002</v>
      </c>
      <c r="AG6">
        <f>_xll.EQNXTDZ($A$1,$B6,AG$1,$B$1)</f>
        <v>2492.96</v>
      </c>
      <c r="AH6">
        <f>_xll.EQNXTDZ($A$1,$B6,AH$1,$B$1)</f>
        <v>2405.0300000000002</v>
      </c>
      <c r="AI6">
        <f>_xll.EQNXTDZ($A$1,$B6,AI$1,$B$1)</f>
        <v>2713.91</v>
      </c>
      <c r="AJ6">
        <f>_xll.EQNXTDZ($A$1,$B6,AJ$1,$B$1)</f>
        <v>2781.34</v>
      </c>
      <c r="AK6">
        <f>_xll.EQNXTDZ($A$1,$B6,AK$1,$B$1)</f>
        <v>3069.56</v>
      </c>
      <c r="AL6">
        <f>_xll.EQNXTDZ($A$1,$B6,AL$1,$B$1)</f>
        <v>3037.22</v>
      </c>
      <c r="AM6">
        <f>_xll.EQNXTDZ($A$1,$B6,AM$1,$B$1)</f>
        <v>3008.46</v>
      </c>
      <c r="AN6">
        <f>_xll.EQNXTDZ($A$1,$B6,AN$1,$B$1)</f>
        <v>3033.12</v>
      </c>
      <c r="AO6">
        <f>_xll.EQNXTDZ($A$1,$B6,AO$1,$B$1)</f>
        <v>3208.38</v>
      </c>
      <c r="AP6">
        <f>_xll.EQNXTDZ($A$1,$B6,AP$1,$B$1)</f>
        <v>3175.41</v>
      </c>
      <c r="AQ6">
        <f>_xll.EQNXTDZ($A$1,$B6,AQ$1,$B$1)</f>
        <v>3326.83</v>
      </c>
      <c r="AR6">
        <f>_xll.EQNXTDZ($A$1,$B6,AR$1,$B$1)</f>
        <v>3363.05</v>
      </c>
      <c r="AS6">
        <f>_xll.EQNXTDZ($A$1,$B6,AS$1,$B$1)</f>
        <v>3474.55</v>
      </c>
      <c r="AT6">
        <f>_xll.EQNXTDZ($A$1,$B6,AT$1,$B$1)</f>
        <v>3618.73</v>
      </c>
      <c r="AU6">
        <f>_xll.EQNXTDZ($A$1,$B6,AU$1,$B$1)</f>
        <v>3741.21</v>
      </c>
      <c r="AV6">
        <f>_xll.EQNXTDZ($A$1,$B6,AV$1,$B$1)</f>
        <v>3733.78</v>
      </c>
      <c r="AW6">
        <f>_xll.EQNXTDZ($A$1,$B6,AW$1,$B$1)</f>
        <v>3803.92</v>
      </c>
      <c r="AX6">
        <f>_xll.EQNXTDZ($A$1,$B6,AX$1,$B$1)</f>
        <v>3926.94</v>
      </c>
      <c r="AY6">
        <f>_xll.EQNXTDZ($A$1,$B6,AY$1,$B$1)</f>
        <v>4352.07</v>
      </c>
      <c r="AZ6">
        <f>_xll.EQNXTDZ($A$1,$B6,AZ$1,$B$1)</f>
        <v>4214.45</v>
      </c>
      <c r="BA6">
        <f>_xll.EQNXTDZ($A$1,$B6,BA$1,$B$1)</f>
        <v>4443.5600000000004</v>
      </c>
      <c r="BB6">
        <f>_xll.EQNXTDZ($A$1,$B6,BB$1,$B$1)</f>
        <v>4608.22</v>
      </c>
      <c r="BC6">
        <f>_xll.EQNXTDZ($A$1,$B6,BC$1,$B$1)</f>
        <v>4778.91</v>
      </c>
      <c r="BD6">
        <f>_xll.EQNXTDZ($A$1,$B6,BD$1,$B$1)</f>
        <v>4965.8999999999996</v>
      </c>
      <c r="BE6">
        <f>_xll.EQNXTDZ($A$1,$B6,BE$1,$B$1)</f>
        <v>5112</v>
      </c>
      <c r="BF6">
        <f>_xll.EQNXTDZ($A$1,$B6,BF$1,$B$1)</f>
        <v>5433.62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10.220000000000001</v>
      </c>
      <c r="D8">
        <f>_xll.EQNXTDZ($A$1,$B8,D$1,$B$1)</f>
        <v>22.38</v>
      </c>
      <c r="E8">
        <f>_xll.EQNXTDZ($A$1,$B8,E$1,$B$1)</f>
        <v>11.32</v>
      </c>
      <c r="F8">
        <f>_xll.EQNXTDZ($A$1,$B8,F$1,$B$1)</f>
        <v>38.61</v>
      </c>
      <c r="G8">
        <f>_xll.EQNXTDZ($A$1,$B8,G$1,$B$1)</f>
        <v>17.309999999999999</v>
      </c>
      <c r="H8">
        <f>_xll.EQNXTDZ($A$1,$B8,H$1,$B$1)</f>
        <v>27.25</v>
      </c>
      <c r="I8">
        <f>_xll.EQNXTDZ($A$1,$B8,I$1,$B$1)</f>
        <v>26.83</v>
      </c>
      <c r="J8">
        <f>_xll.EQNXTDZ($A$1,$B8,J$1,$B$1)</f>
        <v>44.24</v>
      </c>
      <c r="K8">
        <f>_xll.EQNXTDZ($A$1,$B8,K$1,$B$1)</f>
        <v>26.71</v>
      </c>
      <c r="L8">
        <f>_xll.EQNXTDZ($A$1,$B8,L$1,$B$1)</f>
        <v>54.67</v>
      </c>
      <c r="M8">
        <f>_xll.EQNXTDZ($A$1,$B8,M$1,$B$1)</f>
        <v>31.27</v>
      </c>
      <c r="N8">
        <f>_xll.EQNXTDZ($A$1,$B8,N$1,$B$1)</f>
        <v>48.07</v>
      </c>
      <c r="O8">
        <f>_xll.EQNXTDZ($A$1,$B8,O$1,$B$1)</f>
        <v>24.06</v>
      </c>
      <c r="P8">
        <f>_xll.EQNXTDZ($A$1,$B8,P$1,$B$1)</f>
        <v>29.17</v>
      </c>
      <c r="Q8">
        <f>_xll.EQNXTDZ($A$1,$B8,Q$1,$B$1)</f>
        <v>26.58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1725.1</v>
      </c>
      <c r="D9">
        <f>_xll.EQNXTDZ($A$1,$B9,D$1,$B$1)</f>
        <v>1864.95</v>
      </c>
      <c r="E9">
        <f>_xll.EQNXTDZ($A$1,$B9,E$1,$B$1)</f>
        <v>1911.43</v>
      </c>
      <c r="F9">
        <f>_xll.EQNXTDZ($A$1,$B9,F$1,$B$1)</f>
        <v>1849.5</v>
      </c>
      <c r="G9">
        <f>_xll.EQNXTDZ($A$1,$B9,G$1,$B$1)</f>
        <v>1813.46</v>
      </c>
      <c r="H9">
        <f>_xll.EQNXTDZ($A$1,$B9,H$1,$B$1)</f>
        <v>1933.48</v>
      </c>
      <c r="I9">
        <f>_xll.EQNXTDZ($A$1,$B9,I$1,$B$1)</f>
        <v>2080.7399999999998</v>
      </c>
      <c r="J9">
        <f>_xll.EQNXTDZ($A$1,$B9,J$1,$B$1)</f>
        <v>1909.93</v>
      </c>
      <c r="K9">
        <f>_xll.EQNXTDZ($A$1,$B9,K$1,$B$1)</f>
        <v>1910.66</v>
      </c>
      <c r="L9">
        <f>_xll.EQNXTDZ($A$1,$B9,L$1,$B$1)</f>
        <v>2019.08</v>
      </c>
      <c r="M9">
        <f>_xll.EQNXTDZ($A$1,$B9,M$1,$B$1)</f>
        <v>2141</v>
      </c>
      <c r="N9">
        <f>_xll.EQNXTDZ($A$1,$B9,N$1,$B$1)</f>
        <v>1922.65</v>
      </c>
      <c r="O9">
        <f>_xll.EQNXTDZ($A$1,$B9,O$1,$B$1)</f>
        <v>1672.18</v>
      </c>
      <c r="P9">
        <f>_xll.EQNXTDZ($A$1,$B9,P$1,$B$1)</f>
        <v>1669.45</v>
      </c>
      <c r="Q9">
        <f>_xll.EQNXTDZ($A$1,$B9,Q$1,$B$1)</f>
        <v>1699.61</v>
      </c>
      <c r="R9">
        <f>_xll.EQNXTDZ($A$1,$B9,R$1,$B$1)</f>
        <v>1598.35</v>
      </c>
      <c r="S9">
        <f>_xll.EQNXTDZ($A$1,$B9,S$1,$B$1)</f>
        <v>1735.46</v>
      </c>
      <c r="T9">
        <f>_xll.EQNXTDZ($A$1,$B9,T$1,$B$1)</f>
        <v>1621.64</v>
      </c>
      <c r="U9">
        <f>_xll.EQNXTDZ($A$1,$B9,U$1,$B$1)</f>
        <v>1740.82</v>
      </c>
      <c r="V9">
        <f>_xll.EQNXTDZ($A$1,$B9,V$1,$B$1)</f>
        <v>1681.97</v>
      </c>
      <c r="W9">
        <f>_xll.EQNXTDZ($A$1,$B9,W$1,$B$1)</f>
        <v>1704.42</v>
      </c>
      <c r="X9">
        <f>_xll.EQNXTDZ($A$1,$B9,X$1,$B$1)</f>
        <v>1692.14</v>
      </c>
      <c r="Y9">
        <f>_xll.EQNXTDZ($A$1,$B9,Y$1,$B$1)</f>
        <v>1730.39</v>
      </c>
      <c r="Z9">
        <f>_xll.EQNXTDZ($A$1,$B9,Z$1,$B$1)</f>
        <v>1688.4</v>
      </c>
      <c r="AA9">
        <f>_xll.EQNXTDZ($A$1,$B9,AA$1,$B$1)</f>
        <v>1802.59</v>
      </c>
      <c r="AB9">
        <f>_xll.EQNXTDZ($A$1,$B9,AB$1,$B$1)</f>
        <v>1760.87</v>
      </c>
      <c r="AC9">
        <f>_xll.EQNXTDZ($A$1,$B9,AC$1,$B$1)</f>
        <v>1912.58</v>
      </c>
      <c r="AD9">
        <f>_xll.EQNXTDZ($A$1,$B9,AD$1,$B$1)</f>
        <v>1775.46</v>
      </c>
      <c r="AE9">
        <f>_xll.EQNXTDZ($A$1,$B9,AE$1,$B$1)</f>
        <v>2392.36</v>
      </c>
      <c r="AF9">
        <f>_xll.EQNXTDZ($A$1,$B9,AF$1,$B$1)</f>
        <v>2347.0700000000002</v>
      </c>
      <c r="AG9">
        <f>_xll.EQNXTDZ($A$1,$B9,AG$1,$B$1)</f>
        <v>2492.96</v>
      </c>
      <c r="AH9">
        <f>_xll.EQNXTDZ($A$1,$B9,AH$1,$B$1)</f>
        <v>2405.0300000000002</v>
      </c>
      <c r="AI9">
        <f>_xll.EQNXTDZ($A$1,$B9,AI$1,$B$1)</f>
        <v>2713.91</v>
      </c>
      <c r="AJ9">
        <f>_xll.EQNXTDZ($A$1,$B9,AJ$1,$B$1)</f>
        <v>2781.34</v>
      </c>
      <c r="AK9">
        <f>_xll.EQNXTDZ($A$1,$B9,AK$1,$B$1)</f>
        <v>3069.56</v>
      </c>
      <c r="AL9">
        <f>_xll.EQNXTDZ($A$1,$B9,AL$1,$B$1)</f>
        <v>3037.22</v>
      </c>
      <c r="AM9">
        <f>_xll.EQNXTDZ($A$1,$B9,AM$1,$B$1)</f>
        <v>3008.46</v>
      </c>
      <c r="AN9">
        <f>_xll.EQNXTDZ($A$1,$B9,AN$1,$B$1)</f>
        <v>3033.12</v>
      </c>
      <c r="AO9">
        <f>_xll.EQNXTDZ($A$1,$B9,AO$1,$B$1)</f>
        <v>3208.38</v>
      </c>
      <c r="AP9">
        <f>_xll.EQNXTDZ($A$1,$B9,AP$1,$B$1)</f>
        <v>3175.41</v>
      </c>
      <c r="AQ9">
        <f>_xll.EQNXTDZ($A$1,$B9,AQ$1,$B$1)</f>
        <v>3326.83</v>
      </c>
      <c r="AR9">
        <f>_xll.EQNXTDZ($A$1,$B9,AR$1,$B$1)</f>
        <v>3363.05</v>
      </c>
      <c r="AS9">
        <f>_xll.EQNXTDZ($A$1,$B9,AS$1,$B$1)</f>
        <v>3474.55</v>
      </c>
      <c r="AT9">
        <f>_xll.EQNXTDZ($A$1,$B9,AT$1,$B$1)</f>
        <v>3618.73</v>
      </c>
      <c r="AU9">
        <f>_xll.EQNXTDZ($A$1,$B9,AU$1,$B$1)</f>
        <v>3741.21</v>
      </c>
      <c r="AV9">
        <f>_xll.EQNXTDZ($A$1,$B9,AV$1,$B$1)</f>
        <v>3733.78</v>
      </c>
      <c r="AW9">
        <f>_xll.EQNXTDZ($A$1,$B9,AW$1,$B$1)</f>
        <v>3803.92</v>
      </c>
      <c r="AX9">
        <f>_xll.EQNXTDZ($A$1,$B9,AX$1,$B$1)</f>
        <v>3926.94</v>
      </c>
      <c r="AY9">
        <f>_xll.EQNXTDZ($A$1,$B9,AY$1,$B$1)</f>
        <v>4352.07</v>
      </c>
      <c r="AZ9">
        <f>_xll.EQNXTDZ($A$1,$B9,AZ$1,$B$1)</f>
        <v>4214.45</v>
      </c>
      <c r="BA9">
        <f>_xll.EQNXTDZ($A$1,$B9,BA$1,$B$1)</f>
        <v>4443.5600000000004</v>
      </c>
      <c r="BB9">
        <f>_xll.EQNXTDZ($A$1,$B9,BB$1,$B$1)</f>
        <v>4608.22</v>
      </c>
      <c r="BC9">
        <f>_xll.EQNXTDZ($A$1,$B9,BC$1,$B$1)</f>
        <v>4778.91</v>
      </c>
      <c r="BD9">
        <f>_xll.EQNXTDZ($A$1,$B9,BD$1,$B$1)</f>
        <v>4965.8999999999996</v>
      </c>
      <c r="BE9">
        <f>_xll.EQNXTDZ($A$1,$B9,BE$1,$B$1)</f>
        <v>5112</v>
      </c>
      <c r="BF9">
        <f>_xll.EQNXTDZ($A$1,$B9,BF$1,$B$1)</f>
        <v>5433.62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-25.48</v>
      </c>
      <c r="D10">
        <f>_xll.EQNXTDZ($A$1,$B10,D$1,$B$1)</f>
        <v>40.11</v>
      </c>
      <c r="E10">
        <f>_xll.EQNXTDZ($A$1,$B10,E$1,$B$1)</f>
        <v>-9.33</v>
      </c>
      <c r="F10">
        <f>_xll.EQNXTDZ($A$1,$B10,F$1,$B$1)</f>
        <v>-46.84</v>
      </c>
      <c r="G10">
        <f>_xll.EQNXTDZ($A$1,$B10,G$1,$B$1)</f>
        <v>-6.28</v>
      </c>
      <c r="H10">
        <f>_xll.EQNXTDZ($A$1,$B10,H$1,$B$1)</f>
        <v>-42.22</v>
      </c>
      <c r="I10">
        <f>_xll.EQNXTDZ($A$1,$B10,I$1,$B$1)</f>
        <v>-43.34</v>
      </c>
      <c r="J10">
        <f>_xll.EQNXTDZ($A$1,$B10,J$1,$B$1)</f>
        <v>-22.35</v>
      </c>
      <c r="K10">
        <f>_xll.EQNXTDZ($A$1,$B10,K$1,$B$1)</f>
        <v>40.44</v>
      </c>
      <c r="L10">
        <f>_xll.EQNXTDZ($A$1,$B10,L$1,$B$1)</f>
        <v>-7.31</v>
      </c>
      <c r="M10">
        <f>_xll.EQNXTDZ($A$1,$B10,M$1,$B$1)</f>
        <v>13.41</v>
      </c>
      <c r="N10">
        <f>_xll.EQNXTDZ($A$1,$B10,N$1,$B$1)</f>
        <v>-97.79</v>
      </c>
      <c r="O10">
        <f>_xll.EQNXTDZ($A$1,$B10,O$1,$B$1)</f>
        <v>41.13</v>
      </c>
      <c r="P10">
        <f>_xll.EQNXTDZ($A$1,$B10,P$1,$B$1)</f>
        <v>-15</v>
      </c>
      <c r="Q10">
        <f>_xll.EQNXTDZ($A$1,$B10,Q$1,$B$1)</f>
        <v>12.45</v>
      </c>
      <c r="R10">
        <f>_xll.EQNXTDZ($A$1,$B10,R$1,$B$1)</f>
        <v>-18.47</v>
      </c>
      <c r="S10">
        <f>_xll.EQNXTDZ($A$1,$B10,S$1,$B$1)</f>
        <v>101.97</v>
      </c>
      <c r="T10">
        <f>_xll.EQNXTDZ($A$1,$B10,T$1,$B$1)</f>
        <v>2.97</v>
      </c>
      <c r="U10">
        <f>_xll.EQNXTDZ($A$1,$B10,U$1,$B$1)</f>
        <v>-28.18</v>
      </c>
      <c r="V10">
        <f>_xll.EQNXTDZ($A$1,$B10,V$1,$B$1)</f>
        <v>-77.45</v>
      </c>
      <c r="W10">
        <f>_xll.EQNXTDZ($A$1,$B10,W$1,$B$1)</f>
        <v>-10.130000000000001</v>
      </c>
      <c r="X10">
        <f>_xll.EQNXTDZ($A$1,$B10,X$1,$B$1)</f>
        <v>39.5</v>
      </c>
      <c r="Y10">
        <f>_xll.EQNXTDZ($A$1,$B10,Y$1,$B$1)</f>
        <v>-20.04</v>
      </c>
      <c r="Z10">
        <f>_xll.EQNXTDZ($A$1,$B10,Z$1,$B$1)</f>
        <v>-56.13</v>
      </c>
      <c r="AA10">
        <f>_xll.EQNXTDZ($A$1,$B10,AA$1,$B$1)</f>
        <v>-11.69</v>
      </c>
      <c r="AB10">
        <f>_xll.EQNXTDZ($A$1,$B10,AB$1,$B$1)</f>
        <v>-18.850000000000001</v>
      </c>
      <c r="AC10">
        <f>_xll.EQNXTDZ($A$1,$B10,AC$1,$B$1)</f>
        <v>46.47</v>
      </c>
      <c r="AD10">
        <f>_xll.EQNXTDZ($A$1,$B10,AD$1,$B$1)</f>
        <v>-30.34</v>
      </c>
      <c r="AE10">
        <f>_xll.EQNXTDZ($A$1,$B10,AE$1,$B$1)</f>
        <v>75.790000000000006</v>
      </c>
      <c r="AF10">
        <f>_xll.EQNXTDZ($A$1,$B10,AF$1,$B$1)</f>
        <v>-18.14</v>
      </c>
      <c r="AG10">
        <f>_xll.EQNXTDZ($A$1,$B10,AG$1,$B$1)</f>
        <v>-5.27</v>
      </c>
      <c r="AH10">
        <f>_xll.EQNXTDZ($A$1,$B10,AH$1,$B$1)</f>
        <v>-44.6</v>
      </c>
      <c r="AI10">
        <f>_xll.EQNXTDZ($A$1,$B10,AI$1,$B$1)</f>
        <v>-46.55</v>
      </c>
      <c r="AJ10">
        <f>_xll.EQNXTDZ($A$1,$B10,AJ$1,$B$1)</f>
        <v>-80.94</v>
      </c>
      <c r="AK10">
        <f>_xll.EQNXTDZ($A$1,$B10,AK$1,$B$1)</f>
        <v>-11.4</v>
      </c>
      <c r="AL10">
        <f>_xll.EQNXTDZ($A$1,$B10,AL$1,$B$1)</f>
        <v>-10.65</v>
      </c>
      <c r="AM10">
        <f>_xll.EQNXTDZ($A$1,$B10,AM$1,$B$1)</f>
        <v>-73.91</v>
      </c>
      <c r="AN10">
        <f>_xll.EQNXTDZ($A$1,$B10,AN$1,$B$1)</f>
        <v>19.12</v>
      </c>
      <c r="AO10">
        <f>_xll.EQNXTDZ($A$1,$B10,AO$1,$B$1)</f>
        <v>93.36</v>
      </c>
      <c r="AP10">
        <f>_xll.EQNXTDZ($A$1,$B10,AP$1,$B$1)</f>
        <v>-78.349999999999994</v>
      </c>
      <c r="AQ10">
        <f>_xll.EQNXTDZ($A$1,$B10,AQ$1,$B$1)</f>
        <v>-144.87</v>
      </c>
      <c r="AR10">
        <f>_xll.EQNXTDZ($A$1,$B10,AR$1,$B$1)</f>
        <v>-45.55</v>
      </c>
      <c r="AS10">
        <f>_xll.EQNXTDZ($A$1,$B10,AS$1,$B$1)</f>
        <v>-23.98</v>
      </c>
      <c r="AT10">
        <f>_xll.EQNXTDZ($A$1,$B10,AT$1,$B$1)</f>
        <v>-59.48</v>
      </c>
      <c r="AU10">
        <f>_xll.EQNXTDZ($A$1,$B10,AU$1,$B$1)</f>
        <v>38.729999999999997</v>
      </c>
      <c r="AV10">
        <f>_xll.EQNXTDZ($A$1,$B10,AV$1,$B$1)</f>
        <v>-8.5500000000000007</v>
      </c>
      <c r="AW10">
        <f>_xll.EQNXTDZ($A$1,$B10,AW$1,$B$1)</f>
        <v>56.23</v>
      </c>
      <c r="AX10">
        <f>_xll.EQNXTDZ($A$1,$B10,AX$1,$B$1)</f>
        <v>-208.01</v>
      </c>
      <c r="AY10">
        <f>_xll.EQNXTDZ($A$1,$B10,AY$1,$B$1)</f>
        <v>-133.80000000000001</v>
      </c>
      <c r="AZ10">
        <f>_xll.EQNXTDZ($A$1,$B10,AZ$1,$B$1)</f>
        <v>-102.74</v>
      </c>
      <c r="BA10">
        <f>_xll.EQNXTDZ($A$1,$B10,BA$1,$B$1)</f>
        <v>-47.41</v>
      </c>
      <c r="BB10">
        <f>_xll.EQNXTDZ($A$1,$B10,BB$1,$B$1)</f>
        <v>-78.540000000000006</v>
      </c>
      <c r="BC10">
        <f>_xll.EQNXTDZ($A$1,$B10,BC$1,$B$1)</f>
        <v>-120.88</v>
      </c>
      <c r="BD10">
        <f>_xll.EQNXTDZ($A$1,$B10,BD$1,$B$1)</f>
        <v>-65.53</v>
      </c>
      <c r="BE10">
        <f>_xll.EQNXTDZ($A$1,$B10,BE$1,$B$1)</f>
        <v>36.770000000000003</v>
      </c>
      <c r="BF10">
        <f>_xll.EQNXTDZ($A$1,$B10,BF$1,$B$1)</f>
        <v>108.89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807.41</v>
      </c>
      <c r="D11">
        <f>_xll.EQNXTDZ($A$1,$B11,D$1,$B$1)</f>
        <v>828.5</v>
      </c>
      <c r="E11">
        <f>_xll.EQNXTDZ($A$1,$B11,E$1,$B$1)</f>
        <v>873.69</v>
      </c>
      <c r="F11">
        <f>_xll.EQNXTDZ($A$1,$B11,F$1,$B$1)</f>
        <v>815.71</v>
      </c>
      <c r="G11">
        <f>_xll.EQNXTDZ($A$1,$B11,G$1,$B$1)</f>
        <v>835.04</v>
      </c>
      <c r="H11">
        <f>_xll.EQNXTDZ($A$1,$B11,H$1,$B$1)</f>
        <v>920.63</v>
      </c>
      <c r="I11">
        <f>_xll.EQNXTDZ($A$1,$B11,I$1,$B$1)</f>
        <v>940.8</v>
      </c>
      <c r="J11">
        <f>_xll.EQNXTDZ($A$1,$B11,J$1,$B$1)</f>
        <v>831.62</v>
      </c>
      <c r="K11">
        <f>_xll.EQNXTDZ($A$1,$B11,K$1,$B$1)</f>
        <v>820.87</v>
      </c>
      <c r="L11">
        <f>_xll.EQNXTDZ($A$1,$B11,L$1,$B$1)</f>
        <v>924.92</v>
      </c>
      <c r="M11">
        <f>_xll.EQNXTDZ($A$1,$B11,M$1,$B$1)</f>
        <v>960.12</v>
      </c>
      <c r="N11">
        <f>_xll.EQNXTDZ($A$1,$B11,N$1,$B$1)</f>
        <v>919.21</v>
      </c>
      <c r="O11">
        <f>_xll.EQNXTDZ($A$1,$B11,O$1,$B$1)</f>
        <v>831.84</v>
      </c>
      <c r="P11">
        <f>_xll.EQNXTDZ($A$1,$B11,P$1,$B$1)</f>
        <v>862.4</v>
      </c>
      <c r="Q11">
        <f>_xll.EQNXTDZ($A$1,$B11,Q$1,$B$1)</f>
        <v>831</v>
      </c>
      <c r="R11">
        <f>_xll.EQNXTDZ($A$1,$B11,R$1,$B$1)</f>
        <v>789.19</v>
      </c>
      <c r="S11">
        <f>_xll.EQNXTDZ($A$1,$B11,S$1,$B$1)</f>
        <v>781.97</v>
      </c>
      <c r="T11">
        <f>_xll.EQNXTDZ($A$1,$B11,T$1,$B$1)</f>
        <v>783.86</v>
      </c>
      <c r="U11">
        <f>_xll.EQNXTDZ($A$1,$B11,U$1,$B$1)</f>
        <v>848.47</v>
      </c>
      <c r="V11">
        <f>_xll.EQNXTDZ($A$1,$B11,V$1,$B$1)</f>
        <v>791.52</v>
      </c>
      <c r="W11">
        <f>_xll.EQNXTDZ($A$1,$B11,W$1,$B$1)</f>
        <v>791.66</v>
      </c>
      <c r="X11">
        <f>_xll.EQNXTDZ($A$1,$B11,X$1,$B$1)</f>
        <v>777.08</v>
      </c>
      <c r="Y11">
        <f>_xll.EQNXTDZ($A$1,$B11,Y$1,$B$1)</f>
        <v>836.92</v>
      </c>
      <c r="Z11">
        <f>_xll.EQNXTDZ($A$1,$B11,Z$1,$B$1)</f>
        <v>797.56</v>
      </c>
      <c r="AA11">
        <f>_xll.EQNXTDZ($A$1,$B11,AA$1,$B$1)</f>
        <v>777.36</v>
      </c>
      <c r="AB11">
        <f>_xll.EQNXTDZ($A$1,$B11,AB$1,$B$1)</f>
        <v>842</v>
      </c>
      <c r="AC11">
        <f>_xll.EQNXTDZ($A$1,$B11,AC$1,$B$1)</f>
        <v>861.77</v>
      </c>
      <c r="AD11">
        <f>_xll.EQNXTDZ($A$1,$B11,AD$1,$B$1)</f>
        <v>813.05</v>
      </c>
      <c r="AE11">
        <f>_xll.EQNXTDZ($A$1,$B11,AE$1,$B$1)</f>
        <v>879.21</v>
      </c>
      <c r="AF11">
        <f>_xll.EQNXTDZ($A$1,$B11,AF$1,$B$1)</f>
        <v>907.68</v>
      </c>
      <c r="AG11">
        <f>_xll.EQNXTDZ($A$1,$B11,AG$1,$B$1)</f>
        <v>946.79</v>
      </c>
      <c r="AH11">
        <f>_xll.EQNXTDZ($A$1,$B11,AH$1,$B$1)</f>
        <v>872.98</v>
      </c>
      <c r="AI11">
        <f>_xll.EQNXTDZ($A$1,$B11,AI$1,$B$1)</f>
        <v>1013.85</v>
      </c>
      <c r="AJ11">
        <f>_xll.EQNXTDZ($A$1,$B11,AJ$1,$B$1)</f>
        <v>1208.1099999999999</v>
      </c>
      <c r="AK11">
        <f>_xll.EQNXTDZ($A$1,$B11,AK$1,$B$1)</f>
        <v>1392.56</v>
      </c>
      <c r="AL11">
        <f>_xll.EQNXTDZ($A$1,$B11,AL$1,$B$1)</f>
        <v>1322.93</v>
      </c>
      <c r="AM11">
        <f>_xll.EQNXTDZ($A$1,$B11,AM$1,$B$1)</f>
        <v>1313.64</v>
      </c>
      <c r="AN11">
        <f>_xll.EQNXTDZ($A$1,$B11,AN$1,$B$1)</f>
        <v>1232.02</v>
      </c>
      <c r="AO11">
        <f>_xll.EQNXTDZ($A$1,$B11,AO$1,$B$1)</f>
        <v>1161.58</v>
      </c>
      <c r="AP11">
        <f>_xll.EQNXTDZ($A$1,$B11,AP$1,$B$1)</f>
        <v>1201.1199999999999</v>
      </c>
      <c r="AQ11">
        <f>_xll.EQNXTDZ($A$1,$B11,AQ$1,$B$1)</f>
        <v>1360.48</v>
      </c>
      <c r="AR11">
        <f>_xll.EQNXTDZ($A$1,$B11,AR$1,$B$1)</f>
        <v>1327.27</v>
      </c>
      <c r="AS11">
        <f>_xll.EQNXTDZ($A$1,$B11,AS$1,$B$1)</f>
        <v>1350.5</v>
      </c>
      <c r="AT11">
        <f>_xll.EQNXTDZ($A$1,$B11,AT$1,$B$1)</f>
        <v>1338.31</v>
      </c>
      <c r="AU11">
        <f>_xll.EQNXTDZ($A$1,$B11,AU$1,$B$1)</f>
        <v>1469.92</v>
      </c>
      <c r="AV11">
        <f>_xll.EQNXTDZ($A$1,$B11,AV$1,$B$1)</f>
        <v>1348.9</v>
      </c>
      <c r="AW11">
        <f>_xll.EQNXTDZ($A$1,$B11,AW$1,$B$1)</f>
        <v>1345.18</v>
      </c>
      <c r="AX11">
        <f>_xll.EQNXTDZ($A$1,$B11,AX$1,$B$1)</f>
        <v>1566.2</v>
      </c>
      <c r="AY11">
        <f>_xll.EQNXTDZ($A$1,$B11,AY$1,$B$1)</f>
        <v>1683.8</v>
      </c>
      <c r="AZ11">
        <f>_xll.EQNXTDZ($A$1,$B11,AZ$1,$B$1)</f>
        <v>1641.37</v>
      </c>
      <c r="BA11">
        <f>_xll.EQNXTDZ($A$1,$B11,BA$1,$B$1)</f>
        <v>1806.67</v>
      </c>
      <c r="BB11">
        <f>_xll.EQNXTDZ($A$1,$B11,BB$1,$B$1)</f>
        <v>1865.56</v>
      </c>
      <c r="BC11">
        <f>_xll.EQNXTDZ($A$1,$B11,BC$1,$B$1)</f>
        <v>2036.7</v>
      </c>
      <c r="BD11">
        <f>_xll.EQNXTDZ($A$1,$B11,BD$1,$B$1)</f>
        <v>1984.4</v>
      </c>
      <c r="BE11">
        <f>_xll.EQNXTDZ($A$1,$B11,BE$1,$B$1)</f>
        <v>1842.53</v>
      </c>
      <c r="BF11">
        <f>_xll.EQNXTDZ($A$1,$B11,BF$1,$B$1)</f>
        <v>1924.53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83.9</v>
      </c>
      <c r="D12">
        <f>_xll.EQNXTDZ($A$1,$B12,D$1,$B$1)</f>
        <v>67.88</v>
      </c>
      <c r="E12">
        <f>_xll.EQNXTDZ($A$1,$B12,E$1,$B$1)</f>
        <v>65.73</v>
      </c>
      <c r="F12">
        <f>_xll.EQNXTDZ($A$1,$B12,F$1,$B$1)</f>
        <v>65.709999999999994</v>
      </c>
      <c r="G12">
        <f>_xll.EQNXTDZ($A$1,$B12,G$1,$B$1)</f>
        <v>58.46</v>
      </c>
      <c r="H12">
        <f>_xll.EQNXTDZ($A$1,$B12,H$1,$B$1)</f>
        <v>65.19</v>
      </c>
      <c r="I12">
        <f>_xll.EQNXTDZ($A$1,$B12,I$1,$B$1)</f>
        <v>66.31</v>
      </c>
      <c r="J12">
        <f>_xll.EQNXTDZ($A$1,$B12,J$1,$B$1)</f>
        <v>73.599999999999994</v>
      </c>
      <c r="K12">
        <f>_xll.EQNXTDZ($A$1,$B12,K$1,$B$1)</f>
        <v>73.5</v>
      </c>
      <c r="L12">
        <f>_xll.EQNXTDZ($A$1,$B12,L$1,$B$1)</f>
        <v>62.88</v>
      </c>
      <c r="M12">
        <f>_xll.EQNXTDZ($A$1,$B12,M$1,$B$1)</f>
        <v>60.48</v>
      </c>
      <c r="N12">
        <f>_xll.EQNXTDZ($A$1,$B12,N$1,$B$1)</f>
        <v>66.61</v>
      </c>
      <c r="O12">
        <f>_xll.EQNXTDZ($A$1,$B12,O$1,$B$1)</f>
        <v>58.85</v>
      </c>
      <c r="P12">
        <f>_xll.EQNXTDZ($A$1,$B12,P$1,$B$1)</f>
        <v>84.33</v>
      </c>
      <c r="Q12">
        <f>_xll.EQNXTDZ($A$1,$B12,Q$1,$B$1)</f>
        <v>71.09</v>
      </c>
      <c r="R12">
        <f>_xll.EQNXTDZ($A$1,$B12,R$1,$B$1)</f>
        <v>74.7</v>
      </c>
      <c r="S12">
        <f>_xll.EQNXTDZ($A$1,$B12,S$1,$B$1)</f>
        <v>67.88</v>
      </c>
      <c r="T12">
        <f>_xll.EQNXTDZ($A$1,$B12,T$1,$B$1)</f>
        <v>57.12</v>
      </c>
      <c r="U12">
        <f>_xll.EQNXTDZ($A$1,$B12,U$1,$B$1)</f>
        <v>114.26</v>
      </c>
      <c r="V12">
        <f>_xll.EQNXTDZ($A$1,$B12,V$1,$B$1)</f>
        <v>117.18</v>
      </c>
      <c r="W12">
        <f>_xll.EQNXTDZ($A$1,$B12,W$1,$B$1)</f>
        <v>127.98</v>
      </c>
      <c r="X12">
        <f>_xll.EQNXTDZ($A$1,$B12,X$1,$B$1)</f>
        <v>105.93</v>
      </c>
      <c r="Y12">
        <f>_xll.EQNXTDZ($A$1,$B12,Y$1,$B$1)</f>
        <v>110.63</v>
      </c>
      <c r="Z12">
        <f>_xll.EQNXTDZ($A$1,$B12,Z$1,$B$1)</f>
        <v>198.35</v>
      </c>
      <c r="AA12">
        <f>_xll.EQNXTDZ($A$1,$B12,AA$1,$B$1)</f>
        <v>214.69</v>
      </c>
      <c r="AB12">
        <f>_xll.EQNXTDZ($A$1,$B12,AB$1,$B$1)</f>
        <v>174.86</v>
      </c>
      <c r="AC12">
        <f>_xll.EQNXTDZ($A$1,$B12,AC$1,$B$1)</f>
        <v>148.69</v>
      </c>
      <c r="AD12">
        <f>_xll.EQNXTDZ($A$1,$B12,AD$1,$B$1)</f>
        <v>189.63</v>
      </c>
      <c r="AE12">
        <f>_xll.EQNXTDZ($A$1,$B12,AE$1,$B$1)</f>
        <v>409.91</v>
      </c>
      <c r="AF12">
        <f>_xll.EQNXTDZ($A$1,$B12,AF$1,$B$1)</f>
        <v>436.46</v>
      </c>
      <c r="AG12">
        <f>_xll.EQNXTDZ($A$1,$B12,AG$1,$B$1)</f>
        <v>466.31</v>
      </c>
      <c r="AH12">
        <f>_xll.EQNXTDZ($A$1,$B12,AH$1,$B$1)</f>
        <v>483.56</v>
      </c>
      <c r="AI12">
        <f>_xll.EQNXTDZ($A$1,$B12,AI$1,$B$1)</f>
        <v>533.32000000000005</v>
      </c>
      <c r="AJ12">
        <f>_xll.EQNXTDZ($A$1,$B12,AJ$1,$B$1)</f>
        <v>518.98</v>
      </c>
      <c r="AK12">
        <f>_xll.EQNXTDZ($A$1,$B12,AK$1,$B$1)</f>
        <v>528.4</v>
      </c>
      <c r="AL12">
        <f>_xll.EQNXTDZ($A$1,$B12,AL$1,$B$1)</f>
        <v>533.70000000000005</v>
      </c>
      <c r="AM12">
        <f>_xll.EQNXTDZ($A$1,$B12,AM$1,$B$1)</f>
        <v>542.67999999999995</v>
      </c>
      <c r="AN12">
        <f>_xll.EQNXTDZ($A$1,$B12,AN$1,$B$1)</f>
        <v>485.15</v>
      </c>
      <c r="AO12">
        <f>_xll.EQNXTDZ($A$1,$B12,AO$1,$B$1)</f>
        <v>551.64</v>
      </c>
      <c r="AP12">
        <f>_xll.EQNXTDZ($A$1,$B12,AP$1,$B$1)</f>
        <v>635.91999999999996</v>
      </c>
      <c r="AQ12">
        <f>_xll.EQNXTDZ($A$1,$B12,AQ$1,$B$1)</f>
        <v>693.47</v>
      </c>
      <c r="AR12">
        <f>_xll.EQNXTDZ($A$1,$B12,AR$1,$B$1)</f>
        <v>677.49</v>
      </c>
      <c r="AS12">
        <f>_xll.EQNXTDZ($A$1,$B12,AS$1,$B$1)</f>
        <v>705.5</v>
      </c>
      <c r="AT12">
        <f>_xll.EQNXTDZ($A$1,$B12,AT$1,$B$1)</f>
        <v>826.57</v>
      </c>
      <c r="AU12">
        <f>_xll.EQNXTDZ($A$1,$B12,AU$1,$B$1)</f>
        <v>654.67999999999995</v>
      </c>
      <c r="AV12">
        <f>_xll.EQNXTDZ($A$1,$B12,AV$1,$B$1)</f>
        <v>806.56</v>
      </c>
      <c r="AW12">
        <f>_xll.EQNXTDZ($A$1,$B12,AW$1,$B$1)</f>
        <v>736.38</v>
      </c>
      <c r="AX12">
        <f>_xll.EQNXTDZ($A$1,$B12,AX$1,$B$1)</f>
        <v>757.69</v>
      </c>
      <c r="AY12">
        <f>_xll.EQNXTDZ($A$1,$B12,AY$1,$B$1)</f>
        <v>847.43</v>
      </c>
      <c r="AZ12">
        <f>_xll.EQNXTDZ($A$1,$B12,AZ$1,$B$1)</f>
        <v>838.25</v>
      </c>
      <c r="BA12">
        <f>_xll.EQNXTDZ($A$1,$B12,BA$1,$B$1)</f>
        <v>859.18</v>
      </c>
      <c r="BB12">
        <f>_xll.EQNXTDZ($A$1,$B12,BB$1,$B$1)</f>
        <v>889.51</v>
      </c>
      <c r="BC12">
        <f>_xll.EQNXTDZ($A$1,$B12,BC$1,$B$1)</f>
        <v>946.88</v>
      </c>
      <c r="BD12">
        <f>_xll.EQNXTDZ($A$1,$B12,BD$1,$B$1)</f>
        <v>957.46</v>
      </c>
      <c r="BE12">
        <f>_xll.EQNXTDZ($A$1,$B12,BE$1,$B$1)</f>
        <v>1045.92</v>
      </c>
      <c r="BF12">
        <f>_xll.EQNXTDZ($A$1,$B12,BF$1,$B$1)</f>
        <v>1157.97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223.2</v>
      </c>
      <c r="D14">
        <f>_xll.EQNXTDZ($A$1,$B14,D$1,$B$1)</f>
        <v>260.07</v>
      </c>
      <c r="E14">
        <f>_xll.EQNXTDZ($A$1,$B14,E$1,$B$1)</f>
        <v>269.83</v>
      </c>
      <c r="F14">
        <f>_xll.EQNXTDZ($A$1,$B14,F$1,$B$1)</f>
        <v>283.33</v>
      </c>
      <c r="G14">
        <f>_xll.EQNXTDZ($A$1,$B14,G$1,$B$1)</f>
        <v>244.77</v>
      </c>
      <c r="H14">
        <f>_xll.EQNXTDZ($A$1,$B14,H$1,$B$1)</f>
        <v>264.93</v>
      </c>
      <c r="I14">
        <f>_xll.EQNXTDZ($A$1,$B14,I$1,$B$1)</f>
        <v>314.61</v>
      </c>
      <c r="J14">
        <f>_xll.EQNXTDZ($A$1,$B14,J$1,$B$1)</f>
        <v>292.83</v>
      </c>
      <c r="K14">
        <f>_xll.EQNXTDZ($A$1,$B14,K$1,$B$1)</f>
        <v>279.73</v>
      </c>
      <c r="L14">
        <f>_xll.EQNXTDZ($A$1,$B14,L$1,$B$1)</f>
        <v>283.32</v>
      </c>
      <c r="M14">
        <f>_xll.EQNXTDZ($A$1,$B14,M$1,$B$1)</f>
        <v>317.82</v>
      </c>
      <c r="N14">
        <f>_xll.EQNXTDZ($A$1,$B14,N$1,$B$1)</f>
        <v>317.08</v>
      </c>
      <c r="O14">
        <f>_xll.EQNXTDZ($A$1,$B14,O$1,$B$1)</f>
        <v>223.95</v>
      </c>
      <c r="P14">
        <f>_xll.EQNXTDZ($A$1,$B14,P$1,$B$1)</f>
        <v>245.49</v>
      </c>
      <c r="Q14">
        <f>_xll.EQNXTDZ($A$1,$B14,Q$1,$B$1)</f>
        <v>249.84</v>
      </c>
      <c r="R14">
        <f>_xll.EQNXTDZ($A$1,$B14,R$1,$B$1)</f>
        <v>259.89</v>
      </c>
      <c r="S14">
        <f>_xll.EQNXTDZ($A$1,$B14,S$1,$B$1)</f>
        <v>232.51</v>
      </c>
      <c r="T14">
        <f>_xll.EQNXTDZ($A$1,$B14,T$1,$B$1)</f>
        <v>247.25</v>
      </c>
      <c r="U14">
        <f>_xll.EQNXTDZ($A$1,$B14,U$1,$B$1)</f>
        <v>241.36</v>
      </c>
      <c r="V14">
        <f>_xll.EQNXTDZ($A$1,$B14,V$1,$B$1)</f>
        <v>286.19</v>
      </c>
      <c r="W14">
        <f>_xll.EQNXTDZ($A$1,$B14,W$1,$B$1)</f>
        <v>229.33</v>
      </c>
      <c r="X14">
        <f>_xll.EQNXTDZ($A$1,$B14,X$1,$B$1)</f>
        <v>226.17</v>
      </c>
      <c r="Y14">
        <f>_xll.EQNXTDZ($A$1,$B14,Y$1,$B$1)</f>
        <v>234.41</v>
      </c>
      <c r="Z14">
        <f>_xll.EQNXTDZ($A$1,$B14,Z$1,$B$1)</f>
        <v>256.94</v>
      </c>
      <c r="AA14">
        <f>_xll.EQNXTDZ($A$1,$B14,AA$1,$B$1)</f>
        <v>252.21</v>
      </c>
      <c r="AB14">
        <f>_xll.EQNXTDZ($A$1,$B14,AB$1,$B$1)</f>
        <v>256.61</v>
      </c>
      <c r="AC14">
        <f>_xll.EQNXTDZ($A$1,$B14,AC$1,$B$1)</f>
        <v>299.06</v>
      </c>
      <c r="AD14">
        <f>_xll.EQNXTDZ($A$1,$B14,AD$1,$B$1)</f>
        <v>296.25</v>
      </c>
      <c r="AE14">
        <f>_xll.EQNXTDZ($A$1,$B14,AE$1,$B$1)</f>
        <v>331.54</v>
      </c>
      <c r="AF14">
        <f>_xll.EQNXTDZ($A$1,$B14,AF$1,$B$1)</f>
        <v>323.55</v>
      </c>
      <c r="AG14">
        <f>_xll.EQNXTDZ($A$1,$B14,AG$1,$B$1)</f>
        <v>346.19</v>
      </c>
      <c r="AH14">
        <f>_xll.EQNXTDZ($A$1,$B14,AH$1,$B$1)</f>
        <v>371.79</v>
      </c>
      <c r="AI14">
        <f>_xll.EQNXTDZ($A$1,$B14,AI$1,$B$1)</f>
        <v>367.83</v>
      </c>
      <c r="AJ14">
        <f>_xll.EQNXTDZ($A$1,$B14,AJ$1,$B$1)</f>
        <v>339.5</v>
      </c>
      <c r="AK14">
        <f>_xll.EQNXTDZ($A$1,$B14,AK$1,$B$1)</f>
        <v>347.73</v>
      </c>
      <c r="AL14">
        <f>_xll.EQNXTDZ($A$1,$B14,AL$1,$B$1)</f>
        <v>404.4</v>
      </c>
      <c r="AM14">
        <f>_xll.EQNXTDZ($A$1,$B14,AM$1,$B$1)</f>
        <v>402.94</v>
      </c>
      <c r="AN14">
        <f>_xll.EQNXTDZ($A$1,$B14,AN$1,$B$1)</f>
        <v>416.01</v>
      </c>
      <c r="AO14">
        <f>_xll.EQNXTDZ($A$1,$B14,AO$1,$B$1)</f>
        <v>435.89</v>
      </c>
      <c r="AP14">
        <f>_xll.EQNXTDZ($A$1,$B14,AP$1,$B$1)</f>
        <v>704.35</v>
      </c>
      <c r="AQ14">
        <f>_xll.EQNXTDZ($A$1,$B14,AQ$1,$B$1)</f>
        <v>683.01</v>
      </c>
      <c r="AR14">
        <f>_xll.EQNXTDZ($A$1,$B14,AR$1,$B$1)</f>
        <v>696.17</v>
      </c>
      <c r="AS14">
        <f>_xll.EQNXTDZ($A$1,$B14,AS$1,$B$1)</f>
        <v>705.85</v>
      </c>
      <c r="AT14">
        <f>_xll.EQNXTDZ($A$1,$B14,AT$1,$B$1)</f>
        <v>715.59</v>
      </c>
      <c r="AU14">
        <f>_xll.EQNXTDZ($A$1,$B14,AU$1,$B$1)</f>
        <v>737.1</v>
      </c>
      <c r="AV14">
        <f>_xll.EQNXTDZ($A$1,$B14,AV$1,$B$1)</f>
        <v>745.63</v>
      </c>
      <c r="AW14">
        <f>_xll.EQNXTDZ($A$1,$B14,AW$1,$B$1)</f>
        <v>776.32</v>
      </c>
      <c r="AX14">
        <f>_xll.EQNXTDZ($A$1,$B14,AX$1,$B$1)</f>
        <v>840.2</v>
      </c>
      <c r="AY14">
        <f>_xll.EQNXTDZ($A$1,$B14,AY$1,$B$1)</f>
        <v>942.27</v>
      </c>
      <c r="AZ14">
        <f>_xll.EQNXTDZ($A$1,$B14,AZ$1,$B$1)</f>
        <v>847.74</v>
      </c>
      <c r="BA14">
        <f>_xll.EQNXTDZ($A$1,$B14,BA$1,$B$1)</f>
        <v>882.44</v>
      </c>
      <c r="BB14">
        <f>_xll.EQNXTDZ($A$1,$B14,BB$1,$B$1)</f>
        <v>967.12</v>
      </c>
      <c r="BC14">
        <f>_xll.EQNXTDZ($A$1,$B14,BC$1,$B$1)</f>
        <v>923.63</v>
      </c>
      <c r="BD14">
        <f>_xll.EQNXTDZ($A$1,$B14,BD$1,$B$1)</f>
        <v>1011.09</v>
      </c>
      <c r="BE14">
        <f>_xll.EQNXTDZ($A$1,$B14,BE$1,$B$1)</f>
        <v>1031.6199999999999</v>
      </c>
      <c r="BF14">
        <f>_xll.EQNXTDZ($A$1,$B14,BF$1,$B$1)</f>
        <v>1015.65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174.73</v>
      </c>
      <c r="D16">
        <f>_xll.EQNXTDZ($A$1,$B16,D$1,$B$1)</f>
        <v>178.03</v>
      </c>
      <c r="E16">
        <f>_xll.EQNXTDZ($A$1,$B16,E$1,$B$1)</f>
        <v>185.06</v>
      </c>
      <c r="F16">
        <f>_xll.EQNXTDZ($A$1,$B16,F$1,$B$1)</f>
        <v>202.29</v>
      </c>
      <c r="G16">
        <f>_xll.EQNXTDZ($A$1,$B16,G$1,$B$1)</f>
        <v>186.68</v>
      </c>
      <c r="H16">
        <f>_xll.EQNXTDZ($A$1,$B16,H$1,$B$1)</f>
        <v>200.72</v>
      </c>
      <c r="I16">
        <f>_xll.EQNXTDZ($A$1,$B16,I$1,$B$1)</f>
        <v>205.39</v>
      </c>
      <c r="J16">
        <f>_xll.EQNXTDZ($A$1,$B16,J$1,$B$1)</f>
        <v>196.07</v>
      </c>
      <c r="K16">
        <f>_xll.EQNXTDZ($A$1,$B16,K$1,$B$1)</f>
        <v>209.02</v>
      </c>
      <c r="L16">
        <f>_xll.EQNXTDZ($A$1,$B16,L$1,$B$1)</f>
        <v>214.49</v>
      </c>
      <c r="M16">
        <f>_xll.EQNXTDZ($A$1,$B16,M$1,$B$1)</f>
        <v>212.89</v>
      </c>
      <c r="N16">
        <f>_xll.EQNXTDZ($A$1,$B16,N$1,$B$1)</f>
        <v>221.27</v>
      </c>
      <c r="O16">
        <f>_xll.EQNXTDZ($A$1,$B16,O$1,$B$1)</f>
        <v>191.87</v>
      </c>
      <c r="P16">
        <f>_xll.EQNXTDZ($A$1,$B16,P$1,$B$1)</f>
        <v>198.65</v>
      </c>
      <c r="Q16">
        <f>_xll.EQNXTDZ($A$1,$B16,Q$1,$B$1)</f>
        <v>215.55</v>
      </c>
      <c r="R16">
        <f>_xll.EQNXTDZ($A$1,$B16,R$1,$B$1)</f>
        <v>198.99</v>
      </c>
      <c r="S16">
        <f>_xll.EQNXTDZ($A$1,$B16,S$1,$B$1)</f>
        <v>208.7</v>
      </c>
      <c r="T16">
        <f>_xll.EQNXTDZ($A$1,$B16,T$1,$B$1)</f>
        <v>208.71</v>
      </c>
      <c r="U16">
        <f>_xll.EQNXTDZ($A$1,$B16,U$1,$B$1)</f>
        <v>204.33</v>
      </c>
      <c r="V16">
        <f>_xll.EQNXTDZ($A$1,$B16,V$1,$B$1)</f>
        <v>213.21</v>
      </c>
      <c r="W16">
        <f>_xll.EQNXTDZ($A$1,$B16,W$1,$B$1)</f>
        <v>203.22</v>
      </c>
      <c r="X16">
        <f>_xll.EQNXTDZ($A$1,$B16,X$1,$B$1)</f>
        <v>200.74</v>
      </c>
      <c r="Y16">
        <f>_xll.EQNXTDZ($A$1,$B16,Y$1,$B$1)</f>
        <v>206.71</v>
      </c>
      <c r="Z16">
        <f>_xll.EQNXTDZ($A$1,$B16,Z$1,$B$1)</f>
        <v>210.7</v>
      </c>
      <c r="AA16">
        <f>_xll.EQNXTDZ($A$1,$B16,AA$1,$B$1)</f>
        <v>203.2</v>
      </c>
      <c r="AB16">
        <f>_xll.EQNXTDZ($A$1,$B16,AB$1,$B$1)</f>
        <v>194.95</v>
      </c>
      <c r="AC16">
        <f>_xll.EQNXTDZ($A$1,$B16,AC$1,$B$1)</f>
        <v>205.14</v>
      </c>
      <c r="AD16">
        <f>_xll.EQNXTDZ($A$1,$B16,AD$1,$B$1)</f>
        <v>203.01</v>
      </c>
      <c r="AE16">
        <f>_xll.EQNXTDZ($A$1,$B16,AE$1,$B$1)</f>
        <v>213.76</v>
      </c>
      <c r="AF16">
        <f>_xll.EQNXTDZ($A$1,$B16,AF$1,$B$1)</f>
        <v>220.05</v>
      </c>
      <c r="AG16">
        <f>_xll.EQNXTDZ($A$1,$B16,AG$1,$B$1)</f>
        <v>219.42</v>
      </c>
      <c r="AH16">
        <f>_xll.EQNXTDZ($A$1,$B16,AH$1,$B$1)</f>
        <v>231.57</v>
      </c>
      <c r="AI16">
        <f>_xll.EQNXTDZ($A$1,$B16,AI$1,$B$1)</f>
        <v>229.05</v>
      </c>
      <c r="AJ16">
        <f>_xll.EQNXTDZ($A$1,$B16,AJ$1,$B$1)</f>
        <v>229.73</v>
      </c>
      <c r="AK16">
        <f>_xll.EQNXTDZ($A$1,$B16,AK$1,$B$1)</f>
        <v>241.23</v>
      </c>
      <c r="AL16">
        <f>_xll.EQNXTDZ($A$1,$B16,AL$1,$B$1)</f>
        <v>270.22000000000003</v>
      </c>
      <c r="AM16">
        <f>_xll.EQNXTDZ($A$1,$B16,AM$1,$B$1)</f>
        <v>265.41000000000003</v>
      </c>
      <c r="AN16">
        <f>_xll.EQNXTDZ($A$1,$B16,AN$1,$B$1)</f>
        <v>255.64</v>
      </c>
      <c r="AO16">
        <f>_xll.EQNXTDZ($A$1,$B16,AO$1,$B$1)</f>
        <v>258.91000000000003</v>
      </c>
      <c r="AP16">
        <f>_xll.EQNXTDZ($A$1,$B16,AP$1,$B$1)</f>
        <v>268.04000000000002</v>
      </c>
      <c r="AQ16">
        <f>_xll.EQNXTDZ($A$1,$B16,AQ$1,$B$1)</f>
        <v>277.44</v>
      </c>
      <c r="AR16">
        <f>_xll.EQNXTDZ($A$1,$B16,AR$1,$B$1)</f>
        <v>273.83</v>
      </c>
      <c r="AS16">
        <f>_xll.EQNXTDZ($A$1,$B16,AS$1,$B$1)</f>
        <v>283.02</v>
      </c>
      <c r="AT16">
        <f>_xll.EQNXTDZ($A$1,$B16,AT$1,$B$1)</f>
        <v>286.07</v>
      </c>
      <c r="AU16">
        <f>_xll.EQNXTDZ($A$1,$B16,AU$1,$B$1)</f>
        <v>295.75</v>
      </c>
      <c r="AV16">
        <f>_xll.EQNXTDZ($A$1,$B16,AV$1,$B$1)</f>
        <v>304.14999999999998</v>
      </c>
      <c r="AW16">
        <f>_xll.EQNXTDZ($A$1,$B16,AW$1,$B$1)</f>
        <v>317.43</v>
      </c>
      <c r="AX16">
        <f>_xll.EQNXTDZ($A$1,$B16,AX$1,$B$1)</f>
        <v>341.26</v>
      </c>
      <c r="AY16">
        <f>_xll.EQNXTDZ($A$1,$B16,AY$1,$B$1)</f>
        <v>344.99</v>
      </c>
      <c r="AZ16">
        <f>_xll.EQNXTDZ($A$1,$B16,AZ$1,$B$1)</f>
        <v>363.54</v>
      </c>
      <c r="BA16">
        <f>_xll.EQNXTDZ($A$1,$B16,BA$1,$B$1)</f>
        <v>377.95</v>
      </c>
      <c r="BB16">
        <f>_xll.EQNXTDZ($A$1,$B16,BB$1,$B$1)</f>
        <v>343.62</v>
      </c>
      <c r="BC16">
        <f>_xll.EQNXTDZ($A$1,$B16,BC$1,$B$1)</f>
        <v>385.64</v>
      </c>
      <c r="BD16">
        <f>_xll.EQNXTDZ($A$1,$B16,BD$1,$B$1)</f>
        <v>406.7</v>
      </c>
      <c r="BE16">
        <f>_xll.EQNXTDZ($A$1,$B16,BE$1,$B$1)</f>
        <v>434.49</v>
      </c>
      <c r="BF16">
        <f>_xll.EQNXTDZ($A$1,$B16,BF$1,$B$1)</f>
        <v>434.17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280.56</v>
      </c>
      <c r="D18">
        <f>_xll.EQNXTDZ($A$1,$B18,D$1,$B$1)</f>
        <v>329.19</v>
      </c>
      <c r="E18">
        <f>_xll.EQNXTDZ($A$1,$B18,E$1,$B$1)</f>
        <v>323.22000000000003</v>
      </c>
      <c r="F18">
        <f>_xll.EQNXTDZ($A$1,$B18,F$1,$B$1)</f>
        <v>305.99</v>
      </c>
      <c r="G18">
        <f>_xll.EQNXTDZ($A$1,$B18,G$1,$B$1)</f>
        <v>287.67</v>
      </c>
      <c r="H18">
        <f>_xll.EQNXTDZ($A$1,$B18,H$1,$B$1)</f>
        <v>366.37</v>
      </c>
      <c r="I18">
        <f>_xll.EQNXTDZ($A$1,$B18,I$1,$B$1)</f>
        <v>400.71</v>
      </c>
      <c r="J18">
        <f>_xll.EQNXTDZ($A$1,$B18,J$1,$B$1)</f>
        <v>347.51</v>
      </c>
      <c r="K18">
        <f>_xll.EQNXTDZ($A$1,$B18,K$1,$B$1)</f>
        <v>285.8</v>
      </c>
      <c r="L18">
        <f>_xll.EQNXTDZ($A$1,$B18,L$1,$B$1)</f>
        <v>354.8</v>
      </c>
      <c r="M18">
        <f>_xll.EQNXTDZ($A$1,$B18,M$1,$B$1)</f>
        <v>377.06</v>
      </c>
      <c r="N18">
        <f>_xll.EQNXTDZ($A$1,$B18,N$1,$B$1)</f>
        <v>307.91000000000003</v>
      </c>
      <c r="O18">
        <f>_xll.EQNXTDZ($A$1,$B18,O$1,$B$1)</f>
        <v>141.91999999999999</v>
      </c>
      <c r="P18">
        <f>_xll.EQNXTDZ($A$1,$B18,P$1,$B$1)</f>
        <v>152.84</v>
      </c>
      <c r="Q18">
        <f>_xll.EQNXTDZ($A$1,$B18,Q$1,$B$1)</f>
        <v>148.76</v>
      </c>
      <c r="R18">
        <f>_xll.EQNXTDZ($A$1,$B18,R$1,$B$1)</f>
        <v>134</v>
      </c>
      <c r="S18">
        <f>_xll.EQNXTDZ($A$1,$B18,S$1,$B$1)</f>
        <v>103.94</v>
      </c>
      <c r="T18">
        <f>_xll.EQNXTDZ($A$1,$B18,T$1,$B$1)</f>
        <v>135.75</v>
      </c>
      <c r="U18">
        <f>_xll.EQNXTDZ($A$1,$B18,U$1,$B$1)</f>
        <v>179.1</v>
      </c>
      <c r="V18">
        <f>_xll.EQNXTDZ($A$1,$B18,V$1,$B$1)</f>
        <v>165.86</v>
      </c>
      <c r="W18">
        <f>_xll.EQNXTDZ($A$1,$B18,W$1,$B$1)</f>
        <v>118.19</v>
      </c>
      <c r="X18">
        <f>_xll.EQNXTDZ($A$1,$B18,X$1,$B$1)</f>
        <v>128.76</v>
      </c>
      <c r="Y18">
        <f>_xll.EQNXTDZ($A$1,$B18,Y$1,$B$1)</f>
        <v>126.68</v>
      </c>
      <c r="Z18">
        <f>_xll.EQNXTDZ($A$1,$B18,Z$1,$B$1)</f>
        <v>135.28</v>
      </c>
      <c r="AA18">
        <f>_xll.EQNXTDZ($A$1,$B18,AA$1,$B$1)</f>
        <v>118.05</v>
      </c>
      <c r="AB18">
        <f>_xll.EQNXTDZ($A$1,$B18,AB$1,$B$1)</f>
        <v>144.65</v>
      </c>
      <c r="AC18">
        <f>_xll.EQNXTDZ($A$1,$B18,AC$1,$B$1)</f>
        <v>155.22999999999999</v>
      </c>
      <c r="AD18">
        <f>_xll.EQNXTDZ($A$1,$B18,AD$1,$B$1)</f>
        <v>129.59</v>
      </c>
      <c r="AE18">
        <f>_xll.EQNXTDZ($A$1,$B18,AE$1,$B$1)</f>
        <v>131.28</v>
      </c>
      <c r="AF18">
        <f>_xll.EQNXTDZ($A$1,$B18,AF$1,$B$1)</f>
        <v>162.68</v>
      </c>
      <c r="AG18">
        <f>_xll.EQNXTDZ($A$1,$B18,AG$1,$B$1)</f>
        <v>201.39</v>
      </c>
      <c r="AH18">
        <f>_xll.EQNXTDZ($A$1,$B18,AH$1,$B$1)</f>
        <v>181.37</v>
      </c>
      <c r="AI18">
        <f>_xll.EQNXTDZ($A$1,$B18,AI$1,$B$1)</f>
        <v>133.76</v>
      </c>
      <c r="AJ18">
        <f>_xll.EQNXTDZ($A$1,$B18,AJ$1,$B$1)</f>
        <v>166.38</v>
      </c>
      <c r="AK18">
        <f>_xll.EQNXTDZ($A$1,$B18,AK$1,$B$1)</f>
        <v>209.71</v>
      </c>
      <c r="AL18">
        <f>_xll.EQNXTDZ($A$1,$B18,AL$1,$B$1)</f>
        <v>216.42</v>
      </c>
      <c r="AM18">
        <f>_xll.EQNXTDZ($A$1,$B18,AM$1,$B$1)</f>
        <v>158.21</v>
      </c>
      <c r="AN18">
        <f>_xll.EQNXTDZ($A$1,$B18,AN$1,$B$1)</f>
        <v>211.88</v>
      </c>
      <c r="AO18">
        <f>_xll.EQNXTDZ($A$1,$B18,AO$1,$B$1)</f>
        <v>245.34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180.78</v>
      </c>
      <c r="D22">
        <f>_xll.EQNXTDZ($A$1,$B22,D$1,$B$1)</f>
        <v>161.16999999999999</v>
      </c>
      <c r="E22">
        <f>_xll.EQNXTDZ($A$1,$B22,E$1,$B$1)</f>
        <v>203.23</v>
      </c>
      <c r="F22">
        <f>_xll.EQNXTDZ($A$1,$B22,F$1,$B$1)</f>
        <v>223.31</v>
      </c>
      <c r="G22">
        <f>_xll.EQNXTDZ($A$1,$B22,G$1,$B$1)</f>
        <v>207.12</v>
      </c>
      <c r="H22">
        <f>_xll.EQNXTDZ($A$1,$B22,H$1,$B$1)</f>
        <v>157.86000000000001</v>
      </c>
      <c r="I22">
        <f>_xll.EQNXTDZ($A$1,$B22,I$1,$B$1)</f>
        <v>196.26</v>
      </c>
      <c r="J22">
        <f>_xll.EQNXTDZ($A$1,$B22,J$1,$B$1)</f>
        <v>190.65</v>
      </c>
      <c r="K22">
        <f>_xll.EQNXTDZ($A$1,$B22,K$1,$B$1)</f>
        <v>201.3</v>
      </c>
      <c r="L22">
        <f>_xll.EQNXTDZ($A$1,$B22,L$1,$B$1)</f>
        <v>185.98</v>
      </c>
      <c r="M22">
        <f>_xll.EQNXTDZ($A$1,$B22,M$1,$B$1)</f>
        <v>199.22</v>
      </c>
      <c r="N22">
        <f>_xll.EQNXTDZ($A$1,$B22,N$1,$B$1)</f>
        <v>188.36</v>
      </c>
      <c r="O22">
        <f>_xll.EQNXTDZ($A$1,$B22,O$1,$B$1)</f>
        <v>182.62</v>
      </c>
      <c r="P22">
        <f>_xll.EQNXTDZ($A$1,$B22,P$1,$B$1)</f>
        <v>140.74</v>
      </c>
      <c r="Q22">
        <f>_xll.EQNXTDZ($A$1,$B22,Q$1,$B$1)</f>
        <v>170.92</v>
      </c>
      <c r="R22">
        <f>_xll.EQNXTDZ($A$1,$B22,R$1,$B$1)</f>
        <v>160.05000000000001</v>
      </c>
      <c r="S22">
        <f>_xll.EQNXTDZ($A$1,$B22,S$1,$B$1)</f>
        <v>238.49</v>
      </c>
      <c r="T22">
        <f>_xll.EQNXTDZ($A$1,$B22,T$1,$B$1)</f>
        <v>185.98</v>
      </c>
      <c r="U22">
        <f>_xll.EQNXTDZ($A$1,$B22,U$1,$B$1)</f>
        <v>181.48</v>
      </c>
      <c r="V22">
        <f>_xll.EQNXTDZ($A$1,$B22,V$1,$B$1)</f>
        <v>185.46</v>
      </c>
      <c r="W22">
        <f>_xll.EQNXTDZ($A$1,$B22,W$1,$B$1)</f>
        <v>244.17</v>
      </c>
      <c r="X22">
        <f>_xll.EQNXTDZ($A$1,$B22,X$1,$B$1)</f>
        <v>213.96</v>
      </c>
      <c r="Y22">
        <f>_xll.EQNXTDZ($A$1,$B22,Y$1,$B$1)</f>
        <v>235.08</v>
      </c>
      <c r="Z22">
        <f>_xll.EQNXTDZ($A$1,$B22,Z$1,$B$1)</f>
        <v>145.69999999999999</v>
      </c>
      <c r="AA22">
        <f>_xll.EQNXTDZ($A$1,$B22,AA$1,$B$1)</f>
        <v>248.77</v>
      </c>
      <c r="AB22">
        <f>_xll.EQNXTDZ($A$1,$B22,AB$1,$B$1)</f>
        <v>166.65</v>
      </c>
      <c r="AC22">
        <f>_xll.EQNXTDZ($A$1,$B22,AC$1,$B$1)</f>
        <v>196.22</v>
      </c>
      <c r="AD22">
        <f>_xll.EQNXTDZ($A$1,$B22,AD$1,$B$1)</f>
        <v>174.27</v>
      </c>
      <c r="AE22">
        <f>_xll.EQNXTDZ($A$1,$B22,AE$1,$B$1)</f>
        <v>350.87</v>
      </c>
      <c r="AF22">
        <f>_xll.EQNXTDZ($A$1,$B22,AF$1,$B$1)</f>
        <v>314.79000000000002</v>
      </c>
      <c r="AG22">
        <f>_xll.EQNXTDZ($A$1,$B22,AG$1,$B$1)</f>
        <v>318.13</v>
      </c>
      <c r="AH22">
        <f>_xll.EQNXTDZ($A$1,$B22,AH$1,$B$1)</f>
        <v>308.36</v>
      </c>
      <c r="AI22">
        <f>_xll.EQNXTDZ($A$1,$B22,AI$1,$B$1)</f>
        <v>482.65</v>
      </c>
      <c r="AJ22">
        <f>_xll.EQNXTDZ($A$1,$B22,AJ$1,$B$1)</f>
        <v>399.58</v>
      </c>
      <c r="AK22">
        <f>_xll.EQNXTDZ($A$1,$B22,AK$1,$B$1)</f>
        <v>361.33</v>
      </c>
      <c r="AL22">
        <f>_xll.EQNXTDZ($A$1,$B22,AL$1,$B$1)</f>
        <v>300.2</v>
      </c>
      <c r="AM22">
        <f>_xll.EQNXTDZ($A$1,$B22,AM$1,$B$1)</f>
        <v>399.49</v>
      </c>
      <c r="AN22">
        <f>_xll.EQNXTDZ($A$1,$B22,AN$1,$B$1)</f>
        <v>413.3</v>
      </c>
      <c r="AO22">
        <f>_xll.EQNXTDZ($A$1,$B22,AO$1,$B$1)</f>
        <v>461.66</v>
      </c>
      <c r="AP22">
        <f>_xll.EQNXTDZ($A$1,$B22,AP$1,$B$1)</f>
        <v>444.33</v>
      </c>
      <c r="AQ22">
        <f>_xll.EQNXTDZ($A$1,$B22,AQ$1,$B$1)</f>
        <v>457.3</v>
      </c>
      <c r="AR22">
        <f>_xll.EQNXTDZ($A$1,$B22,AR$1,$B$1)</f>
        <v>433.84</v>
      </c>
      <c r="AS22">
        <f>_xll.EQNXTDZ($A$1,$B22,AS$1,$B$1)</f>
        <v>453.66</v>
      </c>
      <c r="AT22">
        <f>_xll.EQNXTDZ($A$1,$B22,AT$1,$B$1)</f>
        <v>511.67</v>
      </c>
      <c r="AU22">
        <f>_xll.EQNXTDZ($A$1,$B22,AU$1,$B$1)</f>
        <v>545.03</v>
      </c>
      <c r="AV22">
        <f>_xll.EQNXTDZ($A$1,$B22,AV$1,$B$1)</f>
        <v>537.09</v>
      </c>
      <c r="AW22">
        <f>_xll.EQNXTDZ($A$1,$B22,AW$1,$B$1)</f>
        <v>572.38</v>
      </c>
      <c r="AX22">
        <f>_xll.EQNXTDZ($A$1,$B22,AX$1,$B$1)</f>
        <v>629.6</v>
      </c>
      <c r="AY22">
        <f>_xll.EQNXTDZ($A$1,$B22,AY$1,$B$1)</f>
        <v>667.38</v>
      </c>
      <c r="AZ22">
        <f>_xll.EQNXTDZ($A$1,$B22,AZ$1,$B$1)</f>
        <v>626.28999999999905</v>
      </c>
      <c r="BA22">
        <f>_xll.EQNXTDZ($A$1,$B22,BA$1,$B$1)</f>
        <v>564.73</v>
      </c>
      <c r="BB22">
        <f>_xll.EQNXTDZ($A$1,$B22,BB$1,$B$1)</f>
        <v>620.95000000000005</v>
      </c>
      <c r="BC22">
        <f>_xll.EQNXTDZ($A$1,$B22,BC$1,$B$1)</f>
        <v>606.94000000000005</v>
      </c>
      <c r="BD22">
        <f>_xll.EQNXTDZ($A$1,$B22,BD$1,$B$1)</f>
        <v>671.78</v>
      </c>
      <c r="BE22">
        <f>_xll.EQNXTDZ($A$1,$B22,BE$1,$B$1)</f>
        <v>720.67</v>
      </c>
      <c r="BF22">
        <f>_xll.EQNXTDZ($A$1,$B22,BF$1,$B$1)</f>
        <v>792.40999999999894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18.63</v>
      </c>
      <c r="D23">
        <f>_xll.EQNXTDZ($A$1,$B23,D$1,$B$1)</f>
        <v>34.130000000000003</v>
      </c>
      <c r="E23">
        <f>_xll.EQNXTDZ($A$1,$B23,E$1,$B$1)</f>
        <v>17.23</v>
      </c>
      <c r="F23">
        <f>_xll.EQNXTDZ($A$1,$B23,F$1,$B$1)</f>
        <v>16.02</v>
      </c>
      <c r="G23">
        <f>_xll.EQNXTDZ($A$1,$B23,G$1,$B$1)</f>
        <v>18.34</v>
      </c>
      <c r="H23">
        <f>_xll.EQNXTDZ($A$1,$B23,H$1,$B$1)</f>
        <v>32.29</v>
      </c>
      <c r="I23">
        <f>_xll.EQNXTDZ($A$1,$B23,I$1,$B$1)</f>
        <v>14.95</v>
      </c>
      <c r="J23">
        <f>_xll.EQNXTDZ($A$1,$B23,J$1,$B$1)</f>
        <v>16.22</v>
      </c>
      <c r="K23">
        <f>_xll.EQNXTDZ($A$1,$B23,K$1,$B$1)</f>
        <v>17.989999999999998</v>
      </c>
      <c r="L23">
        <f>_xll.EQNXTDZ($A$1,$B23,L$1,$B$1)</f>
        <v>31.91</v>
      </c>
      <c r="M23">
        <f>_xll.EQNXTDZ($A$1,$B23,M$1,$B$1)</f>
        <v>11.61</v>
      </c>
      <c r="N23">
        <f>_xll.EQNXTDZ($A$1,$B23,N$1,$B$1)</f>
        <v>8.4700000000000006</v>
      </c>
      <c r="O23">
        <f>_xll.EQNXTDZ($A$1,$B23,O$1,$B$1)</f>
        <v>13.07</v>
      </c>
      <c r="P23">
        <f>_xll.EQNXTDZ($A$1,$B23,P$1,$B$1)</f>
        <v>33.25</v>
      </c>
      <c r="Q23">
        <f>_xll.EQNXTDZ($A$1,$B23,Q$1,$B$1)</f>
        <v>9.34</v>
      </c>
      <c r="R23">
        <f>_xll.EQNXTDZ($A$1,$B23,R$1,$B$1)</f>
        <v>26.34</v>
      </c>
      <c r="S23">
        <f>_xll.EQNXTDZ($A$1,$B23,S$1,$B$1)</f>
        <v>21.04</v>
      </c>
      <c r="T23">
        <f>_xll.EQNXTDZ($A$1,$B23,T$1,$B$1)</f>
        <v>34.700000000000003</v>
      </c>
      <c r="U23">
        <f>_xll.EQNXTDZ($A$1,$B23,U$1,$B$1)</f>
        <v>16.809999999999999</v>
      </c>
      <c r="V23">
        <f>_xll.EQNXTDZ($A$1,$B23,V$1,$B$1)</f>
        <v>10.27</v>
      </c>
      <c r="W23">
        <f>_xll.EQNXTDZ($A$1,$B23,W$1,$B$1)</f>
        <v>14.34</v>
      </c>
      <c r="X23">
        <f>_xll.EQNXTDZ($A$1,$B23,X$1,$B$1)</f>
        <v>33.54</v>
      </c>
      <c r="Y23">
        <f>_xll.EQNXTDZ($A$1,$B23,Y$1,$B$1)</f>
        <v>20.55</v>
      </c>
      <c r="Z23">
        <f>_xll.EQNXTDZ($A$1,$B23,Z$1,$B$1)</f>
        <v>25.72</v>
      </c>
      <c r="AA23">
        <f>_xll.EQNXTDZ($A$1,$B23,AA$1,$B$1)</f>
        <v>28.52</v>
      </c>
      <c r="AB23">
        <f>_xll.EQNXTDZ($A$1,$B23,AB$1,$B$1)</f>
        <v>70.790000000000006</v>
      </c>
      <c r="AC23">
        <f>_xll.EQNXTDZ($A$1,$B23,AC$1,$B$1)</f>
        <v>22.59</v>
      </c>
      <c r="AD23">
        <f>_xll.EQNXTDZ($A$1,$B23,AD$1,$B$1)</f>
        <v>35.229999999999997</v>
      </c>
      <c r="AE23">
        <f>_xll.EQNXTDZ($A$1,$B23,AE$1,$B$1)</f>
        <v>33.090000000000003</v>
      </c>
      <c r="AF23">
        <f>_xll.EQNXTDZ($A$1,$B23,AF$1,$B$1)</f>
        <v>28.03</v>
      </c>
      <c r="AG23">
        <f>_xll.EQNXTDZ($A$1,$B23,AG$1,$B$1)</f>
        <v>28.54</v>
      </c>
      <c r="AH23">
        <f>_xll.EQNXTDZ($A$1,$B23,AH$1,$B$1)</f>
        <v>21.93</v>
      </c>
      <c r="AI23">
        <f>_xll.EQNXTDZ($A$1,$B23,AI$1,$B$1)</f>
        <v>32.71</v>
      </c>
      <c r="AJ23">
        <f>_xll.EQNXTDZ($A$1,$B23,AJ$1,$B$1)</f>
        <v>26.22</v>
      </c>
      <c r="AK23">
        <f>_xll.EQNXTDZ($A$1,$B23,AK$1,$B$1)</f>
        <v>19.489999999999998</v>
      </c>
      <c r="AL23">
        <f>_xll.EQNXTDZ($A$1,$B23,AL$1,$B$1)</f>
        <v>42.96</v>
      </c>
      <c r="AM23">
        <f>_xll.EQNXTDZ($A$1,$B23,AM$1,$B$1)</f>
        <v>28.01</v>
      </c>
      <c r="AN23">
        <f>_xll.EQNXTDZ($A$1,$B23,AN$1,$B$1)</f>
        <v>39.619999999999997</v>
      </c>
      <c r="AO23">
        <f>_xll.EQNXTDZ($A$1,$B23,AO$1,$B$1)</f>
        <v>25.04</v>
      </c>
      <c r="AP23">
        <f>_xll.EQNXTDZ($A$1,$B23,AP$1,$B$1)</f>
        <v>47.39</v>
      </c>
      <c r="AQ23">
        <f>_xll.EQNXTDZ($A$1,$B23,AQ$1,$B$1)</f>
        <v>35.340000000000003</v>
      </c>
      <c r="AR23">
        <f>_xll.EQNXTDZ($A$1,$B23,AR$1,$B$1)</f>
        <v>29.31</v>
      </c>
      <c r="AS23">
        <f>_xll.EQNXTDZ($A$1,$B23,AS$1,$B$1)</f>
        <v>48.93</v>
      </c>
      <c r="AT23">
        <f>_xll.EQNXTDZ($A$1,$B23,AT$1,$B$1)</f>
        <v>55.3</v>
      </c>
      <c r="AU23">
        <f>_xll.EQNXTDZ($A$1,$B23,AU$1,$B$1)</f>
        <v>57.75</v>
      </c>
      <c r="AV23">
        <f>_xll.EQNXTDZ($A$1,$B23,AV$1,$B$1)</f>
        <v>89.83</v>
      </c>
      <c r="AW23">
        <f>_xll.EQNXTDZ($A$1,$B23,AW$1,$B$1)</f>
        <v>59.59</v>
      </c>
      <c r="AX23">
        <f>_xll.EQNXTDZ($A$1,$B23,AX$1,$B$1)</f>
        <v>38.450000000000003</v>
      </c>
      <c r="AY23">
        <f>_xll.EQNXTDZ($A$1,$B23,AY$1,$B$1)</f>
        <v>39.17</v>
      </c>
      <c r="AZ23">
        <f>_xll.EQNXTDZ($A$1,$B23,AZ$1,$B$1)</f>
        <v>45.97</v>
      </c>
      <c r="BA23">
        <f>_xll.EQNXTDZ($A$1,$B23,BA$1,$B$1)</f>
        <v>51.6</v>
      </c>
      <c r="BB23">
        <f>_xll.EQNXTDZ($A$1,$B23,BB$1,$B$1)</f>
        <v>56.51</v>
      </c>
      <c r="BC23">
        <f>_xll.EQNXTDZ($A$1,$B23,BC$1,$B$1)</f>
        <v>41.17</v>
      </c>
      <c r="BD23">
        <f>_xll.EQNXTDZ($A$1,$B23,BD$1,$B$1)</f>
        <v>38.01</v>
      </c>
      <c r="BE23">
        <f>_xll.EQNXTDZ($A$1,$B23,BE$1,$B$1)</f>
        <v>33.01</v>
      </c>
      <c r="BF23">
        <f>_xll.EQNXTDZ($A$1,$B23,BF$1,$B$1)</f>
        <v>52.56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199.41</v>
      </c>
      <c r="D24">
        <f>_xll.EQNXTDZ($A$1,$B24,D$1,$B$1)</f>
        <v>195.3</v>
      </c>
      <c r="E24">
        <f>_xll.EQNXTDZ($A$1,$B24,E$1,$B$1)</f>
        <v>220.46</v>
      </c>
      <c r="F24">
        <f>_xll.EQNXTDZ($A$1,$B24,F$1,$B$1)</f>
        <v>239.33</v>
      </c>
      <c r="G24">
        <f>_xll.EQNXTDZ($A$1,$B24,G$1,$B$1)</f>
        <v>225.46</v>
      </c>
      <c r="H24">
        <f>_xll.EQNXTDZ($A$1,$B24,H$1,$B$1)</f>
        <v>190.15</v>
      </c>
      <c r="I24">
        <f>_xll.EQNXTDZ($A$1,$B24,I$1,$B$1)</f>
        <v>211.21</v>
      </c>
      <c r="J24">
        <f>_xll.EQNXTDZ($A$1,$B24,J$1,$B$1)</f>
        <v>206.87</v>
      </c>
      <c r="K24">
        <f>_xll.EQNXTDZ($A$1,$B24,K$1,$B$1)</f>
        <v>219.29</v>
      </c>
      <c r="L24">
        <f>_xll.EQNXTDZ($A$1,$B24,L$1,$B$1)</f>
        <v>217.89</v>
      </c>
      <c r="M24">
        <f>_xll.EQNXTDZ($A$1,$B24,M$1,$B$1)</f>
        <v>210.83</v>
      </c>
      <c r="N24">
        <f>_xll.EQNXTDZ($A$1,$B24,N$1,$B$1)</f>
        <v>196.83</v>
      </c>
      <c r="O24">
        <f>_xll.EQNXTDZ($A$1,$B24,O$1,$B$1)</f>
        <v>195.69</v>
      </c>
      <c r="P24">
        <f>_xll.EQNXTDZ($A$1,$B24,P$1,$B$1)</f>
        <v>173.99</v>
      </c>
      <c r="Q24">
        <f>_xll.EQNXTDZ($A$1,$B24,Q$1,$B$1)</f>
        <v>180.26</v>
      </c>
      <c r="R24">
        <f>_xll.EQNXTDZ($A$1,$B24,R$1,$B$1)</f>
        <v>186.39</v>
      </c>
      <c r="S24">
        <f>_xll.EQNXTDZ($A$1,$B24,S$1,$B$1)</f>
        <v>259.52999999999997</v>
      </c>
      <c r="T24">
        <f>_xll.EQNXTDZ($A$1,$B24,T$1,$B$1)</f>
        <v>220.68</v>
      </c>
      <c r="U24">
        <f>_xll.EQNXTDZ($A$1,$B24,U$1,$B$1)</f>
        <v>198.29</v>
      </c>
      <c r="V24">
        <f>_xll.EQNXTDZ($A$1,$B24,V$1,$B$1)</f>
        <v>195.73</v>
      </c>
      <c r="W24">
        <f>_xll.EQNXTDZ($A$1,$B24,W$1,$B$1)</f>
        <v>258.51</v>
      </c>
      <c r="X24">
        <f>_xll.EQNXTDZ($A$1,$B24,X$1,$B$1)</f>
        <v>247.5</v>
      </c>
      <c r="Y24">
        <f>_xll.EQNXTDZ($A$1,$B24,Y$1,$B$1)</f>
        <v>255.63</v>
      </c>
      <c r="Z24">
        <f>_xll.EQNXTDZ($A$1,$B24,Z$1,$B$1)</f>
        <v>171.42</v>
      </c>
      <c r="AA24">
        <f>_xll.EQNXTDZ($A$1,$B24,AA$1,$B$1)</f>
        <v>277.29000000000002</v>
      </c>
      <c r="AB24">
        <f>_xll.EQNXTDZ($A$1,$B24,AB$1,$B$1)</f>
        <v>237.44</v>
      </c>
      <c r="AC24">
        <f>_xll.EQNXTDZ($A$1,$B24,AC$1,$B$1)</f>
        <v>218.81</v>
      </c>
      <c r="AD24">
        <f>_xll.EQNXTDZ($A$1,$B24,AD$1,$B$1)</f>
        <v>209.5</v>
      </c>
      <c r="AE24">
        <f>_xll.EQNXTDZ($A$1,$B24,AE$1,$B$1)</f>
        <v>383.96</v>
      </c>
      <c r="AF24">
        <f>_xll.EQNXTDZ($A$1,$B24,AF$1,$B$1)</f>
        <v>342.82</v>
      </c>
      <c r="AG24">
        <f>_xll.EQNXTDZ($A$1,$B24,AG$1,$B$1)</f>
        <v>346.67</v>
      </c>
      <c r="AH24">
        <f>_xll.EQNXTDZ($A$1,$B24,AH$1,$B$1)</f>
        <v>330.29</v>
      </c>
      <c r="AI24">
        <f>_xll.EQNXTDZ($A$1,$B24,AI$1,$B$1)</f>
        <v>515.36</v>
      </c>
      <c r="AJ24">
        <f>_xll.EQNXTDZ($A$1,$B24,AJ$1,$B$1)</f>
        <v>425.8</v>
      </c>
      <c r="AK24">
        <f>_xll.EQNXTDZ($A$1,$B24,AK$1,$B$1)</f>
        <v>380.82</v>
      </c>
      <c r="AL24">
        <f>_xll.EQNXTDZ($A$1,$B24,AL$1,$B$1)</f>
        <v>343.16</v>
      </c>
      <c r="AM24">
        <f>_xll.EQNXTDZ($A$1,$B24,AM$1,$B$1)</f>
        <v>427.5</v>
      </c>
      <c r="AN24">
        <f>_xll.EQNXTDZ($A$1,$B24,AN$1,$B$1)</f>
        <v>452.92</v>
      </c>
      <c r="AO24">
        <f>_xll.EQNXTDZ($A$1,$B24,AO$1,$B$1)</f>
        <v>486.7</v>
      </c>
      <c r="AP24">
        <f>_xll.EQNXTDZ($A$1,$B24,AP$1,$B$1)</f>
        <v>491.72</v>
      </c>
      <c r="AQ24">
        <f>_xll.EQNXTDZ($A$1,$B24,AQ$1,$B$1)</f>
        <v>492.64</v>
      </c>
      <c r="AR24">
        <f>_xll.EQNXTDZ($A$1,$B24,AR$1,$B$1)</f>
        <v>463.15</v>
      </c>
      <c r="AS24">
        <f>_xll.EQNXTDZ($A$1,$B24,AS$1,$B$1)</f>
        <v>502.59</v>
      </c>
      <c r="AT24">
        <f>_xll.EQNXTDZ($A$1,$B24,AT$1,$B$1)</f>
        <v>566.97</v>
      </c>
      <c r="AU24">
        <f>_xll.EQNXTDZ($A$1,$B24,AU$1,$B$1)</f>
        <v>602.78</v>
      </c>
      <c r="AV24">
        <f>_xll.EQNXTDZ($A$1,$B24,AV$1,$B$1)</f>
        <v>626.91999999999996</v>
      </c>
      <c r="AW24">
        <f>_xll.EQNXTDZ($A$1,$B24,AW$1,$B$1)</f>
        <v>631.97</v>
      </c>
      <c r="AX24">
        <f>_xll.EQNXTDZ($A$1,$B24,AX$1,$B$1)</f>
        <v>668.05</v>
      </c>
      <c r="AY24">
        <f>_xll.EQNXTDZ($A$1,$B24,AY$1,$B$1)</f>
        <v>706.55</v>
      </c>
      <c r="AZ24">
        <f>_xll.EQNXTDZ($A$1,$B24,AZ$1,$B$1)</f>
        <v>672.25999999999897</v>
      </c>
      <c r="BA24">
        <f>_xll.EQNXTDZ($A$1,$B24,BA$1,$B$1)</f>
        <v>616.33000000000004</v>
      </c>
      <c r="BB24">
        <f>_xll.EQNXTDZ($A$1,$B24,BB$1,$B$1)</f>
        <v>677.46000000000095</v>
      </c>
      <c r="BC24">
        <f>_xll.EQNXTDZ($A$1,$B24,BC$1,$B$1)</f>
        <v>648.11000000000104</v>
      </c>
      <c r="BD24">
        <f>_xll.EQNXTDZ($A$1,$B24,BD$1,$B$1)</f>
        <v>709.79</v>
      </c>
      <c r="BE24">
        <f>_xll.EQNXTDZ($A$1,$B24,BE$1,$B$1)</f>
        <v>753.68</v>
      </c>
      <c r="BF24">
        <f>_xll.EQNXTDZ($A$1,$B24,BF$1,$B$1)</f>
        <v>844.97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21.19</v>
      </c>
      <c r="D25">
        <f>_xll.EQNXTDZ($A$1,$B25,D$1,$B$1)</f>
        <v>10.96</v>
      </c>
      <c r="E25">
        <f>_xll.EQNXTDZ($A$1,$B25,E$1,$B$1)</f>
        <v>23.83</v>
      </c>
      <c r="F25">
        <f>_xll.EQNXTDZ($A$1,$B25,F$1,$B$1)</f>
        <v>28.46</v>
      </c>
      <c r="G25">
        <f>_xll.EQNXTDZ($A$1,$B25,G$1,$B$1)</f>
        <v>20.37</v>
      </c>
      <c r="H25">
        <f>_xll.EQNXTDZ($A$1,$B25,H$1,$B$1)</f>
        <v>18.13</v>
      </c>
      <c r="I25">
        <f>_xll.EQNXTDZ($A$1,$B25,I$1,$B$1)</f>
        <v>27.79</v>
      </c>
      <c r="J25">
        <f>_xll.EQNXTDZ($A$1,$B25,J$1,$B$1)</f>
        <v>20.239999999999998</v>
      </c>
      <c r="K25">
        <f>_xll.EQNXTDZ($A$1,$B25,K$1,$B$1)</f>
        <v>15.11</v>
      </c>
      <c r="L25">
        <f>_xll.EQNXTDZ($A$1,$B25,L$1,$B$1)</f>
        <v>21.6</v>
      </c>
      <c r="M25">
        <f>_xll.EQNXTDZ($A$1,$B25,M$1,$B$1)</f>
        <v>26.78</v>
      </c>
      <c r="N25">
        <f>_xll.EQNXTDZ($A$1,$B25,N$1,$B$1)</f>
        <v>18.37</v>
      </c>
      <c r="O25">
        <f>_xll.EQNXTDZ($A$1,$B25,O$1,$B$1)</f>
        <v>21.18</v>
      </c>
      <c r="P25">
        <f>_xll.EQNXTDZ($A$1,$B25,P$1,$B$1)</f>
        <v>20.95</v>
      </c>
      <c r="Q25">
        <f>_xll.EQNXTDZ($A$1,$B25,Q$1,$B$1)</f>
        <v>30.34</v>
      </c>
      <c r="R25">
        <f>_xll.EQNXTDZ($A$1,$B25,R$1,$B$1)</f>
        <v>44.43</v>
      </c>
      <c r="S25">
        <f>_xll.EQNXTDZ($A$1,$B25,S$1,$B$1)</f>
        <v>22.04</v>
      </c>
      <c r="T25">
        <f>_xll.EQNXTDZ($A$1,$B25,T$1,$B$1)</f>
        <v>23.15</v>
      </c>
      <c r="U25">
        <f>_xll.EQNXTDZ($A$1,$B25,U$1,$B$1)</f>
        <v>21.57</v>
      </c>
      <c r="V25">
        <f>_xll.EQNXTDZ($A$1,$B25,V$1,$B$1)</f>
        <v>24.77</v>
      </c>
      <c r="W25">
        <f>_xll.EQNXTDZ($A$1,$B25,W$1,$B$1)</f>
        <v>11.06</v>
      </c>
      <c r="X25">
        <f>_xll.EQNXTDZ($A$1,$B25,X$1,$B$1)</f>
        <v>9.6199999999999992</v>
      </c>
      <c r="Y25">
        <f>_xll.EQNXTDZ($A$1,$B25,Y$1,$B$1)</f>
        <v>8.5</v>
      </c>
      <c r="Z25">
        <f>_xll.EQNXTDZ($A$1,$B25,Z$1,$B$1)</f>
        <v>13.58</v>
      </c>
      <c r="AA25">
        <f>_xll.EQNXTDZ($A$1,$B25,AA$1,$B$1)</f>
        <v>12.57</v>
      </c>
      <c r="AB25">
        <f>_xll.EQNXTDZ($A$1,$B25,AB$1,$B$1)</f>
        <v>11.47</v>
      </c>
      <c r="AC25">
        <f>_xll.EQNXTDZ($A$1,$B25,AC$1,$B$1)</f>
        <v>12.95</v>
      </c>
      <c r="AD25">
        <f>_xll.EQNXTDZ($A$1,$B25,AD$1,$B$1)</f>
        <v>15.48</v>
      </c>
      <c r="AE25">
        <f>_xll.EQNXTDZ($A$1,$B25,AE$1,$B$1)</f>
        <v>18.63</v>
      </c>
      <c r="AF25">
        <f>_xll.EQNXTDZ($A$1,$B25,AF$1,$B$1)</f>
        <v>20.41</v>
      </c>
      <c r="AG25">
        <f>_xll.EQNXTDZ($A$1,$B25,AG$1,$B$1)</f>
        <v>20.12</v>
      </c>
      <c r="AH25">
        <f>_xll.EQNXTDZ($A$1,$B25,AH$1,$B$1)</f>
        <v>18.7</v>
      </c>
      <c r="AI25">
        <f>_xll.EQNXTDZ($A$1,$B25,AI$1,$B$1)</f>
        <v>17.28</v>
      </c>
      <c r="AJ25">
        <f>_xll.EQNXTDZ($A$1,$B25,AJ$1,$B$1)</f>
        <v>17.87</v>
      </c>
      <c r="AK25">
        <f>_xll.EQNXTDZ($A$1,$B25,AK$1,$B$1)</f>
        <v>18.09</v>
      </c>
      <c r="AL25">
        <f>_xll.EQNXTDZ($A$1,$B25,AL$1,$B$1)</f>
        <v>15.45</v>
      </c>
      <c r="AM25">
        <f>_xll.EQNXTDZ($A$1,$B25,AM$1,$B$1)</f>
        <v>20.43</v>
      </c>
      <c r="AN25">
        <f>_xll.EQNXTDZ($A$1,$B25,AN$1,$B$1)</f>
        <v>19.78</v>
      </c>
      <c r="AO25">
        <f>_xll.EQNXTDZ($A$1,$B25,AO$1,$B$1)</f>
        <v>16.16</v>
      </c>
      <c r="AP25">
        <f>_xll.EQNXTDZ($A$1,$B25,AP$1,$B$1)</f>
        <v>16.41</v>
      </c>
      <c r="AQ25">
        <f>_xll.EQNXTDZ($A$1,$B25,AQ$1,$B$1)</f>
        <v>16.27</v>
      </c>
      <c r="AR25">
        <f>_xll.EQNXTDZ($A$1,$B25,AR$1,$B$1)</f>
        <v>19.55</v>
      </c>
      <c r="AS25">
        <f>_xll.EQNXTDZ($A$1,$B25,AS$1,$B$1)</f>
        <v>23.68</v>
      </c>
      <c r="AT25">
        <f>_xll.EQNXTDZ($A$1,$B25,AT$1,$B$1)</f>
        <v>27.66</v>
      </c>
      <c r="AU25">
        <f>_xll.EQNXTDZ($A$1,$B25,AU$1,$B$1)</f>
        <v>26.23</v>
      </c>
      <c r="AV25">
        <f>_xll.EQNXTDZ($A$1,$B25,AV$1,$B$1)</f>
        <v>27.56</v>
      </c>
      <c r="AW25">
        <f>_xll.EQNXTDZ($A$1,$B25,AW$1,$B$1)</f>
        <v>33.19</v>
      </c>
      <c r="AX25">
        <f>_xll.EQNXTDZ($A$1,$B25,AX$1,$B$1)</f>
        <v>42.83</v>
      </c>
      <c r="AY25">
        <f>_xll.EQNXTDZ($A$1,$B25,AY$1,$B$1)</f>
        <v>93.6</v>
      </c>
      <c r="AZ25">
        <f>_xll.EQNXTDZ($A$1,$B25,AZ$1,$B$1)</f>
        <v>98.69</v>
      </c>
      <c r="BA25">
        <f>_xll.EQNXTDZ($A$1,$B25,BA$1,$B$1)</f>
        <v>57.92</v>
      </c>
      <c r="BB25">
        <f>_xll.EQNXTDZ($A$1,$B25,BB$1,$B$1)</f>
        <v>39.99</v>
      </c>
      <c r="BC25">
        <f>_xll.EQNXTDZ($A$1,$B25,BC$1,$B$1)</f>
        <v>33.76</v>
      </c>
      <c r="BD25">
        <f>_xll.EQNXTDZ($A$1,$B25,BD$1,$B$1)</f>
        <v>33.229999999999997</v>
      </c>
      <c r="BE25">
        <f>_xll.EQNXTDZ($A$1,$B25,BE$1,$B$1)</f>
        <v>31.62</v>
      </c>
      <c r="BF25">
        <f>_xll.EQNXTDZ($A$1,$B25,BF$1,$B$1)</f>
        <v>38.42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-5.38</v>
      </c>
      <c r="D26">
        <f>_xll.EQNXTDZ($A$1,$B26,D$1,$B$1)</f>
        <v>-11.23</v>
      </c>
      <c r="E26">
        <f>_xll.EQNXTDZ($A$1,$B26,E$1,$B$1)</f>
        <v>-12.06</v>
      </c>
      <c r="F26">
        <f>_xll.EQNXTDZ($A$1,$B26,F$1,$B$1)</f>
        <v>0.5</v>
      </c>
      <c r="G26">
        <f>_xll.EQNXTDZ($A$1,$B26,G$1,$B$1)</f>
        <v>21.63</v>
      </c>
      <c r="H26">
        <f>_xll.EQNXTDZ($A$1,$B26,H$1,$B$1)</f>
        <v>92.05</v>
      </c>
      <c r="I26">
        <f>_xll.EQNXTDZ($A$1,$B26,I$1,$B$1)</f>
        <v>-13.2</v>
      </c>
      <c r="J26">
        <f>_xll.EQNXTDZ($A$1,$B26,J$1,$B$1)</f>
        <v>-11.72</v>
      </c>
      <c r="K26">
        <f>_xll.EQNXTDZ($A$1,$B26,K$1,$B$1)</f>
        <v>-2.69</v>
      </c>
      <c r="L26">
        <f>_xll.EQNXTDZ($A$1,$B26,L$1,$B$1)</f>
        <v>-24.78</v>
      </c>
      <c r="M26">
        <f>_xll.EQNXTDZ($A$1,$B26,M$1,$B$1)</f>
        <v>0</v>
      </c>
      <c r="N26">
        <f>_xll.EQNXTDZ($A$1,$B26,N$1,$B$1)</f>
        <v>-102.52</v>
      </c>
      <c r="O26">
        <f>_xll.EQNXTDZ($A$1,$B26,O$1,$B$1)</f>
        <v>-2.78</v>
      </c>
      <c r="P26">
        <f>_xll.EQNXTDZ($A$1,$B26,P$1,$B$1)</f>
        <v>-4.7699999999999996</v>
      </c>
      <c r="Q26">
        <f>_xll.EQNXTDZ($A$1,$B26,Q$1,$B$1)</f>
        <v>-10.57</v>
      </c>
      <c r="R26">
        <f>_xll.EQNXTDZ($A$1,$B26,R$1,$B$1)</f>
        <v>-314.76</v>
      </c>
      <c r="S26">
        <f>_xll.EQNXTDZ($A$1,$B26,S$1,$B$1)</f>
        <v>-1.74</v>
      </c>
      <c r="T26">
        <f>_xll.EQNXTDZ($A$1,$B26,T$1,$B$1)</f>
        <v>0</v>
      </c>
      <c r="U26">
        <f>_xll.EQNXTDZ($A$1,$B26,U$1,$B$1)</f>
        <v>49.54</v>
      </c>
      <c r="V26">
        <f>_xll.EQNXTDZ($A$1,$B26,V$1,$B$1)</f>
        <v>-42.5</v>
      </c>
      <c r="W26">
        <f>_xll.EQNXTDZ($A$1,$B26,W$1,$B$1)</f>
        <v>5.1100000000000003</v>
      </c>
      <c r="X26">
        <f>_xll.EQNXTDZ($A$1,$B26,X$1,$B$1)</f>
        <v>-12.18</v>
      </c>
      <c r="Y26">
        <f>_xll.EQNXTDZ($A$1,$B26,Y$1,$B$1)</f>
        <v>-12.41</v>
      </c>
      <c r="Z26">
        <f>_xll.EQNXTDZ($A$1,$B26,Z$1,$B$1)</f>
        <v>-1.65</v>
      </c>
      <c r="AA26">
        <f>_xll.EQNXTDZ($A$1,$B26,AA$1,$B$1)</f>
        <v>-18.18</v>
      </c>
      <c r="AB26">
        <f>_xll.EQNXTDZ($A$1,$B26,AB$1,$B$1)</f>
        <v>-6.72</v>
      </c>
      <c r="AC26">
        <f>_xll.EQNXTDZ($A$1,$B26,AC$1,$B$1)</f>
        <v>0</v>
      </c>
      <c r="AD26">
        <f>_xll.EQNXTDZ($A$1,$B26,AD$1,$B$1)</f>
        <v>-8.39</v>
      </c>
      <c r="AE26">
        <f>_xll.EQNXTDZ($A$1,$B26,AE$1,$B$1)</f>
        <v>-8.06</v>
      </c>
      <c r="AF26">
        <f>_xll.EQNXTDZ($A$1,$B26,AF$1,$B$1)</f>
        <v>-1.5</v>
      </c>
      <c r="AG26">
        <f>_xll.EQNXTDZ($A$1,$B26,AG$1,$B$1)</f>
        <v>-0.84</v>
      </c>
      <c r="AH26">
        <f>_xll.EQNXTDZ($A$1,$B26,AH$1,$B$1)</f>
        <v>-264.39</v>
      </c>
      <c r="AI26">
        <f>_xll.EQNXTDZ($A$1,$B26,AI$1,$B$1)</f>
        <v>63.31</v>
      </c>
      <c r="AJ26">
        <f>_xll.EQNXTDZ($A$1,$B26,AJ$1,$B$1)</f>
        <v>-23.9</v>
      </c>
      <c r="AK26">
        <f>_xll.EQNXTDZ($A$1,$B26,AK$1,$B$1)</f>
        <v>-6.13</v>
      </c>
      <c r="AL26">
        <f>_xll.EQNXTDZ($A$1,$B26,AL$1,$B$1)</f>
        <v>-63.93</v>
      </c>
      <c r="AM26">
        <f>_xll.EQNXTDZ($A$1,$B26,AM$1,$B$1)</f>
        <v>-3.92</v>
      </c>
      <c r="AN26">
        <f>_xll.EQNXTDZ($A$1,$B26,AN$1,$B$1)</f>
        <v>-16.309999999999999</v>
      </c>
      <c r="AO26">
        <f>_xll.EQNXTDZ($A$1,$B26,AO$1,$B$1)</f>
        <v>-13.18</v>
      </c>
      <c r="AP26">
        <f>_xll.EQNXTDZ($A$1,$B26,AP$1,$B$1)</f>
        <v>-18.649999999999999</v>
      </c>
      <c r="AQ26">
        <f>_xll.EQNXTDZ($A$1,$B26,AQ$1,$B$1)</f>
        <v>-23.97</v>
      </c>
      <c r="AR26">
        <f>_xll.EQNXTDZ($A$1,$B26,AR$1,$B$1)</f>
        <v>111.22</v>
      </c>
      <c r="AS26">
        <f>_xll.EQNXTDZ($A$1,$B26,AS$1,$B$1)</f>
        <v>78.569999999999993</v>
      </c>
      <c r="AT26">
        <f>_xll.EQNXTDZ($A$1,$B26,AT$1,$B$1)</f>
        <v>-6.37</v>
      </c>
      <c r="AU26">
        <f>_xll.EQNXTDZ($A$1,$B26,AU$1,$B$1)</f>
        <v>-5.16</v>
      </c>
      <c r="AV26">
        <f>_xll.EQNXTDZ($A$1,$B26,AV$1,$B$1)</f>
        <v>-14.55</v>
      </c>
      <c r="AW26">
        <f>_xll.EQNXTDZ($A$1,$B26,AW$1,$B$1)</f>
        <v>-91.53</v>
      </c>
      <c r="AX26">
        <f>_xll.EQNXTDZ($A$1,$B26,AX$1,$B$1)</f>
        <v>-215.8</v>
      </c>
      <c r="AY26">
        <f>_xll.EQNXTDZ($A$1,$B26,AY$1,$B$1)</f>
        <v>-17.100000000000001</v>
      </c>
      <c r="AZ26">
        <f>_xll.EQNXTDZ($A$1,$B26,AZ$1,$B$1)</f>
        <v>-27.17</v>
      </c>
      <c r="BA26">
        <f>_xll.EQNXTDZ($A$1,$B26,BA$1,$B$1)</f>
        <v>-6.16</v>
      </c>
      <c r="BB26">
        <f>_xll.EQNXTDZ($A$1,$B26,BB$1,$B$1)</f>
        <v>45.32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-22.86</v>
      </c>
      <c r="BF26">
        <f>_xll.EQNXTDZ($A$1,$B26,BF$1,$B$1)</f>
        <v>2.8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172.84</v>
      </c>
      <c r="D27">
        <f>_xll.EQNXTDZ($A$1,$B27,D$1,$B$1)</f>
        <v>173.11</v>
      </c>
      <c r="E27">
        <f>_xll.EQNXTDZ($A$1,$B27,E$1,$B$1)</f>
        <v>184.57</v>
      </c>
      <c r="F27">
        <f>_xll.EQNXTDZ($A$1,$B27,F$1,$B$1)</f>
        <v>211.37</v>
      </c>
      <c r="G27">
        <f>_xll.EQNXTDZ($A$1,$B27,G$1,$B$1)</f>
        <v>226.72</v>
      </c>
      <c r="H27">
        <f>_xll.EQNXTDZ($A$1,$B27,H$1,$B$1)</f>
        <v>264.07</v>
      </c>
      <c r="I27">
        <f>_xll.EQNXTDZ($A$1,$B27,I$1,$B$1)</f>
        <v>170.22</v>
      </c>
      <c r="J27">
        <f>_xll.EQNXTDZ($A$1,$B27,J$1,$B$1)</f>
        <v>174.91</v>
      </c>
      <c r="K27">
        <f>_xll.EQNXTDZ($A$1,$B27,K$1,$B$1)</f>
        <v>201.49</v>
      </c>
      <c r="L27">
        <f>_xll.EQNXTDZ($A$1,$B27,L$1,$B$1)</f>
        <v>171.51</v>
      </c>
      <c r="M27">
        <f>_xll.EQNXTDZ($A$1,$B27,M$1,$B$1)</f>
        <v>184.05</v>
      </c>
      <c r="N27">
        <f>_xll.EQNXTDZ($A$1,$B27,N$1,$B$1)</f>
        <v>75.94</v>
      </c>
      <c r="O27">
        <f>_xll.EQNXTDZ($A$1,$B27,O$1,$B$1)</f>
        <v>171.73</v>
      </c>
      <c r="P27">
        <f>_xll.EQNXTDZ($A$1,$B27,P$1,$B$1)</f>
        <v>148.27000000000001</v>
      </c>
      <c r="Q27">
        <f>_xll.EQNXTDZ($A$1,$B27,Q$1,$B$1)</f>
        <v>139.35</v>
      </c>
      <c r="R27">
        <f>_xll.EQNXTDZ($A$1,$B27,R$1,$B$1)</f>
        <v>-172.8</v>
      </c>
      <c r="S27">
        <f>_xll.EQNXTDZ($A$1,$B27,S$1,$B$1)</f>
        <v>235.75</v>
      </c>
      <c r="T27">
        <f>_xll.EQNXTDZ($A$1,$B27,T$1,$B$1)</f>
        <v>197.53</v>
      </c>
      <c r="U27">
        <f>_xll.EQNXTDZ($A$1,$B27,U$1,$B$1)</f>
        <v>226.26</v>
      </c>
      <c r="V27">
        <f>_xll.EQNXTDZ($A$1,$B27,V$1,$B$1)</f>
        <v>128.46</v>
      </c>
      <c r="W27">
        <f>_xll.EQNXTDZ($A$1,$B27,W$1,$B$1)</f>
        <v>252.56</v>
      </c>
      <c r="X27">
        <f>_xll.EQNXTDZ($A$1,$B27,X$1,$B$1)</f>
        <v>225.7</v>
      </c>
      <c r="Y27">
        <f>_xll.EQNXTDZ($A$1,$B27,Y$1,$B$1)</f>
        <v>234.72</v>
      </c>
      <c r="Z27">
        <f>_xll.EQNXTDZ($A$1,$B27,Z$1,$B$1)</f>
        <v>156.19</v>
      </c>
      <c r="AA27">
        <f>_xll.EQNXTDZ($A$1,$B27,AA$1,$B$1)</f>
        <v>246.54</v>
      </c>
      <c r="AB27">
        <f>_xll.EQNXTDZ($A$1,$B27,AB$1,$B$1)</f>
        <v>219.25</v>
      </c>
      <c r="AC27">
        <f>_xll.EQNXTDZ($A$1,$B27,AC$1,$B$1)</f>
        <v>205.86</v>
      </c>
      <c r="AD27">
        <f>_xll.EQNXTDZ($A$1,$B27,AD$1,$B$1)</f>
        <v>185.63</v>
      </c>
      <c r="AE27">
        <f>_xll.EQNXTDZ($A$1,$B27,AE$1,$B$1)</f>
        <v>357.27</v>
      </c>
      <c r="AF27">
        <f>_xll.EQNXTDZ($A$1,$B27,AF$1,$B$1)</f>
        <v>320.91000000000003</v>
      </c>
      <c r="AG27">
        <f>_xll.EQNXTDZ($A$1,$B27,AG$1,$B$1)</f>
        <v>325.70999999999998</v>
      </c>
      <c r="AH27">
        <f>_xll.EQNXTDZ($A$1,$B27,AH$1,$B$1)</f>
        <v>47.200000000000102</v>
      </c>
      <c r="AI27">
        <f>_xll.EQNXTDZ($A$1,$B27,AI$1,$B$1)</f>
        <v>561.39</v>
      </c>
      <c r="AJ27">
        <f>_xll.EQNXTDZ($A$1,$B27,AJ$1,$B$1)</f>
        <v>384.03</v>
      </c>
      <c r="AK27">
        <f>_xll.EQNXTDZ($A$1,$B27,AK$1,$B$1)</f>
        <v>356.6</v>
      </c>
      <c r="AL27">
        <f>_xll.EQNXTDZ($A$1,$B27,AL$1,$B$1)</f>
        <v>263.77999999999997</v>
      </c>
      <c r="AM27">
        <f>_xll.EQNXTDZ($A$1,$B27,AM$1,$B$1)</f>
        <v>403.15</v>
      </c>
      <c r="AN27">
        <f>_xll.EQNXTDZ($A$1,$B27,AN$1,$B$1)</f>
        <v>416.83</v>
      </c>
      <c r="AO27">
        <f>_xll.EQNXTDZ($A$1,$B27,AO$1,$B$1)</f>
        <v>457.36</v>
      </c>
      <c r="AP27">
        <f>_xll.EQNXTDZ($A$1,$B27,AP$1,$B$1)</f>
        <v>456.66</v>
      </c>
      <c r="AQ27">
        <f>_xll.EQNXTDZ($A$1,$B27,AQ$1,$B$1)</f>
        <v>452.4</v>
      </c>
      <c r="AR27">
        <f>_xll.EQNXTDZ($A$1,$B27,AR$1,$B$1)</f>
        <v>554.82000000000005</v>
      </c>
      <c r="AS27">
        <f>_xll.EQNXTDZ($A$1,$B27,AS$1,$B$1)</f>
        <v>557.48</v>
      </c>
      <c r="AT27">
        <f>_xll.EQNXTDZ($A$1,$B27,AT$1,$B$1)</f>
        <v>532.94000000000005</v>
      </c>
      <c r="AU27">
        <f>_xll.EQNXTDZ($A$1,$B27,AU$1,$B$1)</f>
        <v>571.39</v>
      </c>
      <c r="AV27">
        <f>_xll.EQNXTDZ($A$1,$B27,AV$1,$B$1)</f>
        <v>584.80999999999995</v>
      </c>
      <c r="AW27">
        <f>_xll.EQNXTDZ($A$1,$B27,AW$1,$B$1)</f>
        <v>507.25</v>
      </c>
      <c r="AX27">
        <f>_xll.EQNXTDZ($A$1,$B27,AX$1,$B$1)</f>
        <v>409.42</v>
      </c>
      <c r="AY27">
        <f>_xll.EQNXTDZ($A$1,$B27,AY$1,$B$1)</f>
        <v>595.85</v>
      </c>
      <c r="AZ27">
        <f>_xll.EQNXTDZ($A$1,$B27,AZ$1,$B$1)</f>
        <v>546.39999999999895</v>
      </c>
      <c r="BA27">
        <f>_xll.EQNXTDZ($A$1,$B27,BA$1,$B$1)</f>
        <v>552.25</v>
      </c>
      <c r="BB27">
        <f>_xll.EQNXTDZ($A$1,$B27,BB$1,$B$1)</f>
        <v>682.79000000000099</v>
      </c>
      <c r="BC27">
        <f>_xll.EQNXTDZ($A$1,$B27,BC$1,$B$1)</f>
        <v>614.35000000000105</v>
      </c>
      <c r="BD27">
        <f>_xll.EQNXTDZ($A$1,$B27,BD$1,$B$1)</f>
        <v>676.56</v>
      </c>
      <c r="BE27">
        <f>_xll.EQNXTDZ($A$1,$B27,BE$1,$B$1)</f>
        <v>699.2</v>
      </c>
      <c r="BF27">
        <f>_xll.EQNXTDZ($A$1,$B27,BF$1,$B$1)</f>
        <v>809.35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24.99</v>
      </c>
      <c r="D28">
        <f>_xll.EQNXTDZ($A$1,$B28,D$1,$B$1)</f>
        <v>25.06</v>
      </c>
      <c r="E28">
        <f>_xll.EQNXTDZ($A$1,$B28,E$1,$B$1)</f>
        <v>24.59</v>
      </c>
      <c r="F28">
        <f>_xll.EQNXTDZ($A$1,$B28,F$1,$B$1)</f>
        <v>30.46</v>
      </c>
      <c r="G28">
        <f>_xll.EQNXTDZ($A$1,$B28,G$1,$B$1)</f>
        <v>28.78</v>
      </c>
      <c r="H28">
        <f>_xll.EQNXTDZ($A$1,$B28,H$1,$B$1)</f>
        <v>31.48</v>
      </c>
      <c r="I28">
        <f>_xll.EQNXTDZ($A$1,$B28,I$1,$B$1)</f>
        <v>32.159999999999997</v>
      </c>
      <c r="J28">
        <f>_xll.EQNXTDZ($A$1,$B28,J$1,$B$1)</f>
        <v>36.64</v>
      </c>
      <c r="K28">
        <f>_xll.EQNXTDZ($A$1,$B28,K$1,$B$1)</f>
        <v>35</v>
      </c>
      <c r="L28">
        <f>_xll.EQNXTDZ($A$1,$B28,L$1,$B$1)</f>
        <v>34.409999999999997</v>
      </c>
      <c r="M28">
        <f>_xll.EQNXTDZ($A$1,$B28,M$1,$B$1)</f>
        <v>38.04</v>
      </c>
      <c r="N28">
        <f>_xll.EQNXTDZ($A$1,$B28,N$1,$B$1)</f>
        <v>25.66</v>
      </c>
      <c r="O28">
        <f>_xll.EQNXTDZ($A$1,$B28,O$1,$B$1)</f>
        <v>29.62</v>
      </c>
      <c r="P28">
        <f>_xll.EQNXTDZ($A$1,$B28,P$1,$B$1)</f>
        <v>30.24</v>
      </c>
      <c r="Q28">
        <f>_xll.EQNXTDZ($A$1,$B28,Q$1,$B$1)</f>
        <v>32.32</v>
      </c>
      <c r="R28">
        <f>_xll.EQNXTDZ($A$1,$B28,R$1,$B$1)</f>
        <v>24.61</v>
      </c>
      <c r="S28">
        <f>_xll.EQNXTDZ($A$1,$B28,S$1,$B$1)</f>
        <v>36.25</v>
      </c>
      <c r="T28">
        <f>_xll.EQNXTDZ($A$1,$B28,T$1,$B$1)</f>
        <v>27.51</v>
      </c>
      <c r="U28">
        <f>_xll.EQNXTDZ($A$1,$B28,U$1,$B$1)</f>
        <v>31.08</v>
      </c>
      <c r="V28">
        <f>_xll.EQNXTDZ($A$1,$B28,V$1,$B$1)</f>
        <v>31.2</v>
      </c>
      <c r="W28">
        <f>_xll.EQNXTDZ($A$1,$B28,W$1,$B$1)</f>
        <v>29.05</v>
      </c>
      <c r="X28">
        <f>_xll.EQNXTDZ($A$1,$B28,X$1,$B$1)</f>
        <v>29.47</v>
      </c>
      <c r="Y28">
        <f>_xll.EQNXTDZ($A$1,$B28,Y$1,$B$1)</f>
        <v>29.05</v>
      </c>
      <c r="Z28">
        <f>_xll.EQNXTDZ($A$1,$B28,Z$1,$B$1)</f>
        <v>28.47</v>
      </c>
      <c r="AA28">
        <f>_xll.EQNXTDZ($A$1,$B28,AA$1,$B$1)</f>
        <v>29.49</v>
      </c>
      <c r="AB28">
        <f>_xll.EQNXTDZ($A$1,$B28,AB$1,$B$1)</f>
        <v>30.48</v>
      </c>
      <c r="AC28">
        <f>_xll.EQNXTDZ($A$1,$B28,AC$1,$B$1)</f>
        <v>29.62</v>
      </c>
      <c r="AD28">
        <f>_xll.EQNXTDZ($A$1,$B28,AD$1,$B$1)</f>
        <v>32.979999999999997</v>
      </c>
      <c r="AE28">
        <f>_xll.EQNXTDZ($A$1,$B28,AE$1,$B$1)</f>
        <v>57.57</v>
      </c>
      <c r="AF28">
        <f>_xll.EQNXTDZ($A$1,$B28,AF$1,$B$1)</f>
        <v>58.66</v>
      </c>
      <c r="AG28">
        <f>_xll.EQNXTDZ($A$1,$B28,AG$1,$B$1)</f>
        <v>61.44</v>
      </c>
      <c r="AH28">
        <f>_xll.EQNXTDZ($A$1,$B28,AH$1,$B$1)</f>
        <v>64.040000000000006</v>
      </c>
      <c r="AI28">
        <f>_xll.EQNXTDZ($A$1,$B28,AI$1,$B$1)</f>
        <v>61.9</v>
      </c>
      <c r="AJ28">
        <f>_xll.EQNXTDZ($A$1,$B28,AJ$1,$B$1)</f>
        <v>62.57</v>
      </c>
      <c r="AK28">
        <f>_xll.EQNXTDZ($A$1,$B28,AK$1,$B$1)</f>
        <v>64.400000000000006</v>
      </c>
      <c r="AL28">
        <f>_xll.EQNXTDZ($A$1,$B28,AL$1,$B$1)</f>
        <v>65.87</v>
      </c>
      <c r="AM28">
        <f>_xll.EQNXTDZ($A$1,$B28,AM$1,$B$1)</f>
        <v>66.790000000000006</v>
      </c>
      <c r="AN28">
        <f>_xll.EQNXTDZ($A$1,$B28,AN$1,$B$1)</f>
        <v>69.31</v>
      </c>
      <c r="AO28">
        <f>_xll.EQNXTDZ($A$1,$B28,AO$1,$B$1)</f>
        <v>69.8</v>
      </c>
      <c r="AP28">
        <f>_xll.EQNXTDZ($A$1,$B28,AP$1,$B$1)</f>
        <v>72.11</v>
      </c>
      <c r="AQ28">
        <f>_xll.EQNXTDZ($A$1,$B28,AQ$1,$B$1)</f>
        <v>72.92</v>
      </c>
      <c r="AR28">
        <f>_xll.EQNXTDZ($A$1,$B28,AR$1,$B$1)</f>
        <v>73.14</v>
      </c>
      <c r="AS28">
        <f>_xll.EQNXTDZ($A$1,$B28,AS$1,$B$1)</f>
        <v>75.16</v>
      </c>
      <c r="AT28">
        <f>_xll.EQNXTDZ($A$1,$B28,AT$1,$B$1)</f>
        <v>82.86</v>
      </c>
      <c r="AU28">
        <f>_xll.EQNXTDZ($A$1,$B28,AU$1,$B$1)</f>
        <v>81.95</v>
      </c>
      <c r="AV28">
        <f>_xll.EQNXTDZ($A$1,$B28,AV$1,$B$1)</f>
        <v>93.93</v>
      </c>
      <c r="AW28">
        <f>_xll.EQNXTDZ($A$1,$B28,AW$1,$B$1)</f>
        <v>85.51</v>
      </c>
      <c r="AX28">
        <f>_xll.EQNXTDZ($A$1,$B28,AX$1,$B$1)</f>
        <v>115.76</v>
      </c>
      <c r="AY28">
        <f>_xll.EQNXTDZ($A$1,$B28,AY$1,$B$1)</f>
        <v>148</v>
      </c>
      <c r="AZ28">
        <f>_xll.EQNXTDZ($A$1,$B28,AZ$1,$B$1)</f>
        <v>149.33000000000001</v>
      </c>
      <c r="BA28">
        <f>_xll.EQNXTDZ($A$1,$B28,BA$1,$B$1)</f>
        <v>150.32</v>
      </c>
      <c r="BB28">
        <f>_xll.EQNXTDZ($A$1,$B28,BB$1,$B$1)</f>
        <v>153.09</v>
      </c>
      <c r="BC28">
        <f>_xll.EQNXTDZ($A$1,$B28,BC$1,$B$1)</f>
        <v>148.93</v>
      </c>
      <c r="BD28">
        <f>_xll.EQNXTDZ($A$1,$B28,BD$1,$B$1)</f>
        <v>153.28</v>
      </c>
      <c r="BE28">
        <f>_xll.EQNXTDZ($A$1,$B28,BE$1,$B$1)</f>
        <v>159.29</v>
      </c>
      <c r="BF28">
        <f>_xll.EQNXTDZ($A$1,$B28,BF$1,$B$1)</f>
        <v>165.18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49.25</v>
      </c>
      <c r="D29">
        <f>_xll.EQNXTDZ($A$1,$B29,D$1,$B$1)</f>
        <v>19.96</v>
      </c>
      <c r="E29">
        <f>_xll.EQNXTDZ($A$1,$B29,E$1,$B$1)</f>
        <v>67.02</v>
      </c>
      <c r="F29">
        <f>_xll.EQNXTDZ($A$1,$B29,F$1,$B$1)</f>
        <v>27.84</v>
      </c>
      <c r="G29">
        <f>_xll.EQNXTDZ($A$1,$B29,G$1,$B$1)</f>
        <v>62.05</v>
      </c>
      <c r="H29">
        <f>_xll.EQNXTDZ($A$1,$B29,H$1,$B$1)</f>
        <v>72.03</v>
      </c>
      <c r="I29">
        <f>_xll.EQNXTDZ($A$1,$B29,I$1,$B$1)</f>
        <v>11.39</v>
      </c>
      <c r="J29">
        <f>_xll.EQNXTDZ($A$1,$B29,J$1,$B$1)</f>
        <v>39.020000000000003</v>
      </c>
      <c r="K29">
        <f>_xll.EQNXTDZ($A$1,$B29,K$1,$B$1)</f>
        <v>54.06</v>
      </c>
      <c r="L29">
        <f>_xll.EQNXTDZ($A$1,$B29,L$1,$B$1)</f>
        <v>68.13</v>
      </c>
      <c r="M29">
        <f>_xll.EQNXTDZ($A$1,$B29,M$1,$B$1)</f>
        <v>57.75</v>
      </c>
      <c r="N29">
        <f>_xll.EQNXTDZ($A$1,$B29,N$1,$B$1)</f>
        <v>35.58</v>
      </c>
      <c r="O29">
        <f>_xll.EQNXTDZ($A$1,$B29,O$1,$B$1)</f>
        <v>56.16</v>
      </c>
      <c r="P29">
        <f>_xll.EQNXTDZ($A$1,$B29,P$1,$B$1)</f>
        <v>45.06</v>
      </c>
      <c r="Q29">
        <f>_xll.EQNXTDZ($A$1,$B29,Q$1,$B$1)</f>
        <v>46.57</v>
      </c>
      <c r="R29">
        <f>_xll.EQNXTDZ($A$1,$B29,R$1,$B$1)</f>
        <v>52.22</v>
      </c>
      <c r="S29">
        <f>_xll.EQNXTDZ($A$1,$B29,S$1,$B$1)</f>
        <v>73.209999999999994</v>
      </c>
      <c r="T29">
        <f>_xll.EQNXTDZ($A$1,$B29,T$1,$B$1)</f>
        <v>61.88</v>
      </c>
      <c r="U29">
        <f>_xll.EQNXTDZ($A$1,$B29,U$1,$B$1)</f>
        <v>50.32</v>
      </c>
      <c r="V29">
        <f>_xll.EQNXTDZ($A$1,$B29,V$1,$B$1)</f>
        <v>12.9</v>
      </c>
      <c r="W29">
        <f>_xll.EQNXTDZ($A$1,$B29,W$1,$B$1)</f>
        <v>80.540000000000006</v>
      </c>
      <c r="X29">
        <f>_xll.EQNXTDZ($A$1,$B29,X$1,$B$1)</f>
        <v>72.75</v>
      </c>
      <c r="Y29">
        <f>_xll.EQNXTDZ($A$1,$B29,Y$1,$B$1)</f>
        <v>19.559999999999999</v>
      </c>
      <c r="Z29">
        <f>_xll.EQNXTDZ($A$1,$B29,Z$1,$B$1)</f>
        <v>13.02</v>
      </c>
      <c r="AA29">
        <f>_xll.EQNXTDZ($A$1,$B29,AA$1,$B$1)</f>
        <v>83.45</v>
      </c>
      <c r="AB29">
        <f>_xll.EQNXTDZ($A$1,$B29,AB$1,$B$1)</f>
        <v>63.68</v>
      </c>
      <c r="AC29">
        <f>_xll.EQNXTDZ($A$1,$B29,AC$1,$B$1)</f>
        <v>54.92</v>
      </c>
      <c r="AD29">
        <f>_xll.EQNXTDZ($A$1,$B29,AD$1,$B$1)</f>
        <v>58.83</v>
      </c>
      <c r="AE29">
        <f>_xll.EQNXTDZ($A$1,$B29,AE$1,$B$1)</f>
        <v>102.18</v>
      </c>
      <c r="AF29">
        <f>_xll.EQNXTDZ($A$1,$B29,AF$1,$B$1)</f>
        <v>63.6</v>
      </c>
      <c r="AG29">
        <f>_xll.EQNXTDZ($A$1,$B29,AG$1,$B$1)</f>
        <v>75.040000000000006</v>
      </c>
      <c r="AH29">
        <f>_xll.EQNXTDZ($A$1,$B29,AH$1,$B$1)</f>
        <v>33.369999999999997</v>
      </c>
      <c r="AI29">
        <f>_xll.EQNXTDZ($A$1,$B29,AI$1,$B$1)</f>
        <v>110.4</v>
      </c>
      <c r="AJ29">
        <f>_xll.EQNXTDZ($A$1,$B29,AJ$1,$B$1)</f>
        <v>87.13</v>
      </c>
      <c r="AK29">
        <f>_xll.EQNXTDZ($A$1,$B29,AK$1,$B$1)</f>
        <v>55.17</v>
      </c>
      <c r="AL29">
        <f>_xll.EQNXTDZ($A$1,$B29,AL$1,$B$1)</f>
        <v>64.569999999999993</v>
      </c>
      <c r="AM29">
        <f>_xll.EQNXTDZ($A$1,$B29,AM$1,$B$1)</f>
        <v>95.71</v>
      </c>
      <c r="AN29">
        <f>_xll.EQNXTDZ($A$1,$B29,AN$1,$B$1)</f>
        <v>86.13</v>
      </c>
      <c r="AO29">
        <f>_xll.EQNXTDZ($A$1,$B29,AO$1,$B$1)</f>
        <v>99.88</v>
      </c>
      <c r="AP29">
        <f>_xll.EQNXTDZ($A$1,$B29,AP$1,$B$1)</f>
        <v>95.32</v>
      </c>
      <c r="AQ29">
        <f>_xll.EQNXTDZ($A$1,$B29,AQ$1,$B$1)</f>
        <v>102.97</v>
      </c>
      <c r="AR29">
        <f>_xll.EQNXTDZ($A$1,$B29,AR$1,$B$1)</f>
        <v>126.7</v>
      </c>
      <c r="AS29">
        <f>_xll.EQNXTDZ($A$1,$B29,AS$1,$B$1)</f>
        <v>112.87</v>
      </c>
      <c r="AT29">
        <f>_xll.EQNXTDZ($A$1,$B29,AT$1,$B$1)</f>
        <v>104.5</v>
      </c>
      <c r="AU29">
        <f>_xll.EQNXTDZ($A$1,$B29,AU$1,$B$1)</f>
        <v>130.87</v>
      </c>
      <c r="AV29">
        <f>_xll.EQNXTDZ($A$1,$B29,AV$1,$B$1)</f>
        <v>131.69999999999999</v>
      </c>
      <c r="AW29">
        <f>_xll.EQNXTDZ($A$1,$B29,AW$1,$B$1)</f>
        <v>106.21</v>
      </c>
      <c r="AX29">
        <f>_xll.EQNXTDZ($A$1,$B29,AX$1,$B$1)</f>
        <v>25.95</v>
      </c>
      <c r="AY29">
        <f>_xll.EQNXTDZ($A$1,$B29,AY$1,$B$1)</f>
        <v>133.69999999999999</v>
      </c>
      <c r="AZ29">
        <f>_xll.EQNXTDZ($A$1,$B29,AZ$1,$B$1)</f>
        <v>37.729999999999997</v>
      </c>
      <c r="BA29">
        <f>_xll.EQNXTDZ($A$1,$B29,BA$1,$B$1)</f>
        <v>102.18</v>
      </c>
      <c r="BB29">
        <f>_xll.EQNXTDZ($A$1,$B29,BB$1,$B$1)</f>
        <v>122.63</v>
      </c>
      <c r="BC29">
        <f>_xll.EQNXTDZ($A$1,$B29,BC$1,$B$1)</f>
        <v>118.98</v>
      </c>
      <c r="BD29">
        <f>_xll.EQNXTDZ($A$1,$B29,BD$1,$B$1)</f>
        <v>126.23</v>
      </c>
      <c r="BE29">
        <f>_xll.EQNXTDZ($A$1,$B29,BE$1,$B$1)</f>
        <v>137.12</v>
      </c>
      <c r="BF29">
        <f>_xll.EQNXTDZ($A$1,$B29,BF$1,$B$1)</f>
        <v>152.94999999999999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98.6</v>
      </c>
      <c r="D30">
        <f>_xll.EQNXTDZ($A$1,$B30,D$1,$B$1)</f>
        <v>128.09</v>
      </c>
      <c r="E30">
        <f>_xll.EQNXTDZ($A$1,$B30,E$1,$B$1)</f>
        <v>92.96</v>
      </c>
      <c r="F30">
        <f>_xll.EQNXTDZ($A$1,$B30,F$1,$B$1)</f>
        <v>153.07</v>
      </c>
      <c r="G30">
        <f>_xll.EQNXTDZ($A$1,$B30,G$1,$B$1)</f>
        <v>135.88999999999999</v>
      </c>
      <c r="H30">
        <f>_xll.EQNXTDZ($A$1,$B30,H$1,$B$1)</f>
        <v>160.56</v>
      </c>
      <c r="I30">
        <f>_xll.EQNXTDZ($A$1,$B30,I$1,$B$1)</f>
        <v>126.67</v>
      </c>
      <c r="J30">
        <f>_xll.EQNXTDZ($A$1,$B30,J$1,$B$1)</f>
        <v>99.25</v>
      </c>
      <c r="K30">
        <f>_xll.EQNXTDZ($A$1,$B30,K$1,$B$1)</f>
        <v>112.43</v>
      </c>
      <c r="L30">
        <f>_xll.EQNXTDZ($A$1,$B30,L$1,$B$1)</f>
        <v>68.97</v>
      </c>
      <c r="M30">
        <f>_xll.EQNXTDZ($A$1,$B30,M$1,$B$1)</f>
        <v>88.26</v>
      </c>
      <c r="N30">
        <f>_xll.EQNXTDZ($A$1,$B30,N$1,$B$1)</f>
        <v>14.7</v>
      </c>
      <c r="O30">
        <f>_xll.EQNXTDZ($A$1,$B30,O$1,$B$1)</f>
        <v>85.95</v>
      </c>
      <c r="P30">
        <f>_xll.EQNXTDZ($A$1,$B30,P$1,$B$1)</f>
        <v>72.97</v>
      </c>
      <c r="Q30">
        <f>_xll.EQNXTDZ($A$1,$B30,Q$1,$B$1)</f>
        <v>60.46</v>
      </c>
      <c r="R30">
        <f>_xll.EQNXTDZ($A$1,$B30,R$1,$B$1)</f>
        <v>-249.63</v>
      </c>
      <c r="S30">
        <f>_xll.EQNXTDZ($A$1,$B30,S$1,$B$1)</f>
        <v>126.29</v>
      </c>
      <c r="T30">
        <f>_xll.EQNXTDZ($A$1,$B30,T$1,$B$1)</f>
        <v>108.14</v>
      </c>
      <c r="U30">
        <f>_xll.EQNXTDZ($A$1,$B30,U$1,$B$1)</f>
        <v>144.86000000000001</v>
      </c>
      <c r="V30">
        <f>_xll.EQNXTDZ($A$1,$B30,V$1,$B$1)</f>
        <v>84.36</v>
      </c>
      <c r="W30">
        <f>_xll.EQNXTDZ($A$1,$B30,W$1,$B$1)</f>
        <v>142.97</v>
      </c>
      <c r="X30">
        <f>_xll.EQNXTDZ($A$1,$B30,X$1,$B$1)</f>
        <v>123.48</v>
      </c>
      <c r="Y30">
        <f>_xll.EQNXTDZ($A$1,$B30,Y$1,$B$1)</f>
        <v>186.11</v>
      </c>
      <c r="Z30">
        <f>_xll.EQNXTDZ($A$1,$B30,Z$1,$B$1)</f>
        <v>114.7</v>
      </c>
      <c r="AA30">
        <f>_xll.EQNXTDZ($A$1,$B30,AA$1,$B$1)</f>
        <v>133.6</v>
      </c>
      <c r="AB30">
        <f>_xll.EQNXTDZ($A$1,$B30,AB$1,$B$1)</f>
        <v>125.09</v>
      </c>
      <c r="AC30">
        <f>_xll.EQNXTDZ($A$1,$B30,AC$1,$B$1)</f>
        <v>121.32</v>
      </c>
      <c r="AD30">
        <f>_xll.EQNXTDZ($A$1,$B30,AD$1,$B$1)</f>
        <v>93.820000000000206</v>
      </c>
      <c r="AE30">
        <f>_xll.EQNXTDZ($A$1,$B30,AE$1,$B$1)</f>
        <v>197.52</v>
      </c>
      <c r="AF30">
        <f>_xll.EQNXTDZ($A$1,$B30,AF$1,$B$1)</f>
        <v>198.65</v>
      </c>
      <c r="AG30">
        <f>_xll.EQNXTDZ($A$1,$B30,AG$1,$B$1)</f>
        <v>189.23</v>
      </c>
      <c r="AH30">
        <f>_xll.EQNXTDZ($A$1,$B30,AH$1,$B$1)</f>
        <v>-50.209999999999901</v>
      </c>
      <c r="AI30">
        <f>_xll.EQNXTDZ($A$1,$B30,AI$1,$B$1)</f>
        <v>389.09</v>
      </c>
      <c r="AJ30">
        <f>_xll.EQNXTDZ($A$1,$B30,AJ$1,$B$1)</f>
        <v>234.33</v>
      </c>
      <c r="AK30">
        <f>_xll.EQNXTDZ($A$1,$B30,AK$1,$B$1)</f>
        <v>237.03</v>
      </c>
      <c r="AL30">
        <f>_xll.EQNXTDZ($A$1,$B30,AL$1,$B$1)</f>
        <v>133.34</v>
      </c>
      <c r="AM30">
        <f>_xll.EQNXTDZ($A$1,$B30,AM$1,$B$1)</f>
        <v>240.65</v>
      </c>
      <c r="AN30">
        <f>_xll.EQNXTDZ($A$1,$B30,AN$1,$B$1)</f>
        <v>261.39</v>
      </c>
      <c r="AO30">
        <f>_xll.EQNXTDZ($A$1,$B30,AO$1,$B$1)</f>
        <v>287.68</v>
      </c>
      <c r="AP30">
        <f>_xll.EQNXTDZ($A$1,$B30,AP$1,$B$1)</f>
        <v>289.23</v>
      </c>
      <c r="AQ30">
        <f>_xll.EQNXTDZ($A$1,$B30,AQ$1,$B$1)</f>
        <v>276.51</v>
      </c>
      <c r="AR30">
        <f>_xll.EQNXTDZ($A$1,$B30,AR$1,$B$1)</f>
        <v>354.98</v>
      </c>
      <c r="AS30">
        <f>_xll.EQNXTDZ($A$1,$B30,AS$1,$B$1)</f>
        <v>369.45</v>
      </c>
      <c r="AT30">
        <f>_xll.EQNXTDZ($A$1,$B30,AT$1,$B$1)</f>
        <v>345.58</v>
      </c>
      <c r="AU30">
        <f>_xll.EQNXTDZ($A$1,$B30,AU$1,$B$1)</f>
        <v>358.57</v>
      </c>
      <c r="AV30">
        <f>_xll.EQNXTDZ($A$1,$B30,AV$1,$B$1)</f>
        <v>359.18</v>
      </c>
      <c r="AW30">
        <f>_xll.EQNXTDZ($A$1,$B30,AW$1,$B$1)</f>
        <v>315.52999999999997</v>
      </c>
      <c r="AX30">
        <f>_xll.EQNXTDZ($A$1,$B30,AX$1,$B$1)</f>
        <v>267.70999999999998</v>
      </c>
      <c r="AY30">
        <f>_xll.EQNXTDZ($A$1,$B30,AY$1,$B$1)</f>
        <v>314.14999999999998</v>
      </c>
      <c r="AZ30">
        <f>_xll.EQNXTDZ($A$1,$B30,AZ$1,$B$1)</f>
        <v>359.33999999999901</v>
      </c>
      <c r="BA30">
        <f>_xll.EQNXTDZ($A$1,$B30,BA$1,$B$1)</f>
        <v>299.75</v>
      </c>
      <c r="BB30">
        <f>_xll.EQNXTDZ($A$1,$B30,BB$1,$B$1)</f>
        <v>407.07000000000102</v>
      </c>
      <c r="BC30">
        <f>_xll.EQNXTDZ($A$1,$B30,BC$1,$B$1)</f>
        <v>346.44000000000102</v>
      </c>
      <c r="BD30">
        <f>_xll.EQNXTDZ($A$1,$B30,BD$1,$B$1)</f>
        <v>397.05</v>
      </c>
      <c r="BE30">
        <f>_xll.EQNXTDZ($A$1,$B30,BE$1,$B$1)</f>
        <v>402.79</v>
      </c>
      <c r="BF30">
        <f>_xll.EQNXTDZ($A$1,$B30,BF$1,$B$1)</f>
        <v>491.22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-14.48</v>
      </c>
      <c r="D34">
        <f>_xll.EQNXTDZ($A$1,$B34,D$1,$B$1)</f>
        <v>-20.71</v>
      </c>
      <c r="E34">
        <f>_xll.EQNXTDZ($A$1,$B34,E$1,$B$1)</f>
        <v>-17.97</v>
      </c>
      <c r="F34">
        <f>_xll.EQNXTDZ($A$1,$B34,F$1,$B$1)</f>
        <v>-19.149999999999999</v>
      </c>
      <c r="G34">
        <f>_xll.EQNXTDZ($A$1,$B34,G$1,$B$1)</f>
        <v>-15</v>
      </c>
      <c r="H34">
        <f>_xll.EQNXTDZ($A$1,$B34,H$1,$B$1)</f>
        <v>15.39</v>
      </c>
      <c r="I34">
        <f>_xll.EQNXTDZ($A$1,$B34,I$1,$B$1)</f>
        <v>-18.96</v>
      </c>
      <c r="J34">
        <f>_xll.EQNXTDZ($A$1,$B34,J$1,$B$1)</f>
        <v>-10.42</v>
      </c>
      <c r="K34">
        <f>_xll.EQNXTDZ($A$1,$B34,K$1,$B$1)</f>
        <v>-15.22</v>
      </c>
      <c r="L34">
        <f>_xll.EQNXTDZ($A$1,$B34,L$1,$B$1)</f>
        <v>-13.03</v>
      </c>
      <c r="M34">
        <f>_xll.EQNXTDZ($A$1,$B34,M$1,$B$1)</f>
        <v>-10.63</v>
      </c>
      <c r="N34">
        <f>_xll.EQNXTDZ($A$1,$B34,N$1,$B$1)</f>
        <v>13.22</v>
      </c>
      <c r="O34">
        <f>_xll.EQNXTDZ($A$1,$B34,O$1,$B$1)</f>
        <v>-6.33</v>
      </c>
      <c r="P34">
        <f>_xll.EQNXTDZ($A$1,$B34,P$1,$B$1)</f>
        <v>-6.77</v>
      </c>
      <c r="Q34">
        <f>_xll.EQNXTDZ($A$1,$B34,Q$1,$B$1)</f>
        <v>-8.16</v>
      </c>
      <c r="R34">
        <f>_xll.EQNXTDZ($A$1,$B34,R$1,$B$1)</f>
        <v>52.83</v>
      </c>
      <c r="S34">
        <f>_xll.EQNXTDZ($A$1,$B34,S$1,$B$1)</f>
        <v>-15.87</v>
      </c>
      <c r="T34">
        <f>_xll.EQNXTDZ($A$1,$B34,T$1,$B$1)</f>
        <v>-12.87</v>
      </c>
      <c r="U34">
        <f>_xll.EQNXTDZ($A$1,$B34,U$1,$B$1)</f>
        <v>-16.91</v>
      </c>
      <c r="V34">
        <f>_xll.EQNXTDZ($A$1,$B34,V$1,$B$1)</f>
        <v>-19.71</v>
      </c>
      <c r="W34">
        <f>_xll.EQNXTDZ($A$1,$B34,W$1,$B$1)</f>
        <v>-17.37</v>
      </c>
      <c r="X34">
        <f>_xll.EQNXTDZ($A$1,$B34,X$1,$B$1)</f>
        <v>-10.69</v>
      </c>
      <c r="Y34">
        <f>_xll.EQNXTDZ($A$1,$B34,Y$1,$B$1)</f>
        <v>-20.77</v>
      </c>
      <c r="Z34">
        <f>_xll.EQNXTDZ($A$1,$B34,Z$1,$B$1)</f>
        <v>-12.11</v>
      </c>
      <c r="AA34">
        <f>_xll.EQNXTDZ($A$1,$B34,AA$1,$B$1)</f>
        <v>-11.9</v>
      </c>
      <c r="AB34">
        <f>_xll.EQNXTDZ($A$1,$B34,AB$1,$B$1)</f>
        <v>-14.23</v>
      </c>
      <c r="AC34">
        <f>_xll.EQNXTDZ($A$1,$B34,AC$1,$B$1)</f>
        <v>-9.57</v>
      </c>
      <c r="AD34">
        <f>_xll.EQNXTDZ($A$1,$B34,AD$1,$B$1)</f>
        <v>-13.09</v>
      </c>
      <c r="AE34">
        <f>_xll.EQNXTDZ($A$1,$B34,AE$1,$B$1)</f>
        <v>-16.350000000000001</v>
      </c>
      <c r="AF34">
        <f>_xll.EQNXTDZ($A$1,$B34,AF$1,$B$1)</f>
        <v>-14.73</v>
      </c>
      <c r="AG34">
        <f>_xll.EQNXTDZ($A$1,$B34,AG$1,$B$1)</f>
        <v>-15.26</v>
      </c>
      <c r="AH34">
        <f>_xll.EQNXTDZ($A$1,$B34,AH$1,$B$1)</f>
        <v>45.99</v>
      </c>
      <c r="AI34">
        <f>_xll.EQNXTDZ($A$1,$B34,AI$1,$B$1)</f>
        <v>-17.989999999999998</v>
      </c>
      <c r="AJ34">
        <f>_xll.EQNXTDZ($A$1,$B34,AJ$1,$B$1)</f>
        <v>-16.12</v>
      </c>
      <c r="AK34">
        <f>_xll.EQNXTDZ($A$1,$B34,AK$1,$B$1)</f>
        <v>-19.21</v>
      </c>
      <c r="AL34">
        <f>_xll.EQNXTDZ($A$1,$B34,AL$1,$B$1)</f>
        <v>-20.45</v>
      </c>
      <c r="AM34">
        <f>_xll.EQNXTDZ($A$1,$B34,AM$1,$B$1)</f>
        <v>-15.09</v>
      </c>
      <c r="AN34">
        <f>_xll.EQNXTDZ($A$1,$B34,AN$1,$B$1)</f>
        <v>-17.760000000000002</v>
      </c>
      <c r="AO34">
        <f>_xll.EQNXTDZ($A$1,$B34,AO$1,$B$1)</f>
        <v>-25.02</v>
      </c>
      <c r="AP34">
        <f>_xll.EQNXTDZ($A$1,$B34,AP$1,$B$1)</f>
        <v>-21.51</v>
      </c>
      <c r="AQ34">
        <f>_xll.EQNXTDZ($A$1,$B34,AQ$1,$B$1)</f>
        <v>-21.26</v>
      </c>
      <c r="AR34">
        <f>_xll.EQNXTDZ($A$1,$B34,AR$1,$B$1)</f>
        <v>-61.47</v>
      </c>
      <c r="AS34">
        <f>_xll.EQNXTDZ($A$1,$B34,AS$1,$B$1)</f>
        <v>-12.67</v>
      </c>
      <c r="AT34">
        <f>_xll.EQNXTDZ($A$1,$B34,AT$1,$B$1)</f>
        <v>-20.97</v>
      </c>
      <c r="AU34">
        <f>_xll.EQNXTDZ($A$1,$B34,AU$1,$B$1)</f>
        <v>-21.12</v>
      </c>
      <c r="AV34">
        <f>_xll.EQNXTDZ($A$1,$B34,AV$1,$B$1)</f>
        <v>-25.68</v>
      </c>
      <c r="AW34">
        <f>_xll.EQNXTDZ($A$1,$B34,AW$1,$B$1)</f>
        <v>-22.64</v>
      </c>
      <c r="AX34">
        <f>_xll.EQNXTDZ($A$1,$B34,AX$1,$B$1)</f>
        <v>4.37</v>
      </c>
      <c r="AY34">
        <f>_xll.EQNXTDZ($A$1,$B34,AY$1,$B$1)</f>
        <v>1.07</v>
      </c>
      <c r="AZ34">
        <f>_xll.EQNXTDZ($A$1,$B34,AZ$1,$B$1)</f>
        <v>-2.79</v>
      </c>
      <c r="BA34">
        <f>_xll.EQNXTDZ($A$1,$B34,BA$1,$B$1)</f>
        <v>-3.04</v>
      </c>
      <c r="BB34">
        <f>_xll.EQNXTDZ($A$1,$B34,BB$1,$B$1)</f>
        <v>-3.87</v>
      </c>
      <c r="BC34">
        <f>_xll.EQNXTDZ($A$1,$B34,BC$1,$B$1)</f>
        <v>2.4</v>
      </c>
      <c r="BD34">
        <f>_xll.EQNXTDZ($A$1,$B34,BD$1,$B$1)</f>
        <v>-2.0499999999999998</v>
      </c>
      <c r="BE34">
        <f>_xll.EQNXTDZ($A$1,$B34,BE$1,$B$1)</f>
        <v>0.09</v>
      </c>
      <c r="BF34">
        <f>_xll.EQNXTDZ($A$1,$B34,BF$1,$B$1)</f>
        <v>-4.9400000000000004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-6.43</v>
      </c>
      <c r="D35">
        <f>_xll.EQNXTDZ($A$1,$B35,D$1,$B$1)</f>
        <v>11.66</v>
      </c>
      <c r="E35">
        <f>_xll.EQNXTDZ($A$1,$B35,E$1,$B$1)</f>
        <v>5.27</v>
      </c>
      <c r="F35">
        <f>_xll.EQNXTDZ($A$1,$B35,F$1,$B$1)</f>
        <v>-38.159999999999997</v>
      </c>
      <c r="G35">
        <f>_xll.EQNXTDZ($A$1,$B35,G$1,$B$1)</f>
        <v>-9.26</v>
      </c>
      <c r="H35">
        <f>_xll.EQNXTDZ($A$1,$B35,H$1,$B$1)</f>
        <v>4.08</v>
      </c>
      <c r="I35">
        <f>_xll.EQNXTDZ($A$1,$B35,I$1,$B$1)</f>
        <v>11.84</v>
      </c>
      <c r="J35">
        <f>_xll.EQNXTDZ($A$1,$B35,J$1,$B$1)</f>
        <v>-19.53</v>
      </c>
      <c r="K35">
        <f>_xll.EQNXTDZ($A$1,$B35,K$1,$B$1)</f>
        <v>0.02</v>
      </c>
      <c r="L35">
        <f>_xll.EQNXTDZ($A$1,$B35,L$1,$B$1)</f>
        <v>6.51</v>
      </c>
      <c r="M35">
        <f>_xll.EQNXTDZ($A$1,$B35,M$1,$B$1)</f>
        <v>6.61</v>
      </c>
      <c r="N35">
        <f>_xll.EQNXTDZ($A$1,$B35,N$1,$B$1)</f>
        <v>-24.02</v>
      </c>
      <c r="O35">
        <f>_xll.EQNXTDZ($A$1,$B35,O$1,$B$1)</f>
        <v>-7.29</v>
      </c>
      <c r="P35">
        <f>_xll.EQNXTDZ($A$1,$B35,P$1,$B$1)</f>
        <v>14.24</v>
      </c>
      <c r="Q35">
        <f>_xll.EQNXTDZ($A$1,$B35,Q$1,$B$1)</f>
        <v>5.48</v>
      </c>
      <c r="R35">
        <f>_xll.EQNXTDZ($A$1,$B35,R$1,$B$1)</f>
        <v>-19.27</v>
      </c>
      <c r="S35">
        <f>_xll.EQNXTDZ($A$1,$B35,S$1,$B$1)</f>
        <v>-6.77</v>
      </c>
      <c r="T35">
        <f>_xll.EQNXTDZ($A$1,$B35,T$1,$B$1)</f>
        <v>31.48</v>
      </c>
      <c r="U35">
        <f>_xll.EQNXTDZ($A$1,$B35,U$1,$B$1)</f>
        <v>-0.32</v>
      </c>
      <c r="V35">
        <f>_xll.EQNXTDZ($A$1,$B35,V$1,$B$1)</f>
        <v>-33.24</v>
      </c>
      <c r="W35">
        <f>_xll.EQNXTDZ($A$1,$B35,W$1,$B$1)</f>
        <v>-1.1599999999999999</v>
      </c>
      <c r="X35">
        <f>_xll.EQNXTDZ($A$1,$B35,X$1,$B$1)</f>
        <v>31.01</v>
      </c>
      <c r="Y35">
        <f>_xll.EQNXTDZ($A$1,$B35,Y$1,$B$1)</f>
        <v>2.5299999999999998</v>
      </c>
      <c r="Z35">
        <f>_xll.EQNXTDZ($A$1,$B35,Z$1,$B$1)</f>
        <v>-43.14</v>
      </c>
      <c r="AA35">
        <f>_xll.EQNXTDZ($A$1,$B35,AA$1,$B$1)</f>
        <v>-5.46</v>
      </c>
      <c r="AB35">
        <f>_xll.EQNXTDZ($A$1,$B35,AB$1,$B$1)</f>
        <v>58.87</v>
      </c>
      <c r="AC35">
        <f>_xll.EQNXTDZ($A$1,$B35,AC$1,$B$1)</f>
        <v>-12.43</v>
      </c>
      <c r="AD35">
        <f>_xll.EQNXTDZ($A$1,$B35,AD$1,$B$1)</f>
        <v>-57.83</v>
      </c>
      <c r="AE35">
        <f>_xll.EQNXTDZ($A$1,$B35,AE$1,$B$1)</f>
        <v>-7.43</v>
      </c>
      <c r="AF35">
        <f>_xll.EQNXTDZ($A$1,$B35,AF$1,$B$1)</f>
        <v>9.24</v>
      </c>
      <c r="AG35">
        <f>_xll.EQNXTDZ($A$1,$B35,AG$1,$B$1)</f>
        <v>-4.62</v>
      </c>
      <c r="AH35">
        <f>_xll.EQNXTDZ($A$1,$B35,AH$1,$B$1)</f>
        <v>-72.27</v>
      </c>
      <c r="AI35">
        <f>_xll.EQNXTDZ($A$1,$B35,AI$1,$B$1)</f>
        <v>-43.54</v>
      </c>
      <c r="AJ35">
        <f>_xll.EQNXTDZ($A$1,$B35,AJ$1,$B$1)</f>
        <v>38.85</v>
      </c>
      <c r="AK35">
        <f>_xll.EQNXTDZ($A$1,$B35,AK$1,$B$1)</f>
        <v>0.35</v>
      </c>
      <c r="AL35">
        <f>_xll.EQNXTDZ($A$1,$B35,AL$1,$B$1)</f>
        <v>-58.99</v>
      </c>
      <c r="AM35">
        <f>_xll.EQNXTDZ($A$1,$B35,AM$1,$B$1)</f>
        <v>-40.409999999999997</v>
      </c>
      <c r="AN35">
        <f>_xll.EQNXTDZ($A$1,$B35,AN$1,$B$1)</f>
        <v>24.41</v>
      </c>
      <c r="AO35">
        <f>_xll.EQNXTDZ($A$1,$B35,AO$1,$B$1)</f>
        <v>2.39</v>
      </c>
      <c r="AP35">
        <f>_xll.EQNXTDZ($A$1,$B35,AP$1,$B$1)</f>
        <v>-50.18</v>
      </c>
      <c r="AQ35">
        <f>_xll.EQNXTDZ($A$1,$B35,AQ$1,$B$1)</f>
        <v>0.21</v>
      </c>
      <c r="AR35">
        <f>_xll.EQNXTDZ($A$1,$B35,AR$1,$B$1)</f>
        <v>34.450000000000003</v>
      </c>
      <c r="AS35">
        <f>_xll.EQNXTDZ($A$1,$B35,AS$1,$B$1)</f>
        <v>-5.0199999999999996</v>
      </c>
      <c r="AT35">
        <f>_xll.EQNXTDZ($A$1,$B35,AT$1,$B$1)</f>
        <v>-56.02</v>
      </c>
      <c r="AU35">
        <f>_xll.EQNXTDZ($A$1,$B35,AU$1,$B$1)</f>
        <v>-20.86</v>
      </c>
      <c r="AV35">
        <f>_xll.EQNXTDZ($A$1,$B35,AV$1,$B$1)</f>
        <v>4.74</v>
      </c>
      <c r="AW35">
        <f>_xll.EQNXTDZ($A$1,$B35,AW$1,$B$1)</f>
        <v>-14.02</v>
      </c>
      <c r="AX35">
        <f>_xll.EQNXTDZ($A$1,$B35,AX$1,$B$1)</f>
        <v>-55.45</v>
      </c>
      <c r="AY35">
        <f>_xll.EQNXTDZ($A$1,$B35,AY$1,$B$1)</f>
        <v>-24.9</v>
      </c>
      <c r="AZ35">
        <f>_xll.EQNXTDZ($A$1,$B35,AZ$1,$B$1)</f>
        <v>7.87</v>
      </c>
      <c r="BA35">
        <f>_xll.EQNXTDZ($A$1,$B35,BA$1,$B$1)</f>
        <v>-17.829999999999998</v>
      </c>
      <c r="BB35">
        <f>_xll.EQNXTDZ($A$1,$B35,BB$1,$B$1)</f>
        <v>-58.35</v>
      </c>
      <c r="BC35">
        <f>_xll.EQNXTDZ($A$1,$B35,BC$1,$B$1)</f>
        <v>-14.69</v>
      </c>
      <c r="BD35">
        <f>_xll.EQNXTDZ($A$1,$B35,BD$1,$B$1)</f>
        <v>9.4600000000000009</v>
      </c>
      <c r="BE35">
        <f>_xll.EQNXTDZ($A$1,$B35,BE$1,$B$1)</f>
        <v>-18.27</v>
      </c>
      <c r="BF35">
        <f>_xll.EQNXTDZ($A$1,$B35,BF$1,$B$1)</f>
        <v>-67.2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77.69</v>
      </c>
      <c r="D38">
        <f>_xll.EQNXTDZ($A$1,$B38,D$1,$B$1)</f>
        <v>119.04</v>
      </c>
      <c r="E38">
        <f>_xll.EQNXTDZ($A$1,$B38,E$1,$B$1)</f>
        <v>80.260000000000005</v>
      </c>
      <c r="F38">
        <f>_xll.EQNXTDZ($A$1,$B38,F$1,$B$1)</f>
        <v>95.76</v>
      </c>
      <c r="G38">
        <f>_xll.EQNXTDZ($A$1,$B38,G$1,$B$1)</f>
        <v>111.63</v>
      </c>
      <c r="H38">
        <f>_xll.EQNXTDZ($A$1,$B38,H$1,$B$1)</f>
        <v>180.03</v>
      </c>
      <c r="I38">
        <f>_xll.EQNXTDZ($A$1,$B38,I$1,$B$1)</f>
        <v>119.55</v>
      </c>
      <c r="J38">
        <f>_xll.EQNXTDZ($A$1,$B38,J$1,$B$1)</f>
        <v>69.3</v>
      </c>
      <c r="K38">
        <f>_xll.EQNXTDZ($A$1,$B38,K$1,$B$1)</f>
        <v>97.23</v>
      </c>
      <c r="L38">
        <f>_xll.EQNXTDZ($A$1,$B38,L$1,$B$1)</f>
        <v>62.45</v>
      </c>
      <c r="M38">
        <f>_xll.EQNXTDZ($A$1,$B38,M$1,$B$1)</f>
        <v>84.24</v>
      </c>
      <c r="N38">
        <f>_xll.EQNXTDZ($A$1,$B38,N$1,$B$1)</f>
        <v>3.9</v>
      </c>
      <c r="O38">
        <f>_xll.EQNXTDZ($A$1,$B38,O$1,$B$1)</f>
        <v>72.33</v>
      </c>
      <c r="P38">
        <f>_xll.EQNXTDZ($A$1,$B38,P$1,$B$1)</f>
        <v>80.44</v>
      </c>
      <c r="Q38">
        <f>_xll.EQNXTDZ($A$1,$B38,Q$1,$B$1)</f>
        <v>57.78</v>
      </c>
      <c r="R38">
        <f>_xll.EQNXTDZ($A$1,$B38,R$1,$B$1)</f>
        <v>-216.07</v>
      </c>
      <c r="S38">
        <f>_xll.EQNXTDZ($A$1,$B38,S$1,$B$1)</f>
        <v>103.65</v>
      </c>
      <c r="T38">
        <f>_xll.EQNXTDZ($A$1,$B38,T$1,$B$1)</f>
        <v>126.75</v>
      </c>
      <c r="U38">
        <f>_xll.EQNXTDZ($A$1,$B38,U$1,$B$1)</f>
        <v>127.63</v>
      </c>
      <c r="V38">
        <f>_xll.EQNXTDZ($A$1,$B38,V$1,$B$1)</f>
        <v>31.41</v>
      </c>
      <c r="W38">
        <f>_xll.EQNXTDZ($A$1,$B38,W$1,$B$1)</f>
        <v>124.44</v>
      </c>
      <c r="X38">
        <f>_xll.EQNXTDZ($A$1,$B38,X$1,$B$1)</f>
        <v>143.80000000000001</v>
      </c>
      <c r="Y38">
        <f>_xll.EQNXTDZ($A$1,$B38,Y$1,$B$1)</f>
        <v>167.87</v>
      </c>
      <c r="Z38">
        <f>_xll.EQNXTDZ($A$1,$B38,Z$1,$B$1)</f>
        <v>59.45</v>
      </c>
      <c r="AA38">
        <f>_xll.EQNXTDZ($A$1,$B38,AA$1,$B$1)</f>
        <v>116.24</v>
      </c>
      <c r="AB38">
        <f>_xll.EQNXTDZ($A$1,$B38,AB$1,$B$1)</f>
        <v>169.73</v>
      </c>
      <c r="AC38">
        <f>_xll.EQNXTDZ($A$1,$B38,AC$1,$B$1)</f>
        <v>99.32</v>
      </c>
      <c r="AD38">
        <f>_xll.EQNXTDZ($A$1,$B38,AD$1,$B$1)</f>
        <v>22.9</v>
      </c>
      <c r="AE38">
        <f>_xll.EQNXTDZ($A$1,$B38,AE$1,$B$1)</f>
        <v>173.74</v>
      </c>
      <c r="AF38">
        <f>_xll.EQNXTDZ($A$1,$B38,AF$1,$B$1)</f>
        <v>193.16</v>
      </c>
      <c r="AG38">
        <f>_xll.EQNXTDZ($A$1,$B38,AG$1,$B$1)</f>
        <v>169.35</v>
      </c>
      <c r="AH38">
        <f>_xll.EQNXTDZ($A$1,$B38,AH$1,$B$1)</f>
        <v>-76.489999999999995</v>
      </c>
      <c r="AI38">
        <f>_xll.EQNXTDZ($A$1,$B38,AI$1,$B$1)</f>
        <v>327.56</v>
      </c>
      <c r="AJ38">
        <f>_xll.EQNXTDZ($A$1,$B38,AJ$1,$B$1)</f>
        <v>257.06</v>
      </c>
      <c r="AK38">
        <f>_xll.EQNXTDZ($A$1,$B38,AK$1,$B$1)</f>
        <v>218.17</v>
      </c>
      <c r="AL38">
        <f>_xll.EQNXTDZ($A$1,$B38,AL$1,$B$1)</f>
        <v>53.9</v>
      </c>
      <c r="AM38">
        <f>_xll.EQNXTDZ($A$1,$B38,AM$1,$B$1)</f>
        <v>185.15</v>
      </c>
      <c r="AN38">
        <f>_xll.EQNXTDZ($A$1,$B38,AN$1,$B$1)</f>
        <v>268.04000000000002</v>
      </c>
      <c r="AO38">
        <f>_xll.EQNXTDZ($A$1,$B38,AO$1,$B$1)</f>
        <v>265.05</v>
      </c>
      <c r="AP38">
        <f>_xll.EQNXTDZ($A$1,$B38,AP$1,$B$1)</f>
        <v>217.54</v>
      </c>
      <c r="AQ38">
        <f>_xll.EQNXTDZ($A$1,$B38,AQ$1,$B$1)</f>
        <v>255.46</v>
      </c>
      <c r="AR38">
        <f>_xll.EQNXTDZ($A$1,$B38,AR$1,$B$1)</f>
        <v>327.96</v>
      </c>
      <c r="AS38">
        <f>_xll.EQNXTDZ($A$1,$B38,AS$1,$B$1)</f>
        <v>351.76</v>
      </c>
      <c r="AT38">
        <f>_xll.EQNXTDZ($A$1,$B38,AT$1,$B$1)</f>
        <v>268.58999999999997</v>
      </c>
      <c r="AU38">
        <f>_xll.EQNXTDZ($A$1,$B38,AU$1,$B$1)</f>
        <v>316.58999999999997</v>
      </c>
      <c r="AV38">
        <f>_xll.EQNXTDZ($A$1,$B38,AV$1,$B$1)</f>
        <v>338.24</v>
      </c>
      <c r="AW38">
        <f>_xll.EQNXTDZ($A$1,$B38,AW$1,$B$1)</f>
        <v>278.87</v>
      </c>
      <c r="AX38">
        <f>_xll.EQNXTDZ($A$1,$B38,AX$1,$B$1)</f>
        <v>216.63</v>
      </c>
      <c r="AY38">
        <f>_xll.EQNXTDZ($A$1,$B38,AY$1,$B$1)</f>
        <v>290.32</v>
      </c>
      <c r="AZ38">
        <f>_xll.EQNXTDZ($A$1,$B38,AZ$1,$B$1)</f>
        <v>364.42</v>
      </c>
      <c r="BA38">
        <f>_xll.EQNXTDZ($A$1,$B38,BA$1,$B$1)</f>
        <v>278.88</v>
      </c>
      <c r="BB38">
        <f>_xll.EQNXTDZ($A$1,$B38,BB$1,$B$1)</f>
        <v>344.85</v>
      </c>
      <c r="BC38">
        <f>_xll.EQNXTDZ($A$1,$B38,BC$1,$B$1)</f>
        <v>334.15</v>
      </c>
      <c r="BD38">
        <f>_xll.EQNXTDZ($A$1,$B38,BD$1,$B$1)</f>
        <v>404.46</v>
      </c>
      <c r="BE38">
        <f>_xll.EQNXTDZ($A$1,$B38,BE$1,$B$1)</f>
        <v>384.61</v>
      </c>
      <c r="BF38">
        <f>_xll.EQNXTDZ($A$1,$B38,BF$1,$B$1)</f>
        <v>419.08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265.42</v>
      </c>
      <c r="P40">
        <f>_xll.EQNXTDZ($A$1,$B40,P$1,$B$1)</f>
        <v>-180.13</v>
      </c>
      <c r="Q40">
        <f>_xll.EQNXTDZ($A$1,$B40,Q$1,$B$1)</f>
        <v>5.64</v>
      </c>
      <c r="R40">
        <f>_xll.EQNXTDZ($A$1,$B40,R$1,$B$1)</f>
        <v>-138.16999999999999</v>
      </c>
      <c r="S40">
        <f>_xll.EQNXTDZ($A$1,$B40,S$1,$B$1)</f>
        <v>-148.88999999999999</v>
      </c>
      <c r="T40">
        <f>_xll.EQNXTDZ($A$1,$B40,T$1,$B$1)</f>
        <v>-172.2</v>
      </c>
      <c r="U40">
        <f>_xll.EQNXTDZ($A$1,$B40,U$1,$B$1)</f>
        <v>36.32</v>
      </c>
      <c r="V40">
        <f>_xll.EQNXTDZ($A$1,$B40,V$1,$B$1)</f>
        <v>6.8</v>
      </c>
      <c r="W40">
        <f>_xll.EQNXTDZ($A$1,$B40,W$1,$B$1)</f>
        <v>125.9</v>
      </c>
      <c r="X40">
        <f>_xll.EQNXTDZ($A$1,$B40,X$1,$B$1)</f>
        <v>208.73</v>
      </c>
      <c r="Y40">
        <f>_xll.EQNXTDZ($A$1,$B40,Y$1,$B$1)</f>
        <v>-44.34</v>
      </c>
      <c r="Z40">
        <f>_xll.EQNXTDZ($A$1,$B40,Z$1,$B$1)</f>
        <v>215.02</v>
      </c>
      <c r="AA40">
        <f>_xll.EQNXTDZ($A$1,$B40,AA$1,$B$1)</f>
        <v>31.01</v>
      </c>
      <c r="AB40">
        <f>_xll.EQNXTDZ($A$1,$B40,AB$1,$B$1)</f>
        <v>266.8</v>
      </c>
      <c r="AC40">
        <f>_xll.EQNXTDZ($A$1,$B40,AC$1,$B$1)</f>
        <v>-290.83</v>
      </c>
      <c r="AD40">
        <f>_xll.EQNXTDZ($A$1,$B40,AD$1,$B$1)</f>
        <v>66.88</v>
      </c>
      <c r="AE40">
        <f>_xll.EQNXTDZ($A$1,$B40,AE$1,$B$1)</f>
        <v>-70.569999999999993</v>
      </c>
      <c r="AF40">
        <f>_xll.EQNXTDZ($A$1,$B40,AF$1,$B$1)</f>
        <v>23.17</v>
      </c>
      <c r="AG40">
        <f>_xll.EQNXTDZ($A$1,$B40,AG$1,$B$1)</f>
        <v>252.95</v>
      </c>
      <c r="AH40">
        <f>_xll.EQNXTDZ($A$1,$B40,AH$1,$B$1)</f>
        <v>75.930000000000007</v>
      </c>
      <c r="AI40">
        <f>_xll.EQNXTDZ($A$1,$B40,AI$1,$B$1)</f>
        <v>-93.23</v>
      </c>
      <c r="AJ40">
        <f>_xll.EQNXTDZ($A$1,$B40,AJ$1,$B$1)</f>
        <v>48.76</v>
      </c>
      <c r="AK40">
        <f>_xll.EQNXTDZ($A$1,$B40,AK$1,$B$1)</f>
        <v>162.34</v>
      </c>
      <c r="AL40">
        <f>_xll.EQNXTDZ($A$1,$B40,AL$1,$B$1)</f>
        <v>31.55</v>
      </c>
      <c r="AM40">
        <f>_xll.EQNXTDZ($A$1,$B40,AM$1,$B$1)</f>
        <v>133.71</v>
      </c>
      <c r="AN40">
        <f>_xll.EQNXTDZ($A$1,$B40,AN$1,$B$1)</f>
        <v>-152.51</v>
      </c>
      <c r="AO40">
        <f>_xll.EQNXTDZ($A$1,$B40,AO$1,$B$1)</f>
        <v>50.27</v>
      </c>
      <c r="AP40">
        <f>_xll.EQNXTDZ($A$1,$B40,AP$1,$B$1)</f>
        <v>27.77</v>
      </c>
      <c r="AQ40">
        <f>_xll.EQNXTDZ($A$1,$B40,AQ$1,$B$1)</f>
        <v>-86.1</v>
      </c>
      <c r="AR40">
        <f>_xll.EQNXTDZ($A$1,$B40,AR$1,$B$1)</f>
        <v>-221.87</v>
      </c>
      <c r="AS40">
        <f>_xll.EQNXTDZ($A$1,$B40,AS$1,$B$1)</f>
        <v>345.66</v>
      </c>
      <c r="AT40">
        <f>_xll.EQNXTDZ($A$1,$B40,AT$1,$B$1)</f>
        <v>45.99</v>
      </c>
      <c r="AU40">
        <f>_xll.EQNXTDZ($A$1,$B40,AU$1,$B$1)</f>
        <v>45.09</v>
      </c>
      <c r="AV40">
        <f>_xll.EQNXTDZ($A$1,$B40,AV$1,$B$1)</f>
        <v>-39.18</v>
      </c>
      <c r="AW40">
        <f>_xll.EQNXTDZ($A$1,$B40,AW$1,$B$1)</f>
        <v>178.65</v>
      </c>
      <c r="AX40">
        <f>_xll.EQNXTDZ($A$1,$B40,AX$1,$B$1)</f>
        <v>-10.08</v>
      </c>
      <c r="AY40">
        <f>_xll.EQNXTDZ($A$1,$B40,AY$1,$B$1)</f>
        <v>24.38</v>
      </c>
      <c r="AZ40">
        <f>_xll.EQNXTDZ($A$1,$B40,AZ$1,$B$1)</f>
        <v>247.58</v>
      </c>
      <c r="BA40">
        <f>_xll.EQNXTDZ($A$1,$B40,BA$1,$B$1)</f>
        <v>-129.08000000000001</v>
      </c>
      <c r="BB40">
        <f>_xll.EQNXTDZ($A$1,$B40,BB$1,$B$1)</f>
        <v>164.32</v>
      </c>
      <c r="BC40">
        <f>_xll.EQNXTDZ($A$1,$B40,BC$1,$B$1)</f>
        <v>204.39</v>
      </c>
      <c r="BD40">
        <f>_xll.EQNXTDZ($A$1,$B40,BD$1,$B$1)</f>
        <v>248.5</v>
      </c>
      <c r="BE40">
        <f>_xll.EQNXTDZ($A$1,$B40,BE$1,$B$1)</f>
        <v>80.7</v>
      </c>
      <c r="BF40">
        <f>_xll.EQNXTDZ($A$1,$B40,BF$1,$B$1)</f>
        <v>307.16000000000003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292.5</v>
      </c>
      <c r="P41">
        <f>_xll.EQNXTDZ($A$1,$B41,P$1,$B$1)</f>
        <v>-91.26</v>
      </c>
      <c r="Q41">
        <f>_xll.EQNXTDZ($A$1,$B41,Q$1,$B$1)</f>
        <v>71.25</v>
      </c>
      <c r="R41">
        <f>_xll.EQNXTDZ($A$1,$B41,R$1,$B$1)</f>
        <v>-345.17</v>
      </c>
      <c r="S41">
        <f>_xll.EQNXTDZ($A$1,$B41,S$1,$B$1)</f>
        <v>-19.32</v>
      </c>
      <c r="T41">
        <f>_xll.EQNXTDZ($A$1,$B41,T$1,$B$1)</f>
        <v>-11.92</v>
      </c>
      <c r="U41">
        <f>_xll.EQNXTDZ($A$1,$B41,U$1,$B$1)</f>
        <v>169.86</v>
      </c>
      <c r="V41">
        <f>_xll.EQNXTDZ($A$1,$B41,V$1,$B$1)</f>
        <v>52</v>
      </c>
      <c r="W41">
        <f>_xll.EQNXTDZ($A$1,$B41,W$1,$B$1)</f>
        <v>234.32</v>
      </c>
      <c r="X41">
        <f>_xll.EQNXTDZ($A$1,$B41,X$1,$B$1)</f>
        <v>325.29000000000002</v>
      </c>
      <c r="Y41">
        <f>_xll.EQNXTDZ($A$1,$B41,Y$1,$B$1)</f>
        <v>131.75</v>
      </c>
      <c r="Z41">
        <f>_xll.EQNXTDZ($A$1,$B41,Z$1,$B$1)</f>
        <v>240.5</v>
      </c>
      <c r="AA41">
        <f>_xll.EQNXTDZ($A$1,$B41,AA$1,$B$1)</f>
        <v>147.87</v>
      </c>
      <c r="AB41">
        <f>_xll.EQNXTDZ($A$1,$B41,AB$1,$B$1)</f>
        <v>397.06</v>
      </c>
      <c r="AC41">
        <f>_xll.EQNXTDZ($A$1,$B41,AC$1,$B$1)</f>
        <v>-148.74</v>
      </c>
      <c r="AD41">
        <f>_xll.EQNXTDZ($A$1,$B41,AD$1,$B$1)</f>
        <v>82.58</v>
      </c>
      <c r="AE41">
        <f>_xll.EQNXTDZ($A$1,$B41,AE$1,$B$1)</f>
        <v>115.94</v>
      </c>
      <c r="AF41">
        <f>_xll.EQNXTDZ($A$1,$B41,AF$1,$B$1)</f>
        <v>214.56</v>
      </c>
      <c r="AG41">
        <f>_xll.EQNXTDZ($A$1,$B41,AG$1,$B$1)</f>
        <v>373.93</v>
      </c>
      <c r="AH41">
        <f>_xll.EQNXTDZ($A$1,$B41,AH$1,$B$1)</f>
        <v>-10.78</v>
      </c>
      <c r="AI41">
        <f>_xll.EQNXTDZ($A$1,$B41,AI$1,$B$1)</f>
        <v>246.71</v>
      </c>
      <c r="AJ41">
        <f>_xll.EQNXTDZ($A$1,$B41,AJ$1,$B$1)</f>
        <v>299.27</v>
      </c>
      <c r="AK41">
        <f>_xll.EQNXTDZ($A$1,$B41,AK$1,$B$1)</f>
        <v>356.08</v>
      </c>
      <c r="AL41">
        <f>_xll.EQNXTDZ($A$1,$B41,AL$1,$B$1)</f>
        <v>82.12</v>
      </c>
      <c r="AM41">
        <f>_xll.EQNXTDZ($A$1,$B41,AM$1,$B$1)</f>
        <v>297.57</v>
      </c>
      <c r="AN41">
        <f>_xll.EQNXTDZ($A$1,$B41,AN$1,$B$1)</f>
        <v>133.5</v>
      </c>
      <c r="AO41">
        <f>_xll.EQNXTDZ($A$1,$B41,AO$1,$B$1)</f>
        <v>309.57</v>
      </c>
      <c r="AP41">
        <f>_xll.EQNXTDZ($A$1,$B41,AP$1,$B$1)</f>
        <v>245.92</v>
      </c>
      <c r="AQ41">
        <f>_xll.EQNXTDZ($A$1,$B41,AQ$1,$B$1)</f>
        <v>176.47</v>
      </c>
      <c r="AR41">
        <f>_xll.EQNXTDZ($A$1,$B41,AR$1,$B$1)</f>
        <v>129.84</v>
      </c>
      <c r="AS41">
        <f>_xll.EQNXTDZ($A$1,$B41,AS$1,$B$1)</f>
        <v>720.38</v>
      </c>
      <c r="AT41">
        <f>_xll.EQNXTDZ($A$1,$B41,AT$1,$B$1)</f>
        <v>265.8</v>
      </c>
      <c r="AU41">
        <f>_xll.EQNXTDZ($A$1,$B41,AU$1,$B$1)</f>
        <v>363.53</v>
      </c>
      <c r="AV41">
        <f>_xll.EQNXTDZ($A$1,$B41,AV$1,$B$1)</f>
        <v>294.37</v>
      </c>
      <c r="AW41">
        <f>_xll.EQNXTDZ($A$1,$B41,AW$1,$B$1)</f>
        <v>454.04</v>
      </c>
      <c r="AX41">
        <f>_xll.EQNXTDZ($A$1,$B41,AX$1,$B$1)</f>
        <v>207.76</v>
      </c>
      <c r="AY41">
        <f>_xll.EQNXTDZ($A$1,$B41,AY$1,$B$1)</f>
        <v>311.95</v>
      </c>
      <c r="AZ41">
        <f>_xll.EQNXTDZ($A$1,$B41,AZ$1,$B$1)</f>
        <v>608.16999999999996</v>
      </c>
      <c r="BA41">
        <f>_xll.EQNXTDZ($A$1,$B41,BA$1,$B$1)</f>
        <v>154.11000000000001</v>
      </c>
      <c r="BB41">
        <f>_xll.EQNXTDZ($A$1,$B41,BB$1,$B$1)</f>
        <v>507.2</v>
      </c>
      <c r="BC41">
        <f>_xll.EQNXTDZ($A$1,$B41,BC$1,$B$1)</f>
        <v>537</v>
      </c>
      <c r="BD41">
        <f>_xll.EQNXTDZ($A$1,$B41,BD$1,$B$1)</f>
        <v>648.78</v>
      </c>
      <c r="BE41">
        <f>_xll.EQNXTDZ($A$1,$B41,BE$1,$B$1)</f>
        <v>461.32</v>
      </c>
      <c r="BF41">
        <f>_xll.EQNXTDZ($A$1,$B41,BF$1,$B$1)</f>
        <v>724.38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77.69</v>
      </c>
      <c r="D42">
        <f>_xll.EQNXTDZ($A$1,$B42,D$1,$B$1)</f>
        <v>119.04</v>
      </c>
      <c r="E42">
        <f>_xll.EQNXTDZ($A$1,$B42,E$1,$B$1)</f>
        <v>80.260000000000005</v>
      </c>
      <c r="F42">
        <f>_xll.EQNXTDZ($A$1,$B42,F$1,$B$1)</f>
        <v>95.76</v>
      </c>
      <c r="G42">
        <f>_xll.EQNXTDZ($A$1,$B42,G$1,$B$1)</f>
        <v>111.63</v>
      </c>
      <c r="H42">
        <f>_xll.EQNXTDZ($A$1,$B42,H$1,$B$1)</f>
        <v>180.03</v>
      </c>
      <c r="I42">
        <f>_xll.EQNXTDZ($A$1,$B42,I$1,$B$1)</f>
        <v>119.55</v>
      </c>
      <c r="J42">
        <f>_xll.EQNXTDZ($A$1,$B42,J$1,$B$1)</f>
        <v>69.3</v>
      </c>
      <c r="K42">
        <f>_xll.EQNXTDZ($A$1,$B42,K$1,$B$1)</f>
        <v>97.23</v>
      </c>
      <c r="L42">
        <f>_xll.EQNXTDZ($A$1,$B42,L$1,$B$1)</f>
        <v>62.45</v>
      </c>
      <c r="M42">
        <f>_xll.EQNXTDZ($A$1,$B42,M$1,$B$1)</f>
        <v>84.24</v>
      </c>
      <c r="N42">
        <f>_xll.EQNXTDZ($A$1,$B42,N$1,$B$1)</f>
        <v>3.9</v>
      </c>
      <c r="O42">
        <f>_xll.EQNXTDZ($A$1,$B42,O$1,$B$1)</f>
        <v>72.33</v>
      </c>
      <c r="P42">
        <f>_xll.EQNXTDZ($A$1,$B42,P$1,$B$1)</f>
        <v>80.44</v>
      </c>
      <c r="Q42">
        <f>_xll.EQNXTDZ($A$1,$B42,Q$1,$B$1)</f>
        <v>57.78</v>
      </c>
      <c r="R42">
        <f>_xll.EQNXTDZ($A$1,$B42,R$1,$B$1)</f>
        <v>-216.07</v>
      </c>
      <c r="S42">
        <f>_xll.EQNXTDZ($A$1,$B42,S$1,$B$1)</f>
        <v>103.65</v>
      </c>
      <c r="T42">
        <f>_xll.EQNXTDZ($A$1,$B42,T$1,$B$1)</f>
        <v>126.75</v>
      </c>
      <c r="U42">
        <f>_xll.EQNXTDZ($A$1,$B42,U$1,$B$1)</f>
        <v>127.63</v>
      </c>
      <c r="V42">
        <f>_xll.EQNXTDZ($A$1,$B42,V$1,$B$1)</f>
        <v>31.41</v>
      </c>
      <c r="W42">
        <f>_xll.EQNXTDZ($A$1,$B42,W$1,$B$1)</f>
        <v>124.44</v>
      </c>
      <c r="X42">
        <f>_xll.EQNXTDZ($A$1,$B42,X$1,$B$1)</f>
        <v>143.80000000000001</v>
      </c>
      <c r="Y42">
        <f>_xll.EQNXTDZ($A$1,$B42,Y$1,$B$1)</f>
        <v>167.87</v>
      </c>
      <c r="Z42">
        <f>_xll.EQNXTDZ($A$1,$B42,Z$1,$B$1)</f>
        <v>59.45</v>
      </c>
      <c r="AA42">
        <f>_xll.EQNXTDZ($A$1,$B42,AA$1,$B$1)</f>
        <v>116.24</v>
      </c>
      <c r="AB42">
        <f>_xll.EQNXTDZ($A$1,$B42,AB$1,$B$1)</f>
        <v>169.73</v>
      </c>
      <c r="AC42">
        <f>_xll.EQNXTDZ($A$1,$B42,AC$1,$B$1)</f>
        <v>99.32</v>
      </c>
      <c r="AD42">
        <f>_xll.EQNXTDZ($A$1,$B42,AD$1,$B$1)</f>
        <v>22.9</v>
      </c>
      <c r="AE42">
        <f>_xll.EQNXTDZ($A$1,$B42,AE$1,$B$1)</f>
        <v>173.74</v>
      </c>
      <c r="AF42">
        <f>_xll.EQNXTDZ($A$1,$B42,AF$1,$B$1)</f>
        <v>193.16</v>
      </c>
      <c r="AG42">
        <f>_xll.EQNXTDZ($A$1,$B42,AG$1,$B$1)</f>
        <v>169.35</v>
      </c>
      <c r="AH42">
        <f>_xll.EQNXTDZ($A$1,$B42,AH$1,$B$1)</f>
        <v>-76.489999999999995</v>
      </c>
      <c r="AI42">
        <f>_xll.EQNXTDZ($A$1,$B42,AI$1,$B$1)</f>
        <v>327.56</v>
      </c>
      <c r="AJ42">
        <f>_xll.EQNXTDZ($A$1,$B42,AJ$1,$B$1)</f>
        <v>257.06</v>
      </c>
      <c r="AK42">
        <f>_xll.EQNXTDZ($A$1,$B42,AK$1,$B$1)</f>
        <v>218.17</v>
      </c>
      <c r="AL42">
        <f>_xll.EQNXTDZ($A$1,$B42,AL$1,$B$1)</f>
        <v>53.9</v>
      </c>
      <c r="AM42">
        <f>_xll.EQNXTDZ($A$1,$B42,AM$1,$B$1)</f>
        <v>185.15</v>
      </c>
      <c r="AN42">
        <f>_xll.EQNXTDZ($A$1,$B42,AN$1,$B$1)</f>
        <v>268.04000000000002</v>
      </c>
      <c r="AO42">
        <f>_xll.EQNXTDZ($A$1,$B42,AO$1,$B$1)</f>
        <v>265.05</v>
      </c>
      <c r="AP42">
        <f>_xll.EQNXTDZ($A$1,$B42,AP$1,$B$1)</f>
        <v>217.54</v>
      </c>
      <c r="AQ42">
        <f>_xll.EQNXTDZ($A$1,$B42,AQ$1,$B$1)</f>
        <v>255.46</v>
      </c>
      <c r="AR42">
        <f>_xll.EQNXTDZ($A$1,$B42,AR$1,$B$1)</f>
        <v>327.96</v>
      </c>
      <c r="AS42">
        <f>_xll.EQNXTDZ($A$1,$B42,AS$1,$B$1)</f>
        <v>351.76</v>
      </c>
      <c r="AT42">
        <f>_xll.EQNXTDZ($A$1,$B42,AT$1,$B$1)</f>
        <v>268.58999999999997</v>
      </c>
      <c r="AU42">
        <f>_xll.EQNXTDZ($A$1,$B42,AU$1,$B$1)</f>
        <v>316.58999999999997</v>
      </c>
      <c r="AV42">
        <f>_xll.EQNXTDZ($A$1,$B42,AV$1,$B$1)</f>
        <v>338.24</v>
      </c>
      <c r="AW42">
        <f>_xll.EQNXTDZ($A$1,$B42,AW$1,$B$1)</f>
        <v>278.87</v>
      </c>
      <c r="AX42">
        <f>_xll.EQNXTDZ($A$1,$B42,AX$1,$B$1)</f>
        <v>216.63</v>
      </c>
      <c r="AY42">
        <f>_xll.EQNXTDZ($A$1,$B42,AY$1,$B$1)</f>
        <v>290.32</v>
      </c>
      <c r="AZ42">
        <f>_xll.EQNXTDZ($A$1,$B42,AZ$1,$B$1)</f>
        <v>364.42</v>
      </c>
      <c r="BA42">
        <f>_xll.EQNXTDZ($A$1,$B42,BA$1,$B$1)</f>
        <v>278.88</v>
      </c>
      <c r="BB42">
        <f>_xll.EQNXTDZ($A$1,$B42,BB$1,$B$1)</f>
        <v>344.85</v>
      </c>
      <c r="BC42">
        <f>_xll.EQNXTDZ($A$1,$B42,BC$1,$B$1)</f>
        <v>334.15</v>
      </c>
      <c r="BD42">
        <f>_xll.EQNXTDZ($A$1,$B42,BD$1,$B$1)</f>
        <v>404.46</v>
      </c>
      <c r="BE42">
        <f>_xll.EQNXTDZ($A$1,$B42,BE$1,$B$1)</f>
        <v>384.61</v>
      </c>
      <c r="BF42">
        <f>_xll.EQNXTDZ($A$1,$B42,BF$1,$B$1)</f>
        <v>419.08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61.84</v>
      </c>
      <c r="D45">
        <f>_xll.EQNXTDZ($A$1,$B45,D$1,$B$1)</f>
        <v>61.84</v>
      </c>
      <c r="E45">
        <f>_xll.EQNXTDZ($A$1,$B45,E$1,$B$1)</f>
        <v>61.84</v>
      </c>
      <c r="F45">
        <f>_xll.EQNXTDZ($A$1,$B45,F$1,$B$1)</f>
        <v>61.84</v>
      </c>
      <c r="G45">
        <f>_xll.EQNXTDZ($A$1,$B45,G$1,$B$1)</f>
        <v>61.84</v>
      </c>
      <c r="H45">
        <f>_xll.EQNXTDZ($A$1,$B45,H$1,$B$1)</f>
        <v>61.84</v>
      </c>
      <c r="I45">
        <f>_xll.EQNXTDZ($A$1,$B45,I$1,$B$1)</f>
        <v>61.84</v>
      </c>
      <c r="J45">
        <f>_xll.EQNXTDZ($A$1,$B45,J$1,$B$1)</f>
        <v>61.84</v>
      </c>
      <c r="K45">
        <f>_xll.EQNXTDZ($A$1,$B45,K$1,$B$1)</f>
        <v>61.84</v>
      </c>
      <c r="L45">
        <f>_xll.EQNXTDZ($A$1,$B45,L$1,$B$1)</f>
        <v>61.84</v>
      </c>
      <c r="M45">
        <f>_xll.EQNXTDZ($A$1,$B45,M$1,$B$1)</f>
        <v>61.84</v>
      </c>
      <c r="N45">
        <f>_xll.EQNXTDZ($A$1,$B45,N$1,$B$1)</f>
        <v>63.11</v>
      </c>
      <c r="O45">
        <f>_xll.EQNXTDZ($A$1,$B45,O$1,$B$1)</f>
        <v>63.11</v>
      </c>
      <c r="P45">
        <f>_xll.EQNXTDZ($A$1,$B45,P$1,$B$1)</f>
        <v>63.11</v>
      </c>
      <c r="Q45">
        <f>_xll.EQNXTDZ($A$1,$B45,Q$1,$B$1)</f>
        <v>63.11</v>
      </c>
      <c r="R45">
        <f>_xll.EQNXTDZ($A$1,$B45,R$1,$B$1)</f>
        <v>63.11</v>
      </c>
      <c r="S45">
        <f>_xll.EQNXTDZ($A$1,$B45,S$1,$B$1)</f>
        <v>63.11</v>
      </c>
      <c r="T45">
        <f>_xll.EQNXTDZ($A$1,$B45,T$1,$B$1)</f>
        <v>63.11</v>
      </c>
      <c r="U45">
        <f>_xll.EQNXTDZ($A$1,$B45,U$1,$B$1)</f>
        <v>63.11</v>
      </c>
      <c r="V45">
        <f>_xll.EQNXTDZ($A$1,$B45,V$1,$B$1)</f>
        <v>63.11</v>
      </c>
      <c r="W45">
        <f>_xll.EQNXTDZ($A$1,$B45,W$1,$B$1)</f>
        <v>63.11</v>
      </c>
      <c r="X45">
        <f>_xll.EQNXTDZ($A$1,$B45,X$1,$B$1)</f>
        <v>63.11</v>
      </c>
      <c r="Y45">
        <f>_xll.EQNXTDZ($A$1,$B45,Y$1,$B$1)</f>
        <v>63.11</v>
      </c>
      <c r="Z45">
        <f>_xll.EQNXTDZ($A$1,$B45,Z$1,$B$1)</f>
        <v>63.11</v>
      </c>
      <c r="AA45">
        <f>_xll.EQNXTDZ($A$1,$B45,AA$1,$B$1)</f>
        <v>63.11</v>
      </c>
      <c r="AB45">
        <f>_xll.EQNXTDZ($A$1,$B45,AB$1,$B$1)</f>
        <v>63.11</v>
      </c>
      <c r="AC45">
        <f>_xll.EQNXTDZ($A$1,$B45,AC$1,$B$1)</f>
        <v>63.11</v>
      </c>
      <c r="AD45">
        <f>_xll.EQNXTDZ($A$1,$B45,AD$1,$B$1)</f>
        <v>63.11</v>
      </c>
      <c r="AE45">
        <f>_xll.EQNXTDZ($A$1,$B45,AE$1,$B$1)</f>
        <v>92.16</v>
      </c>
      <c r="AF45">
        <f>_xll.EQNXTDZ($A$1,$B45,AF$1,$B$1)</f>
        <v>92.16</v>
      </c>
      <c r="AG45">
        <f>_xll.EQNXTDZ($A$1,$B45,AG$1,$B$1)</f>
        <v>92.16</v>
      </c>
      <c r="AH45">
        <f>_xll.EQNXTDZ($A$1,$B45,AH$1,$B$1)</f>
        <v>92.16</v>
      </c>
      <c r="AI45">
        <f>_xll.EQNXTDZ($A$1,$B45,AI$1,$B$1)</f>
        <v>92.16</v>
      </c>
      <c r="AJ45">
        <f>_xll.EQNXTDZ($A$1,$B45,AJ$1,$B$1)</f>
        <v>92.16</v>
      </c>
      <c r="AK45">
        <f>_xll.EQNXTDZ($A$1,$B45,AK$1,$B$1)</f>
        <v>92.16</v>
      </c>
      <c r="AL45">
        <f>_xll.EQNXTDZ($A$1,$B45,AL$1,$B$1)</f>
        <v>92.16</v>
      </c>
      <c r="AM45">
        <f>_xll.EQNXTDZ($A$1,$B45,AM$1,$B$1)</f>
        <v>92.16</v>
      </c>
      <c r="AN45">
        <f>_xll.EQNXTDZ($A$1,$B45,AN$1,$B$1)</f>
        <v>92.16</v>
      </c>
      <c r="AO45">
        <f>_xll.EQNXTDZ($A$1,$B45,AO$1,$B$1)</f>
        <v>92.16</v>
      </c>
      <c r="AP45">
        <f>_xll.EQNXTDZ($A$1,$B45,AP$1,$B$1)</f>
        <v>92.16</v>
      </c>
      <c r="AQ45">
        <f>_xll.EQNXTDZ($A$1,$B45,AQ$1,$B$1)</f>
        <v>92.16</v>
      </c>
      <c r="AR45">
        <f>_xll.EQNXTDZ($A$1,$B45,AR$1,$B$1)</f>
        <v>92.16</v>
      </c>
      <c r="AS45">
        <f>_xll.EQNXTDZ($A$1,$B45,AS$1,$B$1)</f>
        <v>92.9</v>
      </c>
      <c r="AT45">
        <f>_xll.EQNXTDZ($A$1,$B45,AT$1,$B$1)</f>
        <v>92.9</v>
      </c>
      <c r="AU45">
        <f>_xll.EQNXTDZ($A$1,$B45,AU$1,$B$1)</f>
        <v>92.9</v>
      </c>
      <c r="AV45">
        <f>_xll.EQNXTDZ($A$1,$B45,AV$1,$B$1)</f>
        <v>92.9</v>
      </c>
      <c r="AW45">
        <f>_xll.EQNXTDZ($A$1,$B45,AW$1,$B$1)</f>
        <v>92.9</v>
      </c>
      <c r="AX45">
        <f>_xll.EQNXTDZ($A$1,$B45,AX$1,$B$1)</f>
        <v>95.28</v>
      </c>
      <c r="AY45">
        <f>_xll.EQNXTDZ($A$1,$B45,AY$1,$B$1)</f>
        <v>95.28</v>
      </c>
      <c r="AZ45">
        <f>_xll.EQNXTDZ($A$1,$B45,AZ$1,$B$1)</f>
        <v>98.94</v>
      </c>
      <c r="BA45">
        <f>_xll.EQNXTDZ($A$1,$B45,BA$1,$B$1)</f>
        <v>98.95</v>
      </c>
      <c r="BB45">
        <f>_xll.EQNXTDZ($A$1,$B45,BB$1,$B$1)</f>
        <v>98.95</v>
      </c>
      <c r="BC45">
        <f>_xll.EQNXTDZ($A$1,$B45,BC$1,$B$1)</f>
        <v>98.95</v>
      </c>
      <c r="BD45">
        <f>_xll.EQNXTDZ($A$1,$B45,BD$1,$B$1)</f>
        <v>98.95</v>
      </c>
      <c r="BE45">
        <f>_xll.EQNXTDZ($A$1,$B45,BE$1,$B$1)</f>
        <v>98.95</v>
      </c>
      <c r="BF45">
        <f>_xll.EQNXTDZ($A$1,$B45,BF$1,$B$1)</f>
        <v>98.96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</v>
      </c>
      <c r="D46">
        <f>_xll.EQNXTDZ($A$1,$B46,D$1,$B$1)</f>
        <v>1</v>
      </c>
      <c r="E46">
        <f>_xll.EQNXTDZ($A$1,$B46,E$1,$B$1)</f>
        <v>1</v>
      </c>
      <c r="F46">
        <f>_xll.EQNXTDZ($A$1,$B46,F$1,$B$1)</f>
        <v>1</v>
      </c>
      <c r="G46">
        <f>_xll.EQNXTDZ($A$1,$B46,G$1,$B$1)</f>
        <v>1</v>
      </c>
      <c r="H46">
        <f>_xll.EQNXTDZ($A$1,$B46,H$1,$B$1)</f>
        <v>1</v>
      </c>
      <c r="I46">
        <f>_xll.EQNXTDZ($A$1,$B46,I$1,$B$1)</f>
        <v>1</v>
      </c>
      <c r="J46">
        <f>_xll.EQNXTDZ($A$1,$B46,J$1,$B$1)</f>
        <v>1</v>
      </c>
      <c r="K46">
        <f>_xll.EQNXTDZ($A$1,$B46,K$1,$B$1)</f>
        <v>1</v>
      </c>
      <c r="L46">
        <f>_xll.EQNXTDZ($A$1,$B46,L$1,$B$1)</f>
        <v>1</v>
      </c>
      <c r="M46">
        <f>_xll.EQNXTDZ($A$1,$B46,M$1,$B$1)</f>
        <v>1</v>
      </c>
      <c r="N46">
        <f>_xll.EQNXTDZ($A$1,$B46,N$1,$B$1)</f>
        <v>1</v>
      </c>
      <c r="O46">
        <f>_xll.EQNXTDZ($A$1,$B46,O$1,$B$1)</f>
        <v>1</v>
      </c>
      <c r="P46">
        <f>_xll.EQNXTDZ($A$1,$B46,P$1,$B$1)</f>
        <v>1</v>
      </c>
      <c r="Q46">
        <f>_xll.EQNXTDZ($A$1,$B46,Q$1,$B$1)</f>
        <v>1</v>
      </c>
      <c r="R46">
        <f>_xll.EQNXTDZ($A$1,$B46,R$1,$B$1)</f>
        <v>1</v>
      </c>
      <c r="S46">
        <f>_xll.EQNXTDZ($A$1,$B46,S$1,$B$1)</f>
        <v>1</v>
      </c>
      <c r="T46">
        <f>_xll.EQNXTDZ($A$1,$B46,T$1,$B$1)</f>
        <v>1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114.526356483562</v>
      </c>
      <c r="D48" s="55">
        <f>_xll.EQNXTDZ($A$1,$B48,D$5)</f>
        <v>141.04669000304199</v>
      </c>
      <c r="E48" s="55">
        <f>_xll.EQNXTDZ($A$1,$B48,E$5)</f>
        <v>157.887348718391</v>
      </c>
      <c r="F48" s="55">
        <f>_xll.EQNXTDZ($A$1,$B48,F$5)</f>
        <v>126.42840560496801</v>
      </c>
      <c r="G48" s="55">
        <f>_xll.EQNXTDZ($A$1,$B48,G$5)</f>
        <v>132.552281501458</v>
      </c>
      <c r="H48" s="55">
        <f>_xll.EQNXTDZ($A$1,$B48,H$5)</f>
        <v>141.93563972995199</v>
      </c>
      <c r="I48" s="55">
        <f>_xll.EQNXTDZ($A$1,$B48,I$5)</f>
        <v>158.33182358184601</v>
      </c>
      <c r="J48" s="55">
        <f>_xll.EQNXTDZ($A$1,$B48,J$5)</f>
        <v>148.108901722382</v>
      </c>
      <c r="K48" s="55">
        <f>_xll.EQNXTDZ($A$1,$B48,K$5)</f>
        <v>170.67834756670601</v>
      </c>
      <c r="L48" s="55">
        <f>_xll.EQNXTDZ($A$1,$B48,L$5)</f>
        <v>157.146557279299</v>
      </c>
      <c r="M48" s="55">
        <f>_xll.EQNXTDZ($A$1,$B48,M$5)</f>
        <v>148.849693161473</v>
      </c>
      <c r="N48" s="55">
        <f>_xll.EQNXTDZ($A$1,$B48,N$5)</f>
        <v>147.26933809141099</v>
      </c>
      <c r="O48" s="55">
        <f>_xll.EQNXTDZ($A$1,$B48,O$5)</f>
        <v>130.72499595169899</v>
      </c>
      <c r="P48" s="55">
        <f>_xll.EQNXTDZ($A$1,$B48,P$5)</f>
        <v>126.132089029331</v>
      </c>
      <c r="Q48" s="55">
        <f>_xll.EQNXTDZ($A$1,$B48,Q$5)</f>
        <v>144.30617233504501</v>
      </c>
      <c r="R48" s="55">
        <f>_xll.EQNXTDZ($A$1,$B48,R$5)</f>
        <v>119.514352173446</v>
      </c>
      <c r="S48" s="55">
        <f>_xll.EQNXTDZ($A$1,$B48,S$5)</f>
        <v>129.243413073516</v>
      </c>
      <c r="T48" s="55">
        <f>_xll.EQNXTDZ($A$1,$B48,T$5)</f>
        <v>137.787207671039</v>
      </c>
      <c r="U48" s="55">
        <f>_xll.EQNXTDZ($A$1,$B48,U$5)</f>
        <v>120.551460188174</v>
      </c>
      <c r="V48" s="55">
        <f>_xll.EQNXTDZ($A$1,$B48,V$5)</f>
        <v>148.40521829801901</v>
      </c>
      <c r="W48" s="55">
        <f>_xll.EQNXTDZ($A$1,$B48,W$5)</f>
        <v>148.70153487365499</v>
      </c>
      <c r="X48" s="55">
        <f>_xll.EQNXTDZ($A$1,$B48,X$5)</f>
        <v>203.125012598919</v>
      </c>
      <c r="Y48" s="55">
        <f>_xll.EQNXTDZ($A$1,$B48,Y$5)</f>
        <v>311.67565147380901</v>
      </c>
      <c r="Z48" s="55">
        <f>_xll.EQNXTDZ($A$1,$B48,Z$5)</f>
        <v>255.27672991096799</v>
      </c>
      <c r="AA48" s="55">
        <f>_xll.EQNXTDZ($A$1,$B48,AA$5)</f>
        <v>266.14167101764502</v>
      </c>
      <c r="AB48" s="55">
        <f>_xll.EQNXTDZ($A$1,$B48,AB$5)</f>
        <v>230.33675146154999</v>
      </c>
      <c r="AC48" s="55">
        <f>_xll.EQNXTDZ($A$1,$B48,AC$5)</f>
        <v>216.70618898226499</v>
      </c>
      <c r="AD48" s="55">
        <f>_xll.EQNXTDZ($A$1,$B48,AD$5)</f>
        <v>200.65570780194699</v>
      </c>
      <c r="AE48" s="55">
        <f>_xll.EQNXTDZ($A$1,$B48,AE$5)</f>
        <v>266.38860149734199</v>
      </c>
      <c r="AF48" s="55">
        <f>_xll.EQNXTDZ($A$1,$B48,AF$5)</f>
        <v>272.660635681651</v>
      </c>
      <c r="AG48" s="55">
        <f>_xll.EQNXTDZ($A$1,$B48,AG$5)</f>
        <v>317.10812202714698</v>
      </c>
      <c r="AH48" s="55">
        <f>_xll.EQNXTDZ($A$1,$B48,AH$5)</f>
        <v>291.18042165894099</v>
      </c>
      <c r="AI48" s="55">
        <f>_xll.EQNXTDZ($A$1,$B48,AI$5)</f>
        <v>382.79162962660303</v>
      </c>
      <c r="AJ48" s="55">
        <f>_xll.EQNXTDZ($A$1,$B48,AJ$5)</f>
        <v>493.61402891470698</v>
      </c>
      <c r="AK48" s="55">
        <f>_xll.EQNXTDZ($A$1,$B48,AK$5)</f>
        <v>582.41022941382096</v>
      </c>
      <c r="AL48" s="55">
        <f>_xll.EQNXTDZ($A$1,$B48,AL$5)</f>
        <v>630.66044514665396</v>
      </c>
      <c r="AM48" s="55">
        <f>_xll.EQNXTDZ($A$1,$B48,AM$5)</f>
        <v>744.54478238300396</v>
      </c>
      <c r="AN48" s="55">
        <f>_xll.EQNXTDZ($A$1,$B48,AN$5)</f>
        <v>803.56116703063503</v>
      </c>
      <c r="AO48" s="55">
        <f>_xll.EQNXTDZ($A$1,$B48,AO$5)</f>
        <v>734.27247442759995</v>
      </c>
      <c r="AP48" s="55">
        <f>_xll.EQNXTDZ($A$1,$B48,AP$5)</f>
        <v>767.70686137860196</v>
      </c>
      <c r="AQ48" s="55">
        <f>_xll.EQNXTDZ($A$1,$B48,AQ$5)</f>
        <v>698.56632706338496</v>
      </c>
      <c r="AR48" s="55">
        <f>_xll.EQNXTDZ($A$1,$B48,AR$5)</f>
        <v>793.53578955492901</v>
      </c>
      <c r="AS48" s="55">
        <f>_xll.EQNXTDZ($A$1,$B48,AS$5)</f>
        <v>757.73086999883503</v>
      </c>
      <c r="AT48" s="55">
        <f>_xll.EQNXTDZ($A$1,$B48,AT$5)</f>
        <v>701.33194843599404</v>
      </c>
      <c r="AU48" s="55">
        <f>_xll.EQNXTDZ($A$1,$B48,AU$5)</f>
        <v>849.78655282995203</v>
      </c>
      <c r="AV48" s="55">
        <f>_xll.EQNXTDZ($A$1,$B48,AV$5)</f>
        <v>865.98519229808801</v>
      </c>
      <c r="AW48" s="55">
        <f>_xll.EQNXTDZ($A$1,$B48,AW$5)</f>
        <v>1073.4561813396799</v>
      </c>
      <c r="AX48" s="55">
        <f>_xll.EQNXTDZ($A$1,$B48,AX$5)</f>
        <v>1081.9505898412599</v>
      </c>
      <c r="AY48" s="55">
        <f>_xll.EQNXTDZ($A$1,$B48,AY$5)</f>
        <v>1083.6791031991399</v>
      </c>
      <c r="AZ48" s="55">
        <f>_xll.EQNXTDZ($A$1,$B48,AZ$5)</f>
        <v>1196.6500000000001</v>
      </c>
      <c r="BA48" s="55">
        <f>_xll.EQNXTDZ($A$1,$B48,BA$5)</f>
        <v>914.35</v>
      </c>
      <c r="BB48" s="55">
        <f>_xll.EQNXTDZ($A$1,$B48,BB$5)</f>
        <v>1001.75</v>
      </c>
      <c r="BC48" s="55">
        <f>_xll.EQNXTDZ($A$1,$B48,BC$5)</f>
        <v>1099.2</v>
      </c>
      <c r="BD48" s="55">
        <f>_xll.EQNXTDZ($A$1,$B48,BD$5)</f>
        <v>1129.1500000000001</v>
      </c>
      <c r="BE48" s="55">
        <f>_xll.EQNXTDZ($A$1,$B48,BE$5)</f>
        <v>1192</v>
      </c>
      <c r="BF48" s="55">
        <f>_xll.EQNXTDZ($A$1,$B48,BF$5)</f>
        <v>1014.45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35.200000000000003</v>
      </c>
      <c r="D49" s="55">
        <f>_xll.EQNXTDZ($A$1,$B49,D$5)</f>
        <v>35.200000000000003</v>
      </c>
      <c r="E49" s="55">
        <f>_xll.EQNXTDZ($A$1,$B49,E$5)</f>
        <v>35.200000000000003</v>
      </c>
      <c r="F49" s="55">
        <f>_xll.EQNXTDZ($A$1,$B49,F$5)</f>
        <v>35.200000000000003</v>
      </c>
      <c r="G49" s="55">
        <f>_xll.EQNXTDZ($A$1,$B49,G$5)</f>
        <v>35.200000000000003</v>
      </c>
      <c r="H49" s="55">
        <f>_xll.EQNXTDZ($A$1,$B49,H$5)</f>
        <v>35.1</v>
      </c>
      <c r="I49" s="55">
        <f>_xll.EQNXTDZ($A$1,$B49,I$5)</f>
        <v>35.1</v>
      </c>
      <c r="J49" s="55">
        <f>_xll.EQNXTDZ($A$1,$B49,J$5)</f>
        <v>35.1</v>
      </c>
      <c r="K49" s="55">
        <f>_xll.EQNXTDZ($A$1,$B49,K$5)</f>
        <v>35.1</v>
      </c>
      <c r="L49" s="55">
        <f>_xll.EQNXTDZ($A$1,$B49,L$5)</f>
        <v>35.1</v>
      </c>
      <c r="M49" s="55">
        <f>_xll.EQNXTDZ($A$1,$B49,M$5)</f>
        <v>35.1</v>
      </c>
      <c r="N49" s="55">
        <f>_xll.EQNXTDZ($A$1,$B49,N$5)</f>
        <v>35.1</v>
      </c>
      <c r="O49" s="55">
        <f>_xll.EQNXTDZ($A$1,$B49,O$5)</f>
        <v>35.1</v>
      </c>
      <c r="P49" s="55">
        <f>_xll.EQNXTDZ($A$1,$B49,P$5)</f>
        <v>34.43</v>
      </c>
      <c r="Q49" s="55">
        <f>_xll.EQNXTDZ($A$1,$B49,Q$5)</f>
        <v>34.4</v>
      </c>
      <c r="R49" s="55">
        <f>_xll.EQNXTDZ($A$1,$B49,R$5)</f>
        <v>35.729999999999997</v>
      </c>
      <c r="S49" s="55">
        <f>_xll.EQNXTDZ($A$1,$B49,S$5)</f>
        <v>35.72</v>
      </c>
      <c r="T49" s="55">
        <f>_xll.EQNXTDZ($A$1,$B49,T$5)</f>
        <v>35.72</v>
      </c>
      <c r="U49" s="55">
        <f>_xll.EQNXTDZ($A$1,$B49,U$5)</f>
        <v>35.729999999999997</v>
      </c>
      <c r="V49" s="55">
        <f>_xll.EQNXTDZ($A$1,$B49,V$5)</f>
        <v>35.72</v>
      </c>
      <c r="W49" s="55">
        <f>_xll.EQNXTDZ($A$1,$B49,W$5)</f>
        <v>35.76</v>
      </c>
      <c r="X49" s="55">
        <f>_xll.EQNXTDZ($A$1,$B49,X$5)</f>
        <v>35.61</v>
      </c>
      <c r="Y49" s="55">
        <f>_xll.EQNXTDZ($A$1,$B49,Y$5)</f>
        <v>35.6</v>
      </c>
      <c r="Z49" s="55">
        <f>_xll.EQNXTDZ($A$1,$B49,Z$5)</f>
        <v>35.51</v>
      </c>
      <c r="AA49" s="55">
        <f>_xll.EQNXTDZ($A$1,$B49,AA$5)</f>
        <v>35.46</v>
      </c>
      <c r="AB49" s="55">
        <f>_xll.EQNXTDZ($A$1,$B49,AB$5)</f>
        <v>35</v>
      </c>
      <c r="AC49" s="55">
        <f>_xll.EQNXTDZ($A$1,$B49,AC$5)</f>
        <v>34.450000000000003</v>
      </c>
      <c r="AD49" s="55">
        <f>_xll.EQNXTDZ($A$1,$B49,AD$5)</f>
        <v>34.450000000000003</v>
      </c>
      <c r="AE49" s="55">
        <f>_xll.EQNXTDZ($A$1,$B49,AE$5)</f>
        <v>34.450000000000003</v>
      </c>
      <c r="AF49" s="55">
        <f>_xll.EQNXTDZ($A$1,$B49,AF$5)</f>
        <v>34.450000000000003</v>
      </c>
      <c r="AG49" s="55">
        <f>_xll.EQNXTDZ($A$1,$B49,AG$5)</f>
        <v>34.450000000000003</v>
      </c>
      <c r="AH49" s="55">
        <f>_xll.EQNXTDZ($A$1,$B49,AH$5)</f>
        <v>34.44</v>
      </c>
      <c r="AI49" s="55">
        <f>_xll.EQNXTDZ($A$1,$B49,AI$5)</f>
        <v>34.69</v>
      </c>
      <c r="AJ49" s="55">
        <f>_xll.EQNXTDZ($A$1,$B49,AJ$5)</f>
        <v>34.700000000000003</v>
      </c>
      <c r="AK49" s="55">
        <f>_xll.EQNXTDZ($A$1,$B49,AK$5)</f>
        <v>34.71</v>
      </c>
      <c r="AL49" s="55">
        <f>_xll.EQNXTDZ($A$1,$B49,AL$5)</f>
        <v>34.71</v>
      </c>
      <c r="AM49" s="55">
        <f>_xll.EQNXTDZ($A$1,$B49,AM$5)</f>
        <v>34.71</v>
      </c>
      <c r="AN49" s="55">
        <f>_xll.EQNXTDZ($A$1,$B49,AN$5)</f>
        <v>34.71</v>
      </c>
      <c r="AO49" s="55">
        <f>_xll.EQNXTDZ($A$1,$B49,AO$5)</f>
        <v>34.72</v>
      </c>
      <c r="AP49" s="55">
        <f>_xll.EQNXTDZ($A$1,$B49,AP$5)</f>
        <v>34.72</v>
      </c>
      <c r="AQ49" s="55">
        <f>_xll.EQNXTDZ($A$1,$B49,AQ$5)</f>
        <v>34.72</v>
      </c>
      <c r="AR49" s="55">
        <f>_xll.EQNXTDZ($A$1,$B49,AR$5)</f>
        <v>34.72</v>
      </c>
      <c r="AS49" s="55">
        <f>_xll.EQNXTDZ($A$1,$B49,AS$5)</f>
        <v>34.450000000000003</v>
      </c>
      <c r="AT49" s="55">
        <f>_xll.EQNXTDZ($A$1,$B49,AT$5)</f>
        <v>34.44</v>
      </c>
      <c r="AU49" s="55">
        <f>_xll.EQNXTDZ($A$1,$B49,AU$5)</f>
        <v>34.450000000000003</v>
      </c>
      <c r="AV49" s="55">
        <f>_xll.EQNXTDZ($A$1,$B49,AV$5)</f>
        <v>34.42</v>
      </c>
      <c r="AW49" s="55">
        <f>_xll.EQNXTDZ($A$1,$B49,AW$5)</f>
        <v>34.42</v>
      </c>
      <c r="AX49" s="55">
        <f>_xll.EQNXTDZ($A$1,$B49,AX$5)</f>
        <v>33.549999999999997</v>
      </c>
      <c r="AY49" s="55">
        <f>_xll.EQNXTDZ($A$1,$B49,AY$5)</f>
        <v>33.549999999999997</v>
      </c>
      <c r="AZ49" s="55">
        <f>_xll.EQNXTDZ($A$1,$B49,AZ$5)</f>
        <v>33.840000000000003</v>
      </c>
      <c r="BA49" s="55">
        <f>_xll.EQNXTDZ($A$1,$B49,BA$5)</f>
        <v>33.840000000000003</v>
      </c>
      <c r="BB49" s="55">
        <f>_xll.EQNXTDZ($A$1,$B49,BB$5)</f>
        <v>33.840000000000003</v>
      </c>
      <c r="BC49" s="55">
        <f>_xll.EQNXTDZ($A$1,$B49,BC$5)</f>
        <v>33.840000000000003</v>
      </c>
      <c r="BD49" s="55">
        <f>_xll.EQNXTDZ($A$1,$B49,BD$5)</f>
        <v>33.840000000000003</v>
      </c>
      <c r="BE49" s="55">
        <f>_xll.EQNXTDZ($A$1,$B49,BE$5)</f>
        <v>33.840000000000003</v>
      </c>
      <c r="BF49" s="55">
        <f>_xll.EQNXTDZ($A$1,$B49,BF$5)</f>
        <v>33.83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18.739999999999998</v>
      </c>
      <c r="D50" s="55">
        <f>_xll.EQNXTDZ($A$1,$B50,D$5)</f>
        <v>18.739999999999998</v>
      </c>
      <c r="E50" s="55">
        <f>_xll.EQNXTDZ($A$1,$B50,E$5)</f>
        <v>18.739999999999998</v>
      </c>
      <c r="F50" s="55">
        <f>_xll.EQNXTDZ($A$1,$B50,F$5)</f>
        <v>18.739999999999998</v>
      </c>
      <c r="G50" s="55">
        <f>_xll.EQNXTDZ($A$1,$B50,G$5)</f>
        <v>18.739999999999998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5.3</v>
      </c>
      <c r="K50" s="55">
        <f>_xll.EQNXTDZ($A$1,$B50,K$5)</f>
        <v>5.3</v>
      </c>
      <c r="L50" s="55">
        <f>_xll.EQNXTDZ($A$1,$B50,L$5)</f>
        <v>5.3</v>
      </c>
      <c r="M50" s="55">
        <f>_xll.EQNXTDZ($A$1,$B50,M$5)</f>
        <v>5.3</v>
      </c>
      <c r="N50" s="55">
        <f>_xll.EQNXTDZ($A$1,$B50,N$5)</f>
        <v>5.3</v>
      </c>
      <c r="O50" s="55">
        <f>_xll.EQNXTDZ($A$1,$B50,O$5)</f>
        <v>5.3</v>
      </c>
      <c r="P50" s="55">
        <f>_xll.EQNXTDZ($A$1,$B50,P$5)</f>
        <v>5.3</v>
      </c>
      <c r="Q50" s="55">
        <f>_xll.EQNXTDZ($A$1,$B50,Q$5)</f>
        <v>5.3</v>
      </c>
      <c r="R50" s="55">
        <f>_xll.EQNXTDZ($A$1,$B50,R$5)</f>
        <v>5.3</v>
      </c>
      <c r="S50" s="55">
        <f>_xll.EQNXTDZ($A$1,$B50,S$5)</f>
        <v>5.3</v>
      </c>
      <c r="T50" s="55">
        <f>_xll.EQNXTDZ($A$1,$B50,T$5)</f>
        <v>5.3</v>
      </c>
      <c r="U50" s="55">
        <f>_xll.EQNXTDZ($A$1,$B50,U$5)</f>
        <v>5.3</v>
      </c>
      <c r="V50" s="55">
        <f>_xll.EQNXTDZ($A$1,$B50,V$5)</f>
        <v>5.3</v>
      </c>
      <c r="W50" s="55">
        <f>_xll.EQNXTDZ($A$1,$B50,W$5)</f>
        <v>5.29</v>
      </c>
      <c r="X50" s="55">
        <f>_xll.EQNXTDZ($A$1,$B50,X$5)</f>
        <v>5.29</v>
      </c>
      <c r="Y50" s="55">
        <f>_xll.EQNXTDZ($A$1,$B50,Y$5)</f>
        <v>5.29</v>
      </c>
      <c r="Z50" s="55">
        <f>_xll.EQNXTDZ($A$1,$B50,Z$5)</f>
        <v>5.29</v>
      </c>
      <c r="AA50" s="55">
        <f>_xll.EQNXTDZ($A$1,$B50,AA$5)</f>
        <v>3.99</v>
      </c>
      <c r="AB50" s="55">
        <f>_xll.EQNXTDZ($A$1,$B50,AB$5)</f>
        <v>3.99</v>
      </c>
      <c r="AC50" s="55">
        <f>_xll.EQNXTDZ($A$1,$B50,AC$5)</f>
        <v>3.99</v>
      </c>
      <c r="AD50" s="55">
        <f>_xll.EQNXTDZ($A$1,$B50,AD$5)</f>
        <v>3.99</v>
      </c>
      <c r="AE50" s="55">
        <f>_xll.EQNXTDZ($A$1,$B50,AE$5)</f>
        <v>3.99</v>
      </c>
      <c r="AF50" s="55">
        <f>_xll.EQNXTDZ($A$1,$B50,AF$5)</f>
        <v>3.99</v>
      </c>
      <c r="AG50" s="55">
        <f>_xll.EQNXTDZ($A$1,$B50,AG$5)</f>
        <v>3.99</v>
      </c>
      <c r="AH50" s="55">
        <f>_xll.EQNXTDZ($A$1,$B50,AH$5)</f>
        <v>2.73</v>
      </c>
      <c r="AI50" s="55">
        <f>_xll.EQNXTDZ($A$1,$B50,AI$5)</f>
        <v>2.71</v>
      </c>
      <c r="AJ50" s="55">
        <f>_xll.EQNXTDZ($A$1,$B50,AJ$5)</f>
        <v>2.71</v>
      </c>
      <c r="AK50" s="55">
        <f>_xll.EQNXTDZ($A$1,$B50,AK$5)</f>
        <v>2.71</v>
      </c>
      <c r="AL50" s="55">
        <f>_xll.EQNXTDZ($A$1,$B50,AL$5)</f>
        <v>1.2</v>
      </c>
      <c r="AM50" s="55">
        <f>_xll.EQNXTDZ($A$1,$B50,AM$5)</f>
        <v>1.2</v>
      </c>
      <c r="AN50" s="55">
        <f>_xll.EQNXTDZ($A$1,$B50,AN$5)</f>
        <v>1.2</v>
      </c>
      <c r="AO50" s="55">
        <f>_xll.EQNXTDZ($A$1,$B50,AO$5)</f>
        <v>1.2</v>
      </c>
      <c r="AP50" s="55">
        <f>_xll.EQNXTDZ($A$1,$B50,AP$5)</f>
        <v>1.2</v>
      </c>
      <c r="AQ50" s="55">
        <f>_xll.EQNXTDZ($A$1,$B50,AQ$5)</f>
        <v>1.2</v>
      </c>
      <c r="AR50" s="55">
        <f>_xll.EQNXTDZ($A$1,$B50,AR$5)</f>
        <v>1.2</v>
      </c>
      <c r="AS50" s="55">
        <f>_xll.EQNXTDZ($A$1,$B50,AS$5)</f>
        <v>1.2</v>
      </c>
      <c r="AT50" s="55">
        <f>_xll.EQNXTDZ($A$1,$B50,AT$5)</f>
        <v>1.2</v>
      </c>
      <c r="AU50" s="55">
        <f>_xll.EQNXTDZ($A$1,$B50,AU$5)</f>
        <v>1.2</v>
      </c>
      <c r="AV50" s="55">
        <f>_xll.EQNXTDZ($A$1,$B50,AV$5)</f>
        <v>1.2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61.84</v>
      </c>
      <c r="E56" s="55">
        <f>_xll.EQNXTDZ($A$1,$B56,E$5,$B$1)</f>
        <v>0</v>
      </c>
      <c r="F56" s="55">
        <f>_xll.EQNXTDZ($A$1,$B56,F$5,$B$1)</f>
        <v>61.84</v>
      </c>
      <c r="G56" s="55">
        <f>_xll.EQNXTDZ($A$1,$B56,G$5,$B$1)</f>
        <v>0</v>
      </c>
      <c r="H56" s="55">
        <f>_xll.EQNXTDZ($A$1,$B56,H$5,$B$1)</f>
        <v>61.84</v>
      </c>
      <c r="I56" s="55">
        <f>_xll.EQNXTDZ($A$1,$B56,I$5,$B$1)</f>
        <v>0</v>
      </c>
      <c r="J56" s="55">
        <f>_xll.EQNXTDZ($A$1,$B56,J$5,$B$1)</f>
        <v>61.84</v>
      </c>
      <c r="K56" s="55">
        <f>_xll.EQNXTDZ($A$1,$B56,K$5,$B$1)</f>
        <v>0</v>
      </c>
      <c r="L56" s="55">
        <f>_xll.EQNXTDZ($A$1,$B56,L$5,$B$1)</f>
        <v>61.84</v>
      </c>
      <c r="M56" s="55">
        <f>_xll.EQNXTDZ($A$1,$B56,M$5,$B$1)</f>
        <v>0</v>
      </c>
      <c r="N56" s="55">
        <f>_xll.EQNXTDZ($A$1,$B56,N$5,$B$1)</f>
        <v>61.84</v>
      </c>
      <c r="O56" s="55">
        <f>_xll.EQNXTDZ($A$1,$B56,O$5,$B$1)</f>
        <v>0</v>
      </c>
      <c r="P56" s="55">
        <f>_xll.EQNXTDZ($A$1,$B56,P$5,$B$1)</f>
        <v>63.06</v>
      </c>
      <c r="Q56" s="55">
        <f>_xll.EQNXTDZ($A$1,$B56,Q$5,$B$1)</f>
        <v>0</v>
      </c>
      <c r="R56" s="55">
        <f>_xll.EQNXTDZ($A$1,$B56,R$5,$B$1)</f>
        <v>63.11</v>
      </c>
      <c r="S56" s="55">
        <f>_xll.EQNXTDZ($A$1,$B56,S$5,$B$1)</f>
        <v>0</v>
      </c>
      <c r="T56" s="55">
        <f>_xll.EQNXTDZ($A$1,$B56,T$5,$B$1)</f>
        <v>63.11</v>
      </c>
      <c r="U56" s="55">
        <f>_xll.EQNXTDZ($A$1,$B56,U$5,$B$1)</f>
        <v>0</v>
      </c>
      <c r="V56" s="55">
        <f>_xll.EQNXTDZ($A$1,$B56,V$5,$B$1)</f>
        <v>63.11</v>
      </c>
      <c r="W56" s="55">
        <f>_xll.EQNXTDZ($A$1,$B56,W$5,$B$1)</f>
        <v>0</v>
      </c>
      <c r="X56" s="55">
        <f>_xll.EQNXTDZ($A$1,$B56,X$5,$B$1)</f>
        <v>63.11</v>
      </c>
      <c r="Y56" s="55">
        <f>_xll.EQNXTDZ($A$1,$B56,Y$5,$B$1)</f>
        <v>0</v>
      </c>
      <c r="Z56" s="55">
        <f>_xll.EQNXTDZ($A$1,$B56,Z$5,$B$1)</f>
        <v>63.11</v>
      </c>
      <c r="AA56" s="55">
        <f>_xll.EQNXTDZ($A$1,$B56,AA$5,$B$1)</f>
        <v>0</v>
      </c>
      <c r="AB56" s="55">
        <f>_xll.EQNXTDZ($A$1,$B56,AB$5,$B$1)</f>
        <v>63.11</v>
      </c>
      <c r="AC56" s="55">
        <f>_xll.EQNXTDZ($A$1,$B56,AC$5,$B$1)</f>
        <v>0</v>
      </c>
      <c r="AD56" s="55">
        <f>_xll.EQNXTDZ($A$1,$B56,AD$5,$B$1)</f>
        <v>63.11</v>
      </c>
      <c r="AE56" s="55">
        <f>_xll.EQNXTDZ($A$1,$B56,AE$5,$B$1)</f>
        <v>0</v>
      </c>
      <c r="AF56" s="55">
        <f>_xll.EQNXTDZ($A$1,$B56,AF$5,$B$1)</f>
        <v>63.11</v>
      </c>
      <c r="AG56" s="55">
        <f>_xll.EQNXTDZ($A$1,$B56,AG$5,$B$1)</f>
        <v>0</v>
      </c>
      <c r="AH56" s="55">
        <f>_xll.EQNXTDZ($A$1,$B56,AH$5,$B$1)</f>
        <v>92.16</v>
      </c>
      <c r="AI56" s="55">
        <f>_xll.EQNXTDZ($A$1,$B56,AI$5,$B$1)</f>
        <v>0</v>
      </c>
      <c r="AJ56" s="55">
        <f>_xll.EQNXTDZ($A$1,$B56,AJ$5,$B$1)</f>
        <v>92.16</v>
      </c>
      <c r="AK56" s="55">
        <f>_xll.EQNXTDZ($A$1,$B56,AK$5,$B$1)</f>
        <v>0</v>
      </c>
      <c r="AL56" s="55">
        <f>_xll.EQNXTDZ($A$1,$B56,AL$5,$B$1)</f>
        <v>92.16</v>
      </c>
      <c r="AM56" s="55">
        <f>_xll.EQNXTDZ($A$1,$B56,AM$5,$B$1)</f>
        <v>0</v>
      </c>
      <c r="AN56" s="55">
        <f>_xll.EQNXTDZ($A$1,$B56,AN$5,$B$1)</f>
        <v>92.16</v>
      </c>
      <c r="AO56" s="55">
        <f>_xll.EQNXTDZ($A$1,$B56,AO$5,$B$1)</f>
        <v>0</v>
      </c>
      <c r="AP56" s="55">
        <f>_xll.EQNXTDZ($A$1,$B56,AP$5,$B$1)</f>
        <v>92.16</v>
      </c>
      <c r="AQ56" s="55">
        <f>_xll.EQNXTDZ($A$1,$B56,AQ$5,$B$1)</f>
        <v>0</v>
      </c>
      <c r="AR56" s="55">
        <f>_xll.EQNXTDZ($A$1,$B56,AR$5,$B$1)</f>
        <v>92.16</v>
      </c>
      <c r="AS56" s="55">
        <f>_xll.EQNXTDZ($A$1,$B56,AS$5,$B$1)</f>
        <v>0</v>
      </c>
      <c r="AT56" s="55">
        <f>_xll.EQNXTDZ($A$1,$B56,AT$5,$B$1)</f>
        <v>92.9</v>
      </c>
      <c r="AU56" s="55">
        <f>_xll.EQNXTDZ($A$1,$B56,AU$5,$B$1)</f>
        <v>0</v>
      </c>
      <c r="AV56" s="55">
        <f>_xll.EQNXTDZ($A$1,$B56,AV$5,$B$1)</f>
        <v>92.9</v>
      </c>
      <c r="AW56" s="55">
        <f>_xll.EQNXTDZ($A$1,$B56,AW$5,$B$1)</f>
        <v>0</v>
      </c>
      <c r="AX56" s="55">
        <f>_xll.EQNXTDZ($A$1,$B56,AX$5,$B$1)</f>
        <v>95.28</v>
      </c>
      <c r="AY56" s="55">
        <f>_xll.EQNXTDZ($A$1,$B56,AY$5,$B$1)</f>
        <v>0</v>
      </c>
      <c r="AZ56" s="55">
        <f>_xll.EQNXTDZ($A$1,$B56,AZ$5,$B$1)</f>
        <v>98.94</v>
      </c>
      <c r="BA56" s="55">
        <f>_xll.EQNXTDZ($A$1,$B56,BA$5,$B$1)</f>
        <v>0</v>
      </c>
      <c r="BB56" s="55">
        <f>_xll.EQNXTDZ($A$1,$B56,BB$5,$B$1)</f>
        <v>98.95</v>
      </c>
      <c r="BC56" s="55">
        <f>_xll.EQNXTDZ($A$1,$B56,BC$5,$B$1)</f>
        <v>0</v>
      </c>
      <c r="BD56" s="55">
        <f>_xll.EQNXTDZ($A$1,$B56,BD$5,$B$1)</f>
        <v>98.95</v>
      </c>
      <c r="BE56" s="55">
        <f>_xll.EQNXTDZ($A$1,$B56,BE$5,$B$1)</f>
        <v>0</v>
      </c>
      <c r="BF56" s="55">
        <f>_xll.EQNXTDZ($A$1,$B56,BF$5,$B$1)</f>
        <v>98.96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1.27</v>
      </c>
      <c r="O57" s="55">
        <f>_xll.EQNXTDZ($A$1,$B57,O$5,$B$1)</f>
        <v>0</v>
      </c>
      <c r="P57" s="55">
        <f>_xll.EQNXTDZ($A$1,$B57,P$5,$B$1)</f>
        <v>0.05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4878.24</v>
      </c>
      <c r="E58" s="55">
        <f>_xll.EQNXTDZ($A$1,$B58,E$5,$B$1)</f>
        <v>0</v>
      </c>
      <c r="F58" s="55">
        <f>_xll.EQNXTDZ($A$1,$B58,F$5,$B$1)</f>
        <v>4748.28</v>
      </c>
      <c r="G58" s="55">
        <f>_xll.EQNXTDZ($A$1,$B58,G$5,$B$1)</f>
        <v>0</v>
      </c>
      <c r="H58" s="55">
        <f>_xll.EQNXTDZ($A$1,$B58,H$5,$B$1)</f>
        <v>5889.61</v>
      </c>
      <c r="I58" s="55">
        <f>_xll.EQNXTDZ($A$1,$B58,I$5,$B$1)</f>
        <v>0</v>
      </c>
      <c r="J58" s="55">
        <f>_xll.EQNXTDZ($A$1,$B58,J$5,$B$1)</f>
        <v>5787.01</v>
      </c>
      <c r="K58" s="55">
        <f>_xll.EQNXTDZ($A$1,$B58,K$5,$B$1)</f>
        <v>0</v>
      </c>
      <c r="L58" s="55">
        <f>_xll.EQNXTDZ($A$1,$B58,L$5,$B$1)</f>
        <v>5955.94</v>
      </c>
      <c r="M58" s="55">
        <f>_xll.EQNXTDZ($A$1,$B58,M$5,$B$1)</f>
        <v>0</v>
      </c>
      <c r="N58" s="55">
        <f>_xll.EQNXTDZ($A$1,$B58,N$5,$B$1)</f>
        <v>5429.68</v>
      </c>
      <c r="O58" s="55">
        <f>_xll.EQNXTDZ($A$1,$B58,O$5,$B$1)</f>
        <v>0</v>
      </c>
      <c r="P58" s="55">
        <f>_xll.EQNXTDZ($A$1,$B58,P$5,$B$1)</f>
        <v>5797.82</v>
      </c>
      <c r="Q58" s="55">
        <f>_xll.EQNXTDZ($A$1,$B58,Q$5,$B$1)</f>
        <v>0</v>
      </c>
      <c r="R58" s="55">
        <f>_xll.EQNXTDZ($A$1,$B58,R$5,$B$1)</f>
        <v>6184.06</v>
      </c>
      <c r="S58" s="55">
        <f>_xll.EQNXTDZ($A$1,$B58,S$5,$B$1)</f>
        <v>0</v>
      </c>
      <c r="T58" s="55">
        <f>_xll.EQNXTDZ($A$1,$B58,T$5,$B$1)</f>
        <v>6003.68</v>
      </c>
      <c r="U58" s="55">
        <f>_xll.EQNXTDZ($A$1,$B58,U$5,$B$1)</f>
        <v>0</v>
      </c>
      <c r="V58" s="55">
        <f>_xll.EQNXTDZ($A$1,$B58,V$5,$B$1)</f>
        <v>6202.39</v>
      </c>
      <c r="W58" s="55">
        <f>_xll.EQNXTDZ($A$1,$B58,W$5,$B$1)</f>
        <v>0</v>
      </c>
      <c r="X58" s="55">
        <f>_xll.EQNXTDZ($A$1,$B58,X$5,$B$1)</f>
        <v>6587.9</v>
      </c>
      <c r="Y58" s="55">
        <f>_xll.EQNXTDZ($A$1,$B58,Y$5,$B$1)</f>
        <v>0</v>
      </c>
      <c r="Z58" s="55">
        <f>_xll.EQNXTDZ($A$1,$B58,Z$5,$B$1)</f>
        <v>6968.49</v>
      </c>
      <c r="AA58" s="55">
        <f>_xll.EQNXTDZ($A$1,$B58,AA$5,$B$1)</f>
        <v>0</v>
      </c>
      <c r="AB58" s="55">
        <f>_xll.EQNXTDZ($A$1,$B58,AB$5,$B$1)</f>
        <v>7327.35</v>
      </c>
      <c r="AC58" s="55">
        <f>_xll.EQNXTDZ($A$1,$B58,AC$5,$B$1)</f>
        <v>0</v>
      </c>
      <c r="AD58" s="55">
        <f>_xll.EQNXTDZ($A$1,$B58,AD$5,$B$1)</f>
        <v>7268.58</v>
      </c>
      <c r="AE58" s="55">
        <f>_xll.EQNXTDZ($A$1,$B58,AE$5,$B$1)</f>
        <v>0</v>
      </c>
      <c r="AF58" s="55">
        <f>_xll.EQNXTDZ($A$1,$B58,AF$5,$B$1)</f>
        <v>7241.75</v>
      </c>
      <c r="AG58" s="55">
        <f>_xll.EQNXTDZ($A$1,$B58,AG$5,$B$1)</f>
        <v>0</v>
      </c>
      <c r="AH58" s="55">
        <f>_xll.EQNXTDZ($A$1,$B58,AH$5,$B$1)</f>
        <v>13722.7</v>
      </c>
      <c r="AI58" s="55">
        <f>_xll.EQNXTDZ($A$1,$B58,AI$5,$B$1)</f>
        <v>0</v>
      </c>
      <c r="AJ58" s="55">
        <f>_xll.EQNXTDZ($A$1,$B58,AJ$5,$B$1)</f>
        <v>14019.89</v>
      </c>
      <c r="AK58" s="55">
        <f>_xll.EQNXTDZ($A$1,$B58,AK$5,$B$1)</f>
        <v>0</v>
      </c>
      <c r="AL58" s="55">
        <f>_xll.EQNXTDZ($A$1,$B58,AL$5,$B$1)</f>
        <v>14442.35</v>
      </c>
      <c r="AM58" s="55">
        <f>_xll.EQNXTDZ($A$1,$B58,AM$5,$B$1)</f>
        <v>0</v>
      </c>
      <c r="AN58" s="55">
        <f>_xll.EQNXTDZ($A$1,$B58,AN$5,$B$1)</f>
        <v>14500.59</v>
      </c>
      <c r="AO58" s="55">
        <f>_xll.EQNXTDZ($A$1,$B58,AO$5,$B$1)</f>
        <v>0</v>
      </c>
      <c r="AP58" s="55">
        <f>_xll.EQNXTDZ($A$1,$B58,AP$5,$B$1)</f>
        <v>15049.78</v>
      </c>
      <c r="AQ58" s="55">
        <f>_xll.EQNXTDZ($A$1,$B58,AQ$5,$B$1)</f>
        <v>0</v>
      </c>
      <c r="AR58" s="55">
        <f>_xll.EQNXTDZ($A$1,$B58,AR$5,$B$1)</f>
        <v>14797.29</v>
      </c>
      <c r="AS58" s="55">
        <f>_xll.EQNXTDZ($A$1,$B58,AS$5,$B$1)</f>
        <v>0</v>
      </c>
      <c r="AT58" s="55">
        <f>_xll.EQNXTDZ($A$1,$B58,AT$5,$B$1)</f>
        <v>16183.81</v>
      </c>
      <c r="AU58" s="55">
        <f>_xll.EQNXTDZ($A$1,$B58,AU$5,$B$1)</f>
        <v>0</v>
      </c>
      <c r="AV58" s="55">
        <f>_xll.EQNXTDZ($A$1,$B58,AV$5,$B$1)</f>
        <v>16061.41</v>
      </c>
      <c r="AW58" s="55">
        <f>_xll.EQNXTDZ($A$1,$B58,AW$5,$B$1)</f>
        <v>0</v>
      </c>
      <c r="AX58" s="55">
        <f>_xll.EQNXTDZ($A$1,$B58,AX$5,$B$1)</f>
        <v>15961.51</v>
      </c>
      <c r="AY58" s="55">
        <f>_xll.EQNXTDZ($A$1,$B58,AY$5,$B$1)</f>
        <v>0</v>
      </c>
      <c r="AZ58" s="55">
        <f>_xll.EQNXTDZ($A$1,$B58,AZ$5,$B$1)</f>
        <v>19032.89</v>
      </c>
      <c r="BA58" s="55">
        <f>_xll.EQNXTDZ($A$1,$B58,BA$5,$B$1)</f>
        <v>0</v>
      </c>
      <c r="BB58" s="55">
        <f>_xll.EQNXTDZ($A$1,$B58,BB$5,$B$1)</f>
        <v>19902.13</v>
      </c>
      <c r="BC58" s="55">
        <f>_xll.EQNXTDZ($A$1,$B58,BC$5,$B$1)</f>
        <v>0</v>
      </c>
      <c r="BD58" s="55">
        <f>_xll.EQNXTDZ($A$1,$B58,BD$5,$B$1)</f>
        <v>20215.3</v>
      </c>
      <c r="BE58" s="55">
        <f>_xll.EQNXTDZ($A$1,$B58,BE$5,$B$1)</f>
        <v>0</v>
      </c>
      <c r="BF58" s="55">
        <f>_xll.EQNXTDZ($A$1,$B58,BF$5,$B$1)</f>
        <v>21688.57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4940.08</v>
      </c>
      <c r="E59" s="55">
        <f>_xll.EQNXTDZ($A$1,$B59,E$5,$B$1)</f>
        <v>0</v>
      </c>
      <c r="F59" s="55">
        <f>_xll.EQNXTDZ($A$1,$B59,F$5,$B$1)</f>
        <v>4810.12</v>
      </c>
      <c r="G59" s="55">
        <f>_xll.EQNXTDZ($A$1,$B59,G$5,$B$1)</f>
        <v>0</v>
      </c>
      <c r="H59" s="55">
        <f>_xll.EQNXTDZ($A$1,$B59,H$5,$B$1)</f>
        <v>5951.45</v>
      </c>
      <c r="I59" s="55">
        <f>_xll.EQNXTDZ($A$1,$B59,I$5,$B$1)</f>
        <v>0</v>
      </c>
      <c r="J59" s="55">
        <f>_xll.EQNXTDZ($A$1,$B59,J$5,$B$1)</f>
        <v>5848.85</v>
      </c>
      <c r="K59" s="55">
        <f>_xll.EQNXTDZ($A$1,$B59,K$5,$B$1)</f>
        <v>0</v>
      </c>
      <c r="L59" s="55">
        <f>_xll.EQNXTDZ($A$1,$B59,L$5,$B$1)</f>
        <v>6017.78</v>
      </c>
      <c r="M59" s="55">
        <f>_xll.EQNXTDZ($A$1,$B59,M$5,$B$1)</f>
        <v>0</v>
      </c>
      <c r="N59" s="55">
        <f>_xll.EQNXTDZ($A$1,$B59,N$5,$B$1)</f>
        <v>5492.79</v>
      </c>
      <c r="O59" s="55">
        <f>_xll.EQNXTDZ($A$1,$B59,O$5,$B$1)</f>
        <v>0</v>
      </c>
      <c r="P59" s="55">
        <f>_xll.EQNXTDZ($A$1,$B59,P$5,$B$1)</f>
        <v>5860.93</v>
      </c>
      <c r="Q59" s="55">
        <f>_xll.EQNXTDZ($A$1,$B59,Q$5,$B$1)</f>
        <v>0</v>
      </c>
      <c r="R59" s="55">
        <f>_xll.EQNXTDZ($A$1,$B59,R$5,$B$1)</f>
        <v>6247.17</v>
      </c>
      <c r="S59" s="55">
        <f>_xll.EQNXTDZ($A$1,$B59,S$5,$B$1)</f>
        <v>0</v>
      </c>
      <c r="T59" s="55">
        <f>_xll.EQNXTDZ($A$1,$B59,T$5,$B$1)</f>
        <v>6066.79</v>
      </c>
      <c r="U59" s="55">
        <f>_xll.EQNXTDZ($A$1,$B59,U$5,$B$1)</f>
        <v>0</v>
      </c>
      <c r="V59" s="55">
        <f>_xll.EQNXTDZ($A$1,$B59,V$5,$B$1)</f>
        <v>6265.5</v>
      </c>
      <c r="W59" s="55">
        <f>_xll.EQNXTDZ($A$1,$B59,W$5,$B$1)</f>
        <v>0</v>
      </c>
      <c r="X59" s="55">
        <f>_xll.EQNXTDZ($A$1,$B59,X$5,$B$1)</f>
        <v>6651.01</v>
      </c>
      <c r="Y59" s="55">
        <f>_xll.EQNXTDZ($A$1,$B59,Y$5,$B$1)</f>
        <v>0</v>
      </c>
      <c r="Z59" s="55">
        <f>_xll.EQNXTDZ($A$1,$B59,Z$5,$B$1)</f>
        <v>7031.6</v>
      </c>
      <c r="AA59" s="55">
        <f>_xll.EQNXTDZ($A$1,$B59,AA$5,$B$1)</f>
        <v>0</v>
      </c>
      <c r="AB59" s="55">
        <f>_xll.EQNXTDZ($A$1,$B59,AB$5,$B$1)</f>
        <v>7390.46</v>
      </c>
      <c r="AC59" s="55">
        <f>_xll.EQNXTDZ($A$1,$B59,AC$5,$B$1)</f>
        <v>0</v>
      </c>
      <c r="AD59" s="55">
        <f>_xll.EQNXTDZ($A$1,$B59,AD$5,$B$1)</f>
        <v>7331.69</v>
      </c>
      <c r="AE59" s="55">
        <f>_xll.EQNXTDZ($A$1,$B59,AE$5,$B$1)</f>
        <v>0</v>
      </c>
      <c r="AF59" s="55">
        <f>_xll.EQNXTDZ($A$1,$B59,AF$5,$B$1)</f>
        <v>7304.86</v>
      </c>
      <c r="AG59" s="55">
        <f>_xll.EQNXTDZ($A$1,$B59,AG$5,$B$1)</f>
        <v>0</v>
      </c>
      <c r="AH59" s="55">
        <f>_xll.EQNXTDZ($A$1,$B59,AH$5,$B$1)</f>
        <v>13814.86</v>
      </c>
      <c r="AI59" s="55">
        <f>_xll.EQNXTDZ($A$1,$B59,AI$5,$B$1)</f>
        <v>0</v>
      </c>
      <c r="AJ59" s="55">
        <f>_xll.EQNXTDZ($A$1,$B59,AJ$5,$B$1)</f>
        <v>14112.05</v>
      </c>
      <c r="AK59" s="55">
        <f>_xll.EQNXTDZ($A$1,$B59,AK$5,$B$1)</f>
        <v>0</v>
      </c>
      <c r="AL59" s="55">
        <f>_xll.EQNXTDZ($A$1,$B59,AL$5,$B$1)</f>
        <v>14534.51</v>
      </c>
      <c r="AM59" s="55">
        <f>_xll.EQNXTDZ($A$1,$B59,AM$5,$B$1)</f>
        <v>0</v>
      </c>
      <c r="AN59" s="55">
        <f>_xll.EQNXTDZ($A$1,$B59,AN$5,$B$1)</f>
        <v>14592.75</v>
      </c>
      <c r="AO59" s="55">
        <f>_xll.EQNXTDZ($A$1,$B59,AO$5,$B$1)</f>
        <v>0</v>
      </c>
      <c r="AP59" s="55">
        <f>_xll.EQNXTDZ($A$1,$B59,AP$5,$B$1)</f>
        <v>15141.94</v>
      </c>
      <c r="AQ59" s="55">
        <f>_xll.EQNXTDZ($A$1,$B59,AQ$5,$B$1)</f>
        <v>0</v>
      </c>
      <c r="AR59" s="55">
        <f>_xll.EQNXTDZ($A$1,$B59,AR$5,$B$1)</f>
        <v>14889.45</v>
      </c>
      <c r="AS59" s="55">
        <f>_xll.EQNXTDZ($A$1,$B59,AS$5,$B$1)</f>
        <v>0</v>
      </c>
      <c r="AT59" s="55">
        <f>_xll.EQNXTDZ($A$1,$B59,AT$5,$B$1)</f>
        <v>16276.71</v>
      </c>
      <c r="AU59" s="55">
        <f>_xll.EQNXTDZ($A$1,$B59,AU$5,$B$1)</f>
        <v>0</v>
      </c>
      <c r="AV59" s="55">
        <f>_xll.EQNXTDZ($A$1,$B59,AV$5,$B$1)</f>
        <v>16154.31</v>
      </c>
      <c r="AW59" s="55">
        <f>_xll.EQNXTDZ($A$1,$B59,AW$5,$B$1)</f>
        <v>0</v>
      </c>
      <c r="AX59" s="55">
        <f>_xll.EQNXTDZ($A$1,$B59,AX$5,$B$1)</f>
        <v>16056.79</v>
      </c>
      <c r="AY59" s="55">
        <f>_xll.EQNXTDZ($A$1,$B59,AY$5,$B$1)</f>
        <v>0</v>
      </c>
      <c r="AZ59" s="55">
        <f>_xll.EQNXTDZ($A$1,$B59,AZ$5,$B$1)</f>
        <v>19131.830000000002</v>
      </c>
      <c r="BA59" s="55">
        <f>_xll.EQNXTDZ($A$1,$B59,BA$5,$B$1)</f>
        <v>0</v>
      </c>
      <c r="BB59" s="55">
        <f>_xll.EQNXTDZ($A$1,$B59,BB$5,$B$1)</f>
        <v>20001.080000000002</v>
      </c>
      <c r="BC59" s="55">
        <f>_xll.EQNXTDZ($A$1,$B59,BC$5,$B$1)</f>
        <v>0</v>
      </c>
      <c r="BD59" s="55">
        <f>_xll.EQNXTDZ($A$1,$B59,BD$5,$B$1)</f>
        <v>20314.25</v>
      </c>
      <c r="BE59" s="55">
        <f>_xll.EQNXTDZ($A$1,$B59,BE$5,$B$1)</f>
        <v>0</v>
      </c>
      <c r="BF59" s="55">
        <f>_xll.EQNXTDZ($A$1,$B59,BF$5,$B$1)</f>
        <v>21787.53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1030.3699999999999</v>
      </c>
      <c r="E60" s="55">
        <f>_xll.EQNXTDZ($A$1,$B60,E$5,$B$1)</f>
        <v>0</v>
      </c>
      <c r="F60" s="55">
        <f>_xll.EQNXTDZ($A$1,$B60,F$5,$B$1)</f>
        <v>813.91</v>
      </c>
      <c r="G60" s="55">
        <f>_xll.EQNXTDZ($A$1,$B60,G$5,$B$1)</f>
        <v>0</v>
      </c>
      <c r="H60" s="55">
        <f>_xll.EQNXTDZ($A$1,$B60,H$5,$B$1)</f>
        <v>945.03</v>
      </c>
      <c r="I60" s="55">
        <f>_xll.EQNXTDZ($A$1,$B60,I$5,$B$1)</f>
        <v>0</v>
      </c>
      <c r="J60" s="55">
        <f>_xll.EQNXTDZ($A$1,$B60,J$5,$B$1)</f>
        <v>924.07</v>
      </c>
      <c r="K60" s="55">
        <f>_xll.EQNXTDZ($A$1,$B60,K$5,$B$1)</f>
        <v>0</v>
      </c>
      <c r="L60" s="55">
        <f>_xll.EQNXTDZ($A$1,$B60,L$5,$B$1)</f>
        <v>941.2</v>
      </c>
      <c r="M60" s="55">
        <f>_xll.EQNXTDZ($A$1,$B60,M$5,$B$1)</f>
        <v>0</v>
      </c>
      <c r="N60" s="55">
        <f>_xll.EQNXTDZ($A$1,$B60,N$5,$B$1)</f>
        <v>876.22</v>
      </c>
      <c r="O60" s="55">
        <f>_xll.EQNXTDZ($A$1,$B60,O$5,$B$1)</f>
        <v>0</v>
      </c>
      <c r="P60" s="55">
        <f>_xll.EQNXTDZ($A$1,$B60,P$5,$B$1)</f>
        <v>916.06</v>
      </c>
      <c r="Q60" s="55">
        <f>_xll.EQNXTDZ($A$1,$B60,Q$5,$B$1)</f>
        <v>0</v>
      </c>
      <c r="R60" s="55">
        <f>_xll.EQNXTDZ($A$1,$B60,R$5,$B$1)</f>
        <v>861.77</v>
      </c>
      <c r="S60" s="55">
        <f>_xll.EQNXTDZ($A$1,$B60,S$5,$B$1)</f>
        <v>0</v>
      </c>
      <c r="T60" s="55">
        <f>_xll.EQNXTDZ($A$1,$B60,T$5,$B$1)</f>
        <v>822.39</v>
      </c>
      <c r="U60" s="55">
        <f>_xll.EQNXTDZ($A$1,$B60,U$5,$B$1)</f>
        <v>0</v>
      </c>
      <c r="V60" s="55">
        <f>_xll.EQNXTDZ($A$1,$B60,V$5,$B$1)</f>
        <v>919.5</v>
      </c>
      <c r="W60" s="55">
        <f>_xll.EQNXTDZ($A$1,$B60,W$5,$B$1)</f>
        <v>0</v>
      </c>
      <c r="X60" s="55">
        <f>_xll.EQNXTDZ($A$1,$B60,X$5,$B$1)</f>
        <v>956.51</v>
      </c>
      <c r="Y60" s="55">
        <f>_xll.EQNXTDZ($A$1,$B60,Y$5,$B$1)</f>
        <v>0</v>
      </c>
      <c r="Z60" s="55">
        <f>_xll.EQNXTDZ($A$1,$B60,Z$5,$B$1)</f>
        <v>1009.04</v>
      </c>
      <c r="AA60" s="55">
        <f>_xll.EQNXTDZ($A$1,$B60,AA$5,$B$1)</f>
        <v>0</v>
      </c>
      <c r="AB60" s="55">
        <f>_xll.EQNXTDZ($A$1,$B60,AB$5,$B$1)</f>
        <v>1044.04</v>
      </c>
      <c r="AC60" s="55">
        <f>_xll.EQNXTDZ($A$1,$B60,AC$5,$B$1)</f>
        <v>0</v>
      </c>
      <c r="AD60" s="55">
        <f>_xll.EQNXTDZ($A$1,$B60,AD$5,$B$1)</f>
        <v>1027.68</v>
      </c>
      <c r="AE60" s="55">
        <f>_xll.EQNXTDZ($A$1,$B60,AE$5,$B$1)</f>
        <v>0</v>
      </c>
      <c r="AF60" s="55">
        <f>_xll.EQNXTDZ($A$1,$B60,AF$5,$B$1)</f>
        <v>1017.11</v>
      </c>
      <c r="AG60" s="55">
        <f>_xll.EQNXTDZ($A$1,$B60,AG$5,$B$1)</f>
        <v>0</v>
      </c>
      <c r="AH60" s="55">
        <f>_xll.EQNXTDZ($A$1,$B60,AH$5,$B$1)</f>
        <v>1092.47</v>
      </c>
      <c r="AI60" s="55">
        <f>_xll.EQNXTDZ($A$1,$B60,AI$5,$B$1)</f>
        <v>0</v>
      </c>
      <c r="AJ60" s="55">
        <f>_xll.EQNXTDZ($A$1,$B60,AJ$5,$B$1)</f>
        <v>1108.82</v>
      </c>
      <c r="AK60" s="55">
        <f>_xll.EQNXTDZ($A$1,$B60,AK$5,$B$1)</f>
        <v>0</v>
      </c>
      <c r="AL60" s="55">
        <f>_xll.EQNXTDZ($A$1,$B60,AL$5,$B$1)</f>
        <v>1092.53</v>
      </c>
      <c r="AM60" s="55">
        <f>_xll.EQNXTDZ($A$1,$B60,AM$5,$B$1)</f>
        <v>0</v>
      </c>
      <c r="AN60" s="55">
        <f>_xll.EQNXTDZ($A$1,$B60,AN$5,$B$1)</f>
        <v>1102.79</v>
      </c>
      <c r="AO60" s="55">
        <f>_xll.EQNXTDZ($A$1,$B60,AO$5,$B$1)</f>
        <v>0</v>
      </c>
      <c r="AP60" s="55">
        <f>_xll.EQNXTDZ($A$1,$B60,AP$5,$B$1)</f>
        <v>1151.6199999999999</v>
      </c>
      <c r="AQ60" s="55">
        <f>_xll.EQNXTDZ($A$1,$B60,AQ$5,$B$1)</f>
        <v>0</v>
      </c>
      <c r="AR60" s="55">
        <f>_xll.EQNXTDZ($A$1,$B60,AR$5,$B$1)</f>
        <v>1187.3499999999999</v>
      </c>
      <c r="AS60" s="55">
        <f>_xll.EQNXTDZ($A$1,$B60,AS$5,$B$1)</f>
        <v>0</v>
      </c>
      <c r="AT60" s="55">
        <f>_xll.EQNXTDZ($A$1,$B60,AT$5,$B$1)</f>
        <v>850.17</v>
      </c>
      <c r="AU60" s="55">
        <f>_xll.EQNXTDZ($A$1,$B60,AU$5,$B$1)</f>
        <v>0</v>
      </c>
      <c r="AV60" s="55">
        <f>_xll.EQNXTDZ($A$1,$B60,AV$5,$B$1)</f>
        <v>875.99</v>
      </c>
      <c r="AW60" s="55">
        <f>_xll.EQNXTDZ($A$1,$B60,AW$5,$B$1)</f>
        <v>0</v>
      </c>
      <c r="AX60" s="55">
        <f>_xll.EQNXTDZ($A$1,$B60,AX$5,$B$1)</f>
        <v>1379.34</v>
      </c>
      <c r="AY60" s="55">
        <f>_xll.EQNXTDZ($A$1,$B60,AY$5,$B$1)</f>
        <v>0</v>
      </c>
      <c r="AZ60" s="55">
        <f>_xll.EQNXTDZ($A$1,$B60,AZ$5,$B$1)</f>
        <v>1384.61</v>
      </c>
      <c r="BA60" s="55">
        <f>_xll.EQNXTDZ($A$1,$B60,BA$5,$B$1)</f>
        <v>0</v>
      </c>
      <c r="BB60" s="55">
        <f>_xll.EQNXTDZ($A$1,$B60,BB$5,$B$1)</f>
        <v>1389.22</v>
      </c>
      <c r="BC60" s="55">
        <f>_xll.EQNXTDZ($A$1,$B60,BC$5,$B$1)</f>
        <v>0</v>
      </c>
      <c r="BD60" s="55">
        <f>_xll.EQNXTDZ($A$1,$B60,BD$5,$B$1)</f>
        <v>1390.62</v>
      </c>
      <c r="BE60" s="55">
        <f>_xll.EQNXTDZ($A$1,$B60,BE$5,$B$1)</f>
        <v>0</v>
      </c>
      <c r="BF60" s="55">
        <f>_xll.EQNXTDZ($A$1,$B60,BF$5,$B$1)</f>
        <v>1401.33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509.27</v>
      </c>
      <c r="E61" s="55">
        <f>_xll.EQNXTDZ($A$1,$B61,E$5,$B$1)</f>
        <v>0</v>
      </c>
      <c r="F61" s="55">
        <f>_xll.EQNXTDZ($A$1,$B61,F$5,$B$1)</f>
        <v>672.7</v>
      </c>
      <c r="G61" s="55">
        <f>_xll.EQNXTDZ($A$1,$B61,G$5,$B$1)</f>
        <v>0</v>
      </c>
      <c r="H61" s="55">
        <f>_xll.EQNXTDZ($A$1,$B61,H$5,$B$1)</f>
        <v>753.11</v>
      </c>
      <c r="I61" s="55">
        <f>_xll.EQNXTDZ($A$1,$B61,I$5,$B$1)</f>
        <v>0</v>
      </c>
      <c r="J61" s="55">
        <f>_xll.EQNXTDZ($A$1,$B61,J$5,$B$1)</f>
        <v>1053.75</v>
      </c>
      <c r="K61" s="55">
        <f>_xll.EQNXTDZ($A$1,$B61,K$5,$B$1)</f>
        <v>0</v>
      </c>
      <c r="L61" s="55">
        <f>_xll.EQNXTDZ($A$1,$B61,L$5,$B$1)</f>
        <v>915.22</v>
      </c>
      <c r="M61" s="55">
        <f>_xll.EQNXTDZ($A$1,$B61,M$5,$B$1)</f>
        <v>0</v>
      </c>
      <c r="N61" s="55">
        <f>_xll.EQNXTDZ($A$1,$B61,N$5,$B$1)</f>
        <v>883.94</v>
      </c>
      <c r="O61" s="55">
        <f>_xll.EQNXTDZ($A$1,$B61,O$5,$B$1)</f>
        <v>0</v>
      </c>
      <c r="P61" s="55">
        <f>_xll.EQNXTDZ($A$1,$B61,P$5,$B$1)</f>
        <v>881.1</v>
      </c>
      <c r="Q61" s="55">
        <f>_xll.EQNXTDZ($A$1,$B61,Q$5,$B$1)</f>
        <v>0</v>
      </c>
      <c r="R61" s="55">
        <f>_xll.EQNXTDZ($A$1,$B61,R$5,$B$1)</f>
        <v>504.12</v>
      </c>
      <c r="S61" s="55">
        <f>_xll.EQNXTDZ($A$1,$B61,S$5,$B$1)</f>
        <v>0</v>
      </c>
      <c r="T61" s="55">
        <f>_xll.EQNXTDZ($A$1,$B61,T$5,$B$1)</f>
        <v>457.57</v>
      </c>
      <c r="U61" s="55">
        <f>_xll.EQNXTDZ($A$1,$B61,U$5,$B$1)</f>
        <v>0</v>
      </c>
      <c r="V61" s="55">
        <f>_xll.EQNXTDZ($A$1,$B61,V$5,$B$1)</f>
        <v>450.1</v>
      </c>
      <c r="W61" s="55">
        <f>_xll.EQNXTDZ($A$1,$B61,W$5,$B$1)</f>
        <v>0</v>
      </c>
      <c r="X61" s="55">
        <f>_xll.EQNXTDZ($A$1,$B61,X$5,$B$1)</f>
        <v>439.89</v>
      </c>
      <c r="Y61" s="55">
        <f>_xll.EQNXTDZ($A$1,$B61,Y$5,$B$1)</f>
        <v>0</v>
      </c>
      <c r="Z61" s="55">
        <f>_xll.EQNXTDZ($A$1,$B61,Z$5,$B$1)</f>
        <v>655.99</v>
      </c>
      <c r="AA61" s="55">
        <f>_xll.EQNXTDZ($A$1,$B61,AA$5,$B$1)</f>
        <v>0</v>
      </c>
      <c r="AB61" s="55">
        <f>_xll.EQNXTDZ($A$1,$B61,AB$5,$B$1)</f>
        <v>819.44</v>
      </c>
      <c r="AC61" s="55">
        <f>_xll.EQNXTDZ($A$1,$B61,AC$5,$B$1)</f>
        <v>0</v>
      </c>
      <c r="AD61" s="55">
        <f>_xll.EQNXTDZ($A$1,$B61,AD$5,$B$1)</f>
        <v>787.24</v>
      </c>
      <c r="AE61" s="55">
        <f>_xll.EQNXTDZ($A$1,$B61,AE$5,$B$1)</f>
        <v>0</v>
      </c>
      <c r="AF61" s="55">
        <f>_xll.EQNXTDZ($A$1,$B61,AF$5,$B$1)</f>
        <v>804.46</v>
      </c>
      <c r="AG61" s="55">
        <f>_xll.EQNXTDZ($A$1,$B61,AG$5,$B$1)</f>
        <v>0</v>
      </c>
      <c r="AH61" s="55">
        <f>_xll.EQNXTDZ($A$1,$B61,AH$5,$B$1)</f>
        <v>794.67</v>
      </c>
      <c r="AI61" s="55">
        <f>_xll.EQNXTDZ($A$1,$B61,AI$5,$B$1)</f>
        <v>0</v>
      </c>
      <c r="AJ61" s="55">
        <f>_xll.EQNXTDZ($A$1,$B61,AJ$5,$B$1)</f>
        <v>728.16</v>
      </c>
      <c r="AK61" s="55">
        <f>_xll.EQNXTDZ($A$1,$B61,AK$5,$B$1)</f>
        <v>0</v>
      </c>
      <c r="AL61" s="55">
        <f>_xll.EQNXTDZ($A$1,$B61,AL$5,$B$1)</f>
        <v>287.54000000000002</v>
      </c>
      <c r="AM61" s="55">
        <f>_xll.EQNXTDZ($A$1,$B61,AM$5,$B$1)</f>
        <v>0</v>
      </c>
      <c r="AN61" s="55">
        <f>_xll.EQNXTDZ($A$1,$B61,AN$5,$B$1)</f>
        <v>264.42</v>
      </c>
      <c r="AO61" s="55">
        <f>_xll.EQNXTDZ($A$1,$B61,AO$5,$B$1)</f>
        <v>0</v>
      </c>
      <c r="AP61" s="55">
        <f>_xll.EQNXTDZ($A$1,$B61,AP$5,$B$1)</f>
        <v>241.87</v>
      </c>
      <c r="AQ61" s="55">
        <f>_xll.EQNXTDZ($A$1,$B61,AQ$5,$B$1)</f>
        <v>0</v>
      </c>
      <c r="AR61" s="55">
        <f>_xll.EQNXTDZ($A$1,$B61,AR$5,$B$1)</f>
        <v>225.43</v>
      </c>
      <c r="AS61" s="55">
        <f>_xll.EQNXTDZ($A$1,$B61,AS$5,$B$1)</f>
        <v>0</v>
      </c>
      <c r="AT61" s="55">
        <f>_xll.EQNXTDZ($A$1,$B61,AT$5,$B$1)</f>
        <v>206.12</v>
      </c>
      <c r="AU61" s="55">
        <f>_xll.EQNXTDZ($A$1,$B61,AU$5,$B$1)</f>
        <v>0</v>
      </c>
      <c r="AV61" s="55">
        <f>_xll.EQNXTDZ($A$1,$B61,AV$5,$B$1)</f>
        <v>177.76</v>
      </c>
      <c r="AW61" s="55">
        <f>_xll.EQNXTDZ($A$1,$B61,AW$5,$B$1)</f>
        <v>0</v>
      </c>
      <c r="AX61" s="55">
        <f>_xll.EQNXTDZ($A$1,$B61,AX$5,$B$1)</f>
        <v>168.35</v>
      </c>
      <c r="AY61" s="55">
        <f>_xll.EQNXTDZ($A$1,$B61,AY$5,$B$1)</f>
        <v>0</v>
      </c>
      <c r="AZ61" s="55">
        <f>_xll.EQNXTDZ($A$1,$B61,AZ$5,$B$1)</f>
        <v>153</v>
      </c>
      <c r="BA61" s="55">
        <f>_xll.EQNXTDZ($A$1,$B61,BA$5,$B$1)</f>
        <v>0</v>
      </c>
      <c r="BB61" s="55">
        <f>_xll.EQNXTDZ($A$1,$B61,BB$5,$B$1)</f>
        <v>190.68</v>
      </c>
      <c r="BC61" s="55">
        <f>_xll.EQNXTDZ($A$1,$B61,BC$5,$B$1)</f>
        <v>0</v>
      </c>
      <c r="BD61" s="55">
        <f>_xll.EQNXTDZ($A$1,$B61,BD$5,$B$1)</f>
        <v>297.88</v>
      </c>
      <c r="BE61" s="55">
        <f>_xll.EQNXTDZ($A$1,$B61,BE$5,$B$1)</f>
        <v>0</v>
      </c>
      <c r="BF61" s="55">
        <f>_xll.EQNXTDZ($A$1,$B61,BF$5,$B$1)</f>
        <v>302.14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509.27</v>
      </c>
      <c r="E63" s="55">
        <f>_xll.EQNXTDZ($A$1,$B63,E$5,$B$1)</f>
        <v>0</v>
      </c>
      <c r="F63" s="55">
        <f>_xll.EQNXTDZ($A$1,$B63,F$5,$B$1)</f>
        <v>672.7</v>
      </c>
      <c r="G63" s="55">
        <f>_xll.EQNXTDZ($A$1,$B63,G$5,$B$1)</f>
        <v>0</v>
      </c>
      <c r="H63" s="55">
        <f>_xll.EQNXTDZ($A$1,$B63,H$5,$B$1)</f>
        <v>753.11</v>
      </c>
      <c r="I63" s="55">
        <f>_xll.EQNXTDZ($A$1,$B63,I$5,$B$1)</f>
        <v>0</v>
      </c>
      <c r="J63" s="55">
        <f>_xll.EQNXTDZ($A$1,$B63,J$5,$B$1)</f>
        <v>1053.75</v>
      </c>
      <c r="K63" s="55">
        <f>_xll.EQNXTDZ($A$1,$B63,K$5,$B$1)</f>
        <v>0</v>
      </c>
      <c r="L63" s="55">
        <f>_xll.EQNXTDZ($A$1,$B63,L$5,$B$1)</f>
        <v>915.22</v>
      </c>
      <c r="M63" s="55">
        <f>_xll.EQNXTDZ($A$1,$B63,M$5,$B$1)</f>
        <v>0</v>
      </c>
      <c r="N63" s="55">
        <f>_xll.EQNXTDZ($A$1,$B63,N$5,$B$1)</f>
        <v>883.94</v>
      </c>
      <c r="O63" s="55">
        <f>_xll.EQNXTDZ($A$1,$B63,O$5,$B$1)</f>
        <v>0</v>
      </c>
      <c r="P63" s="55">
        <f>_xll.EQNXTDZ($A$1,$B63,P$5,$B$1)</f>
        <v>881.1</v>
      </c>
      <c r="Q63" s="55">
        <f>_xll.EQNXTDZ($A$1,$B63,Q$5,$B$1)</f>
        <v>0</v>
      </c>
      <c r="R63" s="55">
        <f>_xll.EQNXTDZ($A$1,$B63,R$5,$B$1)</f>
        <v>504.12</v>
      </c>
      <c r="S63" s="55">
        <f>_xll.EQNXTDZ($A$1,$B63,S$5,$B$1)</f>
        <v>0</v>
      </c>
      <c r="T63" s="55">
        <f>_xll.EQNXTDZ($A$1,$B63,T$5,$B$1)</f>
        <v>457.57</v>
      </c>
      <c r="U63" s="55">
        <f>_xll.EQNXTDZ($A$1,$B63,U$5,$B$1)</f>
        <v>0</v>
      </c>
      <c r="V63" s="55">
        <f>_xll.EQNXTDZ($A$1,$B63,V$5,$B$1)</f>
        <v>450.1</v>
      </c>
      <c r="W63" s="55">
        <f>_xll.EQNXTDZ($A$1,$B63,W$5,$B$1)</f>
        <v>0</v>
      </c>
      <c r="X63" s="55">
        <f>_xll.EQNXTDZ($A$1,$B63,X$5,$B$1)</f>
        <v>439.89</v>
      </c>
      <c r="Y63" s="55">
        <f>_xll.EQNXTDZ($A$1,$B63,Y$5,$B$1)</f>
        <v>0</v>
      </c>
      <c r="Z63" s="55">
        <f>_xll.EQNXTDZ($A$1,$B63,Z$5,$B$1)</f>
        <v>655.99</v>
      </c>
      <c r="AA63" s="55">
        <f>_xll.EQNXTDZ($A$1,$B63,AA$5,$B$1)</f>
        <v>0</v>
      </c>
      <c r="AB63" s="55">
        <f>_xll.EQNXTDZ($A$1,$B63,AB$5,$B$1)</f>
        <v>819.44</v>
      </c>
      <c r="AC63" s="55">
        <f>_xll.EQNXTDZ($A$1,$B63,AC$5,$B$1)</f>
        <v>0</v>
      </c>
      <c r="AD63" s="55">
        <f>_xll.EQNXTDZ($A$1,$B63,AD$5,$B$1)</f>
        <v>787.24</v>
      </c>
      <c r="AE63" s="55">
        <f>_xll.EQNXTDZ($A$1,$B63,AE$5,$B$1)</f>
        <v>0</v>
      </c>
      <c r="AF63" s="55">
        <f>_xll.EQNXTDZ($A$1,$B63,AF$5,$B$1)</f>
        <v>804.46</v>
      </c>
      <c r="AG63" s="55">
        <f>_xll.EQNXTDZ($A$1,$B63,AG$5,$B$1)</f>
        <v>0</v>
      </c>
      <c r="AH63" s="55">
        <f>_xll.EQNXTDZ($A$1,$B63,AH$5,$B$1)</f>
        <v>794.67</v>
      </c>
      <c r="AI63" s="55">
        <f>_xll.EQNXTDZ($A$1,$B63,AI$5,$B$1)</f>
        <v>0</v>
      </c>
      <c r="AJ63" s="55">
        <f>_xll.EQNXTDZ($A$1,$B63,AJ$5,$B$1)</f>
        <v>728.16</v>
      </c>
      <c r="AK63" s="55">
        <f>_xll.EQNXTDZ($A$1,$B63,AK$5,$B$1)</f>
        <v>0</v>
      </c>
      <c r="AL63" s="55">
        <f>_xll.EQNXTDZ($A$1,$B63,AL$5,$B$1)</f>
        <v>287.54000000000002</v>
      </c>
      <c r="AM63" s="55">
        <f>_xll.EQNXTDZ($A$1,$B63,AM$5,$B$1)</f>
        <v>0</v>
      </c>
      <c r="AN63" s="55">
        <f>_xll.EQNXTDZ($A$1,$B63,AN$5,$B$1)</f>
        <v>264.42</v>
      </c>
      <c r="AO63" s="55">
        <f>_xll.EQNXTDZ($A$1,$B63,AO$5,$B$1)</f>
        <v>0</v>
      </c>
      <c r="AP63" s="55">
        <f>_xll.EQNXTDZ($A$1,$B63,AP$5,$B$1)</f>
        <v>241.87</v>
      </c>
      <c r="AQ63" s="55">
        <f>_xll.EQNXTDZ($A$1,$B63,AQ$5,$B$1)</f>
        <v>0</v>
      </c>
      <c r="AR63" s="55">
        <f>_xll.EQNXTDZ($A$1,$B63,AR$5,$B$1)</f>
        <v>225.43</v>
      </c>
      <c r="AS63" s="55">
        <f>_xll.EQNXTDZ($A$1,$B63,AS$5,$B$1)</f>
        <v>0</v>
      </c>
      <c r="AT63" s="55">
        <f>_xll.EQNXTDZ($A$1,$B63,AT$5,$B$1)</f>
        <v>206.12</v>
      </c>
      <c r="AU63" s="55">
        <f>_xll.EQNXTDZ($A$1,$B63,AU$5,$B$1)</f>
        <v>0</v>
      </c>
      <c r="AV63" s="55">
        <f>_xll.EQNXTDZ($A$1,$B63,AV$5,$B$1)</f>
        <v>177.76</v>
      </c>
      <c r="AW63" s="55">
        <f>_xll.EQNXTDZ($A$1,$B63,AW$5,$B$1)</f>
        <v>0</v>
      </c>
      <c r="AX63" s="55">
        <f>_xll.EQNXTDZ($A$1,$B63,AX$5,$B$1)</f>
        <v>168.35</v>
      </c>
      <c r="AY63" s="55">
        <f>_xll.EQNXTDZ($A$1,$B63,AY$5,$B$1)</f>
        <v>0</v>
      </c>
      <c r="AZ63" s="55">
        <f>_xll.EQNXTDZ($A$1,$B63,AZ$5,$B$1)</f>
        <v>153</v>
      </c>
      <c r="BA63" s="55">
        <f>_xll.EQNXTDZ($A$1,$B63,BA$5,$B$1)</f>
        <v>0</v>
      </c>
      <c r="BB63" s="55">
        <f>_xll.EQNXTDZ($A$1,$B63,BB$5,$B$1)</f>
        <v>190.68</v>
      </c>
      <c r="BC63" s="55">
        <f>_xll.EQNXTDZ($A$1,$B63,BC$5,$B$1)</f>
        <v>0</v>
      </c>
      <c r="BD63" s="55">
        <f>_xll.EQNXTDZ($A$1,$B63,BD$5,$B$1)</f>
        <v>297.88</v>
      </c>
      <c r="BE63" s="55">
        <f>_xll.EQNXTDZ($A$1,$B63,BE$5,$B$1)</f>
        <v>0</v>
      </c>
      <c r="BF63" s="55">
        <f>_xll.EQNXTDZ($A$1,$B63,BF$5,$B$1)</f>
        <v>302.14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155.85</v>
      </c>
      <c r="E64" s="55">
        <f>_xll.EQNXTDZ($A$1,$B64,E$5,$B$1)</f>
        <v>0</v>
      </c>
      <c r="F64" s="55">
        <f>_xll.EQNXTDZ($A$1,$B64,F$5,$B$1)</f>
        <v>92.41</v>
      </c>
      <c r="G64" s="55">
        <f>_xll.EQNXTDZ($A$1,$B64,G$5,$B$1)</f>
        <v>0</v>
      </c>
      <c r="H64" s="55">
        <f>_xll.EQNXTDZ($A$1,$B64,H$5,$B$1)</f>
        <v>9.33</v>
      </c>
      <c r="I64" s="55">
        <f>_xll.EQNXTDZ($A$1,$B64,I$5,$B$1)</f>
        <v>0</v>
      </c>
      <c r="J64" s="55">
        <f>_xll.EQNXTDZ($A$1,$B64,J$5,$B$1)</f>
        <v>80.540000000000006</v>
      </c>
      <c r="K64" s="55">
        <f>_xll.EQNXTDZ($A$1,$B64,K$5,$B$1)</f>
        <v>0</v>
      </c>
      <c r="L64" s="55">
        <f>_xll.EQNXTDZ($A$1,$B64,L$5,$B$1)</f>
        <v>78.64</v>
      </c>
      <c r="M64" s="55">
        <f>_xll.EQNXTDZ($A$1,$B64,M$5,$B$1)</f>
        <v>0</v>
      </c>
      <c r="N64" s="55">
        <f>_xll.EQNXTDZ($A$1,$B64,N$5,$B$1)</f>
        <v>79.569999999999993</v>
      </c>
      <c r="O64" s="55">
        <f>_xll.EQNXTDZ($A$1,$B64,O$5,$B$1)</f>
        <v>0</v>
      </c>
      <c r="P64" s="55">
        <f>_xll.EQNXTDZ($A$1,$B64,P$5,$B$1)</f>
        <v>79.069999999999993</v>
      </c>
      <c r="Q64" s="55">
        <f>_xll.EQNXTDZ($A$1,$B64,Q$5,$B$1)</f>
        <v>0</v>
      </c>
      <c r="R64" s="55">
        <f>_xll.EQNXTDZ($A$1,$B64,R$5,$B$1)</f>
        <v>7.33</v>
      </c>
      <c r="S64" s="55">
        <f>_xll.EQNXTDZ($A$1,$B64,S$5,$B$1)</f>
        <v>0</v>
      </c>
      <c r="T64" s="55">
        <f>_xll.EQNXTDZ($A$1,$B64,T$5,$B$1)</f>
        <v>5.24</v>
      </c>
      <c r="U64" s="55">
        <f>_xll.EQNXTDZ($A$1,$B64,U$5,$B$1)</f>
        <v>0</v>
      </c>
      <c r="V64" s="55">
        <f>_xll.EQNXTDZ($A$1,$B64,V$5,$B$1)</f>
        <v>6.71</v>
      </c>
      <c r="W64" s="55">
        <f>_xll.EQNXTDZ($A$1,$B64,W$5,$B$1)</f>
        <v>0</v>
      </c>
      <c r="X64" s="55">
        <f>_xll.EQNXTDZ($A$1,$B64,X$5,$B$1)</f>
        <v>7.12</v>
      </c>
      <c r="Y64" s="55">
        <f>_xll.EQNXTDZ($A$1,$B64,Y$5,$B$1)</f>
        <v>0</v>
      </c>
      <c r="Z64" s="55">
        <f>_xll.EQNXTDZ($A$1,$B64,Z$5,$B$1)</f>
        <v>23.34</v>
      </c>
      <c r="AA64" s="55">
        <f>_xll.EQNXTDZ($A$1,$B64,AA$5,$B$1)</f>
        <v>0</v>
      </c>
      <c r="AB64" s="55">
        <f>_xll.EQNXTDZ($A$1,$B64,AB$5,$B$1)</f>
        <v>24.41</v>
      </c>
      <c r="AC64" s="55">
        <f>_xll.EQNXTDZ($A$1,$B64,AC$5,$B$1)</f>
        <v>0</v>
      </c>
      <c r="AD64" s="55">
        <f>_xll.EQNXTDZ($A$1,$B64,AD$5,$B$1)</f>
        <v>24.51</v>
      </c>
      <c r="AE64" s="55">
        <f>_xll.EQNXTDZ($A$1,$B64,AE$5,$B$1)</f>
        <v>0</v>
      </c>
      <c r="AF64" s="55">
        <f>_xll.EQNXTDZ($A$1,$B64,AF$5,$B$1)</f>
        <v>257.73</v>
      </c>
      <c r="AG64" s="55">
        <f>_xll.EQNXTDZ($A$1,$B64,AG$5,$B$1)</f>
        <v>0</v>
      </c>
      <c r="AH64" s="55">
        <f>_xll.EQNXTDZ($A$1,$B64,AH$5,$B$1)</f>
        <v>322.75</v>
      </c>
      <c r="AI64" s="55">
        <f>_xll.EQNXTDZ($A$1,$B64,AI$5,$B$1)</f>
        <v>0</v>
      </c>
      <c r="AJ64" s="55">
        <f>_xll.EQNXTDZ($A$1,$B64,AJ$5,$B$1)</f>
        <v>314.5</v>
      </c>
      <c r="AK64" s="55">
        <f>_xll.EQNXTDZ($A$1,$B64,AK$5,$B$1)</f>
        <v>0</v>
      </c>
      <c r="AL64" s="55">
        <f>_xll.EQNXTDZ($A$1,$B64,AL$5,$B$1)</f>
        <v>484.21</v>
      </c>
      <c r="AM64" s="55">
        <f>_xll.EQNXTDZ($A$1,$B64,AM$5,$B$1)</f>
        <v>0</v>
      </c>
      <c r="AN64" s="55">
        <f>_xll.EQNXTDZ($A$1,$B64,AN$5,$B$1)</f>
        <v>464.59</v>
      </c>
      <c r="AO64" s="55">
        <f>_xll.EQNXTDZ($A$1,$B64,AO$5,$B$1)</f>
        <v>0</v>
      </c>
      <c r="AP64" s="55">
        <f>_xll.EQNXTDZ($A$1,$B64,AP$5,$B$1)</f>
        <v>457.54</v>
      </c>
      <c r="AQ64" s="55">
        <f>_xll.EQNXTDZ($A$1,$B64,AQ$5,$B$1)</f>
        <v>0</v>
      </c>
      <c r="AR64" s="55">
        <f>_xll.EQNXTDZ($A$1,$B64,AR$5,$B$1)</f>
        <v>463.27</v>
      </c>
      <c r="AS64" s="55">
        <f>_xll.EQNXTDZ($A$1,$B64,AS$5,$B$1)</f>
        <v>0</v>
      </c>
      <c r="AT64" s="55">
        <f>_xll.EQNXTDZ($A$1,$B64,AT$5,$B$1)</f>
        <v>522.91999999999996</v>
      </c>
      <c r="AU64" s="55">
        <f>_xll.EQNXTDZ($A$1,$B64,AU$5,$B$1)</f>
        <v>0</v>
      </c>
      <c r="AV64" s="55">
        <f>_xll.EQNXTDZ($A$1,$B64,AV$5,$B$1)</f>
        <v>557.25</v>
      </c>
      <c r="AW64" s="55">
        <f>_xll.EQNXTDZ($A$1,$B64,AW$5,$B$1)</f>
        <v>0</v>
      </c>
      <c r="AX64" s="55">
        <f>_xll.EQNXTDZ($A$1,$B64,AX$5,$B$1)</f>
        <v>2204.48</v>
      </c>
      <c r="AY64" s="55">
        <f>_xll.EQNXTDZ($A$1,$B64,AY$5,$B$1)</f>
        <v>0</v>
      </c>
      <c r="AZ64" s="55">
        <f>_xll.EQNXTDZ($A$1,$B64,AZ$5,$B$1)</f>
        <v>2506.1999999999998</v>
      </c>
      <c r="BA64" s="55">
        <f>_xll.EQNXTDZ($A$1,$B64,BA$5,$B$1)</f>
        <v>0</v>
      </c>
      <c r="BB64" s="55">
        <f>_xll.EQNXTDZ($A$1,$B64,BB$5,$B$1)</f>
        <v>2163.31</v>
      </c>
      <c r="BC64" s="55">
        <f>_xll.EQNXTDZ($A$1,$B64,BC$5,$B$1)</f>
        <v>0</v>
      </c>
      <c r="BD64" s="55">
        <f>_xll.EQNXTDZ($A$1,$B64,BD$5,$B$1)</f>
        <v>2147.8200000000002</v>
      </c>
      <c r="BE64" s="55">
        <f>_xll.EQNXTDZ($A$1,$B64,BE$5,$B$1)</f>
        <v>0</v>
      </c>
      <c r="BF64" s="55">
        <f>_xll.EQNXTDZ($A$1,$B64,BF$5,$B$1)</f>
        <v>1967.54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193.48</v>
      </c>
      <c r="E66" s="55">
        <f>_xll.EQNXTDZ($A$1,$B66,E$5,$B$1)</f>
        <v>0</v>
      </c>
      <c r="F66" s="55">
        <f>_xll.EQNXTDZ($A$1,$B66,F$5,$B$1)</f>
        <v>203.15</v>
      </c>
      <c r="G66" s="55">
        <f>_xll.EQNXTDZ($A$1,$B66,G$5,$B$1)</f>
        <v>0</v>
      </c>
      <c r="H66" s="55">
        <f>_xll.EQNXTDZ($A$1,$B66,H$5,$B$1)</f>
        <v>225.82</v>
      </c>
      <c r="I66" s="55">
        <f>_xll.EQNXTDZ($A$1,$B66,I$5,$B$1)</f>
        <v>0</v>
      </c>
      <c r="J66" s="55">
        <f>_xll.EQNXTDZ($A$1,$B66,J$5,$B$1)</f>
        <v>218.51</v>
      </c>
      <c r="K66" s="55">
        <f>_xll.EQNXTDZ($A$1,$B66,K$5,$B$1)</f>
        <v>0</v>
      </c>
      <c r="L66" s="55">
        <f>_xll.EQNXTDZ($A$1,$B66,L$5,$B$1)</f>
        <v>246.49</v>
      </c>
      <c r="M66" s="55">
        <f>_xll.EQNXTDZ($A$1,$B66,M$5,$B$1)</f>
        <v>0</v>
      </c>
      <c r="N66" s="55">
        <f>_xll.EQNXTDZ($A$1,$B66,N$5,$B$1)</f>
        <v>224.99</v>
      </c>
      <c r="O66" s="55">
        <f>_xll.EQNXTDZ($A$1,$B66,O$5,$B$1)</f>
        <v>0</v>
      </c>
      <c r="P66" s="55">
        <f>_xll.EQNXTDZ($A$1,$B66,P$5,$B$1)</f>
        <v>258.18</v>
      </c>
      <c r="Q66" s="55">
        <f>_xll.EQNXTDZ($A$1,$B66,Q$5,$B$1)</f>
        <v>0</v>
      </c>
      <c r="R66" s="55">
        <f>_xll.EQNXTDZ($A$1,$B66,R$5,$B$1)</f>
        <v>291.76</v>
      </c>
      <c r="S66" s="55">
        <f>_xll.EQNXTDZ($A$1,$B66,S$5,$B$1)</f>
        <v>0</v>
      </c>
      <c r="T66" s="55">
        <f>_xll.EQNXTDZ($A$1,$B66,T$5,$B$1)</f>
        <v>308.76</v>
      </c>
      <c r="U66" s="55">
        <f>_xll.EQNXTDZ($A$1,$B66,U$5,$B$1)</f>
        <v>0</v>
      </c>
      <c r="V66" s="55">
        <f>_xll.EQNXTDZ($A$1,$B66,V$5,$B$1)</f>
        <v>198.92</v>
      </c>
      <c r="W66" s="55">
        <f>_xll.EQNXTDZ($A$1,$B66,W$5,$B$1)</f>
        <v>0</v>
      </c>
      <c r="X66" s="55">
        <f>_xll.EQNXTDZ($A$1,$B66,X$5,$B$1)</f>
        <v>175.45</v>
      </c>
      <c r="Y66" s="55">
        <f>_xll.EQNXTDZ($A$1,$B66,Y$5,$B$1)</f>
        <v>0</v>
      </c>
      <c r="Z66" s="55">
        <f>_xll.EQNXTDZ($A$1,$B66,Z$5,$B$1)</f>
        <v>144.22</v>
      </c>
      <c r="AA66" s="55">
        <f>_xll.EQNXTDZ($A$1,$B66,AA$5,$B$1)</f>
        <v>0</v>
      </c>
      <c r="AB66" s="55">
        <f>_xll.EQNXTDZ($A$1,$B66,AB$5,$B$1)</f>
        <v>148.93</v>
      </c>
      <c r="AC66" s="55">
        <f>_xll.EQNXTDZ($A$1,$B66,AC$5,$B$1)</f>
        <v>0</v>
      </c>
      <c r="AD66" s="55">
        <f>_xll.EQNXTDZ($A$1,$B66,AD$5,$B$1)</f>
        <v>152.21</v>
      </c>
      <c r="AE66" s="55">
        <f>_xll.EQNXTDZ($A$1,$B66,AE$5,$B$1)</f>
        <v>0</v>
      </c>
      <c r="AF66" s="55">
        <f>_xll.EQNXTDZ($A$1,$B66,AF$5,$B$1)</f>
        <v>163.32</v>
      </c>
      <c r="AG66" s="55">
        <f>_xll.EQNXTDZ($A$1,$B66,AG$5,$B$1)</f>
        <v>0</v>
      </c>
      <c r="AH66" s="55">
        <f>_xll.EQNXTDZ($A$1,$B66,AH$5,$B$1)</f>
        <v>183.22</v>
      </c>
      <c r="AI66" s="55">
        <f>_xll.EQNXTDZ($A$1,$B66,AI$5,$B$1)</f>
        <v>0</v>
      </c>
      <c r="AJ66" s="55">
        <f>_xll.EQNXTDZ($A$1,$B66,AJ$5,$B$1)</f>
        <v>197.86</v>
      </c>
      <c r="AK66" s="55">
        <f>_xll.EQNXTDZ($A$1,$B66,AK$5,$B$1)</f>
        <v>0</v>
      </c>
      <c r="AL66" s="55">
        <f>_xll.EQNXTDZ($A$1,$B66,AL$5,$B$1)</f>
        <v>192.46</v>
      </c>
      <c r="AM66" s="55">
        <f>_xll.EQNXTDZ($A$1,$B66,AM$5,$B$1)</f>
        <v>0</v>
      </c>
      <c r="AN66" s="55">
        <f>_xll.EQNXTDZ($A$1,$B66,AN$5,$B$1)</f>
        <v>197.41</v>
      </c>
      <c r="AO66" s="55">
        <f>_xll.EQNXTDZ($A$1,$B66,AO$5,$B$1)</f>
        <v>0</v>
      </c>
      <c r="AP66" s="55">
        <f>_xll.EQNXTDZ($A$1,$B66,AP$5,$B$1)</f>
        <v>175.59</v>
      </c>
      <c r="AQ66" s="55">
        <f>_xll.EQNXTDZ($A$1,$B66,AQ$5,$B$1)</f>
        <v>0</v>
      </c>
      <c r="AR66" s="55">
        <f>_xll.EQNXTDZ($A$1,$B66,AR$5,$B$1)</f>
        <v>174.11</v>
      </c>
      <c r="AS66" s="55">
        <f>_xll.EQNXTDZ($A$1,$B66,AS$5,$B$1)</f>
        <v>0</v>
      </c>
      <c r="AT66" s="55">
        <f>_xll.EQNXTDZ($A$1,$B66,AT$5,$B$1)</f>
        <v>167.49</v>
      </c>
      <c r="AU66" s="55">
        <f>_xll.EQNXTDZ($A$1,$B66,AU$5,$B$1)</f>
        <v>0</v>
      </c>
      <c r="AV66" s="55">
        <f>_xll.EQNXTDZ($A$1,$B66,AV$5,$B$1)</f>
        <v>178.84</v>
      </c>
      <c r="AW66" s="55">
        <f>_xll.EQNXTDZ($A$1,$B66,AW$5,$B$1)</f>
        <v>0</v>
      </c>
      <c r="AX66" s="55">
        <f>_xll.EQNXTDZ($A$1,$B66,AX$5,$B$1)</f>
        <v>225.69</v>
      </c>
      <c r="AY66" s="55">
        <f>_xll.EQNXTDZ($A$1,$B66,AY$5,$B$1)</f>
        <v>0</v>
      </c>
      <c r="AZ66" s="55">
        <f>_xll.EQNXTDZ($A$1,$B66,AZ$5,$B$1)</f>
        <v>246.67</v>
      </c>
      <c r="BA66" s="55">
        <f>_xll.EQNXTDZ($A$1,$B66,BA$5,$B$1)</f>
        <v>0</v>
      </c>
      <c r="BB66" s="55">
        <f>_xll.EQNXTDZ($A$1,$B66,BB$5,$B$1)</f>
        <v>204.91</v>
      </c>
      <c r="BC66" s="55">
        <f>_xll.EQNXTDZ($A$1,$B66,BC$5,$B$1)</f>
        <v>0</v>
      </c>
      <c r="BD66" s="55">
        <f>_xll.EQNXTDZ($A$1,$B66,BD$5,$B$1)</f>
        <v>195.18</v>
      </c>
      <c r="BE66" s="55">
        <f>_xll.EQNXTDZ($A$1,$B66,BE$5,$B$1)</f>
        <v>0</v>
      </c>
      <c r="BF66" s="55">
        <f>_xll.EQNXTDZ($A$1,$B66,BF$5,$B$1)</f>
        <v>216.42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6829.05</v>
      </c>
      <c r="E67" s="55">
        <f>_xll.EQNXTDZ($A$1,$B67,E$5,$B$1)</f>
        <v>0</v>
      </c>
      <c r="F67" s="55">
        <f>_xll.EQNXTDZ($A$1,$B67,F$5,$B$1)</f>
        <v>6592.29</v>
      </c>
      <c r="G67" s="55">
        <f>_xll.EQNXTDZ($A$1,$B67,G$5,$B$1)</f>
        <v>0</v>
      </c>
      <c r="H67" s="55">
        <f>_xll.EQNXTDZ($A$1,$B67,H$5,$B$1)</f>
        <v>7884.74</v>
      </c>
      <c r="I67" s="55">
        <f>_xll.EQNXTDZ($A$1,$B67,I$5,$B$1)</f>
        <v>0</v>
      </c>
      <c r="J67" s="55">
        <f>_xll.EQNXTDZ($A$1,$B67,J$5,$B$1)</f>
        <v>8125.72</v>
      </c>
      <c r="K67" s="55">
        <f>_xll.EQNXTDZ($A$1,$B67,K$5,$B$1)</f>
        <v>0</v>
      </c>
      <c r="L67" s="55">
        <f>_xll.EQNXTDZ($A$1,$B67,L$5,$B$1)</f>
        <v>8199.33</v>
      </c>
      <c r="M67" s="55">
        <f>_xll.EQNXTDZ($A$1,$B67,M$5,$B$1)</f>
        <v>0</v>
      </c>
      <c r="N67" s="55">
        <f>_xll.EQNXTDZ($A$1,$B67,N$5,$B$1)</f>
        <v>7557.51</v>
      </c>
      <c r="O67" s="55">
        <f>_xll.EQNXTDZ($A$1,$B67,O$5,$B$1)</f>
        <v>0</v>
      </c>
      <c r="P67" s="55">
        <f>_xll.EQNXTDZ($A$1,$B67,P$5,$B$1)</f>
        <v>7995.34</v>
      </c>
      <c r="Q67" s="55">
        <f>_xll.EQNXTDZ($A$1,$B67,Q$5,$B$1)</f>
        <v>0</v>
      </c>
      <c r="R67" s="55">
        <f>_xll.EQNXTDZ($A$1,$B67,R$5,$B$1)</f>
        <v>7912.15</v>
      </c>
      <c r="S67" s="55">
        <f>_xll.EQNXTDZ($A$1,$B67,S$5,$B$1)</f>
        <v>0</v>
      </c>
      <c r="T67" s="55">
        <f>_xll.EQNXTDZ($A$1,$B67,T$5,$B$1)</f>
        <v>7660.75</v>
      </c>
      <c r="U67" s="55">
        <f>_xll.EQNXTDZ($A$1,$B67,U$5,$B$1)</f>
        <v>0</v>
      </c>
      <c r="V67" s="55">
        <f>_xll.EQNXTDZ($A$1,$B67,V$5,$B$1)</f>
        <v>7840.73</v>
      </c>
      <c r="W67" s="55">
        <f>_xll.EQNXTDZ($A$1,$B67,W$5,$B$1)</f>
        <v>0</v>
      </c>
      <c r="X67" s="55">
        <f>_xll.EQNXTDZ($A$1,$B67,X$5,$B$1)</f>
        <v>8229.98</v>
      </c>
      <c r="Y67" s="55">
        <f>_xll.EQNXTDZ($A$1,$B67,Y$5,$B$1)</f>
        <v>0</v>
      </c>
      <c r="Z67" s="55">
        <f>_xll.EQNXTDZ($A$1,$B67,Z$5,$B$1)</f>
        <v>8864.19</v>
      </c>
      <c r="AA67" s="55">
        <f>_xll.EQNXTDZ($A$1,$B67,AA$5,$B$1)</f>
        <v>0</v>
      </c>
      <c r="AB67" s="55">
        <f>_xll.EQNXTDZ($A$1,$B67,AB$5,$B$1)</f>
        <v>9427.2800000000007</v>
      </c>
      <c r="AC67" s="55">
        <f>_xll.EQNXTDZ($A$1,$B67,AC$5,$B$1)</f>
        <v>0</v>
      </c>
      <c r="AD67" s="55">
        <f>_xll.EQNXTDZ($A$1,$B67,AD$5,$B$1)</f>
        <v>9323.33</v>
      </c>
      <c r="AE67" s="55">
        <f>_xll.EQNXTDZ($A$1,$B67,AE$5,$B$1)</f>
        <v>0</v>
      </c>
      <c r="AF67" s="55">
        <f>_xll.EQNXTDZ($A$1,$B67,AF$5,$B$1)</f>
        <v>9547.48</v>
      </c>
      <c r="AG67" s="55">
        <f>_xll.EQNXTDZ($A$1,$B67,AG$5,$B$1)</f>
        <v>0</v>
      </c>
      <c r="AH67" s="55">
        <f>_xll.EQNXTDZ($A$1,$B67,AH$5,$B$1)</f>
        <v>16207.97</v>
      </c>
      <c r="AI67" s="55">
        <f>_xll.EQNXTDZ($A$1,$B67,AI$5,$B$1)</f>
        <v>0</v>
      </c>
      <c r="AJ67" s="55">
        <f>_xll.EQNXTDZ($A$1,$B67,AJ$5,$B$1)</f>
        <v>16461.39</v>
      </c>
      <c r="AK67" s="55">
        <f>_xll.EQNXTDZ($A$1,$B67,AK$5,$B$1)</f>
        <v>0</v>
      </c>
      <c r="AL67" s="55">
        <f>_xll.EQNXTDZ($A$1,$B67,AL$5,$B$1)</f>
        <v>16591.25</v>
      </c>
      <c r="AM67" s="55">
        <f>_xll.EQNXTDZ($A$1,$B67,AM$5,$B$1)</f>
        <v>0</v>
      </c>
      <c r="AN67" s="55">
        <f>_xll.EQNXTDZ($A$1,$B67,AN$5,$B$1)</f>
        <v>16621.96</v>
      </c>
      <c r="AO67" s="55">
        <f>_xll.EQNXTDZ($A$1,$B67,AO$5,$B$1)</f>
        <v>0</v>
      </c>
      <c r="AP67" s="55">
        <f>_xll.EQNXTDZ($A$1,$B67,AP$5,$B$1)</f>
        <v>17168.560000000001</v>
      </c>
      <c r="AQ67" s="55">
        <f>_xll.EQNXTDZ($A$1,$B67,AQ$5,$B$1)</f>
        <v>0</v>
      </c>
      <c r="AR67" s="55">
        <f>_xll.EQNXTDZ($A$1,$B67,AR$5,$B$1)</f>
        <v>16939.61</v>
      </c>
      <c r="AS67" s="55">
        <f>_xll.EQNXTDZ($A$1,$B67,AS$5,$B$1)</f>
        <v>0</v>
      </c>
      <c r="AT67" s="55">
        <f>_xll.EQNXTDZ($A$1,$B67,AT$5,$B$1)</f>
        <v>18023.41</v>
      </c>
      <c r="AU67" s="55">
        <f>_xll.EQNXTDZ($A$1,$B67,AU$5,$B$1)</f>
        <v>0</v>
      </c>
      <c r="AV67" s="55">
        <f>_xll.EQNXTDZ($A$1,$B67,AV$5,$B$1)</f>
        <v>17944.150000000001</v>
      </c>
      <c r="AW67" s="55">
        <f>_xll.EQNXTDZ($A$1,$B67,AW$5,$B$1)</f>
        <v>0</v>
      </c>
      <c r="AX67" s="55">
        <f>_xll.EQNXTDZ($A$1,$B67,AX$5,$B$1)</f>
        <v>20034.650000000001</v>
      </c>
      <c r="AY67" s="55">
        <f>_xll.EQNXTDZ($A$1,$B67,AY$5,$B$1)</f>
        <v>0</v>
      </c>
      <c r="AZ67" s="55">
        <f>_xll.EQNXTDZ($A$1,$B67,AZ$5,$B$1)</f>
        <v>23422.31</v>
      </c>
      <c r="BA67" s="55">
        <f>_xll.EQNXTDZ($A$1,$B67,BA$5,$B$1)</f>
        <v>0</v>
      </c>
      <c r="BB67" s="55">
        <f>_xll.EQNXTDZ($A$1,$B67,BB$5,$B$1)</f>
        <v>23949.200000000001</v>
      </c>
      <c r="BC67" s="55">
        <f>_xll.EQNXTDZ($A$1,$B67,BC$5,$B$1)</f>
        <v>0</v>
      </c>
      <c r="BD67" s="55">
        <f>_xll.EQNXTDZ($A$1,$B67,BD$5,$B$1)</f>
        <v>24345.75</v>
      </c>
      <c r="BE67" s="55">
        <f>_xll.EQNXTDZ($A$1,$B67,BE$5,$B$1)</f>
        <v>0</v>
      </c>
      <c r="BF67" s="55">
        <f>_xll.EQNXTDZ($A$1,$B67,BF$5,$B$1)</f>
        <v>25674.959999999999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845.97</v>
      </c>
      <c r="E68" s="55">
        <f>_xll.EQNXTDZ($A$1,$B68,E$5,$B$1)</f>
        <v>0</v>
      </c>
      <c r="F68" s="55">
        <f>_xll.EQNXTDZ($A$1,$B68,F$5,$B$1)</f>
        <v>926.89</v>
      </c>
      <c r="G68" s="55">
        <f>_xll.EQNXTDZ($A$1,$B68,G$5,$B$1)</f>
        <v>0</v>
      </c>
      <c r="H68" s="55">
        <f>_xll.EQNXTDZ($A$1,$B68,H$5,$B$1)</f>
        <v>1028.47</v>
      </c>
      <c r="I68" s="55">
        <f>_xll.EQNXTDZ($A$1,$B68,I$5,$B$1)</f>
        <v>0</v>
      </c>
      <c r="J68" s="55">
        <f>_xll.EQNXTDZ($A$1,$B68,J$5,$B$1)</f>
        <v>1052.33</v>
      </c>
      <c r="K68" s="55">
        <f>_xll.EQNXTDZ($A$1,$B68,K$5,$B$1)</f>
        <v>0</v>
      </c>
      <c r="L68" s="55">
        <f>_xll.EQNXTDZ($A$1,$B68,L$5,$B$1)</f>
        <v>1075.29</v>
      </c>
      <c r="M68" s="55">
        <f>_xll.EQNXTDZ($A$1,$B68,M$5,$B$1)</f>
        <v>0</v>
      </c>
      <c r="N68" s="55">
        <f>_xll.EQNXTDZ($A$1,$B68,N$5,$B$1)</f>
        <v>1076.74</v>
      </c>
      <c r="O68" s="55">
        <f>_xll.EQNXTDZ($A$1,$B68,O$5,$B$1)</f>
        <v>0</v>
      </c>
      <c r="P68" s="55">
        <f>_xll.EQNXTDZ($A$1,$B68,P$5,$B$1)</f>
        <v>1098.3499999999999</v>
      </c>
      <c r="Q68" s="55">
        <f>_xll.EQNXTDZ($A$1,$B68,Q$5,$B$1)</f>
        <v>0</v>
      </c>
      <c r="R68" s="55">
        <f>_xll.EQNXTDZ($A$1,$B68,R$5,$B$1)</f>
        <v>958.55</v>
      </c>
      <c r="S68" s="55">
        <f>_xll.EQNXTDZ($A$1,$B68,S$5,$B$1)</f>
        <v>0</v>
      </c>
      <c r="T68" s="55">
        <f>_xll.EQNXTDZ($A$1,$B68,T$5,$B$1)</f>
        <v>926.78</v>
      </c>
      <c r="U68" s="55">
        <f>_xll.EQNXTDZ($A$1,$B68,U$5,$B$1)</f>
        <v>0</v>
      </c>
      <c r="V68" s="55">
        <f>_xll.EQNXTDZ($A$1,$B68,V$5,$B$1)</f>
        <v>1012.97</v>
      </c>
      <c r="W68" s="55">
        <f>_xll.EQNXTDZ($A$1,$B68,W$5,$B$1)</f>
        <v>0</v>
      </c>
      <c r="X68" s="55">
        <f>_xll.EQNXTDZ($A$1,$B68,X$5,$B$1)</f>
        <v>998.15</v>
      </c>
      <c r="Y68" s="55">
        <f>_xll.EQNXTDZ($A$1,$B68,Y$5,$B$1)</f>
        <v>0</v>
      </c>
      <c r="Z68" s="55">
        <f>_xll.EQNXTDZ($A$1,$B68,Z$5,$B$1)</f>
        <v>1029.99</v>
      </c>
      <c r="AA68" s="55">
        <f>_xll.EQNXTDZ($A$1,$B68,AA$5,$B$1)</f>
        <v>0</v>
      </c>
      <c r="AB68" s="55">
        <f>_xll.EQNXTDZ($A$1,$B68,AB$5,$B$1)</f>
        <v>1054.07</v>
      </c>
      <c r="AC68" s="55">
        <f>_xll.EQNXTDZ($A$1,$B68,AC$5,$B$1)</f>
        <v>0</v>
      </c>
      <c r="AD68" s="55">
        <f>_xll.EQNXTDZ($A$1,$B68,AD$5,$B$1)</f>
        <v>1087.75</v>
      </c>
      <c r="AE68" s="55">
        <f>_xll.EQNXTDZ($A$1,$B68,AE$5,$B$1)</f>
        <v>0</v>
      </c>
      <c r="AF68" s="55">
        <f>_xll.EQNXTDZ($A$1,$B68,AF$5,$B$1)</f>
        <v>1530.84</v>
      </c>
      <c r="AG68" s="55">
        <f>_xll.EQNXTDZ($A$1,$B68,AG$5,$B$1)</f>
        <v>0</v>
      </c>
      <c r="AH68" s="55">
        <f>_xll.EQNXTDZ($A$1,$B68,AH$5,$B$1)</f>
        <v>3986.5</v>
      </c>
      <c r="AI68" s="55">
        <f>_xll.EQNXTDZ($A$1,$B68,AI$5,$B$1)</f>
        <v>0</v>
      </c>
      <c r="AJ68" s="55">
        <f>_xll.EQNXTDZ($A$1,$B68,AJ$5,$B$1)</f>
        <v>3933.17</v>
      </c>
      <c r="AK68" s="55">
        <f>_xll.EQNXTDZ($A$1,$B68,AK$5,$B$1)</f>
        <v>0</v>
      </c>
      <c r="AL68" s="55">
        <f>_xll.EQNXTDZ($A$1,$B68,AL$5,$B$1)</f>
        <v>4026.66</v>
      </c>
      <c r="AM68" s="55">
        <f>_xll.EQNXTDZ($A$1,$B68,AM$5,$B$1)</f>
        <v>0</v>
      </c>
      <c r="AN68" s="55">
        <f>_xll.EQNXTDZ($A$1,$B68,AN$5,$B$1)</f>
        <v>4036.79</v>
      </c>
      <c r="AO68" s="55">
        <f>_xll.EQNXTDZ($A$1,$B68,AO$5,$B$1)</f>
        <v>0</v>
      </c>
      <c r="AP68" s="55">
        <f>_xll.EQNXTDZ($A$1,$B68,AP$5,$B$1)</f>
        <v>4272.24</v>
      </c>
      <c r="AQ68" s="55">
        <f>_xll.EQNXTDZ($A$1,$B68,AQ$5,$B$1)</f>
        <v>0</v>
      </c>
      <c r="AR68" s="55">
        <f>_xll.EQNXTDZ($A$1,$B68,AR$5,$B$1)</f>
        <v>4274.87</v>
      </c>
      <c r="AS68" s="55">
        <f>_xll.EQNXTDZ($A$1,$B68,AS$5,$B$1)</f>
        <v>0</v>
      </c>
      <c r="AT68" s="55">
        <f>_xll.EQNXTDZ($A$1,$B68,AT$5,$B$1)</f>
        <v>4454.6400000000003</v>
      </c>
      <c r="AU68" s="55">
        <f>_xll.EQNXTDZ($A$1,$B68,AU$5,$B$1)</f>
        <v>0</v>
      </c>
      <c r="AV68" s="55">
        <f>_xll.EQNXTDZ($A$1,$B68,AV$5,$B$1)</f>
        <v>4525.99</v>
      </c>
      <c r="AW68" s="55">
        <f>_xll.EQNXTDZ($A$1,$B68,AW$5,$B$1)</f>
        <v>0</v>
      </c>
      <c r="AX68" s="55">
        <f>_xll.EQNXTDZ($A$1,$B68,AX$5,$B$1)</f>
        <v>8321.2000000000007</v>
      </c>
      <c r="AY68" s="55">
        <f>_xll.EQNXTDZ($A$1,$B68,AY$5,$B$1)</f>
        <v>0</v>
      </c>
      <c r="AZ68" s="55">
        <f>_xll.EQNXTDZ($A$1,$B68,AZ$5,$B$1)</f>
        <v>9629.07</v>
      </c>
      <c r="BA68" s="55">
        <f>_xll.EQNXTDZ($A$1,$B68,BA$5,$B$1)</f>
        <v>0</v>
      </c>
      <c r="BB68" s="55">
        <f>_xll.EQNXTDZ($A$1,$B68,BB$5,$B$1)</f>
        <v>9435.51</v>
      </c>
      <c r="BC68" s="55">
        <f>_xll.EQNXTDZ($A$1,$B68,BC$5,$B$1)</f>
        <v>0</v>
      </c>
      <c r="BD68" s="55">
        <f>_xll.EQNXTDZ($A$1,$B68,BD$5,$B$1)</f>
        <v>9540.8799999999992</v>
      </c>
      <c r="BE68" s="55">
        <f>_xll.EQNXTDZ($A$1,$B68,BE$5,$B$1)</f>
        <v>0</v>
      </c>
      <c r="BF68" s="55">
        <f>_xll.EQNXTDZ($A$1,$B68,BF$5,$B$1)</f>
        <v>9294.2999999999993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845.97</v>
      </c>
      <c r="E71" s="55">
        <f>_xll.EQNXTDZ($A$1,$B71,E$5,$B$1)</f>
        <v>0</v>
      </c>
      <c r="F71" s="55">
        <f>_xll.EQNXTDZ($A$1,$B71,F$5,$B$1)</f>
        <v>926.89</v>
      </c>
      <c r="G71" s="55">
        <f>_xll.EQNXTDZ($A$1,$B71,G$5,$B$1)</f>
        <v>0</v>
      </c>
      <c r="H71" s="55">
        <f>_xll.EQNXTDZ($A$1,$B71,H$5,$B$1)</f>
        <v>1028.47</v>
      </c>
      <c r="I71" s="55">
        <f>_xll.EQNXTDZ($A$1,$B71,I$5,$B$1)</f>
        <v>0</v>
      </c>
      <c r="J71" s="55">
        <f>_xll.EQNXTDZ($A$1,$B71,J$5,$B$1)</f>
        <v>1052.33</v>
      </c>
      <c r="K71" s="55">
        <f>_xll.EQNXTDZ($A$1,$B71,K$5,$B$1)</f>
        <v>0</v>
      </c>
      <c r="L71" s="55">
        <f>_xll.EQNXTDZ($A$1,$B71,L$5,$B$1)</f>
        <v>1075.29</v>
      </c>
      <c r="M71" s="55">
        <f>_xll.EQNXTDZ($A$1,$B71,M$5,$B$1)</f>
        <v>0</v>
      </c>
      <c r="N71" s="55">
        <f>_xll.EQNXTDZ($A$1,$B71,N$5,$B$1)</f>
        <v>1076.74</v>
      </c>
      <c r="O71" s="55">
        <f>_xll.EQNXTDZ($A$1,$B71,O$5,$B$1)</f>
        <v>0</v>
      </c>
      <c r="P71" s="55">
        <f>_xll.EQNXTDZ($A$1,$B71,P$5,$B$1)</f>
        <v>1098.3499999999999</v>
      </c>
      <c r="Q71" s="55">
        <f>_xll.EQNXTDZ($A$1,$B71,Q$5,$B$1)</f>
        <v>0</v>
      </c>
      <c r="R71" s="55">
        <f>_xll.EQNXTDZ($A$1,$B71,R$5,$B$1)</f>
        <v>958.55</v>
      </c>
      <c r="S71" s="55">
        <f>_xll.EQNXTDZ($A$1,$B71,S$5,$B$1)</f>
        <v>0</v>
      </c>
      <c r="T71" s="55">
        <f>_xll.EQNXTDZ($A$1,$B71,T$5,$B$1)</f>
        <v>926.78</v>
      </c>
      <c r="U71" s="55">
        <f>_xll.EQNXTDZ($A$1,$B71,U$5,$B$1)</f>
        <v>0</v>
      </c>
      <c r="V71" s="55">
        <f>_xll.EQNXTDZ($A$1,$B71,V$5,$B$1)</f>
        <v>1012.97</v>
      </c>
      <c r="W71" s="55">
        <f>_xll.EQNXTDZ($A$1,$B71,W$5,$B$1)</f>
        <v>0</v>
      </c>
      <c r="X71" s="55">
        <f>_xll.EQNXTDZ($A$1,$B71,X$5,$B$1)</f>
        <v>998.15</v>
      </c>
      <c r="Y71" s="55">
        <f>_xll.EQNXTDZ($A$1,$B71,Y$5,$B$1)</f>
        <v>0</v>
      </c>
      <c r="Z71" s="55">
        <f>_xll.EQNXTDZ($A$1,$B71,Z$5,$B$1)</f>
        <v>1029.99</v>
      </c>
      <c r="AA71" s="55">
        <f>_xll.EQNXTDZ($A$1,$B71,AA$5,$B$1)</f>
        <v>0</v>
      </c>
      <c r="AB71" s="55">
        <f>_xll.EQNXTDZ($A$1,$B71,AB$5,$B$1)</f>
        <v>1054.07</v>
      </c>
      <c r="AC71" s="55">
        <f>_xll.EQNXTDZ($A$1,$B71,AC$5,$B$1)</f>
        <v>0</v>
      </c>
      <c r="AD71" s="55">
        <f>_xll.EQNXTDZ($A$1,$B71,AD$5,$B$1)</f>
        <v>1087.75</v>
      </c>
      <c r="AE71" s="55">
        <f>_xll.EQNXTDZ($A$1,$B71,AE$5,$B$1)</f>
        <v>0</v>
      </c>
      <c r="AF71" s="55">
        <f>_xll.EQNXTDZ($A$1,$B71,AF$5,$B$1)</f>
        <v>1530.84</v>
      </c>
      <c r="AG71" s="55">
        <f>_xll.EQNXTDZ($A$1,$B71,AG$5,$B$1)</f>
        <v>0</v>
      </c>
      <c r="AH71" s="55">
        <f>_xll.EQNXTDZ($A$1,$B71,AH$5,$B$1)</f>
        <v>3986.5</v>
      </c>
      <c r="AI71" s="55">
        <f>_xll.EQNXTDZ($A$1,$B71,AI$5,$B$1)</f>
        <v>0</v>
      </c>
      <c r="AJ71" s="55">
        <f>_xll.EQNXTDZ($A$1,$B71,AJ$5,$B$1)</f>
        <v>3933.17</v>
      </c>
      <c r="AK71" s="55">
        <f>_xll.EQNXTDZ($A$1,$B71,AK$5,$B$1)</f>
        <v>0</v>
      </c>
      <c r="AL71" s="55">
        <f>_xll.EQNXTDZ($A$1,$B71,AL$5,$B$1)</f>
        <v>4026.66</v>
      </c>
      <c r="AM71" s="55">
        <f>_xll.EQNXTDZ($A$1,$B71,AM$5,$B$1)</f>
        <v>0</v>
      </c>
      <c r="AN71" s="55">
        <f>_xll.EQNXTDZ($A$1,$B71,AN$5,$B$1)</f>
        <v>4036.79</v>
      </c>
      <c r="AO71" s="55">
        <f>_xll.EQNXTDZ($A$1,$B71,AO$5,$B$1)</f>
        <v>0</v>
      </c>
      <c r="AP71" s="55">
        <f>_xll.EQNXTDZ($A$1,$B71,AP$5,$B$1)</f>
        <v>4272.24</v>
      </c>
      <c r="AQ71" s="55">
        <f>_xll.EQNXTDZ($A$1,$B71,AQ$5,$B$1)</f>
        <v>0</v>
      </c>
      <c r="AR71" s="55">
        <f>_xll.EQNXTDZ($A$1,$B71,AR$5,$B$1)</f>
        <v>4274.87</v>
      </c>
      <c r="AS71" s="55">
        <f>_xll.EQNXTDZ($A$1,$B71,AS$5,$B$1)</f>
        <v>0</v>
      </c>
      <c r="AT71" s="55">
        <f>_xll.EQNXTDZ($A$1,$B71,AT$5,$B$1)</f>
        <v>4454.6400000000003</v>
      </c>
      <c r="AU71" s="55">
        <f>_xll.EQNXTDZ($A$1,$B71,AU$5,$B$1)</f>
        <v>0</v>
      </c>
      <c r="AV71" s="55">
        <f>_xll.EQNXTDZ($A$1,$B71,AV$5,$B$1)</f>
        <v>4525.99</v>
      </c>
      <c r="AW71" s="55">
        <f>_xll.EQNXTDZ($A$1,$B71,AW$5,$B$1)</f>
        <v>0</v>
      </c>
      <c r="AX71" s="55">
        <f>_xll.EQNXTDZ($A$1,$B71,AX$5,$B$1)</f>
        <v>8321.2000000000007</v>
      </c>
      <c r="AY71" s="55">
        <f>_xll.EQNXTDZ($A$1,$B71,AY$5,$B$1)</f>
        <v>0</v>
      </c>
      <c r="AZ71" s="55">
        <f>_xll.EQNXTDZ($A$1,$B71,AZ$5,$B$1)</f>
        <v>9629.07</v>
      </c>
      <c r="BA71" s="55">
        <f>_xll.EQNXTDZ($A$1,$B71,BA$5,$B$1)</f>
        <v>0</v>
      </c>
      <c r="BB71" s="55">
        <f>_xll.EQNXTDZ($A$1,$B71,BB$5,$B$1)</f>
        <v>9435.51</v>
      </c>
      <c r="BC71" s="55">
        <f>_xll.EQNXTDZ($A$1,$B71,BC$5,$B$1)</f>
        <v>0</v>
      </c>
      <c r="BD71" s="55">
        <f>_xll.EQNXTDZ($A$1,$B71,BD$5,$B$1)</f>
        <v>9540.8799999999992</v>
      </c>
      <c r="BE71" s="55">
        <f>_xll.EQNXTDZ($A$1,$B71,BE$5,$B$1)</f>
        <v>0</v>
      </c>
      <c r="BF71" s="55">
        <f>_xll.EQNXTDZ($A$1,$B71,BF$5,$B$1)</f>
        <v>9294.2999999999993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3655.14</v>
      </c>
      <c r="E72" s="55">
        <f>_xll.EQNXTDZ($A$1,$B72,E$5,$B$1)</f>
        <v>0</v>
      </c>
      <c r="F72" s="55">
        <f>_xll.EQNXTDZ($A$1,$B72,F$5,$B$1)</f>
        <v>3598.12</v>
      </c>
      <c r="G72" s="55">
        <f>_xll.EQNXTDZ($A$1,$B72,G$5,$B$1)</f>
        <v>0</v>
      </c>
      <c r="H72" s="55">
        <f>_xll.EQNXTDZ($A$1,$B72,H$5,$B$1)</f>
        <v>4280.78</v>
      </c>
      <c r="I72" s="55">
        <f>_xll.EQNXTDZ($A$1,$B72,I$5,$B$1)</f>
        <v>0</v>
      </c>
      <c r="J72" s="55">
        <f>_xll.EQNXTDZ($A$1,$B72,J$5,$B$1)</f>
        <v>4188.24</v>
      </c>
      <c r="K72" s="55">
        <f>_xll.EQNXTDZ($A$1,$B72,K$5,$B$1)</f>
        <v>0</v>
      </c>
      <c r="L72" s="55">
        <f>_xll.EQNXTDZ($A$1,$B72,L$5,$B$1)</f>
        <v>4290.41</v>
      </c>
      <c r="M72" s="55">
        <f>_xll.EQNXTDZ($A$1,$B72,M$5,$B$1)</f>
        <v>0</v>
      </c>
      <c r="N72" s="55">
        <f>_xll.EQNXTDZ($A$1,$B72,N$5,$B$1)</f>
        <v>3892.12</v>
      </c>
      <c r="O72" s="55">
        <f>_xll.EQNXTDZ($A$1,$B72,O$5,$B$1)</f>
        <v>0</v>
      </c>
      <c r="P72" s="55">
        <f>_xll.EQNXTDZ($A$1,$B72,P$5,$B$1)</f>
        <v>4066.16</v>
      </c>
      <c r="Q72" s="55">
        <f>_xll.EQNXTDZ($A$1,$B72,Q$5,$B$1)</f>
        <v>0</v>
      </c>
      <c r="R72" s="55">
        <f>_xll.EQNXTDZ($A$1,$B72,R$5,$B$1)</f>
        <v>3709.55</v>
      </c>
      <c r="S72" s="55">
        <f>_xll.EQNXTDZ($A$1,$B72,S$5,$B$1)</f>
        <v>0</v>
      </c>
      <c r="T72" s="55">
        <f>_xll.EQNXTDZ($A$1,$B72,T$5,$B$1)</f>
        <v>3405.31</v>
      </c>
      <c r="U72" s="55">
        <f>_xll.EQNXTDZ($A$1,$B72,U$5,$B$1)</f>
        <v>0</v>
      </c>
      <c r="V72" s="55">
        <f>_xll.EQNXTDZ($A$1,$B72,V$5,$B$1)</f>
        <v>3497.91</v>
      </c>
      <c r="W72" s="55">
        <f>_xll.EQNXTDZ($A$1,$B72,W$5,$B$1)</f>
        <v>0</v>
      </c>
      <c r="X72" s="55">
        <f>_xll.EQNXTDZ($A$1,$B72,X$5,$B$1)</f>
        <v>3666.44</v>
      </c>
      <c r="Y72" s="55">
        <f>_xll.EQNXTDZ($A$1,$B72,Y$5,$B$1)</f>
        <v>0</v>
      </c>
      <c r="Z72" s="55">
        <f>_xll.EQNXTDZ($A$1,$B72,Z$5,$B$1)</f>
        <v>3723.5</v>
      </c>
      <c r="AA72" s="55">
        <f>_xll.EQNXTDZ($A$1,$B72,AA$5,$B$1)</f>
        <v>0</v>
      </c>
      <c r="AB72" s="55">
        <f>_xll.EQNXTDZ($A$1,$B72,AB$5,$B$1)</f>
        <v>3978.99</v>
      </c>
      <c r="AC72" s="55">
        <f>_xll.EQNXTDZ($A$1,$B72,AC$5,$B$1)</f>
        <v>0</v>
      </c>
      <c r="AD72" s="55">
        <f>_xll.EQNXTDZ($A$1,$B72,AD$5,$B$1)</f>
        <v>3785.07</v>
      </c>
      <c r="AE72" s="55">
        <f>_xll.EQNXTDZ($A$1,$B72,AE$5,$B$1)</f>
        <v>0</v>
      </c>
      <c r="AF72" s="55">
        <f>_xll.EQNXTDZ($A$1,$B72,AF$5,$B$1)</f>
        <v>3799.33</v>
      </c>
      <c r="AG72" s="55">
        <f>_xll.EQNXTDZ($A$1,$B72,AG$5,$B$1)</f>
        <v>0</v>
      </c>
      <c r="AH72" s="55">
        <f>_xll.EQNXTDZ($A$1,$B72,AH$5,$B$1)</f>
        <v>7333.83</v>
      </c>
      <c r="AI72" s="55">
        <f>_xll.EQNXTDZ($A$1,$B72,AI$5,$B$1)</f>
        <v>0</v>
      </c>
      <c r="AJ72" s="55">
        <f>_xll.EQNXTDZ($A$1,$B72,AJ$5,$B$1)</f>
        <v>7426.8</v>
      </c>
      <c r="AK72" s="55">
        <f>_xll.EQNXTDZ($A$1,$B72,AK$5,$B$1)</f>
        <v>0</v>
      </c>
      <c r="AL72" s="55">
        <f>_xll.EQNXTDZ($A$1,$B72,AL$5,$B$1)</f>
        <v>7596.57</v>
      </c>
      <c r="AM72" s="55">
        <f>_xll.EQNXTDZ($A$1,$B72,AM$5,$B$1)</f>
        <v>0</v>
      </c>
      <c r="AN72" s="55">
        <f>_xll.EQNXTDZ($A$1,$B72,AN$5,$B$1)</f>
        <v>7601.22</v>
      </c>
      <c r="AO72" s="55">
        <f>_xll.EQNXTDZ($A$1,$B72,AO$5,$B$1)</f>
        <v>0</v>
      </c>
      <c r="AP72" s="55">
        <f>_xll.EQNXTDZ($A$1,$B72,AP$5,$B$1)</f>
        <v>7754.11</v>
      </c>
      <c r="AQ72" s="55">
        <f>_xll.EQNXTDZ($A$1,$B72,AQ$5,$B$1)</f>
        <v>0</v>
      </c>
      <c r="AR72" s="55">
        <f>_xll.EQNXTDZ($A$1,$B72,AR$5,$B$1)</f>
        <v>7687.34</v>
      </c>
      <c r="AS72" s="55">
        <f>_xll.EQNXTDZ($A$1,$B72,AS$5,$B$1)</f>
        <v>0</v>
      </c>
      <c r="AT72" s="55">
        <f>_xll.EQNXTDZ($A$1,$B72,AT$5,$B$1)</f>
        <v>8025.38</v>
      </c>
      <c r="AU72" s="55">
        <f>_xll.EQNXTDZ($A$1,$B72,AU$5,$B$1)</f>
        <v>0</v>
      </c>
      <c r="AV72" s="55">
        <f>_xll.EQNXTDZ($A$1,$B72,AV$5,$B$1)</f>
        <v>8050.97</v>
      </c>
      <c r="AW72" s="55">
        <f>_xll.EQNXTDZ($A$1,$B72,AW$5,$B$1)</f>
        <v>0</v>
      </c>
      <c r="AX72" s="55">
        <f>_xll.EQNXTDZ($A$1,$B72,AX$5,$B$1)</f>
        <v>10334.280000000001</v>
      </c>
      <c r="AY72" s="55">
        <f>_xll.EQNXTDZ($A$1,$B72,AY$5,$B$1)</f>
        <v>0</v>
      </c>
      <c r="AZ72" s="55">
        <f>_xll.EQNXTDZ($A$1,$B72,AZ$5,$B$1)</f>
        <v>11349.19</v>
      </c>
      <c r="BA72" s="55">
        <f>_xll.EQNXTDZ($A$1,$B72,BA$5,$B$1)</f>
        <v>0</v>
      </c>
      <c r="BB72" s="55">
        <f>_xll.EQNXTDZ($A$1,$B72,BB$5,$B$1)</f>
        <v>11330.42</v>
      </c>
      <c r="BC72" s="55">
        <f>_xll.EQNXTDZ($A$1,$B72,BC$5,$B$1)</f>
        <v>0</v>
      </c>
      <c r="BD72" s="55">
        <f>_xll.EQNXTDZ($A$1,$B72,BD$5,$B$1)</f>
        <v>11608.45</v>
      </c>
      <c r="BE72" s="55">
        <f>_xll.EQNXTDZ($A$1,$B72,BE$5,$B$1)</f>
        <v>0</v>
      </c>
      <c r="BF72" s="55">
        <f>_xll.EQNXTDZ($A$1,$B72,BF$5,$B$1)</f>
        <v>11883.9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33.119999999999997</v>
      </c>
      <c r="S74" s="55">
        <f>_xll.EQNXTDZ($A$1,$B74,S$5,$B$1)</f>
        <v>0</v>
      </c>
      <c r="T74" s="55">
        <f>_xll.EQNXTDZ($A$1,$B74,T$5,$B$1)</f>
        <v>40.81</v>
      </c>
      <c r="U74" s="55">
        <f>_xll.EQNXTDZ($A$1,$B74,U$5,$B$1)</f>
        <v>0</v>
      </c>
      <c r="V74" s="55">
        <f>_xll.EQNXTDZ($A$1,$B74,V$5,$B$1)</f>
        <v>56.24</v>
      </c>
      <c r="W74" s="55">
        <f>_xll.EQNXTDZ($A$1,$B74,W$5,$B$1)</f>
        <v>0</v>
      </c>
      <c r="X74" s="55">
        <f>_xll.EQNXTDZ($A$1,$B74,X$5,$B$1)</f>
        <v>72.27</v>
      </c>
      <c r="Y74" s="55">
        <f>_xll.EQNXTDZ($A$1,$B74,Y$5,$B$1)</f>
        <v>0</v>
      </c>
      <c r="Z74" s="55">
        <f>_xll.EQNXTDZ($A$1,$B74,Z$5,$B$1)</f>
        <v>129.52000000000001</v>
      </c>
      <c r="AA74" s="55">
        <f>_xll.EQNXTDZ($A$1,$B74,AA$5,$B$1)</f>
        <v>0</v>
      </c>
      <c r="AB74" s="55">
        <f>_xll.EQNXTDZ($A$1,$B74,AB$5,$B$1)</f>
        <v>427.78</v>
      </c>
      <c r="AC74" s="55">
        <f>_xll.EQNXTDZ($A$1,$B74,AC$5,$B$1)</f>
        <v>0</v>
      </c>
      <c r="AD74" s="55">
        <f>_xll.EQNXTDZ($A$1,$B74,AD$5,$B$1)</f>
        <v>413.3</v>
      </c>
      <c r="AE74" s="55">
        <f>_xll.EQNXTDZ($A$1,$B74,AE$5,$B$1)</f>
        <v>0</v>
      </c>
      <c r="AF74" s="55">
        <f>_xll.EQNXTDZ($A$1,$B74,AF$5,$B$1)</f>
        <v>61.94</v>
      </c>
      <c r="AG74" s="55">
        <f>_xll.EQNXTDZ($A$1,$B74,AG$5,$B$1)</f>
        <v>0</v>
      </c>
      <c r="AH74" s="55">
        <f>_xll.EQNXTDZ($A$1,$B74,AH$5,$B$1)</f>
        <v>87.56</v>
      </c>
      <c r="AI74" s="55">
        <f>_xll.EQNXTDZ($A$1,$B74,AI$5,$B$1)</f>
        <v>0</v>
      </c>
      <c r="AJ74" s="55">
        <f>_xll.EQNXTDZ($A$1,$B74,AJ$5,$B$1)</f>
        <v>80.42</v>
      </c>
      <c r="AK74" s="55">
        <f>_xll.EQNXTDZ($A$1,$B74,AK$5,$B$1)</f>
        <v>0</v>
      </c>
      <c r="AL74" s="55">
        <f>_xll.EQNXTDZ($A$1,$B74,AL$5,$B$1)</f>
        <v>93.17</v>
      </c>
      <c r="AM74" s="55">
        <f>_xll.EQNXTDZ($A$1,$B74,AM$5,$B$1)</f>
        <v>0</v>
      </c>
      <c r="AN74" s="55">
        <f>_xll.EQNXTDZ($A$1,$B74,AN$5,$B$1)</f>
        <v>66.95</v>
      </c>
      <c r="AO74" s="55">
        <f>_xll.EQNXTDZ($A$1,$B74,AO$5,$B$1)</f>
        <v>0</v>
      </c>
      <c r="AP74" s="55">
        <f>_xll.EQNXTDZ($A$1,$B74,AP$5,$B$1)</f>
        <v>209.44</v>
      </c>
      <c r="AQ74" s="55">
        <f>_xll.EQNXTDZ($A$1,$B74,AQ$5,$B$1)</f>
        <v>0</v>
      </c>
      <c r="AR74" s="55">
        <f>_xll.EQNXTDZ($A$1,$B74,AR$5,$B$1)</f>
        <v>245.03</v>
      </c>
      <c r="AS74" s="55">
        <f>_xll.EQNXTDZ($A$1,$B74,AS$5,$B$1)</f>
        <v>0</v>
      </c>
      <c r="AT74" s="55">
        <f>_xll.EQNXTDZ($A$1,$B74,AT$5,$B$1)</f>
        <v>286.10000000000002</v>
      </c>
      <c r="AU74" s="55">
        <f>_xll.EQNXTDZ($A$1,$B74,AU$5,$B$1)</f>
        <v>0</v>
      </c>
      <c r="AV74" s="55">
        <f>_xll.EQNXTDZ($A$1,$B74,AV$5,$B$1)</f>
        <v>215.77</v>
      </c>
      <c r="AW74" s="55">
        <f>_xll.EQNXTDZ($A$1,$B74,AW$5,$B$1)</f>
        <v>0</v>
      </c>
      <c r="AX74" s="55">
        <f>_xll.EQNXTDZ($A$1,$B74,AX$5,$B$1)</f>
        <v>171.39</v>
      </c>
      <c r="AY74" s="55">
        <f>_xll.EQNXTDZ($A$1,$B74,AY$5,$B$1)</f>
        <v>0</v>
      </c>
      <c r="AZ74" s="55">
        <f>_xll.EQNXTDZ($A$1,$B74,AZ$5,$B$1)</f>
        <v>192.77</v>
      </c>
      <c r="BA74" s="55">
        <f>_xll.EQNXTDZ($A$1,$B74,BA$5,$B$1)</f>
        <v>0</v>
      </c>
      <c r="BB74" s="55">
        <f>_xll.EQNXTDZ($A$1,$B74,BB$5,$B$1)</f>
        <v>206.81</v>
      </c>
      <c r="BC74" s="55">
        <f>_xll.EQNXTDZ($A$1,$B74,BC$5,$B$1)</f>
        <v>0</v>
      </c>
      <c r="BD74" s="55">
        <f>_xll.EQNXTDZ($A$1,$B74,BD$5,$B$1)</f>
        <v>253.84</v>
      </c>
      <c r="BE74" s="55">
        <f>_xll.EQNXTDZ($A$1,$B74,BE$5,$B$1)</f>
        <v>0</v>
      </c>
      <c r="BF74" s="55">
        <f>_xll.EQNXTDZ($A$1,$B74,BF$5,$B$1)</f>
        <v>459.9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524.55999999999995</v>
      </c>
      <c r="E77" s="55">
        <f>_xll.EQNXTDZ($A$1,$B77,E$5,$B$1)</f>
        <v>0</v>
      </c>
      <c r="F77" s="55">
        <f>_xll.EQNXTDZ($A$1,$B77,F$5,$B$1)</f>
        <v>576.03</v>
      </c>
      <c r="G77" s="55">
        <f>_xll.EQNXTDZ($A$1,$B77,G$5,$B$1)</f>
        <v>0</v>
      </c>
      <c r="H77" s="55">
        <f>_xll.EQNXTDZ($A$1,$B77,H$5,$B$1)</f>
        <v>580.76</v>
      </c>
      <c r="I77" s="55">
        <f>_xll.EQNXTDZ($A$1,$B77,I$5,$B$1)</f>
        <v>0</v>
      </c>
      <c r="J77" s="55">
        <f>_xll.EQNXTDZ($A$1,$B77,J$5,$B$1)</f>
        <v>607.87</v>
      </c>
      <c r="K77" s="55">
        <f>_xll.EQNXTDZ($A$1,$B77,K$5,$B$1)</f>
        <v>0</v>
      </c>
      <c r="L77" s="55">
        <f>_xll.EQNXTDZ($A$1,$B77,L$5,$B$1)</f>
        <v>595.05999999999995</v>
      </c>
      <c r="M77" s="55">
        <f>_xll.EQNXTDZ($A$1,$B77,M$5,$B$1)</f>
        <v>0</v>
      </c>
      <c r="N77" s="55">
        <f>_xll.EQNXTDZ($A$1,$B77,N$5,$B$1)</f>
        <v>617.76</v>
      </c>
      <c r="O77" s="55">
        <f>_xll.EQNXTDZ($A$1,$B77,O$5,$B$1)</f>
        <v>0</v>
      </c>
      <c r="P77" s="55">
        <f>_xll.EQNXTDZ($A$1,$B77,P$5,$B$1)</f>
        <v>608.74</v>
      </c>
      <c r="Q77" s="55">
        <f>_xll.EQNXTDZ($A$1,$B77,Q$5,$B$1)</f>
        <v>0</v>
      </c>
      <c r="R77" s="55">
        <f>_xll.EQNXTDZ($A$1,$B77,R$5,$B$1)</f>
        <v>1192.6099999999999</v>
      </c>
      <c r="S77" s="55">
        <f>_xll.EQNXTDZ($A$1,$B77,S$5,$B$1)</f>
        <v>0</v>
      </c>
      <c r="T77" s="55">
        <f>_xll.EQNXTDZ($A$1,$B77,T$5,$B$1)</f>
        <v>1393.92</v>
      </c>
      <c r="U77" s="55">
        <f>_xll.EQNXTDZ($A$1,$B77,U$5,$B$1)</f>
        <v>0</v>
      </c>
      <c r="V77" s="55">
        <f>_xll.EQNXTDZ($A$1,$B77,V$5,$B$1)</f>
        <v>1353.35</v>
      </c>
      <c r="W77" s="55">
        <f>_xll.EQNXTDZ($A$1,$B77,W$5,$B$1)</f>
        <v>0</v>
      </c>
      <c r="X77" s="55">
        <f>_xll.EQNXTDZ($A$1,$B77,X$5,$B$1)</f>
        <v>764.8</v>
      </c>
      <c r="Y77" s="55">
        <f>_xll.EQNXTDZ($A$1,$B77,Y$5,$B$1)</f>
        <v>0</v>
      </c>
      <c r="Z77" s="55">
        <f>_xll.EQNXTDZ($A$1,$B77,Z$5,$B$1)</f>
        <v>643.13</v>
      </c>
      <c r="AA77" s="55">
        <f>_xll.EQNXTDZ($A$1,$B77,AA$5,$B$1)</f>
        <v>0</v>
      </c>
      <c r="AB77" s="55">
        <f>_xll.EQNXTDZ($A$1,$B77,AB$5,$B$1)</f>
        <v>719.71</v>
      </c>
      <c r="AC77" s="55">
        <f>_xll.EQNXTDZ($A$1,$B77,AC$5,$B$1)</f>
        <v>0</v>
      </c>
      <c r="AD77" s="55">
        <f>_xll.EQNXTDZ($A$1,$B77,AD$5,$B$1)</f>
        <v>656.1</v>
      </c>
      <c r="AE77" s="55">
        <f>_xll.EQNXTDZ($A$1,$B77,AE$5,$B$1)</f>
        <v>0</v>
      </c>
      <c r="AF77" s="55">
        <f>_xll.EQNXTDZ($A$1,$B77,AF$5,$B$1)</f>
        <v>675.35</v>
      </c>
      <c r="AG77" s="55">
        <f>_xll.EQNXTDZ($A$1,$B77,AG$5,$B$1)</f>
        <v>0</v>
      </c>
      <c r="AH77" s="55">
        <f>_xll.EQNXTDZ($A$1,$B77,AH$5,$B$1)</f>
        <v>539.34</v>
      </c>
      <c r="AI77" s="55">
        <f>_xll.EQNXTDZ($A$1,$B77,AI$5,$B$1)</f>
        <v>0</v>
      </c>
      <c r="AJ77" s="55">
        <f>_xll.EQNXTDZ($A$1,$B77,AJ$5,$B$1)</f>
        <v>624.79</v>
      </c>
      <c r="AK77" s="55">
        <f>_xll.EQNXTDZ($A$1,$B77,AK$5,$B$1)</f>
        <v>0</v>
      </c>
      <c r="AL77" s="55">
        <f>_xll.EQNXTDZ($A$1,$B77,AL$5,$B$1)</f>
        <v>515.9</v>
      </c>
      <c r="AM77" s="55">
        <f>_xll.EQNXTDZ($A$1,$B77,AM$5,$B$1)</f>
        <v>0</v>
      </c>
      <c r="AN77" s="55">
        <f>_xll.EQNXTDZ($A$1,$B77,AN$5,$B$1)</f>
        <v>709.78</v>
      </c>
      <c r="AO77" s="55">
        <f>_xll.EQNXTDZ($A$1,$B77,AO$5,$B$1)</f>
        <v>0</v>
      </c>
      <c r="AP77" s="55">
        <f>_xll.EQNXTDZ($A$1,$B77,AP$5,$B$1)</f>
        <v>831.34</v>
      </c>
      <c r="AQ77" s="55">
        <f>_xll.EQNXTDZ($A$1,$B77,AQ$5,$B$1)</f>
        <v>0</v>
      </c>
      <c r="AR77" s="55">
        <f>_xll.EQNXTDZ($A$1,$B77,AR$5,$B$1)</f>
        <v>907.41</v>
      </c>
      <c r="AS77" s="55">
        <f>_xll.EQNXTDZ($A$1,$B77,AS$5,$B$1)</f>
        <v>0</v>
      </c>
      <c r="AT77" s="55">
        <f>_xll.EQNXTDZ($A$1,$B77,AT$5,$B$1)</f>
        <v>893.01</v>
      </c>
      <c r="AU77" s="55">
        <f>_xll.EQNXTDZ($A$1,$B77,AU$5,$B$1)</f>
        <v>0</v>
      </c>
      <c r="AV77" s="55">
        <f>_xll.EQNXTDZ($A$1,$B77,AV$5,$B$1)</f>
        <v>894.29</v>
      </c>
      <c r="AW77" s="55">
        <f>_xll.EQNXTDZ($A$1,$B77,AW$5,$B$1)</f>
        <v>0</v>
      </c>
      <c r="AX77" s="55">
        <f>_xll.EQNXTDZ($A$1,$B77,AX$5,$B$1)</f>
        <v>846.69</v>
      </c>
      <c r="AY77" s="55">
        <f>_xll.EQNXTDZ($A$1,$B77,AY$5,$B$1)</f>
        <v>0</v>
      </c>
      <c r="AZ77" s="55">
        <f>_xll.EQNXTDZ($A$1,$B77,AZ$5,$B$1)</f>
        <v>902.45</v>
      </c>
      <c r="BA77" s="55">
        <f>_xll.EQNXTDZ($A$1,$B77,BA$5,$B$1)</f>
        <v>0</v>
      </c>
      <c r="BB77" s="55">
        <f>_xll.EQNXTDZ($A$1,$B77,BB$5,$B$1)</f>
        <v>890.03</v>
      </c>
      <c r="BC77" s="55">
        <f>_xll.EQNXTDZ($A$1,$B77,BC$5,$B$1)</f>
        <v>0</v>
      </c>
      <c r="BD77" s="55">
        <f>_xll.EQNXTDZ($A$1,$B77,BD$5,$B$1)</f>
        <v>733.27</v>
      </c>
      <c r="BE77" s="55">
        <f>_xll.EQNXTDZ($A$1,$B77,BE$5,$B$1)</f>
        <v>0</v>
      </c>
      <c r="BF77" s="55">
        <f>_xll.EQNXTDZ($A$1,$B77,BF$5,$B$1)</f>
        <v>788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92.62</v>
      </c>
      <c r="E78" s="55">
        <f>_xll.EQNXTDZ($A$1,$B78,E$5,$B$1)</f>
        <v>0</v>
      </c>
      <c r="F78" s="55">
        <f>_xll.EQNXTDZ($A$1,$B78,F$5,$B$1)</f>
        <v>83.64</v>
      </c>
      <c r="G78" s="55">
        <f>_xll.EQNXTDZ($A$1,$B78,G$5,$B$1)</f>
        <v>0</v>
      </c>
      <c r="H78" s="55">
        <f>_xll.EQNXTDZ($A$1,$B78,H$5,$B$1)</f>
        <v>196.97</v>
      </c>
      <c r="I78" s="55">
        <f>_xll.EQNXTDZ($A$1,$B78,I$5,$B$1)</f>
        <v>0</v>
      </c>
      <c r="J78" s="55">
        <f>_xll.EQNXTDZ($A$1,$B78,J$5,$B$1)</f>
        <v>135.79</v>
      </c>
      <c r="K78" s="55">
        <f>_xll.EQNXTDZ($A$1,$B78,K$5,$B$1)</f>
        <v>0</v>
      </c>
      <c r="L78" s="55">
        <f>_xll.EQNXTDZ($A$1,$B78,L$5,$B$1)</f>
        <v>172.38</v>
      </c>
      <c r="M78" s="55">
        <f>_xll.EQNXTDZ($A$1,$B78,M$5,$B$1)</f>
        <v>0</v>
      </c>
      <c r="N78" s="55">
        <f>_xll.EQNXTDZ($A$1,$B78,N$5,$B$1)</f>
        <v>189.32</v>
      </c>
      <c r="O78" s="55">
        <f>_xll.EQNXTDZ($A$1,$B78,O$5,$B$1)</f>
        <v>0</v>
      </c>
      <c r="P78" s="55">
        <f>_xll.EQNXTDZ($A$1,$B78,P$5,$B$1)</f>
        <v>202.69</v>
      </c>
      <c r="Q78" s="55">
        <f>_xll.EQNXTDZ($A$1,$B78,Q$5,$B$1)</f>
        <v>0</v>
      </c>
      <c r="R78" s="55">
        <f>_xll.EQNXTDZ($A$1,$B78,R$5,$B$1)</f>
        <v>58.72</v>
      </c>
      <c r="S78" s="55">
        <f>_xll.EQNXTDZ($A$1,$B78,S$5,$B$1)</f>
        <v>0</v>
      </c>
      <c r="T78" s="55">
        <f>_xll.EQNXTDZ($A$1,$B78,T$5,$B$1)</f>
        <v>111.78</v>
      </c>
      <c r="U78" s="55">
        <f>_xll.EQNXTDZ($A$1,$B78,U$5,$B$1)</f>
        <v>0</v>
      </c>
      <c r="V78" s="55">
        <f>_xll.EQNXTDZ($A$1,$B78,V$5,$B$1)</f>
        <v>58.7</v>
      </c>
      <c r="W78" s="55">
        <f>_xll.EQNXTDZ($A$1,$B78,W$5,$B$1)</f>
        <v>0</v>
      </c>
      <c r="X78" s="55">
        <f>_xll.EQNXTDZ($A$1,$B78,X$5,$B$1)</f>
        <v>95.33</v>
      </c>
      <c r="Y78" s="55">
        <f>_xll.EQNXTDZ($A$1,$B78,Y$5,$B$1)</f>
        <v>0</v>
      </c>
      <c r="Z78" s="55">
        <f>_xll.EQNXTDZ($A$1,$B78,Z$5,$B$1)</f>
        <v>21.02</v>
      </c>
      <c r="AA78" s="55">
        <f>_xll.EQNXTDZ($A$1,$B78,AA$5,$B$1)</f>
        <v>0</v>
      </c>
      <c r="AB78" s="55">
        <f>_xll.EQNXTDZ($A$1,$B78,AB$5,$B$1)</f>
        <v>19.28</v>
      </c>
      <c r="AC78" s="55">
        <f>_xll.EQNXTDZ($A$1,$B78,AC$5,$B$1)</f>
        <v>0</v>
      </c>
      <c r="AD78" s="55">
        <f>_xll.EQNXTDZ($A$1,$B78,AD$5,$B$1)</f>
        <v>17.09</v>
      </c>
      <c r="AE78" s="55">
        <f>_xll.EQNXTDZ($A$1,$B78,AE$5,$B$1)</f>
        <v>0</v>
      </c>
      <c r="AF78" s="55">
        <f>_xll.EQNXTDZ($A$1,$B78,AF$5,$B$1)</f>
        <v>20.11</v>
      </c>
      <c r="AG78" s="55">
        <f>_xll.EQNXTDZ($A$1,$B78,AG$5,$B$1)</f>
        <v>0</v>
      </c>
      <c r="AH78" s="55">
        <f>_xll.EQNXTDZ($A$1,$B78,AH$5,$B$1)</f>
        <v>22.5</v>
      </c>
      <c r="AI78" s="55">
        <f>_xll.EQNXTDZ($A$1,$B78,AI$5,$B$1)</f>
        <v>0</v>
      </c>
      <c r="AJ78" s="55">
        <f>_xll.EQNXTDZ($A$1,$B78,AJ$5,$B$1)</f>
        <v>22.99</v>
      </c>
      <c r="AK78" s="55">
        <f>_xll.EQNXTDZ($A$1,$B78,AK$5,$B$1)</f>
        <v>0</v>
      </c>
      <c r="AL78" s="55">
        <f>_xll.EQNXTDZ($A$1,$B78,AL$5,$B$1)</f>
        <v>21.87</v>
      </c>
      <c r="AM78" s="55">
        <f>_xll.EQNXTDZ($A$1,$B78,AM$5,$B$1)</f>
        <v>0</v>
      </c>
      <c r="AN78" s="55">
        <f>_xll.EQNXTDZ($A$1,$B78,AN$5,$B$1)</f>
        <v>20.16</v>
      </c>
      <c r="AO78" s="55">
        <f>_xll.EQNXTDZ($A$1,$B78,AO$5,$B$1)</f>
        <v>0</v>
      </c>
      <c r="AP78" s="55">
        <f>_xll.EQNXTDZ($A$1,$B78,AP$5,$B$1)</f>
        <v>14.01</v>
      </c>
      <c r="AQ78" s="55">
        <f>_xll.EQNXTDZ($A$1,$B78,AQ$5,$B$1)</f>
        <v>0</v>
      </c>
      <c r="AR78" s="55">
        <f>_xll.EQNXTDZ($A$1,$B78,AR$5,$B$1)</f>
        <v>14.98</v>
      </c>
      <c r="AS78" s="55">
        <f>_xll.EQNXTDZ($A$1,$B78,AS$5,$B$1)</f>
        <v>0</v>
      </c>
      <c r="AT78" s="55">
        <f>_xll.EQNXTDZ($A$1,$B78,AT$5,$B$1)</f>
        <v>12.52</v>
      </c>
      <c r="AU78" s="55">
        <f>_xll.EQNXTDZ($A$1,$B78,AU$5,$B$1)</f>
        <v>0</v>
      </c>
      <c r="AV78" s="55">
        <f>_xll.EQNXTDZ($A$1,$B78,AV$5,$B$1)</f>
        <v>10.07</v>
      </c>
      <c r="AW78" s="55">
        <f>_xll.EQNXTDZ($A$1,$B78,AW$5,$B$1)</f>
        <v>0</v>
      </c>
      <c r="AX78" s="55">
        <f>_xll.EQNXTDZ($A$1,$B78,AX$5,$B$1)</f>
        <v>6.98</v>
      </c>
      <c r="AY78" s="55">
        <f>_xll.EQNXTDZ($A$1,$B78,AY$5,$B$1)</f>
        <v>0</v>
      </c>
      <c r="AZ78" s="55">
        <f>_xll.EQNXTDZ($A$1,$B78,AZ$5,$B$1)</f>
        <v>4.74</v>
      </c>
      <c r="BA78" s="55">
        <f>_xll.EQNXTDZ($A$1,$B78,BA$5,$B$1)</f>
        <v>0</v>
      </c>
      <c r="BB78" s="55">
        <f>_xll.EQNXTDZ($A$1,$B78,BB$5,$B$1)</f>
        <v>2</v>
      </c>
      <c r="BC78" s="55">
        <f>_xll.EQNXTDZ($A$1,$B78,BC$5,$B$1)</f>
        <v>0</v>
      </c>
      <c r="BD78" s="55">
        <f>_xll.EQNXTDZ($A$1,$B78,BD$5,$B$1)</f>
        <v>0.93</v>
      </c>
      <c r="BE78" s="55">
        <f>_xll.EQNXTDZ($A$1,$B78,BE$5,$B$1)</f>
        <v>0</v>
      </c>
      <c r="BF78" s="55">
        <f>_xll.EQNXTDZ($A$1,$B78,BF$5,$B$1)</f>
        <v>248.39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37.04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5.34</v>
      </c>
      <c r="I79" s="55">
        <f>_xll.EQNXTDZ($A$1,$B79,I$5,$B$1)</f>
        <v>0</v>
      </c>
      <c r="J79" s="55">
        <f>_xll.EQNXTDZ($A$1,$B79,J$5,$B$1)</f>
        <v>70.5</v>
      </c>
      <c r="K79" s="55">
        <f>_xll.EQNXTDZ($A$1,$B79,K$5,$B$1)</f>
        <v>0</v>
      </c>
      <c r="L79" s="55">
        <f>_xll.EQNXTDZ($A$1,$B79,L$5,$B$1)</f>
        <v>70.5</v>
      </c>
      <c r="M79" s="55">
        <f>_xll.EQNXTDZ($A$1,$B79,M$5,$B$1)</f>
        <v>0</v>
      </c>
      <c r="N79" s="55">
        <f>_xll.EQNXTDZ($A$1,$B79,N$5,$B$1)</f>
        <v>70.5</v>
      </c>
      <c r="O79" s="55">
        <f>_xll.EQNXTDZ($A$1,$B79,O$5,$B$1)</f>
        <v>0</v>
      </c>
      <c r="P79" s="55">
        <f>_xll.EQNXTDZ($A$1,$B79,P$5,$B$1)</f>
        <v>70.56</v>
      </c>
      <c r="Q79" s="55">
        <f>_xll.EQNXTDZ($A$1,$B79,Q$5,$B$1)</f>
        <v>0</v>
      </c>
      <c r="R79" s="55">
        <f>_xll.EQNXTDZ($A$1,$B79,R$5,$B$1)</f>
        <v>199.69</v>
      </c>
      <c r="S79" s="55">
        <f>_xll.EQNXTDZ($A$1,$B79,S$5,$B$1)</f>
        <v>0</v>
      </c>
      <c r="T79" s="55">
        <f>_xll.EQNXTDZ($A$1,$B79,T$5,$B$1)</f>
        <v>108.56</v>
      </c>
      <c r="U79" s="55">
        <f>_xll.EQNXTDZ($A$1,$B79,U$5,$B$1)</f>
        <v>0</v>
      </c>
      <c r="V79" s="55">
        <f>_xll.EQNXTDZ($A$1,$B79,V$5,$B$1)</f>
        <v>218.3</v>
      </c>
      <c r="W79" s="55">
        <f>_xll.EQNXTDZ($A$1,$B79,W$5,$B$1)</f>
        <v>0</v>
      </c>
      <c r="X79" s="55">
        <f>_xll.EQNXTDZ($A$1,$B79,X$5,$B$1)</f>
        <v>209.34</v>
      </c>
      <c r="Y79" s="55">
        <f>_xll.EQNXTDZ($A$1,$B79,Y$5,$B$1)</f>
        <v>0</v>
      </c>
      <c r="Z79" s="55">
        <f>_xll.EQNXTDZ($A$1,$B79,Z$5,$B$1)</f>
        <v>378.27</v>
      </c>
      <c r="AA79" s="55">
        <f>_xll.EQNXTDZ($A$1,$B79,AA$5,$B$1)</f>
        <v>0</v>
      </c>
      <c r="AB79" s="55">
        <f>_xll.EQNXTDZ($A$1,$B79,AB$5,$B$1)</f>
        <v>334.87</v>
      </c>
      <c r="AC79" s="55">
        <f>_xll.EQNXTDZ($A$1,$B79,AC$5,$B$1)</f>
        <v>0</v>
      </c>
      <c r="AD79" s="55">
        <f>_xll.EQNXTDZ($A$1,$B79,AD$5,$B$1)</f>
        <v>373.4</v>
      </c>
      <c r="AE79" s="55">
        <f>_xll.EQNXTDZ($A$1,$B79,AE$5,$B$1)</f>
        <v>0</v>
      </c>
      <c r="AF79" s="55">
        <f>_xll.EQNXTDZ($A$1,$B79,AF$5,$B$1)</f>
        <v>602.04999999999995</v>
      </c>
      <c r="AG79" s="55">
        <f>_xll.EQNXTDZ($A$1,$B79,AG$5,$B$1)</f>
        <v>0</v>
      </c>
      <c r="AH79" s="55">
        <f>_xll.EQNXTDZ($A$1,$B79,AH$5,$B$1)</f>
        <v>821.25</v>
      </c>
      <c r="AI79" s="55">
        <f>_xll.EQNXTDZ($A$1,$B79,AI$5,$B$1)</f>
        <v>0</v>
      </c>
      <c r="AJ79" s="55">
        <f>_xll.EQNXTDZ($A$1,$B79,AJ$5,$B$1)</f>
        <v>809.53</v>
      </c>
      <c r="AK79" s="55">
        <f>_xll.EQNXTDZ($A$1,$B79,AK$5,$B$1)</f>
        <v>0</v>
      </c>
      <c r="AL79" s="55">
        <f>_xll.EQNXTDZ($A$1,$B79,AL$5,$B$1)</f>
        <v>915.02</v>
      </c>
      <c r="AM79" s="55">
        <f>_xll.EQNXTDZ($A$1,$B79,AM$5,$B$1)</f>
        <v>0</v>
      </c>
      <c r="AN79" s="55">
        <f>_xll.EQNXTDZ($A$1,$B79,AN$5,$B$1)</f>
        <v>853.93</v>
      </c>
      <c r="AO79" s="55">
        <f>_xll.EQNXTDZ($A$1,$B79,AO$5,$B$1)</f>
        <v>0</v>
      </c>
      <c r="AP79" s="55">
        <f>_xll.EQNXTDZ($A$1,$B79,AP$5,$B$1)</f>
        <v>858.05</v>
      </c>
      <c r="AQ79" s="55">
        <f>_xll.EQNXTDZ($A$1,$B79,AQ$5,$B$1)</f>
        <v>0</v>
      </c>
      <c r="AR79" s="55">
        <f>_xll.EQNXTDZ($A$1,$B79,AR$5,$B$1)</f>
        <v>793.1</v>
      </c>
      <c r="AS79" s="55">
        <f>_xll.EQNXTDZ($A$1,$B79,AS$5,$B$1)</f>
        <v>0</v>
      </c>
      <c r="AT79" s="55">
        <f>_xll.EQNXTDZ($A$1,$B79,AT$5,$B$1)</f>
        <v>782.26</v>
      </c>
      <c r="AU79" s="55">
        <f>_xll.EQNXTDZ($A$1,$B79,AU$5,$B$1)</f>
        <v>0</v>
      </c>
      <c r="AV79" s="55">
        <f>_xll.EQNXTDZ($A$1,$B79,AV$5,$B$1)</f>
        <v>705.57</v>
      </c>
      <c r="AW79" s="55">
        <f>_xll.EQNXTDZ($A$1,$B79,AW$5,$B$1)</f>
        <v>0</v>
      </c>
      <c r="AX79" s="55">
        <f>_xll.EQNXTDZ($A$1,$B79,AX$5,$B$1)</f>
        <v>771.62</v>
      </c>
      <c r="AY79" s="55">
        <f>_xll.EQNXTDZ($A$1,$B79,AY$5,$B$1)</f>
        <v>0</v>
      </c>
      <c r="AZ79" s="55">
        <f>_xll.EQNXTDZ($A$1,$B79,AZ$5,$B$1)</f>
        <v>901.28</v>
      </c>
      <c r="BA79" s="55">
        <f>_xll.EQNXTDZ($A$1,$B79,BA$5,$B$1)</f>
        <v>0</v>
      </c>
      <c r="BB79" s="55">
        <f>_xll.EQNXTDZ($A$1,$B79,BB$5,$B$1)</f>
        <v>996.2</v>
      </c>
      <c r="BC79" s="55">
        <f>_xll.EQNXTDZ($A$1,$B79,BC$5,$B$1)</f>
        <v>0</v>
      </c>
      <c r="BD79" s="55">
        <f>_xll.EQNXTDZ($A$1,$B79,BD$5,$B$1)</f>
        <v>1310.6600000000001</v>
      </c>
      <c r="BE79" s="55">
        <f>_xll.EQNXTDZ($A$1,$B79,BE$5,$B$1)</f>
        <v>0</v>
      </c>
      <c r="BF79" s="55">
        <f>_xll.EQNXTDZ($A$1,$B79,BF$5,$B$1)</f>
        <v>1287.1600000000001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77.22</v>
      </c>
      <c r="E80" s="55">
        <f>_xll.EQNXTDZ($A$1,$B80,E$5,$B$1)</f>
        <v>0</v>
      </c>
      <c r="F80" s="55">
        <f>_xll.EQNXTDZ($A$1,$B80,F$5,$B$1)</f>
        <v>1.91</v>
      </c>
      <c r="G80" s="55">
        <f>_xll.EQNXTDZ($A$1,$B80,G$5,$B$1)</f>
        <v>0</v>
      </c>
      <c r="H80" s="55">
        <f>_xll.EQNXTDZ($A$1,$B80,H$5,$B$1)</f>
        <v>2.4700000000000002</v>
      </c>
      <c r="I80" s="55">
        <f>_xll.EQNXTDZ($A$1,$B80,I$5,$B$1)</f>
        <v>0</v>
      </c>
      <c r="J80" s="55">
        <f>_xll.EQNXTDZ($A$1,$B80,J$5,$B$1)</f>
        <v>3.1</v>
      </c>
      <c r="K80" s="55">
        <f>_xll.EQNXTDZ($A$1,$B80,K$5,$B$1)</f>
        <v>0</v>
      </c>
      <c r="L80" s="55">
        <f>_xll.EQNXTDZ($A$1,$B80,L$5,$B$1)</f>
        <v>3.5</v>
      </c>
      <c r="M80" s="55">
        <f>_xll.EQNXTDZ($A$1,$B80,M$5,$B$1)</f>
        <v>0</v>
      </c>
      <c r="N80" s="55">
        <f>_xll.EQNXTDZ($A$1,$B80,N$5,$B$1)</f>
        <v>4.26</v>
      </c>
      <c r="O80" s="55">
        <f>_xll.EQNXTDZ($A$1,$B80,O$5,$B$1)</f>
        <v>0</v>
      </c>
      <c r="P80" s="55">
        <f>_xll.EQNXTDZ($A$1,$B80,P$5,$B$1)</f>
        <v>30.68</v>
      </c>
      <c r="Q80" s="55">
        <f>_xll.EQNXTDZ($A$1,$B80,Q$5,$B$1)</f>
        <v>0</v>
      </c>
      <c r="R80" s="55">
        <f>_xll.EQNXTDZ($A$1,$B80,R$5,$B$1)</f>
        <v>173.33</v>
      </c>
      <c r="S80" s="55">
        <f>_xll.EQNXTDZ($A$1,$B80,S$5,$B$1)</f>
        <v>0</v>
      </c>
      <c r="T80" s="55">
        <f>_xll.EQNXTDZ($A$1,$B80,T$5,$B$1)</f>
        <v>72.87</v>
      </c>
      <c r="U80" s="55">
        <f>_xll.EQNXTDZ($A$1,$B80,U$5,$B$1)</f>
        <v>0</v>
      </c>
      <c r="V80" s="55">
        <f>_xll.EQNXTDZ($A$1,$B80,V$5,$B$1)</f>
        <v>166.35</v>
      </c>
      <c r="W80" s="55">
        <f>_xll.EQNXTDZ($A$1,$B80,W$5,$B$1)</f>
        <v>0</v>
      </c>
      <c r="X80" s="55">
        <f>_xll.EQNXTDZ($A$1,$B80,X$5,$B$1)</f>
        <v>699.49</v>
      </c>
      <c r="Y80" s="55">
        <f>_xll.EQNXTDZ($A$1,$B80,Y$5,$B$1)</f>
        <v>0</v>
      </c>
      <c r="Z80" s="55">
        <f>_xll.EQNXTDZ($A$1,$B80,Z$5,$B$1)</f>
        <v>568.53</v>
      </c>
      <c r="AA80" s="55">
        <f>_xll.EQNXTDZ($A$1,$B80,AA$5,$B$1)</f>
        <v>0</v>
      </c>
      <c r="AB80" s="55">
        <f>_xll.EQNXTDZ($A$1,$B80,AB$5,$B$1)</f>
        <v>330.96</v>
      </c>
      <c r="AC80" s="55">
        <f>_xll.EQNXTDZ($A$1,$B80,AC$5,$B$1)</f>
        <v>0</v>
      </c>
      <c r="AD80" s="55">
        <f>_xll.EQNXTDZ($A$1,$B80,AD$5,$B$1)</f>
        <v>583.16</v>
      </c>
      <c r="AE80" s="55">
        <f>_xll.EQNXTDZ($A$1,$B80,AE$5,$B$1)</f>
        <v>0</v>
      </c>
      <c r="AF80" s="55">
        <f>_xll.EQNXTDZ($A$1,$B80,AF$5,$B$1)</f>
        <v>280.93</v>
      </c>
      <c r="AG80" s="55">
        <f>_xll.EQNXTDZ($A$1,$B80,AG$5,$B$1)</f>
        <v>0</v>
      </c>
      <c r="AH80" s="55">
        <f>_xll.EQNXTDZ($A$1,$B80,AH$5,$B$1)</f>
        <v>833.55</v>
      </c>
      <c r="AI80" s="55">
        <f>_xll.EQNXTDZ($A$1,$B80,AI$5,$B$1)</f>
        <v>0</v>
      </c>
      <c r="AJ80" s="55">
        <f>_xll.EQNXTDZ($A$1,$B80,AJ$5,$B$1)</f>
        <v>233.86</v>
      </c>
      <c r="AK80" s="55">
        <f>_xll.EQNXTDZ($A$1,$B80,AK$5,$B$1)</f>
        <v>0</v>
      </c>
      <c r="AL80" s="55">
        <f>_xll.EQNXTDZ($A$1,$B80,AL$5,$B$1)</f>
        <v>323.16000000000003</v>
      </c>
      <c r="AM80" s="55">
        <f>_xll.EQNXTDZ($A$1,$B80,AM$5,$B$1)</f>
        <v>0</v>
      </c>
      <c r="AN80" s="55">
        <f>_xll.EQNXTDZ($A$1,$B80,AN$5,$B$1)</f>
        <v>175.38</v>
      </c>
      <c r="AO80" s="55">
        <f>_xll.EQNXTDZ($A$1,$B80,AO$5,$B$1)</f>
        <v>0</v>
      </c>
      <c r="AP80" s="55">
        <f>_xll.EQNXTDZ($A$1,$B80,AP$5,$B$1)</f>
        <v>198.03</v>
      </c>
      <c r="AQ80" s="55">
        <f>_xll.EQNXTDZ($A$1,$B80,AQ$5,$B$1)</f>
        <v>0</v>
      </c>
      <c r="AR80" s="55">
        <f>_xll.EQNXTDZ($A$1,$B80,AR$5,$B$1)</f>
        <v>362.17</v>
      </c>
      <c r="AS80" s="55">
        <f>_xll.EQNXTDZ($A$1,$B80,AS$5,$B$1)</f>
        <v>0</v>
      </c>
      <c r="AT80" s="55">
        <f>_xll.EQNXTDZ($A$1,$B80,AT$5,$B$1)</f>
        <v>754.74</v>
      </c>
      <c r="AU80" s="55">
        <f>_xll.EQNXTDZ($A$1,$B80,AU$5,$B$1)</f>
        <v>0</v>
      </c>
      <c r="AV80" s="55">
        <f>_xll.EQNXTDZ($A$1,$B80,AV$5,$B$1)</f>
        <v>537.22</v>
      </c>
      <c r="AW80" s="55">
        <f>_xll.EQNXTDZ($A$1,$B80,AW$5,$B$1)</f>
        <v>0</v>
      </c>
      <c r="AX80" s="55">
        <f>_xll.EQNXTDZ($A$1,$B80,AX$5,$B$1)</f>
        <v>238.64</v>
      </c>
      <c r="AY80" s="55">
        <f>_xll.EQNXTDZ($A$1,$B80,AY$5,$B$1)</f>
        <v>0</v>
      </c>
      <c r="AZ80" s="55">
        <f>_xll.EQNXTDZ($A$1,$B80,AZ$5,$B$1)</f>
        <v>304.10000000000002</v>
      </c>
      <c r="BA80" s="55">
        <f>_xll.EQNXTDZ($A$1,$B80,BA$5,$B$1)</f>
        <v>0</v>
      </c>
      <c r="BB80" s="55">
        <f>_xll.EQNXTDZ($A$1,$B80,BB$5,$B$1)</f>
        <v>292.22000000000003</v>
      </c>
      <c r="BC80" s="55">
        <f>_xll.EQNXTDZ($A$1,$B80,BC$5,$B$1)</f>
        <v>0</v>
      </c>
      <c r="BD80" s="55">
        <f>_xll.EQNXTDZ($A$1,$B80,BD$5,$B$1)</f>
        <v>551.53</v>
      </c>
      <c r="BE80" s="55">
        <f>_xll.EQNXTDZ($A$1,$B80,BE$5,$B$1)</f>
        <v>0</v>
      </c>
      <c r="BF80" s="55">
        <f>_xll.EQNXTDZ($A$1,$B80,BF$5,$B$1)</f>
        <v>868.2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1453.44</v>
      </c>
      <c r="E81" s="55">
        <f>_xll.EQNXTDZ($A$1,$B81,E$5,$B$1)</f>
        <v>0</v>
      </c>
      <c r="F81" s="55">
        <f>_xll.EQNXTDZ($A$1,$B81,F$5,$B$1)</f>
        <v>1382.92</v>
      </c>
      <c r="G81" s="55">
        <f>_xll.EQNXTDZ($A$1,$B81,G$5,$B$1)</f>
        <v>0</v>
      </c>
      <c r="H81" s="55">
        <f>_xll.EQNXTDZ($A$1,$B81,H$5,$B$1)</f>
        <v>1801.53</v>
      </c>
      <c r="I81" s="55">
        <f>_xll.EQNXTDZ($A$1,$B81,I$5,$B$1)</f>
        <v>0</v>
      </c>
      <c r="J81" s="55">
        <f>_xll.EQNXTDZ($A$1,$B81,J$5,$B$1)</f>
        <v>1518.46</v>
      </c>
      <c r="K81" s="55">
        <f>_xll.EQNXTDZ($A$1,$B81,K$5,$B$1)</f>
        <v>0</v>
      </c>
      <c r="L81" s="55">
        <f>_xll.EQNXTDZ($A$1,$B81,L$5,$B$1)</f>
        <v>1756.12</v>
      </c>
      <c r="M81" s="55">
        <f>_xll.EQNXTDZ($A$1,$B81,M$5,$B$1)</f>
        <v>0</v>
      </c>
      <c r="N81" s="55">
        <f>_xll.EQNXTDZ($A$1,$B81,N$5,$B$1)</f>
        <v>1625.3</v>
      </c>
      <c r="O81" s="55">
        <f>_xll.EQNXTDZ($A$1,$B81,O$5,$B$1)</f>
        <v>0</v>
      </c>
      <c r="P81" s="55">
        <f>_xll.EQNXTDZ($A$1,$B81,P$5,$B$1)</f>
        <v>1851.07</v>
      </c>
      <c r="Q81" s="55">
        <f>_xll.EQNXTDZ($A$1,$B81,Q$5,$B$1)</f>
        <v>0</v>
      </c>
      <c r="R81" s="55">
        <f>_xll.EQNXTDZ($A$1,$B81,R$5,$B$1)</f>
        <v>1629.01</v>
      </c>
      <c r="S81" s="55">
        <f>_xll.EQNXTDZ($A$1,$B81,S$5,$B$1)</f>
        <v>0</v>
      </c>
      <c r="T81" s="55">
        <f>_xll.EQNXTDZ($A$1,$B81,T$5,$B$1)</f>
        <v>1497.7</v>
      </c>
      <c r="U81" s="55">
        <f>_xll.EQNXTDZ($A$1,$B81,U$5,$B$1)</f>
        <v>0</v>
      </c>
      <c r="V81" s="55">
        <f>_xll.EQNXTDZ($A$1,$B81,V$5,$B$1)</f>
        <v>1452.96</v>
      </c>
      <c r="W81" s="55">
        <f>_xll.EQNXTDZ($A$1,$B81,W$5,$B$1)</f>
        <v>0</v>
      </c>
      <c r="X81" s="55">
        <f>_xll.EQNXTDZ($A$1,$B81,X$5,$B$1)</f>
        <v>1385.58</v>
      </c>
      <c r="Y81" s="55">
        <f>_xll.EQNXTDZ($A$1,$B81,Y$5,$B$1)</f>
        <v>0</v>
      </c>
      <c r="Z81" s="55">
        <f>_xll.EQNXTDZ($A$1,$B81,Z$5,$B$1)</f>
        <v>1448.31</v>
      </c>
      <c r="AA81" s="55">
        <f>_xll.EQNXTDZ($A$1,$B81,AA$5,$B$1)</f>
        <v>0</v>
      </c>
      <c r="AB81" s="55">
        <f>_xll.EQNXTDZ($A$1,$B81,AB$5,$B$1)</f>
        <v>1689.27</v>
      </c>
      <c r="AC81" s="55">
        <f>_xll.EQNXTDZ($A$1,$B81,AC$5,$B$1)</f>
        <v>0</v>
      </c>
      <c r="AD81" s="55">
        <f>_xll.EQNXTDZ($A$1,$B81,AD$5,$B$1)</f>
        <v>1609.86</v>
      </c>
      <c r="AE81" s="55">
        <f>_xll.EQNXTDZ($A$1,$B81,AE$5,$B$1)</f>
        <v>0</v>
      </c>
      <c r="AF81" s="55">
        <f>_xll.EQNXTDZ($A$1,$B81,AF$5,$B$1)</f>
        <v>1628.55</v>
      </c>
      <c r="AG81" s="55">
        <f>_xll.EQNXTDZ($A$1,$B81,AG$5,$B$1)</f>
        <v>0</v>
      </c>
      <c r="AH81" s="55">
        <f>_xll.EQNXTDZ($A$1,$B81,AH$5,$B$1)</f>
        <v>1712.03</v>
      </c>
      <c r="AI81" s="55">
        <f>_xll.EQNXTDZ($A$1,$B81,AI$5,$B$1)</f>
        <v>0</v>
      </c>
      <c r="AJ81" s="55">
        <f>_xll.EQNXTDZ($A$1,$B81,AJ$5,$B$1)</f>
        <v>2574.73</v>
      </c>
      <c r="AK81" s="55">
        <f>_xll.EQNXTDZ($A$1,$B81,AK$5,$B$1)</f>
        <v>0</v>
      </c>
      <c r="AL81" s="55">
        <f>_xll.EQNXTDZ($A$1,$B81,AL$5,$B$1)</f>
        <v>2249.16</v>
      </c>
      <c r="AM81" s="55">
        <f>_xll.EQNXTDZ($A$1,$B81,AM$5,$B$1)</f>
        <v>0</v>
      </c>
      <c r="AN81" s="55">
        <f>_xll.EQNXTDZ($A$1,$B81,AN$5,$B$1)</f>
        <v>2281.9299999999998</v>
      </c>
      <c r="AO81" s="55">
        <f>_xll.EQNXTDZ($A$1,$B81,AO$5,$B$1)</f>
        <v>0</v>
      </c>
      <c r="AP81" s="55">
        <f>_xll.EQNXTDZ($A$1,$B81,AP$5,$B$1)</f>
        <v>2266.5100000000002</v>
      </c>
      <c r="AQ81" s="55">
        <f>_xll.EQNXTDZ($A$1,$B81,AQ$5,$B$1)</f>
        <v>0</v>
      </c>
      <c r="AR81" s="55">
        <f>_xll.EQNXTDZ($A$1,$B81,AR$5,$B$1)</f>
        <v>2581.86</v>
      </c>
      <c r="AS81" s="55">
        <f>_xll.EQNXTDZ($A$1,$B81,AS$5,$B$1)</f>
        <v>0</v>
      </c>
      <c r="AT81" s="55">
        <f>_xll.EQNXTDZ($A$1,$B81,AT$5,$B$1)</f>
        <v>2701.67</v>
      </c>
      <c r="AU81" s="55">
        <f>_xll.EQNXTDZ($A$1,$B81,AU$5,$B$1)</f>
        <v>0</v>
      </c>
      <c r="AV81" s="55">
        <f>_xll.EQNXTDZ($A$1,$B81,AV$5,$B$1)</f>
        <v>2621.29</v>
      </c>
      <c r="AW81" s="55">
        <f>_xll.EQNXTDZ($A$1,$B81,AW$5,$B$1)</f>
        <v>0</v>
      </c>
      <c r="AX81" s="55">
        <f>_xll.EQNXTDZ($A$1,$B81,AX$5,$B$1)</f>
        <v>2769.35</v>
      </c>
      <c r="AY81" s="55">
        <f>_xll.EQNXTDZ($A$1,$B81,AY$5,$B$1)</f>
        <v>0</v>
      </c>
      <c r="AZ81" s="55">
        <f>_xll.EQNXTDZ($A$1,$B81,AZ$5,$B$1)</f>
        <v>3305.88</v>
      </c>
      <c r="BA81" s="55">
        <f>_xll.EQNXTDZ($A$1,$B81,BA$5,$B$1)</f>
        <v>0</v>
      </c>
      <c r="BB81" s="55">
        <f>_xll.EQNXTDZ($A$1,$B81,BB$5,$B$1)</f>
        <v>3599.91</v>
      </c>
      <c r="BC81" s="55">
        <f>_xll.EQNXTDZ($A$1,$B81,BC$5,$B$1)</f>
        <v>0</v>
      </c>
      <c r="BD81" s="55">
        <f>_xll.EQNXTDZ($A$1,$B81,BD$5,$B$1)</f>
        <v>3559.34</v>
      </c>
      <c r="BE81" s="55">
        <f>_xll.EQNXTDZ($A$1,$B81,BE$5,$B$1)</f>
        <v>0</v>
      </c>
      <c r="BF81" s="55">
        <f>_xll.EQNXTDZ($A$1,$B81,BF$5,$B$1)</f>
        <v>3526.76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834.54</v>
      </c>
      <c r="E82" s="55">
        <f>_xll.EQNXTDZ($A$1,$B82,E$5,$B$1)</f>
        <v>0</v>
      </c>
      <c r="F82" s="55">
        <f>_xll.EQNXTDZ($A$1,$B82,F$5,$B$1)</f>
        <v>712.92</v>
      </c>
      <c r="G82" s="55">
        <f>_xll.EQNXTDZ($A$1,$B82,G$5,$B$1)</f>
        <v>0</v>
      </c>
      <c r="H82" s="55">
        <f>_xll.EQNXTDZ($A$1,$B82,H$5,$B$1)</f>
        <v>807.71</v>
      </c>
      <c r="I82" s="55">
        <f>_xll.EQNXTDZ($A$1,$B82,I$5,$B$1)</f>
        <v>0</v>
      </c>
      <c r="J82" s="55">
        <f>_xll.EQNXTDZ($A$1,$B82,J$5,$B$1)</f>
        <v>654.35</v>
      </c>
      <c r="K82" s="55">
        <f>_xll.EQNXTDZ($A$1,$B82,K$5,$B$1)</f>
        <v>0</v>
      </c>
      <c r="L82" s="55">
        <f>_xll.EQNXTDZ($A$1,$B82,L$5,$B$1)</f>
        <v>810.24</v>
      </c>
      <c r="M82" s="55">
        <f>_xll.EQNXTDZ($A$1,$B82,M$5,$B$1)</f>
        <v>0</v>
      </c>
      <c r="N82" s="55">
        <f>_xll.EQNXTDZ($A$1,$B82,N$5,$B$1)</f>
        <v>616.09</v>
      </c>
      <c r="O82" s="55">
        <f>_xll.EQNXTDZ($A$1,$B82,O$5,$B$1)</f>
        <v>0</v>
      </c>
      <c r="P82" s="55">
        <f>_xll.EQNXTDZ($A$1,$B82,P$5,$B$1)</f>
        <v>733.69</v>
      </c>
      <c r="Q82" s="55">
        <f>_xll.EQNXTDZ($A$1,$B82,Q$5,$B$1)</f>
        <v>0</v>
      </c>
      <c r="R82" s="55">
        <f>_xll.EQNXTDZ($A$1,$B82,R$5,$B$1)</f>
        <v>592.42999999999995</v>
      </c>
      <c r="S82" s="55">
        <f>_xll.EQNXTDZ($A$1,$B82,S$5,$B$1)</f>
        <v>0</v>
      </c>
      <c r="T82" s="55">
        <f>_xll.EQNXTDZ($A$1,$B82,T$5,$B$1)</f>
        <v>714.5</v>
      </c>
      <c r="U82" s="55">
        <f>_xll.EQNXTDZ($A$1,$B82,U$5,$B$1)</f>
        <v>0</v>
      </c>
      <c r="V82" s="55">
        <f>_xll.EQNXTDZ($A$1,$B82,V$5,$B$1)</f>
        <v>592.45000000000005</v>
      </c>
      <c r="W82" s="55">
        <f>_xll.EQNXTDZ($A$1,$B82,W$5,$B$1)</f>
        <v>0</v>
      </c>
      <c r="X82" s="55">
        <f>_xll.EQNXTDZ($A$1,$B82,X$5,$B$1)</f>
        <v>750.54</v>
      </c>
      <c r="Y82" s="55">
        <f>_xll.EQNXTDZ($A$1,$B82,Y$5,$B$1)</f>
        <v>0</v>
      </c>
      <c r="Z82" s="55">
        <f>_xll.EQNXTDZ($A$1,$B82,Z$5,$B$1)</f>
        <v>648.28</v>
      </c>
      <c r="AA82" s="55">
        <f>_xll.EQNXTDZ($A$1,$B82,AA$5,$B$1)</f>
        <v>0</v>
      </c>
      <c r="AB82" s="55">
        <f>_xll.EQNXTDZ($A$1,$B82,AB$5,$B$1)</f>
        <v>815.78</v>
      </c>
      <c r="AC82" s="55">
        <f>_xll.EQNXTDZ($A$1,$B82,AC$5,$B$1)</f>
        <v>0</v>
      </c>
      <c r="AD82" s="55">
        <f>_xll.EQNXTDZ($A$1,$B82,AD$5,$B$1)</f>
        <v>680.55</v>
      </c>
      <c r="AE82" s="55">
        <f>_xll.EQNXTDZ($A$1,$B82,AE$5,$B$1)</f>
        <v>0</v>
      </c>
      <c r="AF82" s="55">
        <f>_xll.EQNXTDZ($A$1,$B82,AF$5,$B$1)</f>
        <v>848.21</v>
      </c>
      <c r="AG82" s="55">
        <f>_xll.EQNXTDZ($A$1,$B82,AG$5,$B$1)</f>
        <v>0</v>
      </c>
      <c r="AH82" s="55">
        <f>_xll.EQNXTDZ($A$1,$B82,AH$5,$B$1)</f>
        <v>922.41</v>
      </c>
      <c r="AI82" s="55">
        <f>_xll.EQNXTDZ($A$1,$B82,AI$5,$B$1)</f>
        <v>0</v>
      </c>
      <c r="AJ82" s="55">
        <f>_xll.EQNXTDZ($A$1,$B82,AJ$5,$B$1)</f>
        <v>750.74</v>
      </c>
      <c r="AK82" s="55">
        <f>_xll.EQNXTDZ($A$1,$B82,AK$5,$B$1)</f>
        <v>0</v>
      </c>
      <c r="AL82" s="55">
        <f>_xll.EQNXTDZ($A$1,$B82,AL$5,$B$1)</f>
        <v>761.32</v>
      </c>
      <c r="AM82" s="55">
        <f>_xll.EQNXTDZ($A$1,$B82,AM$5,$B$1)</f>
        <v>0</v>
      </c>
      <c r="AN82" s="55">
        <f>_xll.EQNXTDZ($A$1,$B82,AN$5,$B$1)</f>
        <v>651.99</v>
      </c>
      <c r="AO82" s="55">
        <f>_xll.EQNXTDZ($A$1,$B82,AO$5,$B$1)</f>
        <v>0</v>
      </c>
      <c r="AP82" s="55">
        <f>_xll.EQNXTDZ($A$1,$B82,AP$5,$B$1)</f>
        <v>835.15</v>
      </c>
      <c r="AQ82" s="55">
        <f>_xll.EQNXTDZ($A$1,$B82,AQ$5,$B$1)</f>
        <v>0</v>
      </c>
      <c r="AR82" s="55">
        <f>_xll.EQNXTDZ($A$1,$B82,AR$5,$B$1)</f>
        <v>860.09</v>
      </c>
      <c r="AS82" s="55">
        <f>_xll.EQNXTDZ($A$1,$B82,AS$5,$B$1)</f>
        <v>0</v>
      </c>
      <c r="AT82" s="55">
        <f>_xll.EQNXTDZ($A$1,$B82,AT$5,$B$1)</f>
        <v>798.33</v>
      </c>
      <c r="AU82" s="55">
        <f>_xll.EQNXTDZ($A$1,$B82,AU$5,$B$1)</f>
        <v>0</v>
      </c>
      <c r="AV82" s="55">
        <f>_xll.EQNXTDZ($A$1,$B82,AV$5,$B$1)</f>
        <v>851.73</v>
      </c>
      <c r="AW82" s="55">
        <f>_xll.EQNXTDZ($A$1,$B82,AW$5,$B$1)</f>
        <v>0</v>
      </c>
      <c r="AX82" s="55">
        <f>_xll.EQNXTDZ($A$1,$B82,AX$5,$B$1)</f>
        <v>896.75</v>
      </c>
      <c r="AY82" s="55">
        <f>_xll.EQNXTDZ($A$1,$B82,AY$5,$B$1)</f>
        <v>0</v>
      </c>
      <c r="AZ82" s="55">
        <f>_xll.EQNXTDZ($A$1,$B82,AZ$5,$B$1)</f>
        <v>1002.27</v>
      </c>
      <c r="BA82" s="55">
        <f>_xll.EQNXTDZ($A$1,$B82,BA$5,$B$1)</f>
        <v>0</v>
      </c>
      <c r="BB82" s="55">
        <f>_xll.EQNXTDZ($A$1,$B82,BB$5,$B$1)</f>
        <v>869.79</v>
      </c>
      <c r="BC82" s="55">
        <f>_xll.EQNXTDZ($A$1,$B82,BC$5,$B$1)</f>
        <v>0</v>
      </c>
      <c r="BD82" s="55">
        <f>_xll.EQNXTDZ($A$1,$B82,BD$5,$B$1)</f>
        <v>1162.6400000000001</v>
      </c>
      <c r="BE82" s="55">
        <f>_xll.EQNXTDZ($A$1,$B82,BE$5,$B$1)</f>
        <v>0</v>
      </c>
      <c r="BF82" s="55">
        <f>_xll.EQNXTDZ($A$1,$B82,BF$5,$B$1)</f>
        <v>1148.33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687.26</v>
      </c>
      <c r="E83" s="55">
        <f>_xll.EQNXTDZ($A$1,$B83,E$5,$B$1)</f>
        <v>0</v>
      </c>
      <c r="F83" s="55">
        <f>_xll.EQNXTDZ($A$1,$B83,F$5,$B$1)</f>
        <v>697.7</v>
      </c>
      <c r="G83" s="55">
        <f>_xll.EQNXTDZ($A$1,$B83,G$5,$B$1)</f>
        <v>0</v>
      </c>
      <c r="H83" s="55">
        <f>_xll.EQNXTDZ($A$1,$B83,H$5,$B$1)</f>
        <v>912.04</v>
      </c>
      <c r="I83" s="55">
        <f>_xll.EQNXTDZ($A$1,$B83,I$5,$B$1)</f>
        <v>0</v>
      </c>
      <c r="J83" s="55">
        <f>_xll.EQNXTDZ($A$1,$B83,J$5,$B$1)</f>
        <v>725.24</v>
      </c>
      <c r="K83" s="55">
        <f>_xll.EQNXTDZ($A$1,$B83,K$5,$B$1)</f>
        <v>0</v>
      </c>
      <c r="L83" s="55">
        <f>_xll.EQNXTDZ($A$1,$B83,L$5,$B$1)</f>
        <v>650.79999999999995</v>
      </c>
      <c r="M83" s="55">
        <f>_xll.EQNXTDZ($A$1,$B83,M$5,$B$1)</f>
        <v>0</v>
      </c>
      <c r="N83" s="55">
        <f>_xll.EQNXTDZ($A$1,$B83,N$5,$B$1)</f>
        <v>544.24</v>
      </c>
      <c r="O83" s="55">
        <f>_xll.EQNXTDZ($A$1,$B83,O$5,$B$1)</f>
        <v>0</v>
      </c>
      <c r="P83" s="55">
        <f>_xll.EQNXTDZ($A$1,$B83,P$5,$B$1)</f>
        <v>406.89</v>
      </c>
      <c r="Q83" s="55">
        <f>_xll.EQNXTDZ($A$1,$B83,Q$5,$B$1)</f>
        <v>0</v>
      </c>
      <c r="R83" s="55">
        <f>_xll.EQNXTDZ($A$1,$B83,R$5,$B$1)</f>
        <v>501.03</v>
      </c>
      <c r="S83" s="55">
        <f>_xll.EQNXTDZ($A$1,$B83,S$5,$B$1)</f>
        <v>0</v>
      </c>
      <c r="T83" s="55">
        <f>_xll.EQNXTDZ($A$1,$B83,T$5,$B$1)</f>
        <v>1038.44</v>
      </c>
      <c r="U83" s="55">
        <f>_xll.EQNXTDZ($A$1,$B83,U$5,$B$1)</f>
        <v>0</v>
      </c>
      <c r="V83" s="55">
        <f>_xll.EQNXTDZ($A$1,$B83,V$5,$B$1)</f>
        <v>574.82000000000005</v>
      </c>
      <c r="W83" s="55">
        <f>_xll.EQNXTDZ($A$1,$B83,W$5,$B$1)</f>
        <v>0</v>
      </c>
      <c r="X83" s="55">
        <f>_xll.EQNXTDZ($A$1,$B83,X$5,$B$1)</f>
        <v>696.33</v>
      </c>
      <c r="Y83" s="55">
        <f>_xll.EQNXTDZ($A$1,$B83,Y$5,$B$1)</f>
        <v>0</v>
      </c>
      <c r="Z83" s="55">
        <f>_xll.EQNXTDZ($A$1,$B83,Z$5,$B$1)</f>
        <v>1238.1400000000001</v>
      </c>
      <c r="AA83" s="55">
        <f>_xll.EQNXTDZ($A$1,$B83,AA$5,$B$1)</f>
        <v>0</v>
      </c>
      <c r="AB83" s="55">
        <f>_xll.EQNXTDZ($A$1,$B83,AB$5,$B$1)</f>
        <v>1106.54</v>
      </c>
      <c r="AC83" s="55">
        <f>_xll.EQNXTDZ($A$1,$B83,AC$5,$B$1)</f>
        <v>0</v>
      </c>
      <c r="AD83" s="55">
        <f>_xll.EQNXTDZ($A$1,$B83,AD$5,$B$1)</f>
        <v>1033.6099999999999</v>
      </c>
      <c r="AE83" s="55">
        <f>_xll.EQNXTDZ($A$1,$B83,AE$5,$B$1)</f>
        <v>0</v>
      </c>
      <c r="AF83" s="55">
        <f>_xll.EQNXTDZ($A$1,$B83,AF$5,$B$1)</f>
        <v>1290.17</v>
      </c>
      <c r="AG83" s="55">
        <f>_xll.EQNXTDZ($A$1,$B83,AG$5,$B$1)</f>
        <v>0</v>
      </c>
      <c r="AH83" s="55">
        <f>_xll.EQNXTDZ($A$1,$B83,AH$5,$B$1)</f>
        <v>1621.46</v>
      </c>
      <c r="AI83" s="55">
        <f>_xll.EQNXTDZ($A$1,$B83,AI$5,$B$1)</f>
        <v>0</v>
      </c>
      <c r="AJ83" s="55">
        <f>_xll.EQNXTDZ($A$1,$B83,AJ$5,$B$1)</f>
        <v>2281.19</v>
      </c>
      <c r="AK83" s="55">
        <f>_xll.EQNXTDZ($A$1,$B83,AK$5,$B$1)</f>
        <v>0</v>
      </c>
      <c r="AL83" s="55">
        <f>_xll.EQNXTDZ($A$1,$B83,AL$5,$B$1)</f>
        <v>3074.88</v>
      </c>
      <c r="AM83" s="55">
        <f>_xll.EQNXTDZ($A$1,$B83,AM$5,$B$1)</f>
        <v>0</v>
      </c>
      <c r="AN83" s="55">
        <f>_xll.EQNXTDZ($A$1,$B83,AN$5,$B$1)</f>
        <v>2564.11</v>
      </c>
      <c r="AO83" s="55">
        <f>_xll.EQNXTDZ($A$1,$B83,AO$5,$B$1)</f>
        <v>0</v>
      </c>
      <c r="AP83" s="55">
        <f>_xll.EQNXTDZ($A$1,$B83,AP$5,$B$1)</f>
        <v>2599.89</v>
      </c>
      <c r="AQ83" s="55">
        <f>_xll.EQNXTDZ($A$1,$B83,AQ$5,$B$1)</f>
        <v>0</v>
      </c>
      <c r="AR83" s="55">
        <f>_xll.EQNXTDZ($A$1,$B83,AR$5,$B$1)</f>
        <v>1744.5</v>
      </c>
      <c r="AS83" s="55">
        <f>_xll.EQNXTDZ($A$1,$B83,AS$5,$B$1)</f>
        <v>0</v>
      </c>
      <c r="AT83" s="55">
        <f>_xll.EQNXTDZ($A$1,$B83,AT$5,$B$1)</f>
        <v>2796.94</v>
      </c>
      <c r="AU83" s="55">
        <f>_xll.EQNXTDZ($A$1,$B83,AU$5,$B$1)</f>
        <v>0</v>
      </c>
      <c r="AV83" s="55">
        <f>_xll.EQNXTDZ($A$1,$B83,AV$5,$B$1)</f>
        <v>2507.59</v>
      </c>
      <c r="AW83" s="55">
        <f>_xll.EQNXTDZ($A$1,$B83,AW$5,$B$1)</f>
        <v>0</v>
      </c>
      <c r="AX83" s="55">
        <f>_xll.EQNXTDZ($A$1,$B83,AX$5,$B$1)</f>
        <v>2454.4899999999998</v>
      </c>
      <c r="AY83" s="55">
        <f>_xll.EQNXTDZ($A$1,$B83,AY$5,$B$1)</f>
        <v>0</v>
      </c>
      <c r="AZ83" s="55">
        <f>_xll.EQNXTDZ($A$1,$B83,AZ$5,$B$1)</f>
        <v>2094.54</v>
      </c>
      <c r="BA83" s="55">
        <f>_xll.EQNXTDZ($A$1,$B83,BA$5,$B$1)</f>
        <v>0</v>
      </c>
      <c r="BB83" s="55">
        <f>_xll.EQNXTDZ($A$1,$B83,BB$5,$B$1)</f>
        <v>2817.86</v>
      </c>
      <c r="BC83" s="55">
        <f>_xll.EQNXTDZ($A$1,$B83,BC$5,$B$1)</f>
        <v>0</v>
      </c>
      <c r="BD83" s="55">
        <f>_xll.EQNXTDZ($A$1,$B83,BD$5,$B$1)</f>
        <v>1740.22</v>
      </c>
      <c r="BE83" s="55">
        <f>_xll.EQNXTDZ($A$1,$B83,BE$5,$B$1)</f>
        <v>0</v>
      </c>
      <c r="BF83" s="55">
        <f>_xll.EQNXTDZ($A$1,$B83,BF$5,$B$1)</f>
        <v>3420.49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17.57</v>
      </c>
      <c r="E84" s="55">
        <f>_xll.EQNXTDZ($A$1,$B84,E$5,$B$1)</f>
        <v>0</v>
      </c>
      <c r="F84" s="55">
        <f>_xll.EQNXTDZ($A$1,$B84,F$5,$B$1)</f>
        <v>21.34</v>
      </c>
      <c r="G84" s="55">
        <f>_xll.EQNXTDZ($A$1,$B84,G$5,$B$1)</f>
        <v>0</v>
      </c>
      <c r="H84" s="55">
        <f>_xll.EQNXTDZ($A$1,$B84,H$5,$B$1)</f>
        <v>38.07</v>
      </c>
      <c r="I84" s="55">
        <f>_xll.EQNXTDZ($A$1,$B84,I$5,$B$1)</f>
        <v>0</v>
      </c>
      <c r="J84" s="55">
        <f>_xll.EQNXTDZ($A$1,$B84,J$5,$B$1)</f>
        <v>27.7</v>
      </c>
      <c r="K84" s="55">
        <f>_xll.EQNXTDZ($A$1,$B84,K$5,$B$1)</f>
        <v>0</v>
      </c>
      <c r="L84" s="55">
        <f>_xll.EQNXTDZ($A$1,$B84,L$5,$B$1)</f>
        <v>30.01</v>
      </c>
      <c r="M84" s="55">
        <f>_xll.EQNXTDZ($A$1,$B84,M$5,$B$1)</f>
        <v>0</v>
      </c>
      <c r="N84" s="55">
        <f>_xll.EQNXTDZ($A$1,$B84,N$5,$B$1)</f>
        <v>29.66</v>
      </c>
      <c r="O84" s="55">
        <f>_xll.EQNXTDZ($A$1,$B84,O$5,$B$1)</f>
        <v>0</v>
      </c>
      <c r="P84" s="55">
        <f>_xll.EQNXTDZ($A$1,$B84,P$5,$B$1)</f>
        <v>30.95</v>
      </c>
      <c r="Q84" s="55">
        <f>_xll.EQNXTDZ($A$1,$B84,Q$5,$B$1)</f>
        <v>0</v>
      </c>
      <c r="R84" s="55">
        <f>_xll.EQNXTDZ($A$1,$B84,R$5,$B$1)</f>
        <v>245.54</v>
      </c>
      <c r="S84" s="55">
        <f>_xll.EQNXTDZ($A$1,$B84,S$5,$B$1)</f>
        <v>0</v>
      </c>
      <c r="T84" s="55">
        <f>_xll.EQNXTDZ($A$1,$B84,T$5,$B$1)</f>
        <v>319.94</v>
      </c>
      <c r="U84" s="55">
        <f>_xll.EQNXTDZ($A$1,$B84,U$5,$B$1)</f>
        <v>0</v>
      </c>
      <c r="V84" s="55">
        <f>_xll.EQNXTDZ($A$1,$B84,V$5,$B$1)</f>
        <v>289.79000000000002</v>
      </c>
      <c r="W84" s="55">
        <f>_xll.EQNXTDZ($A$1,$B84,W$5,$B$1)</f>
        <v>0</v>
      </c>
      <c r="X84" s="55">
        <f>_xll.EQNXTDZ($A$1,$B84,X$5,$B$1)</f>
        <v>390.04</v>
      </c>
      <c r="Y84" s="55">
        <f>_xll.EQNXTDZ($A$1,$B84,Y$5,$B$1)</f>
        <v>0</v>
      </c>
      <c r="Z84" s="55">
        <f>_xll.EQNXTDZ($A$1,$B84,Z$5,$B$1)</f>
        <v>359.5</v>
      </c>
      <c r="AA84" s="55">
        <f>_xll.EQNXTDZ($A$1,$B84,AA$5,$B$1)</f>
        <v>0</v>
      </c>
      <c r="AB84" s="55">
        <f>_xll.EQNXTDZ($A$1,$B84,AB$5,$B$1)</f>
        <v>458.1</v>
      </c>
      <c r="AC84" s="55">
        <f>_xll.EQNXTDZ($A$1,$B84,AC$5,$B$1)</f>
        <v>0</v>
      </c>
      <c r="AD84" s="55">
        <f>_xll.EQNXTDZ($A$1,$B84,AD$5,$B$1)</f>
        <v>395.78</v>
      </c>
      <c r="AE84" s="55">
        <f>_xll.EQNXTDZ($A$1,$B84,AE$5,$B$1)</f>
        <v>0</v>
      </c>
      <c r="AF84" s="55">
        <f>_xll.EQNXTDZ($A$1,$B84,AF$5,$B$1)</f>
        <v>434.16</v>
      </c>
      <c r="AG84" s="55">
        <f>_xll.EQNXTDZ($A$1,$B84,AG$5,$B$1)</f>
        <v>0</v>
      </c>
      <c r="AH84" s="55">
        <f>_xll.EQNXTDZ($A$1,$B84,AH$5,$B$1)</f>
        <v>476.07</v>
      </c>
      <c r="AI84" s="55">
        <f>_xll.EQNXTDZ($A$1,$B84,AI$5,$B$1)</f>
        <v>0</v>
      </c>
      <c r="AJ84" s="55">
        <f>_xll.EQNXTDZ($A$1,$B84,AJ$5,$B$1)</f>
        <v>492.36</v>
      </c>
      <c r="AK84" s="55">
        <f>_xll.EQNXTDZ($A$1,$B84,AK$5,$B$1)</f>
        <v>0</v>
      </c>
      <c r="AL84" s="55">
        <f>_xll.EQNXTDZ($A$1,$B84,AL$5,$B$1)</f>
        <v>454.99</v>
      </c>
      <c r="AM84" s="55">
        <f>_xll.EQNXTDZ($A$1,$B84,AM$5,$B$1)</f>
        <v>0</v>
      </c>
      <c r="AN84" s="55">
        <f>_xll.EQNXTDZ($A$1,$B84,AN$5,$B$1)</f>
        <v>569.85</v>
      </c>
      <c r="AO84" s="55">
        <f>_xll.EQNXTDZ($A$1,$B84,AO$5,$B$1)</f>
        <v>0</v>
      </c>
      <c r="AP84" s="55">
        <f>_xll.EQNXTDZ($A$1,$B84,AP$5,$B$1)</f>
        <v>576.16</v>
      </c>
      <c r="AQ84" s="55">
        <f>_xll.EQNXTDZ($A$1,$B84,AQ$5,$B$1)</f>
        <v>0</v>
      </c>
      <c r="AR84" s="55">
        <f>_xll.EQNXTDZ($A$1,$B84,AR$5,$B$1)</f>
        <v>547.12</v>
      </c>
      <c r="AS84" s="55">
        <f>_xll.EQNXTDZ($A$1,$B84,AS$5,$B$1)</f>
        <v>0</v>
      </c>
      <c r="AT84" s="55">
        <f>_xll.EQNXTDZ($A$1,$B84,AT$5,$B$1)</f>
        <v>727.18</v>
      </c>
      <c r="AU84" s="55">
        <f>_xll.EQNXTDZ($A$1,$B84,AU$5,$B$1)</f>
        <v>0</v>
      </c>
      <c r="AV84" s="55">
        <f>_xll.EQNXTDZ($A$1,$B84,AV$5,$B$1)</f>
        <v>715.69</v>
      </c>
      <c r="AW84" s="55">
        <f>_xll.EQNXTDZ($A$1,$B84,AW$5,$B$1)</f>
        <v>0</v>
      </c>
      <c r="AX84" s="55">
        <f>_xll.EQNXTDZ($A$1,$B84,AX$5,$B$1)</f>
        <v>732.91</v>
      </c>
      <c r="AY84" s="55">
        <f>_xll.EQNXTDZ($A$1,$B84,AY$5,$B$1)</f>
        <v>0</v>
      </c>
      <c r="AZ84" s="55">
        <f>_xll.EQNXTDZ($A$1,$B84,AZ$5,$B$1)</f>
        <v>845.76</v>
      </c>
      <c r="BA84" s="55">
        <f>_xll.EQNXTDZ($A$1,$B84,BA$5,$B$1)</f>
        <v>0</v>
      </c>
      <c r="BB84" s="55">
        <f>_xll.EQNXTDZ($A$1,$B84,BB$5,$B$1)</f>
        <v>904.82</v>
      </c>
      <c r="BC84" s="55">
        <f>_xll.EQNXTDZ($A$1,$B84,BC$5,$B$1)</f>
        <v>0</v>
      </c>
      <c r="BD84" s="55">
        <f>_xll.EQNXTDZ($A$1,$B84,BD$5,$B$1)</f>
        <v>794.2</v>
      </c>
      <c r="BE84" s="55">
        <f>_xll.EQNXTDZ($A$1,$B84,BE$5,$B$1)</f>
        <v>0</v>
      </c>
      <c r="BF84" s="55">
        <f>_xll.EQNXTDZ($A$1,$B84,BF$5,$B$1)</f>
        <v>765.24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842.14</v>
      </c>
      <c r="E85" s="55">
        <f>_xll.EQNXTDZ($A$1,$B85,E$5,$B$1)</f>
        <v>0</v>
      </c>
      <c r="F85" s="55">
        <f>_xll.EQNXTDZ($A$1,$B85,F$5,$B$1)</f>
        <v>792.41</v>
      </c>
      <c r="G85" s="55">
        <f>_xll.EQNXTDZ($A$1,$B85,G$5,$B$1)</f>
        <v>0</v>
      </c>
      <c r="H85" s="55">
        <f>_xll.EQNXTDZ($A$1,$B85,H$5,$B$1)</f>
        <v>833.8</v>
      </c>
      <c r="I85" s="55">
        <f>_xll.EQNXTDZ($A$1,$B85,I$5,$B$1)</f>
        <v>0</v>
      </c>
      <c r="J85" s="55">
        <f>_xll.EQNXTDZ($A$1,$B85,J$5,$B$1)</f>
        <v>927.89</v>
      </c>
      <c r="K85" s="55">
        <f>_xll.EQNXTDZ($A$1,$B85,K$5,$B$1)</f>
        <v>0</v>
      </c>
      <c r="L85" s="55">
        <f>_xll.EQNXTDZ($A$1,$B85,L$5,$B$1)</f>
        <v>828.73</v>
      </c>
      <c r="M85" s="55">
        <f>_xll.EQNXTDZ($A$1,$B85,M$5,$B$1)</f>
        <v>0</v>
      </c>
      <c r="N85" s="55">
        <f>_xll.EQNXTDZ($A$1,$B85,N$5,$B$1)</f>
        <v>791.59</v>
      </c>
      <c r="O85" s="55">
        <f>_xll.EQNXTDZ($A$1,$B85,O$5,$B$1)</f>
        <v>0</v>
      </c>
      <c r="P85" s="55">
        <f>_xll.EQNXTDZ($A$1,$B85,P$5,$B$1)</f>
        <v>857.8</v>
      </c>
      <c r="Q85" s="55">
        <f>_xll.EQNXTDZ($A$1,$B85,Q$5,$B$1)</f>
        <v>0</v>
      </c>
      <c r="R85" s="55">
        <f>_xll.EQNXTDZ($A$1,$B85,R$5,$B$1)</f>
        <v>601.17999999999995</v>
      </c>
      <c r="S85" s="55">
        <f>_xll.EQNXTDZ($A$1,$B85,S$5,$B$1)</f>
        <v>0</v>
      </c>
      <c r="T85" s="55">
        <f>_xll.EQNXTDZ($A$1,$B85,T$5,$B$1)</f>
        <v>327.33999999999997</v>
      </c>
      <c r="U85" s="55">
        <f>_xll.EQNXTDZ($A$1,$B85,U$5,$B$1)</f>
        <v>0</v>
      </c>
      <c r="V85" s="55">
        <f>_xll.EQNXTDZ($A$1,$B85,V$5,$B$1)</f>
        <v>277.57</v>
      </c>
      <c r="W85" s="55">
        <f>_xll.EQNXTDZ($A$1,$B85,W$5,$B$1)</f>
        <v>0</v>
      </c>
      <c r="X85" s="55">
        <f>_xll.EQNXTDZ($A$1,$B85,X$5,$B$1)</f>
        <v>297.8</v>
      </c>
      <c r="Y85" s="55">
        <f>_xll.EQNXTDZ($A$1,$B85,Y$5,$B$1)</f>
        <v>0</v>
      </c>
      <c r="Z85" s="55">
        <f>_xll.EQNXTDZ($A$1,$B85,Z$5,$B$1)</f>
        <v>272.25</v>
      </c>
      <c r="AA85" s="55">
        <f>_xll.EQNXTDZ($A$1,$B85,AA$5,$B$1)</f>
        <v>0</v>
      </c>
      <c r="AB85" s="55">
        <f>_xll.EQNXTDZ($A$1,$B85,AB$5,$B$1)</f>
        <v>321.08</v>
      </c>
      <c r="AC85" s="55">
        <f>_xll.EQNXTDZ($A$1,$B85,AC$5,$B$1)</f>
        <v>0</v>
      </c>
      <c r="AD85" s="55">
        <f>_xll.EQNXTDZ($A$1,$B85,AD$5,$B$1)</f>
        <v>245.01</v>
      </c>
      <c r="AE85" s="55">
        <f>_xll.EQNXTDZ($A$1,$B85,AE$5,$B$1)</f>
        <v>0</v>
      </c>
      <c r="AF85" s="55">
        <f>_xll.EQNXTDZ($A$1,$B85,AF$5,$B$1)</f>
        <v>162.06</v>
      </c>
      <c r="AG85" s="55">
        <f>_xll.EQNXTDZ($A$1,$B85,AG$5,$B$1)</f>
        <v>0</v>
      </c>
      <c r="AH85" s="55">
        <f>_xll.EQNXTDZ($A$1,$B85,AH$5,$B$1)</f>
        <v>116.54</v>
      </c>
      <c r="AI85" s="55">
        <f>_xll.EQNXTDZ($A$1,$B85,AI$5,$B$1)</f>
        <v>0</v>
      </c>
      <c r="AJ85" s="55">
        <f>_xll.EQNXTDZ($A$1,$B85,AJ$5,$B$1)</f>
        <v>144.76</v>
      </c>
      <c r="AK85" s="55">
        <f>_xll.EQNXTDZ($A$1,$B85,AK$5,$B$1)</f>
        <v>0</v>
      </c>
      <c r="AL85" s="55">
        <f>_xll.EQNXTDZ($A$1,$B85,AL$5,$B$1)</f>
        <v>185.12</v>
      </c>
      <c r="AM85" s="55">
        <f>_xll.EQNXTDZ($A$1,$B85,AM$5,$B$1)</f>
        <v>0</v>
      </c>
      <c r="AN85" s="55">
        <f>_xll.EQNXTDZ($A$1,$B85,AN$5,$B$1)</f>
        <v>222.12</v>
      </c>
      <c r="AO85" s="55">
        <f>_xll.EQNXTDZ($A$1,$B85,AO$5,$B$1)</f>
        <v>0</v>
      </c>
      <c r="AP85" s="55">
        <f>_xll.EQNXTDZ($A$1,$B85,AP$5,$B$1)</f>
        <v>659.94</v>
      </c>
      <c r="AQ85" s="55">
        <f>_xll.EQNXTDZ($A$1,$B85,AQ$5,$B$1)</f>
        <v>0</v>
      </c>
      <c r="AR85" s="55">
        <f>_xll.EQNXTDZ($A$1,$B85,AR$5,$B$1)</f>
        <v>750.58</v>
      </c>
      <c r="AS85" s="55">
        <f>_xll.EQNXTDZ($A$1,$B85,AS$5,$B$1)</f>
        <v>0</v>
      </c>
      <c r="AT85" s="55">
        <f>_xll.EQNXTDZ($A$1,$B85,AT$5,$B$1)</f>
        <v>529.72</v>
      </c>
      <c r="AU85" s="55">
        <f>_xll.EQNXTDZ($A$1,$B85,AU$5,$B$1)</f>
        <v>0</v>
      </c>
      <c r="AV85" s="55">
        <f>_xll.EQNXTDZ($A$1,$B85,AV$5,$B$1)</f>
        <v>513.35</v>
      </c>
      <c r="AW85" s="55">
        <f>_xll.EQNXTDZ($A$1,$B85,AW$5,$B$1)</f>
        <v>0</v>
      </c>
      <c r="AX85" s="55">
        <f>_xll.EQNXTDZ($A$1,$B85,AX$5,$B$1)</f>
        <v>334.49</v>
      </c>
      <c r="AY85" s="55">
        <f>_xll.EQNXTDZ($A$1,$B85,AY$5,$B$1)</f>
        <v>0</v>
      </c>
      <c r="AZ85" s="55">
        <f>_xll.EQNXTDZ($A$1,$B85,AZ$5,$B$1)</f>
        <v>288.61</v>
      </c>
      <c r="BA85" s="55">
        <f>_xll.EQNXTDZ($A$1,$B85,BA$5,$B$1)</f>
        <v>0</v>
      </c>
      <c r="BB85" s="55">
        <f>_xll.EQNXTDZ($A$1,$B85,BB$5,$B$1)</f>
        <v>485.05</v>
      </c>
      <c r="BC85" s="55">
        <f>_xll.EQNXTDZ($A$1,$B85,BC$5,$B$1)</f>
        <v>0</v>
      </c>
      <c r="BD85" s="55">
        <f>_xll.EQNXTDZ($A$1,$B85,BD$5,$B$1)</f>
        <v>604.27</v>
      </c>
      <c r="BE85" s="55">
        <f>_xll.EQNXTDZ($A$1,$B85,BE$5,$B$1)</f>
        <v>0</v>
      </c>
      <c r="BF85" s="55">
        <f>_xll.EQNXTDZ($A$1,$B85,BF$5,$B$1)</f>
        <v>588.07000000000005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3912.17</v>
      </c>
      <c r="E86" s="55">
        <f>_xll.EQNXTDZ($A$1,$B86,E$5,$B$1)</f>
        <v>0</v>
      </c>
      <c r="F86" s="55">
        <f>_xll.EQNXTDZ($A$1,$B86,F$5,$B$1)</f>
        <v>3609.2</v>
      </c>
      <c r="G86" s="55">
        <f>_xll.EQNXTDZ($A$1,$B86,G$5,$B$1)</f>
        <v>0</v>
      </c>
      <c r="H86" s="55">
        <f>_xll.EQNXTDZ($A$1,$B86,H$5,$B$1)</f>
        <v>4395.62</v>
      </c>
      <c r="I86" s="55">
        <f>_xll.EQNXTDZ($A$1,$B86,I$5,$B$1)</f>
        <v>0</v>
      </c>
      <c r="J86" s="55">
        <f>_xll.EQNXTDZ($A$1,$B86,J$5,$B$1)</f>
        <v>3856.74</v>
      </c>
      <c r="K86" s="55">
        <f>_xll.EQNXTDZ($A$1,$B86,K$5,$B$1)</f>
        <v>0</v>
      </c>
      <c r="L86" s="55">
        <f>_xll.EQNXTDZ($A$1,$B86,L$5,$B$1)</f>
        <v>4079.4</v>
      </c>
      <c r="M86" s="55">
        <f>_xll.EQNXTDZ($A$1,$B86,M$5,$B$1)</f>
        <v>0</v>
      </c>
      <c r="N86" s="55">
        <f>_xll.EQNXTDZ($A$1,$B86,N$5,$B$1)</f>
        <v>3611.14</v>
      </c>
      <c r="O86" s="55">
        <f>_xll.EQNXTDZ($A$1,$B86,O$5,$B$1)</f>
        <v>0</v>
      </c>
      <c r="P86" s="55">
        <f>_xll.EQNXTDZ($A$1,$B86,P$5,$B$1)</f>
        <v>3911.08</v>
      </c>
      <c r="Q86" s="55">
        <f>_xll.EQNXTDZ($A$1,$B86,Q$5,$B$1)</f>
        <v>0</v>
      </c>
      <c r="R86" s="55">
        <f>_xll.EQNXTDZ($A$1,$B86,R$5,$B$1)</f>
        <v>3742.52</v>
      </c>
      <c r="S86" s="55">
        <f>_xll.EQNXTDZ($A$1,$B86,S$5,$B$1)</f>
        <v>0</v>
      </c>
      <c r="T86" s="55">
        <f>_xll.EQNXTDZ($A$1,$B86,T$5,$B$1)</f>
        <v>3970.79</v>
      </c>
      <c r="U86" s="55">
        <f>_xll.EQNXTDZ($A$1,$B86,U$5,$B$1)</f>
        <v>0</v>
      </c>
      <c r="V86" s="55">
        <f>_xll.EQNXTDZ($A$1,$B86,V$5,$B$1)</f>
        <v>3353.94</v>
      </c>
      <c r="W86" s="55">
        <f>_xll.EQNXTDZ($A$1,$B86,W$5,$B$1)</f>
        <v>0</v>
      </c>
      <c r="X86" s="55">
        <f>_xll.EQNXTDZ($A$1,$B86,X$5,$B$1)</f>
        <v>4219.78</v>
      </c>
      <c r="Y86" s="55">
        <f>_xll.EQNXTDZ($A$1,$B86,Y$5,$B$1)</f>
        <v>0</v>
      </c>
      <c r="Z86" s="55">
        <f>_xll.EQNXTDZ($A$1,$B86,Z$5,$B$1)</f>
        <v>4535.01</v>
      </c>
      <c r="AA86" s="55">
        <f>_xll.EQNXTDZ($A$1,$B86,AA$5,$B$1)</f>
        <v>0</v>
      </c>
      <c r="AB86" s="55">
        <f>_xll.EQNXTDZ($A$1,$B86,AB$5,$B$1)</f>
        <v>4721.7299999999996</v>
      </c>
      <c r="AC86" s="55">
        <f>_xll.EQNXTDZ($A$1,$B86,AC$5,$B$1)</f>
        <v>0</v>
      </c>
      <c r="AD86" s="55">
        <f>_xll.EQNXTDZ($A$1,$B86,AD$5,$B$1)</f>
        <v>4547.97</v>
      </c>
      <c r="AE86" s="55">
        <f>_xll.EQNXTDZ($A$1,$B86,AE$5,$B$1)</f>
        <v>0</v>
      </c>
      <c r="AF86" s="55">
        <f>_xll.EQNXTDZ($A$1,$B86,AF$5,$B$1)</f>
        <v>4644.08</v>
      </c>
      <c r="AG86" s="55">
        <f>_xll.EQNXTDZ($A$1,$B86,AG$5,$B$1)</f>
        <v>0</v>
      </c>
      <c r="AH86" s="55">
        <f>_xll.EQNXTDZ($A$1,$B86,AH$5,$B$1)</f>
        <v>5682.06</v>
      </c>
      <c r="AI86" s="55">
        <f>_xll.EQNXTDZ($A$1,$B86,AI$5,$B$1)</f>
        <v>0</v>
      </c>
      <c r="AJ86" s="55">
        <f>_xll.EQNXTDZ($A$1,$B86,AJ$5,$B$1)</f>
        <v>6477.64</v>
      </c>
      <c r="AK86" s="55">
        <f>_xll.EQNXTDZ($A$1,$B86,AK$5,$B$1)</f>
        <v>0</v>
      </c>
      <c r="AL86" s="55">
        <f>_xll.EQNXTDZ($A$1,$B86,AL$5,$B$1)</f>
        <v>7048.63</v>
      </c>
      <c r="AM86" s="55">
        <f>_xll.EQNXTDZ($A$1,$B86,AM$5,$B$1)</f>
        <v>0</v>
      </c>
      <c r="AN86" s="55">
        <f>_xll.EQNXTDZ($A$1,$B86,AN$5,$B$1)</f>
        <v>6465.38</v>
      </c>
      <c r="AO86" s="55">
        <f>_xll.EQNXTDZ($A$1,$B86,AO$5,$B$1)</f>
        <v>0</v>
      </c>
      <c r="AP86" s="55">
        <f>_xll.EQNXTDZ($A$1,$B86,AP$5,$B$1)</f>
        <v>7135.68</v>
      </c>
      <c r="AQ86" s="55">
        <f>_xll.EQNXTDZ($A$1,$B86,AQ$5,$B$1)</f>
        <v>0</v>
      </c>
      <c r="AR86" s="55">
        <f>_xll.EQNXTDZ($A$1,$B86,AR$5,$B$1)</f>
        <v>6846.32</v>
      </c>
      <c r="AS86" s="55">
        <f>_xll.EQNXTDZ($A$1,$B86,AS$5,$B$1)</f>
        <v>0</v>
      </c>
      <c r="AT86" s="55">
        <f>_xll.EQNXTDZ($A$1,$B86,AT$5,$B$1)</f>
        <v>8308.58</v>
      </c>
      <c r="AU86" s="55">
        <f>_xll.EQNXTDZ($A$1,$B86,AU$5,$B$1)</f>
        <v>0</v>
      </c>
      <c r="AV86" s="55">
        <f>_xll.EQNXTDZ($A$1,$B86,AV$5,$B$1)</f>
        <v>7746.87</v>
      </c>
      <c r="AW86" s="55">
        <f>_xll.EQNXTDZ($A$1,$B86,AW$5,$B$1)</f>
        <v>0</v>
      </c>
      <c r="AX86" s="55">
        <f>_xll.EQNXTDZ($A$1,$B86,AX$5,$B$1)</f>
        <v>7426.63</v>
      </c>
      <c r="AY86" s="55">
        <f>_xll.EQNXTDZ($A$1,$B86,AY$5,$B$1)</f>
        <v>0</v>
      </c>
      <c r="AZ86" s="55">
        <f>_xll.EQNXTDZ($A$1,$B86,AZ$5,$B$1)</f>
        <v>7841.16</v>
      </c>
      <c r="BA86" s="55">
        <f>_xll.EQNXTDZ($A$1,$B86,BA$5,$B$1)</f>
        <v>0</v>
      </c>
      <c r="BB86" s="55">
        <f>_xll.EQNXTDZ($A$1,$B86,BB$5,$B$1)</f>
        <v>8969.65</v>
      </c>
      <c r="BC86" s="55">
        <f>_xll.EQNXTDZ($A$1,$B86,BC$5,$B$1)</f>
        <v>0</v>
      </c>
      <c r="BD86" s="55">
        <f>_xll.EQNXTDZ($A$1,$B86,BD$5,$B$1)</f>
        <v>8412.2000000000007</v>
      </c>
      <c r="BE86" s="55">
        <f>_xll.EQNXTDZ($A$1,$B86,BE$5,$B$1)</f>
        <v>0</v>
      </c>
      <c r="BF86" s="55">
        <f>_xll.EQNXTDZ($A$1,$B86,BF$5,$B$1)</f>
        <v>10317.09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1559.89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497.5</v>
      </c>
      <c r="E88" s="55">
        <f>_xll.EQNXTDZ($A$1,$B88,E$5,$B$1)</f>
        <v>0</v>
      </c>
      <c r="F88" s="55">
        <f>_xll.EQNXTDZ($A$1,$B88,F$5,$B$1)</f>
        <v>344.13</v>
      </c>
      <c r="G88" s="55">
        <f>_xll.EQNXTDZ($A$1,$B88,G$5,$B$1)</f>
        <v>0</v>
      </c>
      <c r="H88" s="55">
        <f>_xll.EQNXTDZ($A$1,$B88,H$5,$B$1)</f>
        <v>649.84</v>
      </c>
      <c r="I88" s="55">
        <f>_xll.EQNXTDZ($A$1,$B88,I$5,$B$1)</f>
        <v>0</v>
      </c>
      <c r="J88" s="55">
        <f>_xll.EQNXTDZ($A$1,$B88,J$5,$B$1)</f>
        <v>347.59</v>
      </c>
      <c r="K88" s="55">
        <f>_xll.EQNXTDZ($A$1,$B88,K$5,$B$1)</f>
        <v>0</v>
      </c>
      <c r="L88" s="55">
        <f>_xll.EQNXTDZ($A$1,$B88,L$5,$B$1)</f>
        <v>648.34</v>
      </c>
      <c r="M88" s="55">
        <f>_xll.EQNXTDZ($A$1,$B88,M$5,$B$1)</f>
        <v>0</v>
      </c>
      <c r="N88" s="55">
        <f>_xll.EQNXTDZ($A$1,$B88,N$5,$B$1)</f>
        <v>382.03</v>
      </c>
      <c r="O88" s="55">
        <f>_xll.EQNXTDZ($A$1,$B88,O$5,$B$1)</f>
        <v>0</v>
      </c>
      <c r="P88" s="55">
        <f>_xll.EQNXTDZ($A$1,$B88,P$5,$B$1)</f>
        <v>508.96</v>
      </c>
      <c r="Q88" s="55">
        <f>_xll.EQNXTDZ($A$1,$B88,Q$5,$B$1)</f>
        <v>0</v>
      </c>
      <c r="R88" s="55">
        <f>_xll.EQNXTDZ($A$1,$B88,R$5,$B$1)</f>
        <v>408.56</v>
      </c>
      <c r="S88" s="55">
        <f>_xll.EQNXTDZ($A$1,$B88,S$5,$B$1)</f>
        <v>0</v>
      </c>
      <c r="T88" s="55">
        <f>_xll.EQNXTDZ($A$1,$B88,T$5,$B$1)</f>
        <v>547.07000000000005</v>
      </c>
      <c r="U88" s="55">
        <f>_xll.EQNXTDZ($A$1,$B88,U$5,$B$1)</f>
        <v>0</v>
      </c>
      <c r="V88" s="55">
        <f>_xll.EQNXTDZ($A$1,$B88,V$5,$B$1)</f>
        <v>320.23</v>
      </c>
      <c r="W88" s="55">
        <f>_xll.EQNXTDZ($A$1,$B88,W$5,$B$1)</f>
        <v>0</v>
      </c>
      <c r="X88" s="55">
        <f>_xll.EQNXTDZ($A$1,$B88,X$5,$B$1)</f>
        <v>428.07</v>
      </c>
      <c r="Y88" s="55">
        <f>_xll.EQNXTDZ($A$1,$B88,Y$5,$B$1)</f>
        <v>0</v>
      </c>
      <c r="Z88" s="55">
        <f>_xll.EQNXTDZ($A$1,$B88,Z$5,$B$1)</f>
        <v>400.19</v>
      </c>
      <c r="AA88" s="55">
        <f>_xll.EQNXTDZ($A$1,$B88,AA$5,$B$1)</f>
        <v>0</v>
      </c>
      <c r="AB88" s="55">
        <f>_xll.EQNXTDZ($A$1,$B88,AB$5,$B$1)</f>
        <v>401.8</v>
      </c>
      <c r="AC88" s="55">
        <f>_xll.EQNXTDZ($A$1,$B88,AC$5,$B$1)</f>
        <v>0</v>
      </c>
      <c r="AD88" s="55">
        <f>_xll.EQNXTDZ($A$1,$B88,AD$5,$B$1)</f>
        <v>329.66</v>
      </c>
      <c r="AE88" s="55">
        <f>_xll.EQNXTDZ($A$1,$B88,AE$5,$B$1)</f>
        <v>0</v>
      </c>
      <c r="AF88" s="55">
        <f>_xll.EQNXTDZ($A$1,$B88,AF$5,$B$1)</f>
        <v>417.4</v>
      </c>
      <c r="AG88" s="55">
        <f>_xll.EQNXTDZ($A$1,$B88,AG$5,$B$1)</f>
        <v>0</v>
      </c>
      <c r="AH88" s="55">
        <f>_xll.EQNXTDZ($A$1,$B88,AH$5,$B$1)</f>
        <v>387.81</v>
      </c>
      <c r="AI88" s="55">
        <f>_xll.EQNXTDZ($A$1,$B88,AI$5,$B$1)</f>
        <v>0</v>
      </c>
      <c r="AJ88" s="55">
        <f>_xll.EQNXTDZ($A$1,$B88,AJ$5,$B$1)</f>
        <v>411.97</v>
      </c>
      <c r="AK88" s="55">
        <f>_xll.EQNXTDZ($A$1,$B88,AK$5,$B$1)</f>
        <v>0</v>
      </c>
      <c r="AL88" s="55">
        <f>_xll.EQNXTDZ($A$1,$B88,AL$5,$B$1)</f>
        <v>919.1</v>
      </c>
      <c r="AM88" s="55">
        <f>_xll.EQNXTDZ($A$1,$B88,AM$5,$B$1)</f>
        <v>0</v>
      </c>
      <c r="AN88" s="55">
        <f>_xll.EQNXTDZ($A$1,$B88,AN$5,$B$1)</f>
        <v>488.78</v>
      </c>
      <c r="AO88" s="55">
        <f>_xll.EQNXTDZ($A$1,$B88,AO$5,$B$1)</f>
        <v>0</v>
      </c>
      <c r="AP88" s="55">
        <f>_xll.EQNXTDZ($A$1,$B88,AP$5,$B$1)</f>
        <v>768.72</v>
      </c>
      <c r="AQ88" s="55">
        <f>_xll.EQNXTDZ($A$1,$B88,AQ$5,$B$1)</f>
        <v>0</v>
      </c>
      <c r="AR88" s="55">
        <f>_xll.EQNXTDZ($A$1,$B88,AR$5,$B$1)</f>
        <v>661.26</v>
      </c>
      <c r="AS88" s="55">
        <f>_xll.EQNXTDZ($A$1,$B88,AS$5,$B$1)</f>
        <v>0</v>
      </c>
      <c r="AT88" s="55">
        <f>_xll.EQNXTDZ($A$1,$B88,AT$5,$B$1)</f>
        <v>976.7</v>
      </c>
      <c r="AU88" s="55">
        <f>_xll.EQNXTDZ($A$1,$B88,AU$5,$B$1)</f>
        <v>0</v>
      </c>
      <c r="AV88" s="55">
        <f>_xll.EQNXTDZ($A$1,$B88,AV$5,$B$1)</f>
        <v>897.32</v>
      </c>
      <c r="AW88" s="55">
        <f>_xll.EQNXTDZ($A$1,$B88,AW$5,$B$1)</f>
        <v>0</v>
      </c>
      <c r="AX88" s="55">
        <f>_xll.EQNXTDZ($A$1,$B88,AX$5,$B$1)</f>
        <v>2785.5</v>
      </c>
      <c r="AY88" s="55">
        <f>_xll.EQNXTDZ($A$1,$B88,AY$5,$B$1)</f>
        <v>0</v>
      </c>
      <c r="AZ88" s="55">
        <f>_xll.EQNXTDZ($A$1,$B88,AZ$5,$B$1)</f>
        <v>2244.1</v>
      </c>
      <c r="BA88" s="55">
        <f>_xll.EQNXTDZ($A$1,$B88,BA$5,$B$1)</f>
        <v>0</v>
      </c>
      <c r="BB88" s="55">
        <f>_xll.EQNXTDZ($A$1,$B88,BB$5,$B$1)</f>
        <v>1657.97</v>
      </c>
      <c r="BC88" s="55">
        <f>_xll.EQNXTDZ($A$1,$B88,BC$5,$B$1)</f>
        <v>0</v>
      </c>
      <c r="BD88" s="55">
        <f>_xll.EQNXTDZ($A$1,$B88,BD$5,$B$1)</f>
        <v>1696.13</v>
      </c>
      <c r="BE88" s="55">
        <f>_xll.EQNXTDZ($A$1,$B88,BE$5,$B$1)</f>
        <v>0</v>
      </c>
      <c r="BF88" s="55">
        <f>_xll.EQNXTDZ($A$1,$B88,BF$5,$B$1)</f>
        <v>1818.17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790.34</v>
      </c>
      <c r="G89" s="55">
        <f>_xll.EQNXTDZ($A$1,$B89,G$5,$B$1)</f>
        <v>0</v>
      </c>
      <c r="H89" s="55">
        <f>_xll.EQNXTDZ($A$1,$B89,H$5,$B$1)</f>
        <v>980.92</v>
      </c>
      <c r="I89" s="55">
        <f>_xll.EQNXTDZ($A$1,$B89,I$5,$B$1)</f>
        <v>0</v>
      </c>
      <c r="J89" s="55">
        <f>_xll.EQNXTDZ($A$1,$B89,J$5,$B$1)</f>
        <v>768.88</v>
      </c>
      <c r="K89" s="55">
        <f>_xll.EQNXTDZ($A$1,$B89,K$5,$B$1)</f>
        <v>0</v>
      </c>
      <c r="L89" s="55">
        <f>_xll.EQNXTDZ($A$1,$B89,L$5,$B$1)</f>
        <v>898.11</v>
      </c>
      <c r="M89" s="55">
        <f>_xll.EQNXTDZ($A$1,$B89,M$5,$B$1)</f>
        <v>0</v>
      </c>
      <c r="N89" s="55">
        <f>_xll.EQNXTDZ($A$1,$B89,N$5,$B$1)</f>
        <v>759.37</v>
      </c>
      <c r="O89" s="55">
        <f>_xll.EQNXTDZ($A$1,$B89,O$5,$B$1)</f>
        <v>0</v>
      </c>
      <c r="P89" s="55">
        <f>_xll.EQNXTDZ($A$1,$B89,P$5,$B$1)</f>
        <v>885.7</v>
      </c>
      <c r="Q89" s="55">
        <f>_xll.EQNXTDZ($A$1,$B89,Q$5,$B$1)</f>
        <v>0</v>
      </c>
      <c r="R89" s="55">
        <f>_xll.EQNXTDZ($A$1,$B89,R$5,$B$1)</f>
        <v>677.3</v>
      </c>
      <c r="S89" s="55">
        <f>_xll.EQNXTDZ($A$1,$B89,S$5,$B$1)</f>
        <v>0</v>
      </c>
      <c r="T89" s="55">
        <f>_xll.EQNXTDZ($A$1,$B89,T$5,$B$1)</f>
        <v>763.31</v>
      </c>
      <c r="U89" s="55">
        <f>_xll.EQNXTDZ($A$1,$B89,U$5,$B$1)</f>
        <v>0</v>
      </c>
      <c r="V89" s="55">
        <f>_xll.EQNXTDZ($A$1,$B89,V$5,$B$1)</f>
        <v>737.76</v>
      </c>
      <c r="W89" s="55">
        <f>_xll.EQNXTDZ($A$1,$B89,W$5,$B$1)</f>
        <v>0</v>
      </c>
      <c r="X89" s="55">
        <f>_xll.EQNXTDZ($A$1,$B89,X$5,$B$1)</f>
        <v>703.26</v>
      </c>
      <c r="Y89" s="55">
        <f>_xll.EQNXTDZ($A$1,$B89,Y$5,$B$1)</f>
        <v>0</v>
      </c>
      <c r="Z89" s="55">
        <f>_xll.EQNXTDZ($A$1,$B89,Z$5,$B$1)</f>
        <v>705.73</v>
      </c>
      <c r="AA89" s="55">
        <f>_xll.EQNXTDZ($A$1,$B89,AA$5,$B$1)</f>
        <v>0</v>
      </c>
      <c r="AB89" s="55">
        <f>_xll.EQNXTDZ($A$1,$B89,AB$5,$B$1)</f>
        <v>825.79</v>
      </c>
      <c r="AC89" s="55">
        <f>_xll.EQNXTDZ($A$1,$B89,AC$5,$B$1)</f>
        <v>0</v>
      </c>
      <c r="AD89" s="55">
        <f>_xll.EQNXTDZ($A$1,$B89,AD$5,$B$1)</f>
        <v>664.9</v>
      </c>
      <c r="AE89" s="55">
        <f>_xll.EQNXTDZ($A$1,$B89,AE$5,$B$1)</f>
        <v>0</v>
      </c>
      <c r="AF89" s="55">
        <f>_xll.EQNXTDZ($A$1,$B89,AF$5,$B$1)</f>
        <v>760.62</v>
      </c>
      <c r="AG89" s="55">
        <f>_xll.EQNXTDZ($A$1,$B89,AG$5,$B$1)</f>
        <v>0</v>
      </c>
      <c r="AH89" s="55">
        <f>_xll.EQNXTDZ($A$1,$B89,AH$5,$B$1)</f>
        <v>943.99</v>
      </c>
      <c r="AI89" s="55">
        <f>_xll.EQNXTDZ($A$1,$B89,AI$5,$B$1)</f>
        <v>0</v>
      </c>
      <c r="AJ89" s="55">
        <f>_xll.EQNXTDZ($A$1,$B89,AJ$5,$B$1)</f>
        <v>1431.23</v>
      </c>
      <c r="AK89" s="55">
        <f>_xll.EQNXTDZ($A$1,$B89,AK$5,$B$1)</f>
        <v>0</v>
      </c>
      <c r="AL89" s="55">
        <f>_xll.EQNXTDZ($A$1,$B89,AL$5,$B$1)</f>
        <v>1625.47</v>
      </c>
      <c r="AM89" s="55">
        <f>_xll.EQNXTDZ($A$1,$B89,AM$5,$B$1)</f>
        <v>0</v>
      </c>
      <c r="AN89" s="55">
        <f>_xll.EQNXTDZ($A$1,$B89,AN$5,$B$1)</f>
        <v>1505.41</v>
      </c>
      <c r="AO89" s="55">
        <f>_xll.EQNXTDZ($A$1,$B89,AO$5,$B$1)</f>
        <v>0</v>
      </c>
      <c r="AP89" s="55">
        <f>_xll.EQNXTDZ($A$1,$B89,AP$5,$B$1)</f>
        <v>1915.85</v>
      </c>
      <c r="AQ89" s="55">
        <f>_xll.EQNXTDZ($A$1,$B89,AQ$5,$B$1)</f>
        <v>0</v>
      </c>
      <c r="AR89" s="55">
        <f>_xll.EQNXTDZ($A$1,$B89,AR$5,$B$1)</f>
        <v>1889.84</v>
      </c>
      <c r="AS89" s="55">
        <f>_xll.EQNXTDZ($A$1,$B89,AS$5,$B$1)</f>
        <v>0</v>
      </c>
      <c r="AT89" s="55">
        <f>_xll.EQNXTDZ($A$1,$B89,AT$5,$B$1)</f>
        <v>2348.1799999999998</v>
      </c>
      <c r="AU89" s="55">
        <f>_xll.EQNXTDZ($A$1,$B89,AU$5,$B$1)</f>
        <v>0</v>
      </c>
      <c r="AV89" s="55">
        <f>_xll.EQNXTDZ($A$1,$B89,AV$5,$B$1)</f>
        <v>1912.25</v>
      </c>
      <c r="AW89" s="55">
        <f>_xll.EQNXTDZ($A$1,$B89,AW$5,$B$1)</f>
        <v>0</v>
      </c>
      <c r="AX89" s="55">
        <f>_xll.EQNXTDZ($A$1,$B89,AX$5,$B$1)</f>
        <v>2707.15</v>
      </c>
      <c r="AY89" s="55">
        <f>_xll.EQNXTDZ($A$1,$B89,AY$5,$B$1)</f>
        <v>0</v>
      </c>
      <c r="AZ89" s="55">
        <f>_xll.EQNXTDZ($A$1,$B89,AZ$5,$B$1)</f>
        <v>2542.58</v>
      </c>
      <c r="BA89" s="55">
        <f>_xll.EQNXTDZ($A$1,$B89,BA$5,$B$1)</f>
        <v>0</v>
      </c>
      <c r="BB89" s="55">
        <f>_xll.EQNXTDZ($A$1,$B89,BB$5,$B$1)</f>
        <v>3508.43</v>
      </c>
      <c r="BC89" s="55">
        <f>_xll.EQNXTDZ($A$1,$B89,BC$5,$B$1)</f>
        <v>0</v>
      </c>
      <c r="BD89" s="55">
        <f>_xll.EQNXTDZ($A$1,$B89,BD$5,$B$1)</f>
        <v>2987.11</v>
      </c>
      <c r="BE89" s="55">
        <f>_xll.EQNXTDZ($A$1,$B89,BE$5,$B$1)</f>
        <v>0</v>
      </c>
      <c r="BF89" s="55">
        <f>_xll.EQNXTDZ($A$1,$B89,BF$5,$B$1)</f>
        <v>3875.3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703.08</v>
      </c>
      <c r="G91" s="55">
        <f>_xll.EQNXTDZ($A$1,$B91,G$5,$B$1)</f>
        <v>0</v>
      </c>
      <c r="H91" s="55">
        <f>_xll.EQNXTDZ($A$1,$B91,H$5,$B$1)</f>
        <v>770.73</v>
      </c>
      <c r="I91" s="55">
        <f>_xll.EQNXTDZ($A$1,$B91,I$5,$B$1)</f>
        <v>0</v>
      </c>
      <c r="J91" s="55">
        <f>_xll.EQNXTDZ($A$1,$B91,J$5,$B$1)</f>
        <v>368.03</v>
      </c>
      <c r="K91" s="55">
        <f>_xll.EQNXTDZ($A$1,$B91,K$5,$B$1)</f>
        <v>0</v>
      </c>
      <c r="L91" s="55">
        <f>_xll.EQNXTDZ($A$1,$B91,L$5,$B$1)</f>
        <v>358</v>
      </c>
      <c r="M91" s="55">
        <f>_xll.EQNXTDZ($A$1,$B91,M$5,$B$1)</f>
        <v>0</v>
      </c>
      <c r="N91" s="55">
        <f>_xll.EQNXTDZ($A$1,$B91,N$5,$B$1)</f>
        <v>387.32</v>
      </c>
      <c r="O91" s="55">
        <f>_xll.EQNXTDZ($A$1,$B91,O$5,$B$1)</f>
        <v>0</v>
      </c>
      <c r="P91" s="55">
        <f>_xll.EQNXTDZ($A$1,$B91,P$5,$B$1)</f>
        <v>363.24</v>
      </c>
      <c r="Q91" s="55">
        <f>_xll.EQNXTDZ($A$1,$B91,Q$5,$B$1)</f>
        <v>0</v>
      </c>
      <c r="R91" s="55">
        <f>_xll.EQNXTDZ($A$1,$B91,R$5,$B$1)</f>
        <v>717.54</v>
      </c>
      <c r="S91" s="55">
        <f>_xll.EQNXTDZ($A$1,$B91,S$5,$B$1)</f>
        <v>0</v>
      </c>
      <c r="T91" s="55">
        <f>_xll.EQNXTDZ($A$1,$B91,T$5,$B$1)</f>
        <v>770</v>
      </c>
      <c r="U91" s="55">
        <f>_xll.EQNXTDZ($A$1,$B91,U$5,$B$1)</f>
        <v>0</v>
      </c>
      <c r="V91" s="55">
        <f>_xll.EQNXTDZ($A$1,$B91,V$5,$B$1)</f>
        <v>381.41</v>
      </c>
      <c r="W91" s="55">
        <f>_xll.EQNXTDZ($A$1,$B91,W$5,$B$1)</f>
        <v>0</v>
      </c>
      <c r="X91" s="55">
        <f>_xll.EQNXTDZ($A$1,$B91,X$5,$B$1)</f>
        <v>378.17</v>
      </c>
      <c r="Y91" s="55">
        <f>_xll.EQNXTDZ($A$1,$B91,Y$5,$B$1)</f>
        <v>0</v>
      </c>
      <c r="Z91" s="55">
        <f>_xll.EQNXTDZ($A$1,$B91,Z$5,$B$1)</f>
        <v>391.85</v>
      </c>
      <c r="AA91" s="55">
        <f>_xll.EQNXTDZ($A$1,$B91,AA$5,$B$1)</f>
        <v>0</v>
      </c>
      <c r="AB91" s="55">
        <f>_xll.EQNXTDZ($A$1,$B91,AB$5,$B$1)</f>
        <v>448.62</v>
      </c>
      <c r="AC91" s="55">
        <f>_xll.EQNXTDZ($A$1,$B91,AC$5,$B$1)</f>
        <v>0</v>
      </c>
      <c r="AD91" s="55">
        <f>_xll.EQNXTDZ($A$1,$B91,AD$5,$B$1)</f>
        <v>425.87</v>
      </c>
      <c r="AE91" s="55">
        <f>_xll.EQNXTDZ($A$1,$B91,AE$5,$B$1)</f>
        <v>0</v>
      </c>
      <c r="AF91" s="55">
        <f>_xll.EQNXTDZ($A$1,$B91,AF$5,$B$1)</f>
        <v>461.06</v>
      </c>
      <c r="AG91" s="55">
        <f>_xll.EQNXTDZ($A$1,$B91,AG$5,$B$1)</f>
        <v>0</v>
      </c>
      <c r="AH91" s="55">
        <f>_xll.EQNXTDZ($A$1,$B91,AH$5,$B$1)</f>
        <v>554.39</v>
      </c>
      <c r="AI91" s="55">
        <f>_xll.EQNXTDZ($A$1,$B91,AI$5,$B$1)</f>
        <v>0</v>
      </c>
      <c r="AJ91" s="55">
        <f>_xll.EQNXTDZ($A$1,$B91,AJ$5,$B$1)</f>
        <v>552.17999999999995</v>
      </c>
      <c r="AK91" s="55">
        <f>_xll.EQNXTDZ($A$1,$B91,AK$5,$B$1)</f>
        <v>0</v>
      </c>
      <c r="AL91" s="55">
        <f>_xll.EQNXTDZ($A$1,$B91,AL$5,$B$1)</f>
        <v>448.18</v>
      </c>
      <c r="AM91" s="55">
        <f>_xll.EQNXTDZ($A$1,$B91,AM$5,$B$1)</f>
        <v>0</v>
      </c>
      <c r="AN91" s="55">
        <f>_xll.EQNXTDZ($A$1,$B91,AN$5,$B$1)</f>
        <v>418.98</v>
      </c>
      <c r="AO91" s="55">
        <f>_xll.EQNXTDZ($A$1,$B91,AO$5,$B$1)</f>
        <v>0</v>
      </c>
      <c r="AP91" s="55">
        <f>_xll.EQNXTDZ($A$1,$B91,AP$5,$B$1)</f>
        <v>414.84</v>
      </c>
      <c r="AQ91" s="55">
        <f>_xll.EQNXTDZ($A$1,$B91,AQ$5,$B$1)</f>
        <v>0</v>
      </c>
      <c r="AR91" s="55">
        <f>_xll.EQNXTDZ($A$1,$B91,AR$5,$B$1)</f>
        <v>419.07</v>
      </c>
      <c r="AS91" s="55">
        <f>_xll.EQNXTDZ($A$1,$B91,AS$5,$B$1)</f>
        <v>0</v>
      </c>
      <c r="AT91" s="55">
        <f>_xll.EQNXTDZ($A$1,$B91,AT$5,$B$1)</f>
        <v>522.4</v>
      </c>
      <c r="AU91" s="55">
        <f>_xll.EQNXTDZ($A$1,$B91,AU$5,$B$1)</f>
        <v>0</v>
      </c>
      <c r="AV91" s="55">
        <f>_xll.EQNXTDZ($A$1,$B91,AV$5,$B$1)</f>
        <v>472.29</v>
      </c>
      <c r="AW91" s="55">
        <f>_xll.EQNXTDZ($A$1,$B91,AW$5,$B$1)</f>
        <v>0</v>
      </c>
      <c r="AX91" s="55">
        <f>_xll.EQNXTDZ($A$1,$B91,AX$5,$B$1)</f>
        <v>535.41999999999996</v>
      </c>
      <c r="AY91" s="55">
        <f>_xll.EQNXTDZ($A$1,$B91,AY$5,$B$1)</f>
        <v>0</v>
      </c>
      <c r="AZ91" s="55">
        <f>_xll.EQNXTDZ($A$1,$B91,AZ$5,$B$1)</f>
        <v>479.34</v>
      </c>
      <c r="BA91" s="55">
        <f>_xll.EQNXTDZ($A$1,$B91,BA$5,$B$1)</f>
        <v>0</v>
      </c>
      <c r="BB91" s="55">
        <f>_xll.EQNXTDZ($A$1,$B91,BB$5,$B$1)</f>
        <v>524.53</v>
      </c>
      <c r="BC91" s="55">
        <f>_xll.EQNXTDZ($A$1,$B91,BC$5,$B$1)</f>
        <v>0</v>
      </c>
      <c r="BD91" s="55">
        <f>_xll.EQNXTDZ($A$1,$B91,BD$5,$B$1)</f>
        <v>622.71</v>
      </c>
      <c r="BE91" s="55">
        <f>_xll.EQNXTDZ($A$1,$B91,BE$5,$B$1)</f>
        <v>0</v>
      </c>
      <c r="BF91" s="55">
        <f>_xll.EQNXTDZ($A$1,$B91,BF$5,$B$1)</f>
        <v>698.8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123.13</v>
      </c>
      <c r="E92" s="55">
        <f>_xll.EQNXTDZ($A$1,$B92,E$5,$B$1)</f>
        <v>0</v>
      </c>
      <c r="F92" s="55">
        <f>_xll.EQNXTDZ($A$1,$B92,F$5,$B$1)</f>
        <v>310.08</v>
      </c>
      <c r="G92" s="55">
        <f>_xll.EQNXTDZ($A$1,$B92,G$5,$B$1)</f>
        <v>0</v>
      </c>
      <c r="H92" s="55">
        <f>_xll.EQNXTDZ($A$1,$B92,H$5,$B$1)</f>
        <v>151.72</v>
      </c>
      <c r="I92" s="55">
        <f>_xll.EQNXTDZ($A$1,$B92,I$5,$B$1)</f>
        <v>0</v>
      </c>
      <c r="J92" s="55">
        <f>_xll.EQNXTDZ($A$1,$B92,J$5,$B$1)</f>
        <v>254.99</v>
      </c>
      <c r="K92" s="55">
        <f>_xll.EQNXTDZ($A$1,$B92,K$5,$B$1)</f>
        <v>0</v>
      </c>
      <c r="L92" s="55">
        <f>_xll.EQNXTDZ($A$1,$B92,L$5,$B$1)</f>
        <v>127.16</v>
      </c>
      <c r="M92" s="55">
        <f>_xll.EQNXTDZ($A$1,$B92,M$5,$B$1)</f>
        <v>0</v>
      </c>
      <c r="N92" s="55">
        <f>_xll.EQNXTDZ($A$1,$B92,N$5,$B$1)</f>
        <v>269.18</v>
      </c>
      <c r="O92" s="55">
        <f>_xll.EQNXTDZ($A$1,$B92,O$5,$B$1)</f>
        <v>0</v>
      </c>
      <c r="P92" s="55">
        <f>_xll.EQNXTDZ($A$1,$B92,P$5,$B$1)</f>
        <v>90.5</v>
      </c>
      <c r="Q92" s="55">
        <f>_xll.EQNXTDZ($A$1,$B92,Q$5,$B$1)</f>
        <v>0</v>
      </c>
      <c r="R92" s="55">
        <f>_xll.EQNXTDZ($A$1,$B92,R$5,$B$1)</f>
        <v>100.64</v>
      </c>
      <c r="S92" s="55">
        <f>_xll.EQNXTDZ($A$1,$B92,S$5,$B$1)</f>
        <v>0</v>
      </c>
      <c r="T92" s="55">
        <f>_xll.EQNXTDZ($A$1,$B92,T$5,$B$1)</f>
        <v>88.22</v>
      </c>
      <c r="U92" s="55">
        <f>_xll.EQNXTDZ($A$1,$B92,U$5,$B$1)</f>
        <v>0</v>
      </c>
      <c r="V92" s="55">
        <f>_xll.EQNXTDZ($A$1,$B92,V$5,$B$1)</f>
        <v>125.9</v>
      </c>
      <c r="W92" s="55">
        <f>_xll.EQNXTDZ($A$1,$B92,W$5,$B$1)</f>
        <v>0</v>
      </c>
      <c r="X92" s="55">
        <f>_xll.EQNXTDZ($A$1,$B92,X$5,$B$1)</f>
        <v>194.64</v>
      </c>
      <c r="Y92" s="55">
        <f>_xll.EQNXTDZ($A$1,$B92,Y$5,$B$1)</f>
        <v>0</v>
      </c>
      <c r="Z92" s="55">
        <f>_xll.EQNXTDZ($A$1,$B92,Z$5,$B$1)</f>
        <v>98.8</v>
      </c>
      <c r="AA92" s="55">
        <f>_xll.EQNXTDZ($A$1,$B92,AA$5,$B$1)</f>
        <v>0</v>
      </c>
      <c r="AB92" s="55">
        <f>_xll.EQNXTDZ($A$1,$B92,AB$5,$B$1)</f>
        <v>102.94</v>
      </c>
      <c r="AC92" s="55">
        <f>_xll.EQNXTDZ($A$1,$B92,AC$5,$B$1)</f>
        <v>0</v>
      </c>
      <c r="AD92" s="55">
        <f>_xll.EQNXTDZ($A$1,$B92,AD$5,$B$1)</f>
        <v>49.51</v>
      </c>
      <c r="AE92" s="55">
        <f>_xll.EQNXTDZ($A$1,$B92,AE$5,$B$1)</f>
        <v>0</v>
      </c>
      <c r="AF92" s="55">
        <f>_xll.EQNXTDZ($A$1,$B92,AF$5,$B$1)</f>
        <v>49.44</v>
      </c>
      <c r="AG92" s="55">
        <f>_xll.EQNXTDZ($A$1,$B92,AG$5,$B$1)</f>
        <v>0</v>
      </c>
      <c r="AH92" s="55">
        <f>_xll.EQNXTDZ($A$1,$B92,AH$5,$B$1)</f>
        <v>92.41</v>
      </c>
      <c r="AI92" s="55">
        <f>_xll.EQNXTDZ($A$1,$B92,AI$5,$B$1)</f>
        <v>0</v>
      </c>
      <c r="AJ92" s="55">
        <f>_xll.EQNXTDZ($A$1,$B92,AJ$5,$B$1)</f>
        <v>88.72</v>
      </c>
      <c r="AK92" s="55">
        <f>_xll.EQNXTDZ($A$1,$B92,AK$5,$B$1)</f>
        <v>0</v>
      </c>
      <c r="AL92" s="55">
        <f>_xll.EQNXTDZ($A$1,$B92,AL$5,$B$1)</f>
        <v>101.71</v>
      </c>
      <c r="AM92" s="55">
        <f>_xll.EQNXTDZ($A$1,$B92,AM$5,$B$1)</f>
        <v>0</v>
      </c>
      <c r="AN92" s="55">
        <f>_xll.EQNXTDZ($A$1,$B92,AN$5,$B$1)</f>
        <v>97.61</v>
      </c>
      <c r="AO92" s="55">
        <f>_xll.EQNXTDZ($A$1,$B92,AO$5,$B$1)</f>
        <v>0</v>
      </c>
      <c r="AP92" s="55">
        <f>_xll.EQNXTDZ($A$1,$B92,AP$5,$B$1)</f>
        <v>73.209999999999994</v>
      </c>
      <c r="AQ92" s="55">
        <f>_xll.EQNXTDZ($A$1,$B92,AQ$5,$B$1)</f>
        <v>0</v>
      </c>
      <c r="AR92" s="55">
        <f>_xll.EQNXTDZ($A$1,$B92,AR$5,$B$1)</f>
        <v>106.14</v>
      </c>
      <c r="AS92" s="55">
        <f>_xll.EQNXTDZ($A$1,$B92,AS$5,$B$1)</f>
        <v>0</v>
      </c>
      <c r="AT92" s="55">
        <f>_xll.EQNXTDZ($A$1,$B92,AT$5,$B$1)</f>
        <v>77.400000000000006</v>
      </c>
      <c r="AU92" s="55">
        <f>_xll.EQNXTDZ($A$1,$B92,AU$5,$B$1)</f>
        <v>0</v>
      </c>
      <c r="AV92" s="55">
        <f>_xll.EQNXTDZ($A$1,$B92,AV$5,$B$1)</f>
        <v>78.39</v>
      </c>
      <c r="AW92" s="55">
        <f>_xll.EQNXTDZ($A$1,$B92,AW$5,$B$1)</f>
        <v>0</v>
      </c>
      <c r="AX92" s="55">
        <f>_xll.EQNXTDZ($A$1,$B92,AX$5,$B$1)</f>
        <v>163.02000000000001</v>
      </c>
      <c r="AY92" s="55">
        <f>_xll.EQNXTDZ($A$1,$B92,AY$5,$B$1)</f>
        <v>0</v>
      </c>
      <c r="AZ92" s="55">
        <f>_xll.EQNXTDZ($A$1,$B92,AZ$5,$B$1)</f>
        <v>149.44999999999999</v>
      </c>
      <c r="BA92" s="55">
        <f>_xll.EQNXTDZ($A$1,$B92,BA$5,$B$1)</f>
        <v>0</v>
      </c>
      <c r="BB92" s="55">
        <f>_xll.EQNXTDZ($A$1,$B92,BB$5,$B$1)</f>
        <v>150.16999999999999</v>
      </c>
      <c r="BC92" s="55">
        <f>_xll.EQNXTDZ($A$1,$B92,BC$5,$B$1)</f>
        <v>0</v>
      </c>
      <c r="BD92" s="55">
        <f>_xll.EQNXTDZ($A$1,$B92,BD$5,$B$1)</f>
        <v>161.61000000000001</v>
      </c>
      <c r="BE92" s="55">
        <f>_xll.EQNXTDZ($A$1,$B92,BE$5,$B$1)</f>
        <v>0</v>
      </c>
      <c r="BF92" s="55">
        <f>_xll.EQNXTDZ($A$1,$B92,BF$5,$B$1)</f>
        <v>186.29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2180.52</v>
      </c>
      <c r="E93" s="55">
        <f>_xll.EQNXTDZ($A$1,$B93,E$5,$B$1)</f>
        <v>0</v>
      </c>
      <c r="F93" s="55">
        <f>_xll.EQNXTDZ($A$1,$B93,F$5,$B$1)</f>
        <v>2147.63</v>
      </c>
      <c r="G93" s="55">
        <f>_xll.EQNXTDZ($A$1,$B93,G$5,$B$1)</f>
        <v>0</v>
      </c>
      <c r="H93" s="55">
        <f>_xll.EQNXTDZ($A$1,$B93,H$5,$B$1)</f>
        <v>2553.21</v>
      </c>
      <c r="I93" s="55">
        <f>_xll.EQNXTDZ($A$1,$B93,I$5,$B$1)</f>
        <v>0</v>
      </c>
      <c r="J93" s="55">
        <f>_xll.EQNXTDZ($A$1,$B93,J$5,$B$1)</f>
        <v>1739.49</v>
      </c>
      <c r="K93" s="55">
        <f>_xll.EQNXTDZ($A$1,$B93,K$5,$B$1)</f>
        <v>0</v>
      </c>
      <c r="L93" s="55">
        <f>_xll.EQNXTDZ($A$1,$B93,L$5,$B$1)</f>
        <v>2031.61</v>
      </c>
      <c r="M93" s="55">
        <f>_xll.EQNXTDZ($A$1,$B93,M$5,$B$1)</f>
        <v>0</v>
      </c>
      <c r="N93" s="55">
        <f>_xll.EQNXTDZ($A$1,$B93,N$5,$B$1)</f>
        <v>1797.9</v>
      </c>
      <c r="O93" s="55">
        <f>_xll.EQNXTDZ($A$1,$B93,O$5,$B$1)</f>
        <v>0</v>
      </c>
      <c r="P93" s="55">
        <f>_xll.EQNXTDZ($A$1,$B93,P$5,$B$1)</f>
        <v>1848.4</v>
      </c>
      <c r="Q93" s="55">
        <f>_xll.EQNXTDZ($A$1,$B93,Q$5,$B$1)</f>
        <v>0</v>
      </c>
      <c r="R93" s="55">
        <f>_xll.EQNXTDZ($A$1,$B93,R$5,$B$1)</f>
        <v>1904.04</v>
      </c>
      <c r="S93" s="55">
        <f>_xll.EQNXTDZ($A$1,$B93,S$5,$B$1)</f>
        <v>0</v>
      </c>
      <c r="T93" s="55">
        <f>_xll.EQNXTDZ($A$1,$B93,T$5,$B$1)</f>
        <v>2168.6</v>
      </c>
      <c r="U93" s="55">
        <f>_xll.EQNXTDZ($A$1,$B93,U$5,$B$1)</f>
        <v>0</v>
      </c>
      <c r="V93" s="55">
        <f>_xll.EQNXTDZ($A$1,$B93,V$5,$B$1)</f>
        <v>1565.3</v>
      </c>
      <c r="W93" s="55">
        <f>_xll.EQNXTDZ($A$1,$B93,W$5,$B$1)</f>
        <v>0</v>
      </c>
      <c r="X93" s="55">
        <f>_xll.EQNXTDZ($A$1,$B93,X$5,$B$1)</f>
        <v>1704.14</v>
      </c>
      <c r="Y93" s="55">
        <f>_xll.EQNXTDZ($A$1,$B93,Y$5,$B$1)</f>
        <v>0</v>
      </c>
      <c r="Z93" s="55">
        <f>_xll.EQNXTDZ($A$1,$B93,Z$5,$B$1)</f>
        <v>1596.57</v>
      </c>
      <c r="AA93" s="55">
        <f>_xll.EQNXTDZ($A$1,$B93,AA$5,$B$1)</f>
        <v>0</v>
      </c>
      <c r="AB93" s="55">
        <f>_xll.EQNXTDZ($A$1,$B93,AB$5,$B$1)</f>
        <v>1779.15</v>
      </c>
      <c r="AC93" s="55">
        <f>_xll.EQNXTDZ($A$1,$B93,AC$5,$B$1)</f>
        <v>0</v>
      </c>
      <c r="AD93" s="55">
        <f>_xll.EQNXTDZ($A$1,$B93,AD$5,$B$1)</f>
        <v>1469.94</v>
      </c>
      <c r="AE93" s="55">
        <f>_xll.EQNXTDZ($A$1,$B93,AE$5,$B$1)</f>
        <v>0</v>
      </c>
      <c r="AF93" s="55">
        <f>_xll.EQNXTDZ($A$1,$B93,AF$5,$B$1)</f>
        <v>1688.52</v>
      </c>
      <c r="AG93" s="55">
        <f>_xll.EQNXTDZ($A$1,$B93,AG$5,$B$1)</f>
        <v>0</v>
      </c>
      <c r="AH93" s="55">
        <f>_xll.EQNXTDZ($A$1,$B93,AH$5,$B$1)</f>
        <v>1978.6</v>
      </c>
      <c r="AI93" s="55">
        <f>_xll.EQNXTDZ($A$1,$B93,AI$5,$B$1)</f>
        <v>0</v>
      </c>
      <c r="AJ93" s="55">
        <f>_xll.EQNXTDZ($A$1,$B93,AJ$5,$B$1)</f>
        <v>2484.1</v>
      </c>
      <c r="AK93" s="55">
        <f>_xll.EQNXTDZ($A$1,$B93,AK$5,$B$1)</f>
        <v>0</v>
      </c>
      <c r="AL93" s="55">
        <f>_xll.EQNXTDZ($A$1,$B93,AL$5,$B$1)</f>
        <v>3094.46</v>
      </c>
      <c r="AM93" s="55">
        <f>_xll.EQNXTDZ($A$1,$B93,AM$5,$B$1)</f>
        <v>0</v>
      </c>
      <c r="AN93" s="55">
        <f>_xll.EQNXTDZ($A$1,$B93,AN$5,$B$1)</f>
        <v>2510.7800000000002</v>
      </c>
      <c r="AO93" s="55">
        <f>_xll.EQNXTDZ($A$1,$B93,AO$5,$B$1)</f>
        <v>0</v>
      </c>
      <c r="AP93" s="55">
        <f>_xll.EQNXTDZ($A$1,$B93,AP$5,$B$1)</f>
        <v>3172.62</v>
      </c>
      <c r="AQ93" s="55">
        <f>_xll.EQNXTDZ($A$1,$B93,AQ$5,$B$1)</f>
        <v>0</v>
      </c>
      <c r="AR93" s="55">
        <f>_xll.EQNXTDZ($A$1,$B93,AR$5,$B$1)</f>
        <v>3076.31</v>
      </c>
      <c r="AS93" s="55">
        <f>_xll.EQNXTDZ($A$1,$B93,AS$5,$B$1)</f>
        <v>0</v>
      </c>
      <c r="AT93" s="55">
        <f>_xll.EQNXTDZ($A$1,$B93,AT$5,$B$1)</f>
        <v>3924.68</v>
      </c>
      <c r="AU93" s="55">
        <f>_xll.EQNXTDZ($A$1,$B93,AU$5,$B$1)</f>
        <v>0</v>
      </c>
      <c r="AV93" s="55">
        <f>_xll.EQNXTDZ($A$1,$B93,AV$5,$B$1)</f>
        <v>3360.25</v>
      </c>
      <c r="AW93" s="55">
        <f>_xll.EQNXTDZ($A$1,$B93,AW$5,$B$1)</f>
        <v>0</v>
      </c>
      <c r="AX93" s="55">
        <f>_xll.EQNXTDZ($A$1,$B93,AX$5,$B$1)</f>
        <v>6191.09</v>
      </c>
      <c r="AY93" s="55">
        <f>_xll.EQNXTDZ($A$1,$B93,AY$5,$B$1)</f>
        <v>0</v>
      </c>
      <c r="AZ93" s="55">
        <f>_xll.EQNXTDZ($A$1,$B93,AZ$5,$B$1)</f>
        <v>5415.47</v>
      </c>
      <c r="BA93" s="55">
        <f>_xll.EQNXTDZ($A$1,$B93,BA$5,$B$1)</f>
        <v>0</v>
      </c>
      <c r="BB93" s="55">
        <f>_xll.EQNXTDZ($A$1,$B93,BB$5,$B$1)</f>
        <v>5841.1</v>
      </c>
      <c r="BC93" s="55">
        <f>_xll.EQNXTDZ($A$1,$B93,BC$5,$B$1)</f>
        <v>0</v>
      </c>
      <c r="BD93" s="55">
        <f>_xll.EQNXTDZ($A$1,$B93,BD$5,$B$1)</f>
        <v>5467.56</v>
      </c>
      <c r="BE93" s="55">
        <f>_xll.EQNXTDZ($A$1,$B93,BE$5,$B$1)</f>
        <v>0</v>
      </c>
      <c r="BF93" s="55">
        <f>_xll.EQNXTDZ($A$1,$B93,BF$5,$B$1)</f>
        <v>6578.56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1731.65</v>
      </c>
      <c r="E94" s="55">
        <f>_xll.EQNXTDZ($A$1,$B94,E$5,$B$1)</f>
        <v>0</v>
      </c>
      <c r="F94" s="55">
        <f>_xll.EQNXTDZ($A$1,$B94,F$5,$B$1)</f>
        <v>1461.57</v>
      </c>
      <c r="G94" s="55">
        <f>_xll.EQNXTDZ($A$1,$B94,G$5,$B$1)</f>
        <v>0</v>
      </c>
      <c r="H94" s="55">
        <f>_xll.EQNXTDZ($A$1,$B94,H$5,$B$1)</f>
        <v>1842.41</v>
      </c>
      <c r="I94" s="55">
        <f>_xll.EQNXTDZ($A$1,$B94,I$5,$B$1)</f>
        <v>0</v>
      </c>
      <c r="J94" s="55">
        <f>_xll.EQNXTDZ($A$1,$B94,J$5,$B$1)</f>
        <v>2117.25</v>
      </c>
      <c r="K94" s="55">
        <f>_xll.EQNXTDZ($A$1,$B94,K$5,$B$1)</f>
        <v>0</v>
      </c>
      <c r="L94" s="55">
        <f>_xll.EQNXTDZ($A$1,$B94,L$5,$B$1)</f>
        <v>2047.79</v>
      </c>
      <c r="M94" s="55">
        <f>_xll.EQNXTDZ($A$1,$B94,M$5,$B$1)</f>
        <v>0</v>
      </c>
      <c r="N94" s="55">
        <f>_xll.EQNXTDZ($A$1,$B94,N$5,$B$1)</f>
        <v>1813.24</v>
      </c>
      <c r="O94" s="55">
        <f>_xll.EQNXTDZ($A$1,$B94,O$5,$B$1)</f>
        <v>0</v>
      </c>
      <c r="P94" s="55">
        <f>_xll.EQNXTDZ($A$1,$B94,P$5,$B$1)</f>
        <v>2062.6799999999998</v>
      </c>
      <c r="Q94" s="55">
        <f>_xll.EQNXTDZ($A$1,$B94,Q$5,$B$1)</f>
        <v>0</v>
      </c>
      <c r="R94" s="55">
        <f>_xll.EQNXTDZ($A$1,$B94,R$5,$B$1)</f>
        <v>1838.48</v>
      </c>
      <c r="S94" s="55">
        <f>_xll.EQNXTDZ($A$1,$B94,S$5,$B$1)</f>
        <v>0</v>
      </c>
      <c r="T94" s="55">
        <f>_xll.EQNXTDZ($A$1,$B94,T$5,$B$1)</f>
        <v>1802.19</v>
      </c>
      <c r="U94" s="55">
        <f>_xll.EQNXTDZ($A$1,$B94,U$5,$B$1)</f>
        <v>0</v>
      </c>
      <c r="V94" s="55">
        <f>_xll.EQNXTDZ($A$1,$B94,V$5,$B$1)</f>
        <v>1788.64</v>
      </c>
      <c r="W94" s="55">
        <f>_xll.EQNXTDZ($A$1,$B94,W$5,$B$1)</f>
        <v>0</v>
      </c>
      <c r="X94" s="55">
        <f>_xll.EQNXTDZ($A$1,$B94,X$5,$B$1)</f>
        <v>2515.64</v>
      </c>
      <c r="Y94" s="55">
        <f>_xll.EQNXTDZ($A$1,$B94,Y$5,$B$1)</f>
        <v>0</v>
      </c>
      <c r="Z94" s="55">
        <f>_xll.EQNXTDZ($A$1,$B94,Z$5,$B$1)</f>
        <v>2938.44</v>
      </c>
      <c r="AA94" s="55">
        <f>_xll.EQNXTDZ($A$1,$B94,AA$5,$B$1)</f>
        <v>0</v>
      </c>
      <c r="AB94" s="55">
        <f>_xll.EQNXTDZ($A$1,$B94,AB$5,$B$1)</f>
        <v>2942.58</v>
      </c>
      <c r="AC94" s="55">
        <f>_xll.EQNXTDZ($A$1,$B94,AC$5,$B$1)</f>
        <v>0</v>
      </c>
      <c r="AD94" s="55">
        <f>_xll.EQNXTDZ($A$1,$B94,AD$5,$B$1)</f>
        <v>3078.03</v>
      </c>
      <c r="AE94" s="55">
        <f>_xll.EQNXTDZ($A$1,$B94,AE$5,$B$1)</f>
        <v>0</v>
      </c>
      <c r="AF94" s="55">
        <f>_xll.EQNXTDZ($A$1,$B94,AF$5,$B$1)</f>
        <v>2955.56</v>
      </c>
      <c r="AG94" s="55">
        <f>_xll.EQNXTDZ($A$1,$B94,AG$5,$B$1)</f>
        <v>0</v>
      </c>
      <c r="AH94" s="55">
        <f>_xll.EQNXTDZ($A$1,$B94,AH$5,$B$1)</f>
        <v>3703.46</v>
      </c>
      <c r="AI94" s="55">
        <f>_xll.EQNXTDZ($A$1,$B94,AI$5,$B$1)</f>
        <v>0</v>
      </c>
      <c r="AJ94" s="55">
        <f>_xll.EQNXTDZ($A$1,$B94,AJ$5,$B$1)</f>
        <v>3993.54</v>
      </c>
      <c r="AK94" s="55">
        <f>_xll.EQNXTDZ($A$1,$B94,AK$5,$B$1)</f>
        <v>0</v>
      </c>
      <c r="AL94" s="55">
        <f>_xll.EQNXTDZ($A$1,$B94,AL$5,$B$1)</f>
        <v>3954.17</v>
      </c>
      <c r="AM94" s="55">
        <f>_xll.EQNXTDZ($A$1,$B94,AM$5,$B$1)</f>
        <v>0</v>
      </c>
      <c r="AN94" s="55">
        <f>_xll.EQNXTDZ($A$1,$B94,AN$5,$B$1)</f>
        <v>3954.6</v>
      </c>
      <c r="AO94" s="55">
        <f>_xll.EQNXTDZ($A$1,$B94,AO$5,$B$1)</f>
        <v>0</v>
      </c>
      <c r="AP94" s="55">
        <f>_xll.EQNXTDZ($A$1,$B94,AP$5,$B$1)</f>
        <v>3963.06</v>
      </c>
      <c r="AQ94" s="55">
        <f>_xll.EQNXTDZ($A$1,$B94,AQ$5,$B$1)</f>
        <v>0</v>
      </c>
      <c r="AR94" s="55">
        <f>_xll.EQNXTDZ($A$1,$B94,AR$5,$B$1)</f>
        <v>3770.01</v>
      </c>
      <c r="AS94" s="55">
        <f>_xll.EQNXTDZ($A$1,$B94,AS$5,$B$1)</f>
        <v>0</v>
      </c>
      <c r="AT94" s="55">
        <f>_xll.EQNXTDZ($A$1,$B94,AT$5,$B$1)</f>
        <v>4383.8999999999996</v>
      </c>
      <c r="AU94" s="55">
        <f>_xll.EQNXTDZ($A$1,$B94,AU$5,$B$1)</f>
        <v>0</v>
      </c>
      <c r="AV94" s="55">
        <f>_xll.EQNXTDZ($A$1,$B94,AV$5,$B$1)</f>
        <v>4386.62</v>
      </c>
      <c r="AW94" s="55">
        <f>_xll.EQNXTDZ($A$1,$B94,AW$5,$B$1)</f>
        <v>0</v>
      </c>
      <c r="AX94" s="55">
        <f>_xll.EQNXTDZ($A$1,$B94,AX$5,$B$1)</f>
        <v>1235.54</v>
      </c>
      <c r="AY94" s="55">
        <f>_xll.EQNXTDZ($A$1,$B94,AY$5,$B$1)</f>
        <v>0</v>
      </c>
      <c r="AZ94" s="55">
        <f>_xll.EQNXTDZ($A$1,$B94,AZ$5,$B$1)</f>
        <v>2425.69</v>
      </c>
      <c r="BA94" s="55">
        <f>_xll.EQNXTDZ($A$1,$B94,BA$5,$B$1)</f>
        <v>0</v>
      </c>
      <c r="BB94" s="55">
        <f>_xll.EQNXTDZ($A$1,$B94,BB$5,$B$1)</f>
        <v>3128.55</v>
      </c>
      <c r="BC94" s="55">
        <f>_xll.EQNXTDZ($A$1,$B94,BC$5,$B$1)</f>
        <v>0</v>
      </c>
      <c r="BD94" s="55">
        <f>_xll.EQNXTDZ($A$1,$B94,BD$5,$B$1)</f>
        <v>2944.64</v>
      </c>
      <c r="BE94" s="55">
        <f>_xll.EQNXTDZ($A$1,$B94,BE$5,$B$1)</f>
        <v>0</v>
      </c>
      <c r="BF94" s="55">
        <f>_xll.EQNXTDZ($A$1,$B94,BF$5,$B$1)</f>
        <v>3738.53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-57.93</v>
      </c>
      <c r="E96" s="55">
        <f>_xll.EQNXTDZ($A$1,$B96,E$5,$B$1)</f>
        <v>0</v>
      </c>
      <c r="F96" s="55">
        <f>_xll.EQNXTDZ($A$1,$B96,F$5,$B$1)</f>
        <v>-53.96</v>
      </c>
      <c r="G96" s="55">
        <f>_xll.EQNXTDZ($A$1,$B96,G$5,$B$1)</f>
        <v>0</v>
      </c>
      <c r="H96" s="55">
        <f>_xll.EQNXTDZ($A$1,$B96,H$5,$B$1)</f>
        <v>-49.99</v>
      </c>
      <c r="I96" s="55">
        <f>_xll.EQNXTDZ($A$1,$B96,I$5,$B$1)</f>
        <v>0</v>
      </c>
      <c r="J96" s="55">
        <f>_xll.EQNXTDZ($A$1,$B96,J$5,$B$1)</f>
        <v>-46.25</v>
      </c>
      <c r="K96" s="55">
        <f>_xll.EQNXTDZ($A$1,$B96,K$5,$B$1)</f>
        <v>0</v>
      </c>
      <c r="L96" s="55">
        <f>_xll.EQNXTDZ($A$1,$B96,L$5,$B$1)</f>
        <v>-52.1</v>
      </c>
      <c r="M96" s="55">
        <f>_xll.EQNXTDZ($A$1,$B96,M$5,$B$1)</f>
        <v>0</v>
      </c>
      <c r="N96" s="55">
        <f>_xll.EQNXTDZ($A$1,$B96,N$5,$B$1)</f>
        <v>-102.17</v>
      </c>
      <c r="O96" s="55">
        <f>_xll.EQNXTDZ($A$1,$B96,O$5,$B$1)</f>
        <v>0</v>
      </c>
      <c r="P96" s="55">
        <f>_xll.EQNXTDZ($A$1,$B96,P$5,$B$1)</f>
        <v>-113.84</v>
      </c>
      <c r="Q96" s="55">
        <f>_xll.EQNXTDZ($A$1,$B96,Q$5,$B$1)</f>
        <v>0</v>
      </c>
      <c r="R96" s="55">
        <f>_xll.EQNXTDZ($A$1,$B96,R$5,$B$1)</f>
        <v>-78.569999999999993</v>
      </c>
      <c r="S96" s="55">
        <f>_xll.EQNXTDZ($A$1,$B96,S$5,$B$1)</f>
        <v>0</v>
      </c>
      <c r="T96" s="55">
        <f>_xll.EQNXTDZ($A$1,$B96,T$5,$B$1)</f>
        <v>-128.6</v>
      </c>
      <c r="U96" s="55">
        <f>_xll.EQNXTDZ($A$1,$B96,U$5,$B$1)</f>
        <v>0</v>
      </c>
      <c r="V96" s="55">
        <f>_xll.EQNXTDZ($A$1,$B96,V$5,$B$1)</f>
        <v>-145.38</v>
      </c>
      <c r="W96" s="55">
        <f>_xll.EQNXTDZ($A$1,$B96,W$5,$B$1)</f>
        <v>0</v>
      </c>
      <c r="X96" s="55">
        <f>_xll.EQNXTDZ($A$1,$B96,X$5,$B$1)</f>
        <v>-91.99</v>
      </c>
      <c r="Y96" s="55">
        <f>_xll.EQNXTDZ($A$1,$B96,Y$5,$B$1)</f>
        <v>0</v>
      </c>
      <c r="Z96" s="55">
        <f>_xll.EQNXTDZ($A$1,$B96,Z$5,$B$1)</f>
        <v>0.32</v>
      </c>
      <c r="AA96" s="55">
        <f>_xll.EQNXTDZ($A$1,$B96,AA$5,$B$1)</f>
        <v>0</v>
      </c>
      <c r="AB96" s="55">
        <f>_xll.EQNXTDZ($A$1,$B96,AB$5,$B$1)</f>
        <v>-50</v>
      </c>
      <c r="AC96" s="55">
        <f>_xll.EQNXTDZ($A$1,$B96,AC$5,$B$1)</f>
        <v>0</v>
      </c>
      <c r="AD96" s="55">
        <f>_xll.EQNXTDZ($A$1,$B96,AD$5,$B$1)</f>
        <v>-87.41</v>
      </c>
      <c r="AE96" s="55">
        <f>_xll.EQNXTDZ($A$1,$B96,AE$5,$B$1)</f>
        <v>0</v>
      </c>
      <c r="AF96" s="55">
        <f>_xll.EQNXTDZ($A$1,$B96,AF$5,$B$1)</f>
        <v>-97.7</v>
      </c>
      <c r="AG96" s="55">
        <f>_xll.EQNXTDZ($A$1,$B96,AG$5,$B$1)</f>
        <v>0</v>
      </c>
      <c r="AH96" s="55">
        <f>_xll.EQNXTDZ($A$1,$B96,AH$5,$B$1)</f>
        <v>-286.47000000000003</v>
      </c>
      <c r="AI96" s="55">
        <f>_xll.EQNXTDZ($A$1,$B96,AI$5,$B$1)</f>
        <v>0</v>
      </c>
      <c r="AJ96" s="55">
        <f>_xll.EQNXTDZ($A$1,$B96,AJ$5,$B$1)</f>
        <v>-429.85</v>
      </c>
      <c r="AK96" s="55">
        <f>_xll.EQNXTDZ($A$1,$B96,AK$5,$B$1)</f>
        <v>0</v>
      </c>
      <c r="AL96" s="55">
        <f>_xll.EQNXTDZ($A$1,$B96,AL$5,$B$1)</f>
        <v>-532.11</v>
      </c>
      <c r="AM96" s="55">
        <f>_xll.EQNXTDZ($A$1,$B96,AM$5,$B$1)</f>
        <v>0</v>
      </c>
      <c r="AN96" s="55">
        <f>_xll.EQNXTDZ($A$1,$B96,AN$5,$B$1)</f>
        <v>-621.47</v>
      </c>
      <c r="AO96" s="55">
        <f>_xll.EQNXTDZ($A$1,$B96,AO$5,$B$1)</f>
        <v>0</v>
      </c>
      <c r="AP96" s="55">
        <f>_xll.EQNXTDZ($A$1,$B96,AP$5,$B$1)</f>
        <v>-733.69</v>
      </c>
      <c r="AQ96" s="55">
        <f>_xll.EQNXTDZ($A$1,$B96,AQ$5,$B$1)</f>
        <v>0</v>
      </c>
      <c r="AR96" s="55">
        <f>_xll.EQNXTDZ($A$1,$B96,AR$5,$B$1)</f>
        <v>-753.13</v>
      </c>
      <c r="AS96" s="55">
        <f>_xll.EQNXTDZ($A$1,$B96,AS$5,$B$1)</f>
        <v>0</v>
      </c>
      <c r="AT96" s="55">
        <f>_xll.EQNXTDZ($A$1,$B96,AT$5,$B$1)</f>
        <v>-814.4</v>
      </c>
      <c r="AU96" s="55">
        <f>_xll.EQNXTDZ($A$1,$B96,AU$5,$B$1)</f>
        <v>0</v>
      </c>
      <c r="AV96" s="55">
        <f>_xll.EQNXTDZ($A$1,$B96,AV$5,$B$1)</f>
        <v>-845.13</v>
      </c>
      <c r="AW96" s="55">
        <f>_xll.EQNXTDZ($A$1,$B96,AW$5,$B$1)</f>
        <v>0</v>
      </c>
      <c r="AX96" s="55">
        <f>_xll.EQNXTDZ($A$1,$B96,AX$5,$B$1)</f>
        <v>-1653.05</v>
      </c>
      <c r="AY96" s="55">
        <f>_xll.EQNXTDZ($A$1,$B96,AY$5,$B$1)</f>
        <v>0</v>
      </c>
      <c r="AZ96" s="55">
        <f>_xll.EQNXTDZ($A$1,$B96,AZ$5,$B$1)</f>
        <v>-1982.88</v>
      </c>
      <c r="BA96" s="55">
        <f>_xll.EQNXTDZ($A$1,$B96,BA$5,$B$1)</f>
        <v>0</v>
      </c>
      <c r="BB96" s="55">
        <f>_xll.EQNXTDZ($A$1,$B96,BB$5,$B$1)</f>
        <v>-2040.32</v>
      </c>
      <c r="BC96" s="55">
        <f>_xll.EQNXTDZ($A$1,$B96,BC$5,$B$1)</f>
        <v>0</v>
      </c>
      <c r="BD96" s="55">
        <f>_xll.EQNXTDZ($A$1,$B96,BD$5,$B$1)</f>
        <v>-2046.92</v>
      </c>
      <c r="BE96" s="55">
        <f>_xll.EQNXTDZ($A$1,$B96,BE$5,$B$1)</f>
        <v>0</v>
      </c>
      <c r="BF96" s="55">
        <f>_xll.EQNXTDZ($A$1,$B96,BF$5,$B$1)</f>
        <v>-2025.22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6829.05</v>
      </c>
      <c r="E97" s="55">
        <f>_xll.EQNXTDZ($A$1,$B97,E$5,$B$1)</f>
        <v>0</v>
      </c>
      <c r="F97" s="55">
        <f>_xll.EQNXTDZ($A$1,$B97,F$5,$B$1)</f>
        <v>6592.29</v>
      </c>
      <c r="G97" s="55">
        <f>_xll.EQNXTDZ($A$1,$B97,G$5,$B$1)</f>
        <v>0</v>
      </c>
      <c r="H97" s="55">
        <f>_xll.EQNXTDZ($A$1,$B97,H$5,$B$1)</f>
        <v>7884.74</v>
      </c>
      <c r="I97" s="55">
        <f>_xll.EQNXTDZ($A$1,$B97,I$5,$B$1)</f>
        <v>0</v>
      </c>
      <c r="J97" s="55">
        <f>_xll.EQNXTDZ($A$1,$B97,J$5,$B$1)</f>
        <v>8125.73</v>
      </c>
      <c r="K97" s="55">
        <f>_xll.EQNXTDZ($A$1,$B97,K$5,$B$1)</f>
        <v>0</v>
      </c>
      <c r="L97" s="55">
        <f>_xll.EQNXTDZ($A$1,$B97,L$5,$B$1)</f>
        <v>8199.33</v>
      </c>
      <c r="M97" s="55">
        <f>_xll.EQNXTDZ($A$1,$B97,M$5,$B$1)</f>
        <v>0</v>
      </c>
      <c r="N97" s="55">
        <f>_xll.EQNXTDZ($A$1,$B97,N$5,$B$1)</f>
        <v>7557.51</v>
      </c>
      <c r="O97" s="55">
        <f>_xll.EQNXTDZ($A$1,$B97,O$5,$B$1)</f>
        <v>0</v>
      </c>
      <c r="P97" s="55">
        <f>_xll.EQNXTDZ($A$1,$B97,P$5,$B$1)</f>
        <v>7995.34</v>
      </c>
      <c r="Q97" s="55">
        <f>_xll.EQNXTDZ($A$1,$B97,Q$5,$B$1)</f>
        <v>0</v>
      </c>
      <c r="R97" s="55">
        <f>_xll.EQNXTDZ($A$1,$B97,R$5,$B$1)</f>
        <v>7912.15</v>
      </c>
      <c r="S97" s="55">
        <f>_xll.EQNXTDZ($A$1,$B97,S$5,$B$1)</f>
        <v>0</v>
      </c>
      <c r="T97" s="55">
        <f>_xll.EQNXTDZ($A$1,$B97,T$5,$B$1)</f>
        <v>7660.75</v>
      </c>
      <c r="U97" s="55">
        <f>_xll.EQNXTDZ($A$1,$B97,U$5,$B$1)</f>
        <v>0</v>
      </c>
      <c r="V97" s="55">
        <f>_xll.EQNXTDZ($A$1,$B97,V$5,$B$1)</f>
        <v>7840.73</v>
      </c>
      <c r="W97" s="55">
        <f>_xll.EQNXTDZ($A$1,$B97,W$5,$B$1)</f>
        <v>0</v>
      </c>
      <c r="X97" s="55">
        <f>_xll.EQNXTDZ($A$1,$B97,X$5,$B$1)</f>
        <v>8229.98</v>
      </c>
      <c r="Y97" s="55">
        <f>_xll.EQNXTDZ($A$1,$B97,Y$5,$B$1)</f>
        <v>0</v>
      </c>
      <c r="Z97" s="55">
        <f>_xll.EQNXTDZ($A$1,$B97,Z$5,$B$1)</f>
        <v>8864.19</v>
      </c>
      <c r="AA97" s="55">
        <f>_xll.EQNXTDZ($A$1,$B97,AA$5,$B$1)</f>
        <v>0</v>
      </c>
      <c r="AB97" s="55">
        <f>_xll.EQNXTDZ($A$1,$B97,AB$5,$B$1)</f>
        <v>9427.2800000000007</v>
      </c>
      <c r="AC97" s="55">
        <f>_xll.EQNXTDZ($A$1,$B97,AC$5,$B$1)</f>
        <v>0</v>
      </c>
      <c r="AD97" s="55">
        <f>_xll.EQNXTDZ($A$1,$B97,AD$5,$B$1)</f>
        <v>9323.33</v>
      </c>
      <c r="AE97" s="55">
        <f>_xll.EQNXTDZ($A$1,$B97,AE$5,$B$1)</f>
        <v>0</v>
      </c>
      <c r="AF97" s="55">
        <f>_xll.EQNXTDZ($A$1,$B97,AF$5,$B$1)</f>
        <v>9547.48</v>
      </c>
      <c r="AG97" s="55">
        <f>_xll.EQNXTDZ($A$1,$B97,AG$5,$B$1)</f>
        <v>0</v>
      </c>
      <c r="AH97" s="55">
        <f>_xll.EQNXTDZ($A$1,$B97,AH$5,$B$1)</f>
        <v>16207.97</v>
      </c>
      <c r="AI97" s="55">
        <f>_xll.EQNXTDZ($A$1,$B97,AI$5,$B$1)</f>
        <v>0</v>
      </c>
      <c r="AJ97" s="55">
        <f>_xll.EQNXTDZ($A$1,$B97,AJ$5,$B$1)</f>
        <v>16461.39</v>
      </c>
      <c r="AK97" s="55">
        <f>_xll.EQNXTDZ($A$1,$B97,AK$5,$B$1)</f>
        <v>0</v>
      </c>
      <c r="AL97" s="55">
        <f>_xll.EQNXTDZ($A$1,$B97,AL$5,$B$1)</f>
        <v>16591.25</v>
      </c>
      <c r="AM97" s="55">
        <f>_xll.EQNXTDZ($A$1,$B97,AM$5,$B$1)</f>
        <v>0</v>
      </c>
      <c r="AN97" s="55">
        <f>_xll.EQNXTDZ($A$1,$B97,AN$5,$B$1)</f>
        <v>16621.96</v>
      </c>
      <c r="AO97" s="55">
        <f>_xll.EQNXTDZ($A$1,$B97,AO$5,$B$1)</f>
        <v>0</v>
      </c>
      <c r="AP97" s="55">
        <f>_xll.EQNXTDZ($A$1,$B97,AP$5,$B$1)</f>
        <v>17168.560000000001</v>
      </c>
      <c r="AQ97" s="55">
        <f>_xll.EQNXTDZ($A$1,$B97,AQ$5,$B$1)</f>
        <v>0</v>
      </c>
      <c r="AR97" s="55">
        <f>_xll.EQNXTDZ($A$1,$B97,AR$5,$B$1)</f>
        <v>16939.61</v>
      </c>
      <c r="AS97" s="55">
        <f>_xll.EQNXTDZ($A$1,$B97,AS$5,$B$1)</f>
        <v>0</v>
      </c>
      <c r="AT97" s="55">
        <f>_xll.EQNXTDZ($A$1,$B97,AT$5,$B$1)</f>
        <v>18023.41</v>
      </c>
      <c r="AU97" s="55">
        <f>_xll.EQNXTDZ($A$1,$B97,AU$5,$B$1)</f>
        <v>0</v>
      </c>
      <c r="AV97" s="55">
        <f>_xll.EQNXTDZ($A$1,$B97,AV$5,$B$1)</f>
        <v>17944.150000000001</v>
      </c>
      <c r="AW97" s="55">
        <f>_xll.EQNXTDZ($A$1,$B97,AW$5,$B$1)</f>
        <v>0</v>
      </c>
      <c r="AX97" s="55">
        <f>_xll.EQNXTDZ($A$1,$B97,AX$5,$B$1)</f>
        <v>20034.650000000001</v>
      </c>
      <c r="AY97" s="55">
        <f>_xll.EQNXTDZ($A$1,$B97,AY$5,$B$1)</f>
        <v>0</v>
      </c>
      <c r="AZ97" s="55">
        <f>_xll.EQNXTDZ($A$1,$B97,AZ$5,$B$1)</f>
        <v>23422.31</v>
      </c>
      <c r="BA97" s="55">
        <f>_xll.EQNXTDZ($A$1,$B97,BA$5,$B$1)</f>
        <v>0</v>
      </c>
      <c r="BB97" s="55">
        <f>_xll.EQNXTDZ($A$1,$B97,BB$5,$B$1)</f>
        <v>23949.200000000001</v>
      </c>
      <c r="BC97" s="55">
        <f>_xll.EQNXTDZ($A$1,$B97,BC$5,$B$1)</f>
        <v>0</v>
      </c>
      <c r="BD97" s="55">
        <f>_xll.EQNXTDZ($A$1,$B97,BD$5,$B$1)</f>
        <v>24345.75</v>
      </c>
      <c r="BE97" s="55">
        <f>_xll.EQNXTDZ($A$1,$B97,BE$5,$B$1)</f>
        <v>0</v>
      </c>
      <c r="BF97" s="55">
        <f>_xll.EQNXTDZ($A$1,$B97,BF$5,$B$1)</f>
        <v>25674.959999999999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100800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Tata Consumer Products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822.87950000000001</v>
      </c>
      <c r="D6" s="100">
        <f>_xll.EQNXTDZ($A$1,$B6,D$1,$B$1)</f>
        <v>3027.7712999999999</v>
      </c>
      <c r="E6" s="100">
        <f>_xll.EQNXTDZ($A$1,$B6,E$1,$B$1)</f>
        <v>3292.1651999999999</v>
      </c>
      <c r="F6" s="100">
        <f>_xll.EQNXTDZ($A$1,$B6,F$1,$B$1)</f>
        <v>3056.5155</v>
      </c>
      <c r="G6" s="100">
        <f>_xll.EQNXTDZ($A$1,$B6,G$1,$B$1)</f>
        <v>3047.6684</v>
      </c>
      <c r="H6" s="100">
        <f>_xll.EQNXTDZ($A$1,$B6,H$1,$B$1)</f>
        <v>3107.4313000000002</v>
      </c>
      <c r="I6" s="100">
        <f>_xll.EQNXTDZ($A$1,$B6,I$1,$B$1)</f>
        <v>4025.7357000000002</v>
      </c>
      <c r="J6" s="100">
        <f>_xll.EQNXTDZ($A$1,$B6,J$1,$B$1)</f>
        <v>4311.0407999999998</v>
      </c>
      <c r="K6" s="100">
        <f>_xll.EQNXTDZ($A$1,$B6,K$1,$B$1)</f>
        <v>4848.9447</v>
      </c>
      <c r="L6" s="100">
        <f>_xll.EQNXTDZ($A$1,$B6,L$1,$B$1)</f>
        <v>5783.8735999999999</v>
      </c>
      <c r="M6" s="100">
        <f>_xll.EQNXTDZ($A$1,$B6,M$1,$B$1)</f>
        <v>6004.6871000000001</v>
      </c>
      <c r="N6" s="100">
        <f>_xll.EQNXTDZ($A$1,$B6,N$1,$B$1)</f>
        <v>6641.7443999999996</v>
      </c>
      <c r="O6" s="100">
        <f>_xll.EQNXTDZ($A$1,$B6,O$1,$B$1)</f>
        <v>7351.915</v>
      </c>
      <c r="P6" s="100">
        <f>_xll.EQNXTDZ($A$1,$B6,P$1,$B$1)</f>
        <v>7738.3814000000002</v>
      </c>
      <c r="Q6" s="100">
        <f>_xll.EQNXTDZ($A$1,$B6,Q$1,$B$1)</f>
        <v>7993.94</v>
      </c>
      <c r="R6" s="100">
        <f>_xll.EQNXTDZ($A$1,$B6,R$1,$B$1)</f>
        <v>6636.54</v>
      </c>
      <c r="S6" s="100">
        <f>_xll.EQNXTDZ($A$1,$B6,S$1,$B$1)</f>
        <v>6779.55</v>
      </c>
      <c r="T6" s="100">
        <f>_xll.EQNXTDZ($A$1,$B6,T$1,$B$1)</f>
        <v>6815.35</v>
      </c>
      <c r="U6" s="100">
        <f>_xll.EQNXTDZ($A$1,$B6,U$1,$B$1)</f>
        <v>7251.5</v>
      </c>
      <c r="V6" s="100">
        <f>_xll.EQNXTDZ($A$1,$B6,V$1,$B$1)</f>
        <v>9637.42</v>
      </c>
      <c r="W6" s="100">
        <f>_xll.EQNXTDZ($A$1,$B6,W$1,$B$1)</f>
        <v>11602.03</v>
      </c>
      <c r="X6" s="100">
        <f>_xll.EQNXTDZ($A$1,$B6,X$1,$B$1)</f>
        <v>12425.37</v>
      </c>
      <c r="Y6" s="100">
        <f>_xll.EQNXTDZ($A$1,$B6,Y$1,$B$1)</f>
        <v>13783.16</v>
      </c>
      <c r="Z6" s="100">
        <f>_xll.EQNXTDZ($A$1,$B6,Z$1,$B$1)</f>
        <v>15205.85</v>
      </c>
      <c r="AA6" s="100">
        <f>_xll.EQNXTDZ($A$1,$B6,AA$1,$B$1)</f>
        <v>17618.3</v>
      </c>
      <c r="AB6" s="100">
        <f>_xll.EQNXTDZ($A$1,$B6,AB$1,$B$1)</f>
        <v>20290.43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13.307700000000001</v>
      </c>
      <c r="D9" s="100">
        <f>_xll.EQNXTDZ($A$1,$B9,D$1,$B$1)</f>
        <v>12.5838</v>
      </c>
      <c r="E9" s="100">
        <f>_xll.EQNXTDZ($A$1,$B9,E$1,$B$1)</f>
        <v>7.4028999999999998</v>
      </c>
      <c r="F9" s="100">
        <f>_xll.EQNXTDZ($A$1,$B9,F$1,$B$1)</f>
        <v>6.9611999999999998</v>
      </c>
      <c r="G9" s="100">
        <f>_xll.EQNXTDZ($A$1,$B9,G$1,$B$1)</f>
        <v>6.3284000000000002</v>
      </c>
      <c r="H9" s="100">
        <f>_xll.EQNXTDZ($A$1,$B9,H$1,$B$1)</f>
        <v>0.90629999999999999</v>
      </c>
      <c r="I9" s="100">
        <f>_xll.EQNXTDZ($A$1,$B9,I$1,$B$1)</f>
        <v>0.84109999999999996</v>
      </c>
      <c r="J9" s="100">
        <f>_xll.EQNXTDZ($A$1,$B9,J$1,$B$1)</f>
        <v>1.3945000000000001</v>
      </c>
      <c r="K9" s="100">
        <f>_xll.EQNXTDZ($A$1,$B9,K$1,$B$1)</f>
        <v>1.0699000000000001</v>
      </c>
      <c r="L9" s="100">
        <f>_xll.EQNXTDZ($A$1,$B9,L$1,$B$1)</f>
        <v>0.92320000000000002</v>
      </c>
      <c r="M9" s="100">
        <f>_xll.EQNXTDZ($A$1,$B9,M$1,$B$1)</f>
        <v>1.5173000000000001</v>
      </c>
      <c r="N9" s="100">
        <f>_xll.EQNXTDZ($A$1,$B9,N$1,$B$1)</f>
        <v>1.6995</v>
      </c>
      <c r="O9" s="100">
        <f>_xll.EQNXTDZ($A$1,$B9,O$1,$B$1)</f>
        <v>0.93740000000000001</v>
      </c>
      <c r="P9" s="100">
        <f>_xll.EQNXTDZ($A$1,$B9,P$1,$B$1)</f>
        <v>0.77080000000000004</v>
      </c>
      <c r="Q9" s="100">
        <f>_xll.EQNXTDZ($A$1,$B9,Q$1,$B$1)</f>
        <v>0.55000000000000004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809.57180000000005</v>
      </c>
      <c r="D10" s="100">
        <f>_xll.EQNXTDZ($A$1,$B10,D$1,$B$1)</f>
        <v>3015.1875</v>
      </c>
      <c r="E10" s="100">
        <f>_xll.EQNXTDZ($A$1,$B10,E$1,$B$1)</f>
        <v>3284.7622999999999</v>
      </c>
      <c r="F10" s="100">
        <f>_xll.EQNXTDZ($A$1,$B10,F$1,$B$1)</f>
        <v>3049.5542999999998</v>
      </c>
      <c r="G10" s="100">
        <f>_xll.EQNXTDZ($A$1,$B10,G$1,$B$1)</f>
        <v>3041.34</v>
      </c>
      <c r="H10" s="100">
        <f>_xll.EQNXTDZ($A$1,$B10,H$1,$B$1)</f>
        <v>3106.5250000000001</v>
      </c>
      <c r="I10" s="100">
        <f>_xll.EQNXTDZ($A$1,$B10,I$1,$B$1)</f>
        <v>4024.8946000000001</v>
      </c>
      <c r="J10" s="100">
        <f>_xll.EQNXTDZ($A$1,$B10,J$1,$B$1)</f>
        <v>4309.6463000000003</v>
      </c>
      <c r="K10" s="100">
        <f>_xll.EQNXTDZ($A$1,$B10,K$1,$B$1)</f>
        <v>4847.8747999999996</v>
      </c>
      <c r="L10" s="100">
        <f>_xll.EQNXTDZ($A$1,$B10,L$1,$B$1)</f>
        <v>5782.9503999999997</v>
      </c>
      <c r="M10" s="100">
        <f>_xll.EQNXTDZ($A$1,$B10,M$1,$B$1)</f>
        <v>6003.1697999999997</v>
      </c>
      <c r="N10" s="100">
        <f>_xll.EQNXTDZ($A$1,$B10,N$1,$B$1)</f>
        <v>6640.0448999999999</v>
      </c>
      <c r="O10" s="100">
        <f>_xll.EQNXTDZ($A$1,$B10,O$1,$B$1)</f>
        <v>7350.9776000000002</v>
      </c>
      <c r="P10" s="100">
        <f>_xll.EQNXTDZ($A$1,$B10,P$1,$B$1)</f>
        <v>7737.6106</v>
      </c>
      <c r="Q10" s="100">
        <f>_xll.EQNXTDZ($A$1,$B10,Q$1,$B$1)</f>
        <v>7993.39</v>
      </c>
      <c r="R10" s="100">
        <f>_xll.EQNXTDZ($A$1,$B10,R$1,$B$1)</f>
        <v>6636.54</v>
      </c>
      <c r="S10" s="100">
        <f>_xll.EQNXTDZ($A$1,$B10,S$1,$B$1)</f>
        <v>6779.55</v>
      </c>
      <c r="T10" s="100">
        <f>_xll.EQNXTDZ($A$1,$B10,T$1,$B$1)</f>
        <v>6815.35</v>
      </c>
      <c r="U10" s="100">
        <f>_xll.EQNXTDZ($A$1,$B10,U$1,$B$1)</f>
        <v>7251.5</v>
      </c>
      <c r="V10" s="100">
        <f>_xll.EQNXTDZ($A$1,$B10,V$1,$B$1)</f>
        <v>9637.42</v>
      </c>
      <c r="W10" s="100">
        <f>_xll.EQNXTDZ($A$1,$B10,W$1,$B$1)</f>
        <v>11602.03</v>
      </c>
      <c r="X10" s="100">
        <f>_xll.EQNXTDZ($A$1,$B10,X$1,$B$1)</f>
        <v>12425.37</v>
      </c>
      <c r="Y10" s="100">
        <f>_xll.EQNXTDZ($A$1,$B10,Y$1,$B$1)</f>
        <v>13783.16</v>
      </c>
      <c r="Z10" s="100">
        <f>_xll.EQNXTDZ($A$1,$B10,Z$1,$B$1)</f>
        <v>15205.85</v>
      </c>
      <c r="AA10" s="100">
        <f>_xll.EQNXTDZ($A$1,$B10,AA$1,$B$1)</f>
        <v>17618.3</v>
      </c>
      <c r="AB10" s="100">
        <f>_xll.EQNXTDZ($A$1,$B10,AB$1,$B$1)</f>
        <v>20290.43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-1.7712000000000001</v>
      </c>
      <c r="D11" s="100">
        <f>_xll.EQNXTDZ($A$1,$B11,D$1,$B$1)</f>
        <v>-5.4660000000000002</v>
      </c>
      <c r="E11" s="100">
        <f>_xll.EQNXTDZ($A$1,$B11,E$1,$B$1)</f>
        <v>9.9361999999999995</v>
      </c>
      <c r="F11" s="100">
        <f>_xll.EQNXTDZ($A$1,$B11,F$1,$B$1)</f>
        <v>-0.79049999999999998</v>
      </c>
      <c r="G11" s="100">
        <f>_xll.EQNXTDZ($A$1,$B11,G$1,$B$1)</f>
        <v>-23.219200000000001</v>
      </c>
      <c r="H11" s="100">
        <f>_xll.EQNXTDZ($A$1,$B11,H$1,$B$1)</f>
        <v>-12.936199999999999</v>
      </c>
      <c r="I11" s="100">
        <f>_xll.EQNXTDZ($A$1,$B11,I$1,$B$1)</f>
        <v>-47.308500000000002</v>
      </c>
      <c r="J11" s="100">
        <f>_xll.EQNXTDZ($A$1,$B11,J$1,$B$1)</f>
        <v>30.613900000000001</v>
      </c>
      <c r="K11" s="100">
        <f>_xll.EQNXTDZ($A$1,$B11,K$1,$B$1)</f>
        <v>-67.97</v>
      </c>
      <c r="L11" s="100">
        <f>_xll.EQNXTDZ($A$1,$B11,L$1,$B$1)</f>
        <v>-37.040199999999999</v>
      </c>
      <c r="M11" s="100">
        <f>_xll.EQNXTDZ($A$1,$B11,M$1,$B$1)</f>
        <v>-65.873900000000006</v>
      </c>
      <c r="N11" s="100">
        <f>_xll.EQNXTDZ($A$1,$B11,N$1,$B$1)</f>
        <v>-65.819800000000001</v>
      </c>
      <c r="O11" s="100">
        <f>_xll.EQNXTDZ($A$1,$B11,O$1,$B$1)</f>
        <v>-41.539700000000003</v>
      </c>
      <c r="P11" s="100">
        <f>_xll.EQNXTDZ($A$1,$B11,P$1,$B$1)</f>
        <v>-114.1934</v>
      </c>
      <c r="Q11" s="100">
        <f>_xll.EQNXTDZ($A$1,$B11,Q$1,$B$1)</f>
        <v>-51.25</v>
      </c>
      <c r="R11" s="100">
        <f>_xll.EQNXTDZ($A$1,$B11,R$1,$B$1)</f>
        <v>20.11</v>
      </c>
      <c r="S11" s="100">
        <f>_xll.EQNXTDZ($A$1,$B11,S$1,$B$1)</f>
        <v>-0.69</v>
      </c>
      <c r="T11" s="100">
        <f>_xll.EQNXTDZ($A$1,$B11,T$1,$B$1)</f>
        <v>-46.8</v>
      </c>
      <c r="U11" s="100">
        <f>_xll.EQNXTDZ($A$1,$B11,U$1,$B$1)</f>
        <v>-14.41</v>
      </c>
      <c r="V11" s="100">
        <f>_xll.EQNXTDZ($A$1,$B11,V$1,$B$1)</f>
        <v>7.78</v>
      </c>
      <c r="W11" s="100">
        <f>_xll.EQNXTDZ($A$1,$B11,W$1,$B$1)</f>
        <v>-149.54</v>
      </c>
      <c r="X11" s="100">
        <f>_xll.EQNXTDZ($A$1,$B11,X$1,$B$1)</f>
        <v>-39.78</v>
      </c>
      <c r="Y11" s="100">
        <f>_xll.EQNXTDZ($A$1,$B11,Y$1,$B$1)</f>
        <v>-273.88</v>
      </c>
      <c r="Z11" s="100">
        <f>_xll.EQNXTDZ($A$1,$B11,Z$1,$B$1)</f>
        <v>-121.6</v>
      </c>
      <c r="AA11" s="100">
        <f>_xll.EQNXTDZ($A$1,$B11,AA$1,$B$1)</f>
        <v>-362.49</v>
      </c>
      <c r="AB11" s="100">
        <f>_xll.EQNXTDZ($A$1,$B11,AB$1,$B$1)</f>
        <v>-40.75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168.4365</v>
      </c>
      <c r="D12" s="100">
        <f>_xll.EQNXTDZ($A$1,$B12,D$1,$B$1)</f>
        <v>601.03539999999998</v>
      </c>
      <c r="E12" s="100">
        <f>_xll.EQNXTDZ($A$1,$B12,E$1,$B$1)</f>
        <v>630.79750000000001</v>
      </c>
      <c r="F12" s="100">
        <f>_xll.EQNXTDZ($A$1,$B12,F$1,$B$1)</f>
        <v>652.61180000000002</v>
      </c>
      <c r="G12" s="100">
        <f>_xll.EQNXTDZ($A$1,$B12,G$1,$B$1)</f>
        <v>707.7654</v>
      </c>
      <c r="H12" s="100">
        <f>_xll.EQNXTDZ($A$1,$B12,H$1,$B$1)</f>
        <v>724.97789999999998</v>
      </c>
      <c r="I12" s="100">
        <f>_xll.EQNXTDZ($A$1,$B12,I$1,$B$1)</f>
        <v>1094.2074</v>
      </c>
      <c r="J12" s="100">
        <f>_xll.EQNXTDZ($A$1,$B12,J$1,$B$1)</f>
        <v>1385.2392</v>
      </c>
      <c r="K12" s="100">
        <f>_xll.EQNXTDZ($A$1,$B12,K$1,$B$1)</f>
        <v>1820.7508</v>
      </c>
      <c r="L12" s="100">
        <f>_xll.EQNXTDZ($A$1,$B12,L$1,$B$1)</f>
        <v>2346.6586000000002</v>
      </c>
      <c r="M12" s="100">
        <f>_xll.EQNXTDZ($A$1,$B12,M$1,$B$1)</f>
        <v>2587.0772999999999</v>
      </c>
      <c r="N12" s="100">
        <f>_xll.EQNXTDZ($A$1,$B12,N$1,$B$1)</f>
        <v>2947.4449</v>
      </c>
      <c r="O12" s="100">
        <f>_xll.EQNXTDZ($A$1,$B12,O$1,$B$1)</f>
        <v>3156.0585999999998</v>
      </c>
      <c r="P12" s="100">
        <f>_xll.EQNXTDZ($A$1,$B12,P$1,$B$1)</f>
        <v>3306.9611</v>
      </c>
      <c r="Q12" s="100">
        <f>_xll.EQNXTDZ($A$1,$B12,Q$1,$B$1)</f>
        <v>3416.05</v>
      </c>
      <c r="R12" s="100">
        <f>_xll.EQNXTDZ($A$1,$B12,R$1,$B$1)</f>
        <v>3196.68</v>
      </c>
      <c r="S12" s="100">
        <f>_xll.EQNXTDZ($A$1,$B12,S$1,$B$1)</f>
        <v>3165.65</v>
      </c>
      <c r="T12" s="100">
        <f>_xll.EQNXTDZ($A$1,$B12,T$1,$B$1)</f>
        <v>3375.75</v>
      </c>
      <c r="U12" s="100">
        <f>_xll.EQNXTDZ($A$1,$B12,U$1,$B$1)</f>
        <v>3650.97</v>
      </c>
      <c r="V12" s="100">
        <f>_xll.EQNXTDZ($A$1,$B12,V$1,$B$1)</f>
        <v>4847.1000000000004</v>
      </c>
      <c r="W12" s="100">
        <f>_xll.EQNXTDZ($A$1,$B12,W$1,$B$1)</f>
        <v>6367.79</v>
      </c>
      <c r="X12" s="100">
        <f>_xll.EQNXTDZ($A$1,$B12,X$1,$B$1)</f>
        <v>6323.22</v>
      </c>
      <c r="Y12" s="100">
        <f>_xll.EQNXTDZ($A$1,$B12,Y$1,$B$1)</f>
        <v>7107.06</v>
      </c>
      <c r="Z12" s="100">
        <f>_xll.EQNXTDZ($A$1,$B12,Z$1,$B$1)</f>
        <v>7364.06</v>
      </c>
      <c r="AA12" s="100">
        <f>_xll.EQNXTDZ($A$1,$B12,AA$1,$B$1)</f>
        <v>8986.68</v>
      </c>
      <c r="AB12" s="100">
        <f>_xll.EQNXTDZ($A$1,$B12,AB$1,$B$1)</f>
        <v>10319.26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36.538499999999999</v>
      </c>
      <c r="D13" s="100">
        <f>_xll.EQNXTDZ($A$1,$B13,D$1,$B$1)</f>
        <v>54.365600000000001</v>
      </c>
      <c r="E13" s="100">
        <f>_xll.EQNXTDZ($A$1,$B13,E$1,$B$1)</f>
        <v>57.346899999999998</v>
      </c>
      <c r="F13" s="100">
        <f>_xll.EQNXTDZ($A$1,$B13,F$1,$B$1)</f>
        <v>59.2502</v>
      </c>
      <c r="G13" s="100">
        <f>_xll.EQNXTDZ($A$1,$B13,G$1,$B$1)</f>
        <v>64.241</v>
      </c>
      <c r="H13" s="100">
        <f>_xll.EQNXTDZ($A$1,$B13,H$1,$B$1)</f>
        <v>65.070099999999996</v>
      </c>
      <c r="I13" s="100">
        <f>_xll.EQNXTDZ($A$1,$B13,I$1,$B$1)</f>
        <v>72.382300000000001</v>
      </c>
      <c r="J13" s="100">
        <f>_xll.EQNXTDZ($A$1,$B13,J$1,$B$1)</f>
        <v>48.482199999999999</v>
      </c>
      <c r="K13" s="100">
        <f>_xll.EQNXTDZ($A$1,$B13,K$1,$B$1)</f>
        <v>58.811599999999999</v>
      </c>
      <c r="L13" s="100">
        <f>_xll.EQNXTDZ($A$1,$B13,L$1,$B$1)</f>
        <v>58.627299999999998</v>
      </c>
      <c r="M13" s="100">
        <f>_xll.EQNXTDZ($A$1,$B13,M$1,$B$1)</f>
        <v>70.810599999999994</v>
      </c>
      <c r="N13" s="100">
        <f>_xll.EQNXTDZ($A$1,$B13,N$1,$B$1)</f>
        <v>79.571299999999994</v>
      </c>
      <c r="O13" s="100">
        <f>_xll.EQNXTDZ($A$1,$B13,O$1,$B$1)</f>
        <v>85.249700000000004</v>
      </c>
      <c r="P13" s="100">
        <f>_xll.EQNXTDZ($A$1,$B13,P$1,$B$1)</f>
        <v>91.401300000000006</v>
      </c>
      <c r="Q13" s="100">
        <f>_xll.EQNXTDZ($A$1,$B13,Q$1,$B$1)</f>
        <v>84.78</v>
      </c>
      <c r="R13" s="100">
        <f>_xll.EQNXTDZ($A$1,$B13,R$1,$B$1)</f>
        <v>81.260000000000005</v>
      </c>
      <c r="S13" s="100">
        <f>_xll.EQNXTDZ($A$1,$B13,S$1,$B$1)</f>
        <v>83.19</v>
      </c>
      <c r="T13" s="100">
        <f>_xll.EQNXTDZ($A$1,$B13,T$1,$B$1)</f>
        <v>87.07</v>
      </c>
      <c r="U13" s="100">
        <f>_xll.EQNXTDZ($A$1,$B13,U$1,$B$1)</f>
        <v>89.28</v>
      </c>
      <c r="V13" s="100">
        <f>_xll.EQNXTDZ($A$1,$B13,V$1,$B$1)</f>
        <v>103.84</v>
      </c>
      <c r="W13" s="100">
        <f>_xll.EQNXTDZ($A$1,$B13,W$1,$B$1)</f>
        <v>97.36</v>
      </c>
      <c r="X13" s="100">
        <f>_xll.EQNXTDZ($A$1,$B13,X$1,$B$1)</f>
        <v>123.9</v>
      </c>
      <c r="Y13" s="100">
        <f>_xll.EQNXTDZ($A$1,$B13,Y$1,$B$1)</f>
        <v>149.43</v>
      </c>
      <c r="Z13" s="100">
        <f>_xll.EQNXTDZ($A$1,$B13,Z$1,$B$1)</f>
        <v>156.9</v>
      </c>
      <c r="AA13" s="100">
        <f>_xll.EQNXTDZ($A$1,$B13,AA$1,$B$1)</f>
        <v>156.21</v>
      </c>
      <c r="AB13" s="100">
        <f>_xll.EQNXTDZ($A$1,$B13,AB$1,$B$1)</f>
        <v>161.94999999999999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160.4127</v>
      </c>
      <c r="D14" s="100">
        <f>_xll.EQNXTDZ($A$1,$B14,D$1,$B$1)</f>
        <v>427.52670000000001</v>
      </c>
      <c r="E14" s="100">
        <f>_xll.EQNXTDZ($A$1,$B14,E$1,$B$1)</f>
        <v>422.24950000000001</v>
      </c>
      <c r="F14" s="100">
        <f>_xll.EQNXTDZ($A$1,$B14,F$1,$B$1)</f>
        <v>456.36200000000002</v>
      </c>
      <c r="G14" s="100">
        <f>_xll.EQNXTDZ($A$1,$B14,G$1,$B$1)</f>
        <v>406.57729999999998</v>
      </c>
      <c r="H14" s="100">
        <f>_xll.EQNXTDZ($A$1,$B14,H$1,$B$1)</f>
        <v>371.14589999999998</v>
      </c>
      <c r="I14" s="100">
        <f>_xll.EQNXTDZ($A$1,$B14,I$1,$B$1)</f>
        <v>463.024</v>
      </c>
      <c r="J14" s="100">
        <f>_xll.EQNXTDZ($A$1,$B14,J$1,$B$1)</f>
        <v>479.87110000000001</v>
      </c>
      <c r="K14" s="100">
        <f>_xll.EQNXTDZ($A$1,$B14,K$1,$B$1)</f>
        <v>545.55110000000002</v>
      </c>
      <c r="L14" s="100">
        <f>_xll.EQNXTDZ($A$1,$B14,L$1,$B$1)</f>
        <v>608.52539999999999</v>
      </c>
      <c r="M14" s="100">
        <f>_xll.EQNXTDZ($A$1,$B14,M$1,$B$1)</f>
        <v>614.56939999999997</v>
      </c>
      <c r="N14" s="100">
        <f>_xll.EQNXTDZ($A$1,$B14,N$1,$B$1)</f>
        <v>681.3338</v>
      </c>
      <c r="O14" s="100">
        <f>_xll.EQNXTDZ($A$1,$B14,O$1,$B$1)</f>
        <v>740.10630000000003</v>
      </c>
      <c r="P14" s="100">
        <f>_xll.EQNXTDZ($A$1,$B14,P$1,$B$1)</f>
        <v>792.5308</v>
      </c>
      <c r="Q14" s="100">
        <f>_xll.EQNXTDZ($A$1,$B14,Q$1,$B$1)</f>
        <v>857.67</v>
      </c>
      <c r="R14" s="100">
        <f>_xll.EQNXTDZ($A$1,$B14,R$1,$B$1)</f>
        <v>805.06</v>
      </c>
      <c r="S14" s="100">
        <f>_xll.EQNXTDZ($A$1,$B14,S$1,$B$1)</f>
        <v>834.95</v>
      </c>
      <c r="T14" s="100">
        <f>_xll.EQNXTDZ($A$1,$B14,T$1,$B$1)</f>
        <v>821.37</v>
      </c>
      <c r="U14" s="100">
        <f>_xll.EQNXTDZ($A$1,$B14,U$1,$B$1)</f>
        <v>806.3</v>
      </c>
      <c r="V14" s="100">
        <f>_xll.EQNXTDZ($A$1,$B14,V$1,$B$1)</f>
        <v>884.8</v>
      </c>
      <c r="W14" s="100">
        <f>_xll.EQNXTDZ($A$1,$B14,W$1,$B$1)</f>
        <v>970.23</v>
      </c>
      <c r="X14" s="100">
        <f>_xll.EQNXTDZ($A$1,$B14,X$1,$B$1)</f>
        <v>1048</v>
      </c>
      <c r="Y14" s="100">
        <f>_xll.EQNXTDZ($A$1,$B14,Y$1,$B$1)</f>
        <v>1120.3599999999999</v>
      </c>
      <c r="Z14" s="100">
        <f>_xll.EQNXTDZ($A$1,$B14,Z$1,$B$1)</f>
        <v>1258.5899999999999</v>
      </c>
      <c r="AA14" s="100">
        <f>_xll.EQNXTDZ($A$1,$B14,AA$1,$B$1)</f>
        <v>1430.1</v>
      </c>
      <c r="AB14" s="100">
        <f>_xll.EQNXTDZ($A$1,$B14,AB$1,$B$1)</f>
        <v>1661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193.85599999999999</v>
      </c>
      <c r="D15" s="100">
        <f>_xll.EQNXTDZ($A$1,$B15,D$1,$B$1)</f>
        <v>500.59769999999997</v>
      </c>
      <c r="E15" s="100">
        <f>_xll.EQNXTDZ($A$1,$B15,E$1,$B$1)</f>
        <v>486.73259999999999</v>
      </c>
      <c r="F15" s="100">
        <f>_xll.EQNXTDZ($A$1,$B15,F$1,$B$1)</f>
        <v>527.60680000000002</v>
      </c>
      <c r="G15" s="100">
        <f>_xll.EQNXTDZ($A$1,$B15,G$1,$B$1)</f>
        <v>471.57810000000001</v>
      </c>
      <c r="H15" s="100">
        <f>_xll.EQNXTDZ($A$1,$B15,H$1,$B$1)</f>
        <v>462.54610000000002</v>
      </c>
      <c r="I15" s="100">
        <f>_xll.EQNXTDZ($A$1,$B15,I$1,$B$1)</f>
        <v>553.94870000000003</v>
      </c>
      <c r="J15" s="100">
        <f>_xll.EQNXTDZ($A$1,$B15,J$1,$B$1)</f>
        <v>419.59910000000002</v>
      </c>
      <c r="K15" s="100">
        <f>_xll.EQNXTDZ($A$1,$B15,K$1,$B$1)</f>
        <v>462.76850000000002</v>
      </c>
      <c r="L15" s="100">
        <f>_xll.EQNXTDZ($A$1,$B15,L$1,$B$1)</f>
        <v>535.41989999999998</v>
      </c>
      <c r="M15" s="100">
        <f>_xll.EQNXTDZ($A$1,$B15,M$1,$B$1)</f>
        <v>538.97320000000002</v>
      </c>
      <c r="N15" s="100">
        <f>_xll.EQNXTDZ($A$1,$B15,N$1,$B$1)</f>
        <v>598.70280000000002</v>
      </c>
      <c r="O15" s="100">
        <f>_xll.EQNXTDZ($A$1,$B15,O$1,$B$1)</f>
        <v>620.43089999999995</v>
      </c>
      <c r="P15" s="100">
        <f>_xll.EQNXTDZ($A$1,$B15,P$1,$B$1)</f>
        <v>674.31590000000006</v>
      </c>
      <c r="Q15" s="100">
        <f>_xll.EQNXTDZ($A$1,$B15,Q$1,$B$1)</f>
        <v>669.69</v>
      </c>
      <c r="R15" s="100">
        <f>_xll.EQNXTDZ($A$1,$B15,R$1,$B$1)</f>
        <v>534.72</v>
      </c>
      <c r="S15" s="100">
        <f>_xll.EQNXTDZ($A$1,$B15,S$1,$B$1)</f>
        <v>535.96</v>
      </c>
      <c r="T15" s="100">
        <f>_xll.EQNXTDZ($A$1,$B15,T$1,$B$1)</f>
        <v>507.88</v>
      </c>
      <c r="U15" s="100">
        <f>_xll.EQNXTDZ($A$1,$B15,U$1,$B$1)</f>
        <v>517.48</v>
      </c>
      <c r="V15" s="100">
        <f>_xll.EQNXTDZ($A$1,$B15,V$1,$B$1)</f>
        <v>722.71</v>
      </c>
      <c r="W15" s="100">
        <f>_xll.EQNXTDZ($A$1,$B15,W$1,$B$1)</f>
        <v>856.03</v>
      </c>
      <c r="X15" s="100">
        <f>_xll.EQNXTDZ($A$1,$B15,X$1,$B$1)</f>
        <v>1043.07</v>
      </c>
      <c r="Y15" s="100">
        <f>_xll.EQNXTDZ($A$1,$B15,Y$1,$B$1)</f>
        <v>1458.01</v>
      </c>
      <c r="Z15" s="100">
        <f>_xll.EQNXTDZ($A$1,$B15,Z$1,$B$1)</f>
        <v>1556.9</v>
      </c>
      <c r="AA15" s="100">
        <f>_xll.EQNXTDZ($A$1,$B15,AA$1,$B$1)</f>
        <v>1708.97</v>
      </c>
      <c r="AB15" s="100">
        <f>_xll.EQNXTDZ($A$1,$B15,AB$1,$B$1)</f>
        <v>1913.85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19.936199999999999</v>
      </c>
      <c r="D17" s="100">
        <f>_xll.EQNXTDZ($A$1,$B17,D$1,$B$1)</f>
        <v>68.129599999999996</v>
      </c>
      <c r="E17" s="100">
        <f>_xll.EQNXTDZ($A$1,$B17,E$1,$B$1)</f>
        <v>70.09</v>
      </c>
      <c r="F17" s="100">
        <f>_xll.EQNXTDZ($A$1,$B17,F$1,$B$1)</f>
        <v>75.336399999999998</v>
      </c>
      <c r="G17" s="100">
        <f>_xll.EQNXTDZ($A$1,$B17,G$1,$B$1)</f>
        <v>75.881500000000003</v>
      </c>
      <c r="H17" s="100">
        <f>_xll.EQNXTDZ($A$1,$B17,H$1,$B$1)</f>
        <v>66.560599999999994</v>
      </c>
      <c r="I17" s="100">
        <f>_xll.EQNXTDZ($A$1,$B17,I$1,$B$1)</f>
        <v>82.153300000000002</v>
      </c>
      <c r="J17" s="100">
        <f>_xll.EQNXTDZ($A$1,$B17,J$1,$B$1)</f>
        <v>80.287999999999997</v>
      </c>
      <c r="K17" s="100">
        <f>_xll.EQNXTDZ($A$1,$B17,K$1,$B$1)</f>
        <v>87.974299999999999</v>
      </c>
      <c r="L17" s="100">
        <f>_xll.EQNXTDZ($A$1,$B17,L$1,$B$1)</f>
        <v>88.276399999999995</v>
      </c>
      <c r="M17" s="100">
        <f>_xll.EQNXTDZ($A$1,$B17,M$1,$B$1)</f>
        <v>94.374600000000001</v>
      </c>
      <c r="N17" s="100">
        <f>_xll.EQNXTDZ($A$1,$B17,N$1,$B$1)</f>
        <v>95.965199999999996</v>
      </c>
      <c r="O17" s="100">
        <f>_xll.EQNXTDZ($A$1,$B17,O$1,$B$1)</f>
        <v>197.30510000000001</v>
      </c>
      <c r="P17" s="100">
        <f>_xll.EQNXTDZ($A$1,$B17,P$1,$B$1)</f>
        <v>247.7611</v>
      </c>
      <c r="Q17" s="100">
        <f>_xll.EQNXTDZ($A$1,$B17,Q$1,$B$1)</f>
        <v>279.06</v>
      </c>
      <c r="R17" s="100">
        <f>_xll.EQNXTDZ($A$1,$B17,R$1,$B$1)</f>
        <v>263.79000000000002</v>
      </c>
      <c r="S17" s="100">
        <f>_xll.EQNXTDZ($A$1,$B17,S$1,$B$1)</f>
        <v>261.04000000000002</v>
      </c>
      <c r="T17" s="100">
        <f>_xll.EQNXTDZ($A$1,$B17,T$1,$B$1)</f>
        <v>245.8</v>
      </c>
      <c r="U17" s="100">
        <f>_xll.EQNXTDZ($A$1,$B17,U$1,$B$1)</f>
        <v>292.04000000000002</v>
      </c>
      <c r="V17" s="100">
        <f>_xll.EQNXTDZ($A$1,$B17,V$1,$B$1)</f>
        <v>276.44</v>
      </c>
      <c r="W17" s="100">
        <f>_xll.EQNXTDZ($A$1,$B17,W$1,$B$1)</f>
        <v>323.64999999999998</v>
      </c>
      <c r="X17" s="100">
        <f>_xll.EQNXTDZ($A$1,$B17,X$1,$B$1)</f>
        <v>349.65</v>
      </c>
      <c r="Y17" s="100">
        <f>_xll.EQNXTDZ($A$1,$B17,Y$1,$B$1)</f>
        <v>405.63</v>
      </c>
      <c r="Z17" s="100">
        <f>_xll.EQNXTDZ($A$1,$B17,Z$1,$B$1)</f>
        <v>401.42</v>
      </c>
      <c r="AA17" s="100">
        <f>_xll.EQNXTDZ($A$1,$B17,AA$1,$B$1)</f>
        <v>516.79</v>
      </c>
      <c r="AB17" s="100">
        <f>_xll.EQNXTDZ($A$1,$B17,AB$1,$B$1)</f>
        <v>568.58000000000004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88.072800000000001</v>
      </c>
      <c r="D18" s="100">
        <f>_xll.EQNXTDZ($A$1,$B18,D$1,$B$1)</f>
        <v>921.60040000000004</v>
      </c>
      <c r="E18" s="100">
        <f>_xll.EQNXTDZ($A$1,$B18,E$1,$B$1)</f>
        <v>1100.7235000000001</v>
      </c>
      <c r="F18" s="100">
        <f>_xll.EQNXTDZ($A$1,$B18,F$1,$B$1)</f>
        <v>728.05309999999997</v>
      </c>
      <c r="G18" s="100">
        <f>_xll.EQNXTDZ($A$1,$B18,G$1,$B$1)</f>
        <v>711.36569999999995</v>
      </c>
      <c r="H18" s="100">
        <f>_xll.EQNXTDZ($A$1,$B18,H$1,$B$1)</f>
        <v>779.27470000000005</v>
      </c>
      <c r="I18" s="100">
        <f>_xll.EQNXTDZ($A$1,$B18,I$1,$B$1)</f>
        <v>982.03440000000001</v>
      </c>
      <c r="J18" s="100">
        <f>_xll.EQNXTDZ($A$1,$B18,J$1,$B$1)</f>
        <v>1024.5843</v>
      </c>
      <c r="K18" s="100">
        <f>_xll.EQNXTDZ($A$1,$B18,K$1,$B$1)</f>
        <v>1101.7520999999999</v>
      </c>
      <c r="L18" s="100">
        <f>_xll.EQNXTDZ($A$1,$B18,L$1,$B$1)</f>
        <v>1223.3981000000001</v>
      </c>
      <c r="M18" s="100">
        <f>_xll.EQNXTDZ($A$1,$B18,M$1,$B$1)</f>
        <v>1284.8706999999999</v>
      </c>
      <c r="N18" s="100">
        <f>_xll.EQNXTDZ($A$1,$B18,N$1,$B$1)</f>
        <v>1381.5876000000001</v>
      </c>
      <c r="O18" s="100">
        <f>_xll.EQNXTDZ($A$1,$B18,O$1,$B$1)</f>
        <v>1546.8942</v>
      </c>
      <c r="P18" s="100">
        <f>_xll.EQNXTDZ($A$1,$B18,P$1,$B$1)</f>
        <v>1700.5908999999999</v>
      </c>
      <c r="Q18" s="100">
        <f>_xll.EQNXTDZ($A$1,$B18,Q$1,$B$1)</f>
        <v>1663.14</v>
      </c>
      <c r="R18" s="100">
        <f>_xll.EQNXTDZ($A$1,$B18,R$1,$B$1)</f>
        <v>721.33</v>
      </c>
      <c r="S18" s="100">
        <f>_xll.EQNXTDZ($A$1,$B18,S$1,$B$1)</f>
        <v>727.53</v>
      </c>
      <c r="T18" s="100">
        <f>_xll.EQNXTDZ($A$1,$B18,T$1,$B$1)</f>
        <v>669.01</v>
      </c>
      <c r="U18" s="100">
        <f>_xll.EQNXTDZ($A$1,$B18,U$1,$B$1)</f>
        <v>739.38</v>
      </c>
      <c r="V18" s="100">
        <f>_xll.EQNXTDZ($A$1,$B18,V$1,$B$1)</f>
        <v>1073.28</v>
      </c>
      <c r="W18" s="100">
        <f>_xll.EQNXTDZ($A$1,$B18,W$1,$B$1)</f>
        <v>1183.53</v>
      </c>
      <c r="X18" s="100">
        <f>_xll.EQNXTDZ($A$1,$B18,X$1,$B$1)</f>
        <v>1438.7</v>
      </c>
      <c r="Y18" s="100">
        <f>_xll.EQNXTDZ($A$1,$B18,Y$1,$B$1)</f>
        <v>1499.82</v>
      </c>
      <c r="Z18" s="100">
        <f>_xll.EQNXTDZ($A$1,$B18,Z$1,$B$1)</f>
        <v>1665.11</v>
      </c>
      <c r="AA18" s="100">
        <f>_xll.EQNXTDZ($A$1,$B18,AA$1,$B$1)</f>
        <v>1909.86</v>
      </c>
      <c r="AB18" s="100">
        <f>_xll.EQNXTDZ($A$1,$B18,AB$1,$B$1)</f>
        <v>2054.38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39.4253</v>
      </c>
      <c r="D19" s="100">
        <f>_xll.EQNXTDZ($A$1,$B19,D$1,$B$1)</f>
        <v>93.954700000000003</v>
      </c>
      <c r="E19" s="100">
        <f>_xll.EQNXTDZ($A$1,$B19,E$1,$B$1)</f>
        <v>177.8177</v>
      </c>
      <c r="F19" s="100">
        <f>_xll.EQNXTDZ($A$1,$B19,F$1,$B$1)</f>
        <v>91.039100000000005</v>
      </c>
      <c r="G19" s="100">
        <f>_xll.EQNXTDZ($A$1,$B19,G$1,$B$1)</f>
        <v>106.99760000000001</v>
      </c>
      <c r="H19" s="100">
        <f>_xll.EQNXTDZ($A$1,$B19,H$1,$B$1)</f>
        <v>105.7299</v>
      </c>
      <c r="I19" s="100">
        <f>_xll.EQNXTDZ($A$1,$B19,I$1,$B$1)</f>
        <v>144.3108</v>
      </c>
      <c r="J19" s="100">
        <f>_xll.EQNXTDZ($A$1,$B19,J$1,$B$1)</f>
        <v>159.73259999999999</v>
      </c>
      <c r="K19" s="100">
        <f>_xll.EQNXTDZ($A$1,$B19,K$1,$B$1)</f>
        <v>218.86199999999999</v>
      </c>
      <c r="L19" s="100">
        <f>_xll.EQNXTDZ($A$1,$B19,L$1,$B$1)</f>
        <v>275.62819999999999</v>
      </c>
      <c r="M19" s="100">
        <f>_xll.EQNXTDZ($A$1,$B19,M$1,$B$1)</f>
        <v>270.25349999999997</v>
      </c>
      <c r="N19" s="100">
        <f>_xll.EQNXTDZ($A$1,$B19,N$1,$B$1)</f>
        <v>298.20490000000001</v>
      </c>
      <c r="O19" s="100">
        <f>_xll.EQNXTDZ($A$1,$B19,O$1,$B$1)</f>
        <v>277.9828</v>
      </c>
      <c r="P19" s="100">
        <f>_xll.EQNXTDZ($A$1,$B19,P$1,$B$1)</f>
        <v>286.35599999999999</v>
      </c>
      <c r="Q19" s="100">
        <f>_xll.EQNXTDZ($A$1,$B19,Q$1,$B$1)</f>
        <v>299.39999999999998</v>
      </c>
      <c r="R19" s="100">
        <f>_xll.EQNXTDZ($A$1,$B19,R$1,$B$1)</f>
        <v>359.26</v>
      </c>
      <c r="S19" s="100">
        <f>_xll.EQNXTDZ($A$1,$B19,S$1,$B$1)</f>
        <v>380.79</v>
      </c>
      <c r="T19" s="100">
        <f>_xll.EQNXTDZ($A$1,$B19,T$1,$B$1)</f>
        <v>316.36</v>
      </c>
      <c r="U19" s="100">
        <f>_xll.EQNXTDZ($A$1,$B19,U$1,$B$1)</f>
        <v>384.55</v>
      </c>
      <c r="V19" s="100">
        <f>_xll.EQNXTDZ($A$1,$B19,V$1,$B$1)</f>
        <v>429.32</v>
      </c>
      <c r="W19" s="100">
        <f>_xll.EQNXTDZ($A$1,$B19,W$1,$B$1)</f>
        <v>409.22</v>
      </c>
      <c r="X19" s="100">
        <f>_xll.EQNXTDZ($A$1,$B19,X$1,$B$1)</f>
        <v>419.83</v>
      </c>
      <c r="Y19" s="100">
        <f>_xll.EQNXTDZ($A$1,$B19,Y$1,$B$1)</f>
        <v>465.18</v>
      </c>
      <c r="Z19" s="100">
        <f>_xll.EQNXTDZ($A$1,$B19,Z$1,$B$1)</f>
        <v>644.52</v>
      </c>
      <c r="AA19" s="100">
        <f>_xll.EQNXTDZ($A$1,$B19,AA$1,$B$1)</f>
        <v>792.83</v>
      </c>
      <c r="AB19" s="100">
        <f>_xll.EQNXTDZ($A$1,$B19,AB$1,$B$1)</f>
        <v>860.36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704.90679999999998</v>
      </c>
      <c r="D21" s="100">
        <f>_xll.EQNXTDZ($A$1,$B21,D$1,$B$1)</f>
        <v>2661.7440999999999</v>
      </c>
      <c r="E21" s="100">
        <f>_xll.EQNXTDZ($A$1,$B21,E$1,$B$1)</f>
        <v>2955.6939000000002</v>
      </c>
      <c r="F21" s="100">
        <f>_xll.EQNXTDZ($A$1,$B21,F$1,$B$1)</f>
        <v>2589.4688999999998</v>
      </c>
      <c r="G21" s="100">
        <f>_xll.EQNXTDZ($A$1,$B21,G$1,$B$1)</f>
        <v>2521.1873999999998</v>
      </c>
      <c r="H21" s="100">
        <f>_xll.EQNXTDZ($A$1,$B21,H$1,$B$1)</f>
        <v>2562.3690000000001</v>
      </c>
      <c r="I21" s="100">
        <f>_xll.EQNXTDZ($A$1,$B21,I$1,$B$1)</f>
        <v>3344.7523999999999</v>
      </c>
      <c r="J21" s="100">
        <f>_xll.EQNXTDZ($A$1,$B21,J$1,$B$1)</f>
        <v>3628.4104000000002</v>
      </c>
      <c r="K21" s="100">
        <f>_xll.EQNXTDZ($A$1,$B21,K$1,$B$1)</f>
        <v>4228.5003999999999</v>
      </c>
      <c r="L21" s="100">
        <f>_xll.EQNXTDZ($A$1,$B21,L$1,$B$1)</f>
        <v>5099.4937</v>
      </c>
      <c r="M21" s="100">
        <f>_xll.EQNXTDZ($A$1,$B21,M$1,$B$1)</f>
        <v>5395.0554000000002</v>
      </c>
      <c r="N21" s="100">
        <f>_xll.EQNXTDZ($A$1,$B21,N$1,$B$1)</f>
        <v>6016.9907000000003</v>
      </c>
      <c r="O21" s="100">
        <f>_xll.EQNXTDZ($A$1,$B21,O$1,$B$1)</f>
        <v>6582.4879000000001</v>
      </c>
      <c r="P21" s="100">
        <f>_xll.EQNXTDZ($A$1,$B21,P$1,$B$1)</f>
        <v>6985.7236999999996</v>
      </c>
      <c r="Q21" s="100">
        <f>_xll.EQNXTDZ($A$1,$B21,Q$1,$B$1)</f>
        <v>7218.54</v>
      </c>
      <c r="R21" s="100">
        <f>_xll.EQNXTDZ($A$1,$B21,R$1,$B$1)</f>
        <v>5982.21</v>
      </c>
      <c r="S21" s="100">
        <f>_xll.EQNXTDZ($A$1,$B21,S$1,$B$1)</f>
        <v>5988.42</v>
      </c>
      <c r="T21" s="100">
        <f>_xll.EQNXTDZ($A$1,$B21,T$1,$B$1)</f>
        <v>5976.44</v>
      </c>
      <c r="U21" s="100">
        <f>_xll.EQNXTDZ($A$1,$B21,U$1,$B$1)</f>
        <v>6465.59</v>
      </c>
      <c r="V21" s="100">
        <f>_xll.EQNXTDZ($A$1,$B21,V$1,$B$1)</f>
        <v>8345.27</v>
      </c>
      <c r="W21" s="100">
        <f>_xll.EQNXTDZ($A$1,$B21,W$1,$B$1)</f>
        <v>10058.27</v>
      </c>
      <c r="X21" s="100">
        <f>_xll.EQNXTDZ($A$1,$B21,X$1,$B$1)</f>
        <v>10706.59</v>
      </c>
      <c r="Y21" s="100">
        <f>_xll.EQNXTDZ($A$1,$B21,Y$1,$B$1)</f>
        <v>11931.61</v>
      </c>
      <c r="Z21" s="100">
        <f>_xll.EQNXTDZ($A$1,$B21,Z$1,$B$1)</f>
        <v>12925.9</v>
      </c>
      <c r="AA21" s="100">
        <f>_xll.EQNXTDZ($A$1,$B21,AA$1,$B$1)</f>
        <v>15138.95</v>
      </c>
      <c r="AB21" s="100">
        <f>_xll.EQNXTDZ($A$1,$B21,AB$1,$B$1)</f>
        <v>17498.63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104.66500000000001</v>
      </c>
      <c r="D22" s="100">
        <f>_xll.EQNXTDZ($A$1,$B22,D$1,$B$1)</f>
        <v>353.4434</v>
      </c>
      <c r="E22" s="100">
        <f>_xll.EQNXTDZ($A$1,$B22,E$1,$B$1)</f>
        <v>329.0684</v>
      </c>
      <c r="F22" s="100">
        <f>_xll.EQNXTDZ($A$1,$B22,F$1,$B$1)</f>
        <v>460.08539999999999</v>
      </c>
      <c r="G22" s="100">
        <f>_xll.EQNXTDZ($A$1,$B22,G$1,$B$1)</f>
        <v>520.15260000000001</v>
      </c>
      <c r="H22" s="100">
        <f>_xll.EQNXTDZ($A$1,$B22,H$1,$B$1)</f>
        <v>544.15599999999995</v>
      </c>
      <c r="I22" s="100">
        <f>_xll.EQNXTDZ($A$1,$B22,I$1,$B$1)</f>
        <v>680.1422</v>
      </c>
      <c r="J22" s="100">
        <f>_xll.EQNXTDZ($A$1,$B22,J$1,$B$1)</f>
        <v>681.23590000000002</v>
      </c>
      <c r="K22" s="100">
        <f>_xll.EQNXTDZ($A$1,$B22,K$1,$B$1)</f>
        <v>619.37440000000004</v>
      </c>
      <c r="L22" s="100">
        <f>_xll.EQNXTDZ($A$1,$B22,L$1,$B$1)</f>
        <v>683.45669999999996</v>
      </c>
      <c r="M22" s="100">
        <f>_xll.EQNXTDZ($A$1,$B22,M$1,$B$1)</f>
        <v>608.11439999999902</v>
      </c>
      <c r="N22" s="100">
        <f>_xll.EQNXTDZ($A$1,$B22,N$1,$B$1)</f>
        <v>623.05420000000004</v>
      </c>
      <c r="O22" s="100">
        <f>_xll.EQNXTDZ($A$1,$B22,O$1,$B$1)</f>
        <v>768.48969999999997</v>
      </c>
      <c r="P22" s="100">
        <f>_xll.EQNXTDZ($A$1,$B22,P$1,$B$1)</f>
        <v>751.88690000000099</v>
      </c>
      <c r="Q22" s="100">
        <f>_xll.EQNXTDZ($A$1,$B22,Q$1,$B$1)</f>
        <v>774.85</v>
      </c>
      <c r="R22" s="100">
        <f>_xll.EQNXTDZ($A$1,$B22,R$1,$B$1)</f>
        <v>654.33000000000004</v>
      </c>
      <c r="S22" s="100">
        <f>_xll.EQNXTDZ($A$1,$B22,S$1,$B$1)</f>
        <v>791.13</v>
      </c>
      <c r="T22" s="100">
        <f>_xll.EQNXTDZ($A$1,$B22,T$1,$B$1)</f>
        <v>838.91000000000099</v>
      </c>
      <c r="U22" s="100">
        <f>_xll.EQNXTDZ($A$1,$B22,U$1,$B$1)</f>
        <v>785.91</v>
      </c>
      <c r="V22" s="100">
        <f>_xll.EQNXTDZ($A$1,$B22,V$1,$B$1)</f>
        <v>1292.1500000000001</v>
      </c>
      <c r="W22" s="100">
        <f>_xll.EQNXTDZ($A$1,$B22,W$1,$B$1)</f>
        <v>1543.76</v>
      </c>
      <c r="X22" s="100">
        <f>_xll.EQNXTDZ($A$1,$B22,X$1,$B$1)</f>
        <v>1718.78</v>
      </c>
      <c r="Y22" s="100">
        <f>_xll.EQNXTDZ($A$1,$B22,Y$1,$B$1)</f>
        <v>1851.55</v>
      </c>
      <c r="Z22" s="100">
        <f>_xll.EQNXTDZ($A$1,$B22,Z$1,$B$1)</f>
        <v>2279.9499999999998</v>
      </c>
      <c r="AA22" s="100">
        <f>_xll.EQNXTDZ($A$1,$B22,AA$1,$B$1)</f>
        <v>2479.35</v>
      </c>
      <c r="AB22" s="100">
        <f>_xll.EQNXTDZ($A$1,$B22,AB$1,$B$1)</f>
        <v>2791.8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79.9499</v>
      </c>
      <c r="D23" s="100">
        <f>_xll.EQNXTDZ($A$1,$B23,D$1,$B$1)</f>
        <v>57.207000000000001</v>
      </c>
      <c r="E23" s="100">
        <f>_xll.EQNXTDZ($A$1,$B23,E$1,$B$1)</f>
        <v>121.0239</v>
      </c>
      <c r="F23" s="100">
        <f>_xll.EQNXTDZ($A$1,$B23,F$1,$B$1)</f>
        <v>66.148200000000003</v>
      </c>
      <c r="G23" s="100">
        <f>_xll.EQNXTDZ($A$1,$B23,G$1,$B$1)</f>
        <v>49.148299999999999</v>
      </c>
      <c r="H23" s="100">
        <f>_xll.EQNXTDZ($A$1,$B23,H$1,$B$1)</f>
        <v>54.956800000000001</v>
      </c>
      <c r="I23" s="100">
        <f>_xll.EQNXTDZ($A$1,$B23,I$1,$B$1)</f>
        <v>130.3544</v>
      </c>
      <c r="J23" s="100">
        <f>_xll.EQNXTDZ($A$1,$B23,J$1,$B$1)</f>
        <v>209.7192</v>
      </c>
      <c r="K23" s="100">
        <f>_xll.EQNXTDZ($A$1,$B23,K$1,$B$1)</f>
        <v>215.37039999999999</v>
      </c>
      <c r="L23" s="100">
        <f>_xll.EQNXTDZ($A$1,$B23,L$1,$B$1)</f>
        <v>193.3972</v>
      </c>
      <c r="M23" s="100">
        <f>_xll.EQNXTDZ($A$1,$B23,M$1,$B$1)</f>
        <v>97.192599999999999</v>
      </c>
      <c r="N23" s="100">
        <f>_xll.EQNXTDZ($A$1,$B23,N$1,$B$1)</f>
        <v>94.516999999999996</v>
      </c>
      <c r="O23" s="100">
        <f>_xll.EQNXTDZ($A$1,$B23,O$1,$B$1)</f>
        <v>86.006200000000007</v>
      </c>
      <c r="P23" s="100">
        <f>_xll.EQNXTDZ($A$1,$B23,P$1,$B$1)</f>
        <v>81.8018</v>
      </c>
      <c r="Q23" s="100">
        <f>_xll.EQNXTDZ($A$1,$B23,Q$1,$B$1)</f>
        <v>69.98</v>
      </c>
      <c r="R23" s="100">
        <f>_xll.EQNXTDZ($A$1,$B23,R$1,$B$1)</f>
        <v>82</v>
      </c>
      <c r="S23" s="100">
        <f>_xll.EQNXTDZ($A$1,$B23,S$1,$B$1)</f>
        <v>83.1</v>
      </c>
      <c r="T23" s="100">
        <f>_xll.EQNXTDZ($A$1,$B23,T$1,$B$1)</f>
        <v>94.15</v>
      </c>
      <c r="U23" s="100">
        <f>_xll.EQNXTDZ($A$1,$B23,U$1,$B$1)</f>
        <v>157.13</v>
      </c>
      <c r="V23" s="100">
        <f>_xll.EQNXTDZ($A$1,$B23,V$1,$B$1)</f>
        <v>111.59</v>
      </c>
      <c r="W23" s="100">
        <f>_xll.EQNXTDZ($A$1,$B23,W$1,$B$1)</f>
        <v>121.38</v>
      </c>
      <c r="X23" s="100">
        <f>_xll.EQNXTDZ($A$1,$B23,X$1,$B$1)</f>
        <v>140.06</v>
      </c>
      <c r="Y23" s="100">
        <f>_xll.EQNXTDZ($A$1,$B23,Y$1,$B$1)</f>
        <v>173.8</v>
      </c>
      <c r="Z23" s="100">
        <f>_xll.EQNXTDZ($A$1,$B23,Z$1,$B$1)</f>
        <v>249.77</v>
      </c>
      <c r="AA23" s="100">
        <f>_xll.EQNXTDZ($A$1,$B23,AA$1,$B$1)</f>
        <v>193.25</v>
      </c>
      <c r="AB23" s="100">
        <f>_xll.EQNXTDZ($A$1,$B23,AB$1,$B$1)</f>
        <v>164.75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184.61490000000001</v>
      </c>
      <c r="D24" s="100">
        <f>_xll.EQNXTDZ($A$1,$B24,D$1,$B$1)</f>
        <v>410.65039999999999</v>
      </c>
      <c r="E24" s="100">
        <f>_xll.EQNXTDZ($A$1,$B24,E$1,$B$1)</f>
        <v>450.09230000000002</v>
      </c>
      <c r="F24" s="100">
        <f>_xll.EQNXTDZ($A$1,$B24,F$1,$B$1)</f>
        <v>526.23360000000002</v>
      </c>
      <c r="G24" s="100">
        <f>_xll.EQNXTDZ($A$1,$B24,G$1,$B$1)</f>
        <v>569.30089999999996</v>
      </c>
      <c r="H24" s="100">
        <f>_xll.EQNXTDZ($A$1,$B24,H$1,$B$1)</f>
        <v>599.11279999999999</v>
      </c>
      <c r="I24" s="100">
        <f>_xll.EQNXTDZ($A$1,$B24,I$1,$B$1)</f>
        <v>810.49659999999994</v>
      </c>
      <c r="J24" s="100">
        <f>_xll.EQNXTDZ($A$1,$B24,J$1,$B$1)</f>
        <v>890.95510000000002</v>
      </c>
      <c r="K24" s="100">
        <f>_xll.EQNXTDZ($A$1,$B24,K$1,$B$1)</f>
        <v>834.74480000000005</v>
      </c>
      <c r="L24" s="100">
        <f>_xll.EQNXTDZ($A$1,$B24,L$1,$B$1)</f>
        <v>876.85389999999995</v>
      </c>
      <c r="M24" s="100">
        <f>_xll.EQNXTDZ($A$1,$B24,M$1,$B$1)</f>
        <v>705.30700000000002</v>
      </c>
      <c r="N24" s="100">
        <f>_xll.EQNXTDZ($A$1,$B24,N$1,$B$1)</f>
        <v>717.57119999999998</v>
      </c>
      <c r="O24" s="100">
        <f>_xll.EQNXTDZ($A$1,$B24,O$1,$B$1)</f>
        <v>854.49590000000001</v>
      </c>
      <c r="P24" s="100">
        <f>_xll.EQNXTDZ($A$1,$B24,P$1,$B$1)</f>
        <v>833.68870000000004</v>
      </c>
      <c r="Q24" s="100">
        <f>_xll.EQNXTDZ($A$1,$B24,Q$1,$B$1)</f>
        <v>844.83</v>
      </c>
      <c r="R24" s="100">
        <f>_xll.EQNXTDZ($A$1,$B24,R$1,$B$1)</f>
        <v>736.33</v>
      </c>
      <c r="S24" s="100">
        <f>_xll.EQNXTDZ($A$1,$B24,S$1,$B$1)</f>
        <v>874.23</v>
      </c>
      <c r="T24" s="100">
        <f>_xll.EQNXTDZ($A$1,$B24,T$1,$B$1)</f>
        <v>933.06</v>
      </c>
      <c r="U24" s="100">
        <f>_xll.EQNXTDZ($A$1,$B24,U$1,$B$1)</f>
        <v>943.04</v>
      </c>
      <c r="V24" s="100">
        <f>_xll.EQNXTDZ($A$1,$B24,V$1,$B$1)</f>
        <v>1403.74</v>
      </c>
      <c r="W24" s="100">
        <f>_xll.EQNXTDZ($A$1,$B24,W$1,$B$1)</f>
        <v>1665.14</v>
      </c>
      <c r="X24" s="100">
        <f>_xll.EQNXTDZ($A$1,$B24,X$1,$B$1)</f>
        <v>1858.84</v>
      </c>
      <c r="Y24" s="100">
        <f>_xll.EQNXTDZ($A$1,$B24,Y$1,$B$1)</f>
        <v>2025.35</v>
      </c>
      <c r="Z24" s="100">
        <f>_xll.EQNXTDZ($A$1,$B24,Z$1,$B$1)</f>
        <v>2529.7199999999998</v>
      </c>
      <c r="AA24" s="100">
        <f>_xll.EQNXTDZ($A$1,$B24,AA$1,$B$1)</f>
        <v>2672.6</v>
      </c>
      <c r="AB24" s="100">
        <f>_xll.EQNXTDZ($A$1,$B24,AB$1,$B$1)</f>
        <v>2956.55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36.6312</v>
      </c>
      <c r="D25" s="100">
        <f>_xll.EQNXTDZ($A$1,$B25,D$1,$B$1)</f>
        <v>191.9768</v>
      </c>
      <c r="E25" s="100">
        <f>_xll.EQNXTDZ($A$1,$B25,E$1,$B$1)</f>
        <v>182.41120000000001</v>
      </c>
      <c r="F25" s="100">
        <f>_xll.EQNXTDZ($A$1,$B25,F$1,$B$1)</f>
        <v>145.2182</v>
      </c>
      <c r="G25" s="100">
        <f>_xll.EQNXTDZ($A$1,$B25,G$1,$B$1)</f>
        <v>134.92250000000001</v>
      </c>
      <c r="H25" s="100">
        <f>_xll.EQNXTDZ($A$1,$B25,H$1,$B$1)</f>
        <v>112.1362</v>
      </c>
      <c r="I25" s="100">
        <f>_xll.EQNXTDZ($A$1,$B25,I$1,$B$1)</f>
        <v>285.8338</v>
      </c>
      <c r="J25" s="100">
        <f>_xll.EQNXTDZ($A$1,$B25,J$1,$B$1)</f>
        <v>306.2527</v>
      </c>
      <c r="K25" s="100">
        <f>_xll.EQNXTDZ($A$1,$B25,K$1,$B$1)</f>
        <v>210.12799999999999</v>
      </c>
      <c r="L25" s="100">
        <f>_xll.EQNXTDZ($A$1,$B25,L$1,$B$1)</f>
        <v>149.07859999999999</v>
      </c>
      <c r="M25" s="100">
        <f>_xll.EQNXTDZ($A$1,$B25,M$1,$B$1)</f>
        <v>121.02249999999999</v>
      </c>
      <c r="N25" s="100">
        <f>_xll.EQNXTDZ($A$1,$B25,N$1,$B$1)</f>
        <v>70.352500000000006</v>
      </c>
      <c r="O25" s="100">
        <f>_xll.EQNXTDZ($A$1,$B25,O$1,$B$1)</f>
        <v>84.444800000000001</v>
      </c>
      <c r="P25" s="100">
        <f>_xll.EQNXTDZ($A$1,$B25,P$1,$B$1)</f>
        <v>86.531499999999994</v>
      </c>
      <c r="Q25" s="100">
        <f>_xll.EQNXTDZ($A$1,$B25,Q$1,$B$1)</f>
        <v>81.86</v>
      </c>
      <c r="R25" s="100">
        <f>_xll.EQNXTDZ($A$1,$B25,R$1,$B$1)</f>
        <v>116.9</v>
      </c>
      <c r="S25" s="100">
        <f>_xll.EQNXTDZ($A$1,$B25,S$1,$B$1)</f>
        <v>91.53</v>
      </c>
      <c r="T25" s="100">
        <f>_xll.EQNXTDZ($A$1,$B25,T$1,$B$1)</f>
        <v>42.76</v>
      </c>
      <c r="U25" s="100">
        <f>_xll.EQNXTDZ($A$1,$B25,U$1,$B$1)</f>
        <v>52.47</v>
      </c>
      <c r="V25" s="100">
        <f>_xll.EQNXTDZ($A$1,$B25,V$1,$B$1)</f>
        <v>77.86</v>
      </c>
      <c r="W25" s="100">
        <f>_xll.EQNXTDZ($A$1,$B25,W$1,$B$1)</f>
        <v>68.69</v>
      </c>
      <c r="X25" s="100">
        <f>_xll.EQNXTDZ($A$1,$B25,X$1,$B$1)</f>
        <v>72.78</v>
      </c>
      <c r="Y25" s="100">
        <f>_xll.EQNXTDZ($A$1,$B25,Y$1,$B$1)</f>
        <v>87.16</v>
      </c>
      <c r="Z25" s="100">
        <f>_xll.EQNXTDZ($A$1,$B25,Z$1,$B$1)</f>
        <v>129.81</v>
      </c>
      <c r="AA25" s="100">
        <f>_xll.EQNXTDZ($A$1,$B25,AA$1,$B$1)</f>
        <v>290.2</v>
      </c>
      <c r="AB25" s="100">
        <f>_xll.EQNXTDZ($A$1,$B25,AB$1,$B$1)</f>
        <v>137.03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147.9837</v>
      </c>
      <c r="D26" s="100">
        <f>_xll.EQNXTDZ($A$1,$B26,D$1,$B$1)</f>
        <v>218.67359999999999</v>
      </c>
      <c r="E26" s="100">
        <f>_xll.EQNXTDZ($A$1,$B26,E$1,$B$1)</f>
        <v>267.68110000000001</v>
      </c>
      <c r="F26" s="100">
        <f>_xll.EQNXTDZ($A$1,$B26,F$1,$B$1)</f>
        <v>381.0154</v>
      </c>
      <c r="G26" s="100">
        <f>_xll.EQNXTDZ($A$1,$B26,G$1,$B$1)</f>
        <v>434.3784</v>
      </c>
      <c r="H26" s="100">
        <f>_xll.EQNXTDZ($A$1,$B26,H$1,$B$1)</f>
        <v>486.97660000000002</v>
      </c>
      <c r="I26" s="100">
        <f>_xll.EQNXTDZ($A$1,$B26,I$1,$B$1)</f>
        <v>524.66279999999995</v>
      </c>
      <c r="J26" s="100">
        <f>_xll.EQNXTDZ($A$1,$B26,J$1,$B$1)</f>
        <v>584.70240000000001</v>
      </c>
      <c r="K26" s="100">
        <f>_xll.EQNXTDZ($A$1,$B26,K$1,$B$1)</f>
        <v>624.61680000000001</v>
      </c>
      <c r="L26" s="100">
        <f>_xll.EQNXTDZ($A$1,$B26,L$1,$B$1)</f>
        <v>727.77530000000002</v>
      </c>
      <c r="M26" s="100">
        <f>_xll.EQNXTDZ($A$1,$B26,M$1,$B$1)</f>
        <v>584.28449999999998</v>
      </c>
      <c r="N26" s="100">
        <f>_xll.EQNXTDZ($A$1,$B26,N$1,$B$1)</f>
        <v>647.21870000000001</v>
      </c>
      <c r="O26" s="100">
        <f>_xll.EQNXTDZ($A$1,$B26,O$1,$B$1)</f>
        <v>770.05110000000002</v>
      </c>
      <c r="P26" s="100">
        <f>_xll.EQNXTDZ($A$1,$B26,P$1,$B$1)</f>
        <v>747.15719999999999</v>
      </c>
      <c r="Q26" s="100">
        <f>_xll.EQNXTDZ($A$1,$B26,Q$1,$B$1)</f>
        <v>762.97</v>
      </c>
      <c r="R26" s="100">
        <f>_xll.EQNXTDZ($A$1,$B26,R$1,$B$1)</f>
        <v>619.42999999999995</v>
      </c>
      <c r="S26" s="100">
        <f>_xll.EQNXTDZ($A$1,$B26,S$1,$B$1)</f>
        <v>782.7</v>
      </c>
      <c r="T26" s="100">
        <f>_xll.EQNXTDZ($A$1,$B26,T$1,$B$1)</f>
        <v>890.3</v>
      </c>
      <c r="U26" s="100">
        <f>_xll.EQNXTDZ($A$1,$B26,U$1,$B$1)</f>
        <v>890.57</v>
      </c>
      <c r="V26" s="100">
        <f>_xll.EQNXTDZ($A$1,$B26,V$1,$B$1)</f>
        <v>1325.88</v>
      </c>
      <c r="W26" s="100">
        <f>_xll.EQNXTDZ($A$1,$B26,W$1,$B$1)</f>
        <v>1596.45</v>
      </c>
      <c r="X26" s="100">
        <f>_xll.EQNXTDZ($A$1,$B26,X$1,$B$1)</f>
        <v>1786.06</v>
      </c>
      <c r="Y26" s="100">
        <f>_xll.EQNXTDZ($A$1,$B26,Y$1,$B$1)</f>
        <v>1938.19</v>
      </c>
      <c r="Z26" s="100">
        <f>_xll.EQNXTDZ($A$1,$B26,Z$1,$B$1)</f>
        <v>2399.91</v>
      </c>
      <c r="AA26" s="100">
        <f>_xll.EQNXTDZ($A$1,$B26,AA$1,$B$1)</f>
        <v>2382.4</v>
      </c>
      <c r="AB26" s="100">
        <f>_xll.EQNXTDZ($A$1,$B26,AB$1,$B$1)</f>
        <v>2819.52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20.3748</v>
      </c>
      <c r="D27" s="100">
        <f>_xll.EQNXTDZ($A$1,$B27,D$1,$B$1)</f>
        <v>92.024100000000004</v>
      </c>
      <c r="E27" s="100">
        <f>_xll.EQNXTDZ($A$1,$B27,E$1,$B$1)</f>
        <v>88.768299999999996</v>
      </c>
      <c r="F27" s="100">
        <f>_xll.EQNXTDZ($A$1,$B27,F$1,$B$1)</f>
        <v>82.676400000000001</v>
      </c>
      <c r="G27" s="100">
        <f>_xll.EQNXTDZ($A$1,$B27,G$1,$B$1)</f>
        <v>77.852500000000006</v>
      </c>
      <c r="H27" s="100">
        <f>_xll.EQNXTDZ($A$1,$B27,H$1,$B$1)</f>
        <v>75.836500000000001</v>
      </c>
      <c r="I27" s="100">
        <f>_xll.EQNXTDZ($A$1,$B27,I$1,$B$1)</f>
        <v>96.704999999999998</v>
      </c>
      <c r="J27" s="100">
        <f>_xll.EQNXTDZ($A$1,$B27,J$1,$B$1)</f>
        <v>91.629599999999996</v>
      </c>
      <c r="K27" s="100">
        <f>_xll.EQNXTDZ($A$1,$B27,K$1,$B$1)</f>
        <v>98.687399999999997</v>
      </c>
      <c r="L27" s="100">
        <f>_xll.EQNXTDZ($A$1,$B27,L$1,$B$1)</f>
        <v>102.9233</v>
      </c>
      <c r="M27" s="100">
        <f>_xll.EQNXTDZ($A$1,$B27,M$1,$B$1)</f>
        <v>99.439099999999996</v>
      </c>
      <c r="N27" s="100">
        <f>_xll.EQNXTDZ($A$1,$B27,N$1,$B$1)</f>
        <v>96.135499999999993</v>
      </c>
      <c r="O27" s="100">
        <f>_xll.EQNXTDZ($A$1,$B27,O$1,$B$1)</f>
        <v>105.09569999999999</v>
      </c>
      <c r="P27" s="100">
        <f>_xll.EQNXTDZ($A$1,$B27,P$1,$B$1)</f>
        <v>129.05860000000001</v>
      </c>
      <c r="Q27" s="100">
        <f>_xll.EQNXTDZ($A$1,$B27,Q$1,$B$1)</f>
        <v>133.1</v>
      </c>
      <c r="R27" s="100">
        <f>_xll.EQNXTDZ($A$1,$B27,R$1,$B$1)</f>
        <v>116.79</v>
      </c>
      <c r="S27" s="100">
        <f>_xll.EQNXTDZ($A$1,$B27,S$1,$B$1)</f>
        <v>126.04</v>
      </c>
      <c r="T27" s="100">
        <f>_xll.EQNXTDZ($A$1,$B27,T$1,$B$1)</f>
        <v>116.04</v>
      </c>
      <c r="U27" s="100">
        <f>_xll.EQNXTDZ($A$1,$B27,U$1,$B$1)</f>
        <v>122.57</v>
      </c>
      <c r="V27" s="100">
        <f>_xll.EQNXTDZ($A$1,$B27,V$1,$B$1)</f>
        <v>241.71</v>
      </c>
      <c r="W27" s="100">
        <f>_xll.EQNXTDZ($A$1,$B27,W$1,$B$1)</f>
        <v>254.74</v>
      </c>
      <c r="X27" s="100">
        <f>_xll.EQNXTDZ($A$1,$B27,X$1,$B$1)</f>
        <v>278.01</v>
      </c>
      <c r="Y27" s="100">
        <f>_xll.EQNXTDZ($A$1,$B27,Y$1,$B$1)</f>
        <v>304.08</v>
      </c>
      <c r="Z27" s="100">
        <f>_xll.EQNXTDZ($A$1,$B27,Z$1,$B$1)</f>
        <v>377.15</v>
      </c>
      <c r="AA27" s="100">
        <f>_xll.EQNXTDZ($A$1,$B27,AA$1,$B$1)</f>
        <v>600.74</v>
      </c>
      <c r="AB27" s="100">
        <f>_xll.EQNXTDZ($A$1,$B27,AB$1,$B$1)</f>
        <v>626.67999999999995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2.7629999999999999</v>
      </c>
      <c r="G29" s="100">
        <f>_xll.EQNXTDZ($A$1,$B29,G$1,$B$1)</f>
        <v>-42.8078</v>
      </c>
      <c r="H29" s="100">
        <f>_xll.EQNXTDZ($A$1,$B29,H$1,$B$1)</f>
        <v>7.2586000000000004</v>
      </c>
      <c r="I29" s="100">
        <f>_xll.EQNXTDZ($A$1,$B29,I$1,$B$1)</f>
        <v>137.65360000000001</v>
      </c>
      <c r="J29" s="100">
        <f>_xll.EQNXTDZ($A$1,$B29,J$1,$B$1)</f>
        <v>1566.2048</v>
      </c>
      <c r="K29" s="100">
        <f>_xll.EQNXTDZ($A$1,$B29,K$1,$B$1)</f>
        <v>730.37750000000005</v>
      </c>
      <c r="L29" s="100">
        <f>_xll.EQNXTDZ($A$1,$B29,L$1,$B$1)</f>
        <v>16.130800000000001</v>
      </c>
      <c r="M29" s="100">
        <f>_xll.EQNXTDZ($A$1,$B29,M$1,$B$1)</f>
        <v>9.5112000000000005</v>
      </c>
      <c r="N29" s="100">
        <f>_xll.EQNXTDZ($A$1,$B29,N$1,$B$1)</f>
        <v>22.535599999999999</v>
      </c>
      <c r="O29" s="100">
        <f>_xll.EQNXTDZ($A$1,$B29,O$1,$B$1)</f>
        <v>-28.165700000000001</v>
      </c>
      <c r="P29" s="100">
        <f>_xll.EQNXTDZ($A$1,$B29,P$1,$B$1)</f>
        <v>88.762100000000004</v>
      </c>
      <c r="Q29" s="100">
        <f>_xll.EQNXTDZ($A$1,$B29,Q$1,$B$1)</f>
        <v>-129.99</v>
      </c>
      <c r="R29" s="100">
        <f>_xll.EQNXTDZ($A$1,$B29,R$1,$B$1)</f>
        <v>-332.88</v>
      </c>
      <c r="S29" s="100">
        <f>_xll.EQNXTDZ($A$1,$B29,S$1,$B$1)</f>
        <v>5.3</v>
      </c>
      <c r="T29" s="100">
        <f>_xll.EQNXTDZ($A$1,$B29,T$1,$B$1)</f>
        <v>-21.13</v>
      </c>
      <c r="U29" s="100">
        <f>_xll.EQNXTDZ($A$1,$B29,U$1,$B$1)</f>
        <v>-33.29</v>
      </c>
      <c r="V29" s="100">
        <f>_xll.EQNXTDZ($A$1,$B29,V$1,$B$1)</f>
        <v>-274.79000000000002</v>
      </c>
      <c r="W29" s="100">
        <f>_xll.EQNXTDZ($A$1,$B29,W$1,$B$1)</f>
        <v>-30.65</v>
      </c>
      <c r="X29" s="100">
        <f>_xll.EQNXTDZ($A$1,$B29,X$1,$B$1)</f>
        <v>-52.06</v>
      </c>
      <c r="Y29" s="100">
        <f>_xll.EQNXTDZ($A$1,$B29,Y$1,$B$1)</f>
        <v>159.44999999999999</v>
      </c>
      <c r="Z29" s="100">
        <f>_xll.EQNXTDZ($A$1,$B29,Z$1,$B$1)</f>
        <v>-327.04000000000002</v>
      </c>
      <c r="AA29" s="100">
        <f>_xll.EQNXTDZ($A$1,$B29,AA$1,$B$1)</f>
        <v>-5.1100000000000003</v>
      </c>
      <c r="AB29" s="100">
        <f>_xll.EQNXTDZ($A$1,$B29,AB$1,$B$1)</f>
        <v>-20.059999999999999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27.4</v>
      </c>
      <c r="D30" s="100">
        <f>_xll.EQNXTDZ($A$1,$B30,D$1,$B$1)</f>
        <v>23.160799999999998</v>
      </c>
      <c r="E30" s="100">
        <f>_xll.EQNXTDZ($A$1,$B30,E$1,$B$1)</f>
        <v>61.831299999999999</v>
      </c>
      <c r="F30" s="100">
        <f>_xll.EQNXTDZ($A$1,$B30,F$1,$B$1)</f>
        <v>90.643199999999993</v>
      </c>
      <c r="G30" s="100">
        <f>_xll.EQNXTDZ($A$1,$B30,G$1,$B$1)</f>
        <v>93.8489</v>
      </c>
      <c r="H30" s="100">
        <f>_xll.EQNXTDZ($A$1,$B30,H$1,$B$1)</f>
        <v>117.8601</v>
      </c>
      <c r="I30" s="100">
        <f>_xll.EQNXTDZ($A$1,$B30,I$1,$B$1)</f>
        <v>107.60339999999999</v>
      </c>
      <c r="J30" s="100">
        <f>_xll.EQNXTDZ($A$1,$B30,J$1,$B$1)</f>
        <v>153.39760000000001</v>
      </c>
      <c r="K30" s="100">
        <f>_xll.EQNXTDZ($A$1,$B30,K$1,$B$1)</f>
        <v>424.41250000000002</v>
      </c>
      <c r="L30" s="100">
        <f>_xll.EQNXTDZ($A$1,$B30,L$1,$B$1)</f>
        <v>247.6755</v>
      </c>
      <c r="M30" s="100">
        <f>_xll.EQNXTDZ($A$1,$B30,M$1,$B$1)</f>
        <v>202.31270000000001</v>
      </c>
      <c r="N30" s="100">
        <f>_xll.EQNXTDZ($A$1,$B30,N$1,$B$1)</f>
        <v>141.7097</v>
      </c>
      <c r="O30" s="100">
        <f>_xll.EQNXTDZ($A$1,$B30,O$1,$B$1)</f>
        <v>164.07079999999999</v>
      </c>
      <c r="P30" s="100">
        <f>_xll.EQNXTDZ($A$1,$B30,P$1,$B$1)</f>
        <v>184.48939999999999</v>
      </c>
      <c r="Q30" s="100">
        <f>_xll.EQNXTDZ($A$1,$B30,Q$1,$B$1)</f>
        <v>215.52</v>
      </c>
      <c r="R30" s="100">
        <f>_xll.EQNXTDZ($A$1,$B30,R$1,$B$1)</f>
        <v>200.01</v>
      </c>
      <c r="S30" s="100">
        <f>_xll.EQNXTDZ($A$1,$B30,S$1,$B$1)</f>
        <v>198.31</v>
      </c>
      <c r="T30" s="100">
        <f>_xll.EQNXTDZ($A$1,$B30,T$1,$B$1)</f>
        <v>185.87</v>
      </c>
      <c r="U30" s="100">
        <f>_xll.EQNXTDZ($A$1,$B30,U$1,$B$1)</f>
        <v>260.88</v>
      </c>
      <c r="V30" s="100">
        <f>_xll.EQNXTDZ($A$1,$B30,V$1,$B$1)</f>
        <v>274.19</v>
      </c>
      <c r="W30" s="100">
        <f>_xll.EQNXTDZ($A$1,$B30,W$1,$B$1)</f>
        <v>317.27</v>
      </c>
      <c r="X30" s="100">
        <f>_xll.EQNXTDZ($A$1,$B30,X$1,$B$1)</f>
        <v>377.04</v>
      </c>
      <c r="Y30" s="100">
        <f>_xll.EQNXTDZ($A$1,$B30,Y$1,$B$1)</f>
        <v>447.04</v>
      </c>
      <c r="Z30" s="100">
        <f>_xll.EQNXTDZ($A$1,$B30,Z$1,$B$1)</f>
        <v>394.73</v>
      </c>
      <c r="AA30" s="100">
        <f>_xll.EQNXTDZ($A$1,$B30,AA$1,$B$1)</f>
        <v>396.24</v>
      </c>
      <c r="AB30" s="100">
        <f>_xll.EQNXTDZ($A$1,$B30,AB$1,$B$1)</f>
        <v>535.28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-4.8212999999999999</v>
      </c>
      <c r="E32" s="100">
        <f>_xll.EQNXTDZ($A$1,$B32,E$1,$B$1)</f>
        <v>-10.692500000000001</v>
      </c>
      <c r="F32" s="100">
        <f>_xll.EQNXTDZ($A$1,$B32,F$1,$B$1)</f>
        <v>-8.3902999999999999</v>
      </c>
      <c r="G32" s="100">
        <f>_xll.EQNXTDZ($A$1,$B32,G$1,$B$1)</f>
        <v>-16.025200000000002</v>
      </c>
      <c r="H32" s="100">
        <f>_xll.EQNXTDZ($A$1,$B32,H$1,$B$1)</f>
        <v>-13.091900000000001</v>
      </c>
      <c r="I32" s="100">
        <f>_xll.EQNXTDZ($A$1,$B32,I$1,$B$1)</f>
        <v>-32.601999999999997</v>
      </c>
      <c r="J32" s="100">
        <f>_xll.EQNXTDZ($A$1,$B32,J$1,$B$1)</f>
        <v>-392.2002</v>
      </c>
      <c r="K32" s="100">
        <f>_xll.EQNXTDZ($A$1,$B32,K$1,$B$1)</f>
        <v>-156.28020000000001</v>
      </c>
      <c r="L32" s="100">
        <f>_xll.EQNXTDZ($A$1,$B32,L$1,$B$1)</f>
        <v>-36.044400000000003</v>
      </c>
      <c r="M32" s="100">
        <f>_xll.EQNXTDZ($A$1,$B32,M$1,$B$1)</f>
        <v>-57.963099999999997</v>
      </c>
      <c r="N32" s="100">
        <f>_xll.EQNXTDZ($A$1,$B32,N$1,$B$1)</f>
        <v>-60.650300000000001</v>
      </c>
      <c r="O32" s="100">
        <f>_xll.EQNXTDZ($A$1,$B32,O$1,$B$1)</f>
        <v>-72.307299999999998</v>
      </c>
      <c r="P32" s="100">
        <f>_xll.EQNXTDZ($A$1,$B32,P$1,$B$1)</f>
        <v>-28.985299999999999</v>
      </c>
      <c r="Q32" s="100">
        <f>_xll.EQNXTDZ($A$1,$B32,Q$1,$B$1)</f>
        <v>-25.66</v>
      </c>
      <c r="R32" s="100">
        <f>_xll.EQNXTDZ($A$1,$B32,R$1,$B$1)</f>
        <v>31.57</v>
      </c>
      <c r="S32" s="100">
        <f>_xll.EQNXTDZ($A$1,$B32,S$1,$B$1)</f>
        <v>-65.36</v>
      </c>
      <c r="T32" s="100">
        <f>_xll.EQNXTDZ($A$1,$B32,T$1,$B$1)</f>
        <v>-60.94</v>
      </c>
      <c r="U32" s="100">
        <f>_xll.EQNXTDZ($A$1,$B32,U$1,$B$1)</f>
        <v>-48.79</v>
      </c>
      <c r="V32" s="100">
        <f>_xll.EQNXTDZ($A$1,$B32,V$1,$B$1)</f>
        <v>-0.35</v>
      </c>
      <c r="W32" s="100">
        <f>_xll.EQNXTDZ($A$1,$B32,W$1,$B$1)</f>
        <v>-73.77</v>
      </c>
      <c r="X32" s="100">
        <f>_xll.EQNXTDZ($A$1,$B32,X$1,$B$1)</f>
        <v>-79.38</v>
      </c>
      <c r="Y32" s="100">
        <f>_xll.EQNXTDZ($A$1,$B32,Y$1,$B$1)</f>
        <v>-116.37</v>
      </c>
      <c r="Z32" s="100">
        <f>_xll.EQNXTDZ($A$1,$B32,Z$1,$B$1)</f>
        <v>-65.069999999999993</v>
      </c>
      <c r="AA32" s="100">
        <f>_xll.EQNXTDZ($A$1,$B32,AA$1,$B$1)</f>
        <v>-8.6300000000000008</v>
      </c>
      <c r="AB32" s="100">
        <f>_xll.EQNXTDZ($A$1,$B32,AB$1,$B$1)</f>
        <v>-4.5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-23.050699999999999</v>
      </c>
      <c r="F33" s="100">
        <f>_xll.EQNXTDZ($A$1,$B33,F$1,$B$1)</f>
        <v>2.9344999999999999</v>
      </c>
      <c r="G33" s="100">
        <f>_xll.EQNXTDZ($A$1,$B33,G$1,$B$1)</f>
        <v>11.6225</v>
      </c>
      <c r="H33" s="100">
        <f>_xll.EQNXTDZ($A$1,$B33,H$1,$B$1)</f>
        <v>11.7005</v>
      </c>
      <c r="I33" s="100">
        <f>_xll.EQNXTDZ($A$1,$B33,I$1,$B$1)</f>
        <v>17.946300000000001</v>
      </c>
      <c r="J33" s="100">
        <f>_xll.EQNXTDZ($A$1,$B33,J$1,$B$1)</f>
        <v>28.8673</v>
      </c>
      <c r="K33" s="100">
        <f>_xll.EQNXTDZ($A$1,$B33,K$1,$B$1)</f>
        <v>24.932200000000002</v>
      </c>
      <c r="L33" s="100">
        <f>_xll.EQNXTDZ($A$1,$B33,L$1,$B$1)</f>
        <v>33.038400000000003</v>
      </c>
      <c r="M33" s="100">
        <f>_xll.EQNXTDZ($A$1,$B33,M$1,$B$1)</f>
        <v>20.246400000000001</v>
      </c>
      <c r="N33" s="100">
        <f>_xll.EQNXTDZ($A$1,$B33,N$1,$B$1)</f>
        <v>-15.114800000000001</v>
      </c>
      <c r="O33" s="100">
        <f>_xll.EQNXTDZ($A$1,$B33,O$1,$B$1)</f>
        <v>-27.6615</v>
      </c>
      <c r="P33" s="100">
        <f>_xll.EQNXTDZ($A$1,$B33,P$1,$B$1)</f>
        <v>-12.871</v>
      </c>
      <c r="Q33" s="100">
        <f>_xll.EQNXTDZ($A$1,$B33,Q$1,$B$1)</f>
        <v>-10.88</v>
      </c>
      <c r="R33" s="100">
        <f>_xll.EQNXTDZ($A$1,$B33,R$1,$B$1)</f>
        <v>-6.84</v>
      </c>
      <c r="S33" s="100">
        <f>_xll.EQNXTDZ($A$1,$B33,S$1,$B$1)</f>
        <v>-8.85</v>
      </c>
      <c r="T33" s="100">
        <f>_xll.EQNXTDZ($A$1,$B33,T$1,$B$1)</f>
        <v>-10.76</v>
      </c>
      <c r="U33" s="100">
        <f>_xll.EQNXTDZ($A$1,$B33,U$1,$B$1)</f>
        <v>-16.850000000000001</v>
      </c>
      <c r="V33" s="100">
        <f>_xll.EQNXTDZ($A$1,$B33,V$1,$B$1)</f>
        <v>-75.08</v>
      </c>
      <c r="W33" s="100">
        <f>_xll.EQNXTDZ($A$1,$B33,W$1,$B$1)</f>
        <v>-63.33</v>
      </c>
      <c r="X33" s="100">
        <f>_xll.EQNXTDZ($A$1,$B33,X$1,$B$1)</f>
        <v>-63.79</v>
      </c>
      <c r="Y33" s="100">
        <f>_xll.EQNXTDZ($A$1,$B33,Y$1,$B$1)</f>
        <v>-26.38</v>
      </c>
      <c r="Z33" s="100">
        <f>_xll.EQNXTDZ($A$1,$B33,Z$1,$B$1)</f>
        <v>-85.59</v>
      </c>
      <c r="AA33" s="100">
        <f>_xll.EQNXTDZ($A$1,$B33,AA$1,$B$1)</f>
        <v>-93.21</v>
      </c>
      <c r="AB33" s="100">
        <f>_xll.EQNXTDZ($A$1,$B33,AB$1,$B$1)</f>
        <v>-90.7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100.2089</v>
      </c>
      <c r="D35" s="100">
        <f>_xll.EQNXTDZ($A$1,$B35,D$1,$B$1)</f>
        <v>98.667400000000001</v>
      </c>
      <c r="E35" s="100">
        <f>_xll.EQNXTDZ($A$1,$B35,E$1,$B$1)</f>
        <v>83.338300000000004</v>
      </c>
      <c r="F35" s="100">
        <f>_xll.EQNXTDZ($A$1,$B35,F$1,$B$1)</f>
        <v>205.00299999999999</v>
      </c>
      <c r="G35" s="100">
        <f>_xll.EQNXTDZ($A$1,$B35,G$1,$B$1)</f>
        <v>215.4665</v>
      </c>
      <c r="H35" s="100">
        <f>_xll.EQNXTDZ($A$1,$B35,H$1,$B$1)</f>
        <v>299.1472</v>
      </c>
      <c r="I35" s="100">
        <f>_xll.EQNXTDZ($A$1,$B35,I$1,$B$1)</f>
        <v>443.35230000000001</v>
      </c>
      <c r="J35" s="100">
        <f>_xll.EQNXTDZ($A$1,$B35,J$1,$B$1)</f>
        <v>1542.5471</v>
      </c>
      <c r="K35" s="100">
        <f>_xll.EQNXTDZ($A$1,$B35,K$1,$B$1)</f>
        <v>700.54639999999995</v>
      </c>
      <c r="L35" s="100">
        <f>_xll.EQNXTDZ($A$1,$B35,L$1,$B$1)</f>
        <v>390.30130000000003</v>
      </c>
      <c r="M35" s="100">
        <f>_xll.EQNXTDZ($A$1,$B35,M$1,$B$1)</f>
        <v>254.3272</v>
      </c>
      <c r="N35" s="100">
        <f>_xll.EQNXTDZ($A$1,$B35,N$1,$B$1)</f>
        <v>356.14400000000001</v>
      </c>
      <c r="O35" s="100">
        <f>_xll.EQNXTDZ($A$1,$B35,O$1,$B$1)</f>
        <v>372.75009999999997</v>
      </c>
      <c r="P35" s="100">
        <f>_xll.EQNXTDZ($A$1,$B35,P$1,$B$1)</f>
        <v>480.51499999999999</v>
      </c>
      <c r="Q35" s="100">
        <f>_xll.EQNXTDZ($A$1,$B35,Q$1,$B$1)</f>
        <v>247.82</v>
      </c>
      <c r="R35" s="100">
        <f>_xll.EQNXTDZ($A$1,$B35,R$1,$B$1)</f>
        <v>-5.52</v>
      </c>
      <c r="S35" s="100">
        <f>_xll.EQNXTDZ($A$1,$B35,S$1,$B$1)</f>
        <v>389.44</v>
      </c>
      <c r="T35" s="100">
        <f>_xll.EQNXTDZ($A$1,$B35,T$1,$B$1)</f>
        <v>495.56</v>
      </c>
      <c r="U35" s="100">
        <f>_xll.EQNXTDZ($A$1,$B35,U$1,$B$1)</f>
        <v>408.19</v>
      </c>
      <c r="V35" s="100">
        <f>_xll.EQNXTDZ($A$1,$B35,V$1,$B$1)</f>
        <v>459.76</v>
      </c>
      <c r="W35" s="100">
        <f>_xll.EQNXTDZ($A$1,$B35,W$1,$B$1)</f>
        <v>856.69</v>
      </c>
      <c r="X35" s="100">
        <f>_xll.EQNXTDZ($A$1,$B35,X$1,$B$1)</f>
        <v>935.78</v>
      </c>
      <c r="Y35" s="100">
        <f>_xll.EQNXTDZ($A$1,$B35,Y$1,$B$1)</f>
        <v>1203.77</v>
      </c>
      <c r="Z35" s="100">
        <f>_xll.EQNXTDZ($A$1,$B35,Z$1,$B$1)</f>
        <v>1150.33</v>
      </c>
      <c r="AA35" s="100">
        <f>_xll.EQNXTDZ($A$1,$B35,AA$1,$B$1)</f>
        <v>1278.47</v>
      </c>
      <c r="AB35" s="100">
        <f>_xll.EQNXTDZ($A$1,$B35,AB$1,$B$1)</f>
        <v>1542.3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56.219900000000003</v>
      </c>
      <c r="D41" s="55">
        <f>_xll.EQNXTDZ($A$1,$B41,D$1,$B$1)</f>
        <v>56.219900000000003</v>
      </c>
      <c r="E41" s="55">
        <f>_xll.EQNXTDZ($A$1,$B41,E$1,$B$1)</f>
        <v>56.219900000000003</v>
      </c>
      <c r="F41" s="55">
        <f>_xll.EQNXTDZ($A$1,$B41,F$1,$B$1)</f>
        <v>56.021700000000003</v>
      </c>
      <c r="G41" s="55">
        <f>_xll.EQNXTDZ($A$1,$B41,G$1,$B$1)</f>
        <v>56.021700000000003</v>
      </c>
      <c r="H41" s="55">
        <f>_xll.EQNXTDZ($A$1,$B41,H$1,$B$1)</f>
        <v>56.021700000000003</v>
      </c>
      <c r="I41" s="55">
        <f>_xll.EQNXTDZ($A$1,$B41,I$1,$B$1)</f>
        <v>58.831699999999998</v>
      </c>
      <c r="J41" s="55">
        <f>_xll.EQNXTDZ($A$1,$B41,J$1,$B$1)</f>
        <v>61.6417</v>
      </c>
      <c r="K41" s="55">
        <f>_xll.EQNXTDZ($A$1,$B41,K$1,$B$1)</f>
        <v>61.6417</v>
      </c>
      <c r="L41" s="55">
        <f>_xll.EQNXTDZ($A$1,$B41,L$1,$B$1)</f>
        <v>61.6417</v>
      </c>
      <c r="M41" s="55">
        <f>_xll.EQNXTDZ($A$1,$B41,M$1,$B$1)</f>
        <v>61.741700000000002</v>
      </c>
      <c r="N41" s="55">
        <f>_xll.EQNXTDZ($A$1,$B41,N$1,$B$1)</f>
        <v>61.8399</v>
      </c>
      <c r="O41" s="55">
        <f>_xll.EQNXTDZ($A$1,$B41,O$1,$B$1)</f>
        <v>61.8399</v>
      </c>
      <c r="P41" s="55">
        <f>_xll.EQNXTDZ($A$1,$B41,P$1,$B$1)</f>
        <v>61.8399</v>
      </c>
      <c r="Q41" s="55">
        <f>_xll.EQNXTDZ($A$1,$B41,Q$1,$B$1)</f>
        <v>61.84</v>
      </c>
      <c r="R41" s="55">
        <f>_xll.EQNXTDZ($A$1,$B41,R$1,$B$1)</f>
        <v>63.11</v>
      </c>
      <c r="S41" s="55">
        <f>_xll.EQNXTDZ($A$1,$B41,S$1,$B$1)</f>
        <v>63.11</v>
      </c>
      <c r="T41" s="55">
        <f>_xll.EQNXTDZ($A$1,$B41,T$1,$B$1)</f>
        <v>63.11</v>
      </c>
      <c r="U41" s="55">
        <f>_xll.EQNXTDZ($A$1,$B41,U$1,$B$1)</f>
        <v>63.11</v>
      </c>
      <c r="V41" s="55">
        <f>_xll.EQNXTDZ($A$1,$B41,V$1,$B$1)</f>
        <v>92.16</v>
      </c>
      <c r="W41" s="55">
        <f>_xll.EQNXTDZ($A$1,$B41,W$1,$B$1)</f>
        <v>92.16</v>
      </c>
      <c r="X41" s="55">
        <f>_xll.EQNXTDZ($A$1,$B41,X$1,$B$1)</f>
        <v>92.16</v>
      </c>
      <c r="Y41" s="55">
        <f>_xll.EQNXTDZ($A$1,$B41,Y$1,$B$1)</f>
        <v>92.9</v>
      </c>
      <c r="Z41" s="55">
        <f>_xll.EQNXTDZ($A$1,$B41,Z$1,$B$1)</f>
        <v>95.28</v>
      </c>
      <c r="AA41" s="55">
        <f>_xll.EQNXTDZ($A$1,$B41,AA$1,$B$1)</f>
        <v>98.95</v>
      </c>
      <c r="AB41" s="55">
        <f>_xll.EQNXTDZ($A$1,$B41,AB$1,$B$1)</f>
        <v>98.96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21.8337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1.27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0.46</v>
      </c>
      <c r="Y42" s="55">
        <f>_xll.EQNXTDZ($A$1,$B42,Y$1,$B$1)</f>
        <v>4.5</v>
      </c>
      <c r="Z42" s="55">
        <f>_xll.EQNXTDZ($A$1,$B42,Z$1,$B$1)</f>
        <v>14.03</v>
      </c>
      <c r="AA42" s="55">
        <f>_xll.EQNXTDZ($A$1,$B42,AA$1,$B$1)</f>
        <v>23.45</v>
      </c>
      <c r="AB42" s="55">
        <f>_xll.EQNXTDZ($A$1,$B42,AB$1,$B$1)</f>
        <v>34.51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840.7636</v>
      </c>
      <c r="D43" s="55">
        <f>_xll.EQNXTDZ($A$1,$B43,D$1,$B$1)</f>
        <v>1024.1311000000001</v>
      </c>
      <c r="E43" s="55">
        <f>_xll.EQNXTDZ($A$1,$B43,E$1,$B$1)</f>
        <v>1127.0220999999999</v>
      </c>
      <c r="F43" s="55">
        <f>_xll.EQNXTDZ($A$1,$B43,F$1,$B$1)</f>
        <v>1286.8402000000001</v>
      </c>
      <c r="G43" s="55">
        <f>_xll.EQNXTDZ($A$1,$B43,G$1,$B$1)</f>
        <v>1462.7474999999999</v>
      </c>
      <c r="H43" s="55">
        <f>_xll.EQNXTDZ($A$1,$B43,H$1,$B$1)</f>
        <v>1513.3768</v>
      </c>
      <c r="I43" s="55">
        <f>_xll.EQNXTDZ($A$1,$B43,I$1,$B$1)</f>
        <v>2053.3305</v>
      </c>
      <c r="J43" s="55">
        <f>_xll.EQNXTDZ($A$1,$B43,J$1,$B$1)</f>
        <v>3352.5817000000002</v>
      </c>
      <c r="K43" s="55">
        <f>_xll.EQNXTDZ($A$1,$B43,K$1,$B$1)</f>
        <v>3591.2467000000001</v>
      </c>
      <c r="L43" s="55">
        <f>_xll.EQNXTDZ($A$1,$B43,L$1,$B$1)</f>
        <v>3661.5945000000002</v>
      </c>
      <c r="M43" s="55">
        <f>_xll.EQNXTDZ($A$1,$B43,M$1,$B$1)</f>
        <v>3895.3823000000002</v>
      </c>
      <c r="N43" s="55">
        <f>_xll.EQNXTDZ($A$1,$B43,N$1,$B$1)</f>
        <v>4503.9035999999996</v>
      </c>
      <c r="O43" s="55">
        <f>_xll.EQNXTDZ($A$1,$B43,O$1,$B$1)</f>
        <v>4748.2789000000002</v>
      </c>
      <c r="P43" s="55">
        <f>_xll.EQNXTDZ($A$1,$B43,P$1,$B$1)</f>
        <v>5787.0069999999996</v>
      </c>
      <c r="Q43" s="55">
        <f>_xll.EQNXTDZ($A$1,$B43,Q$1,$B$1)</f>
        <v>5429.68</v>
      </c>
      <c r="R43" s="55">
        <f>_xll.EQNXTDZ($A$1,$B43,R$1,$B$1)</f>
        <v>6184.06</v>
      </c>
      <c r="S43" s="55">
        <f>_xll.EQNXTDZ($A$1,$B43,S$1,$B$1)</f>
        <v>6202.39</v>
      </c>
      <c r="T43" s="55">
        <f>_xll.EQNXTDZ($A$1,$B43,T$1,$B$1)</f>
        <v>6968.49</v>
      </c>
      <c r="U43" s="55">
        <f>_xll.EQNXTDZ($A$1,$B43,U$1,$B$1)</f>
        <v>7268.58</v>
      </c>
      <c r="V43" s="55">
        <f>_xll.EQNXTDZ($A$1,$B43,V$1,$B$1)</f>
        <v>13722.7</v>
      </c>
      <c r="W43" s="55">
        <f>_xll.EQNXTDZ($A$1,$B43,W$1,$B$1)</f>
        <v>14442.35</v>
      </c>
      <c r="X43" s="55">
        <f>_xll.EQNXTDZ($A$1,$B43,X$1,$B$1)</f>
        <v>15049.32</v>
      </c>
      <c r="Y43" s="55">
        <f>_xll.EQNXTDZ($A$1,$B43,Y$1,$B$1)</f>
        <v>16179.31</v>
      </c>
      <c r="Z43" s="55">
        <f>_xll.EQNXTDZ($A$1,$B43,Z$1,$B$1)</f>
        <v>15947.48</v>
      </c>
      <c r="AA43" s="55">
        <f>_xll.EQNXTDZ($A$1,$B43,AA$1,$B$1)</f>
        <v>19878.68</v>
      </c>
      <c r="AB43" s="55">
        <f>_xll.EQNXTDZ($A$1,$B43,AB$1,$B$1)</f>
        <v>21654.06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896.98350000000005</v>
      </c>
      <c r="D44" s="55">
        <f>_xll.EQNXTDZ($A$1,$B44,D$1,$B$1)</f>
        <v>1080.3510000000001</v>
      </c>
      <c r="E44" s="55">
        <f>_xll.EQNXTDZ($A$1,$B44,E$1,$B$1)</f>
        <v>1183.242</v>
      </c>
      <c r="F44" s="55">
        <f>_xll.EQNXTDZ($A$1,$B44,F$1,$B$1)</f>
        <v>1342.8619000000001</v>
      </c>
      <c r="G44" s="55">
        <f>_xll.EQNXTDZ($A$1,$B44,G$1,$B$1)</f>
        <v>1518.7692</v>
      </c>
      <c r="H44" s="55">
        <f>_xll.EQNXTDZ($A$1,$B44,H$1,$B$1)</f>
        <v>1569.3985</v>
      </c>
      <c r="I44" s="55">
        <f>_xll.EQNXTDZ($A$1,$B44,I$1,$B$1)</f>
        <v>2133.9958999999999</v>
      </c>
      <c r="J44" s="55">
        <f>_xll.EQNXTDZ($A$1,$B44,J$1,$B$1)</f>
        <v>3414.2233999999999</v>
      </c>
      <c r="K44" s="55">
        <f>_xll.EQNXTDZ($A$1,$B44,K$1,$B$1)</f>
        <v>3652.8883999999998</v>
      </c>
      <c r="L44" s="55">
        <f>_xll.EQNXTDZ($A$1,$B44,L$1,$B$1)</f>
        <v>3723.2361999999998</v>
      </c>
      <c r="M44" s="55">
        <f>_xll.EQNXTDZ($A$1,$B44,M$1,$B$1)</f>
        <v>3957.1239999999998</v>
      </c>
      <c r="N44" s="55">
        <f>_xll.EQNXTDZ($A$1,$B44,N$1,$B$1)</f>
        <v>4565.7434999999996</v>
      </c>
      <c r="O44" s="55">
        <f>_xll.EQNXTDZ($A$1,$B44,O$1,$B$1)</f>
        <v>4810.1188000000002</v>
      </c>
      <c r="P44" s="55">
        <f>_xll.EQNXTDZ($A$1,$B44,P$1,$B$1)</f>
        <v>5848.8468999999996</v>
      </c>
      <c r="Q44" s="55">
        <f>_xll.EQNXTDZ($A$1,$B44,Q$1,$B$1)</f>
        <v>5492.79</v>
      </c>
      <c r="R44" s="55">
        <f>_xll.EQNXTDZ($A$1,$B44,R$1,$B$1)</f>
        <v>6247.17</v>
      </c>
      <c r="S44" s="55">
        <f>_xll.EQNXTDZ($A$1,$B44,S$1,$B$1)</f>
        <v>6265.5</v>
      </c>
      <c r="T44" s="55">
        <f>_xll.EQNXTDZ($A$1,$B44,T$1,$B$1)</f>
        <v>7031.6</v>
      </c>
      <c r="U44" s="55">
        <f>_xll.EQNXTDZ($A$1,$B44,U$1,$B$1)</f>
        <v>7331.69</v>
      </c>
      <c r="V44" s="55">
        <f>_xll.EQNXTDZ($A$1,$B44,V$1,$B$1)</f>
        <v>13814.86</v>
      </c>
      <c r="W44" s="55">
        <f>_xll.EQNXTDZ($A$1,$B44,W$1,$B$1)</f>
        <v>14534.51</v>
      </c>
      <c r="X44" s="55">
        <f>_xll.EQNXTDZ($A$1,$B44,X$1,$B$1)</f>
        <v>15141.94</v>
      </c>
      <c r="Y44" s="55">
        <f>_xll.EQNXTDZ($A$1,$B44,Y$1,$B$1)</f>
        <v>16276.71</v>
      </c>
      <c r="Z44" s="55">
        <f>_xll.EQNXTDZ($A$1,$B44,Z$1,$B$1)</f>
        <v>16056.79</v>
      </c>
      <c r="AA44" s="55">
        <f>_xll.EQNXTDZ($A$1,$B44,AA$1,$B$1)</f>
        <v>20001.080000000002</v>
      </c>
      <c r="AB44" s="55">
        <f>_xll.EQNXTDZ($A$1,$B44,AB$1,$B$1)</f>
        <v>21787.53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71.4559</v>
      </c>
      <c r="E45" s="55">
        <f>_xll.EQNXTDZ($A$1,$B45,E$1,$B$1)</f>
        <v>82.786500000000004</v>
      </c>
      <c r="F45" s="55">
        <f>_xll.EQNXTDZ($A$1,$B45,F$1,$B$1)</f>
        <v>81.305300000000003</v>
      </c>
      <c r="G45" s="55">
        <f>_xll.EQNXTDZ($A$1,$B45,G$1,$B$1)</f>
        <v>97.807900000000004</v>
      </c>
      <c r="H45" s="55">
        <f>_xll.EQNXTDZ($A$1,$B45,H$1,$B$1)</f>
        <v>102.7672</v>
      </c>
      <c r="I45" s="55">
        <f>_xll.EQNXTDZ($A$1,$B45,I$1,$B$1)</f>
        <v>648.68610000000001</v>
      </c>
      <c r="J45" s="55">
        <f>_xll.EQNXTDZ($A$1,$B45,J$1,$B$1)</f>
        <v>1028.1338000000001</v>
      </c>
      <c r="K45" s="55">
        <f>_xll.EQNXTDZ($A$1,$B45,K$1,$B$1)</f>
        <v>1021.9556</v>
      </c>
      <c r="L45" s="55">
        <f>_xll.EQNXTDZ($A$1,$B45,L$1,$B$1)</f>
        <v>1057.1368</v>
      </c>
      <c r="M45" s="55">
        <f>_xll.EQNXTDZ($A$1,$B45,M$1,$B$1)</f>
        <v>1108.0776000000001</v>
      </c>
      <c r="N45" s="55">
        <f>_xll.EQNXTDZ($A$1,$B45,N$1,$B$1)</f>
        <v>1065.9209000000001</v>
      </c>
      <c r="O45" s="55">
        <f>_xll.EQNXTDZ($A$1,$B45,O$1,$B$1)</f>
        <v>813.90909999999997</v>
      </c>
      <c r="P45" s="55">
        <f>_xll.EQNXTDZ($A$1,$B45,P$1,$B$1)</f>
        <v>924.06960000000004</v>
      </c>
      <c r="Q45" s="55">
        <f>_xll.EQNXTDZ($A$1,$B45,Q$1,$B$1)</f>
        <v>876.21</v>
      </c>
      <c r="R45" s="55">
        <f>_xll.EQNXTDZ($A$1,$B45,R$1,$B$1)</f>
        <v>861.77</v>
      </c>
      <c r="S45" s="55">
        <f>_xll.EQNXTDZ($A$1,$B45,S$1,$B$1)</f>
        <v>919.5</v>
      </c>
      <c r="T45" s="55">
        <f>_xll.EQNXTDZ($A$1,$B45,T$1,$B$1)</f>
        <v>1009.04</v>
      </c>
      <c r="U45" s="55">
        <f>_xll.EQNXTDZ($A$1,$B45,U$1,$B$1)</f>
        <v>1027.68</v>
      </c>
      <c r="V45" s="55">
        <f>_xll.EQNXTDZ($A$1,$B45,V$1,$B$1)</f>
        <v>1092.47</v>
      </c>
      <c r="W45" s="55">
        <f>_xll.EQNXTDZ($A$1,$B45,W$1,$B$1)</f>
        <v>1092.53</v>
      </c>
      <c r="X45" s="55">
        <f>_xll.EQNXTDZ($A$1,$B45,X$1,$B$1)</f>
        <v>1151.6199999999999</v>
      </c>
      <c r="Y45" s="55">
        <f>_xll.EQNXTDZ($A$1,$B45,Y$1,$B$1)</f>
        <v>850.17</v>
      </c>
      <c r="Z45" s="55">
        <f>_xll.EQNXTDZ($A$1,$B45,Z$1,$B$1)</f>
        <v>1379.34</v>
      </c>
      <c r="AA45" s="55">
        <f>_xll.EQNXTDZ($A$1,$B45,AA$1,$B$1)</f>
        <v>1389.22</v>
      </c>
      <c r="AB45" s="55">
        <f>_xll.EQNXTDZ($A$1,$B45,AB$1,$B$1)</f>
        <v>1401.33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123.16249999999999</v>
      </c>
      <c r="D47" s="55">
        <f>_xll.EQNXTDZ($A$1,$B47,D$1,$B$1)</f>
        <v>1414.345</v>
      </c>
      <c r="E47" s="55">
        <f>_xll.EQNXTDZ($A$1,$B47,E$1,$B$1)</f>
        <v>1490.9096</v>
      </c>
      <c r="F47" s="55">
        <f>_xll.EQNXTDZ($A$1,$B47,F$1,$B$1)</f>
        <v>1587.0227</v>
      </c>
      <c r="G47" s="55">
        <f>_xll.EQNXTDZ($A$1,$B47,G$1,$B$1)</f>
        <v>1402.9262000000001</v>
      </c>
      <c r="H47" s="55">
        <f>_xll.EQNXTDZ($A$1,$B47,H$1,$B$1)</f>
        <v>1505.4398000000001</v>
      </c>
      <c r="I47" s="55">
        <f>_xll.EQNXTDZ($A$1,$B47,I$1,$B$1)</f>
        <v>4022.1934999999999</v>
      </c>
      <c r="J47" s="55">
        <f>_xll.EQNXTDZ($A$1,$B47,J$1,$B$1)</f>
        <v>2375.4414999999999</v>
      </c>
      <c r="K47" s="55">
        <f>_xll.EQNXTDZ($A$1,$B47,K$1,$B$1)</f>
        <v>2090.0781999999999</v>
      </c>
      <c r="L47" s="55">
        <f>_xll.EQNXTDZ($A$1,$B47,L$1,$B$1)</f>
        <v>1741.6205</v>
      </c>
      <c r="M47" s="55">
        <f>_xll.EQNXTDZ($A$1,$B47,M$1,$B$1)</f>
        <v>722.84230000000002</v>
      </c>
      <c r="N47" s="55">
        <f>_xll.EQNXTDZ($A$1,$B47,N$1,$B$1)</f>
        <v>739.34159999999997</v>
      </c>
      <c r="O47" s="55">
        <f>_xll.EQNXTDZ($A$1,$B47,O$1,$B$1)</f>
        <v>672.70410000000004</v>
      </c>
      <c r="P47" s="55">
        <f>_xll.EQNXTDZ($A$1,$B47,P$1,$B$1)</f>
        <v>1035.7743</v>
      </c>
      <c r="Q47" s="55">
        <f>_xll.EQNXTDZ($A$1,$B47,Q$1,$B$1)</f>
        <v>883.94</v>
      </c>
      <c r="R47" s="55">
        <f>_xll.EQNXTDZ($A$1,$B47,R$1,$B$1)</f>
        <v>504.12</v>
      </c>
      <c r="S47" s="55">
        <f>_xll.EQNXTDZ($A$1,$B47,S$1,$B$1)</f>
        <v>450.1</v>
      </c>
      <c r="T47" s="55">
        <f>_xll.EQNXTDZ($A$1,$B47,T$1,$B$1)</f>
        <v>655.99</v>
      </c>
      <c r="U47" s="55">
        <f>_xll.EQNXTDZ($A$1,$B47,U$1,$B$1)</f>
        <v>787.24</v>
      </c>
      <c r="V47" s="55">
        <f>_xll.EQNXTDZ($A$1,$B47,V$1,$B$1)</f>
        <v>794.67</v>
      </c>
      <c r="W47" s="55">
        <f>_xll.EQNXTDZ($A$1,$B47,W$1,$B$1)</f>
        <v>287.54000000000002</v>
      </c>
      <c r="X47" s="55">
        <f>_xll.EQNXTDZ($A$1,$B47,X$1,$B$1)</f>
        <v>241.87</v>
      </c>
      <c r="Y47" s="55">
        <f>_xll.EQNXTDZ($A$1,$B47,Y$1,$B$1)</f>
        <v>206.12</v>
      </c>
      <c r="Z47" s="55">
        <f>_xll.EQNXTDZ($A$1,$B47,Z$1,$B$1)</f>
        <v>168.35</v>
      </c>
      <c r="AA47" s="55">
        <f>_xll.EQNXTDZ($A$1,$B47,AA$1,$B$1)</f>
        <v>190.68</v>
      </c>
      <c r="AB47" s="55">
        <f>_xll.EQNXTDZ($A$1,$B47,AB$1,$B$1)</f>
        <v>302.14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115.8687</v>
      </c>
      <c r="D48" s="55">
        <f>_xll.EQNXTDZ($A$1,$B48,D$1,$B$1)</f>
        <v>316.40300000000002</v>
      </c>
      <c r="E48" s="55">
        <f>_xll.EQNXTDZ($A$1,$B48,E$1,$B$1)</f>
        <v>280.57279999999997</v>
      </c>
      <c r="F48" s="55">
        <f>_xll.EQNXTDZ($A$1,$B48,F$1,$B$1)</f>
        <v>210.1968</v>
      </c>
      <c r="G48" s="55">
        <f>_xll.EQNXTDZ($A$1,$B48,G$1,$B$1)</f>
        <v>229.43010000000001</v>
      </c>
      <c r="H48" s="55">
        <f>_xll.EQNXTDZ($A$1,$B48,H$1,$B$1)</f>
        <v>193.02619999999999</v>
      </c>
      <c r="I48" s="55">
        <f>_xll.EQNXTDZ($A$1,$B48,I$1,$B$1)</f>
        <v>555.56709999999998</v>
      </c>
      <c r="J48" s="55">
        <f>_xll.EQNXTDZ($A$1,$B48,J$1,$B$1)</f>
        <v>233.86490000000001</v>
      </c>
      <c r="K48" s="55">
        <f>_xll.EQNXTDZ($A$1,$B48,K$1,$B$1)</f>
        <v>340.99270000000001</v>
      </c>
      <c r="L48" s="55">
        <f>_xll.EQNXTDZ($A$1,$B48,L$1,$B$1)</f>
        <v>55.164299999999997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17.972899999999999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74.658699999999996</v>
      </c>
      <c r="E49" s="55">
        <f>_xll.EQNXTDZ($A$1,$B49,E$1,$B$1)</f>
        <v>82.867500000000007</v>
      </c>
      <c r="F49" s="55">
        <f>_xll.EQNXTDZ($A$1,$B49,F$1,$B$1)</f>
        <v>78.193700000000007</v>
      </c>
      <c r="G49" s="55">
        <f>_xll.EQNXTDZ($A$1,$B49,G$1,$B$1)</f>
        <v>62.409599999999998</v>
      </c>
      <c r="H49" s="55">
        <f>_xll.EQNXTDZ($A$1,$B49,H$1,$B$1)</f>
        <v>52.987400000000001</v>
      </c>
      <c r="I49" s="55">
        <f>_xll.EQNXTDZ($A$1,$B49,I$1,$B$1)</f>
        <v>41.165900000000001</v>
      </c>
      <c r="J49" s="55">
        <f>_xll.EQNXTDZ($A$1,$B49,J$1,$B$1)</f>
        <v>36.781100000000002</v>
      </c>
      <c r="K49" s="55">
        <f>_xll.EQNXTDZ($A$1,$B49,K$1,$B$1)</f>
        <v>48.373399999999997</v>
      </c>
      <c r="L49" s="55">
        <f>_xll.EQNXTDZ($A$1,$B49,L$1,$B$1)</f>
        <v>74.748699999999999</v>
      </c>
      <c r="M49" s="55">
        <f>_xll.EQNXTDZ($A$1,$B49,M$1,$B$1)</f>
        <v>63.6952</v>
      </c>
      <c r="N49" s="55">
        <f>_xll.EQNXTDZ($A$1,$B49,N$1,$B$1)</f>
        <v>65.716099999999997</v>
      </c>
      <c r="O49" s="55">
        <f>_xll.EQNXTDZ($A$1,$B49,O$1,$B$1)</f>
        <v>53.959000000000003</v>
      </c>
      <c r="P49" s="55">
        <f>_xll.EQNXTDZ($A$1,$B49,P$1,$B$1)</f>
        <v>46.251399999999997</v>
      </c>
      <c r="Q49" s="55">
        <f>_xll.EQNXTDZ($A$1,$B49,Q$1,$B$1)</f>
        <v>102.17</v>
      </c>
      <c r="R49" s="55">
        <f>_xll.EQNXTDZ($A$1,$B49,R$1,$B$1)</f>
        <v>78.569999999999993</v>
      </c>
      <c r="S49" s="55">
        <f>_xll.EQNXTDZ($A$1,$B49,S$1,$B$1)</f>
        <v>145.38</v>
      </c>
      <c r="T49" s="55">
        <f>_xll.EQNXTDZ($A$1,$B49,T$1,$B$1)</f>
        <v>-0.32</v>
      </c>
      <c r="U49" s="55">
        <f>_xll.EQNXTDZ($A$1,$B49,U$1,$B$1)</f>
        <v>87.41</v>
      </c>
      <c r="V49" s="55">
        <f>_xll.EQNXTDZ($A$1,$B49,V$1,$B$1)</f>
        <v>286.47000000000003</v>
      </c>
      <c r="W49" s="55">
        <f>_xll.EQNXTDZ($A$1,$B49,W$1,$B$1)</f>
        <v>532.11</v>
      </c>
      <c r="X49" s="55">
        <f>_xll.EQNXTDZ($A$1,$B49,X$1,$B$1)</f>
        <v>733.69</v>
      </c>
      <c r="Y49" s="55">
        <f>_xll.EQNXTDZ($A$1,$B49,Y$1,$B$1)</f>
        <v>814.4</v>
      </c>
      <c r="Z49" s="55">
        <f>_xll.EQNXTDZ($A$1,$B49,Z$1,$B$1)</f>
        <v>1653.05</v>
      </c>
      <c r="AA49" s="55">
        <f>_xll.EQNXTDZ($A$1,$B49,AA$1,$B$1)</f>
        <v>2040.32</v>
      </c>
      <c r="AB49" s="55">
        <f>_xll.EQNXTDZ($A$1,$B49,AB$1,$B$1)</f>
        <v>2025.22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164.00409999999999</v>
      </c>
      <c r="N50" s="55">
        <f>_xll.EQNXTDZ($A$1,$B50,N$1,$B$1)</f>
        <v>155.7713</v>
      </c>
      <c r="O50" s="55">
        <f>_xll.EQNXTDZ($A$1,$B50,O$1,$B$1)</f>
        <v>92.406700000000001</v>
      </c>
      <c r="P50" s="55">
        <f>_xll.EQNXTDZ($A$1,$B50,P$1,$B$1)</f>
        <v>80.545900000000003</v>
      </c>
      <c r="Q50" s="55">
        <f>_xll.EQNXTDZ($A$1,$B50,Q$1,$B$1)</f>
        <v>79.58</v>
      </c>
      <c r="R50" s="55">
        <f>_xll.EQNXTDZ($A$1,$B50,R$1,$B$1)</f>
        <v>7.33</v>
      </c>
      <c r="S50" s="55">
        <f>_xll.EQNXTDZ($A$1,$B50,S$1,$B$1)</f>
        <v>6.71</v>
      </c>
      <c r="T50" s="55">
        <f>_xll.EQNXTDZ($A$1,$B50,T$1,$B$1)</f>
        <v>6.37</v>
      </c>
      <c r="U50" s="55">
        <f>_xll.EQNXTDZ($A$1,$B50,U$1,$B$1)</f>
        <v>7.61</v>
      </c>
      <c r="V50" s="55">
        <f>_xll.EQNXTDZ($A$1,$B50,V$1,$B$1)</f>
        <v>305.89</v>
      </c>
      <c r="W50" s="55">
        <f>_xll.EQNXTDZ($A$1,$B50,W$1,$B$1)</f>
        <v>469.34</v>
      </c>
      <c r="X50" s="55">
        <f>_xll.EQNXTDZ($A$1,$B50,X$1,$B$1)</f>
        <v>444.05</v>
      </c>
      <c r="Y50" s="55">
        <f>_xll.EQNXTDZ($A$1,$B50,Y$1,$B$1)</f>
        <v>522.91999999999996</v>
      </c>
      <c r="Z50" s="55">
        <f>_xll.EQNXTDZ($A$1,$B50,Z$1,$B$1)</f>
        <v>2204.48</v>
      </c>
      <c r="AA50" s="55">
        <f>_xll.EQNXTDZ($A$1,$B50,AA$1,$B$1)</f>
        <v>2163.31</v>
      </c>
      <c r="AB50" s="55">
        <f>_xll.EQNXTDZ($A$1,$B50,AB$1,$B$1)</f>
        <v>1967.54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88.317800000000005</v>
      </c>
      <c r="N52" s="55">
        <f>_xll.EQNXTDZ($A$1,$B52,N$1,$B$1)</f>
        <v>173.98519999999999</v>
      </c>
      <c r="O52" s="55">
        <f>_xll.EQNXTDZ($A$1,$B52,O$1,$B$1)</f>
        <v>203.1523</v>
      </c>
      <c r="P52" s="55">
        <f>_xll.EQNXTDZ($A$1,$B52,P$1,$B$1)</f>
        <v>218.5138</v>
      </c>
      <c r="Q52" s="55">
        <f>_xll.EQNXTDZ($A$1,$B52,Q$1,$B$1)</f>
        <v>1540.95</v>
      </c>
      <c r="R52" s="55">
        <f>_xll.EQNXTDZ($A$1,$B52,R$1,$B$1)</f>
        <v>291.76</v>
      </c>
      <c r="S52" s="55">
        <f>_xll.EQNXTDZ($A$1,$B52,S$1,$B$1)</f>
        <v>198.92</v>
      </c>
      <c r="T52" s="55">
        <f>_xll.EQNXTDZ($A$1,$B52,T$1,$B$1)</f>
        <v>161.19</v>
      </c>
      <c r="U52" s="55">
        <f>_xll.EQNXTDZ($A$1,$B52,U$1,$B$1)</f>
        <v>169.11</v>
      </c>
      <c r="V52" s="55">
        <f>_xll.EQNXTDZ($A$1,$B52,V$1,$B$1)</f>
        <v>200.08</v>
      </c>
      <c r="W52" s="55">
        <f>_xll.EQNXTDZ($A$1,$B52,W$1,$B$1)</f>
        <v>207.33</v>
      </c>
      <c r="X52" s="55">
        <f>_xll.EQNXTDZ($A$1,$B52,X$1,$B$1)</f>
        <v>189.08</v>
      </c>
      <c r="Y52" s="55">
        <f>_xll.EQNXTDZ($A$1,$B52,Y$1,$B$1)</f>
        <v>167.49</v>
      </c>
      <c r="Z52" s="55">
        <f>_xll.EQNXTDZ($A$1,$B52,Z$1,$B$1)</f>
        <v>225.69</v>
      </c>
      <c r="AA52" s="55">
        <f>_xll.EQNXTDZ($A$1,$B52,AA$1,$B$1)</f>
        <v>204.91</v>
      </c>
      <c r="AB52" s="55">
        <f>_xll.EQNXTDZ($A$1,$B52,AB$1,$B$1)</f>
        <v>216.42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239.03120000000001</v>
      </c>
      <c r="D53" s="55">
        <f>_xll.EQNXTDZ($A$1,$B53,D$1,$B$1)</f>
        <v>1805.4067</v>
      </c>
      <c r="E53" s="55">
        <f>_xll.EQNXTDZ($A$1,$B53,E$1,$B$1)</f>
        <v>1854.3498999999999</v>
      </c>
      <c r="F53" s="55">
        <f>_xll.EQNXTDZ($A$1,$B53,F$1,$B$1)</f>
        <v>1875.4132</v>
      </c>
      <c r="G53" s="55">
        <f>_xll.EQNXTDZ($A$1,$B53,G$1,$B$1)</f>
        <v>1694.7659000000001</v>
      </c>
      <c r="H53" s="55">
        <f>_xll.EQNXTDZ($A$1,$B53,H$1,$B$1)</f>
        <v>1751.4534000000001</v>
      </c>
      <c r="I53" s="55">
        <f>_xll.EQNXTDZ($A$1,$B53,I$1,$B$1)</f>
        <v>4618.9264999999996</v>
      </c>
      <c r="J53" s="55">
        <f>_xll.EQNXTDZ($A$1,$B53,J$1,$B$1)</f>
        <v>2646.0875000000001</v>
      </c>
      <c r="K53" s="55">
        <f>_xll.EQNXTDZ($A$1,$B53,K$1,$B$1)</f>
        <v>2479.4443000000001</v>
      </c>
      <c r="L53" s="55">
        <f>_xll.EQNXTDZ($A$1,$B53,L$1,$B$1)</f>
        <v>1871.5335</v>
      </c>
      <c r="M53" s="55">
        <f>_xll.EQNXTDZ($A$1,$B53,M$1,$B$1)</f>
        <v>1038.8594000000001</v>
      </c>
      <c r="N53" s="55">
        <f>_xll.EQNXTDZ($A$1,$B53,N$1,$B$1)</f>
        <v>1134.8142</v>
      </c>
      <c r="O53" s="55">
        <f>_xll.EQNXTDZ($A$1,$B53,O$1,$B$1)</f>
        <v>1022.2221</v>
      </c>
      <c r="P53" s="55">
        <f>_xll.EQNXTDZ($A$1,$B53,P$1,$B$1)</f>
        <v>1399.0582999999999</v>
      </c>
      <c r="Q53" s="55">
        <f>_xll.EQNXTDZ($A$1,$B53,Q$1,$B$1)</f>
        <v>2606.64</v>
      </c>
      <c r="R53" s="55">
        <f>_xll.EQNXTDZ($A$1,$B53,R$1,$B$1)</f>
        <v>881.78</v>
      </c>
      <c r="S53" s="55">
        <f>_xll.EQNXTDZ($A$1,$B53,S$1,$B$1)</f>
        <v>801.11</v>
      </c>
      <c r="T53" s="55">
        <f>_xll.EQNXTDZ($A$1,$B53,T$1,$B$1)</f>
        <v>823.23</v>
      </c>
      <c r="U53" s="55">
        <f>_xll.EQNXTDZ($A$1,$B53,U$1,$B$1)</f>
        <v>1051.3699999999999</v>
      </c>
      <c r="V53" s="55">
        <f>_xll.EQNXTDZ($A$1,$B53,V$1,$B$1)</f>
        <v>1587.11</v>
      </c>
      <c r="W53" s="55">
        <f>_xll.EQNXTDZ($A$1,$B53,W$1,$B$1)</f>
        <v>1496.32</v>
      </c>
      <c r="X53" s="55">
        <f>_xll.EQNXTDZ($A$1,$B53,X$1,$B$1)</f>
        <v>1608.69</v>
      </c>
      <c r="Y53" s="55">
        <f>_xll.EQNXTDZ($A$1,$B53,Y$1,$B$1)</f>
        <v>1710.93</v>
      </c>
      <c r="Z53" s="55">
        <f>_xll.EQNXTDZ($A$1,$B53,Z$1,$B$1)</f>
        <v>4251.57</v>
      </c>
      <c r="AA53" s="55">
        <f>_xll.EQNXTDZ($A$1,$B53,AA$1,$B$1)</f>
        <v>4599.22</v>
      </c>
      <c r="AB53" s="55">
        <f>_xll.EQNXTDZ($A$1,$B53,AB$1,$B$1)</f>
        <v>4511.32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106.8548</v>
      </c>
      <c r="D54" s="55">
        <f>_xll.EQNXTDZ($A$1,$B54,D$1,$B$1)</f>
        <v>293.50700000000001</v>
      </c>
      <c r="E54" s="55">
        <f>_xll.EQNXTDZ($A$1,$B54,E$1,$B$1)</f>
        <v>185.46119999999999</v>
      </c>
      <c r="F54" s="55">
        <f>_xll.EQNXTDZ($A$1,$B54,F$1,$B$1)</f>
        <v>268.21820000000002</v>
      </c>
      <c r="G54" s="55">
        <f>_xll.EQNXTDZ($A$1,$B54,G$1,$B$1)</f>
        <v>297.00119999999998</v>
      </c>
      <c r="H54" s="55">
        <f>_xll.EQNXTDZ($A$1,$B54,H$1,$B$1)</f>
        <v>579.58150000000001</v>
      </c>
      <c r="I54" s="55">
        <f>_xll.EQNXTDZ($A$1,$B54,I$1,$B$1)</f>
        <v>688.76139999999998</v>
      </c>
      <c r="J54" s="55">
        <f>_xll.EQNXTDZ($A$1,$B54,J$1,$B$1)</f>
        <v>769.49099999999999</v>
      </c>
      <c r="K54" s="55">
        <f>_xll.EQNXTDZ($A$1,$B54,K$1,$B$1)</f>
        <v>899.58050000000003</v>
      </c>
      <c r="L54" s="55">
        <f>_xll.EQNXTDZ($A$1,$B54,L$1,$B$1)</f>
        <v>949.33600000000001</v>
      </c>
      <c r="M54" s="55">
        <f>_xll.EQNXTDZ($A$1,$B54,M$1,$B$1)</f>
        <v>830.04679999999996</v>
      </c>
      <c r="N54" s="55">
        <f>_xll.EQNXTDZ($A$1,$B54,N$1,$B$1)</f>
        <v>805.22119999999995</v>
      </c>
      <c r="O54" s="55">
        <f>_xll.EQNXTDZ($A$1,$B54,O$1,$B$1)</f>
        <v>790.33550000000002</v>
      </c>
      <c r="P54" s="55">
        <f>_xll.EQNXTDZ($A$1,$B54,P$1,$B$1)</f>
        <v>768.88109999999995</v>
      </c>
      <c r="Q54" s="55">
        <f>_xll.EQNXTDZ($A$1,$B54,Q$1,$B$1)</f>
        <v>759.37</v>
      </c>
      <c r="R54" s="55">
        <f>_xll.EQNXTDZ($A$1,$B54,R$1,$B$1)</f>
        <v>677.3</v>
      </c>
      <c r="S54" s="55">
        <f>_xll.EQNXTDZ($A$1,$B54,S$1,$B$1)</f>
        <v>737.76</v>
      </c>
      <c r="T54" s="55">
        <f>_xll.EQNXTDZ($A$1,$B54,T$1,$B$1)</f>
        <v>705.73</v>
      </c>
      <c r="U54" s="55">
        <f>_xll.EQNXTDZ($A$1,$B54,U$1,$B$1)</f>
        <v>664.9</v>
      </c>
      <c r="V54" s="55">
        <f>_xll.EQNXTDZ($A$1,$B54,V$1,$B$1)</f>
        <v>943.99</v>
      </c>
      <c r="W54" s="55">
        <f>_xll.EQNXTDZ($A$1,$B54,W$1,$B$1)</f>
        <v>1625.47</v>
      </c>
      <c r="X54" s="55">
        <f>_xll.EQNXTDZ($A$1,$B54,X$1,$B$1)</f>
        <v>1915.85</v>
      </c>
      <c r="Y54" s="55">
        <f>_xll.EQNXTDZ($A$1,$B54,Y$1,$B$1)</f>
        <v>2348.1799999999998</v>
      </c>
      <c r="Z54" s="55">
        <f>_xll.EQNXTDZ($A$1,$B54,Z$1,$B$1)</f>
        <v>2707.15</v>
      </c>
      <c r="AA54" s="55">
        <f>_xll.EQNXTDZ($A$1,$B54,AA$1,$B$1)</f>
        <v>3508.43</v>
      </c>
      <c r="AB54" s="55">
        <f>_xll.EQNXTDZ($A$1,$B54,AB$1,$B$1)</f>
        <v>3875.3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15.019600000000001</v>
      </c>
      <c r="D55" s="55">
        <f>_xll.EQNXTDZ($A$1,$B55,D$1,$B$1)</f>
        <v>324.25310000000002</v>
      </c>
      <c r="E55" s="55">
        <f>_xll.EQNXTDZ($A$1,$B55,E$1,$B$1)</f>
        <v>406.23559999999998</v>
      </c>
      <c r="F55" s="55">
        <f>_xll.EQNXTDZ($A$1,$B55,F$1,$B$1)</f>
        <v>320.13159999999999</v>
      </c>
      <c r="G55" s="55">
        <f>_xll.EQNXTDZ($A$1,$B55,G$1,$B$1)</f>
        <v>293.1352</v>
      </c>
      <c r="H55" s="55">
        <f>_xll.EQNXTDZ($A$1,$B55,H$1,$B$1)</f>
        <v>162.1951</v>
      </c>
      <c r="I55" s="55">
        <f>_xll.EQNXTDZ($A$1,$B55,I$1,$B$1)</f>
        <v>236.6037</v>
      </c>
      <c r="J55" s="55">
        <f>_xll.EQNXTDZ($A$1,$B55,J$1,$B$1)</f>
        <v>272.04950000000002</v>
      </c>
      <c r="K55" s="55">
        <f>_xll.EQNXTDZ($A$1,$B55,K$1,$B$1)</f>
        <v>393.5421</v>
      </c>
      <c r="L55" s="55">
        <f>_xll.EQNXTDZ($A$1,$B55,L$1,$B$1)</f>
        <v>381.23970000000003</v>
      </c>
      <c r="M55" s="55">
        <f>_xll.EQNXTDZ($A$1,$B55,M$1,$B$1)</f>
        <v>272.08949999999999</v>
      </c>
      <c r="N55" s="55">
        <f>_xll.EQNXTDZ($A$1,$B55,N$1,$B$1)</f>
        <v>294.5761</v>
      </c>
      <c r="O55" s="55">
        <f>_xll.EQNXTDZ($A$1,$B55,O$1,$B$1)</f>
        <v>703.08619999999996</v>
      </c>
      <c r="P55" s="55">
        <f>_xll.EQNXTDZ($A$1,$B55,P$1,$B$1)</f>
        <v>368.03500000000003</v>
      </c>
      <c r="Q55" s="55">
        <f>_xll.EQNXTDZ($A$1,$B55,Q$1,$B$1)</f>
        <v>387.32</v>
      </c>
      <c r="R55" s="55">
        <f>_xll.EQNXTDZ($A$1,$B55,R$1,$B$1)</f>
        <v>711.65</v>
      </c>
      <c r="S55" s="55">
        <f>_xll.EQNXTDZ($A$1,$B55,S$1,$B$1)</f>
        <v>322.64999999999998</v>
      </c>
      <c r="T55" s="55">
        <f>_xll.EQNXTDZ($A$1,$B55,T$1,$B$1)</f>
        <v>350.73</v>
      </c>
      <c r="U55" s="55">
        <f>_xll.EQNXTDZ($A$1,$B55,U$1,$B$1)</f>
        <v>386.15</v>
      </c>
      <c r="V55" s="55">
        <f>_xll.EQNXTDZ($A$1,$B55,V$1,$B$1)</f>
        <v>520.77</v>
      </c>
      <c r="W55" s="55">
        <f>_xll.EQNXTDZ($A$1,$B55,W$1,$B$1)</f>
        <v>910.13</v>
      </c>
      <c r="X55" s="55">
        <f>_xll.EQNXTDZ($A$1,$B55,X$1,$B$1)</f>
        <v>450.72</v>
      </c>
      <c r="Y55" s="55">
        <f>_xll.EQNXTDZ($A$1,$B55,Y$1,$B$1)</f>
        <v>521.07000000000005</v>
      </c>
      <c r="Z55" s="55">
        <f>_xll.EQNXTDZ($A$1,$B55,Z$1,$B$1)</f>
        <v>552.88</v>
      </c>
      <c r="AA55" s="55">
        <f>_xll.EQNXTDZ($A$1,$B55,AA$1,$B$1)</f>
        <v>558.52</v>
      </c>
      <c r="AB55" s="55">
        <f>_xll.EQNXTDZ($A$1,$B55,AB$1,$B$1)</f>
        <v>741.8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298.52980000000002</v>
      </c>
      <c r="N56" s="55">
        <f>_xll.EQNXTDZ($A$1,$B56,N$1,$B$1)</f>
        <v>148.91470000000001</v>
      </c>
      <c r="O56" s="55">
        <f>_xll.EQNXTDZ($A$1,$B56,O$1,$B$1)</f>
        <v>344.12939999999998</v>
      </c>
      <c r="P56" s="55">
        <f>_xll.EQNXTDZ($A$1,$B56,P$1,$B$1)</f>
        <v>347.58499999999998</v>
      </c>
      <c r="Q56" s="55">
        <f>_xll.EQNXTDZ($A$1,$B56,Q$1,$B$1)</f>
        <v>382.03</v>
      </c>
      <c r="R56" s="55">
        <f>_xll.EQNXTDZ($A$1,$B56,R$1,$B$1)</f>
        <v>408.56</v>
      </c>
      <c r="S56" s="55">
        <f>_xll.EQNXTDZ($A$1,$B56,S$1,$B$1)</f>
        <v>320.23</v>
      </c>
      <c r="T56" s="55">
        <f>_xll.EQNXTDZ($A$1,$B56,T$1,$B$1)</f>
        <v>400.19</v>
      </c>
      <c r="U56" s="55">
        <f>_xll.EQNXTDZ($A$1,$B56,U$1,$B$1)</f>
        <v>329.66</v>
      </c>
      <c r="V56" s="55">
        <f>_xll.EQNXTDZ($A$1,$B56,V$1,$B$1)</f>
        <v>387.81</v>
      </c>
      <c r="W56" s="55">
        <f>_xll.EQNXTDZ($A$1,$B56,W$1,$B$1)</f>
        <v>433.06</v>
      </c>
      <c r="X56" s="55">
        <f>_xll.EQNXTDZ($A$1,$B56,X$1,$B$1)</f>
        <v>712.44</v>
      </c>
      <c r="Y56" s="55">
        <f>_xll.EQNXTDZ($A$1,$B56,Y$1,$B$1)</f>
        <v>912.11</v>
      </c>
      <c r="Z56" s="55">
        <f>_xll.EQNXTDZ($A$1,$B56,Z$1,$B$1)</f>
        <v>2740.93</v>
      </c>
      <c r="AA56" s="55">
        <f>_xll.EQNXTDZ($A$1,$B56,AA$1,$B$1)</f>
        <v>1615.48</v>
      </c>
      <c r="AB56" s="55">
        <f>_xll.EQNXTDZ($A$1,$B56,AB$1,$B$1)</f>
        <v>1768.39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80.625</v>
      </c>
      <c r="D57" s="55">
        <f>_xll.EQNXTDZ($A$1,$B57,D$1,$B$1)</f>
        <v>113.0654</v>
      </c>
      <c r="E57" s="55">
        <f>_xll.EQNXTDZ($A$1,$B57,E$1,$B$1)</f>
        <v>106.0286</v>
      </c>
      <c r="F57" s="55">
        <f>_xll.EQNXTDZ($A$1,$B57,F$1,$B$1)</f>
        <v>107.16079999999999</v>
      </c>
      <c r="G57" s="55">
        <f>_xll.EQNXTDZ($A$1,$B57,G$1,$B$1)</f>
        <v>139.32470000000001</v>
      </c>
      <c r="H57" s="55">
        <f>_xll.EQNXTDZ($A$1,$B57,H$1,$B$1)</f>
        <v>136.637</v>
      </c>
      <c r="I57" s="55">
        <f>_xll.EQNXTDZ($A$1,$B57,I$1,$B$1)</f>
        <v>155.55009999999999</v>
      </c>
      <c r="J57" s="55">
        <f>_xll.EQNXTDZ($A$1,$B57,J$1,$B$1)</f>
        <v>316.48809999999997</v>
      </c>
      <c r="K57" s="55">
        <f>_xll.EQNXTDZ($A$1,$B57,K$1,$B$1)</f>
        <v>323.41879999999998</v>
      </c>
      <c r="L57" s="55">
        <f>_xll.EQNXTDZ($A$1,$B57,L$1,$B$1)</f>
        <v>229.1088</v>
      </c>
      <c r="M57" s="55">
        <f>_xll.EQNXTDZ($A$1,$B57,M$1,$B$1)</f>
        <v>259.73739999999998</v>
      </c>
      <c r="N57" s="55">
        <f>_xll.EQNXTDZ($A$1,$B57,N$1,$B$1)</f>
        <v>263.6268</v>
      </c>
      <c r="O57" s="55">
        <f>_xll.EQNXTDZ($A$1,$B57,O$1,$B$1)</f>
        <v>310.08139999999997</v>
      </c>
      <c r="P57" s="55">
        <f>_xll.EQNXTDZ($A$1,$B57,P$1,$B$1)</f>
        <v>254.99039999999999</v>
      </c>
      <c r="Q57" s="55">
        <f>_xll.EQNXTDZ($A$1,$B57,Q$1,$B$1)</f>
        <v>269.18</v>
      </c>
      <c r="R57" s="55">
        <f>_xll.EQNXTDZ($A$1,$B57,R$1,$B$1)</f>
        <v>106.53</v>
      </c>
      <c r="S57" s="55">
        <f>_xll.EQNXTDZ($A$1,$B57,S$1,$B$1)</f>
        <v>158.91</v>
      </c>
      <c r="T57" s="55">
        <f>_xll.EQNXTDZ($A$1,$B57,T$1,$B$1)</f>
        <v>129.38999999999999</v>
      </c>
      <c r="U57" s="55">
        <f>_xll.EQNXTDZ($A$1,$B57,U$1,$B$1)</f>
        <v>77.459999999999994</v>
      </c>
      <c r="V57" s="55">
        <f>_xll.EQNXTDZ($A$1,$B57,V$1,$B$1)</f>
        <v>126.03</v>
      </c>
      <c r="W57" s="55">
        <f>_xll.EQNXTDZ($A$1,$B57,W$1,$B$1)</f>
        <v>125.8</v>
      </c>
      <c r="X57" s="55">
        <f>_xll.EQNXTDZ($A$1,$B57,X$1,$B$1)</f>
        <v>93.61</v>
      </c>
      <c r="Y57" s="55">
        <f>_xll.EQNXTDZ($A$1,$B57,Y$1,$B$1)</f>
        <v>143.32</v>
      </c>
      <c r="Z57" s="55">
        <f>_xll.EQNXTDZ($A$1,$B57,Z$1,$B$1)</f>
        <v>190.13</v>
      </c>
      <c r="AA57" s="55">
        <f>_xll.EQNXTDZ($A$1,$B57,AA$1,$B$1)</f>
        <v>158.66999999999999</v>
      </c>
      <c r="AB57" s="55">
        <f>_xll.EQNXTDZ($A$1,$B57,AB$1,$B$1)</f>
        <v>193.07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25.75</v>
      </c>
      <c r="T58" s="55">
        <f>_xll.EQNXTDZ($A$1,$B58,T$1,$B$1)</f>
        <v>10.53</v>
      </c>
      <c r="U58" s="55">
        <f>_xll.EQNXTDZ($A$1,$B58,U$1,$B$1)</f>
        <v>11.77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202.49940000000001</v>
      </c>
      <c r="D59" s="55">
        <f>_xll.EQNXTDZ($A$1,$B59,D$1,$B$1)</f>
        <v>730.82550000000003</v>
      </c>
      <c r="E59" s="55">
        <f>_xll.EQNXTDZ($A$1,$B59,E$1,$B$1)</f>
        <v>697.72540000000004</v>
      </c>
      <c r="F59" s="55">
        <f>_xll.EQNXTDZ($A$1,$B59,F$1,$B$1)</f>
        <v>695.51059999999995</v>
      </c>
      <c r="G59" s="55">
        <f>_xll.EQNXTDZ($A$1,$B59,G$1,$B$1)</f>
        <v>729.46109999999999</v>
      </c>
      <c r="H59" s="55">
        <f>_xll.EQNXTDZ($A$1,$B59,H$1,$B$1)</f>
        <v>878.41359999999997</v>
      </c>
      <c r="I59" s="55">
        <f>_xll.EQNXTDZ($A$1,$B59,I$1,$B$1)</f>
        <v>1080.9151999999999</v>
      </c>
      <c r="J59" s="55">
        <f>_xll.EQNXTDZ($A$1,$B59,J$1,$B$1)</f>
        <v>1358.0286000000001</v>
      </c>
      <c r="K59" s="55">
        <f>_xll.EQNXTDZ($A$1,$B59,K$1,$B$1)</f>
        <v>1616.5414000000001</v>
      </c>
      <c r="L59" s="55">
        <f>_xll.EQNXTDZ($A$1,$B59,L$1,$B$1)</f>
        <v>1559.6845000000001</v>
      </c>
      <c r="M59" s="55">
        <f>_xll.EQNXTDZ($A$1,$B59,M$1,$B$1)</f>
        <v>1660.4034999999999</v>
      </c>
      <c r="N59" s="55">
        <f>_xll.EQNXTDZ($A$1,$B59,N$1,$B$1)</f>
        <v>1512.3388</v>
      </c>
      <c r="O59" s="55">
        <f>_xll.EQNXTDZ($A$1,$B59,O$1,$B$1)</f>
        <v>2147.6325000000002</v>
      </c>
      <c r="P59" s="55">
        <f>_xll.EQNXTDZ($A$1,$B59,P$1,$B$1)</f>
        <v>1739.4915000000001</v>
      </c>
      <c r="Q59" s="55">
        <f>_xll.EQNXTDZ($A$1,$B59,Q$1,$B$1)</f>
        <v>1797.9</v>
      </c>
      <c r="R59" s="55">
        <f>_xll.EQNXTDZ($A$1,$B59,R$1,$B$1)</f>
        <v>1904.04</v>
      </c>
      <c r="S59" s="55">
        <f>_xll.EQNXTDZ($A$1,$B59,S$1,$B$1)</f>
        <v>1539.55</v>
      </c>
      <c r="T59" s="55">
        <f>_xll.EQNXTDZ($A$1,$B59,T$1,$B$1)</f>
        <v>1586.04</v>
      </c>
      <c r="U59" s="55">
        <f>_xll.EQNXTDZ($A$1,$B59,U$1,$B$1)</f>
        <v>1458.17</v>
      </c>
      <c r="V59" s="55">
        <f>_xll.EQNXTDZ($A$1,$B59,V$1,$B$1)</f>
        <v>1978.6</v>
      </c>
      <c r="W59" s="55">
        <f>_xll.EQNXTDZ($A$1,$B59,W$1,$B$1)</f>
        <v>3094.46</v>
      </c>
      <c r="X59" s="55">
        <f>_xll.EQNXTDZ($A$1,$B59,X$1,$B$1)</f>
        <v>3172.62</v>
      </c>
      <c r="Y59" s="55">
        <f>_xll.EQNXTDZ($A$1,$B59,Y$1,$B$1)</f>
        <v>3924.68</v>
      </c>
      <c r="Z59" s="55">
        <f>_xll.EQNXTDZ($A$1,$B59,Z$1,$B$1)</f>
        <v>6191.09</v>
      </c>
      <c r="AA59" s="55">
        <f>_xll.EQNXTDZ($A$1,$B59,AA$1,$B$1)</f>
        <v>5841.1</v>
      </c>
      <c r="AB59" s="55">
        <f>_xll.EQNXTDZ($A$1,$B59,AB$1,$B$1)</f>
        <v>6578.56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1338.5141000000001</v>
      </c>
      <c r="D60" s="55">
        <f>_xll.EQNXTDZ($A$1,$B60,D$1,$B$1)</f>
        <v>3688.0391</v>
      </c>
      <c r="E60" s="55">
        <f>_xll.EQNXTDZ($A$1,$B60,E$1,$B$1)</f>
        <v>3818.1037999999999</v>
      </c>
      <c r="F60" s="55">
        <f>_xll.EQNXTDZ($A$1,$B60,F$1,$B$1)</f>
        <v>3995.0909999999999</v>
      </c>
      <c r="G60" s="55">
        <f>_xll.EQNXTDZ($A$1,$B60,G$1,$B$1)</f>
        <v>4040.8040999999998</v>
      </c>
      <c r="H60" s="55">
        <f>_xll.EQNXTDZ($A$1,$B60,H$1,$B$1)</f>
        <v>4302.0326999999997</v>
      </c>
      <c r="I60" s="55">
        <f>_xll.EQNXTDZ($A$1,$B60,I$1,$B$1)</f>
        <v>8482.5236999999997</v>
      </c>
      <c r="J60" s="55">
        <f>_xll.EQNXTDZ($A$1,$B60,J$1,$B$1)</f>
        <v>8446.4732999999997</v>
      </c>
      <c r="K60" s="55">
        <f>_xll.EQNXTDZ($A$1,$B60,K$1,$B$1)</f>
        <v>8770.8297000000002</v>
      </c>
      <c r="L60" s="55">
        <f>_xll.EQNXTDZ($A$1,$B60,L$1,$B$1)</f>
        <v>8211.5910000000003</v>
      </c>
      <c r="M60" s="55">
        <f>_xll.EQNXTDZ($A$1,$B60,M$1,$B$1)</f>
        <v>7764.4645</v>
      </c>
      <c r="N60" s="55">
        <f>_xll.EQNXTDZ($A$1,$B60,N$1,$B$1)</f>
        <v>8278.8173999999999</v>
      </c>
      <c r="O60" s="55">
        <f>_xll.EQNXTDZ($A$1,$B60,O$1,$B$1)</f>
        <v>8793.8824999999997</v>
      </c>
      <c r="P60" s="55">
        <f>_xll.EQNXTDZ($A$1,$B60,P$1,$B$1)</f>
        <v>9911.4663</v>
      </c>
      <c r="Q60" s="55">
        <f>_xll.EQNXTDZ($A$1,$B60,Q$1,$B$1)</f>
        <v>10773.54</v>
      </c>
      <c r="R60" s="55">
        <f>_xll.EQNXTDZ($A$1,$B60,R$1,$B$1)</f>
        <v>9894.76</v>
      </c>
      <c r="S60" s="55">
        <f>_xll.EQNXTDZ($A$1,$B60,S$1,$B$1)</f>
        <v>9551.41</v>
      </c>
      <c r="T60" s="55">
        <f>_xll.EQNXTDZ($A$1,$B60,T$1,$B$1)</f>
        <v>10460.44</v>
      </c>
      <c r="U60" s="55">
        <f>_xll.EQNXTDZ($A$1,$B60,U$1,$B$1)</f>
        <v>10880.68</v>
      </c>
      <c r="V60" s="55">
        <f>_xll.EQNXTDZ($A$1,$B60,V$1,$B$1)</f>
        <v>18473.04</v>
      </c>
      <c r="W60" s="55">
        <f>_xll.EQNXTDZ($A$1,$B60,W$1,$B$1)</f>
        <v>20217.82</v>
      </c>
      <c r="X60" s="55">
        <f>_xll.EQNXTDZ($A$1,$B60,X$1,$B$1)</f>
        <v>21074.87</v>
      </c>
      <c r="Y60" s="55">
        <f>_xll.EQNXTDZ($A$1,$B60,Y$1,$B$1)</f>
        <v>22762.49</v>
      </c>
      <c r="Z60" s="55">
        <f>_xll.EQNXTDZ($A$1,$B60,Z$1,$B$1)</f>
        <v>27878.79</v>
      </c>
      <c r="AA60" s="55">
        <f>_xll.EQNXTDZ($A$1,$B60,AA$1,$B$1)</f>
        <v>31830.62</v>
      </c>
      <c r="AB60" s="55">
        <f>_xll.EQNXTDZ($A$1,$B60,AB$1,$B$1)</f>
        <v>34278.74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476.21039999999999</v>
      </c>
      <c r="D62" s="55">
        <f>_xll.EQNXTDZ($A$1,$B62,D$1,$B$1)</f>
        <v>2962.2089000000001</v>
      </c>
      <c r="E62" s="55">
        <f>_xll.EQNXTDZ($A$1,$B62,E$1,$B$1)</f>
        <v>3041.9888999999998</v>
      </c>
      <c r="F62" s="55">
        <f>_xll.EQNXTDZ($A$1,$B62,F$1,$B$1)</f>
        <v>3196.9929000000002</v>
      </c>
      <c r="G62" s="55">
        <f>_xll.EQNXTDZ($A$1,$B62,G$1,$B$1)</f>
        <v>3285.0864000000001</v>
      </c>
      <c r="H62" s="55">
        <f>_xll.EQNXTDZ($A$1,$B62,H$1,$B$1)</f>
        <v>3230.2800999999999</v>
      </c>
      <c r="I62" s="55">
        <f>_xll.EQNXTDZ($A$1,$B62,I$1,$B$1)</f>
        <v>7142.4987000000001</v>
      </c>
      <c r="J62" s="55">
        <f>_xll.EQNXTDZ($A$1,$B62,J$1,$B$1)</f>
        <v>4288.7649000000001</v>
      </c>
      <c r="K62" s="55">
        <f>_xll.EQNXTDZ($A$1,$B62,K$1,$B$1)</f>
        <v>4468.9011</v>
      </c>
      <c r="L62" s="55">
        <f>_xll.EQNXTDZ($A$1,$B62,L$1,$B$1)</f>
        <v>4399.0334999999995</v>
      </c>
      <c r="M62" s="55">
        <f>_xll.EQNXTDZ($A$1,$B62,M$1,$B$1)</f>
        <v>4600.6034</v>
      </c>
      <c r="N62" s="55">
        <f>_xll.EQNXTDZ($A$1,$B62,N$1,$B$1)</f>
        <v>5233.9471000000003</v>
      </c>
      <c r="O62" s="55">
        <f>_xll.EQNXTDZ($A$1,$B62,O$1,$B$1)</f>
        <v>5508.0658000000003</v>
      </c>
      <c r="P62" s="55">
        <f>_xll.EQNXTDZ($A$1,$B62,P$1,$B$1)</f>
        <v>6498.2875000000004</v>
      </c>
      <c r="Q62" s="55">
        <f>_xll.EQNXTDZ($A$1,$B62,Q$1,$B$1)</f>
        <v>6282.51</v>
      </c>
      <c r="R62" s="55">
        <f>_xll.EQNXTDZ($A$1,$B62,R$1,$B$1)</f>
        <v>6112.88</v>
      </c>
      <c r="S62" s="55">
        <f>_xll.EQNXTDZ($A$1,$B62,S$1,$B$1)</f>
        <v>6215.49</v>
      </c>
      <c r="T62" s="55">
        <f>_xll.EQNXTDZ($A$1,$B62,T$1,$B$1)</f>
        <v>6614.67</v>
      </c>
      <c r="U62" s="55">
        <f>_xll.EQNXTDZ($A$1,$B62,U$1,$B$1)</f>
        <v>6841.66</v>
      </c>
      <c r="V62" s="55">
        <f>_xll.EQNXTDZ($A$1,$B62,V$1,$B$1)</f>
        <v>14065.29</v>
      </c>
      <c r="W62" s="55">
        <f>_xll.EQNXTDZ($A$1,$B62,W$1,$B$1)</f>
        <v>14454.84</v>
      </c>
      <c r="X62" s="55">
        <f>_xll.EQNXTDZ($A$1,$B62,X$1,$B$1)</f>
        <v>14992.12</v>
      </c>
      <c r="Y62" s="55">
        <f>_xll.EQNXTDZ($A$1,$B62,Y$1,$B$1)</f>
        <v>15685.66</v>
      </c>
      <c r="Z62" s="55">
        <f>_xll.EQNXTDZ($A$1,$B62,Z$1,$B$1)</f>
        <v>22220.38</v>
      </c>
      <c r="AA62" s="55">
        <f>_xll.EQNXTDZ($A$1,$B62,AA$1,$B$1)</f>
        <v>24705.03</v>
      </c>
      <c r="AB62" s="55">
        <f>_xll.EQNXTDZ($A$1,$B62,AB$1,$B$1)</f>
        <v>26091.759999999998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151.63630000000001</v>
      </c>
      <c r="D63" s="55">
        <f>_xll.EQNXTDZ($A$1,$B63,D$1,$B$1)</f>
        <v>450.48809999999997</v>
      </c>
      <c r="E63" s="55">
        <f>_xll.EQNXTDZ($A$1,$B63,E$1,$B$1)</f>
        <v>464.46449999999999</v>
      </c>
      <c r="F63" s="55">
        <f>_xll.EQNXTDZ($A$1,$B63,F$1,$B$1)</f>
        <v>531.9434</v>
      </c>
      <c r="G63" s="55">
        <f>_xll.EQNXTDZ($A$1,$B63,G$1,$B$1)</f>
        <v>606.29809999999998</v>
      </c>
      <c r="H63" s="55">
        <f>_xll.EQNXTDZ($A$1,$B63,H$1,$B$1)</f>
        <v>578.46990000000005</v>
      </c>
      <c r="I63" s="55">
        <f>_xll.EQNXTDZ($A$1,$B63,I$1,$B$1)</f>
        <v>695.19920000000002</v>
      </c>
      <c r="J63" s="55">
        <f>_xll.EQNXTDZ($A$1,$B63,J$1,$B$1)</f>
        <v>628.58130000000006</v>
      </c>
      <c r="K63" s="55">
        <f>_xll.EQNXTDZ($A$1,$B63,K$1,$B$1)</f>
        <v>706.74120000000005</v>
      </c>
      <c r="L63" s="55">
        <f>_xll.EQNXTDZ($A$1,$B63,L$1,$B$1)</f>
        <v>751.99710000000005</v>
      </c>
      <c r="M63" s="55">
        <f>_xll.EQNXTDZ($A$1,$B63,M$1,$B$1)</f>
        <v>841.72619999999995</v>
      </c>
      <c r="N63" s="55">
        <f>_xll.EQNXTDZ($A$1,$B63,N$1,$B$1)</f>
        <v>990.31039999999996</v>
      </c>
      <c r="O63" s="55">
        <f>_xll.EQNXTDZ($A$1,$B63,O$1,$B$1)</f>
        <v>1073.7274</v>
      </c>
      <c r="P63" s="55">
        <f>_xll.EQNXTDZ($A$1,$B63,P$1,$B$1)</f>
        <v>1317.2787000000001</v>
      </c>
      <c r="Q63" s="55">
        <f>_xll.EQNXTDZ($A$1,$B63,Q$1,$B$1)</f>
        <v>1360.82</v>
      </c>
      <c r="R63" s="55">
        <f>_xll.EQNXTDZ($A$1,$B63,R$1,$B$1)</f>
        <v>1451.08</v>
      </c>
      <c r="S63" s="55">
        <f>_xll.EQNXTDZ($A$1,$B63,S$1,$B$1)</f>
        <v>1711.56</v>
      </c>
      <c r="T63" s="55">
        <f>_xll.EQNXTDZ($A$1,$B63,T$1,$B$1)</f>
        <v>1866.82</v>
      </c>
      <c r="U63" s="55">
        <f>_xll.EQNXTDZ($A$1,$B63,U$1,$B$1)</f>
        <v>1979.95</v>
      </c>
      <c r="V63" s="55">
        <f>_xll.EQNXTDZ($A$1,$B63,V$1,$B$1)</f>
        <v>2459.29</v>
      </c>
      <c r="W63" s="55">
        <f>_xll.EQNXTDZ($A$1,$B63,W$1,$B$1)</f>
        <v>2464.88</v>
      </c>
      <c r="X63" s="55">
        <f>_xll.EQNXTDZ($A$1,$B63,X$1,$B$1)</f>
        <v>2624.86</v>
      </c>
      <c r="Y63" s="55">
        <f>_xll.EQNXTDZ($A$1,$B63,Y$1,$B$1)</f>
        <v>2830.4</v>
      </c>
      <c r="Z63" s="55">
        <f>_xll.EQNXTDZ($A$1,$B63,Z$1,$B$1)</f>
        <v>3077.26</v>
      </c>
      <c r="AA63" s="55">
        <f>_xll.EQNXTDZ($A$1,$B63,AA$1,$B$1)</f>
        <v>3416.55</v>
      </c>
      <c r="AB63" s="55">
        <f>_xll.EQNXTDZ($A$1,$B63,AB$1,$B$1)</f>
        <v>4205.54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25.22</v>
      </c>
      <c r="AB64" s="55">
        <f>_xll.EQNXTDZ($A$1,$B64,AB$1,$B$1)</f>
        <v>80.989999999999995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324.57409999999999</v>
      </c>
      <c r="D65" s="55">
        <f>_xll.EQNXTDZ($A$1,$B65,D$1,$B$1)</f>
        <v>2511.7208000000001</v>
      </c>
      <c r="E65" s="55">
        <f>_xll.EQNXTDZ($A$1,$B65,E$1,$B$1)</f>
        <v>2577.5243999999998</v>
      </c>
      <c r="F65" s="55">
        <f>_xll.EQNXTDZ($A$1,$B65,F$1,$B$1)</f>
        <v>2665.0495000000001</v>
      </c>
      <c r="G65" s="55">
        <f>_xll.EQNXTDZ($A$1,$B65,G$1,$B$1)</f>
        <v>2678.7883000000002</v>
      </c>
      <c r="H65" s="55">
        <f>_xll.EQNXTDZ($A$1,$B65,H$1,$B$1)</f>
        <v>2651.8101999999999</v>
      </c>
      <c r="I65" s="55">
        <f>_xll.EQNXTDZ($A$1,$B65,I$1,$B$1)</f>
        <v>6447.2995000000001</v>
      </c>
      <c r="J65" s="55">
        <f>_xll.EQNXTDZ($A$1,$B65,J$1,$B$1)</f>
        <v>3660.1835999999998</v>
      </c>
      <c r="K65" s="55">
        <f>_xll.EQNXTDZ($A$1,$B65,K$1,$B$1)</f>
        <v>3762.1599000000001</v>
      </c>
      <c r="L65" s="55">
        <f>_xll.EQNXTDZ($A$1,$B65,L$1,$B$1)</f>
        <v>3647.0364</v>
      </c>
      <c r="M65" s="55">
        <f>_xll.EQNXTDZ($A$1,$B65,M$1,$B$1)</f>
        <v>3758.8771999999999</v>
      </c>
      <c r="N65" s="55">
        <f>_xll.EQNXTDZ($A$1,$B65,N$1,$B$1)</f>
        <v>4243.6367</v>
      </c>
      <c r="O65" s="55">
        <f>_xll.EQNXTDZ($A$1,$B65,O$1,$B$1)</f>
        <v>4434.3383999999996</v>
      </c>
      <c r="P65" s="55">
        <f>_xll.EQNXTDZ($A$1,$B65,P$1,$B$1)</f>
        <v>5181.0087999999996</v>
      </c>
      <c r="Q65" s="55">
        <f>_xll.EQNXTDZ($A$1,$B65,Q$1,$B$1)</f>
        <v>4921.6899999999996</v>
      </c>
      <c r="R65" s="55">
        <f>_xll.EQNXTDZ($A$1,$B65,R$1,$B$1)</f>
        <v>4661.8</v>
      </c>
      <c r="S65" s="55">
        <f>_xll.EQNXTDZ($A$1,$B65,S$1,$B$1)</f>
        <v>4503.93</v>
      </c>
      <c r="T65" s="55">
        <f>_xll.EQNXTDZ($A$1,$B65,T$1,$B$1)</f>
        <v>4747.8500000000004</v>
      </c>
      <c r="U65" s="55">
        <f>_xll.EQNXTDZ($A$1,$B65,U$1,$B$1)</f>
        <v>4861.71</v>
      </c>
      <c r="V65" s="55">
        <f>_xll.EQNXTDZ($A$1,$B65,V$1,$B$1)</f>
        <v>11606</v>
      </c>
      <c r="W65" s="55">
        <f>_xll.EQNXTDZ($A$1,$B65,W$1,$B$1)</f>
        <v>11989.96</v>
      </c>
      <c r="X65" s="55">
        <f>_xll.EQNXTDZ($A$1,$B65,X$1,$B$1)</f>
        <v>12367.26</v>
      </c>
      <c r="Y65" s="55">
        <f>_xll.EQNXTDZ($A$1,$B65,Y$1,$B$1)</f>
        <v>12855.26</v>
      </c>
      <c r="Z65" s="55">
        <f>_xll.EQNXTDZ($A$1,$B65,Z$1,$B$1)</f>
        <v>19143.12</v>
      </c>
      <c r="AA65" s="55">
        <f>_xll.EQNXTDZ($A$1,$B65,AA$1,$B$1)</f>
        <v>21263.26</v>
      </c>
      <c r="AB65" s="55">
        <f>_xll.EQNXTDZ($A$1,$B65,AB$1,$B$1)</f>
        <v>21805.23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8.6443999999999992</v>
      </c>
      <c r="D67" s="55">
        <f>_xll.EQNXTDZ($A$1,$B67,D$1,$B$1)</f>
        <v>21.01</v>
      </c>
      <c r="E67" s="55">
        <f>_xll.EQNXTDZ($A$1,$B67,E$1,$B$1)</f>
        <v>14.1273</v>
      </c>
      <c r="F67" s="55">
        <f>_xll.EQNXTDZ($A$1,$B67,F$1,$B$1)</f>
        <v>7.0613000000000001</v>
      </c>
      <c r="G67" s="55">
        <f>_xll.EQNXTDZ($A$1,$B67,G$1,$B$1)</f>
        <v>23.7713</v>
      </c>
      <c r="H67" s="55">
        <f>_xll.EQNXTDZ($A$1,$B67,H$1,$B$1)</f>
        <v>37.300600000000003</v>
      </c>
      <c r="I67" s="55">
        <f>_xll.EQNXTDZ($A$1,$B67,I$1,$B$1)</f>
        <v>15.916600000000001</v>
      </c>
      <c r="J67" s="55">
        <f>_xll.EQNXTDZ($A$1,$B67,J$1,$B$1)</f>
        <v>50.033900000000003</v>
      </c>
      <c r="K67" s="55">
        <f>_xll.EQNXTDZ($A$1,$B67,K$1,$B$1)</f>
        <v>63.184600000000003</v>
      </c>
      <c r="L67" s="55">
        <f>_xll.EQNXTDZ($A$1,$B67,L$1,$B$1)</f>
        <v>47.361199999999997</v>
      </c>
      <c r="M67" s="55">
        <f>_xll.EQNXTDZ($A$1,$B67,M$1,$B$1)</f>
        <v>31.267900000000001</v>
      </c>
      <c r="N67" s="55">
        <f>_xll.EQNXTDZ($A$1,$B67,N$1,$B$1)</f>
        <v>48.678899999999999</v>
      </c>
      <c r="O67" s="55">
        <f>_xll.EQNXTDZ($A$1,$B67,O$1,$B$1)</f>
        <v>90.509</v>
      </c>
      <c r="P67" s="55">
        <f>_xll.EQNXTDZ($A$1,$B67,P$1,$B$1)</f>
        <v>59.385800000000003</v>
      </c>
      <c r="Q67" s="55">
        <f>_xll.EQNXTDZ($A$1,$B67,Q$1,$B$1)</f>
        <v>46.98</v>
      </c>
      <c r="R67" s="55">
        <f>_xll.EQNXTDZ($A$1,$B67,R$1,$B$1)</f>
        <v>33.119999999999997</v>
      </c>
      <c r="S67" s="55">
        <f>_xll.EQNXTDZ($A$1,$B67,S$1,$B$1)</f>
        <v>56.24</v>
      </c>
      <c r="T67" s="55">
        <f>_xll.EQNXTDZ($A$1,$B67,T$1,$B$1)</f>
        <v>129.52000000000001</v>
      </c>
      <c r="U67" s="55">
        <f>_xll.EQNXTDZ($A$1,$B67,U$1,$B$1)</f>
        <v>413.3</v>
      </c>
      <c r="V67" s="55">
        <f>_xll.EQNXTDZ($A$1,$B67,V$1,$B$1)</f>
        <v>87.56</v>
      </c>
      <c r="W67" s="55">
        <f>_xll.EQNXTDZ($A$1,$B67,W$1,$B$1)</f>
        <v>93.17</v>
      </c>
      <c r="X67" s="55">
        <f>_xll.EQNXTDZ($A$1,$B67,X$1,$B$1)</f>
        <v>209.44</v>
      </c>
      <c r="Y67" s="55">
        <f>_xll.EQNXTDZ($A$1,$B67,Y$1,$B$1)</f>
        <v>286.10000000000002</v>
      </c>
      <c r="Z67" s="55">
        <f>_xll.EQNXTDZ($A$1,$B67,Z$1,$B$1)</f>
        <v>171.39</v>
      </c>
      <c r="AA67" s="55">
        <f>_xll.EQNXTDZ($A$1,$B67,AA$1,$B$1)</f>
        <v>206.81</v>
      </c>
      <c r="AB67" s="55">
        <f>_xll.EQNXTDZ($A$1,$B67,AB$1,$B$1)</f>
        <v>459.9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12.420199999999999</v>
      </c>
      <c r="N68" s="55">
        <f>_xll.EQNXTDZ($A$1,$B68,N$1,$B$1)</f>
        <v>0.4748</v>
      </c>
      <c r="O68" s="55">
        <f>_xll.EQNXTDZ($A$1,$B68,O$1,$B$1)</f>
        <v>0.16619999999999999</v>
      </c>
      <c r="P68" s="55">
        <f>_xll.EQNXTDZ($A$1,$B68,P$1,$B$1)</f>
        <v>0.18140000000000001</v>
      </c>
      <c r="Q68" s="55">
        <f>_xll.EQNXTDZ($A$1,$B68,Q$1,$B$1)</f>
        <v>0.19</v>
      </c>
      <c r="R68" s="55">
        <f>_xll.EQNXTDZ($A$1,$B68,R$1,$B$1)</f>
        <v>6.3</v>
      </c>
      <c r="S68" s="55">
        <f>_xll.EQNXTDZ($A$1,$B68,S$1,$B$1)</f>
        <v>6.95</v>
      </c>
      <c r="T68" s="55">
        <f>_xll.EQNXTDZ($A$1,$B68,T$1,$B$1)</f>
        <v>5.64</v>
      </c>
      <c r="U68" s="55">
        <f>_xll.EQNXTDZ($A$1,$B68,U$1,$B$1)</f>
        <v>11.11</v>
      </c>
      <c r="V68" s="55">
        <f>_xll.EQNXTDZ($A$1,$B68,V$1,$B$1)</f>
        <v>7.79</v>
      </c>
      <c r="W68" s="55">
        <f>_xll.EQNXTDZ($A$1,$B68,W$1,$B$1)</f>
        <v>19.68</v>
      </c>
      <c r="X68" s="55">
        <f>_xll.EQNXTDZ($A$1,$B68,X$1,$B$1)</f>
        <v>37.53</v>
      </c>
      <c r="Y68" s="55">
        <f>_xll.EQNXTDZ($A$1,$B68,Y$1,$B$1)</f>
        <v>8.8000000000000007</v>
      </c>
      <c r="Z68" s="55">
        <f>_xll.EQNXTDZ($A$1,$B68,Z$1,$B$1)</f>
        <v>18.21</v>
      </c>
      <c r="AA68" s="55">
        <f>_xll.EQNXTDZ($A$1,$B68,AA$1,$B$1)</f>
        <v>11.29</v>
      </c>
      <c r="AB68" s="55">
        <f>_xll.EQNXTDZ($A$1,$B68,AB$1,$B$1)</f>
        <v>21.28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70.09</v>
      </c>
      <c r="S70" s="55">
        <f>_xll.EQNXTDZ($A$1,$B70,S$1,$B$1)</f>
        <v>68.66</v>
      </c>
      <c r="T70" s="55">
        <f>_xll.EQNXTDZ($A$1,$B70,T$1,$B$1)</f>
        <v>50.33</v>
      </c>
      <c r="U70" s="55">
        <f>_xll.EQNXTDZ($A$1,$B70,U$1,$B$1)</f>
        <v>51.6</v>
      </c>
      <c r="V70" s="55">
        <f>_xll.EQNXTDZ($A$1,$B70,V$1,$B$1)</f>
        <v>50.04</v>
      </c>
      <c r="W70" s="55">
        <f>_xll.EQNXTDZ($A$1,$B70,W$1,$B$1)</f>
        <v>33.17</v>
      </c>
      <c r="X70" s="55">
        <f>_xll.EQNXTDZ($A$1,$B70,X$1,$B$1)</f>
        <v>232.09</v>
      </c>
      <c r="Y70" s="55">
        <f>_xll.EQNXTDZ($A$1,$B70,Y$1,$B$1)</f>
        <v>214.78</v>
      </c>
      <c r="Z70" s="55">
        <f>_xll.EQNXTDZ($A$1,$B70,Z$1,$B$1)</f>
        <v>214.78</v>
      </c>
      <c r="AA70" s="55">
        <f>_xll.EQNXTDZ($A$1,$B70,AA$1,$B$1)</f>
        <v>213.58</v>
      </c>
      <c r="AB70" s="55">
        <f>_xll.EQNXTDZ($A$1,$B70,AB$1,$B$1)</f>
        <v>213.58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592.66139999999996</v>
      </c>
      <c r="D71" s="55">
        <f>_xll.EQNXTDZ($A$1,$B71,D$1,$B$1)</f>
        <v>191.69649999999999</v>
      </c>
      <c r="E71" s="55">
        <f>_xll.EQNXTDZ($A$1,$B71,E$1,$B$1)</f>
        <v>195.9948</v>
      </c>
      <c r="F71" s="55">
        <f>_xll.EQNXTDZ($A$1,$B71,F$1,$B$1)</f>
        <v>210.96809999999999</v>
      </c>
      <c r="G71" s="55">
        <f>_xll.EQNXTDZ($A$1,$B71,G$1,$B$1)</f>
        <v>222.6172</v>
      </c>
      <c r="H71" s="55">
        <f>_xll.EQNXTDZ($A$1,$B71,H$1,$B$1)</f>
        <v>331.7724</v>
      </c>
      <c r="I71" s="55">
        <f>_xll.EQNXTDZ($A$1,$B71,I$1,$B$1)</f>
        <v>432.9975</v>
      </c>
      <c r="J71" s="55">
        <f>_xll.EQNXTDZ($A$1,$B71,J$1,$B$1)</f>
        <v>363.96960000000001</v>
      </c>
      <c r="K71" s="55">
        <f>_xll.EQNXTDZ($A$1,$B71,K$1,$B$1)</f>
        <v>341.17739999999998</v>
      </c>
      <c r="L71" s="55">
        <f>_xll.EQNXTDZ($A$1,$B71,L$1,$B$1)</f>
        <v>376.25889999999998</v>
      </c>
      <c r="M71" s="55">
        <f>_xll.EQNXTDZ($A$1,$B71,M$1,$B$1)</f>
        <v>479.95890000000003</v>
      </c>
      <c r="N71" s="55">
        <f>_xll.EQNXTDZ($A$1,$B71,N$1,$B$1)</f>
        <v>473.51780000000002</v>
      </c>
      <c r="O71" s="55">
        <f>_xll.EQNXTDZ($A$1,$B71,O$1,$B$1)</f>
        <v>576.02549999999997</v>
      </c>
      <c r="P71" s="55">
        <f>_xll.EQNXTDZ($A$1,$B71,P$1,$B$1)</f>
        <v>607.86659999999995</v>
      </c>
      <c r="Q71" s="55">
        <f>_xll.EQNXTDZ($A$1,$B71,Q$1,$B$1)</f>
        <v>617.76</v>
      </c>
      <c r="R71" s="55">
        <f>_xll.EQNXTDZ($A$1,$B71,R$1,$B$1)</f>
        <v>1122.52</v>
      </c>
      <c r="S71" s="55">
        <f>_xll.EQNXTDZ($A$1,$B71,S$1,$B$1)</f>
        <v>1284.69</v>
      </c>
      <c r="T71" s="55">
        <f>_xll.EQNXTDZ($A$1,$B71,T$1,$B$1)</f>
        <v>592.79999999999995</v>
      </c>
      <c r="U71" s="55">
        <f>_xll.EQNXTDZ($A$1,$B71,U$1,$B$1)</f>
        <v>604.5</v>
      </c>
      <c r="V71" s="55">
        <f>_xll.EQNXTDZ($A$1,$B71,V$1,$B$1)</f>
        <v>489.3</v>
      </c>
      <c r="W71" s="55">
        <f>_xll.EQNXTDZ($A$1,$B71,W$1,$B$1)</f>
        <v>482.73</v>
      </c>
      <c r="X71" s="55">
        <f>_xll.EQNXTDZ($A$1,$B71,X$1,$B$1)</f>
        <v>599.25</v>
      </c>
      <c r="Y71" s="55">
        <f>_xll.EQNXTDZ($A$1,$B71,Y$1,$B$1)</f>
        <v>678.23</v>
      </c>
      <c r="Z71" s="55">
        <f>_xll.EQNXTDZ($A$1,$B71,Z$1,$B$1)</f>
        <v>631.91</v>
      </c>
      <c r="AA71" s="55">
        <f>_xll.EQNXTDZ($A$1,$B71,AA$1,$B$1)</f>
        <v>676.45</v>
      </c>
      <c r="AB71" s="55">
        <f>_xll.EQNXTDZ($A$1,$B71,AB$1,$B$1)</f>
        <v>574.41999999999996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91.091200000000001</v>
      </c>
      <c r="N72" s="55">
        <f>_xll.EQNXTDZ($A$1,$B72,N$1,$B$1)</f>
        <v>88.266199999999998</v>
      </c>
      <c r="O72" s="55">
        <f>_xll.EQNXTDZ($A$1,$B72,O$1,$B$1)</f>
        <v>83.644999999999996</v>
      </c>
      <c r="P72" s="55">
        <f>_xll.EQNXTDZ($A$1,$B72,P$1,$B$1)</f>
        <v>135.79</v>
      </c>
      <c r="Q72" s="55">
        <f>_xll.EQNXTDZ($A$1,$B72,Q$1,$B$1)</f>
        <v>1505.28</v>
      </c>
      <c r="R72" s="55">
        <f>_xll.EQNXTDZ($A$1,$B72,R$1,$B$1)</f>
        <v>185.05</v>
      </c>
      <c r="S72" s="55">
        <f>_xll.EQNXTDZ($A$1,$B72,S$1,$B$1)</f>
        <v>196.91</v>
      </c>
      <c r="T72" s="55">
        <f>_xll.EQNXTDZ($A$1,$B72,T$1,$B$1)</f>
        <v>277.55</v>
      </c>
      <c r="U72" s="55">
        <f>_xll.EQNXTDZ($A$1,$B72,U$1,$B$1)</f>
        <v>139.68</v>
      </c>
      <c r="V72" s="55">
        <f>_xll.EQNXTDZ($A$1,$B72,V$1,$B$1)</f>
        <v>204.78</v>
      </c>
      <c r="W72" s="55">
        <f>_xll.EQNXTDZ($A$1,$B72,W$1,$B$1)</f>
        <v>198.2</v>
      </c>
      <c r="X72" s="55">
        <f>_xll.EQNXTDZ($A$1,$B72,X$1,$B$1)</f>
        <v>190.84</v>
      </c>
      <c r="Y72" s="55">
        <f>_xll.EQNXTDZ($A$1,$B72,Y$1,$B$1)</f>
        <v>219.03</v>
      </c>
      <c r="Z72" s="55">
        <f>_xll.EQNXTDZ($A$1,$B72,Z$1,$B$1)</f>
        <v>157.19999999999999</v>
      </c>
      <c r="AA72" s="55">
        <f>_xll.EQNXTDZ($A$1,$B72,AA$1,$B$1)</f>
        <v>414.84</v>
      </c>
      <c r="AB72" s="55">
        <f>_xll.EQNXTDZ($A$1,$B72,AB$1,$B$1)</f>
        <v>656.46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4.1984000000000004</v>
      </c>
      <c r="N73" s="55">
        <f>_xll.EQNXTDZ($A$1,$B73,N$1,$B$1)</f>
        <v>33.320799999999998</v>
      </c>
      <c r="O73" s="55">
        <f>_xll.EQNXTDZ($A$1,$B73,O$1,$B$1)</f>
        <v>0</v>
      </c>
      <c r="P73" s="55">
        <f>_xll.EQNXTDZ($A$1,$B73,P$1,$B$1)</f>
        <v>70.5</v>
      </c>
      <c r="Q73" s="55">
        <f>_xll.EQNXTDZ($A$1,$B73,Q$1,$B$1)</f>
        <v>70.5</v>
      </c>
      <c r="R73" s="55">
        <f>_xll.EQNXTDZ($A$1,$B73,R$1,$B$1)</f>
        <v>73.36</v>
      </c>
      <c r="S73" s="55">
        <f>_xll.EQNXTDZ($A$1,$B73,S$1,$B$1)</f>
        <v>80.09</v>
      </c>
      <c r="T73" s="55">
        <f>_xll.EQNXTDZ($A$1,$B73,T$1,$B$1)</f>
        <v>121.74</v>
      </c>
      <c r="U73" s="55">
        <f>_xll.EQNXTDZ($A$1,$B73,U$1,$B$1)</f>
        <v>250.81</v>
      </c>
      <c r="V73" s="55">
        <f>_xll.EQNXTDZ($A$1,$B73,V$1,$B$1)</f>
        <v>345.51</v>
      </c>
      <c r="W73" s="55">
        <f>_xll.EQNXTDZ($A$1,$B73,W$1,$B$1)</f>
        <v>352.28</v>
      </c>
      <c r="X73" s="55">
        <f>_xll.EQNXTDZ($A$1,$B73,X$1,$B$1)</f>
        <v>302.77999999999997</v>
      </c>
      <c r="Y73" s="55">
        <f>_xll.EQNXTDZ($A$1,$B73,Y$1,$B$1)</f>
        <v>191.71</v>
      </c>
      <c r="Z73" s="55">
        <f>_xll.EQNXTDZ($A$1,$B73,Z$1,$B$1)</f>
        <v>115.55</v>
      </c>
      <c r="AA73" s="55">
        <f>_xll.EQNXTDZ($A$1,$B73,AA$1,$B$1)</f>
        <v>74.739999999999995</v>
      </c>
      <c r="AB73" s="55">
        <f>_xll.EQNXTDZ($A$1,$B73,AB$1,$B$1)</f>
        <v>230.78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925.87990000000002</v>
      </c>
      <c r="D74" s="55">
        <f>_xll.EQNXTDZ($A$1,$B74,D$1,$B$1)</f>
        <v>2724.4272999999998</v>
      </c>
      <c r="E74" s="55">
        <f>_xll.EQNXTDZ($A$1,$B74,E$1,$B$1)</f>
        <v>2787.6464999999998</v>
      </c>
      <c r="F74" s="55">
        <f>_xll.EQNXTDZ($A$1,$B74,F$1,$B$1)</f>
        <v>2883.0789</v>
      </c>
      <c r="G74" s="55">
        <f>_xll.EQNXTDZ($A$1,$B74,G$1,$B$1)</f>
        <v>2925.1768000000002</v>
      </c>
      <c r="H74" s="55">
        <f>_xll.EQNXTDZ($A$1,$B74,H$1,$B$1)</f>
        <v>3020.8832000000002</v>
      </c>
      <c r="I74" s="55">
        <f>_xll.EQNXTDZ($A$1,$B74,I$1,$B$1)</f>
        <v>6896.2136</v>
      </c>
      <c r="J74" s="55">
        <f>_xll.EQNXTDZ($A$1,$B74,J$1,$B$1)</f>
        <v>4074.1871000000001</v>
      </c>
      <c r="K74" s="55">
        <f>_xll.EQNXTDZ($A$1,$B74,K$1,$B$1)</f>
        <v>4166.5218999999997</v>
      </c>
      <c r="L74" s="55">
        <f>_xll.EQNXTDZ($A$1,$B74,L$1,$B$1)</f>
        <v>4070.6565000000001</v>
      </c>
      <c r="M74" s="55">
        <f>_xll.EQNXTDZ($A$1,$B74,M$1,$B$1)</f>
        <v>4377.8137999999999</v>
      </c>
      <c r="N74" s="55">
        <f>_xll.EQNXTDZ($A$1,$B74,N$1,$B$1)</f>
        <v>4887.8951999999999</v>
      </c>
      <c r="O74" s="55">
        <f>_xll.EQNXTDZ($A$1,$B74,O$1,$B$1)</f>
        <v>5184.6841000000004</v>
      </c>
      <c r="P74" s="55">
        <f>_xll.EQNXTDZ($A$1,$B74,P$1,$B$1)</f>
        <v>6054.7326000000003</v>
      </c>
      <c r="Q74" s="55">
        <f>_xll.EQNXTDZ($A$1,$B74,Q$1,$B$1)</f>
        <v>7162.4</v>
      </c>
      <c r="R74" s="55">
        <f>_xll.EQNXTDZ($A$1,$B74,R$1,$B$1)</f>
        <v>6152.24</v>
      </c>
      <c r="S74" s="55">
        <f>_xll.EQNXTDZ($A$1,$B74,S$1,$B$1)</f>
        <v>6197.47</v>
      </c>
      <c r="T74" s="55">
        <f>_xll.EQNXTDZ($A$1,$B74,T$1,$B$1)</f>
        <v>5925.43</v>
      </c>
      <c r="U74" s="55">
        <f>_xll.EQNXTDZ($A$1,$B74,U$1,$B$1)</f>
        <v>6332.71</v>
      </c>
      <c r="V74" s="55">
        <f>_xll.EQNXTDZ($A$1,$B74,V$1,$B$1)</f>
        <v>12790.98</v>
      </c>
      <c r="W74" s="55">
        <f>_xll.EQNXTDZ($A$1,$B74,W$1,$B$1)</f>
        <v>13169.19</v>
      </c>
      <c r="X74" s="55">
        <f>_xll.EQNXTDZ($A$1,$B74,X$1,$B$1)</f>
        <v>13939.19</v>
      </c>
      <c r="Y74" s="55">
        <f>_xll.EQNXTDZ($A$1,$B74,Y$1,$B$1)</f>
        <v>14453.91</v>
      </c>
      <c r="Z74" s="55">
        <f>_xll.EQNXTDZ($A$1,$B74,Z$1,$B$1)</f>
        <v>20452.16</v>
      </c>
      <c r="AA74" s="55">
        <f>_xll.EQNXTDZ($A$1,$B74,AA$1,$B$1)</f>
        <v>22860.97</v>
      </c>
      <c r="AB74" s="55">
        <f>_xll.EQNXTDZ($A$1,$B74,AB$1,$B$1)</f>
        <v>23961.65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29.247399999999999</v>
      </c>
      <c r="D75" s="55">
        <f>_xll.EQNXTDZ($A$1,$B75,D$1,$B$1)</f>
        <v>24.185099999999998</v>
      </c>
      <c r="E75" s="55">
        <f>_xll.EQNXTDZ($A$1,$B75,E$1,$B$1)</f>
        <v>30.851900000000001</v>
      </c>
      <c r="F75" s="55">
        <f>_xll.EQNXTDZ($A$1,$B75,F$1,$B$1)</f>
        <v>88.029799999999994</v>
      </c>
      <c r="G75" s="55">
        <f>_xll.EQNXTDZ($A$1,$B75,G$1,$B$1)</f>
        <v>107.239</v>
      </c>
      <c r="H75" s="55">
        <f>_xll.EQNXTDZ($A$1,$B75,H$1,$B$1)</f>
        <v>251.60839999999999</v>
      </c>
      <c r="I75" s="55">
        <f>_xll.EQNXTDZ($A$1,$B75,I$1,$B$1)</f>
        <v>179.2</v>
      </c>
      <c r="J75" s="55">
        <f>_xll.EQNXTDZ($A$1,$B75,J$1,$B$1)</f>
        <v>1027.037</v>
      </c>
      <c r="K75" s="55">
        <f>_xll.EQNXTDZ($A$1,$B75,K$1,$B$1)</f>
        <v>10.1267</v>
      </c>
      <c r="L75" s="55">
        <f>_xll.EQNXTDZ($A$1,$B75,L$1,$B$1)</f>
        <v>142.85429999999999</v>
      </c>
      <c r="M75" s="55">
        <f>_xll.EQNXTDZ($A$1,$B75,M$1,$B$1)</f>
        <v>106.5476</v>
      </c>
      <c r="N75" s="55">
        <f>_xll.EQNXTDZ($A$1,$B75,N$1,$B$1)</f>
        <v>93.014099999999999</v>
      </c>
      <c r="O75" s="55">
        <f>_xll.EQNXTDZ($A$1,$B75,O$1,$B$1)</f>
        <v>1.9064000000000001</v>
      </c>
      <c r="P75" s="55">
        <f>_xll.EQNXTDZ($A$1,$B75,P$1,$B$1)</f>
        <v>3.1011000000000002</v>
      </c>
      <c r="Q75" s="55">
        <f>_xll.EQNXTDZ($A$1,$B75,Q$1,$B$1)</f>
        <v>4.26</v>
      </c>
      <c r="R75" s="55">
        <f>_xll.EQNXTDZ($A$1,$B75,R$1,$B$1)</f>
        <v>173.33</v>
      </c>
      <c r="S75" s="55">
        <f>_xll.EQNXTDZ($A$1,$B75,S$1,$B$1)</f>
        <v>166.35</v>
      </c>
      <c r="T75" s="55">
        <f>_xll.EQNXTDZ($A$1,$B75,T$1,$B$1)</f>
        <v>568.53</v>
      </c>
      <c r="U75" s="55">
        <f>_xll.EQNXTDZ($A$1,$B75,U$1,$B$1)</f>
        <v>583.16</v>
      </c>
      <c r="V75" s="55">
        <f>_xll.EQNXTDZ($A$1,$B75,V$1,$B$1)</f>
        <v>833.55</v>
      </c>
      <c r="W75" s="55">
        <f>_xll.EQNXTDZ($A$1,$B75,W$1,$B$1)</f>
        <v>323.16000000000003</v>
      </c>
      <c r="X75" s="55">
        <f>_xll.EQNXTDZ($A$1,$B75,X$1,$B$1)</f>
        <v>198.03</v>
      </c>
      <c r="Y75" s="55">
        <f>_xll.EQNXTDZ($A$1,$B75,Y$1,$B$1)</f>
        <v>754.74</v>
      </c>
      <c r="Z75" s="55">
        <f>_xll.EQNXTDZ($A$1,$B75,Z$1,$B$1)</f>
        <v>238.64</v>
      </c>
      <c r="AA75" s="55">
        <f>_xll.EQNXTDZ($A$1,$B75,AA$1,$B$1)</f>
        <v>292.22000000000003</v>
      </c>
      <c r="AB75" s="55">
        <f>_xll.EQNXTDZ($A$1,$B75,AB$1,$B$1)</f>
        <v>868.2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141.4539</v>
      </c>
      <c r="D76" s="55">
        <f>_xll.EQNXTDZ($A$1,$B76,D$1,$B$1)</f>
        <v>352.82780000000002</v>
      </c>
      <c r="E76" s="55">
        <f>_xll.EQNXTDZ($A$1,$B76,E$1,$B$1)</f>
        <v>348.18150000000003</v>
      </c>
      <c r="F76" s="55">
        <f>_xll.EQNXTDZ($A$1,$B76,F$1,$B$1)</f>
        <v>376.48110000000003</v>
      </c>
      <c r="G76" s="55">
        <f>_xll.EQNXTDZ($A$1,$B76,G$1,$B$1)</f>
        <v>437.76909999999998</v>
      </c>
      <c r="H76" s="55">
        <f>_xll.EQNXTDZ($A$1,$B76,H$1,$B$1)</f>
        <v>424.07229999999998</v>
      </c>
      <c r="I76" s="55">
        <f>_xll.EQNXTDZ($A$1,$B76,I$1,$B$1)</f>
        <v>524.32899999999995</v>
      </c>
      <c r="J76" s="55">
        <f>_xll.EQNXTDZ($A$1,$B76,J$1,$B$1)</f>
        <v>545.02710000000002</v>
      </c>
      <c r="K76" s="55">
        <f>_xll.EQNXTDZ($A$1,$B76,K$1,$B$1)</f>
        <v>744.43899999999996</v>
      </c>
      <c r="L76" s="55">
        <f>_xll.EQNXTDZ($A$1,$B76,L$1,$B$1)</f>
        <v>921.65179999999998</v>
      </c>
      <c r="M76" s="55">
        <f>_xll.EQNXTDZ($A$1,$B76,M$1,$B$1)</f>
        <v>1069.6528000000001</v>
      </c>
      <c r="N76" s="55">
        <f>_xll.EQNXTDZ($A$1,$B76,N$1,$B$1)</f>
        <v>1160.7313999999999</v>
      </c>
      <c r="O76" s="55">
        <f>_xll.EQNXTDZ($A$1,$B76,O$1,$B$1)</f>
        <v>1382.9227000000001</v>
      </c>
      <c r="P76" s="55">
        <f>_xll.EQNXTDZ($A$1,$B76,P$1,$B$1)</f>
        <v>1518.4586999999999</v>
      </c>
      <c r="Q76" s="55">
        <f>_xll.EQNXTDZ($A$1,$B76,Q$1,$B$1)</f>
        <v>1625.3</v>
      </c>
      <c r="R76" s="55">
        <f>_xll.EQNXTDZ($A$1,$B76,R$1,$B$1)</f>
        <v>1629.01</v>
      </c>
      <c r="S76" s="55">
        <f>_xll.EQNXTDZ($A$1,$B76,S$1,$B$1)</f>
        <v>1452.96</v>
      </c>
      <c r="T76" s="55">
        <f>_xll.EQNXTDZ($A$1,$B76,T$1,$B$1)</f>
        <v>1448.31</v>
      </c>
      <c r="U76" s="55">
        <f>_xll.EQNXTDZ($A$1,$B76,U$1,$B$1)</f>
        <v>1609.86</v>
      </c>
      <c r="V76" s="55">
        <f>_xll.EQNXTDZ($A$1,$B76,V$1,$B$1)</f>
        <v>1712.03</v>
      </c>
      <c r="W76" s="55">
        <f>_xll.EQNXTDZ($A$1,$B76,W$1,$B$1)</f>
        <v>2249.16</v>
      </c>
      <c r="X76" s="55">
        <f>_xll.EQNXTDZ($A$1,$B76,X$1,$B$1)</f>
        <v>2266.5100000000002</v>
      </c>
      <c r="Y76" s="55">
        <f>_xll.EQNXTDZ($A$1,$B76,Y$1,$B$1)</f>
        <v>2701.67</v>
      </c>
      <c r="Z76" s="55">
        <f>_xll.EQNXTDZ($A$1,$B76,Z$1,$B$1)</f>
        <v>2769.35</v>
      </c>
      <c r="AA76" s="55">
        <f>_xll.EQNXTDZ($A$1,$B76,AA$1,$B$1)</f>
        <v>3599.91</v>
      </c>
      <c r="AB76" s="55">
        <f>_xll.EQNXTDZ($A$1,$B76,AB$1,$B$1)</f>
        <v>3526.76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60.672199999999997</v>
      </c>
      <c r="D77" s="55">
        <f>_xll.EQNXTDZ($A$1,$B77,D$1,$B$1)</f>
        <v>277.37439999999998</v>
      </c>
      <c r="E77" s="55">
        <f>_xll.EQNXTDZ($A$1,$B77,E$1,$B$1)</f>
        <v>278.82299999999998</v>
      </c>
      <c r="F77" s="55">
        <f>_xll.EQNXTDZ($A$1,$B77,F$1,$B$1)</f>
        <v>271.09480000000002</v>
      </c>
      <c r="G77" s="55">
        <f>_xll.EQNXTDZ($A$1,$B77,G$1,$B$1)</f>
        <v>298.11180000000002</v>
      </c>
      <c r="H77" s="55">
        <f>_xll.EQNXTDZ($A$1,$B77,H$1,$B$1)</f>
        <v>347.85390000000001</v>
      </c>
      <c r="I77" s="55">
        <f>_xll.EQNXTDZ($A$1,$B77,I$1,$B$1)</f>
        <v>426.75330000000002</v>
      </c>
      <c r="J77" s="55">
        <f>_xll.EQNXTDZ($A$1,$B77,J$1,$B$1)</f>
        <v>448.13920000000002</v>
      </c>
      <c r="K77" s="55">
        <f>_xll.EQNXTDZ($A$1,$B77,K$1,$B$1)</f>
        <v>449.98259999999999</v>
      </c>
      <c r="L77" s="55">
        <f>_xll.EQNXTDZ($A$1,$B77,L$1,$B$1)</f>
        <v>519.72140000000002</v>
      </c>
      <c r="M77" s="55">
        <f>_xll.EQNXTDZ($A$1,$B77,M$1,$B$1)</f>
        <v>573.26279999999997</v>
      </c>
      <c r="N77" s="55">
        <f>_xll.EQNXTDZ($A$1,$B77,N$1,$B$1)</f>
        <v>651.81280000000004</v>
      </c>
      <c r="O77" s="55">
        <f>_xll.EQNXTDZ($A$1,$B77,O$1,$B$1)</f>
        <v>712.92169999999999</v>
      </c>
      <c r="P77" s="55">
        <f>_xll.EQNXTDZ($A$1,$B77,P$1,$B$1)</f>
        <v>654.34799999999996</v>
      </c>
      <c r="Q77" s="55">
        <f>_xll.EQNXTDZ($A$1,$B77,Q$1,$B$1)</f>
        <v>616.09</v>
      </c>
      <c r="R77" s="55">
        <f>_xll.EQNXTDZ($A$1,$B77,R$1,$B$1)</f>
        <v>592.42999999999995</v>
      </c>
      <c r="S77" s="55">
        <f>_xll.EQNXTDZ($A$1,$B77,S$1,$B$1)</f>
        <v>592.45000000000005</v>
      </c>
      <c r="T77" s="55">
        <f>_xll.EQNXTDZ($A$1,$B77,T$1,$B$1)</f>
        <v>648.28</v>
      </c>
      <c r="U77" s="55">
        <f>_xll.EQNXTDZ($A$1,$B77,U$1,$B$1)</f>
        <v>680.55</v>
      </c>
      <c r="V77" s="55">
        <f>_xll.EQNXTDZ($A$1,$B77,V$1,$B$1)</f>
        <v>922.41</v>
      </c>
      <c r="W77" s="55">
        <f>_xll.EQNXTDZ($A$1,$B77,W$1,$B$1)</f>
        <v>761.32</v>
      </c>
      <c r="X77" s="55">
        <f>_xll.EQNXTDZ($A$1,$B77,X$1,$B$1)</f>
        <v>835.15</v>
      </c>
      <c r="Y77" s="55">
        <f>_xll.EQNXTDZ($A$1,$B77,Y$1,$B$1)</f>
        <v>798.33</v>
      </c>
      <c r="Z77" s="55">
        <f>_xll.EQNXTDZ($A$1,$B77,Z$1,$B$1)</f>
        <v>896.75</v>
      </c>
      <c r="AA77" s="55">
        <f>_xll.EQNXTDZ($A$1,$B77,AA$1,$B$1)</f>
        <v>869.79</v>
      </c>
      <c r="AB77" s="55">
        <f>_xll.EQNXTDZ($A$1,$B77,AB$1,$B$1)</f>
        <v>1148.33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8.4732000000000003</v>
      </c>
      <c r="D78" s="55">
        <f>_xll.EQNXTDZ($A$1,$B78,D$1,$B$1)</f>
        <v>77.642499999999998</v>
      </c>
      <c r="E78" s="55">
        <f>_xll.EQNXTDZ($A$1,$B78,E$1,$B$1)</f>
        <v>60.543500000000002</v>
      </c>
      <c r="F78" s="55">
        <f>_xll.EQNXTDZ($A$1,$B78,F$1,$B$1)</f>
        <v>139.2672</v>
      </c>
      <c r="G78" s="55">
        <f>_xll.EQNXTDZ($A$1,$B78,G$1,$B$1)</f>
        <v>64.212699999999998</v>
      </c>
      <c r="H78" s="55">
        <f>_xll.EQNXTDZ($A$1,$B78,H$1,$B$1)</f>
        <v>22.1203</v>
      </c>
      <c r="I78" s="55">
        <f>_xll.EQNXTDZ($A$1,$B78,I$1,$B$1)</f>
        <v>118.7649</v>
      </c>
      <c r="J78" s="55">
        <f>_xll.EQNXTDZ($A$1,$B78,J$1,$B$1)</f>
        <v>1323.1959999999999</v>
      </c>
      <c r="K78" s="55">
        <f>_xll.EQNXTDZ($A$1,$B78,K$1,$B$1)</f>
        <v>1089.1507999999999</v>
      </c>
      <c r="L78" s="55">
        <f>_xll.EQNXTDZ($A$1,$B78,L$1,$B$1)</f>
        <v>1903.8299</v>
      </c>
      <c r="M78" s="55">
        <f>_xll.EQNXTDZ($A$1,$B78,M$1,$B$1)</f>
        <v>997.31079999999997</v>
      </c>
      <c r="N78" s="55">
        <f>_xll.EQNXTDZ($A$1,$B78,N$1,$B$1)</f>
        <v>736.16459999999995</v>
      </c>
      <c r="O78" s="55">
        <f>_xll.EQNXTDZ($A$1,$B78,O$1,$B$1)</f>
        <v>697.70360000000005</v>
      </c>
      <c r="P78" s="55">
        <f>_xll.EQNXTDZ($A$1,$B78,P$1,$B$1)</f>
        <v>725.23720000000003</v>
      </c>
      <c r="Q78" s="55">
        <f>_xll.EQNXTDZ($A$1,$B78,Q$1,$B$1)</f>
        <v>544.24</v>
      </c>
      <c r="R78" s="55">
        <f>_xll.EQNXTDZ($A$1,$B78,R$1,$B$1)</f>
        <v>501.03</v>
      </c>
      <c r="S78" s="55">
        <f>_xll.EQNXTDZ($A$1,$B78,S$1,$B$1)</f>
        <v>574.82000000000005</v>
      </c>
      <c r="T78" s="55">
        <f>_xll.EQNXTDZ($A$1,$B78,T$1,$B$1)</f>
        <v>1238.1400000000001</v>
      </c>
      <c r="U78" s="55">
        <f>_xll.EQNXTDZ($A$1,$B78,U$1,$B$1)</f>
        <v>1033.6099999999999</v>
      </c>
      <c r="V78" s="55">
        <f>_xll.EQNXTDZ($A$1,$B78,V$1,$B$1)</f>
        <v>1621.46</v>
      </c>
      <c r="W78" s="55">
        <f>_xll.EQNXTDZ($A$1,$B78,W$1,$B$1)</f>
        <v>3074.88</v>
      </c>
      <c r="X78" s="55">
        <f>_xll.EQNXTDZ($A$1,$B78,X$1,$B$1)</f>
        <v>2599.89</v>
      </c>
      <c r="Y78" s="55">
        <f>_xll.EQNXTDZ($A$1,$B78,Y$1,$B$1)</f>
        <v>2796.94</v>
      </c>
      <c r="Z78" s="55">
        <f>_xll.EQNXTDZ($A$1,$B78,Z$1,$B$1)</f>
        <v>2454.4899999999998</v>
      </c>
      <c r="AA78" s="55">
        <f>_xll.EQNXTDZ($A$1,$B78,AA$1,$B$1)</f>
        <v>2817.86</v>
      </c>
      <c r="AB78" s="55">
        <f>_xll.EQNXTDZ($A$1,$B78,AB$1,$B$1)</f>
        <v>3420.49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12.899100000000001</v>
      </c>
      <c r="D79" s="55">
        <f>_xll.EQNXTDZ($A$1,$B79,D$1,$B$1)</f>
        <v>53.753300000000003</v>
      </c>
      <c r="E79" s="55">
        <f>_xll.EQNXTDZ($A$1,$B79,E$1,$B$1)</f>
        <v>47.052999999999997</v>
      </c>
      <c r="F79" s="55">
        <f>_xll.EQNXTDZ($A$1,$B79,F$1,$B$1)</f>
        <v>3.1796000000000002</v>
      </c>
      <c r="G79" s="55">
        <f>_xll.EQNXTDZ($A$1,$B79,G$1,$B$1)</f>
        <v>4.5757000000000003</v>
      </c>
      <c r="H79" s="55">
        <f>_xll.EQNXTDZ($A$1,$B79,H$1,$B$1)</f>
        <v>8.0203000000000007</v>
      </c>
      <c r="I79" s="55">
        <f>_xll.EQNXTDZ($A$1,$B79,I$1,$B$1)</f>
        <v>13.231400000000001</v>
      </c>
      <c r="J79" s="55">
        <f>_xll.EQNXTDZ($A$1,$B79,J$1,$B$1)</f>
        <v>339.72719999999998</v>
      </c>
      <c r="K79" s="55">
        <f>_xll.EQNXTDZ($A$1,$B79,K$1,$B$1)</f>
        <v>242.34200000000001</v>
      </c>
      <c r="L79" s="55">
        <f>_xll.EQNXTDZ($A$1,$B79,L$1,$B$1)</f>
        <v>22.0288</v>
      </c>
      <c r="M79" s="55">
        <f>_xll.EQNXTDZ($A$1,$B79,M$1,$B$1)</f>
        <v>20.616399999999999</v>
      </c>
      <c r="N79" s="55">
        <f>_xll.EQNXTDZ($A$1,$B79,N$1,$B$1)</f>
        <v>42.063499999999998</v>
      </c>
      <c r="O79" s="55">
        <f>_xll.EQNXTDZ($A$1,$B79,O$1,$B$1)</f>
        <v>44.942900000000002</v>
      </c>
      <c r="P79" s="55">
        <f>_xll.EQNXTDZ($A$1,$B79,P$1,$B$1)</f>
        <v>56.787700000000001</v>
      </c>
      <c r="Q79" s="55">
        <f>_xll.EQNXTDZ($A$1,$B79,Q$1,$B$1)</f>
        <v>61.75</v>
      </c>
      <c r="R79" s="55">
        <f>_xll.EQNXTDZ($A$1,$B79,R$1,$B$1)</f>
        <v>111.34</v>
      </c>
      <c r="S79" s="55">
        <f>_xll.EQNXTDZ($A$1,$B79,S$1,$B$1)</f>
        <v>108.08</v>
      </c>
      <c r="T79" s="55">
        <f>_xll.EQNXTDZ($A$1,$B79,T$1,$B$1)</f>
        <v>134.84</v>
      </c>
      <c r="U79" s="55">
        <f>_xll.EQNXTDZ($A$1,$B79,U$1,$B$1)</f>
        <v>165.57</v>
      </c>
      <c r="V79" s="55">
        <f>_xll.EQNXTDZ($A$1,$B79,V$1,$B$1)</f>
        <v>396.39</v>
      </c>
      <c r="W79" s="55">
        <f>_xll.EQNXTDZ($A$1,$B79,W$1,$B$1)</f>
        <v>381.17</v>
      </c>
      <c r="X79" s="55">
        <f>_xll.EQNXTDZ($A$1,$B79,X$1,$B$1)</f>
        <v>483.99</v>
      </c>
      <c r="Y79" s="55">
        <f>_xll.EQNXTDZ($A$1,$B79,Y$1,$B$1)</f>
        <v>592.80999999999995</v>
      </c>
      <c r="Z79" s="55">
        <f>_xll.EQNXTDZ($A$1,$B79,Z$1,$B$1)</f>
        <v>595.01</v>
      </c>
      <c r="AA79" s="55">
        <f>_xll.EQNXTDZ($A$1,$B79,AA$1,$B$1)</f>
        <v>773.36</v>
      </c>
      <c r="AB79" s="55">
        <f>_xll.EQNXTDZ($A$1,$B79,AB$1,$B$1)</f>
        <v>588.91999999999996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159.88839999999999</v>
      </c>
      <c r="D80" s="55">
        <f>_xll.EQNXTDZ($A$1,$B80,D$1,$B$1)</f>
        <v>143.93379999999999</v>
      </c>
      <c r="E80" s="55">
        <f>_xll.EQNXTDZ($A$1,$B80,E$1,$B$1)</f>
        <v>172.8947</v>
      </c>
      <c r="F80" s="55">
        <f>_xll.EQNXTDZ($A$1,$B80,F$1,$B$1)</f>
        <v>186.09119999999999</v>
      </c>
      <c r="G80" s="55">
        <f>_xll.EQNXTDZ($A$1,$B80,G$1,$B$1)</f>
        <v>149.9145</v>
      </c>
      <c r="H80" s="55">
        <f>_xll.EQNXTDZ($A$1,$B80,H$1,$B$1)</f>
        <v>192.2681</v>
      </c>
      <c r="I80" s="55">
        <f>_xll.EQNXTDZ($A$1,$B80,I$1,$B$1)</f>
        <v>298.36410000000001</v>
      </c>
      <c r="J80" s="55">
        <f>_xll.EQNXTDZ($A$1,$B80,J$1,$B$1)</f>
        <v>672.54409999999996</v>
      </c>
      <c r="K80" s="55">
        <f>_xll.EQNXTDZ($A$1,$B80,K$1,$B$1)</f>
        <v>2060.625</v>
      </c>
      <c r="L80" s="55">
        <f>_xll.EQNXTDZ($A$1,$B80,L$1,$B$1)</f>
        <v>630.84829999999999</v>
      </c>
      <c r="M80" s="55">
        <f>_xll.EQNXTDZ($A$1,$B80,M$1,$B$1)</f>
        <v>619.26030000000003</v>
      </c>
      <c r="N80" s="55">
        <f>_xll.EQNXTDZ($A$1,$B80,N$1,$B$1)</f>
        <v>707.13580000000002</v>
      </c>
      <c r="O80" s="55">
        <f>_xll.EQNXTDZ($A$1,$B80,O$1,$B$1)</f>
        <v>768.80110000000002</v>
      </c>
      <c r="P80" s="55">
        <f>_xll.EQNXTDZ($A$1,$B80,P$1,$B$1)</f>
        <v>898.80100000000004</v>
      </c>
      <c r="Q80" s="55">
        <f>_xll.EQNXTDZ($A$1,$B80,Q$1,$B$1)</f>
        <v>759.5</v>
      </c>
      <c r="R80" s="55">
        <f>_xll.EQNXTDZ($A$1,$B80,R$1,$B$1)</f>
        <v>735.38</v>
      </c>
      <c r="S80" s="55">
        <f>_xll.EQNXTDZ($A$1,$B80,S$1,$B$1)</f>
        <v>407.45</v>
      </c>
      <c r="T80" s="55">
        <f>_xll.EQNXTDZ($A$1,$B80,T$1,$B$1)</f>
        <v>459.05</v>
      </c>
      <c r="U80" s="55">
        <f>_xll.EQNXTDZ($A$1,$B80,U$1,$B$1)</f>
        <v>438.05</v>
      </c>
      <c r="V80" s="55">
        <f>_xll.EQNXTDZ($A$1,$B80,V$1,$B$1)</f>
        <v>196.22</v>
      </c>
      <c r="W80" s="55">
        <f>_xll.EQNXTDZ($A$1,$B80,W$1,$B$1)</f>
        <v>258.94</v>
      </c>
      <c r="X80" s="55">
        <f>_xll.EQNXTDZ($A$1,$B80,X$1,$B$1)</f>
        <v>752.11</v>
      </c>
      <c r="Y80" s="55">
        <f>_xll.EQNXTDZ($A$1,$B80,Y$1,$B$1)</f>
        <v>664.09</v>
      </c>
      <c r="Z80" s="55">
        <f>_xll.EQNXTDZ($A$1,$B80,Z$1,$B$1)</f>
        <v>472.39</v>
      </c>
      <c r="AA80" s="55">
        <f>_xll.EQNXTDZ($A$1,$B80,AA$1,$B$1)</f>
        <v>616.51</v>
      </c>
      <c r="AB80" s="55">
        <f>_xll.EQNXTDZ($A$1,$B80,AB$1,$B$1)</f>
        <v>764.39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51.83</v>
      </c>
      <c r="T81" s="55">
        <f>_xll.EQNXTDZ($A$1,$B81,T$1,$B$1)</f>
        <v>37.86</v>
      </c>
      <c r="U81" s="55">
        <f>_xll.EQNXTDZ($A$1,$B81,U$1,$B$1)</f>
        <v>37.17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412.63420000000002</v>
      </c>
      <c r="D82" s="55">
        <f>_xll.EQNXTDZ($A$1,$B82,D$1,$B$1)</f>
        <v>929.71690000000001</v>
      </c>
      <c r="E82" s="55">
        <f>_xll.EQNXTDZ($A$1,$B82,E$1,$B$1)</f>
        <v>938.34760000000006</v>
      </c>
      <c r="F82" s="55">
        <f>_xll.EQNXTDZ($A$1,$B82,F$1,$B$1)</f>
        <v>1064.1437000000001</v>
      </c>
      <c r="G82" s="55">
        <f>_xll.EQNXTDZ($A$1,$B82,G$1,$B$1)</f>
        <v>1061.8227999999999</v>
      </c>
      <c r="H82" s="55">
        <f>_xll.EQNXTDZ($A$1,$B82,H$1,$B$1)</f>
        <v>1245.9432999999999</v>
      </c>
      <c r="I82" s="55">
        <f>_xll.EQNXTDZ($A$1,$B82,I$1,$B$1)</f>
        <v>1560.6427000000001</v>
      </c>
      <c r="J82" s="55">
        <f>_xll.EQNXTDZ($A$1,$B82,J$1,$B$1)</f>
        <v>4355.6706000000004</v>
      </c>
      <c r="K82" s="55">
        <f>_xll.EQNXTDZ($A$1,$B82,K$1,$B$1)</f>
        <v>4596.6661000000004</v>
      </c>
      <c r="L82" s="55">
        <f>_xll.EQNXTDZ($A$1,$B82,L$1,$B$1)</f>
        <v>4140.9345000000003</v>
      </c>
      <c r="M82" s="55">
        <f>_xll.EQNXTDZ($A$1,$B82,M$1,$B$1)</f>
        <v>3386.6507000000001</v>
      </c>
      <c r="N82" s="55">
        <f>_xll.EQNXTDZ($A$1,$B82,N$1,$B$1)</f>
        <v>3390.9222</v>
      </c>
      <c r="O82" s="55">
        <f>_xll.EQNXTDZ($A$1,$B82,O$1,$B$1)</f>
        <v>3609.1984000000002</v>
      </c>
      <c r="P82" s="55">
        <f>_xll.EQNXTDZ($A$1,$B82,P$1,$B$1)</f>
        <v>3856.7337000000002</v>
      </c>
      <c r="Q82" s="55">
        <f>_xll.EQNXTDZ($A$1,$B82,Q$1,$B$1)</f>
        <v>3611.14</v>
      </c>
      <c r="R82" s="55">
        <f>_xll.EQNXTDZ($A$1,$B82,R$1,$B$1)</f>
        <v>3742.52</v>
      </c>
      <c r="S82" s="55">
        <f>_xll.EQNXTDZ($A$1,$B82,S$1,$B$1)</f>
        <v>3302.11</v>
      </c>
      <c r="T82" s="55">
        <f>_xll.EQNXTDZ($A$1,$B82,T$1,$B$1)</f>
        <v>4497.1499999999996</v>
      </c>
      <c r="U82" s="55">
        <f>_xll.EQNXTDZ($A$1,$B82,U$1,$B$1)</f>
        <v>4510.8</v>
      </c>
      <c r="V82" s="55">
        <f>_xll.EQNXTDZ($A$1,$B82,V$1,$B$1)</f>
        <v>5682.06</v>
      </c>
      <c r="W82" s="55">
        <f>_xll.EQNXTDZ($A$1,$B82,W$1,$B$1)</f>
        <v>7048.63</v>
      </c>
      <c r="X82" s="55">
        <f>_xll.EQNXTDZ($A$1,$B82,X$1,$B$1)</f>
        <v>7135.68</v>
      </c>
      <c r="Y82" s="55">
        <f>_xll.EQNXTDZ($A$1,$B82,Y$1,$B$1)</f>
        <v>8308.58</v>
      </c>
      <c r="Z82" s="55">
        <f>_xll.EQNXTDZ($A$1,$B82,Z$1,$B$1)</f>
        <v>7426.63</v>
      </c>
      <c r="AA82" s="55">
        <f>_xll.EQNXTDZ($A$1,$B82,AA$1,$B$1)</f>
        <v>8969.65</v>
      </c>
      <c r="AB82" s="55">
        <f>_xll.EQNXTDZ($A$1,$B82,AB$1,$B$1)</f>
        <v>10317.09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33.8949</v>
      </c>
      <c r="E83" s="55">
        <f>_xll.EQNXTDZ($A$1,$B83,E$1,$B$1)</f>
        <v>92.109700000000004</v>
      </c>
      <c r="F83" s="55">
        <f>_xll.EQNXTDZ($A$1,$B83,F$1,$B$1)</f>
        <v>47.868400000000001</v>
      </c>
      <c r="G83" s="55">
        <f>_xll.EQNXTDZ($A$1,$B83,G$1,$B$1)</f>
        <v>53.804499999999997</v>
      </c>
      <c r="H83" s="55">
        <f>_xll.EQNXTDZ($A$1,$B83,H$1,$B$1)</f>
        <v>35.206200000000003</v>
      </c>
      <c r="I83" s="55">
        <f>_xll.EQNXTDZ($A$1,$B83,I$1,$B$1)</f>
        <v>25.667400000000001</v>
      </c>
      <c r="J83" s="55">
        <f>_xll.EQNXTDZ($A$1,$B83,J$1,$B$1)</f>
        <v>16.615600000000001</v>
      </c>
      <c r="K83" s="55">
        <f>_xll.EQNXTDZ($A$1,$B83,K$1,$B$1)</f>
        <v>7.6417000000000002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1338.5141000000001</v>
      </c>
      <c r="D84" s="55">
        <f>_xll.EQNXTDZ($A$1,$B84,D$1,$B$1)</f>
        <v>3688.0391</v>
      </c>
      <c r="E84" s="55">
        <f>_xll.EQNXTDZ($A$1,$B84,E$1,$B$1)</f>
        <v>3818.1037999999999</v>
      </c>
      <c r="F84" s="55">
        <f>_xll.EQNXTDZ($A$1,$B84,F$1,$B$1)</f>
        <v>3995.0909999999999</v>
      </c>
      <c r="G84" s="55">
        <f>_xll.EQNXTDZ($A$1,$B84,G$1,$B$1)</f>
        <v>4040.8040999999998</v>
      </c>
      <c r="H84" s="55">
        <f>_xll.EQNXTDZ($A$1,$B84,H$1,$B$1)</f>
        <v>4302.0326999999997</v>
      </c>
      <c r="I84" s="55">
        <f>_xll.EQNXTDZ($A$1,$B84,I$1,$B$1)</f>
        <v>8482.5236999999997</v>
      </c>
      <c r="J84" s="55">
        <f>_xll.EQNXTDZ($A$1,$B84,J$1,$B$1)</f>
        <v>8446.4732999999997</v>
      </c>
      <c r="K84" s="55">
        <f>_xll.EQNXTDZ($A$1,$B84,K$1,$B$1)</f>
        <v>8770.8297000000002</v>
      </c>
      <c r="L84" s="55">
        <f>_xll.EQNXTDZ($A$1,$B84,L$1,$B$1)</f>
        <v>8211.5910000000003</v>
      </c>
      <c r="M84" s="55">
        <f>_xll.EQNXTDZ($A$1,$B84,M$1,$B$1)</f>
        <v>7764.4645</v>
      </c>
      <c r="N84" s="55">
        <f>_xll.EQNXTDZ($A$1,$B84,N$1,$B$1)</f>
        <v>8278.8173999999999</v>
      </c>
      <c r="O84" s="55">
        <f>_xll.EQNXTDZ($A$1,$B84,O$1,$B$1)</f>
        <v>8793.8824999999997</v>
      </c>
      <c r="P84" s="55">
        <f>_xll.EQNXTDZ($A$1,$B84,P$1,$B$1)</f>
        <v>9911.4663</v>
      </c>
      <c r="Q84" s="55">
        <f>_xll.EQNXTDZ($A$1,$B84,Q$1,$B$1)</f>
        <v>10773.54</v>
      </c>
      <c r="R84" s="55">
        <f>_xll.EQNXTDZ($A$1,$B84,R$1,$B$1)</f>
        <v>9894.76</v>
      </c>
      <c r="S84" s="55">
        <f>_xll.EQNXTDZ($A$1,$B84,S$1,$B$1)</f>
        <v>9551.41</v>
      </c>
      <c r="T84" s="55">
        <f>_xll.EQNXTDZ($A$1,$B84,T$1,$B$1)</f>
        <v>10460.44</v>
      </c>
      <c r="U84" s="55">
        <f>_xll.EQNXTDZ($A$1,$B84,U$1,$B$1)</f>
        <v>10880.68</v>
      </c>
      <c r="V84" s="55">
        <f>_xll.EQNXTDZ($A$1,$B84,V$1,$B$1)</f>
        <v>18473.04</v>
      </c>
      <c r="W84" s="55">
        <f>_xll.EQNXTDZ($A$1,$B84,W$1,$B$1)</f>
        <v>20217.82</v>
      </c>
      <c r="X84" s="55">
        <f>_xll.EQNXTDZ($A$1,$B84,X$1,$B$1)</f>
        <v>21074.87</v>
      </c>
      <c r="Y84" s="55">
        <f>_xll.EQNXTDZ($A$1,$B84,Y$1,$B$1)</f>
        <v>22762.49</v>
      </c>
      <c r="Z84" s="55">
        <f>_xll.EQNXTDZ($A$1,$B84,Z$1,$B$1)</f>
        <v>27878.79</v>
      </c>
      <c r="AA84" s="55">
        <f>_xll.EQNXTDZ($A$1,$B84,AA$1,$B$1)</f>
        <v>31830.62</v>
      </c>
      <c r="AB84" s="55">
        <f>_xll.EQNXTDZ($A$1,$B84,AB$1,$B$1)</f>
        <v>34278.74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9.0966000000000005</v>
      </c>
      <c r="D85" s="55">
        <f>_xll.EQNXTDZ($A$1,$B85,D$1,$B$1)</f>
        <v>16.966799999999999</v>
      </c>
      <c r="E85" s="55">
        <f>_xll.EQNXTDZ($A$1,$B85,E$1,$B$1)</f>
        <v>29.870699999999999</v>
      </c>
      <c r="F85" s="55">
        <f>_xll.EQNXTDZ($A$1,$B85,F$1,$B$1)</f>
        <v>63.058399999999999</v>
      </c>
      <c r="G85" s="55">
        <f>_xll.EQNXTDZ($A$1,$B85,G$1,$B$1)</f>
        <v>813.0462</v>
      </c>
      <c r="H85" s="55">
        <f>_xll.EQNXTDZ($A$1,$B85,H$1,$B$1)</f>
        <v>52.233600000000003</v>
      </c>
      <c r="I85" s="55">
        <f>_xll.EQNXTDZ($A$1,$B85,I$1,$B$1)</f>
        <v>21.169799999999999</v>
      </c>
      <c r="J85" s="55">
        <f>_xll.EQNXTDZ($A$1,$B85,J$1,$B$1)</f>
        <v>33.7973</v>
      </c>
      <c r="K85" s="55">
        <f>_xll.EQNXTDZ($A$1,$B85,K$1,$B$1)</f>
        <v>33.398200000000003</v>
      </c>
      <c r="L85" s="55">
        <f>_xll.EQNXTDZ($A$1,$B85,L$1,$B$1)</f>
        <v>79.619699999999995</v>
      </c>
      <c r="M85" s="55">
        <f>_xll.EQNXTDZ($A$1,$B85,M$1,$B$1)</f>
        <v>89.021000000000001</v>
      </c>
      <c r="N85" s="55">
        <f>_xll.EQNXTDZ($A$1,$B85,N$1,$B$1)</f>
        <v>123.17019999999999</v>
      </c>
      <c r="O85" s="55">
        <f>_xll.EQNXTDZ($A$1,$B85,O$1,$B$1)</f>
        <v>61.060400000000001</v>
      </c>
      <c r="P85" s="55">
        <f>_xll.EQNXTDZ($A$1,$B85,P$1,$B$1)</f>
        <v>48.205199999999998</v>
      </c>
      <c r="Q85" s="55">
        <f>_xll.EQNXTDZ($A$1,$B85,Q$1,$B$1)</f>
        <v>57.32</v>
      </c>
      <c r="R85" s="55">
        <f>_xll.EQNXTDZ($A$1,$B85,R$1,$B$1)</f>
        <v>73.17</v>
      </c>
      <c r="S85" s="55">
        <f>_xll.EQNXTDZ($A$1,$B85,S$1,$B$1)</f>
        <v>40.229999999999997</v>
      </c>
      <c r="T85" s="55">
        <f>_xll.EQNXTDZ($A$1,$B85,T$1,$B$1)</f>
        <v>32.58</v>
      </c>
      <c r="U85" s="55">
        <f>_xll.EQNXTDZ($A$1,$B85,U$1,$B$1)</f>
        <v>35.409999999999997</v>
      </c>
      <c r="V85" s="55">
        <f>_xll.EQNXTDZ($A$1,$B85,V$1,$B$1)</f>
        <v>34.99</v>
      </c>
      <c r="W85" s="55">
        <f>_xll.EQNXTDZ($A$1,$B85,W$1,$B$1)</f>
        <v>31.49</v>
      </c>
      <c r="X85" s="55">
        <f>_xll.EQNXTDZ($A$1,$B85,X$1,$B$1)</f>
        <v>52.19</v>
      </c>
      <c r="Y85" s="55">
        <f>_xll.EQNXTDZ($A$1,$B85,Y$1,$B$1)</f>
        <v>55.86</v>
      </c>
      <c r="Z85" s="55">
        <f>_xll.EQNXTDZ($A$1,$B85,Z$1,$B$1)</f>
        <v>96.58</v>
      </c>
      <c r="AA85" s="55">
        <f>_xll.EQNXTDZ($A$1,$B85,AA$1,$B$1)</f>
        <v>567.84</v>
      </c>
      <c r="AB85" s="55">
        <f>_xll.EQNXTDZ($A$1,$B85,AB$1,$B$1)</f>
        <v>651.83000000000004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1717.9232999999999</v>
      </c>
      <c r="E86" s="55">
        <f>_xll.EQNXTDZ($A$1,$B86,E$1,$B$1)</f>
        <v>1886.7611999999999</v>
      </c>
      <c r="F86" s="55">
        <f>_xll.EQNXTDZ($A$1,$B86,F$1,$B$1)</f>
        <v>2011.9096999999999</v>
      </c>
      <c r="G86" s="55">
        <f>_xll.EQNXTDZ($A$1,$B86,G$1,$B$1)</f>
        <v>2044.9896000000001</v>
      </c>
      <c r="H86" s="55">
        <f>_xll.EQNXTDZ($A$1,$B86,H$1,$B$1)</f>
        <v>2067.8307</v>
      </c>
      <c r="I86" s="55">
        <f>_xll.EQNXTDZ($A$1,$B86,I$1,$B$1)</f>
        <v>5552.9462000000003</v>
      </c>
      <c r="J86" s="55">
        <f>_xll.EQNXTDZ($A$1,$B86,J$1,$B$1)</f>
        <v>2938.0724</v>
      </c>
      <c r="K86" s="55">
        <f>_xll.EQNXTDZ($A$1,$B86,K$1,$B$1)</f>
        <v>3027.3321999999998</v>
      </c>
      <c r="L86" s="55">
        <f>_xll.EQNXTDZ($A$1,$B86,L$1,$B$1)</f>
        <v>2928.8418000000001</v>
      </c>
      <c r="M86" s="55">
        <f>_xll.EQNXTDZ($A$1,$B86,M$1,$B$1)</f>
        <v>3038.0545000000002</v>
      </c>
      <c r="N86" s="55">
        <f>_xll.EQNXTDZ($A$1,$B86,N$1,$B$1)</f>
        <v>3468.7262000000001</v>
      </c>
      <c r="O86" s="55">
        <f>_xll.EQNXTDZ($A$1,$B86,O$1,$B$1)</f>
        <v>3598.1194</v>
      </c>
      <c r="P86" s="55">
        <f>_xll.EQNXTDZ($A$1,$B86,P$1,$B$1)</f>
        <v>4188.2439000000004</v>
      </c>
      <c r="Q86" s="55">
        <f>_xll.EQNXTDZ($A$1,$B86,Q$1,$B$1)</f>
        <v>3892.12</v>
      </c>
      <c r="R86" s="55">
        <f>_xll.EQNXTDZ($A$1,$B86,R$1,$B$1)</f>
        <v>3709.55</v>
      </c>
      <c r="S86" s="55">
        <f>_xll.EQNXTDZ($A$1,$B86,S$1,$B$1)</f>
        <v>3598.21</v>
      </c>
      <c r="T86" s="55">
        <f>_xll.EQNXTDZ($A$1,$B86,T$1,$B$1)</f>
        <v>3817.34</v>
      </c>
      <c r="U86" s="55">
        <f>_xll.EQNXTDZ($A$1,$B86,U$1,$B$1)</f>
        <v>3877.27</v>
      </c>
      <c r="V86" s="55">
        <f>_xll.EQNXTDZ($A$1,$B86,V$1,$B$1)</f>
        <v>7426.64</v>
      </c>
      <c r="W86" s="55">
        <f>_xll.EQNXTDZ($A$1,$B86,W$1,$B$1)</f>
        <v>7596.57</v>
      </c>
      <c r="X86" s="55">
        <f>_xll.EQNXTDZ($A$1,$B86,X$1,$B$1)</f>
        <v>7754.11</v>
      </c>
      <c r="Y86" s="55">
        <f>_xll.EQNXTDZ($A$1,$B86,Y$1,$B$1)</f>
        <v>8065.68</v>
      </c>
      <c r="Z86" s="55">
        <f>_xll.EQNXTDZ($A$1,$B86,Z$1,$B$1)</f>
        <v>10369.92</v>
      </c>
      <c r="AA86" s="55">
        <f>_xll.EQNXTDZ($A$1,$B86,AA$1,$B$1)</f>
        <v>11366</v>
      </c>
      <c r="AB86" s="55">
        <f>_xll.EQNXTDZ($A$1,$B86,AB$1,$B$1)</f>
        <v>11922.59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8.9513999999999996</v>
      </c>
      <c r="N87" s="55">
        <f>_xll.EQNXTDZ($A$1,$B87,N$1,$B$1)</f>
        <v>8.9513999999999996</v>
      </c>
      <c r="O87" s="55">
        <f>_xll.EQNXTDZ($A$1,$B87,O$1,$B$1)</f>
        <v>325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11.169</v>
      </c>
      <c r="N88" s="55">
        <f>_xll.EQNXTDZ($A$1,$B88,N$1,$B$1)</f>
        <v>18.391200000000001</v>
      </c>
      <c r="O88" s="55">
        <f>_xll.EQNXTDZ($A$1,$B88,O$1,$B$1)</f>
        <v>36.733400000000003</v>
      </c>
      <c r="P88" s="55">
        <f>_xll.EQNXTDZ($A$1,$B88,P$1,$B$1)</f>
        <v>21.7865</v>
      </c>
      <c r="Q88" s="55">
        <f>_xll.EQNXTDZ($A$1,$B88,Q$1,$B$1)</f>
        <v>42.43</v>
      </c>
      <c r="R88" s="55">
        <f>_xll.EQNXTDZ($A$1,$B88,R$1,$B$1)</f>
        <v>441.37</v>
      </c>
      <c r="S88" s="55">
        <f>_xll.EQNXTDZ($A$1,$B88,S$1,$B$1)</f>
        <v>16.23</v>
      </c>
      <c r="T88" s="55">
        <f>_xll.EQNXTDZ($A$1,$B88,T$1,$B$1)</f>
        <v>11.4</v>
      </c>
      <c r="U88" s="55">
        <f>_xll.EQNXTDZ($A$1,$B88,U$1,$B$1)</f>
        <v>24.2</v>
      </c>
      <c r="V88" s="55">
        <f>_xll.EQNXTDZ($A$1,$B88,V$1,$B$1)</f>
        <v>73.91</v>
      </c>
      <c r="W88" s="55">
        <f>_xll.EQNXTDZ($A$1,$B88,W$1,$B$1)</f>
        <v>486.04</v>
      </c>
      <c r="X88" s="55">
        <f>_xll.EQNXTDZ($A$1,$B88,X$1,$B$1)</f>
        <v>56.28</v>
      </c>
      <c r="Y88" s="55">
        <f>_xll.EQNXTDZ($A$1,$B88,Y$1,$B$1)</f>
        <v>64.59</v>
      </c>
      <c r="Z88" s="55">
        <f>_xll.EQNXTDZ($A$1,$B88,Z$1,$B$1)</f>
        <v>44.57</v>
      </c>
      <c r="AA88" s="55">
        <f>_xll.EQNXTDZ($A$1,$B88,AA$1,$B$1)</f>
        <v>42.49</v>
      </c>
      <c r="AB88" s="55">
        <f>_xll.EQNXTDZ($A$1,$B88,AB$1,$B$1)</f>
        <v>49.78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10.1813</v>
      </c>
      <c r="P89" s="55">
        <f>_xll.EQNXTDZ($A$1,$B89,P$1,$B$1)</f>
        <v>14.98</v>
      </c>
      <c r="Q89" s="55">
        <f>_xll.EQNXTDZ($A$1,$B89,Q$1,$B$1)</f>
        <v>15.63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0.31690000000000002</v>
      </c>
      <c r="O90" s="55">
        <f>_xll.EQNXTDZ($A$1,$B90,O$1,$B$1)</f>
        <v>2.8299999999999999E-2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1717.9232999999999</v>
      </c>
      <c r="E91" s="55">
        <f>_xll.EQNXTDZ($A$1,$B91,E$1,$B$1)</f>
        <v>1886.7611999999999</v>
      </c>
      <c r="F91" s="55">
        <f>_xll.EQNXTDZ($A$1,$B91,F$1,$B$1)</f>
        <v>2011.9096999999999</v>
      </c>
      <c r="G91" s="55">
        <f>_xll.EQNXTDZ($A$1,$B91,G$1,$B$1)</f>
        <v>2044.9896000000001</v>
      </c>
      <c r="H91" s="55">
        <f>_xll.EQNXTDZ($A$1,$B91,H$1,$B$1)</f>
        <v>2067.8307</v>
      </c>
      <c r="I91" s="55">
        <f>_xll.EQNXTDZ($A$1,$B91,I$1,$B$1)</f>
        <v>5556.2434999999996</v>
      </c>
      <c r="J91" s="55">
        <f>_xll.EQNXTDZ($A$1,$B91,J$1,$B$1)</f>
        <v>2945.6952000000001</v>
      </c>
      <c r="K91" s="55">
        <f>_xll.EQNXTDZ($A$1,$B91,K$1,$B$1)</f>
        <v>3042.748</v>
      </c>
      <c r="L91" s="55">
        <f>_xll.EQNXTDZ($A$1,$B91,L$1,$B$1)</f>
        <v>2947.6034</v>
      </c>
      <c r="M91" s="55">
        <f>_xll.EQNXTDZ($A$1,$B91,M$1,$B$1)</f>
        <v>3062.2707999999998</v>
      </c>
      <c r="N91" s="55">
        <f>_xll.EQNXTDZ($A$1,$B91,N$1,$B$1)</f>
        <v>3502.6095</v>
      </c>
      <c r="O91" s="55">
        <f>_xll.EQNXTDZ($A$1,$B91,O$1,$B$1)</f>
        <v>3640.9468999999999</v>
      </c>
      <c r="P91" s="55">
        <f>_xll.EQNXTDZ($A$1,$B91,P$1,$B$1)</f>
        <v>4243.0676999999996</v>
      </c>
      <c r="Q91" s="55">
        <f>_xll.EQNXTDZ($A$1,$B91,Q$1,$B$1)</f>
        <v>3892.12</v>
      </c>
      <c r="R91" s="55">
        <f>_xll.EQNXTDZ($A$1,$B91,R$1,$B$1)</f>
        <v>3709.55</v>
      </c>
      <c r="S91" s="55">
        <f>_xll.EQNXTDZ($A$1,$B91,S$1,$B$1)</f>
        <v>3948.2</v>
      </c>
      <c r="T91" s="55">
        <f>_xll.EQNXTDZ($A$1,$B91,T$1,$B$1)</f>
        <v>4176.51</v>
      </c>
      <c r="U91" s="55">
        <f>_xll.EQNXTDZ($A$1,$B91,U$1,$B$1)</f>
        <v>4244.57</v>
      </c>
      <c r="V91" s="55">
        <f>_xll.EQNXTDZ($A$1,$B91,V$1,$B$1)</f>
        <v>8033.39</v>
      </c>
      <c r="W91" s="55">
        <f>_xll.EQNXTDZ($A$1,$B91,W$1,$B$1)</f>
        <v>8015.2</v>
      </c>
      <c r="X91" s="55">
        <f>_xll.EQNXTDZ($A$1,$B91,X$1,$B$1)</f>
        <v>8180.73</v>
      </c>
      <c r="Y91" s="55">
        <f>_xll.EQNXTDZ($A$1,$B91,Y$1,$B$1)</f>
        <v>8511.51</v>
      </c>
      <c r="Z91" s="55">
        <f>_xll.EQNXTDZ($A$1,$B91,Z$1,$B$1)</f>
        <v>10823.53</v>
      </c>
      <c r="AA91" s="55">
        <f>_xll.EQNXTDZ($A$1,$B91,AA$1,$B$1)</f>
        <v>11832.53</v>
      </c>
      <c r="AB91" s="55">
        <f>_xll.EQNXTDZ($A$1,$B91,AB$1,$B$1)</f>
        <v>12462.23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-0.1065</v>
      </c>
      <c r="I92" s="55">
        <f>_xll.EQNXTDZ($A$1,$B92,I$1,$B$1)</f>
        <v>3.0181</v>
      </c>
      <c r="J92" s="55">
        <f>_xll.EQNXTDZ($A$1,$B92,J$1,$B$1)</f>
        <v>10.2111</v>
      </c>
      <c r="K92" s="55">
        <f>_xll.EQNXTDZ($A$1,$B92,K$1,$B$1)</f>
        <v>13.3207</v>
      </c>
      <c r="L92" s="55">
        <f>_xll.EQNXTDZ($A$1,$B92,L$1,$B$1)</f>
        <v>18.761600000000001</v>
      </c>
      <c r="M92" s="55">
        <f>_xll.EQNXTDZ($A$1,$B92,M$1,$B$1)</f>
        <v>24.2163</v>
      </c>
      <c r="N92" s="55">
        <f>_xll.EQNXTDZ($A$1,$B92,N$1,$B$1)</f>
        <v>33.883299999999998</v>
      </c>
      <c r="O92" s="55">
        <f>_xll.EQNXTDZ($A$1,$B92,O$1,$B$1)</f>
        <v>42.827500000000001</v>
      </c>
      <c r="P92" s="55">
        <f>_xll.EQNXTDZ($A$1,$B92,P$1,$B$1)</f>
        <v>54.823799999999999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349.99</v>
      </c>
      <c r="T92" s="55">
        <f>_xll.EQNXTDZ($A$1,$B92,T$1,$B$1)</f>
        <v>359.17</v>
      </c>
      <c r="U92" s="55">
        <f>_xll.EQNXTDZ($A$1,$B92,U$1,$B$1)</f>
        <v>367.3</v>
      </c>
      <c r="V92" s="55">
        <f>_xll.EQNXTDZ($A$1,$B92,V$1,$B$1)</f>
        <v>606.75</v>
      </c>
      <c r="W92" s="55">
        <f>_xll.EQNXTDZ($A$1,$B92,W$1,$B$1)</f>
        <v>418.63</v>
      </c>
      <c r="X92" s="55">
        <f>_xll.EQNXTDZ($A$1,$B92,X$1,$B$1)</f>
        <v>426.62</v>
      </c>
      <c r="Y92" s="55">
        <f>_xll.EQNXTDZ($A$1,$B92,Y$1,$B$1)</f>
        <v>445.83</v>
      </c>
      <c r="Z92" s="55">
        <f>_xll.EQNXTDZ($A$1,$B92,Z$1,$B$1)</f>
        <v>453.61</v>
      </c>
      <c r="AA92" s="55">
        <f>_xll.EQNXTDZ($A$1,$B92,AA$1,$B$1)</f>
        <v>466.53</v>
      </c>
      <c r="AB92" s="55">
        <f>_xll.EQNXTDZ($A$1,$B92,AB$1,$B$1)</f>
        <v>523.62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9.0966000000000005</v>
      </c>
      <c r="D93" s="55">
        <f>_xll.EQNXTDZ($A$1,$B93,D$1,$B$1)</f>
        <v>12.6967</v>
      </c>
      <c r="E93" s="55">
        <f>_xll.EQNXTDZ($A$1,$B93,E$1,$B$1)</f>
        <v>25.644200000000001</v>
      </c>
      <c r="F93" s="55">
        <f>_xll.EQNXTDZ($A$1,$B93,F$1,$B$1)</f>
        <v>18.223199999999999</v>
      </c>
      <c r="G93" s="55">
        <f>_xll.EQNXTDZ($A$1,$B93,G$1,$B$1)</f>
        <v>21.814699999999998</v>
      </c>
      <c r="H93" s="55">
        <f>_xll.EQNXTDZ($A$1,$B93,H$1,$B$1)</f>
        <v>12.059200000000001</v>
      </c>
      <c r="I93" s="55">
        <f>_xll.EQNXTDZ($A$1,$B93,I$1,$B$1)</f>
        <v>13.7468</v>
      </c>
      <c r="J93" s="55">
        <f>_xll.EQNXTDZ($A$1,$B93,J$1,$B$1)</f>
        <v>18.205400000000001</v>
      </c>
      <c r="K93" s="55">
        <f>_xll.EQNXTDZ($A$1,$B93,K$1,$B$1)</f>
        <v>27.914999999999999</v>
      </c>
      <c r="L93" s="55">
        <f>_xll.EQNXTDZ($A$1,$B93,L$1,$B$1)</f>
        <v>19.364599999999999</v>
      </c>
      <c r="M93" s="55">
        <f>_xll.EQNXTDZ($A$1,$B93,M$1,$B$1)</f>
        <v>27.7926</v>
      </c>
      <c r="N93" s="55">
        <f>_xll.EQNXTDZ($A$1,$B93,N$1,$B$1)</f>
        <v>46.105499999999999</v>
      </c>
      <c r="O93" s="55">
        <f>_xll.EQNXTDZ($A$1,$B93,O$1,$B$1)</f>
        <v>52.9617</v>
      </c>
      <c r="P93" s="55">
        <f>_xll.EQNXTDZ($A$1,$B93,P$1,$B$1)</f>
        <v>38.7849</v>
      </c>
      <c r="Q93" s="55">
        <f>_xll.EQNXTDZ($A$1,$B93,Q$1,$B$1)</f>
        <v>48.09</v>
      </c>
      <c r="R93" s="55">
        <f>_xll.EQNXTDZ($A$1,$B93,R$1,$B$1)</f>
        <v>63.47</v>
      </c>
      <c r="S93" s="55">
        <f>_xll.EQNXTDZ($A$1,$B93,S$1,$B$1)</f>
        <v>31.27</v>
      </c>
      <c r="T93" s="55">
        <f>_xll.EQNXTDZ($A$1,$B93,T$1,$B$1)</f>
        <v>32.58</v>
      </c>
      <c r="U93" s="55">
        <f>_xll.EQNXTDZ($A$1,$B93,U$1,$B$1)</f>
        <v>35.409999999999997</v>
      </c>
      <c r="V93" s="55">
        <f>_xll.EQNXTDZ($A$1,$B93,V$1,$B$1)</f>
        <v>34.99</v>
      </c>
      <c r="W93" s="55">
        <f>_xll.EQNXTDZ($A$1,$B93,W$1,$B$1)</f>
        <v>31.49</v>
      </c>
      <c r="X93" s="55">
        <f>_xll.EQNXTDZ($A$1,$B93,X$1,$B$1)</f>
        <v>52.19</v>
      </c>
      <c r="Y93" s="55">
        <f>_xll.EQNXTDZ($A$1,$B93,Y$1,$B$1)</f>
        <v>55.86</v>
      </c>
      <c r="Z93" s="55">
        <f>_xll.EQNXTDZ($A$1,$B93,Z$1,$B$1)</f>
        <v>96.58</v>
      </c>
      <c r="AA93" s="55">
        <f>_xll.EQNXTDZ($A$1,$B93,AA$1,$B$1)</f>
        <v>567.84</v>
      </c>
      <c r="AB93" s="55">
        <f>_xll.EQNXTDZ($A$1,$B93,AB$1,$B$1)</f>
        <v>651.83000000000004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4.2701000000000002</v>
      </c>
      <c r="E95" s="55">
        <f>_xll.EQNXTDZ($A$1,$B95,E$1,$B$1)</f>
        <v>4.2264999999999997</v>
      </c>
      <c r="F95" s="55">
        <f>_xll.EQNXTDZ($A$1,$B95,F$1,$B$1)</f>
        <v>39.176499999999997</v>
      </c>
      <c r="G95" s="55">
        <f>_xll.EQNXTDZ($A$1,$B95,G$1,$B$1)</f>
        <v>38.9315</v>
      </c>
      <c r="H95" s="55">
        <f>_xll.EQNXTDZ($A$1,$B95,H$1,$B$1)</f>
        <v>39.0749</v>
      </c>
      <c r="I95" s="55">
        <f>_xll.EQNXTDZ($A$1,$B95,I$1,$B$1)</f>
        <v>5.0773000000000001</v>
      </c>
      <c r="J95" s="55">
        <f>_xll.EQNXTDZ($A$1,$B95,J$1,$B$1)</f>
        <v>3.4146000000000001</v>
      </c>
      <c r="K95" s="55">
        <f>_xll.EQNXTDZ($A$1,$B95,K$1,$B$1)</f>
        <v>3.5268999999999999</v>
      </c>
      <c r="L95" s="55">
        <f>_xll.EQNXTDZ($A$1,$B95,L$1,$B$1)</f>
        <v>60.255099999999999</v>
      </c>
      <c r="M95" s="55">
        <f>_xll.EQNXTDZ($A$1,$B95,M$1,$B$1)</f>
        <v>59.854799999999997</v>
      </c>
      <c r="N95" s="55">
        <f>_xll.EQNXTDZ($A$1,$B95,N$1,$B$1)</f>
        <v>77.064700000000002</v>
      </c>
      <c r="O95" s="55">
        <f>_xll.EQNXTDZ($A$1,$B95,O$1,$B$1)</f>
        <v>8.0986999999999991</v>
      </c>
      <c r="P95" s="55">
        <f>_xll.EQNXTDZ($A$1,$B95,P$1,$B$1)</f>
        <v>9.4202999999999992</v>
      </c>
      <c r="Q95" s="55">
        <f>_xll.EQNXTDZ($A$1,$B95,Q$1,$B$1)</f>
        <v>9.23</v>
      </c>
      <c r="R95" s="55">
        <f>_xll.EQNXTDZ($A$1,$B95,R$1,$B$1)</f>
        <v>9.6999999999999993</v>
      </c>
      <c r="S95" s="55">
        <f>_xll.EQNXTDZ($A$1,$B95,S$1,$B$1)</f>
        <v>8.9600000000000009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5.6586999999999996</v>
      </c>
      <c r="G97" s="55">
        <f>_xll.EQNXTDZ($A$1,$B97,G$1,$B$1)</f>
        <v>752.3</v>
      </c>
      <c r="H97" s="55">
        <f>_xll.EQNXTDZ($A$1,$B97,H$1,$B$1)</f>
        <v>1.0994999999999999</v>
      </c>
      <c r="I97" s="55">
        <f>_xll.EQNXTDZ($A$1,$B97,I$1,$B$1)</f>
        <v>2.3456999999999999</v>
      </c>
      <c r="J97" s="55">
        <f>_xll.EQNXTDZ($A$1,$B97,J$1,$B$1)</f>
        <v>12.177300000000001</v>
      </c>
      <c r="K97" s="55">
        <f>_xll.EQNXTDZ($A$1,$B97,K$1,$B$1)</f>
        <v>1.9562999999999999</v>
      </c>
      <c r="L97" s="55">
        <f>_xll.EQNXTDZ($A$1,$B97,L$1,$B$1)</f>
        <v>0</v>
      </c>
      <c r="M97" s="55">
        <f>_xll.EQNXTDZ($A$1,$B97,M$1,$B$1)</f>
        <v>1.3735999999999999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56.219900000000003</v>
      </c>
      <c r="D104" s="55">
        <f>_xll.EQNXTDZ($A$1,$B104,D$1,$B$1)</f>
        <v>56.219900000000003</v>
      </c>
      <c r="E104" s="55">
        <f>_xll.EQNXTDZ($A$1,$B104,E$1,$B$1)</f>
        <v>56.219900000000003</v>
      </c>
      <c r="F104" s="55">
        <f>_xll.EQNXTDZ($A$1,$B104,F$1,$B$1)</f>
        <v>56.021700000000003</v>
      </c>
      <c r="G104" s="55">
        <f>_xll.EQNXTDZ($A$1,$B104,G$1,$B$1)</f>
        <v>56.219900000000003</v>
      </c>
      <c r="H104" s="55">
        <f>_xll.EQNXTDZ($A$1,$B104,H$1,$B$1)</f>
        <v>56.219900000000003</v>
      </c>
      <c r="I104" s="55">
        <f>_xll.EQNXTDZ($A$1,$B104,I$1,$B$1)</f>
        <v>59.029899999999998</v>
      </c>
      <c r="J104" s="55">
        <f>_xll.EQNXTDZ($A$1,$B104,J$1,$B$1)</f>
        <v>61.8399</v>
      </c>
      <c r="K104" s="55">
        <f>_xll.EQNXTDZ($A$1,$B104,K$1,$B$1)</f>
        <v>61.8399</v>
      </c>
      <c r="L104" s="55">
        <f>_xll.EQNXTDZ($A$1,$B104,L$1,$B$1)</f>
        <v>61.8399</v>
      </c>
      <c r="M104" s="55">
        <f>_xll.EQNXTDZ($A$1,$B104,M$1,$B$1)</f>
        <v>61.8399</v>
      </c>
      <c r="N104" s="55">
        <f>_xll.EQNXTDZ($A$1,$B104,N$1,$B$1)</f>
        <v>61.8399</v>
      </c>
      <c r="O104" s="55">
        <f>_xll.EQNXTDZ($A$1,$B104,O$1,$B$1)</f>
        <v>61.8399</v>
      </c>
      <c r="P104" s="55">
        <f>_xll.EQNXTDZ($A$1,$B104,P$1,$B$1)</f>
        <v>61.8399</v>
      </c>
      <c r="Q104" s="55">
        <f>_xll.EQNXTDZ($A$1,$B104,Q$1,$B$1)</f>
        <v>61.84</v>
      </c>
      <c r="R104" s="55">
        <f>_xll.EQNXTDZ($A$1,$B104,R$1,$B$1)</f>
        <v>63.11</v>
      </c>
      <c r="S104" s="55">
        <f>_xll.EQNXTDZ($A$1,$B104,S$1,$B$1)</f>
        <v>63.11</v>
      </c>
      <c r="T104" s="55">
        <f>_xll.EQNXTDZ($A$1,$B104,T$1,$B$1)</f>
        <v>63.11</v>
      </c>
      <c r="U104" s="55">
        <f>_xll.EQNXTDZ($A$1,$B104,U$1,$B$1)</f>
        <v>63.11</v>
      </c>
      <c r="V104" s="55">
        <f>_xll.EQNXTDZ($A$1,$B104,V$1,$B$1)</f>
        <v>92.16</v>
      </c>
      <c r="W104" s="55">
        <f>_xll.EQNXTDZ($A$1,$B104,W$1,$B$1)</f>
        <v>92.16</v>
      </c>
      <c r="X104" s="55">
        <f>_xll.EQNXTDZ($A$1,$B104,X$1,$B$1)</f>
        <v>92.16</v>
      </c>
      <c r="Y104" s="55">
        <f>_xll.EQNXTDZ($A$1,$B104,Y$1,$B$1)</f>
        <v>92.9</v>
      </c>
      <c r="Z104" s="55">
        <f>_xll.EQNXTDZ($A$1,$B104,Z$1,$B$1)</f>
        <v>95.28</v>
      </c>
      <c r="AA104" s="55">
        <f>_xll.EQNXTDZ($A$1,$B104,AA$1,$B$1)</f>
        <v>98.95</v>
      </c>
      <c r="AB104" s="55">
        <f>_xll.EQNXTDZ($A$1,$B104,AB$1,$B$1)</f>
        <v>98.96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</v>
      </c>
      <c r="N105" s="55">
        <f>_xll.EQNXTDZ($A$1,$B105,N$1,$B$1)</f>
        <v>1</v>
      </c>
      <c r="O105" s="55">
        <f>_xll.EQNXTDZ($A$1,$B105,O$1,$B$1)</f>
        <v>1</v>
      </c>
      <c r="P105" s="55">
        <f>_xll.EQNXTDZ($A$1,$B105,P$1,$B$1)</f>
        <v>1</v>
      </c>
      <c r="Q105" s="55">
        <f>_xll.EQNXTDZ($A$1,$B105,Q$1,$B$1)</f>
        <v>1</v>
      </c>
      <c r="R105" s="55">
        <f>_xll.EQNXTDZ($A$1,$B105,R$1,$B$1)</f>
        <v>1</v>
      </c>
      <c r="S105" s="55">
        <f>_xll.EQNXTDZ($A$1,$B105,S$1,$B$1)</f>
        <v>1</v>
      </c>
      <c r="T105" s="55">
        <f>_xll.EQNXTDZ($A$1,$B105,T$1,$B$1)</f>
        <v>1</v>
      </c>
      <c r="U105" s="55">
        <f>_xll.EQNXTDZ($A$1,$B105,U$1,$B$1)</f>
        <v>1</v>
      </c>
      <c r="V105" s="55">
        <f>_xll.EQNXTDZ($A$1,$B105,V$1,$B$1)</f>
        <v>1</v>
      </c>
      <c r="W105" s="55">
        <f>_xll.EQNXTDZ($A$1,$B105,W$1,$B$1)</f>
        <v>1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23.1077542900642</v>
      </c>
      <c r="D106" s="55">
        <f>_xll.EQNXTDZ($A$1,$B106,D$1,$B$1)</f>
        <v>16.736947913876399</v>
      </c>
      <c r="E106" s="55">
        <f>_xll.EQNXTDZ($A$1,$B106,E$1,$B$1)</f>
        <v>18.7568392377995</v>
      </c>
      <c r="F106" s="55">
        <f>_xll.EQNXTDZ($A$1,$B106,F$1,$B$1)</f>
        <v>32.693595511909599</v>
      </c>
      <c r="G106" s="55">
        <f>_xll.EQNXTDZ($A$1,$B106,G$1,$B$1)</f>
        <v>51.801076030879102</v>
      </c>
      <c r="H106" s="55">
        <f>_xll.EQNXTDZ($A$1,$B106,H$1,$B$1)</f>
        <v>85.7293239412747</v>
      </c>
      <c r="I106" s="55">
        <f>_xll.EQNXTDZ($A$1,$B106,I$1,$B$1)</f>
        <v>60.038676833577703</v>
      </c>
      <c r="J106" s="55">
        <f>_xll.EQNXTDZ($A$1,$B106,J$1,$B$1)</f>
        <v>81.422856375355494</v>
      </c>
      <c r="K106" s="55">
        <f>_xll.EQNXTDZ($A$1,$B106,K$1,$B$1)</f>
        <v>57.845934173866603</v>
      </c>
      <c r="L106" s="55">
        <f>_xll.EQNXTDZ($A$1,$B106,L$1,$B$1)</f>
        <v>96.757239164551706</v>
      </c>
      <c r="M106" s="55">
        <f>_xll.EQNXTDZ($A$1,$B106,M$1,$B$1)</f>
        <v>96.549817561606105</v>
      </c>
      <c r="N106" s="55">
        <f>_xll.EQNXTDZ($A$1,$B106,N$1,$B$1)</f>
        <v>110.674241000286</v>
      </c>
      <c r="O106" s="55">
        <f>_xll.EQNXTDZ($A$1,$B106,O$1,$B$1)</f>
        <v>126.42840560496801</v>
      </c>
      <c r="P106" s="55">
        <f>_xll.EQNXTDZ($A$1,$B106,P$1,$B$1)</f>
        <v>148.108901722382</v>
      </c>
      <c r="Q106" s="55">
        <f>_xll.EQNXTDZ($A$1,$B106,Q$1,$B$1)</f>
        <v>147.26933809141099</v>
      </c>
      <c r="R106" s="55">
        <f>_xll.EQNXTDZ($A$1,$B106,R$1,$B$1)</f>
        <v>119.514352173446</v>
      </c>
      <c r="S106" s="55">
        <f>_xll.EQNXTDZ($A$1,$B106,S$1,$B$1)</f>
        <v>148.40521829801901</v>
      </c>
      <c r="T106" s="55">
        <f>_xll.EQNXTDZ($A$1,$B106,T$1,$B$1)</f>
        <v>255.27672991096799</v>
      </c>
      <c r="U106" s="55">
        <f>_xll.EQNXTDZ($A$1,$B106,U$1,$B$1)</f>
        <v>200.65570780194699</v>
      </c>
      <c r="V106" s="55">
        <f>_xll.EQNXTDZ($A$1,$B106,V$1,$B$1)</f>
        <v>291.18042165894099</v>
      </c>
      <c r="W106" s="55">
        <f>_xll.EQNXTDZ($A$1,$B106,W$1,$B$1)</f>
        <v>630.66044514665396</v>
      </c>
      <c r="X106" s="55">
        <f>_xll.EQNXTDZ($A$1,$B106,X$1,$B$1)</f>
        <v>767.70686137860196</v>
      </c>
      <c r="Y106" s="55">
        <f>_xll.EQNXTDZ($A$1,$B106,Y$1,$B$1)</f>
        <v>701.33194843599404</v>
      </c>
      <c r="Z106" s="55">
        <f>_xll.EQNXTDZ($A$1,$B106,Z$1,$B$1)</f>
        <v>1081.9505898412599</v>
      </c>
      <c r="AA106" s="55">
        <f>_xll.EQNXTDZ($A$1,$B106,AA$1,$B$1)</f>
        <v>1001.75</v>
      </c>
      <c r="AB106" s="55">
        <f>_xll.EQNXTDZ($A$1,$B106,AB$1,$B$1)</f>
        <v>1014.45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40.4965986703412</v>
      </c>
      <c r="D107" s="55">
        <f>_xll.EQNXTDZ($A$1,$B107,D$1,$B$1)</f>
        <v>24.495503585962499</v>
      </c>
      <c r="E107" s="55">
        <f>_xll.EQNXTDZ($A$1,$B107,E$1,$B$1)</f>
        <v>21.473074514468699</v>
      </c>
      <c r="F107" s="55">
        <f>_xll.EQNXTDZ($A$1,$B107,F$1,$B$1)</f>
        <v>41.474443369942101</v>
      </c>
      <c r="G107" s="55">
        <f>_xll.EQNXTDZ($A$1,$B107,G$1,$B$1)</f>
        <v>55.984078356949702</v>
      </c>
      <c r="H107" s="55">
        <f>_xll.EQNXTDZ($A$1,$B107,H$1,$B$1)</f>
        <v>103.414484897188</v>
      </c>
      <c r="I107" s="55">
        <f>_xll.EQNXTDZ($A$1,$B107,I$1,$B$1)</f>
        <v>90.672872144812601</v>
      </c>
      <c r="J107" s="55">
        <f>_xll.EQNXTDZ($A$1,$B107,J$1,$B$1)</f>
        <v>100.155002565185</v>
      </c>
      <c r="K107" s="55">
        <f>_xll.EQNXTDZ($A$1,$B107,K$1,$B$1)</f>
        <v>94.920076395604497</v>
      </c>
      <c r="L107" s="55">
        <f>_xll.EQNXTDZ($A$1,$B107,L$1,$B$1)</f>
        <v>106.18010626979699</v>
      </c>
      <c r="M107" s="55">
        <f>_xll.EQNXTDZ($A$1,$B107,M$1,$B$1)</f>
        <v>136.94764404006801</v>
      </c>
      <c r="N107" s="55">
        <f>_xll.EQNXTDZ($A$1,$B107,N$1,$B$1)</f>
        <v>127.11981094812</v>
      </c>
      <c r="O107" s="55">
        <f>_xll.EQNXTDZ($A$1,$B107,O$1,$B$1)</f>
        <v>179.46907264392701</v>
      </c>
      <c r="P107" s="55">
        <f>_xll.EQNXTDZ($A$1,$B107,P$1,$B$1)</f>
        <v>168.110270577855</v>
      </c>
      <c r="Q107" s="55">
        <f>_xll.EQNXTDZ($A$1,$B107,Q$1,$B$1)</f>
        <v>174.974937913437</v>
      </c>
      <c r="R107" s="55">
        <f>_xll.EQNXTDZ($A$1,$B107,R$1,$B$1)</f>
        <v>161.39376153009101</v>
      </c>
      <c r="S107" s="55">
        <f>_xll.EQNXTDZ($A$1,$B107,S$1,$B$1)</f>
        <v>155.71436049705599</v>
      </c>
      <c r="T107" s="55">
        <f>_xll.EQNXTDZ($A$1,$B107,T$1,$B$1)</f>
        <v>324.76296689776001</v>
      </c>
      <c r="U107" s="55">
        <f>_xll.EQNXTDZ($A$1,$B107,U$1,$B$1)</f>
        <v>296.11903125288501</v>
      </c>
      <c r="V107" s="55">
        <f>_xll.EQNXTDZ($A$1,$B107,V$1,$B$1)</f>
        <v>402.94115676989497</v>
      </c>
      <c r="W107" s="55">
        <f>_xll.EQNXTDZ($A$1,$B107,W$1,$B$1)</f>
        <v>644.83425468127405</v>
      </c>
      <c r="X107" s="55">
        <f>_xll.EQNXTDZ($A$1,$B107,X$1,$B$1)</f>
        <v>878.08478580325095</v>
      </c>
      <c r="Y107" s="55">
        <f>_xll.EQNXTDZ($A$1,$B107,Y$1,$B$1)</f>
        <v>850.77427474874003</v>
      </c>
      <c r="Z107" s="55">
        <f>_xll.EQNXTDZ($A$1,$B107,Z$1,$B$1)</f>
        <v>1254.0117480942699</v>
      </c>
      <c r="AA107" s="55">
        <f>_xll.EQNXTDZ($A$1,$B107,AA$1,$B$1)</f>
        <v>1247.39401123839</v>
      </c>
      <c r="AB107" s="55">
        <f>_xll.EQNXTDZ($A$1,$B107,AB$1,$B$1)</f>
        <v>1220.7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16.539403530118602</v>
      </c>
      <c r="D108" s="55">
        <f>_xll.EQNXTDZ($A$1,$B108,D$1,$B$1)</f>
        <v>11.5069603538896</v>
      </c>
      <c r="E108" s="55">
        <f>_xll.EQNXTDZ($A$1,$B108,E$1,$B$1)</f>
        <v>14.3318450416256</v>
      </c>
      <c r="F108" s="55">
        <f>_xll.EQNXTDZ($A$1,$B108,F$1,$B$1)</f>
        <v>18.667944265108499</v>
      </c>
      <c r="G108" s="55">
        <f>_xll.EQNXTDZ($A$1,$B108,G$1,$B$1)</f>
        <v>28.150074685481002</v>
      </c>
      <c r="H108" s="55">
        <f>_xll.EQNXTDZ($A$1,$B108,H$1,$B$1)</f>
        <v>49.386095939440402</v>
      </c>
      <c r="I108" s="55">
        <f>_xll.EQNXTDZ($A$1,$B108,I$1,$B$1)</f>
        <v>55.1395761163853</v>
      </c>
      <c r="J108" s="55">
        <f>_xll.EQNXTDZ($A$1,$B108,J$1,$B$1)</f>
        <v>57.8903816602121</v>
      </c>
      <c r="K108" s="55">
        <f>_xll.EQNXTDZ($A$1,$B108,K$1,$B$1)</f>
        <v>42.4720425079188</v>
      </c>
      <c r="L108" s="55">
        <f>_xll.EQNXTDZ($A$1,$B108,L$1,$B$1)</f>
        <v>56.818703378326198</v>
      </c>
      <c r="M108" s="55">
        <f>_xll.EQNXTDZ($A$1,$B108,M$1,$B$1)</f>
        <v>84.104521384867098</v>
      </c>
      <c r="N108" s="55">
        <f>_xll.EQNXTDZ($A$1,$B108,N$1,$B$1)</f>
        <v>79.0177535031047</v>
      </c>
      <c r="O108" s="55">
        <f>_xll.EQNXTDZ($A$1,$B108,O$1,$B$1)</f>
        <v>98.772191878880903</v>
      </c>
      <c r="P108" s="55">
        <f>_xll.EQNXTDZ($A$1,$B108,P$1,$B$1)</f>
        <v>124.45296176738999</v>
      </c>
      <c r="Q108" s="55">
        <f>_xll.EQNXTDZ($A$1,$B108,Q$1,$B$1)</f>
        <v>135.71299164158199</v>
      </c>
      <c r="R108" s="55">
        <f>_xll.EQNXTDZ($A$1,$B108,R$1,$B$1)</f>
        <v>98.870964070759797</v>
      </c>
      <c r="S108" s="55">
        <f>_xll.EQNXTDZ($A$1,$B108,S$1,$B$1)</f>
        <v>113.094159701319</v>
      </c>
      <c r="T108" s="55">
        <f>_xll.EQNXTDZ($A$1,$B108,T$1,$B$1)</f>
        <v>138.77492958982799</v>
      </c>
      <c r="U108" s="55">
        <f>_xll.EQNXTDZ($A$1,$B108,U$1,$B$1)</f>
        <v>175.32064058501399</v>
      </c>
      <c r="V108" s="55">
        <f>_xll.EQNXTDZ($A$1,$B108,V$1,$B$1)</f>
        <v>192.60577416381801</v>
      </c>
      <c r="W108" s="55">
        <f>_xll.EQNXTDZ($A$1,$B108,W$1,$B$1)</f>
        <v>260.75858656024599</v>
      </c>
      <c r="X108" s="55">
        <f>_xll.EQNXTDZ($A$1,$B108,X$1,$B$1)</f>
        <v>606.70818861602595</v>
      </c>
      <c r="Y108" s="55">
        <f>_xll.EQNXTDZ($A$1,$B108,Y$1,$B$1)</f>
        <v>676.58951437033397</v>
      </c>
      <c r="Z108" s="55">
        <f>_xll.EQNXTDZ($A$1,$B108,Z$1,$B$1)</f>
        <v>687.94831643640498</v>
      </c>
      <c r="AA108" s="55">
        <f>_xll.EQNXTDZ($A$1,$B108,AA$1,$B$1)</f>
        <v>884</v>
      </c>
      <c r="AB108" s="55">
        <f>_xll.EQNXTDZ($A$1,$B108,AB$1,$B$1)</f>
        <v>989.1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1315.2645605</v>
      </c>
      <c r="D109" s="55">
        <f>_xll.EQNXTDZ($A$1,$B109,D$1,$B$1)</f>
        <v>952.64620549999995</v>
      </c>
      <c r="E109" s="55">
        <f>_xll.EQNXTDZ($A$1,$B109,E$1,$B$1)</f>
        <v>1067.6159009999999</v>
      </c>
      <c r="F109" s="55">
        <f>_xll.EQNXTDZ($A$1,$B109,F$1,$B$1)</f>
        <v>1854.31827</v>
      </c>
      <c r="G109" s="55">
        <f>_xll.EQNXTDZ($A$1,$B109,G$1,$B$1)</f>
        <v>2948.4526555000002</v>
      </c>
      <c r="H109" s="55">
        <f>_xll.EQNXTDZ($A$1,$B109,H$1,$B$1)</f>
        <v>4879.6062204999998</v>
      </c>
      <c r="I109" s="55">
        <f>_xll.EQNXTDZ($A$1,$B109,I$1,$B$1)</f>
        <v>3588.1324715000001</v>
      </c>
      <c r="J109" s="55">
        <f>_xll.EQNXTDZ($A$1,$B109,J$1,$B$1)</f>
        <v>5097.7721565000002</v>
      </c>
      <c r="K109" s="55">
        <f>_xll.EQNXTDZ($A$1,$B109,K$1,$B$1)</f>
        <v>3621.6537435</v>
      </c>
      <c r="L109" s="55">
        <f>_xll.EQNXTDZ($A$1,$B109,L$1,$B$1)</f>
        <v>6057.8366040000001</v>
      </c>
      <c r="M109" s="55">
        <f>_xll.EQNXTDZ($A$1,$B109,M$1,$B$1)</f>
        <v>6044.8502250000001</v>
      </c>
      <c r="N109" s="55">
        <f>_xll.EQNXTDZ($A$1,$B109,N$1,$B$1)</f>
        <v>6929.1607949999998</v>
      </c>
      <c r="O109" s="55">
        <f>_xll.EQNXTDZ($A$1,$B109,O$1,$B$1)</f>
        <v>7915.5072</v>
      </c>
      <c r="P109" s="55">
        <f>_xll.EQNXTDZ($A$1,$B109,P$1,$B$1)</f>
        <v>9272.8930049999999</v>
      </c>
      <c r="Q109" s="55">
        <f>_xll.EQNXTDZ($A$1,$B109,Q$1,$B$1)</f>
        <v>9220.3439999999991</v>
      </c>
      <c r="R109" s="55">
        <f>_xll.EQNXTDZ($A$1,$B109,R$1,$B$1)</f>
        <v>7636.31</v>
      </c>
      <c r="S109" s="55">
        <f>_xll.EQNXTDZ($A$1,$B109,S$1,$B$1)</f>
        <v>9482.2775000000001</v>
      </c>
      <c r="T109" s="55">
        <f>_xll.EQNXTDZ($A$1,$B109,T$1,$B$1)</f>
        <v>16310.779500000001</v>
      </c>
      <c r="U109" s="55">
        <f>_xll.EQNXTDZ($A$1,$B109,U$1,$B$1)</f>
        <v>12820.7965</v>
      </c>
      <c r="V109" s="55">
        <f>_xll.EQNXTDZ($A$1,$B109,V$1,$B$1)</f>
        <v>27168.768</v>
      </c>
      <c r="W109" s="55">
        <f>_xll.EQNXTDZ($A$1,$B109,W$1,$B$1)</f>
        <v>58844.160000000003</v>
      </c>
      <c r="X109" s="55">
        <f>_xll.EQNXTDZ($A$1,$B109,X$1,$B$1)</f>
        <v>71631.360000000001</v>
      </c>
      <c r="Y109" s="55">
        <f>_xll.EQNXTDZ($A$1,$B109,Y$1,$B$1)</f>
        <v>65963.645000000004</v>
      </c>
      <c r="Z109" s="55">
        <f>_xll.EQNXTDZ($A$1,$B109,Z$1,$B$1)</f>
        <v>104369.712</v>
      </c>
      <c r="AA109" s="55">
        <f>_xll.EQNXTDZ($A$1,$B109,AA$1,$B$1)</f>
        <v>99123.162500000006</v>
      </c>
      <c r="AB109" s="55">
        <f>_xll.EQNXTDZ($A$1,$B109,AB$1,$B$1)</f>
        <v>100389.97199999999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0.88932806324110703</v>
      </c>
      <c r="D110" s="55">
        <f>_xll.EQNXTDZ($A$1,$B110,D$1,$B$1)</f>
        <v>0.69169960474308301</v>
      </c>
      <c r="E110" s="55">
        <f>_xll.EQNXTDZ($A$1,$B110,E$1,$B$1)</f>
        <v>0.69169960474308301</v>
      </c>
      <c r="F110" s="55">
        <f>_xll.EQNXTDZ($A$1,$B110,F$1,$B$1)</f>
        <v>0.83992094861660105</v>
      </c>
      <c r="G110" s="55">
        <f>_xll.EQNXTDZ($A$1,$B110,G$1,$B$1)</f>
        <v>0.98814229249011898</v>
      </c>
      <c r="H110" s="55">
        <f>_xll.EQNXTDZ($A$1,$B110,H$1,$B$1)</f>
        <v>1.1857707509881401</v>
      </c>
      <c r="I110" s="55">
        <f>_xll.EQNXTDZ($A$1,$B110,I$1,$B$1)</f>
        <v>1.48221343873518</v>
      </c>
      <c r="J110" s="55">
        <f>_xll.EQNXTDZ($A$1,$B110,J$1,$B$1)</f>
        <v>3.4584980237154199</v>
      </c>
      <c r="K110" s="55">
        <f>_xll.EQNXTDZ($A$1,$B110,K$1,$B$1)</f>
        <v>1.72924901185771</v>
      </c>
      <c r="L110" s="55">
        <f>_xll.EQNXTDZ($A$1,$B110,L$1,$B$1)</f>
        <v>1.97628458498024</v>
      </c>
      <c r="M110" s="55">
        <f>_xll.EQNXTDZ($A$1,$B110,M$1,$B$1)</f>
        <v>1.98019801980198</v>
      </c>
      <c r="N110" s="55">
        <f>_xll.EQNXTDZ($A$1,$B110,N$1,$B$1)</f>
        <v>2.1287128712871302</v>
      </c>
      <c r="O110" s="55">
        <f>_xll.EQNXTDZ($A$1,$B110,O$1,$B$1)</f>
        <v>2.1287128712871302</v>
      </c>
      <c r="P110" s="55">
        <f>_xll.EQNXTDZ($A$1,$B110,P$1,$B$1)</f>
        <v>2.2277227722772301</v>
      </c>
      <c r="Q110" s="55">
        <f>_xll.EQNXTDZ($A$1,$B110,Q$1,$B$1)</f>
        <v>2.2277227722772301</v>
      </c>
      <c r="R110" s="55">
        <f>_xll.EQNXTDZ($A$1,$B110,R$1,$B$1)</f>
        <v>2.2277227722772301</v>
      </c>
      <c r="S110" s="55">
        <f>_xll.EQNXTDZ($A$1,$B110,S$1,$B$1)</f>
        <v>2.3267326732673301</v>
      </c>
      <c r="T110" s="55">
        <f>_xll.EQNXTDZ($A$1,$B110,T$1,$B$1)</f>
        <v>2.4752475247524801</v>
      </c>
      <c r="U110" s="55">
        <f>_xll.EQNXTDZ($A$1,$B110,U$1,$B$1)</f>
        <v>2.4752475247524801</v>
      </c>
      <c r="V110" s="55">
        <f>_xll.EQNXTDZ($A$1,$B110,V$1,$B$1)</f>
        <v>2.6732673267326699</v>
      </c>
      <c r="W110" s="55">
        <f>_xll.EQNXTDZ($A$1,$B110,W$1,$B$1)</f>
        <v>4.0099009900990099</v>
      </c>
      <c r="X110" s="55">
        <f>_xll.EQNXTDZ($A$1,$B110,X$1,$B$1)</f>
        <v>5.9900990099009901</v>
      </c>
      <c r="Y110" s="55">
        <f>_xll.EQNXTDZ($A$1,$B110,Y$1,$B$1)</f>
        <v>8.3663366336633693</v>
      </c>
      <c r="Z110" s="55">
        <f>_xll.EQNXTDZ($A$1,$B110,Z$1,$B$1)</f>
        <v>7.6732673267326703</v>
      </c>
      <c r="AA110" s="55">
        <f>_xll.EQNXTDZ($A$1,$B110,AA$1,$B$1)</f>
        <v>8.25</v>
      </c>
      <c r="AB110" s="55">
        <f>_xll.EQNXTDZ($A$1,$B110,AB$1,$B$1)</f>
        <v>10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29.99</v>
      </c>
      <c r="D112" s="56">
        <f>_xll.EQNXTDZ($A$1,$B112,D$5)</f>
        <v>29.56</v>
      </c>
      <c r="E112" s="56">
        <f>_xll.EQNXTDZ($A$1,$B112,E$5)</f>
        <v>29.48</v>
      </c>
      <c r="F112" s="56">
        <f>_xll.EQNXTDZ($A$1,$B112,F$5)</f>
        <v>29.12</v>
      </c>
      <c r="G112" s="56">
        <f>_xll.EQNXTDZ($A$1,$B112,G$5)</f>
        <v>28.94</v>
      </c>
      <c r="H112" s="56">
        <f>_xll.EQNXTDZ($A$1,$B112,H$5)</f>
        <v>28.6</v>
      </c>
      <c r="I112" s="56">
        <f>_xll.EQNXTDZ($A$1,$B112,I$5)</f>
        <v>32.340000000000003</v>
      </c>
      <c r="J112" s="56">
        <f>_xll.EQNXTDZ($A$1,$B112,J$5)</f>
        <v>35.31</v>
      </c>
      <c r="K112" s="56">
        <f>_xll.EQNXTDZ($A$1,$B112,K$5)</f>
        <v>35.32</v>
      </c>
      <c r="L112" s="56">
        <f>_xll.EQNXTDZ($A$1,$B112,L$5)</f>
        <v>35.36</v>
      </c>
      <c r="M112" s="56">
        <f>_xll.EQNXTDZ($A$1,$B112,M$5)</f>
        <v>35.229999999999997</v>
      </c>
      <c r="N112" s="56">
        <f>_xll.EQNXTDZ($A$1,$B112,N$5)</f>
        <v>35.200000000000003</v>
      </c>
      <c r="O112" s="56">
        <f>_xll.EQNXTDZ($A$1,$B112,O$5)</f>
        <v>35.200000000000003</v>
      </c>
      <c r="P112" s="56">
        <f>_xll.EQNXTDZ($A$1,$B112,P$5)</f>
        <v>35.1</v>
      </c>
      <c r="Q112" s="56">
        <f>_xll.EQNXTDZ($A$1,$B112,Q$5)</f>
        <v>35.1</v>
      </c>
      <c r="R112" s="56">
        <f>_xll.EQNXTDZ($A$1,$B112,R$5)</f>
        <v>35.729999999999997</v>
      </c>
      <c r="S112" s="56">
        <f>_xll.EQNXTDZ($A$1,$B112,S$5)</f>
        <v>35.72</v>
      </c>
      <c r="T112" s="56">
        <f>_xll.EQNXTDZ($A$1,$B112,T$5)</f>
        <v>35.51</v>
      </c>
      <c r="U112" s="56">
        <f>_xll.EQNXTDZ($A$1,$B112,U$5)</f>
        <v>34.450000000000003</v>
      </c>
      <c r="V112" s="56">
        <f>_xll.EQNXTDZ($A$1,$B112,V$5)</f>
        <v>34.44</v>
      </c>
      <c r="W112" s="56">
        <f>_xll.EQNXTDZ($A$1,$B112,W$5)</f>
        <v>34.71</v>
      </c>
      <c r="X112" s="56">
        <f>_xll.EQNXTDZ($A$1,$B112,X$5)</f>
        <v>34.72</v>
      </c>
      <c r="Y112" s="56">
        <f>_xll.EQNXTDZ($A$1,$B112,Y$5)</f>
        <v>34.44</v>
      </c>
      <c r="Z112" s="56">
        <f>_xll.EQNXTDZ($A$1,$B112,Z$5)</f>
        <v>33.549999999999997</v>
      </c>
      <c r="AA112" s="56">
        <f>_xll.EQNXTDZ($A$1,$B112,AA$5)</f>
        <v>33.840000000000003</v>
      </c>
      <c r="AB112" s="56">
        <f>_xll.EQNXTDZ($A$1,$B112,AB$5)</f>
        <v>33.83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43.5</v>
      </c>
      <c r="L113" s="56">
        <f>_xll.EQNXTDZ($A$1,$B113,L$5)</f>
        <v>34.299999999999997</v>
      </c>
      <c r="M113" s="56">
        <f>_xll.EQNXTDZ($A$1,$B113,M$5)</f>
        <v>32.130000000000003</v>
      </c>
      <c r="N113" s="56">
        <f>_xll.EQNXTDZ($A$1,$B113,N$5)</f>
        <v>18.739999999999998</v>
      </c>
      <c r="O113" s="56">
        <f>_xll.EQNXTDZ($A$1,$B113,O$5)</f>
        <v>18.739999999999998</v>
      </c>
      <c r="P113" s="56">
        <f>_xll.EQNXTDZ($A$1,$B113,P$5)</f>
        <v>5.3</v>
      </c>
      <c r="Q113" s="56">
        <f>_xll.EQNXTDZ($A$1,$B113,Q$5)</f>
        <v>5.3</v>
      </c>
      <c r="R113" s="56">
        <f>_xll.EQNXTDZ($A$1,$B113,R$5)</f>
        <v>5.3</v>
      </c>
      <c r="S113" s="56">
        <f>_xll.EQNXTDZ($A$1,$B113,S$5)</f>
        <v>5.3</v>
      </c>
      <c r="T113" s="56">
        <f>_xll.EQNXTDZ($A$1,$B113,T$5)</f>
        <v>5.29</v>
      </c>
      <c r="U113" s="56">
        <f>_xll.EQNXTDZ($A$1,$B113,U$5)</f>
        <v>3.99</v>
      </c>
      <c r="V113" s="56">
        <f>_xll.EQNXTDZ($A$1,$B113,V$5)</f>
        <v>2.73</v>
      </c>
      <c r="W113" s="56">
        <f>_xll.EQNXTDZ($A$1,$B113,W$5)</f>
        <v>1.2</v>
      </c>
      <c r="X113" s="56">
        <f>_xll.EQNXTDZ($A$1,$B113,X$5)</f>
        <v>1.2</v>
      </c>
      <c r="Y113" s="56">
        <f>_xll.EQNXTDZ($A$1,$B113,Y$5)</f>
        <v>1.2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100800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106.772848788638</v>
      </c>
      <c r="D6" cm="1">
        <f t="array" ref="D6">_xll.EQNXTDZ($A$1,$B6,D$1)</f>
        <v>115.56358287021899</v>
      </c>
      <c r="E6" cm="1">
        <f t="array" ref="E6">_xll.EQNXTDZ($A$1,$B6,E$1)</f>
        <v>125.144495296212</v>
      </c>
      <c r="F6" cm="1">
        <f t="array" ref="F6">_xll.EQNXTDZ($A$1,$B6,F$1)</f>
        <v>129.737406923105</v>
      </c>
      <c r="G6" cm="1">
        <f t="array" ref="G6">_xll.EQNXTDZ($A$1,$B6,G$1)</f>
        <v>141.98517126148701</v>
      </c>
      <c r="H6" cm="1">
        <f t="array" ref="H6">_xll.EQNXTDZ($A$1,$B6,H$1)</f>
        <v>150.03511314518201</v>
      </c>
      <c r="I6" cm="1">
        <f t="array" ref="I6">_xll.EQNXTDZ($A$1,$B6,I$1)</f>
        <v>164.752184809851</v>
      </c>
      <c r="J6" cm="1">
        <f t="array" ref="J6">_xll.EQNXTDZ($A$1,$B6,J$1)</f>
        <v>158.57891649413401</v>
      </c>
      <c r="K6" cm="1">
        <f t="array" ref="K6">_xll.EQNXTDZ($A$1,$B6,K$1)</f>
        <v>149.59063782645001</v>
      </c>
      <c r="L6" cm="1">
        <f t="array" ref="L6">_xll.EQNXTDZ($A$1,$B6,L$1)</f>
        <v>125.144495296212</v>
      </c>
      <c r="M6" cm="1">
        <f t="array" ref="M6">_xll.EQNXTDZ($A$1,$B6,M$1)</f>
        <v>126.92239657113799</v>
      </c>
      <c r="N6" cm="1">
        <f t="array" ref="N6">_xll.EQNXTDZ($A$1,$B6,N$1)</f>
        <v>144.99772619955701</v>
      </c>
      <c r="O6" cm="1">
        <f t="array" ref="O6">_xll.EQNXTDZ($A$1,$B6,O$1)</f>
        <v>144.108775562094</v>
      </c>
      <c r="P6" cm="1">
        <f t="array" ref="P6">_xll.EQNXTDZ($A$1,$B6,P$1)</f>
        <v>132.84873415422601</v>
      </c>
      <c r="Q6" cm="1">
        <f t="array" ref="Q6">_xll.EQNXTDZ($A$1,$B6,Q$1)</f>
        <v>159.02339181286601</v>
      </c>
      <c r="R6" cm="1">
        <f t="array" ref="R6">_xll.EQNXTDZ($A$1,$B6,R$1)</f>
        <v>137.68857651374799</v>
      </c>
      <c r="S6" cm="1">
        <f t="array" ref="S6">_xll.EQNXTDZ($A$1,$B6,S$1)</f>
        <v>142.33087428716701</v>
      </c>
      <c r="T6" cm="1">
        <f t="array" ref="T6">_xll.EQNXTDZ($A$1,$B6,T$1)</f>
        <v>161.98656060440999</v>
      </c>
      <c r="U6" cm="1">
        <f t="array" ref="U6">_xll.EQNXTDZ($A$1,$B6,U$1)</f>
        <v>147.36826123279201</v>
      </c>
      <c r="V6" cm="1">
        <f t="array" ref="V6">_xll.EQNXTDZ($A$1,$B6,V$1)</f>
        <v>158.87523337328801</v>
      </c>
      <c r="W6" cm="1">
        <f t="array" ref="W6">_xll.EQNXTDZ($A$1,$B6,W$1)</f>
        <v>139.12077476299399</v>
      </c>
      <c r="X6" cm="1">
        <f t="array" ref="X6">_xll.EQNXTDZ($A$1,$B6,X$1)</f>
        <v>138.23182412553101</v>
      </c>
      <c r="Y6" cm="1">
        <f t="array" ref="Y6">_xll.EQNXTDZ($A$1,$B6,Y$1)</f>
        <v>149.59063782645001</v>
      </c>
      <c r="Z6" cm="1">
        <f t="array" ref="Z6">_xll.EQNXTDZ($A$1,$B6,Z$1)</f>
        <v>147.61519196542099</v>
      </c>
      <c r="AA6" cm="1">
        <f t="array" ref="AA6">_xll.EQNXTDZ($A$1,$B6,AA$1)</f>
        <v>147.565805818895</v>
      </c>
      <c r="AB6" cm="1">
        <f t="array" ref="AB6">_xll.EQNXTDZ($A$1,$B6,AB$1)</f>
        <v>171.221770004722</v>
      </c>
      <c r="AC6" cm="1">
        <f t="array" ref="AC6">_xll.EQNXTDZ($A$1,$B6,AC$1)</f>
        <v>150.13388543823299</v>
      </c>
      <c r="AD6" cm="1">
        <f t="array" ref="AD6">_xll.EQNXTDZ($A$1,$B6,AD$1)</f>
        <v>149.24493480077001</v>
      </c>
      <c r="AE6" cm="1">
        <f t="array" ref="AE6">_xll.EQNXTDZ($A$1,$B6,AE$1)</f>
        <v>158.03566888235099</v>
      </c>
      <c r="AF6" cm="1">
        <f t="array" ref="AF6">_xll.EQNXTDZ($A$1,$B6,AF$1)</f>
        <v>159.02339181286601</v>
      </c>
      <c r="AG6" cm="1">
        <f t="array" ref="AG6">_xll.EQNXTDZ($A$1,$B6,AG$1)</f>
        <v>159.862956303803</v>
      </c>
      <c r="AH6" cm="1">
        <f t="array" ref="AH6">_xll.EQNXTDZ($A$1,$B6,AH$1)</f>
        <v>149.09677636119301</v>
      </c>
      <c r="AI6" cm="1">
        <f t="array" ref="AI6">_xll.EQNXTDZ($A$1,$B6,AI$1)</f>
        <v>155.96145072826999</v>
      </c>
      <c r="AJ6" cm="1">
        <f t="array" ref="AJ6">_xll.EQNXTDZ($A$1,$B6,AJ$1)</f>
        <v>153.59091569503499</v>
      </c>
      <c r="AK6" cm="1">
        <f t="array" ref="AK6">_xll.EQNXTDZ($A$1,$B6,AK$1)</f>
        <v>146.97317206058599</v>
      </c>
      <c r="AL6" cm="1">
        <f t="array" ref="AL6">_xll.EQNXTDZ($A$1,$B6,AL$1)</f>
        <v>141.63946823580699</v>
      </c>
      <c r="AM6" cm="1">
        <f t="array" ref="AM6">_xll.EQNXTDZ($A$1,$B6,AM$1)</f>
        <v>143.51614180378499</v>
      </c>
      <c r="AN6" cm="1">
        <f t="array" ref="AN6">_xll.EQNXTDZ($A$1,$B6,AN$1)</f>
        <v>130.87328829319699</v>
      </c>
      <c r="AO6" cm="1">
        <f t="array" ref="AO6">_xll.EQNXTDZ($A$1,$B6,AO$1)</f>
        <v>139.664022374778</v>
      </c>
      <c r="AP6" cm="1">
        <f t="array" ref="AP6">_xll.EQNXTDZ($A$1,$B6,AP$1)</f>
        <v>117.29209799861999</v>
      </c>
      <c r="AQ6" cm="1">
        <f t="array" ref="AQ6">_xll.EQNXTDZ($A$1,$B6,AQ$1)</f>
        <v>127.36687188987</v>
      </c>
      <c r="AR6" cm="1">
        <f t="array" ref="AR6">_xll.EQNXTDZ($A$1,$B6,AR$1)</f>
        <v>132.35487268896901</v>
      </c>
      <c r="AS6" cm="1">
        <f t="array" ref="AS6">_xll.EQNXTDZ($A$1,$B6,AS$1)</f>
        <v>136.355150557553</v>
      </c>
      <c r="AT6" cm="1">
        <f t="array" ref="AT6">_xll.EQNXTDZ($A$1,$B6,AT$1)</f>
        <v>144.256934001671</v>
      </c>
      <c r="AU6" cm="1">
        <f t="array" ref="AU6">_xll.EQNXTDZ($A$1,$B6,AU$1)</f>
        <v>125.243267589263</v>
      </c>
      <c r="AV6" cm="1">
        <f t="array" ref="AV6">_xll.EQNXTDZ($A$1,$B6,AV$1)</f>
        <v>102.920729359631</v>
      </c>
      <c r="AW6" cm="1">
        <f t="array" ref="AW6">_xll.EQNXTDZ($A$1,$B6,AW$1)</f>
        <v>120.502197522792</v>
      </c>
      <c r="AX6" cm="1">
        <f t="array" ref="AX6">_xll.EQNXTDZ($A$1,$B6,AX$1)</f>
        <v>117.884731756929</v>
      </c>
      <c r="AY6" cm="1">
        <f t="array" ref="AY6">_xll.EQNXTDZ($A$1,$B6,AY$1)</f>
        <v>116.74885038683701</v>
      </c>
      <c r="AZ6" cm="1">
        <f t="array" ref="AZ6">_xll.EQNXTDZ($A$1,$B6,AZ$1)</f>
        <v>130.379426827939</v>
      </c>
      <c r="BA6" cm="1">
        <f t="array" ref="BA6">_xll.EQNXTDZ($A$1,$B6,BA$1)</f>
        <v>141.244379063601</v>
      </c>
      <c r="BB6" cm="1">
        <f t="array" ref="BB6">_xll.EQNXTDZ($A$1,$B6,BB$1)</f>
        <v>138.52814100468601</v>
      </c>
      <c r="BC6" cm="1">
        <f t="array" ref="BC6">_xll.EQNXTDZ($A$1,$B6,BC$1)</f>
        <v>139.219547056046</v>
      </c>
      <c r="BD6" cm="1">
        <f t="array" ref="BD6">_xll.EQNXTDZ($A$1,$B6,BD$1)</f>
        <v>137.68857651374799</v>
      </c>
      <c r="BE6" cm="1">
        <f t="array" ref="BE6">_xll.EQNXTDZ($A$1,$B6,BE$1)</f>
        <v>123.119663288656</v>
      </c>
      <c r="BF6" cm="1">
        <f t="array" ref="BF6">_xll.EQNXTDZ($A$1,$B6,BF$1)</f>
        <v>121.292375867204</v>
      </c>
      <c r="BG6" cm="1">
        <f t="array" ref="BG6">_xll.EQNXTDZ($A$1,$B6,BG$1)</f>
        <v>127.465644182921</v>
      </c>
      <c r="BH6" cm="1">
        <f t="array" ref="BH6">_xll.EQNXTDZ($A$1,$B6,BH$1)</f>
        <v>136.79962587628501</v>
      </c>
      <c r="BI6" cm="1">
        <f t="array" ref="BI6">_xll.EQNXTDZ($A$1,$B6,BI$1)</f>
        <v>148.80045948203801</v>
      </c>
      <c r="BJ6" cm="1">
        <f t="array" ref="BJ6">_xll.EQNXTDZ($A$1,$B6,BJ$1)</f>
        <v>152.40564817841701</v>
      </c>
      <c r="BK6" cm="1">
        <f t="array" ref="BK6">_xll.EQNXTDZ($A$1,$B6,BK$1)</f>
        <v>146.52869674185499</v>
      </c>
      <c r="BL6" cm="1">
        <f t="array" ref="BL6">_xll.EQNXTDZ($A$1,$B6,BL$1)</f>
        <v>150.62774690349099</v>
      </c>
      <c r="BM6" cm="1">
        <f t="array" ref="BM6">_xll.EQNXTDZ($A$1,$B6,BM$1)</f>
        <v>168.900621118012</v>
      </c>
      <c r="BN6" cm="1">
        <f t="array" ref="BN6">_xll.EQNXTDZ($A$1,$B6,BN$1)</f>
        <v>195.81607097453801</v>
      </c>
      <c r="BO6" cm="1">
        <f t="array" ref="BO6">_xll.EQNXTDZ($A$1,$B6,BO$1)</f>
        <v>204.70557734917</v>
      </c>
      <c r="BP6" cm="1">
        <f t="array" ref="BP6">_xll.EQNXTDZ($A$1,$B6,BP$1)</f>
        <v>224.16371908030899</v>
      </c>
      <c r="BQ6" cm="1">
        <f t="array" ref="BQ6">_xll.EQNXTDZ($A$1,$B6,BQ$1)</f>
        <v>284.90867930696299</v>
      </c>
      <c r="BR6" cm="1">
        <f t="array" ref="BR6">_xll.EQNXTDZ($A$1,$B6,BR$1)</f>
        <v>313.84896117104398</v>
      </c>
      <c r="BS6" cm="1">
        <f t="array" ref="BS6">_xll.EQNXTDZ($A$1,$B6,BS$1)</f>
        <v>286.68658058188998</v>
      </c>
      <c r="BT6" cm="1">
        <f t="array" ref="BT6">_xll.EQNXTDZ($A$1,$B6,BT$1)</f>
        <v>271.62380589153997</v>
      </c>
      <c r="BU6" cm="1">
        <f t="array" ref="BU6">_xll.EQNXTDZ($A$1,$B6,BU$1)</f>
        <v>256.16594202898602</v>
      </c>
      <c r="BV6" cm="1">
        <f t="array" ref="BV6">_xll.EQNXTDZ($A$1,$B6,BV$1)</f>
        <v>293.74879953507002</v>
      </c>
      <c r="BW6" cm="1">
        <f t="array" ref="BW6">_xll.EQNXTDZ($A$1,$B6,BW$1)</f>
        <v>266.38887435981297</v>
      </c>
      <c r="BX6" cm="1">
        <f t="array" ref="BX6">_xll.EQNXTDZ($A$1,$B6,BX$1)</f>
        <v>267.672914169482</v>
      </c>
      <c r="BY6" cm="1">
        <f t="array" ref="BY6">_xll.EQNXTDZ($A$1,$B6,BY$1)</f>
        <v>245.64669281900399</v>
      </c>
      <c r="BZ6" cm="1">
        <f t="array" ref="BZ6">_xll.EQNXTDZ($A$1,$B6,BZ$1)</f>
        <v>233.102611601467</v>
      </c>
      <c r="CA6" cm="1">
        <f t="array" ref="CA6">_xll.EQNXTDZ($A$1,$B6,CA$1)</f>
        <v>231.670413352221</v>
      </c>
      <c r="CB6" cm="1">
        <f t="array" ref="CB6">_xll.EQNXTDZ($A$1,$B6,CB$1)</f>
        <v>215.32359885220299</v>
      </c>
      <c r="CC6" cm="1">
        <f t="array" ref="CC6">_xll.EQNXTDZ($A$1,$B6,CC$1)</f>
        <v>215.81746031745999</v>
      </c>
      <c r="CD6" cm="1">
        <f t="array" ref="CD6">_xll.EQNXTDZ($A$1,$B6,CD$1)</f>
        <v>217.24965856670701</v>
      </c>
      <c r="CE6" cm="1">
        <f t="array" ref="CE6">_xll.EQNXTDZ($A$1,$B6,CE$1)</f>
        <v>201.29793323889399</v>
      </c>
      <c r="CF6" cm="1">
        <f t="array" ref="CF6">_xll.EQNXTDZ($A$1,$B6,CF$1)</f>
        <v>191.61824851985</v>
      </c>
      <c r="CG6" cm="1">
        <f t="array" ref="CG6">_xll.EQNXTDZ($A$1,$B6,CG$1)</f>
        <v>202.03872543678</v>
      </c>
      <c r="CH6" cm="1">
        <f t="array" ref="CH6">_xll.EQNXTDZ($A$1,$B6,CH$1)</f>
        <v>205.54514184010799</v>
      </c>
      <c r="CI6" cm="1">
        <f t="array" ref="CI6">_xll.EQNXTDZ($A$1,$B6,CI$1)</f>
        <v>241.99211797609999</v>
      </c>
      <c r="CJ6" cm="1">
        <f t="array" ref="CJ6">_xll.EQNXTDZ($A$1,$B6,CJ$1)</f>
        <v>266.78396353201902</v>
      </c>
      <c r="CK6" cm="1">
        <f t="array" ref="CK6">_xll.EQNXTDZ($A$1,$B6,CK$1)</f>
        <v>248.906178489703</v>
      </c>
      <c r="CL6" cm="1">
        <f t="array" ref="CL6">_xll.EQNXTDZ($A$1,$B6,CL$1)</f>
        <v>273.59925175257001</v>
      </c>
      <c r="CM6" cm="1">
        <f t="array" ref="CM6">_xll.EQNXTDZ($A$1,$B6,CM$1)</f>
        <v>272.61152882205499</v>
      </c>
      <c r="CN6" cm="1">
        <f t="array" ref="CN6">_xll.EQNXTDZ($A$1,$B6,CN$1)</f>
        <v>312.91062438705501</v>
      </c>
      <c r="CO6" cm="1">
        <f t="array" ref="CO6">_xll.EQNXTDZ($A$1,$B6,CO$1)</f>
        <v>320.81240783117198</v>
      </c>
      <c r="CP6" cm="1">
        <f t="array" ref="CP6">_xll.EQNXTDZ($A$1,$B6,CP$1)</f>
        <v>317.40476372089603</v>
      </c>
      <c r="CQ6" cm="1">
        <f t="array" ref="CQ6">_xll.EQNXTDZ($A$1,$B6,CQ$1)</f>
        <v>378.24849624060101</v>
      </c>
      <c r="CR6" cm="1">
        <f t="array" ref="CR6">_xll.EQNXTDZ($A$1,$B6,CR$1)</f>
        <v>346.740134757183</v>
      </c>
      <c r="CS6" cm="1">
        <f t="array" ref="CS6">_xll.EQNXTDZ($A$1,$B6,CS$1)</f>
        <v>289.25466020122798</v>
      </c>
      <c r="CT6" cm="1">
        <f t="array" ref="CT6">_xll.EQNXTDZ($A$1,$B6,CT$1)</f>
        <v>335.82579637499498</v>
      </c>
      <c r="CU6" cm="1">
        <f t="array" ref="CU6">_xll.EQNXTDZ($A$1,$B6,CU$1)</f>
        <v>363.975899894664</v>
      </c>
      <c r="CV6" cm="1">
        <f t="array" ref="CV6">_xll.EQNXTDZ($A$1,$B6,CV$1)</f>
        <v>380.27332824815699</v>
      </c>
      <c r="CW6" cm="1">
        <f t="array" ref="CW6">_xll.EQNXTDZ($A$1,$B6,CW$1)</f>
        <v>423.68375104427702</v>
      </c>
      <c r="CX6" cm="1">
        <f t="array" ref="CX6">_xll.EQNXTDZ($A$1,$B6,CX$1)</f>
        <v>519.54226145072801</v>
      </c>
      <c r="CY6" cm="1">
        <f t="array" ref="CY6">_xll.EQNXTDZ($A$1,$B6,CY$1)</f>
        <v>502.30649631324701</v>
      </c>
      <c r="CZ6" cm="1">
        <f t="array" ref="CZ6">_xll.EQNXTDZ($A$1,$B6,CZ$1)</f>
        <v>487.93512767425801</v>
      </c>
      <c r="DA6" cm="1">
        <f t="array" ref="DA6">_xll.EQNXTDZ($A$1,$B6,DA$1)</f>
        <v>547.19850350514002</v>
      </c>
      <c r="DB6" cm="1">
        <f t="array" ref="DB6">_xll.EQNXTDZ($A$1,$B6,DB$1)</f>
        <v>585.71969779521305</v>
      </c>
      <c r="DC6" cm="1">
        <f t="array" ref="DC6">_xll.EQNXTDZ($A$1,$B6,DC$1)</f>
        <v>556.08800987977202</v>
      </c>
      <c r="DD6" cm="1">
        <f t="array" ref="DD6">_xll.EQNXTDZ($A$1,$B6,DD$1)</f>
        <v>607.350829973484</v>
      </c>
      <c r="DE6" cm="1">
        <f t="array" ref="DE6">_xll.EQNXTDZ($A$1,$B6,DE$1)</f>
        <v>633.13039845991796</v>
      </c>
      <c r="DF6" cm="1">
        <f t="array" ref="DF6">_xll.EQNXTDZ($A$1,$B6,DF$1)</f>
        <v>653.72442156114903</v>
      </c>
      <c r="DG6" cm="1">
        <f t="array" ref="DG6">_xll.EQNXTDZ($A$1,$B6,DG$1)</f>
        <v>657.62592713668198</v>
      </c>
      <c r="DH6" cm="1">
        <f t="array" ref="DH6">_xll.EQNXTDZ($A$1,$B6,DH$1)</f>
        <v>746.52099088300497</v>
      </c>
      <c r="DI6" cm="1">
        <f t="array" ref="DI6">_xll.EQNXTDZ($A$1,$B6,DI$1)</f>
        <v>753.63259598270997</v>
      </c>
      <c r="DJ6" cm="1">
        <f t="array" ref="DJ6">_xll.EQNXTDZ($A$1,$B6,DJ$1)</f>
        <v>860.40544477134904</v>
      </c>
      <c r="DK6" cm="1">
        <f t="array" ref="DK6">_xll.EQNXTDZ($A$1,$B6,DK$1)</f>
        <v>802.91997021539396</v>
      </c>
      <c r="DL6" cm="1">
        <f t="array" ref="DL6">_xll.EQNXTDZ($A$1,$B6,DL$1)</f>
        <v>811.41438741781997</v>
      </c>
      <c r="DM6" cm="1">
        <f t="array" ref="DM6">_xll.EQNXTDZ($A$1,$B6,DM$1)</f>
        <v>780.20234281355602</v>
      </c>
      <c r="DN6" cm="1">
        <f t="array" ref="DN6">_xll.EQNXTDZ($A$1,$B6,DN$1)</f>
        <v>737.829029094475</v>
      </c>
      <c r="DO6" cm="1">
        <f t="array" ref="DO6">_xll.EQNXTDZ($A$1,$B6,DO$1)</f>
        <v>723.01318513675506</v>
      </c>
      <c r="DP6" cm="1">
        <f t="array" ref="DP6">_xll.EQNXTDZ($A$1,$B6,DP$1)</f>
        <v>703.20934037993504</v>
      </c>
      <c r="DQ6" cm="1">
        <f t="array" ref="DQ6">_xll.EQNXTDZ($A$1,$B6,DQ$1)</f>
        <v>770.37449965493499</v>
      </c>
      <c r="DR6" cm="1">
        <f t="array" ref="DR6">_xll.EQNXTDZ($A$1,$B6,DR$1)</f>
        <v>813.19228869274605</v>
      </c>
      <c r="DS6" cm="1">
        <f t="array" ref="DS6">_xll.EQNXTDZ($A$1,$B6,DS$1)</f>
        <v>750.66942719116605</v>
      </c>
      <c r="DT6" cm="1">
        <f t="array" ref="DT6">_xll.EQNXTDZ($A$1,$B6,DT$1)</f>
        <v>691.40605136028501</v>
      </c>
      <c r="DU6" cm="1">
        <f t="array" ref="DU6">_xll.EQNXTDZ($A$1,$B6,DU$1)</f>
        <v>802.03101957793001</v>
      </c>
      <c r="DV6" cm="1">
        <f t="array" ref="DV6">_xll.EQNXTDZ($A$1,$B6,DV$1)</f>
        <v>799.709870691221</v>
      </c>
      <c r="DW6" cm="1">
        <f t="array" ref="DW6">_xll.EQNXTDZ($A$1,$B6,DW$1)</f>
        <v>792.99335476372096</v>
      </c>
      <c r="DX6" cm="1">
        <f t="array" ref="DX6">_xll.EQNXTDZ($A$1,$B6,DX$1)</f>
        <v>763.50982528785698</v>
      </c>
      <c r="DY6" cm="1">
        <f t="array" ref="DY6">_xll.EQNXTDZ($A$1,$B6,DY$1)</f>
        <v>811.80947659002595</v>
      </c>
      <c r="DZ6" cm="1">
        <f t="array" ref="DZ6">_xll.EQNXTDZ($A$1,$B6,DZ$1)</f>
        <v>760.44788420326199</v>
      </c>
      <c r="EA6" cm="1">
        <f t="array" ref="EA6">_xll.EQNXTDZ($A$1,$B6,EA$1)</f>
        <v>728.19873052195703</v>
      </c>
      <c r="EB6" cm="1">
        <f t="array" ref="EB6">_xll.EQNXTDZ($A$1,$B6,EB$1)</f>
        <v>704.19706331044995</v>
      </c>
      <c r="EC6" cm="1">
        <f t="array" ref="EC6">_xll.EQNXTDZ($A$1,$B6,EC$1)</f>
        <v>701.28328066543202</v>
      </c>
      <c r="ED6" cm="1">
        <f t="array" ref="ED6">_xll.EQNXTDZ($A$1,$B6,ED$1)</f>
        <v>758.52182448875806</v>
      </c>
      <c r="EE6" cm="1">
        <f t="array" ref="EE6">_xll.EQNXTDZ($A$1,$B6,EE$1)</f>
        <v>789.09184918818801</v>
      </c>
      <c r="EF6" cm="1">
        <f t="array" ref="EF6">_xll.EQNXTDZ($A$1,$B6,EF$1)</f>
        <v>856.30639460971304</v>
      </c>
      <c r="EG6" cm="1">
        <f t="array" ref="EG6">_xll.EQNXTDZ($A$1,$B6,EG$1)</f>
        <v>851.31839381061297</v>
      </c>
      <c r="EH6" cm="1">
        <f t="array" ref="EH6">_xll.EQNXTDZ($A$1,$B6,EH$1)</f>
        <v>822.77320111873905</v>
      </c>
      <c r="EI6" cm="1">
        <f t="array" ref="EI6">_xll.EQNXTDZ($A$1,$B6,EI$1)</f>
        <v>859.31894954778204</v>
      </c>
      <c r="EJ6" cm="1">
        <f t="array" ref="EJ6">_xll.EQNXTDZ($A$1,$B6,EJ$1)</f>
        <v>894.87697504631103</v>
      </c>
      <c r="EK6" cm="1">
        <f t="array" ref="EK6">_xll.EQNXTDZ($A$1,$B6,EK$1)</f>
        <v>934.28711997384801</v>
      </c>
      <c r="EL6" cm="1">
        <f t="array" ref="EL6">_xll.EQNXTDZ($A$1,$B6,EL$1)</f>
        <v>1080.4207275435001</v>
      </c>
      <c r="EM6" cm="1">
        <f t="array" ref="EM6">_xll.EQNXTDZ($A$1,$B6,EM$1)</f>
        <v>1104.27423631543</v>
      </c>
      <c r="EN6" cm="1">
        <f t="array" ref="EN6">_xll.EQNXTDZ($A$1,$B6,EN$1)</f>
        <v>1189.2184083396901</v>
      </c>
      <c r="EO6" cm="1">
        <f t="array" ref="EO6">_xll.EQNXTDZ($A$1,$B6,EO$1)</f>
        <v>1086.4952235661599</v>
      </c>
      <c r="EP6" cm="1">
        <f t="array" ref="EP6">_xll.EQNXTDZ($A$1,$B6,EP$1)</f>
        <v>1100.3233445933699</v>
      </c>
      <c r="EQ6" cm="1">
        <f t="array" ref="EQ6">_xll.EQNXTDZ($A$1,$B6,EQ$1)</f>
        <v>1063.1849624060201</v>
      </c>
      <c r="ER6" cm="1">
        <f t="array" ref="ER6">_xll.EQNXTDZ($A$1,$B6,ER$1)</f>
        <v>1076.7167665540701</v>
      </c>
      <c r="ES6" cm="1">
        <f t="array" ref="ES6">_xll.EQNXTDZ($A$1,$B6,ES$1)</f>
        <v>1188.95</v>
      </c>
      <c r="ET6" cm="1">
        <f t="array" ref="ET6">_xll.EQNXTDZ($A$1,$B6,ET$1)</f>
        <v>1200</v>
      </c>
      <c r="EU6" cm="1">
        <f t="array" ref="EU6">_xll.EQNXTDZ($A$1,$B6,EU$1)</f>
        <v>1196.95</v>
      </c>
      <c r="EV6" cm="1">
        <f t="array" ref="EV6">_xll.EQNXTDZ($A$1,$B6,EV$1)</f>
        <v>1002.55</v>
      </c>
      <c r="EW6" cm="1">
        <f t="array" ref="EW6">_xll.EQNXTDZ($A$1,$B6,EW$1)</f>
        <v>958.65</v>
      </c>
      <c r="EX6" cm="1">
        <f t="array" ref="EX6">_xll.EQNXTDZ($A$1,$B6,EX$1)</f>
        <v>913</v>
      </c>
      <c r="EY6" cm="1">
        <f t="array" ref="EY6">_xll.EQNXTDZ($A$1,$B6,EY$1)</f>
        <v>1026</v>
      </c>
      <c r="EZ6" cm="1">
        <f t="array" ref="EZ6">_xll.EQNXTDZ($A$1,$B6,EZ$1)</f>
        <v>963.7</v>
      </c>
      <c r="FA6" cm="1">
        <f t="array" ref="FA6">_xll.EQNXTDZ($A$1,$B6,FA$1)</f>
        <v>1003</v>
      </c>
      <c r="FB6" cm="1">
        <f t="array" ref="FB6">_xll.EQNXTDZ($A$1,$B6,FB$1)</f>
        <v>1157</v>
      </c>
      <c r="FC6" cm="1">
        <f t="array" ref="FC6">_xll.EQNXTDZ($A$1,$B6,FC$1)</f>
        <v>1100</v>
      </c>
      <c r="FD6" cm="1">
        <f t="array" ref="FD6">_xll.EQNXTDZ($A$1,$B6,FD$1)</f>
        <v>1098.9000000000001</v>
      </c>
      <c r="FE6" cm="1">
        <f t="array" ref="FE6">_xll.EQNXTDZ($A$1,$B6,FE$1)</f>
        <v>1067.0999999999999</v>
      </c>
      <c r="FF6" cm="1">
        <f t="array" ref="FF6">_xll.EQNXTDZ($A$1,$B6,FF$1)</f>
        <v>1059.0999999999999</v>
      </c>
      <c r="FG6" cm="1">
        <f t="array" ref="FG6">_xll.EQNXTDZ($A$1,$B6,FG$1)</f>
        <v>1129.0999999999999</v>
      </c>
      <c r="FH6" cm="1">
        <f t="array" ref="FH6">_xll.EQNXTDZ($A$1,$B6,FH$1)</f>
        <v>1164.8</v>
      </c>
      <c r="FI6" cm="1">
        <f t="array" ref="FI6">_xll.EQNXTDZ($A$1,$B6,FI$1)</f>
        <v>1172.4000000000001</v>
      </c>
      <c r="FJ6" cm="1">
        <f t="array" ref="FJ6">_xll.EQNXTDZ($A$1,$B6,FJ$1)</f>
        <v>1192</v>
      </c>
      <c r="FK6" cm="1">
        <f t="array" ref="FK6">_xll.EQNXTDZ($A$1,$B6,FK$1)</f>
        <v>1134</v>
      </c>
      <c r="FL6" cm="1">
        <f t="array" ref="FL6">_xll.EQNXTDZ($A$1,$B6,FL$1)</f>
        <v>1110.8</v>
      </c>
      <c r="FM6" cm="1">
        <f t="array" ref="FM6">_xll.EQNXTDZ($A$1,$B6,FM$1)</f>
        <v>1025</v>
      </c>
      <c r="FN6" cm="1">
        <f t="array" ref="FN6">_xll.EQNXTDZ($A$1,$B6,FN$1)</f>
        <v>1149.7</v>
      </c>
      <c r="FO6" cm="1">
        <f t="array" ref="FO6">_xll.EQNXTDZ($A$1,$B6,FO$1)</f>
        <v>1178.4000000000001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117.341484145145</v>
      </c>
      <c r="D7" s="116" cm="1">
        <f t="array" ref="D7">_xll.EQNXTDZ($A$1,$B7,D$1)</f>
        <v>126.428535105881</v>
      </c>
      <c r="E7" s="116" cm="1">
        <f t="array" ref="E7">_xll.EQNXTDZ($A$1,$B7,E$1)</f>
        <v>136.10821982492499</v>
      </c>
      <c r="F7" s="116" cm="1">
        <f t="array" ref="F7">_xll.EQNXTDZ($A$1,$B7,F$1)</f>
        <v>142.42964658021901</v>
      </c>
      <c r="G7" s="116" cm="1">
        <f t="array" ref="G7">_xll.EQNXTDZ($A$1,$B7,G$1)</f>
        <v>162.97428353492401</v>
      </c>
      <c r="H7" s="116" cm="1">
        <f t="array" ref="H7">_xll.EQNXTDZ($A$1,$B7,H$1)</f>
        <v>179.271711888417</v>
      </c>
      <c r="I7" s="116" cm="1">
        <f t="array" ref="I7">_xll.EQNXTDZ($A$1,$B7,I$1)</f>
        <v>172.11072064218499</v>
      </c>
      <c r="J7" s="116" cm="1">
        <f t="array" ref="J7">_xll.EQNXTDZ($A$1,$B7,J$1)</f>
        <v>166.826402963932</v>
      </c>
      <c r="K7" s="116" cm="1">
        <f t="array" ref="K7">_xll.EQNXTDZ($A$1,$B7,K$1)</f>
        <v>150.13388543823299</v>
      </c>
      <c r="L7" s="116" cm="1">
        <f t="array" ref="L7">_xll.EQNXTDZ($A$1,$B7,L$1)</f>
        <v>134.922952308307</v>
      </c>
      <c r="M7" s="116" cm="1">
        <f t="array" ref="M7">_xll.EQNXTDZ($A$1,$B7,M$1)</f>
        <v>146.18299371617499</v>
      </c>
      <c r="N7" s="116" cm="1">
        <f t="array" ref="N7">_xll.EQNXTDZ($A$1,$B7,N$1)</f>
        <v>151.516697540954</v>
      </c>
      <c r="O7" s="116" cm="1">
        <f t="array" ref="O7">_xll.EQNXTDZ($A$1,$B7,O$1)</f>
        <v>151.072222222222</v>
      </c>
      <c r="P7" s="116" cm="1">
        <f t="array" ref="P7">_xll.EQNXTDZ($A$1,$B7,P$1)</f>
        <v>161.591471432204</v>
      </c>
      <c r="Q7" s="116" cm="1">
        <f t="array" ref="Q7">_xll.EQNXTDZ($A$1,$B7,Q$1)</f>
        <v>162.18410519051301</v>
      </c>
      <c r="R7" s="116" cm="1">
        <f t="array" ref="R7">_xll.EQNXTDZ($A$1,$B7,R$1)</f>
        <v>151.96117285968501</v>
      </c>
      <c r="S7" s="116" cm="1">
        <f t="array" ref="S7">_xll.EQNXTDZ($A$1,$B7,S$1)</f>
        <v>166.332541498674</v>
      </c>
      <c r="T7" s="116" cm="1">
        <f t="array" ref="T7">_xll.EQNXTDZ($A$1,$B7,T$1)</f>
        <v>167.912898187498</v>
      </c>
      <c r="U7" s="116" cm="1">
        <f t="array" ref="U7">_xll.EQNXTDZ($A$1,$B7,U$1)</f>
        <v>164.06077875848999</v>
      </c>
      <c r="V7" s="116" cm="1">
        <f t="array" ref="V7">_xll.EQNXTDZ($A$1,$B7,V$1)</f>
        <v>160.653134648215</v>
      </c>
      <c r="W7" s="116" cm="1">
        <f t="array" ref="W7">_xll.EQNXTDZ($A$1,$B7,W$1)</f>
        <v>144.108775562094</v>
      </c>
      <c r="X7" s="116" cm="1">
        <f t="array" ref="X7">_xll.EQNXTDZ($A$1,$B7,X$1)</f>
        <v>150.82529148959401</v>
      </c>
      <c r="Y7" s="116" cm="1">
        <f t="array" ref="Y7">_xll.EQNXTDZ($A$1,$B7,Y$1)</f>
        <v>158.03566888235099</v>
      </c>
      <c r="Z7" s="116" cm="1">
        <f t="array" ref="Z7">_xll.EQNXTDZ($A$1,$B7,Z$1)</f>
        <v>160.998837673895</v>
      </c>
      <c r="AA7" s="116" cm="1">
        <f t="array" ref="AA7">_xll.EQNXTDZ($A$1,$B7,AA$1)</f>
        <v>174.97511714067801</v>
      </c>
      <c r="AB7" s="116" cm="1">
        <f t="array" ref="AB7">_xll.EQNXTDZ($A$1,$B7,AB$1)</f>
        <v>174.62941411499801</v>
      </c>
      <c r="AC7" s="116" cm="1">
        <f t="array" ref="AC7">_xll.EQNXTDZ($A$1,$B7,AC$1)</f>
        <v>158.430758054557</v>
      </c>
      <c r="AD7" s="116" cm="1">
        <f t="array" ref="AD7">_xll.EQNXTDZ($A$1,$B7,AD$1)</f>
        <v>170.77729468599</v>
      </c>
      <c r="AE7" s="116" cm="1">
        <f t="array" ref="AE7">_xll.EQNXTDZ($A$1,$B7,AE$1)</f>
        <v>161.88778831135801</v>
      </c>
      <c r="AF7" s="116" cm="1">
        <f t="array" ref="AF7">_xll.EQNXTDZ($A$1,$B7,AF$1)</f>
        <v>162.97428353492401</v>
      </c>
      <c r="AG7" s="116" cm="1">
        <f t="array" ref="AG7">_xll.EQNXTDZ($A$1,$B7,AG$1)</f>
        <v>163.86323417238799</v>
      </c>
      <c r="AH7" s="116" cm="1">
        <f t="array" ref="AH7">_xll.EQNXTDZ($A$1,$B7,AH$1)</f>
        <v>160.40620391558599</v>
      </c>
      <c r="AI7" s="116" cm="1">
        <f t="array" ref="AI7">_xll.EQNXTDZ($A$1,$B7,AI$1)</f>
        <v>165.69052159384</v>
      </c>
      <c r="AJ7" s="116" cm="1">
        <f t="array" ref="AJ7">_xll.EQNXTDZ($A$1,$B7,AJ$1)</f>
        <v>162.875511241873</v>
      </c>
      <c r="AK7" s="116" cm="1">
        <f t="array" ref="AK7">_xll.EQNXTDZ($A$1,$B7,AK$1)</f>
        <v>161.49269913915199</v>
      </c>
      <c r="AL7" s="116" cm="1">
        <f t="array" ref="AL7">_xll.EQNXTDZ($A$1,$B7,AL$1)</f>
        <v>148.60291489593499</v>
      </c>
      <c r="AM7" s="116" cm="1">
        <f t="array" ref="AM7">_xll.EQNXTDZ($A$1,$B7,AM$1)</f>
        <v>144.60263702735099</v>
      </c>
      <c r="AN7" s="116" cm="1">
        <f t="array" ref="AN7">_xll.EQNXTDZ($A$1,$B7,AN$1)</f>
        <v>141.04683447749801</v>
      </c>
      <c r="AO7" s="116" cm="1">
        <f t="array" ref="AO7">_xll.EQNXTDZ($A$1,$B7,AO$1)</f>
        <v>145.49158766481401</v>
      </c>
      <c r="AP7" s="116" cm="1">
        <f t="array" ref="AP7">_xll.EQNXTDZ($A$1,$B7,AP$1)</f>
        <v>127.81134720860101</v>
      </c>
      <c r="AQ7" s="116" cm="1">
        <f t="array" ref="AQ7">_xll.EQNXTDZ($A$1,$B7,AQ$1)</f>
        <v>140.157883840035</v>
      </c>
      <c r="AR7" s="116" cm="1">
        <f t="array" ref="AR7">_xll.EQNXTDZ($A$1,$B7,AR$1)</f>
        <v>136.700853583233</v>
      </c>
      <c r="AS7" s="116" cm="1">
        <f t="array" ref="AS7">_xll.EQNXTDZ($A$1,$B7,AS$1)</f>
        <v>146.18299371617499</v>
      </c>
      <c r="AT7" s="116" cm="1">
        <f t="array" ref="AT7">_xll.EQNXTDZ($A$1,$B7,AT$1)</f>
        <v>147.96089499110099</v>
      </c>
      <c r="AU7" s="116" cm="1">
        <f t="array" ref="AU7">_xll.EQNXTDZ($A$1,$B7,AU$1)</f>
        <v>126.724851985035</v>
      </c>
      <c r="AV7" s="116" cm="1">
        <f t="array" ref="AV7">_xll.EQNXTDZ($A$1,$B7,AV$1)</f>
        <v>123.465366314337</v>
      </c>
      <c r="AW7" s="116" cm="1">
        <f t="array" ref="AW7">_xll.EQNXTDZ($A$1,$B7,AW$1)</f>
        <v>122.67518796992501</v>
      </c>
      <c r="AX7" s="116" cm="1">
        <f t="array" ref="AX7">_xll.EQNXTDZ($A$1,$B7,AX$1)</f>
        <v>122.576415676873</v>
      </c>
      <c r="AY7" s="116" cm="1">
        <f t="array" ref="AY7">_xll.EQNXTDZ($A$1,$B7,AY$1)</f>
        <v>130.330040681414</v>
      </c>
      <c r="AZ7" s="116" cm="1">
        <f t="array" ref="AZ7">_xll.EQNXTDZ($A$1,$B7,AZ$1)</f>
        <v>142.92350804547601</v>
      </c>
      <c r="BA7" s="116" cm="1">
        <f t="array" ref="BA7">_xll.EQNXTDZ($A$1,$B7,BA$1)</f>
        <v>145.19527078566</v>
      </c>
      <c r="BB7" s="116" cm="1">
        <f t="array" ref="BB7">_xll.EQNXTDZ($A$1,$B7,BB$1)</f>
        <v>147.31887508626599</v>
      </c>
      <c r="BC7" s="116" cm="1">
        <f t="array" ref="BC7">_xll.EQNXTDZ($A$1,$B7,BC$1)</f>
        <v>155.763906142167</v>
      </c>
      <c r="BD7" s="116" cm="1">
        <f t="array" ref="BD7">_xll.EQNXTDZ($A$1,$B7,BD$1)</f>
        <v>139.022002469943</v>
      </c>
      <c r="BE7" s="116" cm="1">
        <f t="array" ref="BE7">_xll.EQNXTDZ($A$1,$B7,BE$1)</f>
        <v>125.292653735789</v>
      </c>
      <c r="BF7" s="116" cm="1">
        <f t="array" ref="BF7">_xll.EQNXTDZ($A$1,$B7,BF$1)</f>
        <v>130.379426827939</v>
      </c>
      <c r="BG7" s="116" cm="1">
        <f t="array" ref="BG7">_xll.EQNXTDZ($A$1,$B7,BG$1)</f>
        <v>145.343429225237</v>
      </c>
      <c r="BH7" s="116" cm="1">
        <f t="array" ref="BH7">_xll.EQNXTDZ($A$1,$B7,BH$1)</f>
        <v>152.010559006211</v>
      </c>
      <c r="BI7" s="116" cm="1">
        <f t="array" ref="BI7">_xll.EQNXTDZ($A$1,$B7,BI$1)</f>
        <v>154.677410918601</v>
      </c>
      <c r="BJ7" s="116" cm="1">
        <f t="array" ref="BJ7">_xll.EQNXTDZ($A$1,$B7,BJ$1)</f>
        <v>159.46786713159699</v>
      </c>
      <c r="BK7" s="116" cm="1">
        <f t="array" ref="BK7">_xll.EQNXTDZ($A$1,$B7,BK$1)</f>
        <v>160.75190694126599</v>
      </c>
      <c r="BL7" s="116" cm="1">
        <f t="array" ref="BL7">_xll.EQNXTDZ($A$1,$B7,BL$1)</f>
        <v>177.098721441284</v>
      </c>
      <c r="BM7" s="116" cm="1">
        <f t="array" ref="BM7">_xll.EQNXTDZ($A$1,$B7,BM$1)</f>
        <v>200.50775489448301</v>
      </c>
      <c r="BN7" s="116" cm="1">
        <f t="array" ref="BN7">_xll.EQNXTDZ($A$1,$B7,BN$1)</f>
        <v>217.496589299335</v>
      </c>
      <c r="BO7" s="116" cm="1">
        <f t="array" ref="BO7">_xll.EQNXTDZ($A$1,$B7,BO$1)</f>
        <v>227.423204751008</v>
      </c>
      <c r="BP7" s="116" cm="1">
        <f t="array" ref="BP7">_xll.EQNXTDZ($A$1,$B7,BP$1)</f>
        <v>288.61264029639301</v>
      </c>
      <c r="BQ7" s="116" cm="1">
        <f t="array" ref="BQ7">_xll.EQNXTDZ($A$1,$B7,BQ$1)</f>
        <v>314.095891903672</v>
      </c>
      <c r="BR7" s="116" cm="1">
        <f t="array" ref="BR7">_xll.EQNXTDZ($A$1,$B7,BR$1)</f>
        <v>324.71391340670499</v>
      </c>
      <c r="BS7" s="116" cm="1">
        <f t="array" ref="BS7">_xll.EQNXTDZ($A$1,$B7,BS$1)</f>
        <v>291.27949220878298</v>
      </c>
      <c r="BT7" s="116" cm="1">
        <f t="array" ref="BT7">_xll.EQNXTDZ($A$1,$B7,BT$1)</f>
        <v>280.90840143837897</v>
      </c>
      <c r="BU7" s="116" cm="1">
        <f t="array" ref="BU7">_xll.EQNXTDZ($A$1,$B7,BU$1)</f>
        <v>294.835294758636</v>
      </c>
      <c r="BV7" s="116" cm="1">
        <f t="array" ref="BV7">_xll.EQNXTDZ($A$1,$B7,BV$1)</f>
        <v>296.31687915440801</v>
      </c>
      <c r="BW7" s="116" cm="1">
        <f t="array" ref="BW7">_xll.EQNXTDZ($A$1,$B7,BW$1)</f>
        <v>277.55014347462901</v>
      </c>
      <c r="BX7" s="116" cm="1">
        <f t="array" ref="BX7">_xll.EQNXTDZ($A$1,$B7,BX$1)</f>
        <v>281.00717373142999</v>
      </c>
      <c r="BY7" s="116" cm="1">
        <f t="array" ref="BY7">_xll.EQNXTDZ($A$1,$B7,BY$1)</f>
        <v>251.81996113472101</v>
      </c>
      <c r="BZ7" s="116" cm="1">
        <f t="array" ref="BZ7">_xll.EQNXTDZ($A$1,$B7,BZ$1)</f>
        <v>240.559919726853</v>
      </c>
      <c r="CA7" s="116" cm="1">
        <f t="array" ref="CA7">_xll.EQNXTDZ($A$1,$B7,CA$1)</f>
        <v>237.843681667938</v>
      </c>
      <c r="CB7" s="116" cm="1">
        <f t="array" ref="CB7">_xll.EQNXTDZ($A$1,$B7,CB$1)</f>
        <v>222.73152083106299</v>
      </c>
      <c r="CC7" s="116" cm="1">
        <f t="array" ref="CC7">_xll.EQNXTDZ($A$1,$B7,CC$1)</f>
        <v>222.13888707275399</v>
      </c>
      <c r="CD7" s="116" cm="1">
        <f t="array" ref="CD7">_xll.EQNXTDZ($A$1,$B7,CD$1)</f>
        <v>218.33615379027299</v>
      </c>
      <c r="CE7" s="116" cm="1">
        <f t="array" ref="CE7">_xll.EQNXTDZ($A$1,$B7,CE$1)</f>
        <v>205.24882496095299</v>
      </c>
      <c r="CF7" s="116" cm="1">
        <f t="array" ref="CF7">_xll.EQNXTDZ($A$1,$B7,CF$1)</f>
        <v>209.19971668301201</v>
      </c>
      <c r="CG7" s="116" cm="1">
        <f t="array" ref="CG7">_xll.EQNXTDZ($A$1,$B7,CG$1)</f>
        <v>216.01500490356301</v>
      </c>
      <c r="CH7" s="116" cm="1">
        <f t="array" ref="CH7">_xll.EQNXTDZ($A$1,$B7,CH$1)</f>
        <v>243.226771639243</v>
      </c>
      <c r="CI7" s="116" cm="1">
        <f t="array" ref="CI7">_xll.EQNXTDZ($A$1,$B7,CI$1)</f>
        <v>273.994340924776</v>
      </c>
      <c r="CJ7" s="116" cm="1">
        <f t="array" ref="CJ7">_xll.EQNXTDZ($A$1,$B7,CJ$1)</f>
        <v>271.62380589153997</v>
      </c>
      <c r="CK7" s="116" cm="1">
        <f t="array" ref="CK7">_xll.EQNXTDZ($A$1,$B7,CK$1)</f>
        <v>278.53786640514301</v>
      </c>
      <c r="CL7" s="116" cm="1">
        <f t="array" ref="CL7">_xll.EQNXTDZ($A$1,$B7,CL$1)</f>
        <v>284.16788710907701</v>
      </c>
      <c r="CM7" s="116" cm="1">
        <f t="array" ref="CM7">_xll.EQNXTDZ($A$1,$B7,CM$1)</f>
        <v>315.87379317859899</v>
      </c>
      <c r="CN7" s="116" cm="1">
        <f t="array" ref="CN7">_xll.EQNXTDZ($A$1,$B7,CN$1)</f>
        <v>320.91118012422402</v>
      </c>
      <c r="CO7" s="116" cm="1">
        <f t="array" ref="CO7">_xll.EQNXTDZ($A$1,$B7,CO$1)</f>
        <v>325.99795321637401</v>
      </c>
      <c r="CP7" s="116" cm="1">
        <f t="array" ref="CP7">_xll.EQNXTDZ($A$1,$B7,CP$1)</f>
        <v>394.545924594094</v>
      </c>
      <c r="CQ7" s="116" cm="1">
        <f t="array" ref="CQ7">_xll.EQNXTDZ($A$1,$B7,CQ$1)</f>
        <v>402.99095564999499</v>
      </c>
      <c r="CR7" s="116" cm="1">
        <f t="array" ref="CR7">_xll.EQNXTDZ($A$1,$B7,CR$1)</f>
        <v>353.30849224510598</v>
      </c>
      <c r="CS7" s="116" cm="1">
        <f t="array" ref="CS7">_xll.EQNXTDZ($A$1,$B7,CS$1)</f>
        <v>356.96306708801001</v>
      </c>
      <c r="CT7" s="116" cm="1">
        <f t="array" ref="CT7">_xll.EQNXTDZ($A$1,$B7,CT$1)</f>
        <v>378.10033780102401</v>
      </c>
      <c r="CU7" s="116" cm="1">
        <f t="array" ref="CU7">_xll.EQNXTDZ($A$1,$B7,CU$1)</f>
        <v>390.05178526025202</v>
      </c>
      <c r="CV7" s="116" cm="1">
        <f t="array" ref="CV7">_xll.EQNXTDZ($A$1,$B7,CV$1)</f>
        <v>432.37571283280698</v>
      </c>
      <c r="CW7" s="116" cm="1">
        <f t="array" ref="CW7">_xll.EQNXTDZ($A$1,$B7,CW$1)</f>
        <v>554.50765319094796</v>
      </c>
      <c r="CX7" s="116" cm="1">
        <f t="array" ref="CX7">_xll.EQNXTDZ($A$1,$B7,CX$1)</f>
        <v>584.68258871817204</v>
      </c>
      <c r="CY7" s="116" cm="1">
        <f t="array" ref="CY7">_xll.EQNXTDZ($A$1,$B7,CY$1)</f>
        <v>507.19572481929498</v>
      </c>
      <c r="CZ7" s="116" cm="1">
        <f t="array" ref="CZ7">_xll.EQNXTDZ($A$1,$B7,CZ$1)</f>
        <v>538.60531400966204</v>
      </c>
      <c r="DA7" s="116" cm="1">
        <f t="array" ref="DA7">_xll.EQNXTDZ($A$1,$B7,DA$1)</f>
        <v>608.53609749010195</v>
      </c>
      <c r="DB7" s="116" cm="1">
        <f t="array" ref="DB7">_xll.EQNXTDZ($A$1,$B7,DB$1)</f>
        <v>627.10528858377802</v>
      </c>
      <c r="DC7" s="116" cm="1">
        <f t="array" ref="DC7">_xll.EQNXTDZ($A$1,$B7,DC$1)</f>
        <v>645.970796556609</v>
      </c>
      <c r="DD7" s="116" cm="1">
        <f t="array" ref="DD7">_xll.EQNXTDZ($A$1,$B7,DD$1)</f>
        <v>640.04445897352105</v>
      </c>
      <c r="DE7" s="116" cm="1">
        <f t="array" ref="DE7">_xll.EQNXTDZ($A$1,$B7,DE$1)</f>
        <v>689.43060549925497</v>
      </c>
      <c r="DF7" s="116" cm="1">
        <f t="array" ref="DF7">_xll.EQNXTDZ($A$1,$B7,DF$1)</f>
        <v>677.87424721223294</v>
      </c>
      <c r="DG7" s="116" cm="1">
        <f t="array" ref="DG7">_xll.EQNXTDZ($A$1,$B7,DG$1)</f>
        <v>762.42333006429101</v>
      </c>
      <c r="DH7" s="116" cm="1">
        <f t="array" ref="DH7">_xll.EQNXTDZ($A$1,$B7,DH$1)</f>
        <v>778.47382768515502</v>
      </c>
      <c r="DI7" s="116" cm="1">
        <f t="array" ref="DI7">_xll.EQNXTDZ($A$1,$B7,DI$1)</f>
        <v>857.04718680759902</v>
      </c>
      <c r="DJ7" s="116" cm="1">
        <f t="array" ref="DJ7">_xll.EQNXTDZ($A$1,$B7,DJ$1)</f>
        <v>878.08568522756195</v>
      </c>
      <c r="DK7" s="116" cm="1">
        <f t="array" ref="DK7">_xll.EQNXTDZ($A$1,$B7,DK$1)</f>
        <v>852.40488903417997</v>
      </c>
      <c r="DL7" s="116" cm="1">
        <f t="array" ref="DL7">_xll.EQNXTDZ($A$1,$B7,DL$1)</f>
        <v>847.46627438160601</v>
      </c>
      <c r="DM7" s="116" cm="1">
        <f t="array" ref="DM7">_xll.EQNXTDZ($A$1,$B7,DM$1)</f>
        <v>781.14067959754504</v>
      </c>
      <c r="DN7" s="116" cm="1">
        <f t="array" ref="DN7">_xll.EQNXTDZ($A$1,$B7,DN$1)</f>
        <v>767.46071700991604</v>
      </c>
      <c r="DO7" s="116" cm="1">
        <f t="array" ref="DO7">_xll.EQNXTDZ($A$1,$B7,DO$1)</f>
        <v>759.55893356579895</v>
      </c>
      <c r="DP7" s="116" cm="1">
        <f t="array" ref="DP7">_xll.EQNXTDZ($A$1,$B7,DP$1)</f>
        <v>773.14012386037598</v>
      </c>
      <c r="DQ7" s="116" cm="1">
        <f t="array" ref="DQ7">_xll.EQNXTDZ($A$1,$B7,DQ$1)</f>
        <v>826.57593440122002</v>
      </c>
      <c r="DR7" s="116" cm="1">
        <f t="array" ref="DR7">_xll.EQNXTDZ($A$1,$B7,DR$1)</f>
        <v>821.78547818822403</v>
      </c>
      <c r="DS7" s="116" cm="1">
        <f t="array" ref="DS7">_xll.EQNXTDZ($A$1,$B7,DS$1)</f>
        <v>770.91774726671702</v>
      </c>
      <c r="DT7" s="116" cm="1">
        <f t="array" ref="DT7">_xll.EQNXTDZ($A$1,$B7,DT$1)</f>
        <v>813.88369474410695</v>
      </c>
      <c r="DU7" s="116" cm="1">
        <f t="array" ref="DU7">_xll.EQNXTDZ($A$1,$B7,DU$1)</f>
        <v>815.85914060513596</v>
      </c>
      <c r="DV7" s="116" cm="1">
        <f t="array" ref="DV7">_xll.EQNXTDZ($A$1,$B7,DV$1)</f>
        <v>850.57760161272699</v>
      </c>
      <c r="DW7" s="116" cm="1">
        <f t="array" ref="DW7">_xll.EQNXTDZ($A$1,$B7,DW$1)</f>
        <v>794.91941447822501</v>
      </c>
      <c r="DX7" s="116" cm="1">
        <f t="array" ref="DX7">_xll.EQNXTDZ($A$1,$B7,DX$1)</f>
        <v>811.85886273655206</v>
      </c>
      <c r="DY7" s="116" cm="1">
        <f t="array" ref="DY7">_xll.EQNXTDZ($A$1,$B7,DY$1)</f>
        <v>811.80947659002595</v>
      </c>
      <c r="DZ7" s="116" cm="1">
        <f t="array" ref="DZ7">_xll.EQNXTDZ($A$1,$B7,DZ$1)</f>
        <v>771.41160873197498</v>
      </c>
      <c r="EA7" s="116" cm="1">
        <f t="array" ref="EA7">_xll.EQNXTDZ($A$1,$B7,EA$1)</f>
        <v>739.21184119719601</v>
      </c>
      <c r="EB7" s="116" cm="1">
        <f t="array" ref="EB7">_xll.EQNXTDZ($A$1,$B7,EB$1)</f>
        <v>714.321223348226</v>
      </c>
      <c r="EC7" s="116" cm="1">
        <f t="array" ref="EC7">_xll.EQNXTDZ($A$1,$B7,EC$1)</f>
        <v>755.60804184374001</v>
      </c>
      <c r="ED7" s="116" cm="1">
        <f t="array" ref="ED7">_xll.EQNXTDZ($A$1,$B7,ED$1)</f>
        <v>790.17834441175398</v>
      </c>
      <c r="EE7" s="116" cm="1">
        <f t="array" ref="EE7">_xll.EQNXTDZ($A$1,$B7,EE$1)</f>
        <v>866.43055464748795</v>
      </c>
      <c r="EF7" s="116" cm="1">
        <f t="array" ref="EF7">_xll.EQNXTDZ($A$1,$B7,EF$1)</f>
        <v>873.097684428462</v>
      </c>
      <c r="EG7" s="116" cm="1">
        <f t="array" ref="EG7">_xll.EQNXTDZ($A$1,$B7,EG$1)</f>
        <v>852.70120591333398</v>
      </c>
      <c r="EH7" s="116" cm="1">
        <f t="array" ref="EH7">_xll.EQNXTDZ($A$1,$B7,EH$1)</f>
        <v>898.72909447531902</v>
      </c>
      <c r="EI7" s="116" cm="1">
        <f t="array" ref="EI7">_xll.EQNXTDZ($A$1,$B7,EI$1)</f>
        <v>916.60687951763498</v>
      </c>
      <c r="EJ7" s="116" cm="1">
        <f t="array" ref="EJ7">_xll.EQNXTDZ($A$1,$B7,EJ$1)</f>
        <v>936.55888271403103</v>
      </c>
      <c r="EK7" s="116" cm="1">
        <f t="array" ref="EK7">_xll.EQNXTDZ($A$1,$B7,EK$1)</f>
        <v>1080.56888598307</v>
      </c>
      <c r="EL7" s="116" cm="1">
        <f t="array" ref="EL7">_xll.EQNXTDZ($A$1,$B7,EL$1)</f>
        <v>1176.3286240964701</v>
      </c>
      <c r="EM7" s="116" cm="1">
        <f t="array" ref="EM7">_xll.EQNXTDZ($A$1,$B7,EM$1)</f>
        <v>1190.2061312702001</v>
      </c>
      <c r="EN7" s="116" cm="1">
        <f t="array" ref="EN7">_xll.EQNXTDZ($A$1,$B7,EN$1)</f>
        <v>1253.42039882314</v>
      </c>
      <c r="EO7" s="116" cm="1">
        <f t="array" ref="EO7">_xll.EQNXTDZ($A$1,$B7,EO$1)</f>
        <v>1165.4142857142899</v>
      </c>
      <c r="EP7" s="116" cm="1">
        <f t="array" ref="EP7">_xll.EQNXTDZ($A$1,$B7,EP$1)</f>
        <v>1117.3121789982199</v>
      </c>
      <c r="EQ7" s="116" cm="1">
        <f t="array" ref="EQ7">_xll.EQNXTDZ($A$1,$B7,EQ$1)</f>
        <v>1145.7585993970399</v>
      </c>
      <c r="ER7" s="116" cm="1">
        <f t="array" ref="ER7">_xll.EQNXTDZ($A$1,$B7,ER$1)</f>
        <v>1247.0989720678499</v>
      </c>
      <c r="ES7" s="116" cm="1">
        <f t="array" ref="ES7">_xll.EQNXTDZ($A$1,$B7,ES$1)</f>
        <v>1221.8499999999999</v>
      </c>
      <c r="ET7" s="116" cm="1">
        <f t="array" ref="ET7">_xll.EQNXTDZ($A$1,$B7,ET$1)</f>
        <v>1234.3</v>
      </c>
      <c r="EU7" s="116" cm="1">
        <f t="array" ref="EU7">_xll.EQNXTDZ($A$1,$B7,EU$1)</f>
        <v>1205.45</v>
      </c>
      <c r="EV7" s="116" cm="1">
        <f t="array" ref="EV7">_xll.EQNXTDZ($A$1,$B7,EV$1)</f>
        <v>1013.1</v>
      </c>
      <c r="EW7" s="116" cm="1">
        <f t="array" ref="EW7">_xll.EQNXTDZ($A$1,$B7,EW$1)</f>
        <v>976.4</v>
      </c>
      <c r="EX7" s="116" cm="1">
        <f t="array" ref="EX7">_xll.EQNXTDZ($A$1,$B7,EX$1)</f>
        <v>1031.2</v>
      </c>
      <c r="EY7" s="116" cm="1">
        <f t="array" ref="EY7">_xll.EQNXTDZ($A$1,$B7,EY$1)</f>
        <v>1075</v>
      </c>
      <c r="EZ7" s="116" cm="1">
        <f t="array" ref="EZ7">_xll.EQNXTDZ($A$1,$B7,EZ$1)</f>
        <v>1015</v>
      </c>
      <c r="FA7" s="116" cm="1">
        <f t="array" ref="FA7">_xll.EQNXTDZ($A$1,$B7,FA$1)</f>
        <v>1180.5</v>
      </c>
      <c r="FB7" s="116" cm="1">
        <f t="array" ref="FB7">_xll.EQNXTDZ($A$1,$B7,FB$1)</f>
        <v>1176.2</v>
      </c>
      <c r="FC7" s="116" cm="1">
        <f t="array" ref="FC7">_xll.EQNXTDZ($A$1,$B7,FC$1)</f>
        <v>1150</v>
      </c>
      <c r="FD7" s="116" cm="1">
        <f t="array" ref="FD7">_xll.EQNXTDZ($A$1,$B7,FD$1)</f>
        <v>1109.7</v>
      </c>
      <c r="FE7" s="116" cm="1">
        <f t="array" ref="FE7">_xll.EQNXTDZ($A$1,$B7,FE$1)</f>
        <v>1106.9000000000001</v>
      </c>
      <c r="FF7" s="116" cm="1">
        <f t="array" ref="FF7">_xll.EQNXTDZ($A$1,$B7,FF$1)</f>
        <v>1147.0999999999999</v>
      </c>
      <c r="FG7" s="116" cm="1">
        <f t="array" ref="FG7">_xll.EQNXTDZ($A$1,$B7,FG$1)</f>
        <v>1191.2</v>
      </c>
      <c r="FH7" s="116" cm="1">
        <f t="array" ref="FH7">_xll.EQNXTDZ($A$1,$B7,FH$1)</f>
        <v>1202.8</v>
      </c>
      <c r="FI7" s="116" cm="1">
        <f t="array" ref="FI7">_xll.EQNXTDZ($A$1,$B7,FI$1)</f>
        <v>1201.8</v>
      </c>
      <c r="FJ7" s="116" cm="1">
        <f t="array" ref="FJ7">_xll.EQNXTDZ($A$1,$B7,FJ$1)</f>
        <v>1220.9000000000001</v>
      </c>
      <c r="FK7" s="116" cm="1">
        <f t="array" ref="FK7">_xll.EQNXTDZ($A$1,$B7,FK$1)</f>
        <v>1185</v>
      </c>
      <c r="FL7" s="116" cm="1">
        <f t="array" ref="FL7">_xll.EQNXTDZ($A$1,$B7,FL$1)</f>
        <v>1145.8</v>
      </c>
      <c r="FM7" s="116" cm="1">
        <f t="array" ref="FM7">_xll.EQNXTDZ($A$1,$B7,FM$1)</f>
        <v>1197</v>
      </c>
      <c r="FN7" s="116" cm="1">
        <f t="array" ref="FN7">_xll.EQNXTDZ($A$1,$B7,FN$1)</f>
        <v>1282.7</v>
      </c>
      <c r="FO7" s="116" cm="1">
        <f t="array" ref="FO7">_xll.EQNXTDZ($A$1,$B7,FO$1)</f>
        <v>1182.5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142.42964658021901</v>
      </c>
      <c r="HQ7" s="116">
        <f>+MAX(G7:I7)</f>
        <v>179.271711888417</v>
      </c>
      <c r="HR7" s="116">
        <f>+MAX(J7:L7)</f>
        <v>166.826402963932</v>
      </c>
      <c r="HS7" s="116">
        <f>+MAX(M7:O7)</f>
        <v>151.516697540954</v>
      </c>
      <c r="HT7" s="116">
        <f>+MAX(P7:R7)</f>
        <v>162.18410519051301</v>
      </c>
      <c r="HU7" s="116">
        <f>+MAX(S7:U7)</f>
        <v>167.912898187498</v>
      </c>
      <c r="HV7" s="116">
        <f>+MAX(V7:X7)</f>
        <v>160.653134648215</v>
      </c>
      <c r="HW7" s="116">
        <f>+MAX(Y7:AA7)</f>
        <v>174.97511714067801</v>
      </c>
      <c r="HX7" s="116">
        <f>+MAX(AB7:AD7)</f>
        <v>174.62941411499801</v>
      </c>
      <c r="HY7" s="116">
        <f>+MAX(AE7:AG7)</f>
        <v>163.86323417238799</v>
      </c>
      <c r="HZ7" s="116">
        <f>+MAX(AH7:AJ7)</f>
        <v>165.69052159384</v>
      </c>
      <c r="IA7" s="116">
        <f>+MAX(AK7:AM7)</f>
        <v>161.49269913915199</v>
      </c>
      <c r="IB7" s="116">
        <f>+MAX(AN7:AP7)</f>
        <v>145.49158766481401</v>
      </c>
      <c r="IC7" s="116">
        <f>+MAX(AQ7:AS7)</f>
        <v>146.18299371617499</v>
      </c>
      <c r="ID7" s="116">
        <f>+MAX(AT7:AV7)</f>
        <v>147.96089499110099</v>
      </c>
      <c r="IE7" s="116">
        <f>+MAX(AW7:AY7)</f>
        <v>130.330040681414</v>
      </c>
      <c r="IF7" s="116">
        <f>+MAX(AZ7:BB7)</f>
        <v>147.31887508626599</v>
      </c>
      <c r="IG7" s="116">
        <f>+MAX(BC7:BE7)</f>
        <v>155.763906142167</v>
      </c>
      <c r="IH7" s="116">
        <f>+MAX(BF7:BH7)</f>
        <v>152.010559006211</v>
      </c>
      <c r="II7" s="116">
        <f>+MAX(BI7:BK7)</f>
        <v>160.75190694126599</v>
      </c>
      <c r="IJ7" s="116">
        <f>+MAX(BL7:BN7)</f>
        <v>217.496589299335</v>
      </c>
      <c r="IK7" s="116">
        <f>+MAX(BO7:BQ7)</f>
        <v>314.095891903672</v>
      </c>
      <c r="IL7" s="116">
        <f>+MAX(BR7:BT7)</f>
        <v>324.71391340670499</v>
      </c>
      <c r="IM7" s="116">
        <f>+MAX(BU7:BW7)</f>
        <v>296.31687915440801</v>
      </c>
      <c r="IN7" s="116">
        <f>+MAX(BX7:BZ7)</f>
        <v>281.00717373142999</v>
      </c>
      <c r="IO7" s="116">
        <f>+MAX(CA7:CC7)</f>
        <v>237.843681667938</v>
      </c>
      <c r="IP7" s="116">
        <f>+MAX(CD7:CF7)</f>
        <v>218.33615379027299</v>
      </c>
      <c r="IQ7" s="116">
        <f>+MAX(CG7:CI7)</f>
        <v>273.994340924776</v>
      </c>
      <c r="IR7" s="116">
        <f>+MAX(CJ7:CL7)</f>
        <v>284.16788710907701</v>
      </c>
      <c r="IS7" s="116">
        <f>+MAX(CM7:CO7)</f>
        <v>325.99795321637401</v>
      </c>
      <c r="IT7" s="116">
        <f>+MAX(CP7:CR7)</f>
        <v>402.99095564999499</v>
      </c>
      <c r="IU7" s="116">
        <f>+MAX(CS7:CU7)</f>
        <v>390.05178526025202</v>
      </c>
      <c r="IV7" s="116">
        <f>+MAX(CV7:CX7)</f>
        <v>584.68258871817204</v>
      </c>
      <c r="IW7" s="116">
        <f>+MAX(CY7:DA7)</f>
        <v>608.53609749010195</v>
      </c>
      <c r="IX7" s="116">
        <f>+MAX(DB7:DD7)</f>
        <v>645.970796556609</v>
      </c>
      <c r="IY7" s="116">
        <f>+MAX(DE7:DG7)</f>
        <v>762.42333006429101</v>
      </c>
      <c r="IZ7" s="116">
        <f>+MAX(DH7:DJ7)</f>
        <v>878.08568522756195</v>
      </c>
      <c r="JA7" s="116">
        <f>+MAX(DK7:DM7)</f>
        <v>852.40488903417997</v>
      </c>
      <c r="JB7" s="116">
        <f>+MAX(DN7:DP7)</f>
        <v>773.14012386037598</v>
      </c>
      <c r="JC7" s="116">
        <f>+MAX(DQ7:DS7)</f>
        <v>826.57593440122002</v>
      </c>
      <c r="JD7" s="116">
        <f>+MAX(DT7:DV7)</f>
        <v>850.57760161272699</v>
      </c>
      <c r="JE7" s="116">
        <f>+MAX(DW7:DY7)</f>
        <v>811.85886273655206</v>
      </c>
      <c r="JF7" s="116">
        <f>+MAX(DZ7:EB7)</f>
        <v>771.41160873197498</v>
      </c>
      <c r="JG7" s="116">
        <f>+MAX(EC7:EE7)</f>
        <v>866.43055464748795</v>
      </c>
      <c r="JH7" s="116">
        <f>+MAX(EF7:EH7)</f>
        <v>898.72909447531902</v>
      </c>
      <c r="JI7" s="116">
        <f>+MAX(EI7:EK7)</f>
        <v>1080.56888598307</v>
      </c>
      <c r="JJ7" s="116">
        <f>+MAX(EL7:EN7)</f>
        <v>1253.42039882314</v>
      </c>
      <c r="JK7" s="116">
        <f>MAX(EO7:EQ7)</f>
        <v>1165.4142857142899</v>
      </c>
      <c r="JL7" s="116">
        <f>MAX(ER7:ET7)</f>
        <v>1247.0989720678499</v>
      </c>
      <c r="JM7" s="116">
        <f>MAX(EU7:EW7)</f>
        <v>1205.45</v>
      </c>
      <c r="JN7" s="116">
        <f>MAX(EX7:EZ7)</f>
        <v>1075</v>
      </c>
      <c r="JO7" s="116">
        <f>MAX(FA7:FC7)</f>
        <v>1180.5</v>
      </c>
      <c r="JP7" s="116">
        <f>MAX(FD7:FF7)</f>
        <v>1147.0999999999999</v>
      </c>
      <c r="JQ7" s="116">
        <f>MAX(FG7:FI7)</f>
        <v>1202.8</v>
      </c>
      <c r="JR7" s="116">
        <f>MAX(FJ7:FL7)</f>
        <v>1220.9000000000001</v>
      </c>
      <c r="JS7" s="116">
        <f>MAX(FM7:FO7)</f>
        <v>1282.7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101.142828084705</v>
      </c>
      <c r="D8" s="116" cm="1">
        <f t="array" ref="D8">_xll.EQNXTDZ($A$1,$B8,D$1)</f>
        <v>108.649522356616</v>
      </c>
      <c r="E8" s="116" cm="1">
        <f t="array" ref="E8">_xll.EQNXTDZ($A$1,$B8,E$1)</f>
        <v>122.477643383822</v>
      </c>
      <c r="F8" s="116" cm="1">
        <f t="array" ref="F8">_xll.EQNXTDZ($A$1,$B8,F$1)</f>
        <v>125.539584468417</v>
      </c>
      <c r="G8" s="116" cm="1">
        <f t="array" ref="G8">_xll.EQNXTDZ($A$1,$B8,G$1)</f>
        <v>141.14560677054999</v>
      </c>
      <c r="H8" s="116" cm="1">
        <f t="array" ref="H8">_xll.EQNXTDZ($A$1,$B8,H$1)</f>
        <v>149.49186553339899</v>
      </c>
      <c r="I8" s="116" cm="1">
        <f t="array" ref="I8">_xll.EQNXTDZ($A$1,$B8,I$1)</f>
        <v>157.047945951836</v>
      </c>
      <c r="J8" s="116" cm="1">
        <f t="array" ref="J8">_xll.EQNXTDZ($A$1,$B8,J$1)</f>
        <v>140.84928989139499</v>
      </c>
      <c r="K8" s="116" cm="1">
        <f t="array" ref="K8">_xll.EQNXTDZ($A$1,$B8,K$1)</f>
        <v>121.193603574153</v>
      </c>
      <c r="L8" s="116" cm="1">
        <f t="array" ref="L8">_xll.EQNXTDZ($A$1,$B8,L$1)</f>
        <v>120.05772220406099</v>
      </c>
      <c r="M8" s="116" cm="1">
        <f t="array" ref="M8">_xll.EQNXTDZ($A$1,$B8,M$1)</f>
        <v>124.453089244851</v>
      </c>
      <c r="N8" s="116" cm="1">
        <f t="array" ref="N8">_xll.EQNXTDZ($A$1,$B8,N$1)</f>
        <v>134.52786313610099</v>
      </c>
      <c r="O8" s="116" cm="1">
        <f t="array" ref="O8">_xll.EQNXTDZ($A$1,$B8,O$1)</f>
        <v>126.428535105881</v>
      </c>
      <c r="P8" s="116" cm="1">
        <f t="array" ref="P8">_xll.EQNXTDZ($A$1,$B8,P$1)</f>
        <v>131.76223893066</v>
      </c>
      <c r="Q8" s="116" cm="1">
        <f t="array" ref="Q8">_xll.EQNXTDZ($A$1,$B8,Q$1)</f>
        <v>129.34231775089901</v>
      </c>
      <c r="R8" s="116" cm="1">
        <f t="array" ref="R8">_xll.EQNXTDZ($A$1,$B8,R$1)</f>
        <v>137.639190367222</v>
      </c>
      <c r="S8" s="116" cm="1">
        <f t="array" ref="S8">_xll.EQNXTDZ($A$1,$B8,S$1)</f>
        <v>142.23210199411599</v>
      </c>
      <c r="T8" s="116" cm="1">
        <f t="array" ref="T8">_xll.EQNXTDZ($A$1,$B8,T$1)</f>
        <v>139.07138861646899</v>
      </c>
      <c r="U8" s="116" cm="1">
        <f t="array" ref="U8">_xll.EQNXTDZ($A$1,$B8,U$1)</f>
        <v>140.454200719189</v>
      </c>
      <c r="V8" s="116" cm="1">
        <f t="array" ref="V8">_xll.EQNXTDZ($A$1,$B8,V$1)</f>
        <v>136.700853583233</v>
      </c>
      <c r="W8" s="116" cm="1">
        <f t="array" ref="W8">_xll.EQNXTDZ($A$1,$B8,W$1)</f>
        <v>136.00944753187301</v>
      </c>
      <c r="X8" s="116" cm="1">
        <f t="array" ref="X8">_xll.EQNXTDZ($A$1,$B8,X$1)</f>
        <v>133.58952635211199</v>
      </c>
      <c r="Y8" s="116" cm="1">
        <f t="array" ref="Y8">_xll.EQNXTDZ($A$1,$B8,Y$1)</f>
        <v>144.70140932040201</v>
      </c>
      <c r="Z8" s="116" cm="1">
        <f t="array" ref="Z8">_xll.EQNXTDZ($A$1,$B8,Z$1)</f>
        <v>140.35542842613799</v>
      </c>
      <c r="AA8" s="116" cm="1">
        <f t="array" ref="AA8">_xll.EQNXTDZ($A$1,$B8,AA$1)</f>
        <v>144.80018161345399</v>
      </c>
      <c r="AB8" s="116" cm="1">
        <f t="array" ref="AB8">_xll.EQNXTDZ($A$1,$B8,AB$1)</f>
        <v>146.67685518143199</v>
      </c>
      <c r="AC8" s="116" cm="1">
        <f t="array" ref="AC8">_xll.EQNXTDZ($A$1,$B8,AC$1)</f>
        <v>147.713964258472</v>
      </c>
      <c r="AD8" s="116" cm="1">
        <f t="array" ref="AD8">_xll.EQNXTDZ($A$1,$B8,AD$1)</f>
        <v>149.24493480077001</v>
      </c>
      <c r="AE8" s="116" cm="1">
        <f t="array" ref="AE8">_xll.EQNXTDZ($A$1,$B8,AE$1)</f>
        <v>148.94861792161601</v>
      </c>
      <c r="AF8" s="116" cm="1">
        <f t="array" ref="AF8">_xll.EQNXTDZ($A$1,$B8,AF$1)</f>
        <v>150.62774690349099</v>
      </c>
      <c r="AG8" s="116" cm="1">
        <f t="array" ref="AG8">_xll.EQNXTDZ($A$1,$B8,AG$1)</f>
        <v>135.36742762703901</v>
      </c>
      <c r="AH8" s="116" cm="1">
        <f t="array" ref="AH8">_xll.EQNXTDZ($A$1,$B8,AH$1)</f>
        <v>144.20754785514501</v>
      </c>
      <c r="AI8" s="116" cm="1">
        <f t="array" ref="AI8">_xll.EQNXTDZ($A$1,$B8,AI$1)</f>
        <v>146.18299371617499</v>
      </c>
      <c r="AJ8" s="116" cm="1">
        <f t="array" ref="AJ8">_xll.EQNXTDZ($A$1,$B8,AJ$1)</f>
        <v>140.948062184447</v>
      </c>
      <c r="AK8" s="116" cm="1">
        <f t="array" ref="AK8">_xll.EQNXTDZ($A$1,$B8,AK$1)</f>
        <v>138.67629944426301</v>
      </c>
      <c r="AL8" s="116" cm="1">
        <f t="array" ref="AL8">_xll.EQNXTDZ($A$1,$B8,AL$1)</f>
        <v>134.922952308307</v>
      </c>
      <c r="AM8" s="116" cm="1">
        <f t="array" ref="AM8">_xll.EQNXTDZ($A$1,$B8,AM$1)</f>
        <v>124.15677236569699</v>
      </c>
      <c r="AN8" s="116" cm="1">
        <f t="array" ref="AN8">_xll.EQNXTDZ($A$1,$B8,AN$1)</f>
        <v>129.68802077657901</v>
      </c>
      <c r="AO8" s="116" cm="1">
        <f t="array" ref="AO8">_xll.EQNXTDZ($A$1,$B8,AO$1)</f>
        <v>107.21732410737</v>
      </c>
      <c r="AP8" s="116" cm="1">
        <f t="array" ref="AP8">_xll.EQNXTDZ($A$1,$B8,AP$1)</f>
        <v>112.64980022520101</v>
      </c>
      <c r="AQ8" s="116" cm="1">
        <f t="array" ref="AQ8">_xll.EQNXTDZ($A$1,$B8,AQ$1)</f>
        <v>125.835901347572</v>
      </c>
      <c r="AR8" s="116" cm="1">
        <f t="array" ref="AR8">_xll.EQNXTDZ($A$1,$B8,AR$1)</f>
        <v>121.48992045330699</v>
      </c>
      <c r="AS8" s="116" cm="1">
        <f t="array" ref="AS8">_xll.EQNXTDZ($A$1,$B8,AS$1)</f>
        <v>128.799070139116</v>
      </c>
      <c r="AT8" s="116" cm="1">
        <f t="array" ref="AT8">_xll.EQNXTDZ($A$1,$B8,AT$1)</f>
        <v>118.032890196506</v>
      </c>
      <c r="AU8" s="116" cm="1">
        <f t="array" ref="AU8">_xll.EQNXTDZ($A$1,$B8,AU$1)</f>
        <v>98.772293051469205</v>
      </c>
      <c r="AV8" s="116" cm="1">
        <f t="array" ref="AV8">_xll.EQNXTDZ($A$1,$B8,AV$1)</f>
        <v>102.920729359631</v>
      </c>
      <c r="AW8" s="116" cm="1">
        <f t="array" ref="AW8">_xll.EQNXTDZ($A$1,$B8,AW$1)</f>
        <v>113.58813700919001</v>
      </c>
      <c r="AX8" s="116" cm="1">
        <f t="array" ref="AX8">_xll.EQNXTDZ($A$1,$B8,AX$1)</f>
        <v>113.884453888344</v>
      </c>
      <c r="AY8" s="116" cm="1">
        <f t="array" ref="AY8">_xll.EQNXTDZ($A$1,$B8,AY$1)</f>
        <v>115.66235516327001</v>
      </c>
      <c r="AZ8" s="116" cm="1">
        <f t="array" ref="AZ8">_xll.EQNXTDZ($A$1,$B8,AZ$1)</f>
        <v>127.218713450292</v>
      </c>
      <c r="BA8" s="116" cm="1">
        <f t="array" ref="BA8">_xll.EQNXTDZ($A$1,$B8,BA$1)</f>
        <v>133.44136791253499</v>
      </c>
      <c r="BB8" s="116" cm="1">
        <f t="array" ref="BB8">_xll.EQNXTDZ($A$1,$B8,BB$1)</f>
        <v>132.70057571464901</v>
      </c>
      <c r="BC8" s="116" cm="1">
        <f t="array" ref="BC8">_xll.EQNXTDZ($A$1,$B8,BC$1)</f>
        <v>133.984615524318</v>
      </c>
      <c r="BD8" s="116" cm="1">
        <f t="array" ref="BD8">_xll.EQNXTDZ($A$1,$B8,BD$1)</f>
        <v>112.847344811304</v>
      </c>
      <c r="BE8" s="116" cm="1">
        <f t="array" ref="BE8">_xll.EQNXTDZ($A$1,$B8,BE$1)</f>
        <v>114.872176818859</v>
      </c>
      <c r="BF8" s="116" cm="1">
        <f t="array" ref="BF8">_xll.EQNXTDZ($A$1,$B8,BF$1)</f>
        <v>119.860177617958</v>
      </c>
      <c r="BG8" s="116" cm="1">
        <f t="array" ref="BG8">_xll.EQNXTDZ($A$1,$B8,BG$1)</f>
        <v>125.786515201046</v>
      </c>
      <c r="BH8" s="116" cm="1">
        <f t="array" ref="BH8">_xll.EQNXTDZ($A$1,$B8,BH$1)</f>
        <v>135.07111074788401</v>
      </c>
      <c r="BI8" s="116" cm="1">
        <f t="array" ref="BI8">_xll.EQNXTDZ($A$1,$B8,BI$1)</f>
        <v>145.689132250917</v>
      </c>
      <c r="BJ8" s="116" cm="1">
        <f t="array" ref="BJ8">_xll.EQNXTDZ($A$1,$B8,BJ$1)</f>
        <v>138.47875485815999</v>
      </c>
      <c r="BK8" s="116" cm="1">
        <f t="array" ref="BK8">_xll.EQNXTDZ($A$1,$B8,BK$1)</f>
        <v>143.960617122516</v>
      </c>
      <c r="BL8" s="116" cm="1">
        <f t="array" ref="BL8">_xll.EQNXTDZ($A$1,$B8,BL$1)</f>
        <v>147.911508844575</v>
      </c>
      <c r="BM8" s="116" cm="1">
        <f t="array" ref="BM8">_xll.EQNXTDZ($A$1,$B8,BM$1)</f>
        <v>150.18327158475901</v>
      </c>
      <c r="BN8" s="116" cm="1">
        <f t="array" ref="BN8">_xll.EQNXTDZ($A$1,$B8,BN$1)</f>
        <v>188.16121826304899</v>
      </c>
      <c r="BO8" s="116" cm="1">
        <f t="array" ref="BO8">_xll.EQNXTDZ($A$1,$B8,BO$1)</f>
        <v>200.112665722277</v>
      </c>
      <c r="BP8" s="116" cm="1">
        <f t="array" ref="BP8">_xll.EQNXTDZ($A$1,$B8,BP$1)</f>
        <v>218.583084522901</v>
      </c>
      <c r="BQ8" s="116" cm="1">
        <f t="array" ref="BQ8">_xll.EQNXTDZ($A$1,$B8,BQ$1)</f>
        <v>270.24099378881999</v>
      </c>
      <c r="BR8" s="116" cm="1">
        <f t="array" ref="BR8">_xll.EQNXTDZ($A$1,$B8,BR$1)</f>
        <v>282.58753042025398</v>
      </c>
      <c r="BS8" s="116" cm="1">
        <f t="array" ref="BS8">_xll.EQNXTDZ($A$1,$B8,BS$1)</f>
        <v>250.140832152846</v>
      </c>
      <c r="BT8" s="116" cm="1">
        <f t="array" ref="BT8">_xll.EQNXTDZ($A$1,$B8,BT$1)</f>
        <v>246.93073262867301</v>
      </c>
      <c r="BU8" s="116" cm="1">
        <f t="array" ref="BU8">_xll.EQNXTDZ($A$1,$B8,BU$1)</f>
        <v>256.16594202898602</v>
      </c>
      <c r="BV8" s="116" cm="1">
        <f t="array" ref="BV8">_xll.EQNXTDZ($A$1,$B8,BV$1)</f>
        <v>234.33726526461101</v>
      </c>
      <c r="BW8" s="116" cm="1">
        <f t="array" ref="BW8">_xll.EQNXTDZ($A$1,$B8,BW$1)</f>
        <v>250.38776288547501</v>
      </c>
      <c r="BX8" s="116" cm="1">
        <f t="array" ref="BX8">_xll.EQNXTDZ($A$1,$B8,BX$1)</f>
        <v>225.79346191565901</v>
      </c>
      <c r="BY8" s="116" cm="1">
        <f t="array" ref="BY8">_xll.EQNXTDZ($A$1,$B8,BY$1)</f>
        <v>227.37381860448201</v>
      </c>
      <c r="BZ8" s="116" cm="1">
        <f t="array" ref="BZ8">_xll.EQNXTDZ($A$1,$B8,BZ$1)</f>
        <v>210.03928117394901</v>
      </c>
      <c r="CA8" s="116" cm="1">
        <f t="array" ref="CA8">_xll.EQNXTDZ($A$1,$B8,CA$1)</f>
        <v>202.483200755512</v>
      </c>
      <c r="CB8" s="116" cm="1">
        <f t="array" ref="CB8">_xll.EQNXTDZ($A$1,$B8,CB$1)</f>
        <v>205.989617158839</v>
      </c>
      <c r="CC8" s="116" cm="1">
        <f t="array" ref="CC8">_xll.EQNXTDZ($A$1,$B8,CC$1)</f>
        <v>192.60597145036499</v>
      </c>
      <c r="CD8" s="116" cm="1">
        <f t="array" ref="CD8">_xll.EQNXTDZ($A$1,$B8,CD$1)</f>
        <v>198.33476444735001</v>
      </c>
      <c r="CE8" s="116" cm="1">
        <f t="array" ref="CE8">_xll.EQNXTDZ($A$1,$B8,CE$1)</f>
        <v>174.876344847626</v>
      </c>
      <c r="CF8" s="116" cm="1">
        <f t="array" ref="CF8">_xll.EQNXTDZ($A$1,$B8,CF$1)</f>
        <v>189.692188805347</v>
      </c>
      <c r="CG8" s="116" cm="1">
        <f t="array" ref="CG8">_xll.EQNXTDZ($A$1,$B8,CG$1)</f>
        <v>198.18660600777301</v>
      </c>
      <c r="CH8" s="116" cm="1">
        <f t="array" ref="CH8">_xll.EQNXTDZ($A$1,$B8,CH$1)</f>
        <v>192.704743743417</v>
      </c>
      <c r="CI8" s="116" cm="1">
        <f t="array" ref="CI8">_xll.EQNXTDZ($A$1,$B8,CI$1)</f>
        <v>239.32526606370999</v>
      </c>
      <c r="CJ8" s="116" cm="1">
        <f t="array" ref="CJ8">_xll.EQNXTDZ($A$1,$B8,CJ$1)</f>
        <v>242.584751734408</v>
      </c>
      <c r="CK8" s="116" cm="1">
        <f t="array" ref="CK8">_xll.EQNXTDZ($A$1,$B8,CK$1)</f>
        <v>247.42459409393001</v>
      </c>
      <c r="CL8" s="116" cm="1">
        <f t="array" ref="CL8">_xll.EQNXTDZ($A$1,$B8,CL$1)</f>
        <v>246.88134648214699</v>
      </c>
      <c r="CM8" s="116" cm="1">
        <f t="array" ref="CM8">_xll.EQNXTDZ($A$1,$B8,CM$1)</f>
        <v>259.42542769968401</v>
      </c>
      <c r="CN8" s="116" cm="1">
        <f t="array" ref="CN8">_xll.EQNXTDZ($A$1,$B8,CN$1)</f>
        <v>281.74796592931602</v>
      </c>
      <c r="CO8" s="116" cm="1">
        <f t="array" ref="CO8">_xll.EQNXTDZ($A$1,$B8,CO$1)</f>
        <v>300.86040463477502</v>
      </c>
      <c r="CP8" s="116" cm="1">
        <f t="array" ref="CP8">_xll.EQNXTDZ($A$1,$B8,CP$1)</f>
        <v>306.58919763176101</v>
      </c>
      <c r="CQ8" s="116" cm="1">
        <f t="array" ref="CQ8">_xll.EQNXTDZ($A$1,$B8,CQ$1)</f>
        <v>337.35676691729299</v>
      </c>
      <c r="CR8" s="116" cm="1">
        <f t="array" ref="CR8">_xll.EQNXTDZ($A$1,$B8,CR$1)</f>
        <v>211.07639025098999</v>
      </c>
      <c r="CS8" s="116" cm="1">
        <f t="array" ref="CS8">_xll.EQNXTDZ($A$1,$B8,CS$1)</f>
        <v>260.75885365587902</v>
      </c>
      <c r="CT8" s="116" cm="1">
        <f t="array" ref="CT8">_xll.EQNXTDZ($A$1,$B8,CT$1)</f>
        <v>321.65197232211</v>
      </c>
      <c r="CU8" s="116" cm="1">
        <f t="array" ref="CU8">_xll.EQNXTDZ($A$1,$B8,CU$1)</f>
        <v>355.086393520032</v>
      </c>
      <c r="CV8" s="116" cm="1">
        <f t="array" ref="CV8">_xll.EQNXTDZ($A$1,$B8,CV$1)</f>
        <v>375.82857506084099</v>
      </c>
      <c r="CW8" s="116" cm="1">
        <f t="array" ref="CW8">_xll.EQNXTDZ($A$1,$B8,CW$1)</f>
        <v>422.44909738113398</v>
      </c>
      <c r="CX8" s="116" cm="1">
        <f t="array" ref="CX8">_xll.EQNXTDZ($A$1,$B8,CX$1)</f>
        <v>472.13156078602299</v>
      </c>
      <c r="CY8" s="116" cm="1">
        <f t="array" ref="CY8">_xll.EQNXTDZ($A$1,$B8,CY$1)</f>
        <v>453.31543895971799</v>
      </c>
      <c r="CZ8" s="116" cm="1">
        <f t="array" ref="CZ8">_xll.EQNXTDZ($A$1,$B8,CZ$1)</f>
        <v>482.305106970324</v>
      </c>
      <c r="DA8" s="116" cm="1">
        <f t="array" ref="DA8">_xll.EQNXTDZ($A$1,$B8,DA$1)</f>
        <v>518.85085539936802</v>
      </c>
      <c r="DB8" s="116" cm="1">
        <f t="array" ref="DB8">_xll.EQNXTDZ($A$1,$B8,DB$1)</f>
        <v>547.44543423776804</v>
      </c>
      <c r="DC8" s="116" cm="1">
        <f t="array" ref="DC8">_xll.EQNXTDZ($A$1,$B8,DC$1)</f>
        <v>547.54420653082002</v>
      </c>
      <c r="DD8" s="116" cm="1">
        <f t="array" ref="DD8">_xll.EQNXTDZ($A$1,$B8,DD$1)</f>
        <v>569.96551705350305</v>
      </c>
      <c r="DE8" s="116" cm="1">
        <f t="array" ref="DE8">_xll.EQNXTDZ($A$1,$B8,DE$1)</f>
        <v>630.26600196142499</v>
      </c>
      <c r="DF8" s="116" cm="1">
        <f t="array" ref="DF8">_xll.EQNXTDZ($A$1,$B8,DF$1)</f>
        <v>606.46187933602096</v>
      </c>
      <c r="DG8" s="116" cm="1">
        <f t="array" ref="DG8">_xll.EQNXTDZ($A$1,$B8,DG$1)</f>
        <v>648.73642076204999</v>
      </c>
      <c r="DH8" s="116" cm="1">
        <f t="array" ref="DH8">_xll.EQNXTDZ($A$1,$B8,DH$1)</f>
        <v>730.12479023646097</v>
      </c>
      <c r="DI8" s="116" cm="1">
        <f t="array" ref="DI8">_xll.EQNXTDZ($A$1,$B8,DI$1)</f>
        <v>742.76764374704896</v>
      </c>
      <c r="DJ8" s="116" cm="1">
        <f t="array" ref="DJ8">_xll.EQNXTDZ($A$1,$B8,DJ$1)</f>
        <v>800.89513820783895</v>
      </c>
      <c r="DK8" s="116" cm="1">
        <f t="array" ref="DK8">_xll.EQNXTDZ($A$1,$B8,DK$1)</f>
        <v>764.10245904616602</v>
      </c>
      <c r="DL8" s="116" cm="1">
        <f t="array" ref="DL8">_xll.EQNXTDZ($A$1,$B8,DL$1)</f>
        <v>740.05140568813295</v>
      </c>
      <c r="DM8" s="116" cm="1">
        <f t="array" ref="DM8">_xll.EQNXTDZ($A$1,$B8,DM$1)</f>
        <v>688.04779339653498</v>
      </c>
      <c r="DN8" s="116" cm="1">
        <f t="array" ref="DN8">_xll.EQNXTDZ($A$1,$B8,DN$1)</f>
        <v>666.71297809741702</v>
      </c>
      <c r="DO8" s="116" cm="1">
        <f t="array" ref="DO8">_xll.EQNXTDZ($A$1,$B8,DO$1)</f>
        <v>665.77464131342799</v>
      </c>
      <c r="DP8" s="116" cm="1">
        <f t="array" ref="DP8">_xll.EQNXTDZ($A$1,$B8,DP$1)</f>
        <v>642.217449420653</v>
      </c>
      <c r="DQ8" s="116" cm="1">
        <f t="array" ref="DQ8">_xll.EQNXTDZ($A$1,$B8,DQ$1)</f>
        <v>769.43616287094596</v>
      </c>
      <c r="DR8" s="116" cm="1">
        <f t="array" ref="DR8">_xll.EQNXTDZ($A$1,$B8,DR$1)</f>
        <v>689.43060549925497</v>
      </c>
      <c r="DS8" s="116" cm="1">
        <f t="array" ref="DS8">_xll.EQNXTDZ($A$1,$B8,DS$1)</f>
        <v>694.46799244488</v>
      </c>
      <c r="DT8" s="116" cm="1">
        <f t="array" ref="DT8">_xll.EQNXTDZ($A$1,$B8,DT$1)</f>
        <v>688.44288256874097</v>
      </c>
      <c r="DU8" s="116" cm="1">
        <f t="array" ref="DU8">_xll.EQNXTDZ($A$1,$B8,DU$1)</f>
        <v>751.21267480294898</v>
      </c>
      <c r="DV8" s="116" cm="1">
        <f t="array" ref="DV8">_xll.EQNXTDZ($A$1,$B8,DV$1)</f>
        <v>752.64487305219598</v>
      </c>
      <c r="DW8" s="116" cm="1">
        <f t="array" ref="DW8">_xll.EQNXTDZ($A$1,$B8,DW$1)</f>
        <v>729.72970106425498</v>
      </c>
      <c r="DX8" s="116" cm="1">
        <f t="array" ref="DX8">_xll.EQNXTDZ($A$1,$B8,DX$1)</f>
        <v>747.36055537394202</v>
      </c>
      <c r="DY8" s="116" cm="1">
        <f t="array" ref="DY8">_xll.EQNXTDZ($A$1,$B8,DY$1)</f>
        <v>753.73136827576195</v>
      </c>
      <c r="DZ8" s="116" cm="1">
        <f t="array" ref="DZ8">_xll.EQNXTDZ($A$1,$B8,DZ$1)</f>
        <v>716.14851076967796</v>
      </c>
      <c r="EA8" s="116" cm="1">
        <f t="array" ref="EA8">_xll.EQNXTDZ($A$1,$B8,EA$1)</f>
        <v>691.40605136028501</v>
      </c>
      <c r="EB8" s="116" cm="1">
        <f t="array" ref="EB8">_xll.EQNXTDZ($A$1,$B8,EB$1)</f>
        <v>678.17056409138797</v>
      </c>
      <c r="EC8" s="116" cm="1">
        <f t="array" ref="EC8">_xll.EQNXTDZ($A$1,$B8,EC$1)</f>
        <v>687.89963495695804</v>
      </c>
      <c r="ED8" s="116" cm="1">
        <f t="array" ref="ED8">_xll.EQNXTDZ($A$1,$B8,ED$1)</f>
        <v>747.16301078783897</v>
      </c>
      <c r="EE8" s="116" cm="1">
        <f t="array" ref="EE8">_xll.EQNXTDZ($A$1,$B8,EE$1)</f>
        <v>774.81925284225099</v>
      </c>
      <c r="EF8" s="116" cm="1">
        <f t="array" ref="EF8">_xll.EQNXTDZ($A$1,$B8,EF$1)</f>
        <v>811.90824888307702</v>
      </c>
      <c r="EG8" s="116" cm="1">
        <f t="array" ref="EG8">_xll.EQNXTDZ($A$1,$B8,EG$1)</f>
        <v>818.08151719879402</v>
      </c>
      <c r="EH8" s="116" cm="1">
        <f t="array" ref="EH8">_xll.EQNXTDZ($A$1,$B8,EH$1)</f>
        <v>822.77320111873905</v>
      </c>
      <c r="EI8" s="116" cm="1">
        <f t="array" ref="EI8">_xll.EQNXTDZ($A$1,$B8,EI$1)</f>
        <v>844.50310559006198</v>
      </c>
      <c r="EJ8" s="116" cm="1">
        <f t="array" ref="EJ8">_xll.EQNXTDZ($A$1,$B8,EJ$1)</f>
        <v>884.70342886201001</v>
      </c>
      <c r="EK8" s="116" cm="1">
        <f t="array" ref="EK8">_xll.EQNXTDZ($A$1,$B8,EK$1)</f>
        <v>928.21262395118197</v>
      </c>
      <c r="EL8" s="116" cm="1">
        <f t="array" ref="EL8">_xll.EQNXTDZ($A$1,$B8,EL$1)</f>
        <v>1062.7898732338101</v>
      </c>
      <c r="EM8" s="116" cm="1">
        <f t="array" ref="EM8">_xll.EQNXTDZ($A$1,$B8,EM$1)</f>
        <v>1061.8021503032901</v>
      </c>
      <c r="EN8" s="116" cm="1">
        <f t="array" ref="EN8">_xll.EQNXTDZ($A$1,$B8,EN$1)</f>
        <v>1070.79042897098</v>
      </c>
      <c r="EO8" s="116" cm="1">
        <f t="array" ref="EO8">_xll.EQNXTDZ($A$1,$B8,EO$1)</f>
        <v>1064.1726853365301</v>
      </c>
      <c r="EP8" s="116" cm="1">
        <f t="array" ref="EP8">_xll.EQNXTDZ($A$1,$B8,EP$1)</f>
        <v>1035.4299480585501</v>
      </c>
      <c r="EQ8" s="116" cm="1">
        <f t="array" ref="EQ8">_xll.EQNXTDZ($A$1,$B8,EQ$1)</f>
        <v>1016.26812320657</v>
      </c>
      <c r="ER8" s="116" cm="1">
        <f t="array" ref="ER8">_xll.EQNXTDZ($A$1,$B8,ER$1)</f>
        <v>1066.74076495587</v>
      </c>
      <c r="ES8" s="116" cm="1">
        <f t="array" ref="ES8">_xll.EQNXTDZ($A$1,$B8,ES$1)</f>
        <v>1151</v>
      </c>
      <c r="ET8" s="116" cm="1">
        <f t="array" ref="ET8">_xll.EQNXTDZ($A$1,$B8,ET$1)</f>
        <v>1168.75</v>
      </c>
      <c r="EU8" s="116" cm="1">
        <f t="array" ref="EU8">_xll.EQNXTDZ($A$1,$B8,EU$1)</f>
        <v>964</v>
      </c>
      <c r="EV8" s="116" cm="1">
        <f t="array" ref="EV8">_xll.EQNXTDZ($A$1,$B8,EV$1)</f>
        <v>900.5</v>
      </c>
      <c r="EW8" s="116" cm="1">
        <f t="array" ref="EW8">_xll.EQNXTDZ($A$1,$B8,EW$1)</f>
        <v>882.9</v>
      </c>
      <c r="EX8" s="116" cm="1">
        <f t="array" ref="EX8">_xll.EQNXTDZ($A$1,$B8,EX$1)</f>
        <v>911</v>
      </c>
      <c r="EY8" s="116" cm="1">
        <f t="array" ref="EY8">_xll.EQNXTDZ($A$1,$B8,EY$1)</f>
        <v>957.35</v>
      </c>
      <c r="EZ8" s="116" cm="1">
        <f t="array" ref="EZ8">_xll.EQNXTDZ($A$1,$B8,EZ$1)</f>
        <v>930.1</v>
      </c>
      <c r="FA8" s="116" cm="1">
        <f t="array" ref="FA8">_xll.EQNXTDZ($A$1,$B8,FA$1)</f>
        <v>989.25</v>
      </c>
      <c r="FB8" s="116" cm="1">
        <f t="array" ref="FB8">_xll.EQNXTDZ($A$1,$B8,FB$1)</f>
        <v>1086.4000000000001</v>
      </c>
      <c r="FC8" s="116" cm="1">
        <f t="array" ref="FC8">_xll.EQNXTDZ($A$1,$B8,FC$1)</f>
        <v>1059</v>
      </c>
      <c r="FD8" s="116" cm="1">
        <f t="array" ref="FD8">_xll.EQNXTDZ($A$1,$B8,FD$1)</f>
        <v>1044.4000000000001</v>
      </c>
      <c r="FE8" s="116" cm="1">
        <f t="array" ref="FE8">_xll.EQNXTDZ($A$1,$B8,FE$1)</f>
        <v>1037.7</v>
      </c>
      <c r="FF8" s="116" cm="1">
        <f t="array" ref="FF8">_xll.EQNXTDZ($A$1,$B8,FF$1)</f>
        <v>1057</v>
      </c>
      <c r="FG8" s="116" cm="1">
        <f t="array" ref="FG8">_xll.EQNXTDZ($A$1,$B8,FG$1)</f>
        <v>1108.4000000000001</v>
      </c>
      <c r="FH8" s="116" cm="1">
        <f t="array" ref="FH8">_xll.EQNXTDZ($A$1,$B8,FH$1)</f>
        <v>1134</v>
      </c>
      <c r="FI8" s="116" cm="1">
        <f t="array" ref="FI8">_xll.EQNXTDZ($A$1,$B8,FI$1)</f>
        <v>1131.9000000000001</v>
      </c>
      <c r="FJ8" s="116" cm="1">
        <f t="array" ref="FJ8">_xll.EQNXTDZ($A$1,$B8,FJ$1)</f>
        <v>1100.0999999999999</v>
      </c>
      <c r="FK8" s="116" cm="1">
        <f t="array" ref="FK8">_xll.EQNXTDZ($A$1,$B8,FK$1)</f>
        <v>1077</v>
      </c>
      <c r="FL8" s="116" cm="1">
        <f t="array" ref="FL8">_xll.EQNXTDZ($A$1,$B8,FL$1)</f>
        <v>1010.8</v>
      </c>
      <c r="FM8" s="116" cm="1">
        <f t="array" ref="FM8">_xll.EQNXTDZ($A$1,$B8,FM$1)</f>
        <v>1007.2</v>
      </c>
      <c r="FN8" s="116" cm="1">
        <f t="array" ref="FN8">_xll.EQNXTDZ($A$1,$B8,FN$1)</f>
        <v>1135.5999999999999</v>
      </c>
      <c r="FO8" s="116" cm="1">
        <f t="array" ref="FO8">_xll.EQNXTDZ($A$1,$B8,FO$1)</f>
        <v>1093.5999999999999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108.649522356616</v>
      </c>
      <c r="HQ8" s="116">
        <f>+MIN(G8:I8)</f>
        <v>141.14560677054999</v>
      </c>
      <c r="HR8" s="116">
        <f>+MIN(J8:L8)</f>
        <v>120.05772220406099</v>
      </c>
      <c r="HS8" s="116">
        <f>+MIN(M8:O8)</f>
        <v>124.453089244851</v>
      </c>
      <c r="HT8" s="116">
        <f>+MIN(P8:R8)</f>
        <v>129.34231775089901</v>
      </c>
      <c r="HU8" s="116">
        <f>+MIN(S8:U8)</f>
        <v>139.07138861646899</v>
      </c>
      <c r="HV8" s="116">
        <f>+MIN(V8:X8)</f>
        <v>133.58952635211199</v>
      </c>
      <c r="HW8" s="116">
        <f>+MIN(Y8:AA8)</f>
        <v>140.35542842613799</v>
      </c>
      <c r="HX8" s="116">
        <f>+MIN(AB8:AD8)</f>
        <v>146.67685518143199</v>
      </c>
      <c r="HY8" s="116">
        <f>+MIN(AE8:AG8)</f>
        <v>135.36742762703901</v>
      </c>
      <c r="HZ8" s="116">
        <f>+MIN(AH8:AJ8)</f>
        <v>140.948062184447</v>
      </c>
      <c r="IA8" s="116">
        <f>+MIN(AK8:AM8)</f>
        <v>124.15677236569699</v>
      </c>
      <c r="IB8" s="116">
        <f>+MIN(AN8:AP8)</f>
        <v>107.21732410737</v>
      </c>
      <c r="IC8" s="116">
        <f>+MIN(AQ8:AS8)</f>
        <v>121.48992045330699</v>
      </c>
      <c r="ID8" s="116">
        <f>+MIN(AT8:AV8)</f>
        <v>98.772293051469205</v>
      </c>
      <c r="IE8" s="116">
        <f>+MIN(AW8:AY8)</f>
        <v>113.58813700919001</v>
      </c>
      <c r="IF8" s="116">
        <f>+MIN(AZ8:BB8)</f>
        <v>127.218713450292</v>
      </c>
      <c r="IG8" s="116">
        <f>+MIN(BC8:BE8)</f>
        <v>112.847344811304</v>
      </c>
      <c r="IH8" s="116">
        <f>+MIN(BF8:BH8)</f>
        <v>119.860177617958</v>
      </c>
      <c r="II8" s="116">
        <f>+MIN(BI8:BK8)</f>
        <v>138.47875485815999</v>
      </c>
      <c r="IJ8" s="116">
        <f>+MIN(BL8:BN8)</f>
        <v>147.911508844575</v>
      </c>
      <c r="IK8" s="116">
        <f>+MIN(BO8:BQ8)</f>
        <v>200.112665722277</v>
      </c>
      <c r="IL8" s="116">
        <f>+MIN(BR8:BT8)</f>
        <v>246.93073262867301</v>
      </c>
      <c r="IM8" s="116">
        <f>+MIN(BU8:BW8)</f>
        <v>234.33726526461101</v>
      </c>
      <c r="IN8" s="116">
        <f>+MIN(BX8:BZ8)</f>
        <v>210.03928117394901</v>
      </c>
      <c r="IO8" s="116">
        <f>+MIN(CA8:CC8)</f>
        <v>192.60597145036499</v>
      </c>
      <c r="IP8" s="116">
        <f>+MIN(CD8:CF8)</f>
        <v>174.876344847626</v>
      </c>
      <c r="IQ8" s="116">
        <f>+MIN(CG8:CI8)</f>
        <v>192.704743743417</v>
      </c>
      <c r="IR8" s="116">
        <f>+MIN(CJ8:CL8)</f>
        <v>242.584751734408</v>
      </c>
      <c r="IS8" s="116">
        <f>+MIN(CM8:CO8)</f>
        <v>259.42542769968401</v>
      </c>
      <c r="IT8" s="116">
        <f>+MIN(CP8:CR8)</f>
        <v>211.07639025098999</v>
      </c>
      <c r="IU8" s="116">
        <f>+MIN(CS8:CU8)</f>
        <v>260.75885365587902</v>
      </c>
      <c r="IV8" s="116">
        <f>+MIN(CV8:CX8)</f>
        <v>375.82857506084099</v>
      </c>
      <c r="IW8" s="116">
        <f>+MIN(CY8:DA8)</f>
        <v>453.31543895971799</v>
      </c>
      <c r="IX8" s="116">
        <f>+MIN(DB8:DD8)</f>
        <v>547.44543423776804</v>
      </c>
      <c r="IY8" s="116">
        <f>+MIN(DE8:DG8)</f>
        <v>606.46187933602096</v>
      </c>
      <c r="IZ8" s="116">
        <f>+MIN(DH8:DJ8)</f>
        <v>730.12479023646097</v>
      </c>
      <c r="JA8" s="116">
        <f>+MIN(DK8:DM8)</f>
        <v>688.04779339653498</v>
      </c>
      <c r="JB8" s="116">
        <f>+MIN(DN8:DP8)</f>
        <v>642.217449420653</v>
      </c>
      <c r="JC8" s="116">
        <f>+MIN(DQ8:DS8)</f>
        <v>689.43060549925497</v>
      </c>
      <c r="JD8" s="116">
        <f>+MIN(DT8:DV8)</f>
        <v>688.44288256874097</v>
      </c>
      <c r="JE8" s="116">
        <f>+MIN(DW8:DY8)</f>
        <v>729.72970106425498</v>
      </c>
      <c r="JF8" s="116">
        <f>+MIN(DZ8:EB8)</f>
        <v>678.17056409138797</v>
      </c>
      <c r="JG8" s="116">
        <f>+MIN(EC8:EE8)</f>
        <v>687.89963495695804</v>
      </c>
      <c r="JH8" s="116">
        <f>+MIN(EF8:EH8)</f>
        <v>811.90824888307702</v>
      </c>
      <c r="JI8" s="116">
        <f>+MIN(EI8:EK8)</f>
        <v>844.50310559006198</v>
      </c>
      <c r="JJ8" s="116">
        <f>+MIN(EL8:EN8)</f>
        <v>1061.8021503032901</v>
      </c>
      <c r="JK8" s="116">
        <f>MIN(EO8:EQ8)</f>
        <v>1016.26812320657</v>
      </c>
      <c r="JL8" s="116">
        <f>MIN(ER8:ET8)</f>
        <v>1066.74076495587</v>
      </c>
      <c r="JM8" s="116">
        <f>MIN(EU8:EW8)</f>
        <v>882.9</v>
      </c>
      <c r="JN8" s="116">
        <f>MIN(EX8:EZ8)</f>
        <v>911</v>
      </c>
      <c r="JO8" s="116">
        <f>MIN(FA8:FC8)</f>
        <v>989.25</v>
      </c>
      <c r="JP8" s="116">
        <f>MIN(FD8:FF8)</f>
        <v>1037.7</v>
      </c>
      <c r="JQ8" s="116">
        <f>MIN(FG8:FI8)</f>
        <v>1108.4000000000001</v>
      </c>
      <c r="JR8" s="116">
        <f>MIN(FJ8:FL8)</f>
        <v>1010.8</v>
      </c>
      <c r="JS8" s="116">
        <f>MIN(FM8:FO8)</f>
        <v>1007.2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114.52647379317899</v>
      </c>
      <c r="D9" s="116" cm="1">
        <f t="array" ref="D9">_xll.EQNXTDZ($A$1,$B9,D$1)</f>
        <v>125.44081217536601</v>
      </c>
      <c r="E9" s="116" cm="1">
        <f t="array" ref="E9">_xll.EQNXTDZ($A$1,$B9,E$1)</f>
        <v>128.20643638080699</v>
      </c>
      <c r="F9" s="116" cm="1">
        <f t="array" ref="F9">_xll.EQNXTDZ($A$1,$B9,F$1)</f>
        <v>141.096220624024</v>
      </c>
      <c r="G9" s="116" cm="1">
        <f t="array" ref="G9">_xll.EQNXTDZ($A$1,$B9,G$1)</f>
        <v>148.30659801678101</v>
      </c>
      <c r="H9" s="116" cm="1">
        <f t="array" ref="H9">_xll.EQNXTDZ($A$1,$B9,H$1)</f>
        <v>163.91262031891301</v>
      </c>
      <c r="I9" s="116" cm="1">
        <f t="array" ref="I9">_xll.EQNXTDZ($A$1,$B9,I$1)</f>
        <v>157.986282735825</v>
      </c>
      <c r="J9" s="116" cm="1">
        <f t="array" ref="J9">_xll.EQNXTDZ($A$1,$B9,J$1)</f>
        <v>147.51641967236901</v>
      </c>
      <c r="K9" s="116" cm="1">
        <f t="array" ref="K9">_xll.EQNXTDZ($A$1,$B9,K$1)</f>
        <v>123.66291090044</v>
      </c>
      <c r="L9" s="116" cm="1">
        <f t="array" ref="L9">_xll.EQNXTDZ($A$1,$B9,L$1)</f>
        <v>126.280376666303</v>
      </c>
      <c r="M9" s="116" cm="1">
        <f t="array" ref="M9">_xll.EQNXTDZ($A$1,$B9,M$1)</f>
        <v>145.44220151828799</v>
      </c>
      <c r="N9" s="116" cm="1">
        <f t="array" ref="N9">_xll.EQNXTDZ($A$1,$B9,N$1)</f>
        <v>144.108775562094</v>
      </c>
      <c r="O9" s="116" cm="1">
        <f t="array" ref="O9">_xll.EQNXTDZ($A$1,$B9,O$1)</f>
        <v>132.749961861175</v>
      </c>
      <c r="P9" s="116" cm="1">
        <f t="array" ref="P9">_xll.EQNXTDZ($A$1,$B9,P$1)</f>
        <v>157.73935200319599</v>
      </c>
      <c r="Q9" s="116" cm="1">
        <f t="array" ref="Q9">_xll.EQNXTDZ($A$1,$B9,Q$1)</f>
        <v>137.293487341542</v>
      </c>
      <c r="R9" s="116" cm="1">
        <f t="array" ref="R9">_xll.EQNXTDZ($A$1,$B9,R$1)</f>
        <v>142.08394355453899</v>
      </c>
      <c r="S9" s="116" cm="1">
        <f t="array" ref="S9">_xll.EQNXTDZ($A$1,$B9,S$1)</f>
        <v>161.98656060440999</v>
      </c>
      <c r="T9" s="116" cm="1">
        <f t="array" ref="T9">_xll.EQNXTDZ($A$1,$B9,T$1)</f>
        <v>147.071944353638</v>
      </c>
      <c r="U9" s="116" cm="1">
        <f t="array" ref="U9">_xll.EQNXTDZ($A$1,$B9,U$1)</f>
        <v>158.480144201082</v>
      </c>
      <c r="V9" s="116" cm="1">
        <f t="array" ref="V9">_xll.EQNXTDZ($A$1,$B9,V$1)</f>
        <v>139.26893320257199</v>
      </c>
      <c r="W9" s="116" cm="1">
        <f t="array" ref="W9">_xll.EQNXTDZ($A$1,$B9,W$1)</f>
        <v>137.98489339290299</v>
      </c>
      <c r="X9" s="116" cm="1">
        <f t="array" ref="X9">_xll.EQNXTDZ($A$1,$B9,X$1)</f>
        <v>148.20782572373</v>
      </c>
      <c r="Y9" s="116" cm="1">
        <f t="array" ref="Y9">_xll.EQNXTDZ($A$1,$B9,Y$1)</f>
        <v>147.61519196542099</v>
      </c>
      <c r="Z9" s="116" cm="1">
        <f t="array" ref="Z9">_xll.EQNXTDZ($A$1,$B9,Z$1)</f>
        <v>147.269488939741</v>
      </c>
      <c r="AA9" s="116" cm="1">
        <f t="array" ref="AA9">_xll.EQNXTDZ($A$1,$B9,AA$1)</f>
        <v>170.629136246413</v>
      </c>
      <c r="AB9" s="116" cm="1">
        <f t="array" ref="AB9">_xll.EQNXTDZ($A$1,$B9,AB$1)</f>
        <v>151.61546983400501</v>
      </c>
      <c r="AC9" s="116" cm="1">
        <f t="array" ref="AC9">_xll.EQNXTDZ($A$1,$B9,AC$1)</f>
        <v>148.652301042461</v>
      </c>
      <c r="AD9" s="116" cm="1">
        <f t="array" ref="AD9">_xll.EQNXTDZ($A$1,$B9,AD$1)</f>
        <v>157.39364897751599</v>
      </c>
      <c r="AE9" s="116" cm="1">
        <f t="array" ref="AE9">_xll.EQNXTDZ($A$1,$B9,AE$1)</f>
        <v>158.134441175402</v>
      </c>
      <c r="AF9" s="116" cm="1">
        <f t="array" ref="AF9">_xll.EQNXTDZ($A$1,$B9,AF$1)</f>
        <v>159.31970869201999</v>
      </c>
      <c r="AG9" s="116" cm="1">
        <f t="array" ref="AG9">_xll.EQNXTDZ($A$1,$B9,AG$1)</f>
        <v>149.09677636119301</v>
      </c>
      <c r="AH9" s="116" cm="1">
        <f t="array" ref="AH9">_xll.EQNXTDZ($A$1,$B9,AH$1)</f>
        <v>156.75162907268199</v>
      </c>
      <c r="AI9" s="116" cm="1">
        <f t="array" ref="AI9">_xll.EQNXTDZ($A$1,$B9,AI$1)</f>
        <v>152.99828193672599</v>
      </c>
      <c r="AJ9" s="116" cm="1">
        <f t="array" ref="AJ9">_xll.EQNXTDZ($A$1,$B9,AJ$1)</f>
        <v>146.97317206058599</v>
      </c>
      <c r="AK9" s="116" cm="1">
        <f t="array" ref="AK9">_xll.EQNXTDZ($A$1,$B9,AK$1)</f>
        <v>140.35542842613799</v>
      </c>
      <c r="AL9" s="116" cm="1">
        <f t="array" ref="AL9">_xll.EQNXTDZ($A$1,$B9,AL$1)</f>
        <v>144.45447858777399</v>
      </c>
      <c r="AM9" s="116" cm="1">
        <f t="array" ref="AM9">_xll.EQNXTDZ($A$1,$B9,AM$1)</f>
        <v>130.57697141404199</v>
      </c>
      <c r="AN9" s="116" cm="1">
        <f t="array" ref="AN9">_xll.EQNXTDZ($A$1,$B9,AN$1)</f>
        <v>138.47875485815999</v>
      </c>
      <c r="AO9" s="116" cm="1">
        <f t="array" ref="AO9">_xll.EQNXTDZ($A$1,$B9,AO$1)</f>
        <v>118.131662489557</v>
      </c>
      <c r="AP9" s="116" cm="1">
        <f t="array" ref="AP9">_xll.EQNXTDZ($A$1,$B9,AP$1)</f>
        <v>126.230990519778</v>
      </c>
      <c r="AQ9" s="116" cm="1">
        <f t="array" ref="AQ9">_xll.EQNXTDZ($A$1,$B9,AQ$1)</f>
        <v>131.81162507718599</v>
      </c>
      <c r="AR9" s="116" cm="1">
        <f t="array" ref="AR9">_xll.EQNXTDZ($A$1,$B9,AR$1)</f>
        <v>135.861289092296</v>
      </c>
      <c r="AS9" s="116" cm="1">
        <f t="array" ref="AS9">_xll.EQNXTDZ($A$1,$B9,AS$1)</f>
        <v>144.405092441248</v>
      </c>
      <c r="AT9" s="116" cm="1">
        <f t="array" ref="AT9">_xll.EQNXTDZ($A$1,$B9,AT$1)</f>
        <v>124.94695071010899</v>
      </c>
      <c r="AU9" s="116" cm="1">
        <f t="array" ref="AU9">_xll.EQNXTDZ($A$1,$B9,AU$1)</f>
        <v>102.278709454796</v>
      </c>
      <c r="AV9" s="116" cm="1">
        <f t="array" ref="AV9">_xll.EQNXTDZ($A$1,$B9,AV$1)</f>
        <v>119.76140532490599</v>
      </c>
      <c r="AW9" s="116" cm="1">
        <f t="array" ref="AW9">_xll.EQNXTDZ($A$1,$B9,AW$1)</f>
        <v>118.576137808289</v>
      </c>
      <c r="AX9" s="116" cm="1">
        <f t="array" ref="AX9">_xll.EQNXTDZ($A$1,$B9,AX$1)</f>
        <v>116.304375068105</v>
      </c>
      <c r="AY9" s="116" cm="1">
        <f t="array" ref="AY9">_xll.EQNXTDZ($A$1,$B9,AY$1)</f>
        <v>129.589248483528</v>
      </c>
      <c r="AZ9" s="116" cm="1">
        <f t="array" ref="AZ9">_xll.EQNXTDZ($A$1,$B9,AZ$1)</f>
        <v>140.40481457266401</v>
      </c>
      <c r="BA9" s="116" cm="1">
        <f t="array" ref="BA9">_xll.EQNXTDZ($A$1,$B9,BA$1)</f>
        <v>138.52814100468601</v>
      </c>
      <c r="BB9" s="116" cm="1">
        <f t="array" ref="BB9">_xll.EQNXTDZ($A$1,$B9,BB$1)</f>
        <v>137.88612109985101</v>
      </c>
      <c r="BC9" s="116" cm="1">
        <f t="array" ref="BC9">_xll.EQNXTDZ($A$1,$B9,BC$1)</f>
        <v>137.68857651374799</v>
      </c>
      <c r="BD9" s="116" cm="1">
        <f t="array" ref="BD9">_xll.EQNXTDZ($A$1,$B9,BD$1)</f>
        <v>122.329484944245</v>
      </c>
      <c r="BE9" s="116" cm="1">
        <f t="array" ref="BE9">_xll.EQNXTDZ($A$1,$B9,BE$1)</f>
        <v>120.502197522792</v>
      </c>
      <c r="BF9" s="116" cm="1">
        <f t="array" ref="BF9">_xll.EQNXTDZ($A$1,$B9,BF$1)</f>
        <v>127.268099596818</v>
      </c>
      <c r="BG9" s="116" cm="1">
        <f t="array" ref="BG9">_xll.EQNXTDZ($A$1,$B9,BG$1)</f>
        <v>136.355150557553</v>
      </c>
      <c r="BH9" s="116" cm="1">
        <f t="array" ref="BH9">_xll.EQNXTDZ($A$1,$B9,BH$1)</f>
        <v>148.70168718898699</v>
      </c>
      <c r="BI9" s="116" cm="1">
        <f t="array" ref="BI9">_xll.EQNXTDZ($A$1,$B9,BI$1)</f>
        <v>151.220380661799</v>
      </c>
      <c r="BJ9" s="116" cm="1">
        <f t="array" ref="BJ9">_xll.EQNXTDZ($A$1,$B9,BJ$1)</f>
        <v>147.565805818895</v>
      </c>
      <c r="BK9" s="116" cm="1">
        <f t="array" ref="BK9">_xll.EQNXTDZ($A$1,$B9,BK$1)</f>
        <v>148.80045948203801</v>
      </c>
      <c r="BL9" s="116" cm="1">
        <f t="array" ref="BL9">_xll.EQNXTDZ($A$1,$B9,BL$1)</f>
        <v>167.468422868766</v>
      </c>
      <c r="BM9" s="116" cm="1">
        <f t="array" ref="BM9">_xll.EQNXTDZ($A$1,$B9,BM$1)</f>
        <v>195.569140241909</v>
      </c>
      <c r="BN9" s="116" cm="1">
        <f t="array" ref="BN9">_xll.EQNXTDZ($A$1,$B9,BN$1)</f>
        <v>203.273379099924</v>
      </c>
      <c r="BO9" s="116" cm="1">
        <f t="array" ref="BO9">_xll.EQNXTDZ($A$1,$B9,BO$1)</f>
        <v>224.16371908030899</v>
      </c>
      <c r="BP9" s="116" cm="1">
        <f t="array" ref="BP9">_xll.EQNXTDZ($A$1,$B9,BP$1)</f>
        <v>283.57525335076798</v>
      </c>
      <c r="BQ9" s="116" cm="1">
        <f t="array" ref="BQ9">_xll.EQNXTDZ($A$1,$B9,BQ$1)</f>
        <v>312.51553521484902</v>
      </c>
      <c r="BR9" s="116" cm="1">
        <f t="array" ref="BR9">_xll.EQNXTDZ($A$1,$B9,BR$1)</f>
        <v>287.081669754095</v>
      </c>
      <c r="BS9" s="116" cm="1">
        <f t="array" ref="BS9">_xll.EQNXTDZ($A$1,$B9,BS$1)</f>
        <v>272.11766735679799</v>
      </c>
      <c r="BT9" s="116" cm="1">
        <f t="array" ref="BT9">_xll.EQNXTDZ($A$1,$B9,BT$1)</f>
        <v>255.57330827067699</v>
      </c>
      <c r="BU9" s="116" cm="1">
        <f t="array" ref="BU9">_xll.EQNXTDZ($A$1,$B9,BU$1)</f>
        <v>293.89695797464702</v>
      </c>
      <c r="BV9" s="116" cm="1">
        <f t="array" ref="BV9">_xll.EQNXTDZ($A$1,$B9,BV$1)</f>
        <v>265.89501289455501</v>
      </c>
      <c r="BW9" s="116" cm="1">
        <f t="array" ref="BW9">_xll.EQNXTDZ($A$1,$B9,BW$1)</f>
        <v>266.04317133413201</v>
      </c>
      <c r="BX9" s="116" cm="1">
        <f t="array" ref="BX9">_xll.EQNXTDZ($A$1,$B9,BX$1)</f>
        <v>243.86879154407799</v>
      </c>
      <c r="BY9" s="116" cm="1">
        <f t="array" ref="BY9">_xll.EQNXTDZ($A$1,$B9,BY$1)</f>
        <v>231.42348261959199</v>
      </c>
      <c r="BZ9" s="116" cm="1">
        <f t="array" ref="BZ9">_xll.EQNXTDZ($A$1,$B9,BZ$1)</f>
        <v>230.88023500780901</v>
      </c>
      <c r="CA9" s="116" cm="1">
        <f t="array" ref="CA9">_xll.EQNXTDZ($A$1,$B9,CA$1)</f>
        <v>215.17544041262599</v>
      </c>
      <c r="CB9" s="116" cm="1">
        <f t="array" ref="CB9">_xll.EQNXTDZ($A$1,$B9,CB$1)</f>
        <v>215.96561875703799</v>
      </c>
      <c r="CC9" s="116" cm="1">
        <f t="array" ref="CC9">_xll.EQNXTDZ($A$1,$B9,CC$1)</f>
        <v>216.706410954924</v>
      </c>
      <c r="CD9" s="116" cm="1">
        <f t="array" ref="CD9">_xll.EQNXTDZ($A$1,$B9,CD$1)</f>
        <v>201.29793323889399</v>
      </c>
      <c r="CE9" s="116" cm="1">
        <f t="array" ref="CE9">_xll.EQNXTDZ($A$1,$B9,CE$1)</f>
        <v>191.32193164069599</v>
      </c>
      <c r="CF9" s="116" cm="1">
        <f t="array" ref="CF9">_xll.EQNXTDZ($A$1,$B9,CF$1)</f>
        <v>201.44609167847199</v>
      </c>
      <c r="CG9" s="116" cm="1">
        <f t="array" ref="CG9">_xll.EQNXTDZ($A$1,$B9,CG$1)</f>
        <v>206.63163706367399</v>
      </c>
      <c r="CH9" s="116" cm="1">
        <f t="array" ref="CH9">_xll.EQNXTDZ($A$1,$B9,CH$1)</f>
        <v>241.004395045585</v>
      </c>
      <c r="CI9" s="116" cm="1">
        <f t="array" ref="CI9">_xll.EQNXTDZ($A$1,$B9,CI$1)</f>
        <v>266.38887435981297</v>
      </c>
      <c r="CJ9" s="116" cm="1">
        <f t="array" ref="CJ9">_xll.EQNXTDZ($A$1,$B9,CJ$1)</f>
        <v>248.51108931749701</v>
      </c>
      <c r="CK9" s="116" cm="1">
        <f t="array" ref="CK9">_xll.EQNXTDZ($A$1,$B9,CK$1)</f>
        <v>275.08083614834197</v>
      </c>
      <c r="CL9" s="116" cm="1">
        <f t="array" ref="CL9">_xll.EQNXTDZ($A$1,$B9,CL$1)</f>
        <v>272.61152882205499</v>
      </c>
      <c r="CM9" s="116" cm="1">
        <f t="array" ref="CM9">_xll.EQNXTDZ($A$1,$B9,CM$1)</f>
        <v>313.108168973158</v>
      </c>
      <c r="CN9" s="116" cm="1">
        <f t="array" ref="CN9">_xll.EQNXTDZ($A$1,$B9,CN$1)</f>
        <v>319.18266499582302</v>
      </c>
      <c r="CO9" s="116" cm="1">
        <f t="array" ref="CO9">_xll.EQNXTDZ($A$1,$B9,CO$1)</f>
        <v>317.40476372089603</v>
      </c>
      <c r="CP9" s="116" cm="1">
        <f t="array" ref="CP9">_xll.EQNXTDZ($A$1,$B9,CP$1)</f>
        <v>378.69297155933299</v>
      </c>
      <c r="CQ9" s="116" cm="1">
        <f t="array" ref="CQ9">_xll.EQNXTDZ($A$1,$B9,CQ$1)</f>
        <v>341.90029239766102</v>
      </c>
      <c r="CR9" s="116" cm="1">
        <f t="array" ref="CR9">_xll.EQNXTDZ($A$1,$B9,CR$1)</f>
        <v>291.23010606225699</v>
      </c>
      <c r="CS9" s="116" cm="1">
        <f t="array" ref="CS9">_xll.EQNXTDZ($A$1,$B9,CS$1)</f>
        <v>347.28338236896599</v>
      </c>
      <c r="CT9" s="116" cm="1">
        <f t="array" ref="CT9">_xll.EQNXTDZ($A$1,$B9,CT$1)</f>
        <v>362.39554320584102</v>
      </c>
      <c r="CU9" s="116" cm="1">
        <f t="array" ref="CU9">_xll.EQNXTDZ($A$1,$B9,CU$1)</f>
        <v>382.69324942791798</v>
      </c>
      <c r="CV9" s="116" cm="1">
        <f t="array" ref="CV9">_xll.EQNXTDZ($A$1,$B9,CV$1)</f>
        <v>422.79480040681398</v>
      </c>
      <c r="CW9" s="116" cm="1">
        <f t="array" ref="CW9">_xll.EQNXTDZ($A$1,$B9,CW$1)</f>
        <v>525.81430205949698</v>
      </c>
      <c r="CX9" s="116" cm="1">
        <f t="array" ref="CX9">_xll.EQNXTDZ($A$1,$B9,CX$1)</f>
        <v>493.812079110821</v>
      </c>
      <c r="CY9" s="116" cm="1">
        <f t="array" ref="CY9">_xll.EQNXTDZ($A$1,$B9,CY$1)</f>
        <v>486.79924630416599</v>
      </c>
      <c r="CZ9" s="116" cm="1">
        <f t="array" ref="CZ9">_xll.EQNXTDZ($A$1,$B9,CZ$1)</f>
        <v>531.39493661690506</v>
      </c>
      <c r="DA9" s="116" cm="1">
        <f t="array" ref="DA9">_xll.EQNXTDZ($A$1,$B9,DA$1)</f>
        <v>582.65775671061704</v>
      </c>
      <c r="DB9" s="116" cm="1">
        <f t="array" ref="DB9">_xll.EQNXTDZ($A$1,$B9,DB$1)</f>
        <v>552.92729650212505</v>
      </c>
      <c r="DC9" s="116" cm="1">
        <f t="array" ref="DC9">_xll.EQNXTDZ($A$1,$B9,DC$1)</f>
        <v>601.67142312302497</v>
      </c>
      <c r="DD9" s="116" cm="1">
        <f t="array" ref="DD9">_xll.EQNXTDZ($A$1,$B9,DD$1)</f>
        <v>631.05618030583696</v>
      </c>
      <c r="DE9" s="116" cm="1">
        <f t="array" ref="DE9">_xll.EQNXTDZ($A$1,$B9,DE$1)</f>
        <v>661.28050197958703</v>
      </c>
      <c r="DF9" s="116" cm="1">
        <f t="array" ref="DF9">_xll.EQNXTDZ($A$1,$B9,DF$1)</f>
        <v>655.69986742217895</v>
      </c>
      <c r="DG9" s="116" cm="1">
        <f t="array" ref="DG9">_xll.EQNXTDZ($A$1,$B9,DG$1)</f>
        <v>745.13817878028397</v>
      </c>
      <c r="DH9" s="116" cm="1">
        <f t="array" ref="DH9">_xll.EQNXTDZ($A$1,$B9,DH$1)</f>
        <v>746.96546620173604</v>
      </c>
      <c r="DI9" s="116" cm="1">
        <f t="array" ref="DI9">_xll.EQNXTDZ($A$1,$B9,DI$1)</f>
        <v>854.330948748683</v>
      </c>
      <c r="DJ9" s="116" cm="1">
        <f t="array" ref="DJ9">_xll.EQNXTDZ($A$1,$B9,DJ$1)</f>
        <v>803.61137626675395</v>
      </c>
      <c r="DK9" s="116" cm="1">
        <f t="array" ref="DK9">_xll.EQNXTDZ($A$1,$B9,DK$1)</f>
        <v>799.56171225164405</v>
      </c>
      <c r="DL9" s="116" cm="1">
        <f t="array" ref="DL9">_xll.EQNXTDZ($A$1,$B9,DL$1)</f>
        <v>769.04107369873998</v>
      </c>
      <c r="DM9" s="116" cm="1">
        <f t="array" ref="DM9">_xll.EQNXTDZ($A$1,$B9,DM$1)</f>
        <v>734.32261269114804</v>
      </c>
      <c r="DN9" s="116" cm="1">
        <f t="array" ref="DN9">_xll.EQNXTDZ($A$1,$B9,DN$1)</f>
        <v>718.37088736333601</v>
      </c>
      <c r="DO9" s="116" cm="1">
        <f t="array" ref="DO9">_xll.EQNXTDZ($A$1,$B9,DO$1)</f>
        <v>709.77769786785802</v>
      </c>
      <c r="DP9" s="116" cm="1">
        <f t="array" ref="DP9">_xll.EQNXTDZ($A$1,$B9,DP$1)</f>
        <v>767.85580618212202</v>
      </c>
      <c r="DQ9" s="116" cm="1">
        <f t="array" ref="DQ9">_xll.EQNXTDZ($A$1,$B9,DQ$1)</f>
        <v>813.63676401147802</v>
      </c>
      <c r="DR9" s="116" cm="1">
        <f t="array" ref="DR9">_xll.EQNXTDZ($A$1,$B9,DR$1)</f>
        <v>750.42249645853803</v>
      </c>
      <c r="DS9" s="116" cm="1">
        <f t="array" ref="DS9">_xll.EQNXTDZ($A$1,$B9,DS$1)</f>
        <v>697.67809196905296</v>
      </c>
      <c r="DT9" s="116" cm="1">
        <f t="array" ref="DT9">_xll.EQNXTDZ($A$1,$B9,DT$1)</f>
        <v>801.68531655225001</v>
      </c>
      <c r="DU9" s="116" cm="1">
        <f t="array" ref="DU9">_xll.EQNXTDZ($A$1,$B9,DU$1)</f>
        <v>799.709870691221</v>
      </c>
      <c r="DV9" s="116" cm="1">
        <f t="array" ref="DV9">_xll.EQNXTDZ($A$1,$B9,DV$1)</f>
        <v>792.99335476372096</v>
      </c>
      <c r="DW9" s="116" cm="1">
        <f t="array" ref="DW9">_xll.EQNXTDZ($A$1,$B9,DW$1)</f>
        <v>760.69481493589001</v>
      </c>
      <c r="DX9" s="116" cm="1">
        <f t="array" ref="DX9">_xll.EQNXTDZ($A$1,$B9,DX$1)</f>
        <v>808.00674330754396</v>
      </c>
      <c r="DY9" s="116" cm="1">
        <f t="array" ref="DY9">_xll.EQNXTDZ($A$1,$B9,DY$1)</f>
        <v>757.53410155824304</v>
      </c>
      <c r="DZ9" s="116" cm="1">
        <f t="array" ref="DZ9">_xll.EQNXTDZ($A$1,$B9,DZ$1)</f>
        <v>720.54387781046796</v>
      </c>
      <c r="EA9" s="116" cm="1">
        <f t="array" ref="EA9">_xll.EQNXTDZ($A$1,$B9,EA$1)</f>
        <v>706.51821219715998</v>
      </c>
      <c r="EB9" s="116" cm="1">
        <f t="array" ref="EB9">_xll.EQNXTDZ($A$1,$B9,EB$1)</f>
        <v>700.14739929534005</v>
      </c>
      <c r="EC9" s="116" cm="1">
        <f t="array" ref="EC9">_xll.EQNXTDZ($A$1,$B9,EC$1)</f>
        <v>754.47216047364805</v>
      </c>
      <c r="ED9" s="116" cm="1">
        <f t="array" ref="ED9">_xll.EQNXTDZ($A$1,$B9,ED$1)</f>
        <v>788.84491845555897</v>
      </c>
      <c r="EE9" s="116" cm="1">
        <f t="array" ref="EE9">_xll.EQNXTDZ($A$1,$B9,EE$1)</f>
        <v>850.33067088009898</v>
      </c>
      <c r="EF9" s="116" cm="1">
        <f t="array" ref="EF9">_xll.EQNXTDZ($A$1,$B9,EF$1)</f>
        <v>848.75031419127504</v>
      </c>
      <c r="EG9" s="116" cm="1">
        <f t="array" ref="EG9">_xll.EQNXTDZ($A$1,$B9,EG$1)</f>
        <v>824.10662707493395</v>
      </c>
      <c r="EH9" s="116" cm="1">
        <f t="array" ref="EH9">_xll.EQNXTDZ($A$1,$B9,EH$1)</f>
        <v>866.13423776833395</v>
      </c>
      <c r="EI9" s="116" cm="1">
        <f t="array" ref="EI9">_xll.EQNXTDZ($A$1,$B9,EI$1)</f>
        <v>889.44449892848104</v>
      </c>
      <c r="EJ9" s="116" cm="1">
        <f t="array" ref="EJ9">_xll.EQNXTDZ($A$1,$B9,EJ$1)</f>
        <v>929.20034688169699</v>
      </c>
      <c r="EK9" s="116" cm="1">
        <f t="array" ref="EK9">_xll.EQNXTDZ($A$1,$B9,EK$1)</f>
        <v>1073.45728088337</v>
      </c>
      <c r="EL9" s="116" cm="1">
        <f t="array" ref="EL9">_xll.EQNXTDZ($A$1,$B9,EL$1)</f>
        <v>1104.27423631543</v>
      </c>
      <c r="EM9" s="116" cm="1">
        <f t="array" ref="EM9">_xll.EQNXTDZ($A$1,$B9,EM$1)</f>
        <v>1175.43967345901</v>
      </c>
      <c r="EN9" s="116" cm="1">
        <f t="array" ref="EN9">_xll.EQNXTDZ($A$1,$B9,EN$1)</f>
        <v>1082.7418764302099</v>
      </c>
      <c r="EO9" s="116" cm="1">
        <f t="array" ref="EO9">_xll.EQNXTDZ($A$1,$B9,EO$1)</f>
        <v>1094.74271003596</v>
      </c>
      <c r="EP9" s="116" cm="1">
        <f t="array" ref="EP9">_xll.EQNXTDZ($A$1,$B9,EP$1)</f>
        <v>1047.2332370782001</v>
      </c>
      <c r="EQ9" s="116" cm="1">
        <f t="array" ref="EQ9">_xll.EQNXTDZ($A$1,$B9,EQ$1)</f>
        <v>1083.97653009335</v>
      </c>
      <c r="ER9" s="116" cm="1">
        <f t="array" ref="ER9">_xll.EQNXTDZ($A$1,$B9,ER$1)</f>
        <v>1188.95</v>
      </c>
      <c r="ES9" s="116" cm="1">
        <f t="array" ref="ES9">_xll.EQNXTDZ($A$1,$B9,ES$1)</f>
        <v>1200.1500000000001</v>
      </c>
      <c r="ET9" s="116" cm="1">
        <f t="array" ref="ET9">_xll.EQNXTDZ($A$1,$B9,ET$1)</f>
        <v>1196.95</v>
      </c>
      <c r="EU9" s="116" cm="1">
        <f t="array" ref="EU9">_xll.EQNXTDZ($A$1,$B9,EU$1)</f>
        <v>1002.55</v>
      </c>
      <c r="EV9" s="116" cm="1">
        <f t="array" ref="EV9">_xll.EQNXTDZ($A$1,$B9,EV$1)</f>
        <v>958.65</v>
      </c>
      <c r="EW9" s="116" cm="1">
        <f t="array" ref="EW9">_xll.EQNXTDZ($A$1,$B9,EW$1)</f>
        <v>914.7</v>
      </c>
      <c r="EX9" s="116" cm="1">
        <f t="array" ref="EX9">_xll.EQNXTDZ($A$1,$B9,EX$1)</f>
        <v>1024.6500000000001</v>
      </c>
      <c r="EY9" s="116" cm="1">
        <f t="array" ref="EY9">_xll.EQNXTDZ($A$1,$B9,EY$1)</f>
        <v>963.7</v>
      </c>
      <c r="EZ9" s="116" cm="1">
        <f t="array" ref="EZ9">_xll.EQNXTDZ($A$1,$B9,EZ$1)</f>
        <v>1001.9</v>
      </c>
      <c r="FA9" s="116" cm="1">
        <f t="array" ref="FA9">_xll.EQNXTDZ($A$1,$B9,FA$1)</f>
        <v>1165.8</v>
      </c>
      <c r="FB9" s="116" cm="1">
        <f t="array" ref="FB9">_xll.EQNXTDZ($A$1,$B9,FB$1)</f>
        <v>1106.3</v>
      </c>
      <c r="FC9" s="116" cm="1">
        <f t="array" ref="FC9">_xll.EQNXTDZ($A$1,$B9,FC$1)</f>
        <v>1098.9000000000001</v>
      </c>
      <c r="FD9" s="116" cm="1">
        <f t="array" ref="FD9">_xll.EQNXTDZ($A$1,$B9,FD$1)</f>
        <v>1073.2</v>
      </c>
      <c r="FE9" s="116" cm="1">
        <f t="array" ref="FE9">_xll.EQNXTDZ($A$1,$B9,FE$1)</f>
        <v>1065.4000000000001</v>
      </c>
      <c r="FF9" s="116" cm="1">
        <f t="array" ref="FF9">_xll.EQNXTDZ($A$1,$B9,FF$1)</f>
        <v>1129.3</v>
      </c>
      <c r="FG9" s="116" cm="1">
        <f t="array" ref="FG9">_xll.EQNXTDZ($A$1,$B9,FG$1)</f>
        <v>1165</v>
      </c>
      <c r="FH9" s="116" cm="1">
        <f t="array" ref="FH9">_xll.EQNXTDZ($A$1,$B9,FH$1)</f>
        <v>1172.4000000000001</v>
      </c>
      <c r="FI9" s="116" cm="1">
        <f t="array" ref="FI9">_xll.EQNXTDZ($A$1,$B9,FI$1)</f>
        <v>1192</v>
      </c>
      <c r="FJ9" s="116" cm="1">
        <f t="array" ref="FJ9">_xll.EQNXTDZ($A$1,$B9,FJ$1)</f>
        <v>1133.9000000000001</v>
      </c>
      <c r="FK9" s="116" cm="1">
        <f t="array" ref="FK9">_xll.EQNXTDZ($A$1,$B9,FK$1)</f>
        <v>1141</v>
      </c>
      <c r="FL9" s="116" cm="1">
        <f t="array" ref="FL9">_xll.EQNXTDZ($A$1,$B9,FL$1)</f>
        <v>1014.8</v>
      </c>
      <c r="FM9" s="116" cm="1">
        <f t="array" ref="FM9">_xll.EQNXTDZ($A$1,$B9,FM$1)</f>
        <v>1144.5999999999999</v>
      </c>
      <c r="FN9" s="116" cm="1">
        <f t="array" ref="FN9">_xll.EQNXTDZ($A$1,$B9,FN$1)</f>
        <v>1178.4000000000001</v>
      </c>
      <c r="FO9" s="116" cm="1">
        <f t="array" ref="FO9">_xll.EQNXTDZ($A$1,$B9,FO$1)</f>
        <v>1130.9000000000001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141.096220624024</v>
      </c>
      <c r="HQ9" s="116">
        <f>+I9</f>
        <v>157.986282735825</v>
      </c>
      <c r="HR9" s="116">
        <f>+L9</f>
        <v>126.280376666303</v>
      </c>
      <c r="HS9" s="116">
        <f>+O9</f>
        <v>132.749961861175</v>
      </c>
      <c r="HT9" s="116">
        <f>+R9</f>
        <v>142.08394355453899</v>
      </c>
      <c r="HU9" s="116">
        <f>+U9</f>
        <v>158.480144201082</v>
      </c>
      <c r="HV9" s="116">
        <f>+X9</f>
        <v>148.20782572373</v>
      </c>
      <c r="HW9" s="116">
        <f>+AA9</f>
        <v>170.629136246413</v>
      </c>
      <c r="HX9" s="116">
        <f>+AD9</f>
        <v>157.39364897751599</v>
      </c>
      <c r="HY9" s="116">
        <f>+AG9</f>
        <v>149.09677636119301</v>
      </c>
      <c r="HZ9" s="116">
        <f>+AJ9</f>
        <v>146.97317206058599</v>
      </c>
      <c r="IA9" s="116">
        <f>+AM9</f>
        <v>130.57697141404199</v>
      </c>
      <c r="IB9" s="116">
        <f>+AP9</f>
        <v>126.230990519778</v>
      </c>
      <c r="IC9" s="116">
        <f>+AS9</f>
        <v>144.405092441248</v>
      </c>
      <c r="ID9" s="116">
        <f>+AV9</f>
        <v>119.76140532490599</v>
      </c>
      <c r="IE9" s="116">
        <f>+AY9</f>
        <v>129.589248483528</v>
      </c>
      <c r="IF9" s="116">
        <f>+BB9</f>
        <v>137.88612109985101</v>
      </c>
      <c r="IG9" s="116">
        <f>+BE9</f>
        <v>120.502197522792</v>
      </c>
      <c r="IH9" s="116">
        <f>+BH9</f>
        <v>148.70168718898699</v>
      </c>
      <c r="II9" s="116">
        <f>+BK9</f>
        <v>148.80045948203801</v>
      </c>
      <c r="IJ9" s="116">
        <f>+BN9</f>
        <v>203.273379099924</v>
      </c>
      <c r="IK9" s="116">
        <f>+BQ9</f>
        <v>312.51553521484902</v>
      </c>
      <c r="IL9" s="116">
        <f>+BT9</f>
        <v>255.57330827067699</v>
      </c>
      <c r="IM9" s="116">
        <f>+BW9</f>
        <v>266.04317133413201</v>
      </c>
      <c r="IN9" s="116">
        <f>+BZ9</f>
        <v>230.88023500780901</v>
      </c>
      <c r="IO9" s="116">
        <f>+CC9</f>
        <v>216.706410954924</v>
      </c>
      <c r="IP9" s="116">
        <f>+CF9</f>
        <v>201.44609167847199</v>
      </c>
      <c r="IQ9" s="116">
        <f>+CI9</f>
        <v>266.38887435981297</v>
      </c>
      <c r="IR9" s="116">
        <f>+CL9</f>
        <v>272.61152882205499</v>
      </c>
      <c r="IS9" s="116">
        <f>+CO9</f>
        <v>317.40476372089603</v>
      </c>
      <c r="IT9" s="116">
        <f>+CR9</f>
        <v>291.23010606225699</v>
      </c>
      <c r="IU9" s="116">
        <f>+CU9</f>
        <v>382.69324942791798</v>
      </c>
      <c r="IV9" s="116">
        <f>+CX9</f>
        <v>493.812079110821</v>
      </c>
      <c r="IW9" s="116">
        <f>+DA9</f>
        <v>582.65775671061704</v>
      </c>
      <c r="IX9" s="116">
        <f>+DD9</f>
        <v>631.05618030583696</v>
      </c>
      <c r="IY9" s="116">
        <f>+DG9</f>
        <v>745.13817878028397</v>
      </c>
      <c r="IZ9" s="116">
        <f>+DJ9</f>
        <v>803.61137626675395</v>
      </c>
      <c r="JA9" s="116">
        <f>+DM9</f>
        <v>734.32261269114804</v>
      </c>
      <c r="JB9" s="116">
        <f>+DP9</f>
        <v>767.85580618212202</v>
      </c>
      <c r="JC9" s="116">
        <f>+DS9</f>
        <v>697.67809196905296</v>
      </c>
      <c r="JD9" s="116">
        <f>+DV9</f>
        <v>792.99335476372096</v>
      </c>
      <c r="JE9" s="116">
        <f>+DY9</f>
        <v>757.53410155824304</v>
      </c>
      <c r="JF9" s="116">
        <f>+EB9</f>
        <v>700.14739929534005</v>
      </c>
      <c r="JG9" s="116">
        <f>+EE9</f>
        <v>850.33067088009898</v>
      </c>
      <c r="JH9" s="116">
        <f>+EH9</f>
        <v>866.13423776833395</v>
      </c>
      <c r="JI9" s="116">
        <f>+EK9</f>
        <v>1073.45728088337</v>
      </c>
      <c r="JJ9" s="116">
        <f>+EN9</f>
        <v>1082.7418764302099</v>
      </c>
      <c r="JK9" s="116">
        <f>EQ9</f>
        <v>1083.97653009335</v>
      </c>
      <c r="JL9" s="116">
        <f>ET9</f>
        <v>1196.95</v>
      </c>
      <c r="JM9" s="116">
        <f>EW9</f>
        <v>914.7</v>
      </c>
      <c r="JN9" s="116">
        <f>EZ9</f>
        <v>1001.9</v>
      </c>
      <c r="JO9" s="116">
        <f>FC9</f>
        <v>1098.9000000000001</v>
      </c>
      <c r="JP9" s="116">
        <f>FF9</f>
        <v>1129.3</v>
      </c>
      <c r="JQ9" s="116">
        <f>FI9</f>
        <v>1192</v>
      </c>
      <c r="JR9" s="116">
        <f>FL9</f>
        <v>1014.8</v>
      </c>
      <c r="JS9" s="116">
        <f>FO9</f>
        <v>1130.9000000000001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106.77273942107</v>
      </c>
      <c r="D13" cm="1">
        <f t="array" ref="D13">_xll.EQNXTDZ($A$1,$B13,D$1)</f>
        <v>113.538634564774</v>
      </c>
      <c r="E13" cm="1">
        <f t="array" ref="E13">_xll.EQNXTDZ($A$1,$B13,E$1)</f>
        <v>125.193753206482</v>
      </c>
      <c r="F13" cm="1">
        <f t="array" ref="F13">_xll.EQNXTDZ($A$1,$B13,F$1)</f>
        <v>129.391571361334</v>
      </c>
      <c r="G13" cm="1">
        <f t="array" ref="G13">_xll.EQNXTDZ($A$1,$B13,G$1)</f>
        <v>143.21967822437699</v>
      </c>
      <c r="H13" cm="1">
        <f t="array" ref="H13">_xll.EQNXTDZ($A$1,$B13,H$1)</f>
        <v>150.08434555995899</v>
      </c>
      <c r="I13" cm="1">
        <f t="array" ref="I13">_xll.EQNXTDZ($A$1,$B13,I$1)</f>
        <v>164.94956043773101</v>
      </c>
      <c r="J13" cm="1">
        <f t="array" ref="J13">_xll.EQNXTDZ($A$1,$B13,J$1)</f>
        <v>158.33182358184601</v>
      </c>
      <c r="K13" cm="1">
        <f t="array" ref="K13">_xll.EQNXTDZ($A$1,$B13,K$1)</f>
        <v>150.03495946402001</v>
      </c>
      <c r="L13" cm="1">
        <f t="array" ref="L13">_xll.EQNXTDZ($A$1,$B13,L$1)</f>
        <v>123.95910080799599</v>
      </c>
      <c r="M13" cm="1">
        <f t="array" ref="M13">_xll.EQNXTDZ($A$1,$B13,M$1)</f>
        <v>128.40384944254501</v>
      </c>
      <c r="N13" cm="1">
        <f t="array" ref="N13">_xll.EQNXTDZ($A$1,$B13,N$1)</f>
        <v>144.404944526924</v>
      </c>
      <c r="O13" cm="1">
        <f t="array" ref="O13">_xll.EQNXTDZ($A$1,$B13,O$1)</f>
        <v>144.20740014316601</v>
      </c>
      <c r="P13" cm="1">
        <f t="array" ref="P13">_xll.EQNXTDZ($A$1,$B13,P$1)</f>
        <v>133.342459036489</v>
      </c>
      <c r="Q13" cm="1">
        <f t="array" ref="Q13">_xll.EQNXTDZ($A$1,$B13,Q$1)</f>
        <v>159.072615020938</v>
      </c>
      <c r="R13" cm="1">
        <f t="array" ref="R13">_xll.EQNXTDZ($A$1,$B13,R$1)</f>
        <v>137.787207671039</v>
      </c>
      <c r="S13" cm="1">
        <f t="array" ref="S13">_xll.EQNXTDZ($A$1,$B13,S$1)</f>
        <v>143.21967822437699</v>
      </c>
      <c r="T13" cm="1">
        <f t="array" ref="T13">_xll.EQNXTDZ($A$1,$B13,T$1)</f>
        <v>161.49253372197001</v>
      </c>
      <c r="U13" cm="1">
        <f t="array" ref="U13">_xll.EQNXTDZ($A$1,$B13,U$1)</f>
        <v>148.355832202079</v>
      </c>
      <c r="V13" cm="1">
        <f t="array" ref="V13">_xll.EQNXTDZ($A$1,$B13,V$1)</f>
        <v>159.02322892499799</v>
      </c>
      <c r="W13" cm="1">
        <f t="array" ref="W13">_xll.EQNXTDZ($A$1,$B13,W$1)</f>
        <v>139.66387931673799</v>
      </c>
      <c r="X13" cm="1">
        <f t="array" ref="X13">_xll.EQNXTDZ($A$1,$B13,X$1)</f>
        <v>138.33045472637301</v>
      </c>
      <c r="Y13" cm="1">
        <f t="array" ref="Y13">_xll.EQNXTDZ($A$1,$B13,Y$1)</f>
        <v>149.19539583304999</v>
      </c>
      <c r="Z13" cm="1">
        <f t="array" ref="Z13">_xll.EQNXTDZ($A$1,$B13,Z$1)</f>
        <v>148.15828781832101</v>
      </c>
      <c r="AA13" cm="1">
        <f t="array" ref="AA13">_xll.EQNXTDZ($A$1,$B13,AA$1)</f>
        <v>146.182843980744</v>
      </c>
      <c r="AB13" cm="1">
        <f t="array" ref="AB13">_xll.EQNXTDZ($A$1,$B13,AB$1)</f>
        <v>172.06115825301001</v>
      </c>
      <c r="AC13" cm="1">
        <f t="array" ref="AC13">_xll.EQNXTDZ($A$1,$B13,AC$1)</f>
        <v>151.07206747874801</v>
      </c>
      <c r="AD13" cm="1">
        <f t="array" ref="AD13">_xll.EQNXTDZ($A$1,$B13,AD$1)</f>
        <v>149.14600973711001</v>
      </c>
      <c r="AE13" cm="1">
        <f t="array" ref="AE13">_xll.EQNXTDZ($A$1,$B13,AE$1)</f>
        <v>158.035507006209</v>
      </c>
      <c r="AF13" cm="1">
        <f t="array" ref="AF13">_xll.EQNXTDZ($A$1,$B13,AF$1)</f>
        <v>158.529367965604</v>
      </c>
      <c r="AG13" cm="1">
        <f t="array" ref="AG13">_xll.EQNXTDZ($A$1,$B13,AG$1)</f>
        <v>160.01095084378699</v>
      </c>
      <c r="AH13" cm="1">
        <f t="array" ref="AH13">_xll.EQNXTDZ($A$1,$B13,AH$1)</f>
        <v>149.98557336808099</v>
      </c>
      <c r="AI13" cm="1">
        <f t="array" ref="AI13">_xll.EQNXTDZ($A$1,$B13,AI$1)</f>
        <v>157.047785087421</v>
      </c>
      <c r="AJ13" cm="1">
        <f t="array" ref="AJ13">_xll.EQNXTDZ($A$1,$B13,AJ$1)</f>
        <v>153.09689741226501</v>
      </c>
      <c r="AK13" cm="1">
        <f t="array" ref="AK13">_xll.EQNXTDZ($A$1,$B13,AK$1)</f>
        <v>147.66442685892699</v>
      </c>
      <c r="AL13" cm="1">
        <f t="array" ref="AL13">_xll.EQNXTDZ($A$1,$B13,AL$1)</f>
        <v>143.02213384062</v>
      </c>
      <c r="AM13" cm="1">
        <f t="array" ref="AM13">_xll.EQNXTDZ($A$1,$B13,AM$1)</f>
        <v>143.911083567529</v>
      </c>
      <c r="AN13" cm="1">
        <f t="array" ref="AN13">_xll.EQNXTDZ($A$1,$B13,AN$1)</f>
        <v>131.36701519891199</v>
      </c>
      <c r="AO13" cm="1">
        <f t="array" ref="AO13">_xll.EQNXTDZ($A$1,$B13,AO$1)</f>
        <v>140.15774027613199</v>
      </c>
      <c r="AP13" cm="1">
        <f t="array" ref="AP13">_xll.EQNXTDZ($A$1,$B13,AP$1)</f>
        <v>117.538908335868</v>
      </c>
      <c r="AQ13" cm="1">
        <f t="array" ref="AQ13">_xll.EQNXTDZ($A$1,$B13,AQ$1)</f>
        <v>126.576563892786</v>
      </c>
      <c r="AR13" cm="1">
        <f t="array" ref="AR13">_xll.EQNXTDZ($A$1,$B13,AR$1)</f>
        <v>132.25596492582201</v>
      </c>
      <c r="AS13" cm="1">
        <f t="array" ref="AS13">_xll.EQNXTDZ($A$1,$B13,AS$1)</f>
        <v>136.30562479285601</v>
      </c>
      <c r="AT13" cm="1">
        <f t="array" ref="AT13">_xll.EQNXTDZ($A$1,$B13,AT$1)</f>
        <v>145.195122061955</v>
      </c>
      <c r="AU13" cm="1">
        <f t="array" ref="AU13">_xll.EQNXTDZ($A$1,$B13,AU$1)</f>
        <v>125.440683686179</v>
      </c>
      <c r="AV13" cm="1">
        <f t="array" ref="AV13">_xll.EQNXTDZ($A$1,$B13,AV$1)</f>
        <v>103.710801472825</v>
      </c>
      <c r="AW13" cm="1">
        <f t="array" ref="AW13">_xll.EQNXTDZ($A$1,$B13,AW$1)</f>
        <v>120.353915804416</v>
      </c>
      <c r="AX13" cm="1">
        <f t="array" ref="AX13">_xll.EQNXTDZ($A$1,$B13,AX$1)</f>
        <v>118.427858062778</v>
      </c>
      <c r="AY13" cm="1">
        <f t="array" ref="AY13">_xll.EQNXTDZ($A$1,$B13,AY$1)</f>
        <v>117.538908335868</v>
      </c>
      <c r="AZ13" cm="1">
        <f t="array" ref="AZ13">_xll.EQNXTDZ($A$1,$B13,AZ$1)</f>
        <v>130.37929328012299</v>
      </c>
      <c r="BA13" cm="1">
        <f t="array" ref="BA13">_xll.EQNXTDZ($A$1,$B13,BA$1)</f>
        <v>141.738095346194</v>
      </c>
      <c r="BB13" cm="1">
        <f t="array" ref="BB13">_xll.EQNXTDZ($A$1,$B13,BB$1)</f>
        <v>138.72554349388801</v>
      </c>
      <c r="BC13" cm="1">
        <f t="array" ref="BC13">_xll.EQNXTDZ($A$1,$B13,BC$1)</f>
        <v>139.26879054922199</v>
      </c>
      <c r="BD13" cm="1">
        <f t="array" ref="BD13">_xll.EQNXTDZ($A$1,$B13,BD$1)</f>
        <v>137.98475205479701</v>
      </c>
      <c r="BE13" cm="1">
        <f t="array" ref="BE13">_xll.EQNXTDZ($A$1,$B13,BE$1)</f>
        <v>123.267695464843</v>
      </c>
      <c r="BF13" cm="1">
        <f t="array" ref="BF13">_xll.EQNXTDZ($A$1,$B13,BF$1)</f>
        <v>121.193479435387</v>
      </c>
      <c r="BG13" cm="1">
        <f t="array" ref="BG13">_xll.EQNXTDZ($A$1,$B13,BG$1)</f>
        <v>126.527177796846</v>
      </c>
      <c r="BH13" cm="1">
        <f t="array" ref="BH13">_xll.EQNXTDZ($A$1,$B13,BH$1)</f>
        <v>136.84887184818899</v>
      </c>
      <c r="BI13" cm="1">
        <f t="array" ref="BI13">_xll.EQNXTDZ($A$1,$B13,BI$1)</f>
        <v>150.03495946402001</v>
      </c>
      <c r="BJ13" cm="1">
        <f t="array" ref="BJ13">_xll.EQNXTDZ($A$1,$B13,BJ$1)</f>
        <v>152.10917549347701</v>
      </c>
      <c r="BK13" cm="1">
        <f t="array" ref="BK13">_xll.EQNXTDZ($A$1,$B13,BK$1)</f>
        <v>147.17056589953299</v>
      </c>
      <c r="BL13" cm="1">
        <f t="array" ref="BL13">_xll.EQNXTDZ($A$1,$B13,BL$1)</f>
        <v>150.133731655899</v>
      </c>
      <c r="BM13" cm="1">
        <f t="array" ref="BM13">_xll.EQNXTDZ($A$1,$B13,BM$1)</f>
        <v>167.962112290037</v>
      </c>
      <c r="BN13" cm="1">
        <f t="array" ref="BN13">_xll.EQNXTDZ($A$1,$B13,BN$1)</f>
        <v>195.470167728305</v>
      </c>
      <c r="BO13" cm="1">
        <f t="array" ref="BO13">_xll.EQNXTDZ($A$1,$B13,BO$1)</f>
        <v>204.95229814867801</v>
      </c>
      <c r="BP13" cm="1">
        <f t="array" ref="BP13">_xll.EQNXTDZ($A$1,$B13,BP$1)</f>
        <v>225.793230635122</v>
      </c>
      <c r="BQ13" cm="1">
        <f t="array" ref="BQ13">_xll.EQNXTDZ($A$1,$B13,BQ$1)</f>
        <v>285.84672329748099</v>
      </c>
      <c r="BR13" cm="1">
        <f t="array" ref="BR13">_xll.EQNXTDZ($A$1,$B13,BR$1)</f>
        <v>313.10784825605202</v>
      </c>
      <c r="BS13" cm="1">
        <f t="array" ref="BS13">_xll.EQNXTDZ($A$1,$B13,BS$1)</f>
        <v>284.51329870711601</v>
      </c>
      <c r="BT13" cm="1">
        <f t="array" ref="BT13">_xll.EQNXTDZ($A$1,$B13,BT$1)</f>
        <v>271.62352766692197</v>
      </c>
      <c r="BU13" cm="1">
        <f t="array" ref="BU13">_xll.EQNXTDZ($A$1,$B13,BU$1)</f>
        <v>256.80769888509002</v>
      </c>
      <c r="BV13" cm="1">
        <f t="array" ref="BV13">_xll.EQNXTDZ($A$1,$B13,BV$1)</f>
        <v>292.85954892088199</v>
      </c>
      <c r="BW13" cm="1">
        <f t="array" ref="BW13">_xll.EQNXTDZ($A$1,$B13,BW$1)</f>
        <v>266.68491807297801</v>
      </c>
      <c r="BX13" cm="1">
        <f t="array" ref="BX13">_xll.EQNXTDZ($A$1,$B13,BX$1)</f>
        <v>266.33921540140199</v>
      </c>
      <c r="BY13" cm="1">
        <f t="array" ref="BY13">_xll.EQNXTDZ($A$1,$B13,BY$1)</f>
        <v>245.44889681901901</v>
      </c>
      <c r="BZ13" cm="1">
        <f t="array" ref="BZ13">_xll.EQNXTDZ($A$1,$B13,BZ$1)</f>
        <v>231.126928996581</v>
      </c>
      <c r="CA13" cm="1">
        <f t="array" ref="CA13">_xll.EQNXTDZ($A$1,$B13,CA$1)</f>
        <v>232.015878723491</v>
      </c>
      <c r="CB13" cm="1">
        <f t="array" ref="CB13">_xll.EQNXTDZ($A$1,$B13,CB$1)</f>
        <v>214.33565637717101</v>
      </c>
      <c r="CC13" cm="1">
        <f t="array" ref="CC13">_xll.EQNXTDZ($A$1,$B13,CC$1)</f>
        <v>214.38504247311101</v>
      </c>
      <c r="CD13" cm="1">
        <f t="array" ref="CD13">_xll.EQNXTDZ($A$1,$B13,CD$1)</f>
        <v>216.854347270083</v>
      </c>
      <c r="CE13" cm="1">
        <f t="array" ref="CE13">_xll.EQNXTDZ($A$1,$B13,CE$1)</f>
        <v>200.50754951412799</v>
      </c>
      <c r="CF13" cm="1">
        <f t="array" ref="CF13">_xll.EQNXTDZ($A$1,$B13,CF$1)</f>
        <v>191.86498272472599</v>
      </c>
      <c r="CG13" cm="1">
        <f t="array" ref="CG13">_xll.EQNXTDZ($A$1,$B13,CG$1)</f>
        <v>202.482993351706</v>
      </c>
      <c r="CH13" cm="1">
        <f t="array" ref="CH13">_xll.EQNXTDZ($A$1,$B13,CH$1)</f>
        <v>206.680811506558</v>
      </c>
      <c r="CI13" cm="1">
        <f t="array" ref="CI13">_xll.EQNXTDZ($A$1,$B13,CI$1)</f>
        <v>241.300464760106</v>
      </c>
      <c r="CJ13" cm="1">
        <f t="array" ref="CJ13">_xll.EQNXTDZ($A$1,$B13,CJ$1)</f>
        <v>270.58641965219402</v>
      </c>
      <c r="CK13" cm="1">
        <f t="array" ref="CK13">_xll.EQNXTDZ($A$1,$B13,CK$1)</f>
        <v>248.16513209568799</v>
      </c>
      <c r="CL13" cm="1">
        <f t="array" ref="CL13">_xll.EQNXTDZ($A$1,$B13,CL$1)</f>
        <v>275.08055438268298</v>
      </c>
      <c r="CM13" cm="1">
        <f t="array" ref="CM13">_xll.EQNXTDZ($A$1,$B13,CM$1)</f>
        <v>277.54985917965502</v>
      </c>
      <c r="CN13" cm="1">
        <f t="array" ref="CN13">_xll.EQNXTDZ($A$1,$B13,CN$1)</f>
        <v>313.10784825605202</v>
      </c>
      <c r="CO13" cm="1">
        <f t="array" ref="CO13">_xll.EQNXTDZ($A$1,$B13,CO$1)</f>
        <v>321.89857333327302</v>
      </c>
      <c r="CP13" cm="1">
        <f t="array" ref="CP13">_xll.EQNXTDZ($A$1,$B13,CP$1)</f>
        <v>318.04645784999599</v>
      </c>
      <c r="CQ13" cm="1">
        <f t="array" ref="CQ13">_xll.EQNXTDZ($A$1,$B13,CQ$1)</f>
        <v>379.23583071896297</v>
      </c>
      <c r="CR13" cm="1">
        <f t="array" ref="CR13">_xll.EQNXTDZ($A$1,$B13,CR$1)</f>
        <v>342.73950581971701</v>
      </c>
      <c r="CS13" cm="1">
        <f t="array" ref="CS13">_xll.EQNXTDZ($A$1,$B13,CS$1)</f>
        <v>295.23008152597498</v>
      </c>
      <c r="CT13" cm="1">
        <f t="array" ref="CT13">_xll.EQNXTDZ($A$1,$B13,CT$1)</f>
        <v>339.67756787147101</v>
      </c>
      <c r="CU13" cm="1">
        <f t="array" ref="CU13">_xll.EQNXTDZ($A$1,$B13,CU$1)</f>
        <v>364.27184364931298</v>
      </c>
      <c r="CV13" cm="1">
        <f t="array" ref="CV13">_xll.EQNXTDZ($A$1,$B13,CV$1)</f>
        <v>382.74224353066302</v>
      </c>
      <c r="CW13" cm="1">
        <f t="array" ref="CW13">_xll.EQNXTDZ($A$1,$B13,CW$1)</f>
        <v>428.57254056246398</v>
      </c>
      <c r="CX13" cm="1">
        <f t="array" ref="CX13">_xll.EQNXTDZ($A$1,$B13,CX$1)</f>
        <v>520.52945120170205</v>
      </c>
      <c r="CY13" cm="1">
        <f t="array" ref="CY13">_xll.EQNXTDZ($A$1,$B13,CY$1)</f>
        <v>503.54063419853497</v>
      </c>
      <c r="CZ13" cm="1">
        <f t="array" ref="CZ13">_xll.EQNXTDZ($A$1,$B13,CZ$1)</f>
        <v>487.93462788167199</v>
      </c>
      <c r="DA13" cm="1">
        <f t="array" ref="DA13">_xll.EQNXTDZ($A$1,$B13,DA$1)</f>
        <v>543.24705533384497</v>
      </c>
      <c r="DB13" cm="1">
        <f t="array" ref="DB13">_xll.EQNXTDZ($A$1,$B13,DB$1)</f>
        <v>586.70681976055198</v>
      </c>
      <c r="DC13" cm="1">
        <f t="array" ref="DC13">_xll.EQNXTDZ($A$1,$B13,DC$1)</f>
        <v>554.60585739991598</v>
      </c>
      <c r="DD13" cm="1">
        <f t="array" ref="DD13">_xll.EQNXTDZ($A$1,$B13,DD$1)</f>
        <v>609.81951266021099</v>
      </c>
      <c r="DE13" cm="1">
        <f t="array" ref="DE13">_xll.EQNXTDZ($A$1,$B13,DE$1)</f>
        <v>637.82142905787305</v>
      </c>
      <c r="DF13" cm="1">
        <f t="array" ref="DF13">_xll.EQNXTDZ($A$1,$B13,DF$1)</f>
        <v>652.88418831940305</v>
      </c>
      <c r="DG13" cm="1">
        <f t="array" ref="DG13">_xll.EQNXTDZ($A$1,$B13,DG$1)</f>
        <v>656.78568989861799</v>
      </c>
      <c r="DH13" cm="1">
        <f t="array" ref="DH13">_xll.EQNXTDZ($A$1,$B13,DH$1)</f>
        <v>749.68093636070603</v>
      </c>
      <c r="DI13" cm="1">
        <f t="array" ref="DI13">_xll.EQNXTDZ($A$1,$B13,DI$1)</f>
        <v>753.63182403586097</v>
      </c>
      <c r="DJ13" cm="1">
        <f t="array" ref="DJ13">_xll.EQNXTDZ($A$1,$B13,DJ$1)</f>
        <v>855.36718167110803</v>
      </c>
      <c r="DK13" cm="1">
        <f t="array" ref="DK13">_xll.EQNXTDZ($A$1,$B13,DK$1)</f>
        <v>804.94397771694003</v>
      </c>
      <c r="DL13" cm="1">
        <f t="array" ref="DL13">_xll.EQNXTDZ($A$1,$B13,DL$1)</f>
        <v>808.00591566518494</v>
      </c>
      <c r="DM13" cm="1">
        <f t="array" ref="DM13">_xll.EQNXTDZ($A$1,$B13,DM$1)</f>
        <v>778.47303029340003</v>
      </c>
      <c r="DN13" cm="1">
        <f t="array" ref="DN13">_xll.EQNXTDZ($A$1,$B13,DN$1)</f>
        <v>736.29730436111799</v>
      </c>
      <c r="DO13" cm="1">
        <f t="array" ref="DO13">_xll.EQNXTDZ($A$1,$B13,DO$1)</f>
        <v>724.83973010316697</v>
      </c>
      <c r="DP13" cm="1">
        <f t="array" ref="DP13">_xll.EQNXTDZ($A$1,$B13,DP$1)</f>
        <v>711.06100933606297</v>
      </c>
      <c r="DQ13" cm="1">
        <f t="array" ref="DQ13">_xll.EQNXTDZ($A$1,$B13,DQ$1)</f>
        <v>767.70686137860196</v>
      </c>
      <c r="DR13" cm="1">
        <f t="array" ref="DR13">_xll.EQNXTDZ($A$1,$B13,DR$1)</f>
        <v>813.88286108197804</v>
      </c>
      <c r="DS13" cm="1">
        <f t="array" ref="DS13">_xll.EQNXTDZ($A$1,$B13,DS$1)</f>
        <v>749.48339197694804</v>
      </c>
      <c r="DT13" cm="1">
        <f t="array" ref="DT13">_xll.EQNXTDZ($A$1,$B13,DT$1)</f>
        <v>691.40534315216598</v>
      </c>
      <c r="DU13" cm="1">
        <f t="array" ref="DU13">_xll.EQNXTDZ($A$1,$B13,DU$1)</f>
        <v>803.46239483875695</v>
      </c>
      <c r="DV13" cm="1">
        <f t="array" ref="DV13">_xll.EQNXTDZ($A$1,$B13,DV$1)</f>
        <v>798.178082573236</v>
      </c>
      <c r="DW13" cm="1">
        <f t="array" ref="DW13">_xll.EQNXTDZ($A$1,$B13,DW$1)</f>
        <v>790.57262379856297</v>
      </c>
      <c r="DX13" cm="1">
        <f t="array" ref="DX13">_xll.EQNXTDZ($A$1,$B13,DX$1)</f>
        <v>761.533599386172</v>
      </c>
      <c r="DY13" cm="1">
        <f t="array" ref="DY13">_xll.EQNXTDZ($A$1,$B13,DY$1)</f>
        <v>810.22828998245996</v>
      </c>
      <c r="DZ13" cm="1">
        <f t="array" ref="DZ13">_xll.EQNXTDZ($A$1,$B13,DZ$1)</f>
        <v>759.21245287701799</v>
      </c>
      <c r="EA13" cm="1">
        <f t="array" ref="EA13">_xll.EQNXTDZ($A$1,$B13,EA$1)</f>
        <v>724.24709695189404</v>
      </c>
      <c r="EB13" cm="1">
        <f t="array" ref="EB13">_xll.EQNXTDZ($A$1,$B13,EB$1)</f>
        <v>708.09784357969704</v>
      </c>
      <c r="EC13" cm="1">
        <f t="array" ref="EC13">_xll.EQNXTDZ($A$1,$B13,EC$1)</f>
        <v>700.14668213344703</v>
      </c>
      <c r="ED13" cm="1">
        <f t="array" ref="ED13">_xll.EQNXTDZ($A$1,$B13,ED$1)</f>
        <v>755.60726787343901</v>
      </c>
      <c r="EE13" cm="1">
        <f t="array" ref="EE13">_xll.EQNXTDZ($A$1,$B13,EE$1)</f>
        <v>787.26375537061995</v>
      </c>
      <c r="EF13" cm="1">
        <f t="array" ref="EF13">_xll.EQNXTDZ($A$1,$B13,EF$1)</f>
        <v>851.91015495534805</v>
      </c>
      <c r="EG13" cm="1">
        <f t="array" ref="EG13">_xll.EQNXTDZ($A$1,$B13,EG$1)</f>
        <v>852.40401591474199</v>
      </c>
      <c r="EH13" cm="1">
        <f t="array" ref="EH13">_xll.EQNXTDZ($A$1,$B13,EH$1)</f>
        <v>820.84630060943903</v>
      </c>
      <c r="EI13" cm="1">
        <f t="array" ref="EI13">_xll.EQNXTDZ($A$1,$B13,EI$1)</f>
        <v>862.28123510263003</v>
      </c>
      <c r="EJ13" cm="1">
        <f t="array" ref="EJ13">_xll.EQNXTDZ($A$1,$B13,EJ$1)</f>
        <v>892.95000068102297</v>
      </c>
      <c r="EK13" cm="1">
        <f t="array" ref="EK13">_xll.EQNXTDZ($A$1,$B13,EK$1)</f>
        <v>929.54509777214798</v>
      </c>
      <c r="EL13" cm="1">
        <f t="array" ref="EL13">_xll.EQNXTDZ($A$1,$B13,EL$1)</f>
        <v>1083.4815588153799</v>
      </c>
      <c r="EM13" cm="1">
        <f t="array" ref="EM13">_xll.EQNXTDZ($A$1,$B13,EM$1)</f>
        <v>1105.65591589219</v>
      </c>
      <c r="EN13" cm="1">
        <f t="array" ref="EN13">_xll.EQNXTDZ($A$1,$B13,EN$1)</f>
        <v>1185.2663025465699</v>
      </c>
      <c r="EO13" cm="1">
        <f t="array" ref="EO13">_xll.EQNXTDZ($A$1,$B13,EO$1)</f>
        <v>1086.4941106676899</v>
      </c>
      <c r="EP13" cm="1">
        <f t="array" ref="EP13">_xll.EQNXTDZ($A$1,$B13,EP$1)</f>
        <v>1099.0875651322499</v>
      </c>
      <c r="EQ13" cm="1">
        <f t="array" ref="EQ13">_xll.EQNXTDZ($A$1,$B13,EQ$1)</f>
        <v>1067.1841471553701</v>
      </c>
      <c r="ER13" cm="1">
        <f t="array" ref="ER13">_xll.EQNXTDZ($A$1,$B13,ER$1)</f>
        <v>1081.6542732656201</v>
      </c>
      <c r="ES13" cm="1">
        <f t="array" ref="ES13">_xll.EQNXTDZ($A$1,$B13,ES$1)</f>
        <v>1188.55</v>
      </c>
      <c r="ET13" cm="1">
        <f t="array" ref="ET13">_xll.EQNXTDZ($A$1,$B13,ET$1)</f>
        <v>1199.2</v>
      </c>
      <c r="EU13" cm="1">
        <f t="array" ref="EU13">_xll.EQNXTDZ($A$1,$B13,EU$1)</f>
        <v>1198</v>
      </c>
      <c r="EV13" cm="1">
        <f t="array" ref="EV13">_xll.EQNXTDZ($A$1,$B13,EV$1)</f>
        <v>1013.6</v>
      </c>
      <c r="EW13" cm="1">
        <f t="array" ref="EW13">_xll.EQNXTDZ($A$1,$B13,EW$1)</f>
        <v>959.95</v>
      </c>
      <c r="EX13" cm="1">
        <f t="array" ref="EX13">_xll.EQNXTDZ($A$1,$B13,EX$1)</f>
        <v>916.95</v>
      </c>
      <c r="EY13" cm="1">
        <f t="array" ref="EY13">_xll.EQNXTDZ($A$1,$B13,EY$1)</f>
        <v>1029.8499999999999</v>
      </c>
      <c r="EZ13" cm="1">
        <f t="array" ref="EZ13">_xll.EQNXTDZ($A$1,$B13,EZ$1)</f>
        <v>965.6</v>
      </c>
      <c r="FA13" cm="1">
        <f t="array" ref="FA13">_xll.EQNXTDZ($A$1,$B13,FA$1)</f>
        <v>1000.25</v>
      </c>
      <c r="FB13" cm="1">
        <f t="array" ref="FB13">_xll.EQNXTDZ($A$1,$B13,FB$1)</f>
        <v>1152.5</v>
      </c>
      <c r="FC13" cm="1">
        <f t="array" ref="FC13">_xll.EQNXTDZ($A$1,$B13,FC$1)</f>
        <v>1093.25</v>
      </c>
      <c r="FD13" cm="1">
        <f t="array" ref="FD13">_xll.EQNXTDZ($A$1,$B13,FD$1)</f>
        <v>1093.25</v>
      </c>
      <c r="FE13" cm="1">
        <f t="array" ref="FE13">_xll.EQNXTDZ($A$1,$B13,FE$1)</f>
        <v>1072</v>
      </c>
      <c r="FF13" cm="1">
        <f t="array" ref="FF13">_xll.EQNXTDZ($A$1,$B13,FF$1)</f>
        <v>1060.05</v>
      </c>
      <c r="FG13" cm="1">
        <f t="array" ref="FG13">_xll.EQNXTDZ($A$1,$B13,FG$1)</f>
        <v>1131.95</v>
      </c>
      <c r="FH13" cm="1">
        <f t="array" ref="FH13">_xll.EQNXTDZ($A$1,$B13,FH$1)</f>
        <v>1160.6500000000001</v>
      </c>
      <c r="FI13" cm="1">
        <f t="array" ref="FI13">_xll.EQNXTDZ($A$1,$B13,FI$1)</f>
        <v>1171.6500000000001</v>
      </c>
      <c r="FJ13" cm="1">
        <f t="array" ref="FJ13">_xll.EQNXTDZ($A$1,$B13,FJ$1)</f>
        <v>1186.5</v>
      </c>
      <c r="FK13" cm="1">
        <f t="array" ref="FK13">_xll.EQNXTDZ($A$1,$B13,FK$1)</f>
        <v>1135.3499999999999</v>
      </c>
      <c r="FL13" cm="1">
        <f t="array" ref="FL13">_xll.EQNXTDZ($A$1,$B13,FL$1)</f>
        <v>1031.3</v>
      </c>
      <c r="FM13" cm="1">
        <f t="array" ref="FM13">_xll.EQNXTDZ($A$1,$B13,FM$1)</f>
        <v>1034.75</v>
      </c>
      <c r="FN13" cm="1">
        <f t="array" ref="FN13">_xll.EQNXTDZ($A$1,$B13,FN$1)</f>
        <v>1147</v>
      </c>
      <c r="FO13" cm="1">
        <f t="array" ref="FO13">_xll.EQNXTDZ($A$1,$B13,FO$1)</f>
        <v>1168.8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117.291977856171</v>
      </c>
      <c r="D14" s="116" cm="1">
        <f t="array" ref="D14">_xll.EQNXTDZ($A$1,$B14,D$1)</f>
        <v>126.379019509028</v>
      </c>
      <c r="E14" s="116" cm="1">
        <f t="array" ref="E14">_xll.EQNXTDZ($A$1,$B14,E$1)</f>
        <v>136.05869431315801</v>
      </c>
      <c r="F14" s="116" cm="1">
        <f t="array" ref="F14">_xll.EQNXTDZ($A$1,$B14,F$1)</f>
        <v>142.52827288122501</v>
      </c>
      <c r="G14" s="116" cm="1">
        <f t="array" ref="G14">_xll.EQNXTDZ($A$1,$B14,G$1)</f>
        <v>162.875344408275</v>
      </c>
      <c r="H14" s="116" cm="1">
        <f t="array" ref="H14">_xll.EQNXTDZ($A$1,$B14,H$1)</f>
        <v>179.46907264392701</v>
      </c>
      <c r="I14" s="116" cm="1">
        <f t="array" ref="I14">_xll.EQNXTDZ($A$1,$B14,I$1)</f>
        <v>172.20931654082901</v>
      </c>
      <c r="J14" s="116" cm="1">
        <f t="array" ref="J14">_xll.EQNXTDZ($A$1,$B14,J$1)</f>
        <v>166.82623208343</v>
      </c>
      <c r="K14" s="116" cm="1">
        <f t="array" ref="K14">_xll.EQNXTDZ($A$1,$B14,K$1)</f>
        <v>152.60303645287101</v>
      </c>
      <c r="L14" s="116" cm="1">
        <f t="array" ref="L14">_xll.EQNXTDZ($A$1,$B14,L$1)</f>
        <v>134.82404191467199</v>
      </c>
      <c r="M14" s="116" cm="1">
        <f t="array" ref="M14">_xll.EQNXTDZ($A$1,$B14,M$1)</f>
        <v>146.084071788865</v>
      </c>
      <c r="N14" s="116" cm="1">
        <f t="array" ref="N14">_xll.EQNXTDZ($A$1,$B14,N$1)</f>
        <v>151.46715624626401</v>
      </c>
      <c r="O14" s="116" cm="1">
        <f t="array" ref="O14">_xll.EQNXTDZ($A$1,$B14,O$1)</f>
        <v>150.87452309499099</v>
      </c>
      <c r="P14" s="116" cm="1">
        <f t="array" ref="P14">_xll.EQNXTDZ($A$1,$B14,P$1)</f>
        <v>161.591305913849</v>
      </c>
      <c r="Q14" s="116" cm="1">
        <f t="array" ref="Q14">_xll.EQNXTDZ($A$1,$B14,Q$1)</f>
        <v>161.986394681365</v>
      </c>
      <c r="R14" s="116" cm="1">
        <f t="array" ref="R14">_xll.EQNXTDZ($A$1,$B14,R$1)</f>
        <v>152.10917549347701</v>
      </c>
      <c r="S14" s="116" cm="1">
        <f t="array" ref="S14">_xll.EQNXTDZ($A$1,$B14,S$1)</f>
        <v>166.33237112403501</v>
      </c>
      <c r="T14" s="116" cm="1">
        <f t="array" ref="T14">_xll.EQNXTDZ($A$1,$B14,T$1)</f>
        <v>168.110270577855</v>
      </c>
      <c r="U14" s="116" cm="1">
        <f t="array" ref="U14">_xll.EQNXTDZ($A$1,$B14,U$1)</f>
        <v>163.96183851894199</v>
      </c>
      <c r="V14" s="116" cm="1">
        <f t="array" ref="V14">_xll.EQNXTDZ($A$1,$B14,V$1)</f>
        <v>160.65297009099999</v>
      </c>
      <c r="W14" s="116" cm="1">
        <f t="array" ref="W14">_xll.EQNXTDZ($A$1,$B14,W$1)</f>
        <v>144.20740014316601</v>
      </c>
      <c r="X14" s="116" cm="1">
        <f t="array" ref="X14">_xll.EQNXTDZ($A$1,$B14,X$1)</f>
        <v>150.72636480717199</v>
      </c>
      <c r="Y14" s="116" cm="1">
        <f t="array" ref="Y14">_xll.EQNXTDZ($A$1,$B14,Y$1)</f>
        <v>157.98612091026999</v>
      </c>
      <c r="Z14" s="116" cm="1">
        <f t="array" ref="Z14">_xll.EQNXTDZ($A$1,$B14,Z$1)</f>
        <v>160.89990057069701</v>
      </c>
      <c r="AA14" s="116" cm="1">
        <f t="array" ref="AA14">_xll.EQNXTDZ($A$1,$B14,AA$1)</f>
        <v>174.974937913437</v>
      </c>
      <c r="AB14" s="116" cm="1">
        <f t="array" ref="AB14">_xll.EQNXTDZ($A$1,$B14,AB$1)</f>
        <v>174.72800743374</v>
      </c>
      <c r="AC14" s="116" cm="1">
        <f t="array" ref="AC14">_xll.EQNXTDZ($A$1,$B14,AC$1)</f>
        <v>158.72691234936201</v>
      </c>
      <c r="AD14" s="116" cm="1">
        <f t="array" ref="AD14">_xll.EQNXTDZ($A$1,$B14,AD$1)</f>
        <v>170.72773366264599</v>
      </c>
      <c r="AE14" s="116" cm="1">
        <f t="array" ref="AE14">_xll.EQNXTDZ($A$1,$B14,AE$1)</f>
        <v>161.69007810572799</v>
      </c>
      <c r="AF14" s="116" cm="1">
        <f t="array" ref="AF14">_xll.EQNXTDZ($A$1,$B14,AF$1)</f>
        <v>163.96183851894199</v>
      </c>
      <c r="AG14" s="116" cm="1">
        <f t="array" ref="AG14">_xll.EQNXTDZ($A$1,$B14,AG$1)</f>
        <v>163.81368023112401</v>
      </c>
      <c r="AH14" s="116" cm="1">
        <f t="array" ref="AH14">_xll.EQNXTDZ($A$1,$B14,AH$1)</f>
        <v>160.10972303566601</v>
      </c>
      <c r="AI14" s="116" cm="1">
        <f t="array" ref="AI14">_xll.EQNXTDZ($A$1,$B14,AI$1)</f>
        <v>165.64096578088299</v>
      </c>
      <c r="AJ14" s="116" cm="1">
        <f t="array" ref="AJ14">_xll.EQNXTDZ($A$1,$B14,AJ$1)</f>
        <v>162.67780002451701</v>
      </c>
      <c r="AK14" s="116" cm="1">
        <f t="array" ref="AK14">_xll.EQNXTDZ($A$1,$B14,AK$1)</f>
        <v>161.39376153009101</v>
      </c>
      <c r="AL14" s="116" cm="1">
        <f t="array" ref="AL14">_xll.EQNXTDZ($A$1,$B14,AL$1)</f>
        <v>148.55337658583699</v>
      </c>
      <c r="AM14" s="116" cm="1">
        <f t="array" ref="AM14">_xll.EQNXTDZ($A$1,$B14,AM$1)</f>
        <v>144.45433062286301</v>
      </c>
      <c r="AN14" s="116" cm="1">
        <f t="array" ref="AN14">_xll.EQNXTDZ($A$1,$B14,AN$1)</f>
        <v>141.2442343868</v>
      </c>
      <c r="AO14" s="116" cm="1">
        <f t="array" ref="AO14">_xll.EQNXTDZ($A$1,$B14,AO$1)</f>
        <v>145.24450815789399</v>
      </c>
      <c r="AP14" s="116" cm="1">
        <f t="array" ref="AP14">_xll.EQNXTDZ($A$1,$B14,AP$1)</f>
        <v>127.761830195332</v>
      </c>
      <c r="AQ14" s="116" cm="1">
        <f t="array" ref="AQ14">_xll.EQNXTDZ($A$1,$B14,AQ$1)</f>
        <v>139.76265150861599</v>
      </c>
      <c r="AR14" s="116" cm="1">
        <f t="array" ref="AR14">_xll.EQNXTDZ($A$1,$B14,AR$1)</f>
        <v>136.60194136849199</v>
      </c>
      <c r="AS14" s="116" cm="1">
        <f t="array" ref="AS14">_xll.EQNXTDZ($A$1,$B14,AS$1)</f>
        <v>146.084071788865</v>
      </c>
      <c r="AT14" s="116" cm="1">
        <f t="array" ref="AT14">_xll.EQNXTDZ($A$1,$B14,AT$1)</f>
        <v>147.96074343456399</v>
      </c>
      <c r="AU14" s="116" cm="1">
        <f t="array" ref="AU14">_xll.EQNXTDZ($A$1,$B14,AU$1)</f>
        <v>126.774108276544</v>
      </c>
      <c r="AV14" s="116" cm="1">
        <f t="array" ref="AV14">_xll.EQNXTDZ($A$1,$B14,AV$1)</f>
        <v>122.378745737933</v>
      </c>
      <c r="AW14" s="116" cm="1">
        <f t="array" ref="AW14">_xll.EQNXTDZ($A$1,$B14,AW$1)</f>
        <v>122.625676217631</v>
      </c>
      <c r="AX14" s="116" cm="1">
        <f t="array" ref="AX14">_xll.EQNXTDZ($A$1,$B14,AX$1)</f>
        <v>122.428131833873</v>
      </c>
      <c r="AY14" s="116" cm="1">
        <f t="array" ref="AY14">_xll.EQNXTDZ($A$1,$B14,AY$1)</f>
        <v>129.885432320728</v>
      </c>
      <c r="AZ14" s="116" cm="1">
        <f t="array" ref="AZ14">_xll.EQNXTDZ($A$1,$B14,AZ$1)</f>
        <v>143.120906032498</v>
      </c>
      <c r="BA14" s="116" cm="1">
        <f t="array" ref="BA14">_xll.EQNXTDZ($A$1,$B14,BA$1)</f>
        <v>145.195122061955</v>
      </c>
      <c r="BB14" s="116" cm="1">
        <f t="array" ref="BB14">_xll.EQNXTDZ($A$1,$B14,BB$1)</f>
        <v>147.071793707654</v>
      </c>
      <c r="BC14" s="116" cm="1">
        <f t="array" ref="BC14">_xll.EQNXTDZ($A$1,$B14,BC$1)</f>
        <v>155.71436049705599</v>
      </c>
      <c r="BD14" s="116" cm="1">
        <f t="array" ref="BD14">_xll.EQNXTDZ($A$1,$B14,BD$1)</f>
        <v>139.071246165464</v>
      </c>
      <c r="BE14" s="116" cm="1">
        <f t="array" ref="BE14">_xll.EQNXTDZ($A$1,$B14,BE$1)</f>
        <v>125.243139302421</v>
      </c>
      <c r="BF14" s="116" cm="1">
        <f t="array" ref="BF14">_xll.EQNXTDZ($A$1,$B14,BF$1)</f>
        <v>130.32990718418301</v>
      </c>
      <c r="BG14" s="116" cm="1">
        <f t="array" ref="BG14">_xll.EQNXTDZ($A$1,$B14,BG$1)</f>
        <v>145.293894253834</v>
      </c>
      <c r="BH14" s="116" cm="1">
        <f t="array" ref="BH14">_xll.EQNXTDZ($A$1,$B14,BH$1)</f>
        <v>152.01040330159799</v>
      </c>
      <c r="BI14" s="116" cm="1">
        <f t="array" ref="BI14">_xll.EQNXTDZ($A$1,$B14,BI$1)</f>
        <v>154.47970809857</v>
      </c>
      <c r="BJ14" s="116" cm="1">
        <f t="array" ref="BJ14">_xll.EQNXTDZ($A$1,$B14,BJ$1)</f>
        <v>159.61586207627201</v>
      </c>
      <c r="BK14" s="116" cm="1">
        <f t="array" ref="BK14">_xll.EQNXTDZ($A$1,$B14,BK$1)</f>
        <v>160.80112837881799</v>
      </c>
      <c r="BL14" s="116" cm="1">
        <f t="array" ref="BL14">_xll.EQNXTDZ($A$1,$B14,BL$1)</f>
        <v>177.04915394289401</v>
      </c>
      <c r="BM14" s="116" cm="1">
        <f t="array" ref="BM14">_xll.EQNXTDZ($A$1,$B14,BM$1)</f>
        <v>200.50754951412799</v>
      </c>
      <c r="BN14" s="116" cm="1">
        <f t="array" ref="BN14">_xll.EQNXTDZ($A$1,$B14,BN$1)</f>
        <v>217.54575261323501</v>
      </c>
      <c r="BO14" s="116" cm="1">
        <f t="array" ref="BO14">_xll.EQNXTDZ($A$1,$B14,BO$1)</f>
        <v>226.87972474578899</v>
      </c>
      <c r="BP14" s="116" cm="1">
        <f t="array" ref="BP14">_xll.EQNXTDZ($A$1,$B14,BP$1)</f>
        <v>288.167869806635</v>
      </c>
      <c r="BQ14" s="116" cm="1">
        <f t="array" ref="BQ14">_xll.EQNXTDZ($A$1,$B14,BQ$1)</f>
        <v>312.61398729665802</v>
      </c>
      <c r="BR14" s="116" cm="1">
        <f t="array" ref="BR14">_xll.EQNXTDZ($A$1,$B14,BR$1)</f>
        <v>324.76296689776001</v>
      </c>
      <c r="BS14" s="116" cm="1">
        <f t="array" ref="BS14">_xll.EQNXTDZ($A$1,$B14,BS$1)</f>
        <v>290.24208583609101</v>
      </c>
      <c r="BT14" s="116" cm="1">
        <f t="array" ref="BT14">_xll.EQNXTDZ($A$1,$B14,BT$1)</f>
        <v>280.90811370353703</v>
      </c>
      <c r="BU14" s="116" cm="1">
        <f t="array" ref="BU14">_xll.EQNXTDZ($A$1,$B14,BU$1)</f>
        <v>295.23008152597498</v>
      </c>
      <c r="BV14" s="116" cm="1">
        <f t="array" ref="BV14">_xll.EQNXTDZ($A$1,$B14,BV$1)</f>
        <v>296.11903125288501</v>
      </c>
      <c r="BW14" s="116" cm="1">
        <f t="array" ref="BW14">_xll.EQNXTDZ($A$1,$B14,BW$1)</f>
        <v>277.50047308371597</v>
      </c>
      <c r="BX14" s="116" cm="1">
        <f t="array" ref="BX14">_xll.EQNXTDZ($A$1,$B14,BX$1)</f>
        <v>281.20443027917401</v>
      </c>
      <c r="BY14" s="116" cm="1">
        <f t="array" ref="BY14">_xll.EQNXTDZ($A$1,$B14,BY$1)</f>
        <v>251.72093100332799</v>
      </c>
      <c r="BZ14" s="116" cm="1">
        <f t="array" ref="BZ14">_xll.EQNXTDZ($A$1,$B14,BZ$1)</f>
        <v>240.51028722507499</v>
      </c>
      <c r="CA14" s="116" cm="1">
        <f t="array" ref="CA14">_xll.EQNXTDZ($A$1,$B14,CA$1)</f>
        <v>237.54712146870901</v>
      </c>
      <c r="CB14" s="116" cm="1">
        <f t="array" ref="CB14">_xll.EQNXTDZ($A$1,$B14,CB$1)</f>
        <v>222.43497611123999</v>
      </c>
      <c r="CC14" s="116" cm="1">
        <f t="array" ref="CC14">_xll.EQNXTDZ($A$1,$B14,CC$1)</f>
        <v>221.74357076808801</v>
      </c>
      <c r="CD14" s="116" cm="1">
        <f t="array" ref="CD14">_xll.EQNXTDZ($A$1,$B14,CD$1)</f>
        <v>217.644524805114</v>
      </c>
      <c r="CE14" s="116" cm="1">
        <f t="array" ref="CE14">_xll.EQNXTDZ($A$1,$B14,CE$1)</f>
        <v>205.149842532436</v>
      </c>
      <c r="CF14" s="116" cm="1">
        <f t="array" ref="CF14">_xll.EQNXTDZ($A$1,$B14,CF$1)</f>
        <v>209.24888849540901</v>
      </c>
      <c r="CG14" s="116" cm="1">
        <f t="array" ref="CG14">_xll.EQNXTDZ($A$1,$B14,CG$1)</f>
        <v>216.95311946196199</v>
      </c>
      <c r="CH14" s="116" cm="1">
        <f t="array" ref="CH14">_xll.EQNXTDZ($A$1,$B14,CH$1)</f>
        <v>243.02897811798601</v>
      </c>
      <c r="CI14" s="116" cm="1">
        <f t="array" ref="CI14">_xll.EQNXTDZ($A$1,$B14,CI$1)</f>
        <v>274.09283246389401</v>
      </c>
      <c r="CJ14" s="116" cm="1">
        <f t="array" ref="CJ14">_xll.EQNXTDZ($A$1,$B14,CJ$1)</f>
        <v>271.62352766692197</v>
      </c>
      <c r="CK14" s="116" cm="1">
        <f t="array" ref="CK14">_xll.EQNXTDZ($A$1,$B14,CK$1)</f>
        <v>279.42653082535401</v>
      </c>
      <c r="CL14" s="116" cm="1">
        <f t="array" ref="CL14">_xll.EQNXTDZ($A$1,$B14,CL$1)</f>
        <v>284.06882384366099</v>
      </c>
      <c r="CM14" s="116" cm="1">
        <f t="array" ref="CM14">_xll.EQNXTDZ($A$1,$B14,CM$1)</f>
        <v>315.824083532722</v>
      </c>
      <c r="CN14" s="116" cm="1">
        <f t="array" ref="CN14">_xll.EQNXTDZ($A$1,$B14,CN$1)</f>
        <v>321.00962360636299</v>
      </c>
      <c r="CO14" s="116" cm="1">
        <f t="array" ref="CO14">_xll.EQNXTDZ($A$1,$B14,CO$1)</f>
        <v>325.94823320030702</v>
      </c>
      <c r="CP14" s="116" cm="1">
        <f t="array" ref="CP14">_xll.EQNXTDZ($A$1,$B14,CP$1)</f>
        <v>394.49613436425</v>
      </c>
      <c r="CQ14" s="116" cm="1">
        <f t="array" ref="CQ14">_xll.EQNXTDZ($A$1,$B14,CQ$1)</f>
        <v>402.94115676989497</v>
      </c>
      <c r="CR14" s="116" cm="1">
        <f t="array" ref="CR14">_xll.EQNXTDZ($A$1,$B14,CR$1)</f>
        <v>353.60444692639402</v>
      </c>
      <c r="CS14" s="116" cm="1">
        <f t="array" ref="CS14">_xll.EQNXTDZ($A$1,$B14,CS$1)</f>
        <v>356.71577097057798</v>
      </c>
      <c r="CT14" s="116" cm="1">
        <f t="array" ref="CT14">_xll.EQNXTDZ($A$1,$B14,CT$1)</f>
        <v>377.75424784078001</v>
      </c>
      <c r="CU14" s="116" cm="1">
        <f t="array" ref="CU14">_xll.EQNXTDZ($A$1,$B14,CU$1)</f>
        <v>390.15015792157902</v>
      </c>
      <c r="CV14" s="116" cm="1">
        <f t="array" ref="CV14">_xll.EQNXTDZ($A$1,$B14,CV$1)</f>
        <v>432.37526994980101</v>
      </c>
      <c r="CW14" s="116" cm="1">
        <f t="array" ref="CW14">_xll.EQNXTDZ($A$1,$B14,CW$1)</f>
        <v>554.40831301615799</v>
      </c>
      <c r="CX14" s="116" cm="1">
        <f t="array" ref="CX14">_xll.EQNXTDZ($A$1,$B14,CX$1)</f>
        <v>584.48444544327799</v>
      </c>
      <c r="CY14" s="116" cm="1">
        <f t="array" ref="CY14">_xll.EQNXTDZ($A$1,$B14,CY$1)</f>
        <v>506.701344338659</v>
      </c>
      <c r="CZ14" s="116" cm="1">
        <f t="array" ref="CZ14">_xll.EQNXTDZ($A$1,$B14,CZ$1)</f>
        <v>537.46888210892996</v>
      </c>
      <c r="DA14" s="116" cm="1">
        <f t="array" ref="DA14">_xll.EQNXTDZ($A$1,$B14,DA$1)</f>
        <v>609.32565170081602</v>
      </c>
      <c r="DB14" s="116" cm="1">
        <f t="array" ref="DB14">_xll.EQNXTDZ($A$1,$B14,DB$1)</f>
        <v>627.40096281465105</v>
      </c>
      <c r="DC14" s="116" cm="1">
        <f t="array" ref="DC14">_xll.EQNXTDZ($A$1,$B14,DC$1)</f>
        <v>644.83425468127405</v>
      </c>
      <c r="DD14" s="116" cm="1">
        <f t="array" ref="DD14">_xll.EQNXTDZ($A$1,$B14,DD$1)</f>
        <v>639.84625899138996</v>
      </c>
      <c r="DE14" s="116" cm="1">
        <f t="array" ref="DE14">_xll.EQNXTDZ($A$1,$B14,DE$1)</f>
        <v>689.47928541052795</v>
      </c>
      <c r="DF14" s="116" cm="1">
        <f t="array" ref="DF14">_xll.EQNXTDZ($A$1,$B14,DF$1)</f>
        <v>677.82416676881996</v>
      </c>
      <c r="DG14" s="116" cm="1">
        <f t="array" ref="DG14">_xll.EQNXTDZ($A$1,$B14,DG$1)</f>
        <v>762.422549113081</v>
      </c>
      <c r="DH14" s="116" cm="1">
        <f t="array" ref="DH14">_xll.EQNXTDZ($A$1,$B14,DH$1)</f>
        <v>777.92978323806597</v>
      </c>
      <c r="DI14" s="116" cm="1">
        <f t="array" ref="DI14">_xll.EQNXTDZ($A$1,$B14,DI$1)</f>
        <v>856.99692283710999</v>
      </c>
      <c r="DJ14" s="116" cm="1">
        <f t="array" ref="DJ14">_xll.EQNXTDZ($A$1,$B14,DJ$1)</f>
        <v>878.08478580325095</v>
      </c>
      <c r="DK14" s="116" cm="1">
        <f t="array" ref="DK14">_xll.EQNXTDZ($A$1,$B14,DK$1)</f>
        <v>851.91015495534805</v>
      </c>
      <c r="DL14" s="116" cm="1">
        <f t="array" ref="DL14">_xll.EQNXTDZ($A$1,$B14,DL$1)</f>
        <v>847.46540632079802</v>
      </c>
      <c r="DM14" s="116" cm="1">
        <f t="array" ref="DM14">_xll.EQNXTDZ($A$1,$B14,DM$1)</f>
        <v>781.28803776194798</v>
      </c>
      <c r="DN14" s="116" cm="1">
        <f t="array" ref="DN14">_xll.EQNXTDZ($A$1,$B14,DN$1)</f>
        <v>767.262386515147</v>
      </c>
      <c r="DO14" s="116" cm="1">
        <f t="array" ref="DO14">_xll.EQNXTDZ($A$1,$B14,DO$1)</f>
        <v>759.55815554859396</v>
      </c>
      <c r="DP14" s="116" cm="1">
        <f t="array" ref="DP14">_xll.EQNXTDZ($A$1,$B14,DP$1)</f>
        <v>772.89240145224301</v>
      </c>
      <c r="DQ14" s="116" cm="1">
        <f t="array" ref="DQ14">_xll.EQNXTDZ($A$1,$B14,DQ$1)</f>
        <v>826.27877116277796</v>
      </c>
      <c r="DR14" s="116" cm="1">
        <f t="array" ref="DR14">_xll.EQNXTDZ($A$1,$B14,DR$1)</f>
        <v>821.73525033634996</v>
      </c>
      <c r="DS14" s="116" cm="1">
        <f t="array" ref="DS14">_xll.EQNXTDZ($A$1,$B14,DS$1)</f>
        <v>770.42309665527102</v>
      </c>
      <c r="DT14" s="116" cm="1">
        <f t="array" ref="DT14">_xll.EQNXTDZ($A$1,$B14,DT$1)</f>
        <v>813.53715841040196</v>
      </c>
      <c r="DU14" s="116" cm="1">
        <f t="array" ref="DU14">_xll.EQNXTDZ($A$1,$B14,DU$1)</f>
        <v>815.61137443985899</v>
      </c>
      <c r="DV14" s="116" cm="1">
        <f t="array" ref="DV14">_xll.EQNXTDZ($A$1,$B14,DV$1)</f>
        <v>850.77427474874003</v>
      </c>
      <c r="DW14" s="116" cm="1">
        <f t="array" ref="DW14">_xll.EQNXTDZ($A$1,$B14,DW$1)</f>
        <v>794.22719489808105</v>
      </c>
      <c r="DX14" s="116" cm="1">
        <f t="array" ref="DX14">_xll.EQNXTDZ($A$1,$B14,DX$1)</f>
        <v>811.41355628500605</v>
      </c>
      <c r="DY14" s="116" cm="1">
        <f t="array" ref="DY14">_xll.EQNXTDZ($A$1,$B14,DY$1)</f>
        <v>811.90741724440102</v>
      </c>
      <c r="DZ14" s="116" cm="1">
        <f t="array" ref="DZ14">_xll.EQNXTDZ($A$1,$B14,DZ$1)</f>
        <v>771.21327419030195</v>
      </c>
      <c r="EA14" s="116" cm="1">
        <f t="array" ref="EA14">_xll.EQNXTDZ($A$1,$B14,EA$1)</f>
        <v>739.11231182966606</v>
      </c>
      <c r="EB14" s="116" cm="1">
        <f t="array" ref="EB14">_xll.EQNXTDZ($A$1,$B14,EB$1)</f>
        <v>714.07356118836901</v>
      </c>
      <c r="EC14" s="116" cm="1">
        <f t="array" ref="EC14">_xll.EQNXTDZ($A$1,$B14,EC$1)</f>
        <v>755.50849568156002</v>
      </c>
      <c r="ED14" s="116" cm="1">
        <f t="array" ref="ED14">_xll.EQNXTDZ($A$1,$B14,ED$1)</f>
        <v>790.07876283916801</v>
      </c>
      <c r="EE14" s="116" cm="1">
        <f t="array" ref="EE14">_xll.EQNXTDZ($A$1,$B14,EE$1)</f>
        <v>866.23212277778498</v>
      </c>
      <c r="EF14" s="116" cm="1">
        <f t="array" ref="EF14">_xll.EQNXTDZ($A$1,$B14,EF$1)</f>
        <v>872.99801792148901</v>
      </c>
      <c r="EG14" s="116" cm="1">
        <f t="array" ref="EG14">_xll.EQNXTDZ($A$1,$B14,EG$1)</f>
        <v>852.40401591474199</v>
      </c>
      <c r="EH14" s="116" cm="1">
        <f t="array" ref="EH14">_xll.EQNXTDZ($A$1,$B14,EH$1)</f>
        <v>898.62940171405796</v>
      </c>
      <c r="EI14" s="116" cm="1">
        <f t="array" ref="EI14">_xll.EQNXTDZ($A$1,$B14,EI$1)</f>
        <v>916.60594063601502</v>
      </c>
      <c r="EJ14" s="116" cm="1">
        <f t="array" ref="EJ14">_xll.EQNXTDZ($A$1,$B14,EJ$1)</f>
        <v>936.16283462803301</v>
      </c>
      <c r="EK14" s="116" cm="1">
        <f t="array" ref="EK14">_xll.EQNXTDZ($A$1,$B14,EK$1)</f>
        <v>1080.5677791549599</v>
      </c>
      <c r="EL14" s="116" cm="1">
        <f t="array" ref="EL14">_xll.EQNXTDZ($A$1,$B14,EL$1)</f>
        <v>1201.36616982283</v>
      </c>
      <c r="EM14" s="116" cm="1">
        <f t="array" ref="EM14">_xll.EQNXTDZ($A$1,$B14,EM$1)</f>
        <v>1190.20491214051</v>
      </c>
      <c r="EN14" s="116" cm="1">
        <f t="array" ref="EN14">_xll.EQNXTDZ($A$1,$B14,EN$1)</f>
        <v>1254.0117480942699</v>
      </c>
      <c r="EO14" s="116" cm="1">
        <f t="array" ref="EO14">_xll.EQNXTDZ($A$1,$B14,EO$1)</f>
        <v>1165.51186417079</v>
      </c>
      <c r="EP14" s="116" cm="1">
        <f t="array" ref="EP14">_xll.EQNXTDZ($A$1,$B14,EP$1)</f>
        <v>1115.33559069632</v>
      </c>
      <c r="EQ14" s="116" cm="1">
        <f t="array" ref="EQ14">_xll.EQNXTDZ($A$1,$B14,EQ$1)</f>
        <v>1145.6092675072</v>
      </c>
      <c r="ER14" s="116" cm="1">
        <f t="array" ref="ER14">_xll.EQNXTDZ($A$1,$B14,ER$1)</f>
        <v>1247.39401123839</v>
      </c>
      <c r="ES14" s="116" cm="1">
        <f t="array" ref="ES14">_xll.EQNXTDZ($A$1,$B14,ES$1)</f>
        <v>1221.5</v>
      </c>
      <c r="ET14" s="116" cm="1">
        <f t="array" ref="ET14">_xll.EQNXTDZ($A$1,$B14,ET$1)</f>
        <v>1234.5</v>
      </c>
      <c r="EU14" s="116" cm="1">
        <f t="array" ref="EU14">_xll.EQNXTDZ($A$1,$B14,EU$1)</f>
        <v>1205.55</v>
      </c>
      <c r="EV14" s="116" cm="1">
        <f t="array" ref="EV14">_xll.EQNXTDZ($A$1,$B14,EV$1)</f>
        <v>1019</v>
      </c>
      <c r="EW14" s="116" cm="1">
        <f t="array" ref="EW14">_xll.EQNXTDZ($A$1,$B14,EW$1)</f>
        <v>978.75</v>
      </c>
      <c r="EX14" s="116" cm="1">
        <f t="array" ref="EX14">_xll.EQNXTDZ($A$1,$B14,EX$1)</f>
        <v>1031.05</v>
      </c>
      <c r="EY14" s="116" cm="1">
        <f t="array" ref="EY14">_xll.EQNXTDZ($A$1,$B14,EY$1)</f>
        <v>1074.8</v>
      </c>
      <c r="EZ14" s="116" cm="1">
        <f t="array" ref="EZ14">_xll.EQNXTDZ($A$1,$B14,EZ$1)</f>
        <v>1014.9</v>
      </c>
      <c r="FA14" s="116" cm="1">
        <f t="array" ref="FA14">_xll.EQNXTDZ($A$1,$B14,FA$1)</f>
        <v>1180</v>
      </c>
      <c r="FB14" s="116" cm="1">
        <f t="array" ref="FB14">_xll.EQNXTDZ($A$1,$B14,FB$1)</f>
        <v>1176.2</v>
      </c>
      <c r="FC14" s="116" cm="1">
        <f t="array" ref="FC14">_xll.EQNXTDZ($A$1,$B14,FC$1)</f>
        <v>1150</v>
      </c>
      <c r="FD14" s="116" cm="1">
        <f t="array" ref="FD14">_xll.EQNXTDZ($A$1,$B14,FD$1)</f>
        <v>1109.55</v>
      </c>
      <c r="FE14" s="116" cm="1">
        <f t="array" ref="FE14">_xll.EQNXTDZ($A$1,$B14,FE$1)</f>
        <v>1108.5</v>
      </c>
      <c r="FF14" s="116" cm="1">
        <f t="array" ref="FF14">_xll.EQNXTDZ($A$1,$B14,FF$1)</f>
        <v>1147</v>
      </c>
      <c r="FG14" s="116" cm="1">
        <f t="array" ref="FG14">_xll.EQNXTDZ($A$1,$B14,FG$1)</f>
        <v>1191.25</v>
      </c>
      <c r="FH14" s="116" cm="1">
        <f t="array" ref="FH14">_xll.EQNXTDZ($A$1,$B14,FH$1)</f>
        <v>1202.75</v>
      </c>
      <c r="FI14" s="116" cm="1">
        <f t="array" ref="FI14">_xll.EQNXTDZ($A$1,$B14,FI$1)</f>
        <v>1202</v>
      </c>
      <c r="FJ14" s="116" cm="1">
        <f t="array" ref="FJ14">_xll.EQNXTDZ($A$1,$B14,FJ$1)</f>
        <v>1220.7</v>
      </c>
      <c r="FK14" s="116" cm="1">
        <f t="array" ref="FK14">_xll.EQNXTDZ($A$1,$B14,FK$1)</f>
        <v>1182.8499999999999</v>
      </c>
      <c r="FL14" s="116" cm="1">
        <f t="array" ref="FL14">_xll.EQNXTDZ($A$1,$B14,FL$1)</f>
        <v>1143.05</v>
      </c>
      <c r="FM14" s="116" cm="1">
        <f t="array" ref="FM14">_xll.EQNXTDZ($A$1,$B14,FM$1)</f>
        <v>1197</v>
      </c>
      <c r="FN14" s="116" cm="1">
        <f t="array" ref="FN14">_xll.EQNXTDZ($A$1,$B14,FN$1)</f>
        <v>1282.6500000000001</v>
      </c>
      <c r="FO14" s="116" cm="1">
        <f t="array" ref="FO14">_xll.EQNXTDZ($A$1,$B14,FO$1)</f>
        <v>1180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142.52827288122501</v>
      </c>
      <c r="HQ14" s="116">
        <f>+MAX(G14:I14)</f>
        <v>179.46907264392701</v>
      </c>
      <c r="HR14" s="116">
        <f>+MAX(J14:L14)</f>
        <v>166.82623208343</v>
      </c>
      <c r="HS14" s="116">
        <f>+MAX(M14:O14)</f>
        <v>151.46715624626401</v>
      </c>
      <c r="HT14" s="116">
        <f>+MAX(P14:R14)</f>
        <v>161.986394681365</v>
      </c>
      <c r="HU14" s="116">
        <f>+MAX(S14:U14)</f>
        <v>168.110270577855</v>
      </c>
      <c r="HV14" s="116">
        <f>+MAX(V14:X14)</f>
        <v>160.65297009099999</v>
      </c>
      <c r="HW14" s="116">
        <f>+MAX(Y14:AA14)</f>
        <v>174.974937913437</v>
      </c>
      <c r="HX14" s="116">
        <f>+MAX(AB14:AD14)</f>
        <v>174.72800743374</v>
      </c>
      <c r="HY14" s="116">
        <f>+MAX(AE14:AG14)</f>
        <v>163.96183851894199</v>
      </c>
      <c r="HZ14" s="116">
        <f>+MAX(AH14:AJ14)</f>
        <v>165.64096578088299</v>
      </c>
      <c r="IA14" s="116">
        <f>+MAX(AK14:AM14)</f>
        <v>161.39376153009101</v>
      </c>
      <c r="IB14" s="116">
        <f>+MAX(AN14:AP14)</f>
        <v>145.24450815789399</v>
      </c>
      <c r="IC14" s="116">
        <f>+MAX(AQ14:AS14)</f>
        <v>146.084071788865</v>
      </c>
      <c r="ID14" s="116">
        <f>+MAX(AT14:AV14)</f>
        <v>147.96074343456399</v>
      </c>
      <c r="IE14" s="116">
        <f>+MAX(AW14:AY14)</f>
        <v>129.885432320728</v>
      </c>
      <c r="IF14" s="116">
        <f>+MAX(AZ14:BB14)</f>
        <v>147.071793707654</v>
      </c>
      <c r="IG14" s="116">
        <f>+MAX(BC14:BE14)</f>
        <v>155.71436049705599</v>
      </c>
      <c r="IH14" s="116">
        <f>+MAX(BF14:BH14)</f>
        <v>152.01040330159799</v>
      </c>
      <c r="II14" s="116">
        <f>+MAX(BI14:BK14)</f>
        <v>160.80112837881799</v>
      </c>
      <c r="IJ14" s="116">
        <f>+MAX(BL14:BN14)</f>
        <v>217.54575261323501</v>
      </c>
      <c r="IK14" s="116">
        <f>+MAX(BO14:BQ14)</f>
        <v>312.61398729665802</v>
      </c>
      <c r="IL14" s="116">
        <f>+MAX(BR14:BT14)</f>
        <v>324.76296689776001</v>
      </c>
      <c r="IM14" s="116">
        <f>+MAX(BU14:BW14)</f>
        <v>296.11903125288501</v>
      </c>
      <c r="IN14" s="116">
        <f>+MAX(BX14:BZ14)</f>
        <v>281.20443027917401</v>
      </c>
      <c r="IO14" s="116">
        <f>+MAX(CA14:CC14)</f>
        <v>237.54712146870901</v>
      </c>
      <c r="IP14" s="116">
        <f>+MAX(CD14:CF14)</f>
        <v>217.644524805114</v>
      </c>
      <c r="IQ14" s="116">
        <f>+MAX(CG14:CI14)</f>
        <v>274.09283246389401</v>
      </c>
      <c r="IR14" s="116">
        <f>+MAX(CJ14:CL14)</f>
        <v>284.06882384366099</v>
      </c>
      <c r="IS14" s="116">
        <f>+MAX(CM14:CO14)</f>
        <v>325.94823320030702</v>
      </c>
      <c r="IT14" s="116">
        <f>+MAX(CP14:CR14)</f>
        <v>402.94115676989497</v>
      </c>
      <c r="IU14" s="116">
        <f>+MAX(CS14:CU14)</f>
        <v>390.15015792157902</v>
      </c>
      <c r="IV14" s="116">
        <f>+MAX(CV14:CX14)</f>
        <v>584.48444544327799</v>
      </c>
      <c r="IW14" s="116">
        <f>+MAX(CY14:DA14)</f>
        <v>609.32565170081602</v>
      </c>
      <c r="IX14" s="116">
        <f>+MAX(DB14:DD14)</f>
        <v>644.83425468127405</v>
      </c>
      <c r="IY14" s="116">
        <f>+MAX(DE14:DG14)</f>
        <v>762.422549113081</v>
      </c>
      <c r="IZ14" s="116">
        <f>+MAX(DH14:DJ14)</f>
        <v>878.08478580325095</v>
      </c>
      <c r="JA14" s="116">
        <f>+MAX(DK14:DM14)</f>
        <v>851.91015495534805</v>
      </c>
      <c r="JB14" s="116">
        <f>+MAX(DN14:DP14)</f>
        <v>772.89240145224301</v>
      </c>
      <c r="JC14" s="116">
        <f>+MAX(DQ14:DS14)</f>
        <v>826.27877116277796</v>
      </c>
      <c r="JD14" s="116">
        <f>+MAX(DT14:DV14)</f>
        <v>850.77427474874003</v>
      </c>
      <c r="JE14" s="116">
        <f>+MAX(DW14:DY14)</f>
        <v>811.90741724440102</v>
      </c>
      <c r="JF14" s="116">
        <f>+MAX(DZ14:EB14)</f>
        <v>771.21327419030195</v>
      </c>
      <c r="JG14" s="116">
        <f>+MAX(EC14:EE14)</f>
        <v>866.23212277778498</v>
      </c>
      <c r="JH14" s="116">
        <f>+MAX(EF14:EH14)</f>
        <v>898.62940171405796</v>
      </c>
      <c r="JI14" s="116">
        <f>+MAX(EI14:EK14)</f>
        <v>1080.5677791549599</v>
      </c>
      <c r="JJ14" s="116">
        <f>+MAX(EL14:EN14)</f>
        <v>1254.0117480942699</v>
      </c>
      <c r="JK14" s="116">
        <f>MAX(EO14:EQ14)</f>
        <v>1165.51186417079</v>
      </c>
      <c r="JL14" s="116">
        <f>MAX(ER14:ET14)</f>
        <v>1247.39401123839</v>
      </c>
      <c r="JM14" s="116">
        <f>MAX(EU14:EW14)</f>
        <v>1205.55</v>
      </c>
      <c r="JN14" s="116">
        <f>MAX(EX14:EZ14)</f>
        <v>1074.8</v>
      </c>
      <c r="JO14" s="116">
        <f>MAX(FA14:FC14)</f>
        <v>1180</v>
      </c>
      <c r="JP14" s="116">
        <f>MAX(FD14:FF14)</f>
        <v>1147</v>
      </c>
      <c r="JQ14" s="116">
        <f>MAX(FG14:FI14)</f>
        <v>1202.75</v>
      </c>
      <c r="JR14" s="116">
        <f>MAX(FJ14:FL14)</f>
        <v>1220.7</v>
      </c>
      <c r="JS14" s="116">
        <f>MAX(FM14:FO14)</f>
        <v>1282.6500000000001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101.241496675853</v>
      </c>
      <c r="D15" s="116" cm="1">
        <f t="array" ref="D15">_xll.EQNXTDZ($A$1,$B15,D$1)</f>
        <v>111.95827949471099</v>
      </c>
      <c r="E15" s="116" cm="1">
        <f t="array" ref="E15">_xll.EQNXTDZ($A$1,$B15,E$1)</f>
        <v>122.971378889207</v>
      </c>
      <c r="F15" s="116" cm="1">
        <f t="array" ref="F15">_xll.EQNXTDZ($A$1,$B15,F$1)</f>
        <v>125.58884197399701</v>
      </c>
      <c r="G15" s="116" cm="1">
        <f t="array" ref="G15">_xll.EQNXTDZ($A$1,$B15,G$1)</f>
        <v>141.2442343868</v>
      </c>
      <c r="H15" s="116" cm="1">
        <f t="array" ref="H15">_xll.EQNXTDZ($A$1,$B15,H$1)</f>
        <v>149.54109850462601</v>
      </c>
      <c r="I15" s="116" cm="1">
        <f t="array" ref="I15">_xll.EQNXTDZ($A$1,$B15,I$1)</f>
        <v>157.047785087421</v>
      </c>
      <c r="J15" s="116" cm="1">
        <f t="array" ref="J15">_xll.EQNXTDZ($A$1,$B15,J$1)</f>
        <v>140.94791781116299</v>
      </c>
      <c r="K15" s="116" cm="1">
        <f t="array" ref="K15">_xll.EQNXTDZ($A$1,$B15,K$1)</f>
        <v>121.489796011023</v>
      </c>
      <c r="L15" s="116" cm="1">
        <f t="array" ref="L15">_xll.EQNXTDZ($A$1,$B15,L$1)</f>
        <v>120.50207409223501</v>
      </c>
      <c r="M15" s="116" cm="1">
        <f t="array" ref="M15">_xll.EQNXTDZ($A$1,$B15,M$1)</f>
        <v>124.45296176738999</v>
      </c>
      <c r="N15" s="116" cm="1">
        <f t="array" ref="N15">_xll.EQNXTDZ($A$1,$B15,N$1)</f>
        <v>134.52772533903601</v>
      </c>
      <c r="O15" s="116" cm="1">
        <f t="array" ref="O15">_xll.EQNXTDZ($A$1,$B15,O$1)</f>
        <v>126.47779170090701</v>
      </c>
      <c r="P15" s="116" cm="1">
        <f t="array" ref="P15">_xll.EQNXTDZ($A$1,$B15,P$1)</f>
        <v>132.10780663800301</v>
      </c>
      <c r="Q15" s="116" cm="1">
        <f t="array" ref="Q15">_xll.EQNXTDZ($A$1,$B15,Q$1)</f>
        <v>129.638501841031</v>
      </c>
      <c r="R15" s="116" cm="1">
        <f t="array" ref="R15">_xll.EQNXTDZ($A$1,$B15,R$1)</f>
        <v>137.787207671039</v>
      </c>
      <c r="S15" s="116" cm="1">
        <f t="array" ref="S15">_xll.EQNXTDZ($A$1,$B15,S$1)</f>
        <v>142.231956305588</v>
      </c>
      <c r="T15" s="116" cm="1">
        <f t="array" ref="T15">_xll.EQNXTDZ($A$1,$B15,T$1)</f>
        <v>139.26879054922199</v>
      </c>
      <c r="U15" s="116" cm="1">
        <f t="array" ref="U15">_xll.EQNXTDZ($A$1,$B15,U$1)</f>
        <v>140.602215139587</v>
      </c>
      <c r="V15" s="116" cm="1">
        <f t="array" ref="V15">_xll.EQNXTDZ($A$1,$B15,V$1)</f>
        <v>136.651327464432</v>
      </c>
      <c r="W15" s="116" cm="1">
        <f t="array" ref="W15">_xll.EQNXTDZ($A$1,$B15,W$1)</f>
        <v>136.256238696916</v>
      </c>
      <c r="X15" s="116" cm="1">
        <f t="array" ref="X15">_xll.EQNXTDZ($A$1,$B15,X$1)</f>
        <v>133.737547804005</v>
      </c>
      <c r="Y15" s="116" cm="1">
        <f t="array" ref="Y15">_xll.EQNXTDZ($A$1,$B15,Y$1)</f>
        <v>144.99757767819699</v>
      </c>
      <c r="Z15" s="116" cm="1">
        <f t="array" ref="Z15">_xll.EQNXTDZ($A$1,$B15,Z$1)</f>
        <v>140.454056851769</v>
      </c>
      <c r="AA15" s="116" cm="1">
        <f t="array" ref="AA15">_xll.EQNXTDZ($A$1,$B15,AA$1)</f>
        <v>144.800033294439</v>
      </c>
      <c r="AB15" s="116" cm="1">
        <f t="array" ref="AB15">_xll.EQNXTDZ($A$1,$B15,AB$1)</f>
        <v>146.62731884419901</v>
      </c>
      <c r="AC15" s="116" cm="1">
        <f t="array" ref="AC15">_xll.EQNXTDZ($A$1,$B15,AC$1)</f>
        <v>147.66442685892699</v>
      </c>
      <c r="AD15" s="116" cm="1">
        <f t="array" ref="AD15">_xll.EQNXTDZ($A$1,$B15,AD$1)</f>
        <v>149.14600973711001</v>
      </c>
      <c r="AE15" s="116" cm="1">
        <f t="array" ref="AE15">_xll.EQNXTDZ($A$1,$B15,AE$1)</f>
        <v>148.94846535335199</v>
      </c>
      <c r="AF15" s="116" cm="1">
        <f t="array" ref="AF15">_xll.EQNXTDZ($A$1,$B15,AF$1)</f>
        <v>150.67697871123301</v>
      </c>
      <c r="AG15" s="116" cm="1">
        <f t="array" ref="AG15">_xll.EQNXTDZ($A$1,$B15,AG$1)</f>
        <v>135.71299164158199</v>
      </c>
      <c r="AH15" s="116" cm="1">
        <f t="array" ref="AH15">_xll.EQNXTDZ($A$1,$B15,AH$1)</f>
        <v>144.20740014316601</v>
      </c>
      <c r="AI15" s="116" cm="1">
        <f t="array" ref="AI15">_xll.EQNXTDZ($A$1,$B15,AI$1)</f>
        <v>146.28161617262299</v>
      </c>
      <c r="AJ15" s="116" cm="1">
        <f t="array" ref="AJ15">_xll.EQNXTDZ($A$1,$B15,AJ$1)</f>
        <v>140.94791781116299</v>
      </c>
      <c r="AK15" s="116" cm="1">
        <f t="array" ref="AK15">_xll.EQNXTDZ($A$1,$B15,AK$1)</f>
        <v>138.77492958982799</v>
      </c>
      <c r="AL15" s="116" cm="1">
        <f t="array" ref="AL15">_xll.EQNXTDZ($A$1,$B15,AL$1)</f>
        <v>135.07097239436999</v>
      </c>
      <c r="AM15" s="116" cm="1">
        <f t="array" ref="AM15">_xll.EQNXTDZ($A$1,$B15,AM$1)</f>
        <v>124.50234786332901</v>
      </c>
      <c r="AN15" s="116" cm="1">
        <f t="array" ref="AN15">_xll.EQNXTDZ($A$1,$B15,AN$1)</f>
        <v>129.83604622478899</v>
      </c>
      <c r="AO15" s="116" cm="1">
        <f t="array" ref="AO15">_xll.EQNXTDZ($A$1,$B15,AO$1)</f>
        <v>107.51353086016201</v>
      </c>
      <c r="AP15" s="116" cm="1">
        <f t="array" ref="AP15">_xll.EQNXTDZ($A$1,$B15,AP$1)</f>
        <v>112.84722922162101</v>
      </c>
      <c r="AQ15" s="116" cm="1">
        <f t="array" ref="AQ15">_xll.EQNXTDZ($A$1,$B15,AQ$1)</f>
        <v>125.83577245369401</v>
      </c>
      <c r="AR15" s="116" cm="1">
        <f t="array" ref="AR15">_xll.EQNXTDZ($A$1,$B15,AR$1)</f>
        <v>121.637954298842</v>
      </c>
      <c r="AS15" s="116" cm="1">
        <f t="array" ref="AS15">_xll.EQNXTDZ($A$1,$B15,AS$1)</f>
        <v>128.40384944254501</v>
      </c>
      <c r="AT15" s="116" cm="1">
        <f t="array" ref="AT15">_xll.EQNXTDZ($A$1,$B15,AT$1)</f>
        <v>118.180927583081</v>
      </c>
      <c r="AU15" s="116" cm="1">
        <f t="array" ref="AU15">_xll.EQNXTDZ($A$1,$B15,AU$1)</f>
        <v>98.870964070759797</v>
      </c>
      <c r="AV15" s="116" cm="1">
        <f t="array" ref="AV15">_xll.EQNXTDZ($A$1,$B15,AV$1)</f>
        <v>103.216940513431</v>
      </c>
      <c r="AW15" s="116" cm="1">
        <f t="array" ref="AW15">_xll.EQNXTDZ($A$1,$B15,AW$1)</f>
        <v>114.57574257950201</v>
      </c>
      <c r="AX15" s="116" cm="1">
        <f t="array" ref="AX15">_xll.EQNXTDZ($A$1,$B15,AX$1)</f>
        <v>114.032495524168</v>
      </c>
      <c r="AY15" s="116" cm="1">
        <f t="array" ref="AY15">_xll.EQNXTDZ($A$1,$B15,AY$1)</f>
        <v>115.958553265806</v>
      </c>
      <c r="AZ15" s="116" cm="1">
        <f t="array" ref="AZ15">_xll.EQNXTDZ($A$1,$B15,AZ$1)</f>
        <v>127.317355331877</v>
      </c>
      <c r="BA15" s="116" cm="1">
        <f t="array" ref="BA15">_xll.EQNXTDZ($A$1,$B15,BA$1)</f>
        <v>133.88570609182301</v>
      </c>
      <c r="BB15" s="116" cm="1">
        <f t="array" ref="BB15">_xll.EQNXTDZ($A$1,$B15,BB$1)</f>
        <v>130.47806547200199</v>
      </c>
      <c r="BC15" s="116" cm="1">
        <f t="array" ref="BC15">_xll.EQNXTDZ($A$1,$B15,BC$1)</f>
        <v>133.935092187762</v>
      </c>
      <c r="BD15" s="116" cm="1">
        <f t="array" ref="BD15">_xll.EQNXTDZ($A$1,$B15,BD$1)</f>
        <v>113.094159701319</v>
      </c>
      <c r="BE15" s="116" cm="1">
        <f t="array" ref="BE15">_xll.EQNXTDZ($A$1,$B15,BE$1)</f>
        <v>115.069603538896</v>
      </c>
      <c r="BF15" s="116" cm="1">
        <f t="array" ref="BF15">_xll.EQNXTDZ($A$1,$B15,BF$1)</f>
        <v>120.00821313284</v>
      </c>
      <c r="BG15" s="116" cm="1">
        <f t="array" ref="BG15">_xll.EQNXTDZ($A$1,$B15,BG$1)</f>
        <v>125.934544645573</v>
      </c>
      <c r="BH15" s="116" cm="1">
        <f t="array" ref="BH15">_xll.EQNXTDZ($A$1,$B15,BH$1)</f>
        <v>135.16974458624799</v>
      </c>
      <c r="BI15" s="116" cm="1">
        <f t="array" ref="BI15">_xll.EQNXTDZ($A$1,$B15,BI$1)</f>
        <v>145.195122061955</v>
      </c>
      <c r="BJ15" s="116" cm="1">
        <f t="array" ref="BJ15">_xll.EQNXTDZ($A$1,$B15,BJ$1)</f>
        <v>138.77492958982799</v>
      </c>
      <c r="BK15" s="116" cm="1">
        <f t="array" ref="BK15">_xll.EQNXTDZ($A$1,$B15,BK$1)</f>
        <v>144.10862795128699</v>
      </c>
      <c r="BL15" s="116" cm="1">
        <f t="array" ref="BL15">_xll.EQNXTDZ($A$1,$B15,BL$1)</f>
        <v>147.76319905080601</v>
      </c>
      <c r="BM15" s="116" cm="1">
        <f t="array" ref="BM15">_xll.EQNXTDZ($A$1,$B15,BM$1)</f>
        <v>150.23250384777799</v>
      </c>
      <c r="BN15" s="116" cm="1">
        <f t="array" ref="BN15">_xll.EQNXTDZ($A$1,$B15,BN$1)</f>
        <v>188.16102552926799</v>
      </c>
      <c r="BO15" s="116" cm="1">
        <f t="array" ref="BO15">_xll.EQNXTDZ($A$1,$B15,BO$1)</f>
        <v>199.914916362855</v>
      </c>
      <c r="BP15" s="116" cm="1">
        <f t="array" ref="BP15">_xll.EQNXTDZ($A$1,$B15,BP$1)</f>
        <v>218.82979110766101</v>
      </c>
      <c r="BQ15" s="116" cm="1">
        <f t="array" ref="BQ15">_xll.EQNXTDZ($A$1,$B15,BQ$1)</f>
        <v>270.38887526843598</v>
      </c>
      <c r="BR15" s="116" cm="1">
        <f t="array" ref="BR15">_xll.EQNXTDZ($A$1,$B15,BR$1)</f>
        <v>282.58724096547797</v>
      </c>
      <c r="BS15" s="116" cm="1">
        <f t="array" ref="BS15">_xll.EQNXTDZ($A$1,$B15,BS$1)</f>
        <v>246.88109360126299</v>
      </c>
      <c r="BT15" s="116" cm="1">
        <f t="array" ref="BT15">_xll.EQNXTDZ($A$1,$B15,BT$1)</f>
        <v>248.01697380786999</v>
      </c>
      <c r="BU15" s="116" cm="1">
        <f t="array" ref="BU15">_xll.EQNXTDZ($A$1,$B15,BU$1)</f>
        <v>256.80769888509002</v>
      </c>
      <c r="BV15" s="116" cm="1">
        <f t="array" ref="BV15">_xll.EQNXTDZ($A$1,$B15,BV$1)</f>
        <v>234.78150009609999</v>
      </c>
      <c r="BW15" s="116" cm="1">
        <f t="array" ref="BW15">_xll.EQNXTDZ($A$1,$B15,BW$1)</f>
        <v>250.68382298860001</v>
      </c>
      <c r="BX15" s="116" cm="1">
        <f t="array" ref="BX15">_xll.EQNXTDZ($A$1,$B15,BX$1)</f>
        <v>225.793230635122</v>
      </c>
      <c r="BY15" s="116" cm="1">
        <f t="array" ref="BY15">_xll.EQNXTDZ($A$1,$B15,BY$1)</f>
        <v>227.62051618488101</v>
      </c>
      <c r="BZ15" s="116" cm="1">
        <f t="array" ref="BZ15">_xll.EQNXTDZ($A$1,$B15,BZ$1)</f>
        <v>210.137838222319</v>
      </c>
      <c r="CA15" s="116" cm="1">
        <f t="array" ref="CA15">_xll.EQNXTDZ($A$1,$B15,CA$1)</f>
        <v>203.223784790797</v>
      </c>
      <c r="CB15" s="116" cm="1">
        <f t="array" ref="CB15">_xll.EQNXTDZ($A$1,$B15,CB$1)</f>
        <v>206.433881026861</v>
      </c>
      <c r="CC15" s="116" cm="1">
        <f t="array" ref="CC15">_xll.EQNXTDZ($A$1,$B15,CC$1)</f>
        <v>192.60577416381801</v>
      </c>
      <c r="CD15" s="116" cm="1">
        <f t="array" ref="CD15">_xll.EQNXTDZ($A$1,$B15,CD$1)</f>
        <v>198.532105676551</v>
      </c>
      <c r="CE15" s="116" cm="1">
        <f t="array" ref="CE15">_xll.EQNXTDZ($A$1,$B15,CE$1)</f>
        <v>175.32064058501399</v>
      </c>
      <c r="CF15" s="116" cm="1">
        <f t="array" ref="CF15">_xll.EQNXTDZ($A$1,$B15,CF$1)</f>
        <v>190.136469366846</v>
      </c>
      <c r="CG15" s="116" cm="1">
        <f t="array" ref="CG15">_xll.EQNXTDZ($A$1,$B15,CG$1)</f>
        <v>198.038244717156</v>
      </c>
      <c r="CH15" s="116" cm="1">
        <f t="array" ref="CH15">_xll.EQNXTDZ($A$1,$B15,CH$1)</f>
        <v>192.60577416381801</v>
      </c>
      <c r="CI15" s="116" cm="1">
        <f t="array" ref="CI15">_xll.EQNXTDZ($A$1,$B15,CI$1)</f>
        <v>239.47317921034701</v>
      </c>
      <c r="CJ15" s="116" cm="1">
        <f t="array" ref="CJ15">_xll.EQNXTDZ($A$1,$B15,CJ$1)</f>
        <v>242.584503254531</v>
      </c>
      <c r="CK15" s="116" cm="1">
        <f t="array" ref="CK15">_xll.EQNXTDZ($A$1,$B15,CK$1)</f>
        <v>247.12802408095999</v>
      </c>
      <c r="CL15" s="116" cm="1">
        <f t="array" ref="CL15">_xll.EQNXTDZ($A$1,$B15,CL$1)</f>
        <v>246.83170750532301</v>
      </c>
      <c r="CM15" s="116" cm="1">
        <f t="array" ref="CM15">_xll.EQNXTDZ($A$1,$B15,CM$1)</f>
        <v>259.425161969881</v>
      </c>
      <c r="CN15" s="116" cm="1">
        <f t="array" ref="CN15">_xll.EQNXTDZ($A$1,$B15,CN$1)</f>
        <v>281.698291238568</v>
      </c>
      <c r="CO15" s="116" cm="1">
        <f t="array" ref="CO15">_xll.EQNXTDZ($A$1,$B15,CO$1)</f>
        <v>301.304571326526</v>
      </c>
      <c r="CP15" s="116" cm="1">
        <f t="array" ref="CP15">_xll.EQNXTDZ($A$1,$B15,CP$1)</f>
        <v>306.391339208288</v>
      </c>
      <c r="CQ15" s="116" cm="1">
        <f t="array" ref="CQ15">_xll.EQNXTDZ($A$1,$B15,CQ$1)</f>
        <v>337.70212403389399</v>
      </c>
      <c r="CR15" s="116" cm="1">
        <f t="array" ref="CR15">_xll.EQNXTDZ($A$1,$B15,CR$1)</f>
        <v>211.372490620805</v>
      </c>
      <c r="CS15" s="116" cm="1">
        <f t="array" ref="CS15">_xll.EQNXTDZ($A$1,$B15,CS$1)</f>
        <v>260.75858656024599</v>
      </c>
      <c r="CT15" s="116" cm="1">
        <f t="array" ref="CT15">_xll.EQNXTDZ($A$1,$B15,CT$1)</f>
        <v>321.84918723733301</v>
      </c>
      <c r="CU15" s="116" cm="1">
        <f t="array" ref="CU15">_xll.EQNXTDZ($A$1,$B15,CU$1)</f>
        <v>355.08602980457698</v>
      </c>
      <c r="CV15" s="116" cm="1">
        <f t="array" ref="CV15">_xll.EQNXTDZ($A$1,$B15,CV$1)</f>
        <v>376.37143715447598</v>
      </c>
      <c r="CW15" s="116" cm="1">
        <f t="array" ref="CW15">_xll.EQNXTDZ($A$1,$B15,CW$1)</f>
        <v>422.30050637815498</v>
      </c>
      <c r="CX15" s="116" cm="1">
        <f t="array" ref="CX15">_xll.EQNXTDZ($A$1,$B15,CX$1)</f>
        <v>471.686602317596</v>
      </c>
      <c r="CY15" s="116" cm="1">
        <f t="array" ref="CY15">_xll.EQNXTDZ($A$1,$B15,CY$1)</f>
        <v>453.36436072406298</v>
      </c>
      <c r="CZ15" s="116" cm="1">
        <f t="array" ref="CZ15">_xll.EQNXTDZ($A$1,$B15,CZ$1)</f>
        <v>482.008296368939</v>
      </c>
      <c r="DA15" s="116" cm="1">
        <f t="array" ref="DA15">_xll.EQNXTDZ($A$1,$B15,DA$1)</f>
        <v>519.14664051539796</v>
      </c>
      <c r="DB15" s="116" cm="1">
        <f t="array" ref="DB15">_xll.EQNXTDZ($A$1,$B15,DB$1)</f>
        <v>548.18566492778905</v>
      </c>
      <c r="DC15" s="116" cm="1">
        <f t="array" ref="DC15">_xll.EQNXTDZ($A$1,$B15,DC$1)</f>
        <v>547.74119006433398</v>
      </c>
      <c r="DD15" s="116" cm="1">
        <f t="array" ref="DD15">_xll.EQNXTDZ($A$1,$B15,DD$1)</f>
        <v>569.66861666144496</v>
      </c>
      <c r="DE15" s="116" cm="1">
        <f t="array" ref="DE15">_xll.EQNXTDZ($A$1,$B15,DE$1)</f>
        <v>630.66044514665396</v>
      </c>
      <c r="DF15" s="116" cm="1">
        <f t="array" ref="DF15">_xll.EQNXTDZ($A$1,$B15,DF$1)</f>
        <v>606.70818861602595</v>
      </c>
      <c r="DG15" s="116" cm="1">
        <f t="array" ref="DG15">_xll.EQNXTDZ($A$1,$B15,DG$1)</f>
        <v>648.93330064424697</v>
      </c>
      <c r="DH15" s="116" cm="1">
        <f t="array" ref="DH15">_xll.EQNXTDZ($A$1,$B15,DH$1)</f>
        <v>730.51913113620299</v>
      </c>
      <c r="DI15" s="116" cm="1">
        <f t="array" ref="DI15">_xll.EQNXTDZ($A$1,$B15,DI$1)</f>
        <v>742.86565512106301</v>
      </c>
      <c r="DJ15" s="116" cm="1">
        <f t="array" ref="DJ15">_xll.EQNXTDZ($A$1,$B15,DJ$1)</f>
        <v>801.04247613772395</v>
      </c>
      <c r="DK15" s="116" cm="1">
        <f t="array" ref="DK15">_xll.EQNXTDZ($A$1,$B15,DK$1)</f>
        <v>763.60781541562801</v>
      </c>
      <c r="DL15" s="116" cm="1">
        <f t="array" ref="DL15">_xll.EQNXTDZ($A$1,$B15,DL$1)</f>
        <v>716.09839112188604</v>
      </c>
      <c r="DM15" s="116" cm="1">
        <f t="array" ref="DM15">_xll.EQNXTDZ($A$1,$B15,DM$1)</f>
        <v>688.24463301204196</v>
      </c>
      <c r="DN15" s="116" cm="1">
        <f t="array" ref="DN15">_xll.EQNXTDZ($A$1,$B15,DN$1)</f>
        <v>667.35431442965898</v>
      </c>
      <c r="DO15" s="116" cm="1">
        <f t="array" ref="DO15">_xll.EQNXTDZ($A$1,$B15,DO$1)</f>
        <v>665.872731551475</v>
      </c>
      <c r="DP15" s="116" cm="1">
        <f t="array" ref="DP15">_xll.EQNXTDZ($A$1,$B15,DP$1)</f>
        <v>642.76003865181701</v>
      </c>
      <c r="DQ15" s="116" cm="1">
        <f t="array" ref="DQ15">_xll.EQNXTDZ($A$1,$B15,DQ$1)</f>
        <v>767.70686137860196</v>
      </c>
      <c r="DR15" s="116" cm="1">
        <f t="array" ref="DR15">_xll.EQNXTDZ($A$1,$B15,DR$1)</f>
        <v>689.52867150646705</v>
      </c>
      <c r="DS15" s="116" cm="1">
        <f t="array" ref="DS15">_xll.EQNXTDZ($A$1,$B15,DS$1)</f>
        <v>695.35623082732104</v>
      </c>
      <c r="DT15" s="116" cm="1">
        <f t="array" ref="DT15">_xll.EQNXTDZ($A$1,$B15,DT$1)</f>
        <v>689.42989931458897</v>
      </c>
      <c r="DU15" s="116" cm="1">
        <f t="array" ref="DU15">_xll.EQNXTDZ($A$1,$B15,DU$1)</f>
        <v>751.36006362264698</v>
      </c>
      <c r="DV15" s="116" cm="1">
        <f t="array" ref="DV15">_xll.EQNXTDZ($A$1,$B15,DV$1)</f>
        <v>752.69348821301196</v>
      </c>
      <c r="DW15" s="116" cm="1">
        <f t="array" ref="DW15">_xll.EQNXTDZ($A$1,$B15,DW$1)</f>
        <v>730.02527017680904</v>
      </c>
      <c r="DX15" s="116" cm="1">
        <f t="array" ref="DX15">_xll.EQNXTDZ($A$1,$B15,DX$1)</f>
        <v>747.40917594749203</v>
      </c>
      <c r="DY15" s="116" cm="1">
        <f t="array" ref="DY15">_xll.EQNXTDZ($A$1,$B15,DY$1)</f>
        <v>754.12568499525503</v>
      </c>
      <c r="DZ15" s="116" cm="1">
        <f t="array" ref="DZ15">_xll.EQNXTDZ($A$1,$B15,DZ$1)</f>
        <v>716.444093793462</v>
      </c>
      <c r="EA15" s="116" cm="1">
        <f t="array" ref="EA15">_xll.EQNXTDZ($A$1,$B15,EA$1)</f>
        <v>691.50411534404498</v>
      </c>
      <c r="EB15" s="116" cm="1">
        <f t="array" ref="EB15">_xll.EQNXTDZ($A$1,$B15,EB$1)</f>
        <v>676.58951437033397</v>
      </c>
      <c r="EC15" s="116" cm="1">
        <f t="array" ref="EC15">_xll.EQNXTDZ($A$1,$B15,EC$1)</f>
        <v>687.94831643640498</v>
      </c>
      <c r="ED15" s="116" cm="1">
        <f t="array" ref="ED15">_xll.EQNXTDZ($A$1,$B15,ED$1)</f>
        <v>747.31040375561304</v>
      </c>
      <c r="EE15" s="116" cm="1">
        <f t="array" ref="EE15">_xll.EQNXTDZ($A$1,$B15,EE$1)</f>
        <v>774.02828165885001</v>
      </c>
      <c r="EF15" s="116" cm="1">
        <f t="array" ref="EF15">_xll.EQNXTDZ($A$1,$B15,EF$1)</f>
        <v>812.00618943628001</v>
      </c>
      <c r="EG15" s="116" cm="1">
        <f t="array" ref="EG15">_xll.EQNXTDZ($A$1,$B15,EG$1)</f>
        <v>817.09295731804195</v>
      </c>
      <c r="EH15" s="116" cm="1">
        <f t="array" ref="EH15">_xll.EQNXTDZ($A$1,$B15,EH$1)</f>
        <v>820.84630060943903</v>
      </c>
      <c r="EI15" s="116" cm="1">
        <f t="array" ref="EI15">_xll.EQNXTDZ($A$1,$B15,EI$1)</f>
        <v>844.50224056443199</v>
      </c>
      <c r="EJ15" s="116" cm="1">
        <f t="array" ref="EJ15">_xll.EQNXTDZ($A$1,$B15,EJ$1)</f>
        <v>884.25804779568102</v>
      </c>
      <c r="EK15" s="116" cm="1">
        <f t="array" ref="EK15">_xll.EQNXTDZ($A$1,$B15,EK$1)</f>
        <v>928.45860366147997</v>
      </c>
      <c r="EL15" s="116" cm="1">
        <f t="array" ref="EL15">_xll.EQNXTDZ($A$1,$B15,EL$1)</f>
        <v>1062.8381707127</v>
      </c>
      <c r="EM15" s="116" cm="1">
        <f t="array" ref="EM15">_xll.EQNXTDZ($A$1,$B15,EM$1)</f>
        <v>1094.3958860180001</v>
      </c>
      <c r="EN15" s="116" cm="1">
        <f t="array" ref="EN15">_xll.EQNXTDZ($A$1,$B15,EN$1)</f>
        <v>1071.7276679818001</v>
      </c>
      <c r="EO15" s="116" cm="1">
        <f t="array" ref="EO15">_xll.EQNXTDZ($A$1,$B15,EO$1)</f>
        <v>1064.7642284543399</v>
      </c>
      <c r="EP15" s="116" cm="1">
        <f t="array" ref="EP15">_xll.EQNXTDZ($A$1,$B15,EP$1)</f>
        <v>1037.1080147282501</v>
      </c>
      <c r="EQ15" s="116" cm="1">
        <f t="array" ref="EQ15">_xll.EQNXTDZ($A$1,$B15,EQ$1)</f>
        <v>1017.35357635247</v>
      </c>
      <c r="ER15" s="116" cm="1">
        <f t="array" ref="ER15">_xll.EQNXTDZ($A$1,$B15,ER$1)</f>
        <v>1066.2458113325199</v>
      </c>
      <c r="ES15" s="116" cm="1">
        <f t="array" ref="ES15">_xll.EQNXTDZ($A$1,$B15,ES$1)</f>
        <v>1158.9000000000001</v>
      </c>
      <c r="ET15" s="116" cm="1">
        <f t="array" ref="ET15">_xll.EQNXTDZ($A$1,$B15,ET$1)</f>
        <v>1168.05</v>
      </c>
      <c r="EU15" s="116" cm="1">
        <f t="array" ref="EU15">_xll.EQNXTDZ($A$1,$B15,EU$1)</f>
        <v>964.3</v>
      </c>
      <c r="EV15" s="116" cm="1">
        <f t="array" ref="EV15">_xll.EQNXTDZ($A$1,$B15,EV$1)</f>
        <v>900.3</v>
      </c>
      <c r="EW15" s="116" cm="1">
        <f t="array" ref="EW15">_xll.EQNXTDZ($A$1,$B15,EW$1)</f>
        <v>884</v>
      </c>
      <c r="EX15" s="116" cm="1">
        <f t="array" ref="EX15">_xll.EQNXTDZ($A$1,$B15,EX$1)</f>
        <v>908.5</v>
      </c>
      <c r="EY15" s="116" cm="1">
        <f t="array" ref="EY15">_xll.EQNXTDZ($A$1,$B15,EY$1)</f>
        <v>957.2</v>
      </c>
      <c r="EZ15" s="116" cm="1">
        <f t="array" ref="EZ15">_xll.EQNXTDZ($A$1,$B15,EZ$1)</f>
        <v>934</v>
      </c>
      <c r="FA15" s="116" cm="1">
        <f t="array" ref="FA15">_xll.EQNXTDZ($A$1,$B15,FA$1)</f>
        <v>989.1</v>
      </c>
      <c r="FB15" s="116" cm="1">
        <f t="array" ref="FB15">_xll.EQNXTDZ($A$1,$B15,FB$1)</f>
        <v>1082.4000000000001</v>
      </c>
      <c r="FC15" s="116" cm="1">
        <f t="array" ref="FC15">_xll.EQNXTDZ($A$1,$B15,FC$1)</f>
        <v>1055.8499999999999</v>
      </c>
      <c r="FD15" s="116" cm="1">
        <f t="array" ref="FD15">_xll.EQNXTDZ($A$1,$B15,FD$1)</f>
        <v>1045.0999999999999</v>
      </c>
      <c r="FE15" s="116" cm="1">
        <f t="array" ref="FE15">_xll.EQNXTDZ($A$1,$B15,FE$1)</f>
        <v>1038.3499999999999</v>
      </c>
      <c r="FF15" s="116" cm="1">
        <f t="array" ref="FF15">_xll.EQNXTDZ($A$1,$B15,FF$1)</f>
        <v>1057.05</v>
      </c>
      <c r="FG15" s="116" cm="1">
        <f t="array" ref="FG15">_xll.EQNXTDZ($A$1,$B15,FG$1)</f>
        <v>1105.0999999999999</v>
      </c>
      <c r="FH15" s="116" cm="1">
        <f t="array" ref="FH15">_xll.EQNXTDZ($A$1,$B15,FH$1)</f>
        <v>1134</v>
      </c>
      <c r="FI15" s="116" cm="1">
        <f t="array" ref="FI15">_xll.EQNXTDZ($A$1,$B15,FI$1)</f>
        <v>1131.5999999999999</v>
      </c>
      <c r="FJ15" s="116" cm="1">
        <f t="array" ref="FJ15">_xll.EQNXTDZ($A$1,$B15,FJ$1)</f>
        <v>1100.0999999999999</v>
      </c>
      <c r="FK15" s="116" cm="1">
        <f t="array" ref="FK15">_xll.EQNXTDZ($A$1,$B15,FK$1)</f>
        <v>1078</v>
      </c>
      <c r="FL15" s="116" cm="1">
        <f t="array" ref="FL15">_xll.EQNXTDZ($A$1,$B15,FL$1)</f>
        <v>1011</v>
      </c>
      <c r="FM15" s="116" cm="1">
        <f t="array" ref="FM15">_xll.EQNXTDZ($A$1,$B15,FM$1)</f>
        <v>1007.2</v>
      </c>
      <c r="FN15" s="116" cm="1">
        <f t="array" ref="FN15">_xll.EQNXTDZ($A$1,$B15,FN$1)</f>
        <v>1135.75</v>
      </c>
      <c r="FO15" s="116" cm="1">
        <f t="array" ref="FO15">_xll.EQNXTDZ($A$1,$B15,FO$1)</f>
        <v>1094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111.95827949471099</v>
      </c>
      <c r="HQ15" s="116">
        <f>+MIN(G15:I15)</f>
        <v>141.2442343868</v>
      </c>
      <c r="HR15" s="116">
        <f>+MIN(J15:L15)</f>
        <v>120.50207409223501</v>
      </c>
      <c r="HS15" s="116">
        <f>+MIN(M15:O15)</f>
        <v>124.45296176738999</v>
      </c>
      <c r="HT15" s="116">
        <f>+MIN(P15:R15)</f>
        <v>129.638501841031</v>
      </c>
      <c r="HU15" s="116">
        <f>+MIN(S15:U15)</f>
        <v>139.26879054922199</v>
      </c>
      <c r="HV15" s="116">
        <f>+MIN(V15:X15)</f>
        <v>133.737547804005</v>
      </c>
      <c r="HW15" s="116">
        <f>+MIN(Y15:AA15)</f>
        <v>140.454056851769</v>
      </c>
      <c r="HX15" s="116">
        <f>+MIN(AB15:AD15)</f>
        <v>146.62731884419901</v>
      </c>
      <c r="HY15" s="116">
        <f>+MIN(AE15:AG15)</f>
        <v>135.71299164158199</v>
      </c>
      <c r="HZ15" s="116">
        <f>+MIN(AH15:AJ15)</f>
        <v>140.94791781116299</v>
      </c>
      <c r="IA15" s="116">
        <f>+MIN(AK15:AM15)</f>
        <v>124.50234786332901</v>
      </c>
      <c r="IB15" s="116">
        <f>+MIN(AN15:AP15)</f>
        <v>107.51353086016201</v>
      </c>
      <c r="IC15" s="116">
        <f>+MIN(AQ15:AS15)</f>
        <v>121.637954298842</v>
      </c>
      <c r="ID15" s="116">
        <f>+MIN(AT15:AV15)</f>
        <v>98.870964070759797</v>
      </c>
      <c r="IE15" s="116">
        <f>+MIN(AW15:AY15)</f>
        <v>114.032495524168</v>
      </c>
      <c r="IF15" s="116">
        <f>+MIN(AZ15:BB15)</f>
        <v>127.317355331877</v>
      </c>
      <c r="IG15" s="116">
        <f>+MIN(BC15:BE15)</f>
        <v>113.094159701319</v>
      </c>
      <c r="IH15" s="116">
        <f>+MIN(BF15:BH15)</f>
        <v>120.00821313284</v>
      </c>
      <c r="II15" s="116">
        <f>+MIN(BI15:BK15)</f>
        <v>138.77492958982799</v>
      </c>
      <c r="IJ15" s="116">
        <f>+MIN(BL15:BN15)</f>
        <v>147.76319905080601</v>
      </c>
      <c r="IK15" s="116">
        <f>+MIN(BO15:BQ15)</f>
        <v>199.914916362855</v>
      </c>
      <c r="IL15" s="116">
        <f>+MIN(BR15:BT15)</f>
        <v>246.88109360126299</v>
      </c>
      <c r="IM15" s="116">
        <f>+MIN(BU15:BW15)</f>
        <v>234.78150009609999</v>
      </c>
      <c r="IN15" s="116">
        <f>+MIN(BX15:BZ15)</f>
        <v>210.137838222319</v>
      </c>
      <c r="IO15" s="116">
        <f>+MIN(CA15:CC15)</f>
        <v>192.60577416381801</v>
      </c>
      <c r="IP15" s="116">
        <f>+MIN(CD15:CF15)</f>
        <v>175.32064058501399</v>
      </c>
      <c r="IQ15" s="116">
        <f>+MIN(CG15:CI15)</f>
        <v>192.60577416381801</v>
      </c>
      <c r="IR15" s="116">
        <f>+MIN(CJ15:CL15)</f>
        <v>242.584503254531</v>
      </c>
      <c r="IS15" s="116">
        <f>+MIN(CM15:CO15)</f>
        <v>259.425161969881</v>
      </c>
      <c r="IT15" s="116">
        <f>+MIN(CP15:CR15)</f>
        <v>211.372490620805</v>
      </c>
      <c r="IU15" s="116">
        <f>+MIN(CS15:CU15)</f>
        <v>260.75858656024599</v>
      </c>
      <c r="IV15" s="116">
        <f>+MIN(CV15:CX15)</f>
        <v>376.37143715447598</v>
      </c>
      <c r="IW15" s="116">
        <f>+MIN(CY15:DA15)</f>
        <v>453.36436072406298</v>
      </c>
      <c r="IX15" s="116">
        <f>+MIN(DB15:DD15)</f>
        <v>547.74119006433398</v>
      </c>
      <c r="IY15" s="116">
        <f>+MIN(DE15:DG15)</f>
        <v>606.70818861602595</v>
      </c>
      <c r="IZ15" s="116">
        <f>+MIN(DH15:DJ15)</f>
        <v>730.51913113620299</v>
      </c>
      <c r="JA15" s="116">
        <f>+MIN(DK15:DM15)</f>
        <v>688.24463301204196</v>
      </c>
      <c r="JB15" s="116">
        <f>+MIN(DN15:DP15)</f>
        <v>642.76003865181701</v>
      </c>
      <c r="JC15" s="116">
        <f>+MIN(DQ15:DS15)</f>
        <v>689.52867150646705</v>
      </c>
      <c r="JD15" s="116">
        <f>+MIN(DT15:DV15)</f>
        <v>689.42989931458897</v>
      </c>
      <c r="JE15" s="116">
        <f>+MIN(DW15:DY15)</f>
        <v>730.02527017680904</v>
      </c>
      <c r="JF15" s="116">
        <f>+MIN(DZ15:EB15)</f>
        <v>676.58951437033397</v>
      </c>
      <c r="JG15" s="116">
        <f>+MIN(EC15:EE15)</f>
        <v>687.94831643640498</v>
      </c>
      <c r="JH15" s="116">
        <f>+MIN(EF15:EH15)</f>
        <v>812.00618943628001</v>
      </c>
      <c r="JI15" s="116">
        <f>+MIN(EI15:EK15)</f>
        <v>844.50224056443199</v>
      </c>
      <c r="JJ15" s="116">
        <f>+MIN(EL15:EN15)</f>
        <v>1062.8381707127</v>
      </c>
      <c r="JK15" s="116">
        <f>MIN(EO15:EQ15)</f>
        <v>1017.35357635247</v>
      </c>
      <c r="JL15" s="116">
        <f>MIN(ER15:ET15)</f>
        <v>1066.2458113325199</v>
      </c>
      <c r="JM15" s="116">
        <f>MIN(EU15:EW15)</f>
        <v>884</v>
      </c>
      <c r="JN15" s="116">
        <f>MIN(EX15:EZ15)</f>
        <v>908.5</v>
      </c>
      <c r="JO15" s="116">
        <f>MIN(FA15:FC15)</f>
        <v>989.1</v>
      </c>
      <c r="JP15" s="116">
        <f>MIN(FD15:FF15)</f>
        <v>1038.3499999999999</v>
      </c>
      <c r="JQ15" s="116">
        <f>MIN(FG15:FI15)</f>
        <v>1105.0999999999999</v>
      </c>
      <c r="JR15" s="116">
        <f>MIN(FJ15:FL15)</f>
        <v>1011</v>
      </c>
      <c r="JS15" s="116">
        <f>MIN(FM15:FO15)</f>
        <v>1007.2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114.526356483562</v>
      </c>
      <c r="D16" s="116" cm="1">
        <f t="array" ref="D16">_xll.EQNXTDZ($A$1,$B16,D$1)</f>
        <v>125.243139302421</v>
      </c>
      <c r="E16" s="116" cm="1">
        <f t="array" ref="E16">_xll.EQNXTDZ($A$1,$B16,E$1)</f>
        <v>128.601393826303</v>
      </c>
      <c r="F16" s="116" cm="1">
        <f t="array" ref="F16">_xll.EQNXTDZ($A$1,$B16,F$1)</f>
        <v>141.04669000304199</v>
      </c>
      <c r="G16" s="116" cm="1">
        <f t="array" ref="G16">_xll.EQNXTDZ($A$1,$B16,G$1)</f>
        <v>148.40521829801901</v>
      </c>
      <c r="H16" s="116" cm="1">
        <f t="array" ref="H16">_xll.EQNXTDZ($A$1,$B16,H$1)</f>
        <v>163.665521943306</v>
      </c>
      <c r="I16" s="116" cm="1">
        <f t="array" ref="I16">_xll.EQNXTDZ($A$1,$B16,I$1)</f>
        <v>157.887348718391</v>
      </c>
      <c r="J16" s="116" cm="1">
        <f t="array" ref="J16">_xll.EQNXTDZ($A$1,$B16,J$1)</f>
        <v>147.76319905080601</v>
      </c>
      <c r="K16" s="116" cm="1">
        <f t="array" ref="K16">_xll.EQNXTDZ($A$1,$B16,K$1)</f>
        <v>123.56401204047999</v>
      </c>
      <c r="L16" s="116" cm="1">
        <f t="array" ref="L16">_xll.EQNXTDZ($A$1,$B16,L$1)</f>
        <v>126.42840560496801</v>
      </c>
      <c r="M16" s="116" cm="1">
        <f t="array" ref="M16">_xll.EQNXTDZ($A$1,$B16,M$1)</f>
        <v>145.09634987007601</v>
      </c>
      <c r="N16" s="116" cm="1">
        <f t="array" ref="N16">_xll.EQNXTDZ($A$1,$B16,N$1)</f>
        <v>143.86169747158999</v>
      </c>
      <c r="O16" s="116" cm="1">
        <f t="array" ref="O16">_xll.EQNXTDZ($A$1,$B16,O$1)</f>
        <v>132.552281501458</v>
      </c>
      <c r="P16" s="116" cm="1">
        <f t="array" ref="P16">_xll.EQNXTDZ($A$1,$B16,P$1)</f>
        <v>157.73919043057299</v>
      </c>
      <c r="Q16" s="116" cm="1">
        <f t="array" ref="Q16">_xll.EQNXTDZ($A$1,$B16,Q$1)</f>
        <v>137.29334671164401</v>
      </c>
      <c r="R16" s="116" cm="1">
        <f t="array" ref="R16">_xll.EQNXTDZ($A$1,$B16,R$1)</f>
        <v>141.93563972995199</v>
      </c>
      <c r="S16" s="116" cm="1">
        <f t="array" ref="S16">_xll.EQNXTDZ($A$1,$B16,S$1)</f>
        <v>161.986394681365</v>
      </c>
      <c r="T16" s="116" cm="1">
        <f t="array" ref="T16">_xll.EQNXTDZ($A$1,$B16,T$1)</f>
        <v>147.071793707654</v>
      </c>
      <c r="U16" s="116" cm="1">
        <f t="array" ref="U16">_xll.EQNXTDZ($A$1,$B16,U$1)</f>
        <v>158.33182358184601</v>
      </c>
      <c r="V16" s="116" cm="1">
        <f t="array" ref="V16">_xll.EQNXTDZ($A$1,$B16,V$1)</f>
        <v>139.41694883704</v>
      </c>
      <c r="W16" s="116" cm="1">
        <f t="array" ref="W16">_xll.EQNXTDZ($A$1,$B16,W$1)</f>
        <v>138.034138150736</v>
      </c>
      <c r="X16" s="116" cm="1">
        <f t="array" ref="X16">_xll.EQNXTDZ($A$1,$B16,X$1)</f>
        <v>148.108901722382</v>
      </c>
      <c r="Y16" s="116" cm="1">
        <f t="array" ref="Y16">_xll.EQNXTDZ($A$1,$B16,Y$1)</f>
        <v>147.61504076298701</v>
      </c>
      <c r="Z16" s="116" cm="1">
        <f t="array" ref="Z16">_xll.EQNXTDZ($A$1,$B16,Z$1)</f>
        <v>147.36811028329001</v>
      </c>
      <c r="AA16" s="116" cm="1">
        <f t="array" ref="AA16">_xll.EQNXTDZ($A$1,$B16,AA$1)</f>
        <v>170.67834756670601</v>
      </c>
      <c r="AB16" s="116" cm="1">
        <f t="array" ref="AB16">_xll.EQNXTDZ($A$1,$B16,AB$1)</f>
        <v>152.306719877234</v>
      </c>
      <c r="AC16" s="116" cm="1">
        <f t="array" ref="AC16">_xll.EQNXTDZ($A$1,$B16,AC$1)</f>
        <v>149.04723754523101</v>
      </c>
      <c r="AD16" s="116" cm="1">
        <f t="array" ref="AD16">_xll.EQNXTDZ($A$1,$B16,AD$1)</f>
        <v>157.146557279299</v>
      </c>
      <c r="AE16" s="116" cm="1">
        <f t="array" ref="AE16">_xll.EQNXTDZ($A$1,$B16,AE$1)</f>
        <v>158.08489310214901</v>
      </c>
      <c r="AF16" s="116" cm="1">
        <f t="array" ref="AF16">_xll.EQNXTDZ($A$1,$B16,AF$1)</f>
        <v>159.171387212817</v>
      </c>
      <c r="AG16" s="116" cm="1">
        <f t="array" ref="AG16">_xll.EQNXTDZ($A$1,$B16,AG$1)</f>
        <v>148.849693161473</v>
      </c>
      <c r="AH16" s="116" cm="1">
        <f t="array" ref="AH16">_xll.EQNXTDZ($A$1,$B16,AH$1)</f>
        <v>156.751468511784</v>
      </c>
      <c r="AI16" s="116" cm="1">
        <f t="array" ref="AI16">_xll.EQNXTDZ($A$1,$B16,AI$1)</f>
        <v>153.14628350820499</v>
      </c>
      <c r="AJ16" s="116" cm="1">
        <f t="array" ref="AJ16">_xll.EQNXTDZ($A$1,$B16,AJ$1)</f>
        <v>147.26933809141099</v>
      </c>
      <c r="AK16" s="116" cm="1">
        <f t="array" ref="AK16">_xll.EQNXTDZ($A$1,$B16,AK$1)</f>
        <v>140.40467075582899</v>
      </c>
      <c r="AL16" s="116" cm="1">
        <f t="array" ref="AL16">_xll.EQNXTDZ($A$1,$B16,AL$1)</f>
        <v>144.404944526924</v>
      </c>
      <c r="AM16" s="116" cm="1">
        <f t="array" ref="AM16">_xll.EQNXTDZ($A$1,$B16,AM$1)</f>
        <v>130.72499595169899</v>
      </c>
      <c r="AN16" s="116" cm="1">
        <f t="array" ref="AN16">_xll.EQNXTDZ($A$1,$B16,AN$1)</f>
        <v>138.37984082231199</v>
      </c>
      <c r="AO16" s="116" cm="1">
        <f t="array" ref="AO16">_xll.EQNXTDZ($A$1,$B16,AO$1)</f>
        <v>118.131541487142</v>
      </c>
      <c r="AP16" s="116" cm="1">
        <f t="array" ref="AP16">_xll.EQNXTDZ($A$1,$B16,AP$1)</f>
        <v>126.132089029331</v>
      </c>
      <c r="AQ16" s="116" cm="1">
        <f t="array" ref="AQ16">_xll.EQNXTDZ($A$1,$B16,AQ$1)</f>
        <v>131.46578739079001</v>
      </c>
      <c r="AR16" s="116" cm="1">
        <f t="array" ref="AR16">_xll.EQNXTDZ($A$1,$B16,AR$1)</f>
        <v>136.05869431315801</v>
      </c>
      <c r="AS16" s="116" cm="1">
        <f t="array" ref="AS16">_xll.EQNXTDZ($A$1,$B16,AS$1)</f>
        <v>144.30617233504501</v>
      </c>
      <c r="AT16" s="116" cm="1">
        <f t="array" ref="AT16">_xll.EQNXTDZ($A$1,$B16,AT$1)</f>
        <v>124.798664438966</v>
      </c>
      <c r="AU16" s="116" cm="1">
        <f t="array" ref="AU16">_xll.EQNXTDZ($A$1,$B16,AU$1)</f>
        <v>102.37737688246</v>
      </c>
      <c r="AV16" s="116" cm="1">
        <f t="array" ref="AV16">_xll.EQNXTDZ($A$1,$B16,AV$1)</f>
        <v>119.514352173446</v>
      </c>
      <c r="AW16" s="116" cm="1">
        <f t="array" ref="AW16">_xll.EQNXTDZ($A$1,$B16,AW$1)</f>
        <v>118.427858062778</v>
      </c>
      <c r="AX16" s="116" cm="1">
        <f t="array" ref="AX16">_xll.EQNXTDZ($A$1,$B16,AX$1)</f>
        <v>116.452414225201</v>
      </c>
      <c r="AY16" s="116" cm="1">
        <f t="array" ref="AY16">_xll.EQNXTDZ($A$1,$B16,AY$1)</f>
        <v>129.243413073516</v>
      </c>
      <c r="AZ16" s="116" cm="1">
        <f t="array" ref="AZ16">_xll.EQNXTDZ($A$1,$B16,AZ$1)</f>
        <v>140.40467075582899</v>
      </c>
      <c r="BA16" s="116" cm="1">
        <f t="array" ref="BA16">_xll.EQNXTDZ($A$1,$B16,BA$1)</f>
        <v>138.37984082231199</v>
      </c>
      <c r="BB16" s="116" cm="1">
        <f t="array" ref="BB16">_xll.EQNXTDZ($A$1,$B16,BB$1)</f>
        <v>137.787207671039</v>
      </c>
      <c r="BC16" s="116" cm="1">
        <f t="array" ref="BC16">_xll.EQNXTDZ($A$1,$B16,BC$1)</f>
        <v>137.58966328728101</v>
      </c>
      <c r="BD16" s="116" cm="1">
        <f t="array" ref="BD16">_xll.EQNXTDZ($A$1,$B16,BD$1)</f>
        <v>122.279973546055</v>
      </c>
      <c r="BE16" s="116" cm="1">
        <f t="array" ref="BE16">_xll.EQNXTDZ($A$1,$B16,BE$1)</f>
        <v>120.551460188174</v>
      </c>
      <c r="BF16" s="116" cm="1">
        <f t="array" ref="BF16">_xll.EQNXTDZ($A$1,$B16,BF$1)</f>
        <v>127.465513619696</v>
      </c>
      <c r="BG16" s="116" cm="1">
        <f t="array" ref="BG16">_xll.EQNXTDZ($A$1,$B16,BG$1)</f>
        <v>136.30562479285601</v>
      </c>
      <c r="BH16" s="116" cm="1">
        <f t="array" ref="BH16">_xll.EQNXTDZ($A$1,$B16,BH$1)</f>
        <v>148.40521829801901</v>
      </c>
      <c r="BI16" s="116" cm="1">
        <f t="array" ref="BI16">_xll.EQNXTDZ($A$1,$B16,BI$1)</f>
        <v>151.12145357468799</v>
      </c>
      <c r="BJ16" s="116" cm="1">
        <f t="array" ref="BJ16">_xll.EQNXTDZ($A$1,$B16,BJ$1)</f>
        <v>147.12117980359301</v>
      </c>
      <c r="BK16" s="116" cm="1">
        <f t="array" ref="BK16">_xll.EQNXTDZ($A$1,$B16,BK$1)</f>
        <v>148.70153487365499</v>
      </c>
      <c r="BL16" s="116" cm="1">
        <f t="array" ref="BL16">_xll.EQNXTDZ($A$1,$B16,BL$1)</f>
        <v>167.51763742658201</v>
      </c>
      <c r="BM16" s="116" cm="1">
        <f t="array" ref="BM16">_xll.EQNXTDZ($A$1,$B16,BM$1)</f>
        <v>195.470167728305</v>
      </c>
      <c r="BN16" s="116" cm="1">
        <f t="array" ref="BN16">_xll.EQNXTDZ($A$1,$B16,BN$1)</f>
        <v>203.125012598919</v>
      </c>
      <c r="BO16" s="116" cm="1">
        <f t="array" ref="BO16">_xll.EQNXTDZ($A$1,$B16,BO$1)</f>
        <v>223.81778679754399</v>
      </c>
      <c r="BP16" s="116" cm="1">
        <f t="array" ref="BP16">_xll.EQNXTDZ($A$1,$B16,BP$1)</f>
        <v>283.37741850050901</v>
      </c>
      <c r="BQ16" s="116" cm="1">
        <f t="array" ref="BQ16">_xll.EQNXTDZ($A$1,$B16,BQ$1)</f>
        <v>311.67565147380901</v>
      </c>
      <c r="BR16" s="116" cm="1">
        <f t="array" ref="BR16">_xll.EQNXTDZ($A$1,$B16,BR$1)</f>
        <v>287.031989600028</v>
      </c>
      <c r="BS16" s="116" cm="1">
        <f t="array" ref="BS16">_xll.EQNXTDZ($A$1,$B16,BS$1)</f>
        <v>272.21616081819599</v>
      </c>
      <c r="BT16" s="116" cm="1">
        <f t="array" ref="BT16">_xll.EQNXTDZ($A$1,$B16,BT$1)</f>
        <v>255.27672991096799</v>
      </c>
      <c r="BU16" s="116" cm="1">
        <f t="array" ref="BU16">_xll.EQNXTDZ($A$1,$B16,BU$1)</f>
        <v>293.94604303154898</v>
      </c>
      <c r="BV16" s="116" cm="1">
        <f t="array" ref="BV16">_xll.EQNXTDZ($A$1,$B16,BV$1)</f>
        <v>264.80824642727998</v>
      </c>
      <c r="BW16" s="116" cm="1">
        <f t="array" ref="BW16">_xll.EQNXTDZ($A$1,$B16,BW$1)</f>
        <v>266.14167101764502</v>
      </c>
      <c r="BX16" s="116" cm="1">
        <f t="array" ref="BX16">_xll.EQNXTDZ($A$1,$B16,BX$1)</f>
        <v>243.96731394083599</v>
      </c>
      <c r="BY16" s="116" cm="1">
        <f t="array" ref="BY16">_xll.EQNXTDZ($A$1,$B16,BY$1)</f>
        <v>232.015878723491</v>
      </c>
      <c r="BZ16" s="116" cm="1">
        <f t="array" ref="BZ16">_xll.EQNXTDZ($A$1,$B16,BZ$1)</f>
        <v>230.33675146154999</v>
      </c>
      <c r="CA16" s="116" cm="1">
        <f t="array" ref="CA16">_xll.EQNXTDZ($A$1,$B16,CA$1)</f>
        <v>215.37276439190001</v>
      </c>
      <c r="CB16" s="116" cm="1">
        <f t="array" ref="CB16">_xll.EQNXTDZ($A$1,$B16,CB$1)</f>
        <v>216.31110021474899</v>
      </c>
      <c r="CC16" s="116" cm="1">
        <f t="array" ref="CC16">_xll.EQNXTDZ($A$1,$B16,CC$1)</f>
        <v>216.70618898226499</v>
      </c>
      <c r="CD16" s="116" cm="1">
        <f t="array" ref="CD16">_xll.EQNXTDZ($A$1,$B16,CD$1)</f>
        <v>202.08790458419</v>
      </c>
      <c r="CE16" s="116" cm="1">
        <f t="array" ref="CE16">_xll.EQNXTDZ($A$1,$B16,CE$1)</f>
        <v>191.56866614908901</v>
      </c>
      <c r="CF16" s="116" cm="1">
        <f t="array" ref="CF16">_xll.EQNXTDZ($A$1,$B16,CF$1)</f>
        <v>200.65570780194699</v>
      </c>
      <c r="CG16" s="116" cm="1">
        <f t="array" ref="CG16">_xll.EQNXTDZ($A$1,$B16,CG$1)</f>
        <v>206.53265321873999</v>
      </c>
      <c r="CH16" s="116" cm="1">
        <f t="array" ref="CH16">_xll.EQNXTDZ($A$1,$B16,CH$1)</f>
        <v>240.06581236162</v>
      </c>
      <c r="CI16" s="116" cm="1">
        <f t="array" ref="CI16">_xll.EQNXTDZ($A$1,$B16,CI$1)</f>
        <v>266.38860149734199</v>
      </c>
      <c r="CJ16" s="116" cm="1">
        <f t="array" ref="CJ16">_xll.EQNXTDZ($A$1,$B16,CJ$1)</f>
        <v>249.15285401447699</v>
      </c>
      <c r="CK16" s="116" cm="1">
        <f t="array" ref="CK16">_xll.EQNXTDZ($A$1,$B16,CK$1)</f>
        <v>275.12994047862298</v>
      </c>
      <c r="CL16" s="116" cm="1">
        <f t="array" ref="CL16">_xll.EQNXTDZ($A$1,$B16,CL$1)</f>
        <v>272.660635681651</v>
      </c>
      <c r="CM16" s="116" cm="1">
        <f t="array" ref="CM16">_xll.EQNXTDZ($A$1,$B16,CM$1)</f>
        <v>313.404164831689</v>
      </c>
      <c r="CN16" s="116" cm="1">
        <f t="array" ref="CN16">_xll.EQNXTDZ($A$1,$B16,CN$1)</f>
        <v>319.08356586472502</v>
      </c>
      <c r="CO16" s="116" cm="1">
        <f t="array" ref="CO16">_xll.EQNXTDZ($A$1,$B16,CO$1)</f>
        <v>317.10812202714698</v>
      </c>
      <c r="CP16" s="116" cm="1">
        <f t="array" ref="CP16">_xll.EQNXTDZ($A$1,$B16,CP$1)</f>
        <v>378.69258366362902</v>
      </c>
      <c r="CQ16" s="116" cm="1">
        <f t="array" ref="CQ16">_xll.EQNXTDZ($A$1,$B16,CQ$1)</f>
        <v>341.653011709049</v>
      </c>
      <c r="CR16" s="116" cm="1">
        <f t="array" ref="CR16">_xll.EQNXTDZ($A$1,$B16,CR$1)</f>
        <v>291.18042165894099</v>
      </c>
      <c r="CS16" s="116" cm="1">
        <f t="array" ref="CS16">_xll.EQNXTDZ($A$1,$B16,CS$1)</f>
        <v>347.03609616644798</v>
      </c>
      <c r="CT16" s="116" cm="1">
        <f t="array" ref="CT16">_xll.EQNXTDZ($A$1,$B16,CT$1)</f>
        <v>363.432280018342</v>
      </c>
      <c r="CU16" s="116" cm="1">
        <f t="array" ref="CU16">_xll.EQNXTDZ($A$1,$B16,CU$1)</f>
        <v>382.79162962660303</v>
      </c>
      <c r="CV16" s="116" cm="1">
        <f t="array" ref="CV16">_xll.EQNXTDZ($A$1,$B16,CV$1)</f>
        <v>422.44866466597301</v>
      </c>
      <c r="CW16" s="116" cm="1">
        <f t="array" ref="CW16">_xll.EQNXTDZ($A$1,$B16,CW$1)</f>
        <v>526.55455490631402</v>
      </c>
      <c r="CX16" s="116" cm="1">
        <f t="array" ref="CX16">_xll.EQNXTDZ($A$1,$B16,CX$1)</f>
        <v>493.61402891470698</v>
      </c>
      <c r="CY16" s="116" cm="1">
        <f t="array" ref="CY16">_xll.EQNXTDZ($A$1,$B16,CY$1)</f>
        <v>487.24322253851898</v>
      </c>
      <c r="CZ16" s="116" cm="1">
        <f t="array" ref="CZ16">_xll.EQNXTDZ($A$1,$B16,CZ$1)</f>
        <v>532.38211422716802</v>
      </c>
      <c r="DA16" s="116" cm="1">
        <f t="array" ref="DA16">_xll.EQNXTDZ($A$1,$B16,DA$1)</f>
        <v>582.41022941382096</v>
      </c>
      <c r="DB16" s="116" cm="1">
        <f t="array" ref="DB16">_xll.EQNXTDZ($A$1,$B16,DB$1)</f>
        <v>553.37120500142998</v>
      </c>
      <c r="DC16" s="116" cm="1">
        <f t="array" ref="DC16">_xll.EQNXTDZ($A$1,$B16,DC$1)</f>
        <v>601.17694587080803</v>
      </c>
      <c r="DD16" s="116" cm="1">
        <f t="array" ref="DD16">_xll.EQNXTDZ($A$1,$B16,DD$1)</f>
        <v>630.66044514665396</v>
      </c>
      <c r="DE16" s="116" cm="1">
        <f t="array" ref="DE16">_xll.EQNXTDZ($A$1,$B16,DE$1)</f>
        <v>663.55158504232202</v>
      </c>
      <c r="DF16" s="116" cm="1">
        <f t="array" ref="DF16">_xll.EQNXTDZ($A$1,$B16,DF$1)</f>
        <v>655.551037500132</v>
      </c>
      <c r="DG16" s="116" cm="1">
        <f t="array" ref="DG16">_xll.EQNXTDZ($A$1,$B16,DG$1)</f>
        <v>744.54478238300396</v>
      </c>
      <c r="DH16" s="116" cm="1">
        <f t="array" ref="DH16">_xll.EQNXTDZ($A$1,$B16,DH$1)</f>
        <v>746.81654279621796</v>
      </c>
      <c r="DI16" s="116" cm="1">
        <f t="array" ref="DI16">_xll.EQNXTDZ($A$1,$B16,DI$1)</f>
        <v>854.03375708074395</v>
      </c>
      <c r="DJ16" s="116" cm="1">
        <f t="array" ref="DJ16">_xll.EQNXTDZ($A$1,$B16,DJ$1)</f>
        <v>803.56116703063503</v>
      </c>
      <c r="DK16" s="116" cm="1">
        <f t="array" ref="DK16">_xll.EQNXTDZ($A$1,$B16,DK$1)</f>
        <v>799.21519058796503</v>
      </c>
      <c r="DL16" s="116" cm="1">
        <f t="array" ref="DL16">_xll.EQNXTDZ($A$1,$B16,DL$1)</f>
        <v>769.23783035272402</v>
      </c>
      <c r="DM16" s="116" cm="1">
        <f t="array" ref="DM16">_xll.EQNXTDZ($A$1,$B16,DM$1)</f>
        <v>734.27247442759995</v>
      </c>
      <c r="DN16" s="116" cm="1">
        <f t="array" ref="DN16">_xll.EQNXTDZ($A$1,$B16,DN$1)</f>
        <v>719.45664564576805</v>
      </c>
      <c r="DO16" s="116" cm="1">
        <f t="array" ref="DO16">_xll.EQNXTDZ($A$1,$B16,DO$1)</f>
        <v>709.53004036194102</v>
      </c>
      <c r="DP16" s="116" cm="1">
        <f t="array" ref="DP16">_xll.EQNXTDZ($A$1,$B16,DP$1)</f>
        <v>767.70686137860196</v>
      </c>
      <c r="DQ16" s="116" cm="1">
        <f t="array" ref="DQ16">_xll.EQNXTDZ($A$1,$B16,DQ$1)</f>
        <v>814.08040546573602</v>
      </c>
      <c r="DR16" s="116" cm="1">
        <f t="array" ref="DR16">_xll.EQNXTDZ($A$1,$B16,DR$1)</f>
        <v>754.91586253028697</v>
      </c>
      <c r="DS16" s="116" cm="1">
        <f t="array" ref="DS16">_xll.EQNXTDZ($A$1,$B16,DS$1)</f>
        <v>698.56632706338496</v>
      </c>
      <c r="DT16" s="116" cm="1">
        <f t="array" ref="DT16">_xll.EQNXTDZ($A$1,$B16,DT$1)</f>
        <v>801.58572319305802</v>
      </c>
      <c r="DU16" s="116" cm="1">
        <f t="array" ref="DU16">_xll.EQNXTDZ($A$1,$B16,DU$1)</f>
        <v>799.70905154735897</v>
      </c>
      <c r="DV16" s="116" cm="1">
        <f t="array" ref="DV16">_xll.EQNXTDZ($A$1,$B16,DV$1)</f>
        <v>793.53578955492901</v>
      </c>
      <c r="DW16" s="116" cm="1">
        <f t="array" ref="DW16">_xll.EQNXTDZ($A$1,$B16,DW$1)</f>
        <v>760.64464965926197</v>
      </c>
      <c r="DX16" s="116" cm="1">
        <f t="array" ref="DX16">_xll.EQNXTDZ($A$1,$B16,DX$1)</f>
        <v>807.95652956924596</v>
      </c>
      <c r="DY16" s="116" cm="1">
        <f t="array" ref="DY16">_xll.EQNXTDZ($A$1,$B16,DY$1)</f>
        <v>757.73086999883503</v>
      </c>
      <c r="DZ16" s="116" cm="1">
        <f t="array" ref="DZ16">_xll.EQNXTDZ($A$1,$B16,DZ$1)</f>
        <v>720.44436756455696</v>
      </c>
      <c r="EA16" s="116" cm="1">
        <f t="array" ref="EA16">_xll.EQNXTDZ($A$1,$B16,EA$1)</f>
        <v>705.62853878272495</v>
      </c>
      <c r="EB16" s="116" cm="1">
        <f t="array" ref="EB16">_xll.EQNXTDZ($A$1,$B16,EB$1)</f>
        <v>701.33194843599404</v>
      </c>
      <c r="EC16" s="116" cm="1">
        <f t="array" ref="EC16">_xll.EQNXTDZ($A$1,$B16,EC$1)</f>
        <v>754.07629889931604</v>
      </c>
      <c r="ED16" s="116" cm="1">
        <f t="array" ref="ED16">_xll.EQNXTDZ($A$1,$B16,ED$1)</f>
        <v>786.91805269904398</v>
      </c>
      <c r="EE16" s="116" cm="1">
        <f t="array" ref="EE16">_xll.EQNXTDZ($A$1,$B16,EE$1)</f>
        <v>849.78655282995203</v>
      </c>
      <c r="EF16" s="116" cm="1">
        <f t="array" ref="EF16">_xll.EQNXTDZ($A$1,$B16,EF$1)</f>
        <v>848.65067262334503</v>
      </c>
      <c r="EG16" s="116" cm="1">
        <f t="array" ref="EG16">_xll.EQNXTDZ($A$1,$B16,EG$1)</f>
        <v>824.64902999677599</v>
      </c>
      <c r="EH16" s="116" cm="1">
        <f t="array" ref="EH16">_xll.EQNXTDZ($A$1,$B16,EH$1)</f>
        <v>865.98519229808801</v>
      </c>
      <c r="EI16" s="116" cm="1">
        <f t="array" ref="EI16">_xll.EQNXTDZ($A$1,$B16,EI$1)</f>
        <v>889.54236006120095</v>
      </c>
      <c r="EJ16" s="116" cm="1">
        <f t="array" ref="EJ16">_xll.EQNXTDZ($A$1,$B16,EJ$1)</f>
        <v>929.49571167620797</v>
      </c>
      <c r="EK16" s="116" cm="1">
        <f t="array" ref="EK16">_xll.EQNXTDZ($A$1,$B16,EK$1)</f>
        <v>1073.4561813396799</v>
      </c>
      <c r="EL16" s="116" cm="1">
        <f t="array" ref="EL16">_xll.EQNXTDZ($A$1,$B16,EL$1)</f>
        <v>1103.6804720546099</v>
      </c>
      <c r="EM16" s="116" cm="1">
        <f t="array" ref="EM16">_xll.EQNXTDZ($A$1,$B16,EM$1)</f>
        <v>1176.7225079490499</v>
      </c>
      <c r="EN16" s="116" cm="1">
        <f t="array" ref="EN16">_xll.EQNXTDZ($A$1,$B16,EN$1)</f>
        <v>1081.9505898412599</v>
      </c>
      <c r="EO16" s="116" cm="1">
        <f t="array" ref="EO16">_xll.EQNXTDZ($A$1,$B16,EO$1)</f>
        <v>1094.24772773018</v>
      </c>
      <c r="EP16" s="116" cm="1">
        <f t="array" ref="EP16">_xll.EQNXTDZ($A$1,$B16,EP$1)</f>
        <v>1046.2938285729899</v>
      </c>
      <c r="EQ16" s="116" cm="1">
        <f t="array" ref="EQ16">_xll.EQNXTDZ($A$1,$B16,EQ$1)</f>
        <v>1083.6791031991399</v>
      </c>
      <c r="ER16" s="116" cm="1">
        <f t="array" ref="ER16">_xll.EQNXTDZ($A$1,$B16,ER$1)</f>
        <v>1188.55</v>
      </c>
      <c r="ES16" s="116" cm="1">
        <f t="array" ref="ES16">_xll.EQNXTDZ($A$1,$B16,ES$1)</f>
        <v>1199.2</v>
      </c>
      <c r="ET16" s="116" cm="1">
        <f t="array" ref="ET16">_xll.EQNXTDZ($A$1,$B16,ET$1)</f>
        <v>1196.6500000000001</v>
      </c>
      <c r="EU16" s="116" cm="1">
        <f t="array" ref="EU16">_xll.EQNXTDZ($A$1,$B16,EU$1)</f>
        <v>1002.55</v>
      </c>
      <c r="EV16" s="116" cm="1">
        <f t="array" ref="EV16">_xll.EQNXTDZ($A$1,$B16,EV$1)</f>
        <v>958.55</v>
      </c>
      <c r="EW16" s="116" cm="1">
        <f t="array" ref="EW16">_xll.EQNXTDZ($A$1,$B16,EW$1)</f>
        <v>914.35</v>
      </c>
      <c r="EX16" s="116" cm="1">
        <f t="array" ref="EX16">_xll.EQNXTDZ($A$1,$B16,EX$1)</f>
        <v>1024.5999999999999</v>
      </c>
      <c r="EY16" s="116" cm="1">
        <f t="array" ref="EY16">_xll.EQNXTDZ($A$1,$B16,EY$1)</f>
        <v>963.3</v>
      </c>
      <c r="EZ16" s="116" cm="1">
        <f t="array" ref="EZ16">_xll.EQNXTDZ($A$1,$B16,EZ$1)</f>
        <v>1001.75</v>
      </c>
      <c r="FA16" s="116" cm="1">
        <f t="array" ref="FA16">_xll.EQNXTDZ($A$1,$B16,FA$1)</f>
        <v>1164.05</v>
      </c>
      <c r="FB16" s="116" cm="1">
        <f t="array" ref="FB16">_xll.EQNXTDZ($A$1,$B16,FB$1)</f>
        <v>1108</v>
      </c>
      <c r="FC16" s="116" cm="1">
        <f t="array" ref="FC16">_xll.EQNXTDZ($A$1,$B16,FC$1)</f>
        <v>1099.2</v>
      </c>
      <c r="FD16" s="116" cm="1">
        <f t="array" ref="FD16">_xll.EQNXTDZ($A$1,$B16,FD$1)</f>
        <v>1072.8499999999999</v>
      </c>
      <c r="FE16" s="116" cm="1">
        <f t="array" ref="FE16">_xll.EQNXTDZ($A$1,$B16,FE$1)</f>
        <v>1064.8499999999999</v>
      </c>
      <c r="FF16" s="116" cm="1">
        <f t="array" ref="FF16">_xll.EQNXTDZ($A$1,$B16,FF$1)</f>
        <v>1129.1500000000001</v>
      </c>
      <c r="FG16" s="116" cm="1">
        <f t="array" ref="FG16">_xll.EQNXTDZ($A$1,$B16,FG$1)</f>
        <v>1165.0999999999999</v>
      </c>
      <c r="FH16" s="116" cm="1">
        <f t="array" ref="FH16">_xll.EQNXTDZ($A$1,$B16,FH$1)</f>
        <v>1171.45</v>
      </c>
      <c r="FI16" s="116" cm="1">
        <f t="array" ref="FI16">_xll.EQNXTDZ($A$1,$B16,FI$1)</f>
        <v>1192</v>
      </c>
      <c r="FJ16" s="116" cm="1">
        <f t="array" ref="FJ16">_xll.EQNXTDZ($A$1,$B16,FJ$1)</f>
        <v>1133.9000000000001</v>
      </c>
      <c r="FK16" s="116" cm="1">
        <f t="array" ref="FK16">_xll.EQNXTDZ($A$1,$B16,FK$1)</f>
        <v>1142.3</v>
      </c>
      <c r="FL16" s="116" cm="1">
        <f t="array" ref="FL16">_xll.EQNXTDZ($A$1,$B16,FL$1)</f>
        <v>1014.45</v>
      </c>
      <c r="FM16" s="116" cm="1">
        <f t="array" ref="FM16">_xll.EQNXTDZ($A$1,$B16,FM$1)</f>
        <v>1144.45</v>
      </c>
      <c r="FN16" s="116" cm="1">
        <f t="array" ref="FN16">_xll.EQNXTDZ($A$1,$B16,FN$1)</f>
        <v>1179.3499999999999</v>
      </c>
      <c r="FO16" s="116" cm="1">
        <f t="array" ref="FO16">_xll.EQNXTDZ($A$1,$B16,FO$1)</f>
        <v>1129.45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141.04669000304199</v>
      </c>
      <c r="HQ16" s="116">
        <f>+I16</f>
        <v>157.887348718391</v>
      </c>
      <c r="HR16" s="116">
        <f>+L16</f>
        <v>126.42840560496801</v>
      </c>
      <c r="HS16" s="116">
        <f>+O16</f>
        <v>132.552281501458</v>
      </c>
      <c r="HT16" s="116">
        <f>+R16</f>
        <v>141.93563972995199</v>
      </c>
      <c r="HU16" s="116">
        <f>+U16</f>
        <v>158.33182358184601</v>
      </c>
      <c r="HV16" s="116">
        <f>+X16</f>
        <v>148.108901722382</v>
      </c>
      <c r="HW16" s="116">
        <f>+AA16</f>
        <v>170.67834756670601</v>
      </c>
      <c r="HX16" s="116">
        <f>+AD16</f>
        <v>157.146557279299</v>
      </c>
      <c r="HY16" s="116">
        <f>+AG16</f>
        <v>148.849693161473</v>
      </c>
      <c r="HZ16" s="116">
        <f>+AJ16</f>
        <v>147.26933809141099</v>
      </c>
      <c r="IA16" s="116">
        <f>+AM16</f>
        <v>130.72499595169899</v>
      </c>
      <c r="IB16" s="116">
        <f>+AP16</f>
        <v>126.132089029331</v>
      </c>
      <c r="IC16" s="116">
        <f>+AS16</f>
        <v>144.30617233504501</v>
      </c>
      <c r="ID16" s="116">
        <f>+AV16</f>
        <v>119.514352173446</v>
      </c>
      <c r="IE16" s="116">
        <f>+AY16</f>
        <v>129.243413073516</v>
      </c>
      <c r="IF16" s="116">
        <f>+BB16</f>
        <v>137.787207671039</v>
      </c>
      <c r="IG16" s="116">
        <f>+BE16</f>
        <v>120.551460188174</v>
      </c>
      <c r="IH16" s="116">
        <f>+BH16</f>
        <v>148.40521829801901</v>
      </c>
      <c r="II16" s="116">
        <f>+BK16</f>
        <v>148.70153487365499</v>
      </c>
      <c r="IJ16" s="116">
        <f>+BN16</f>
        <v>203.125012598919</v>
      </c>
      <c r="IK16" s="116">
        <f>+BQ16</f>
        <v>311.67565147380901</v>
      </c>
      <c r="IL16" s="116">
        <f>+BT16</f>
        <v>255.27672991096799</v>
      </c>
      <c r="IM16" s="116">
        <f>+BW16</f>
        <v>266.14167101764502</v>
      </c>
      <c r="IN16" s="116">
        <f>+BZ16</f>
        <v>230.33675146154999</v>
      </c>
      <c r="IO16" s="116">
        <f>+CC16</f>
        <v>216.70618898226499</v>
      </c>
      <c r="IP16" s="116">
        <f>+CF16</f>
        <v>200.65570780194699</v>
      </c>
      <c r="IQ16" s="116">
        <f>+CI16</f>
        <v>266.38860149734199</v>
      </c>
      <c r="IR16" s="116">
        <f>+CL16</f>
        <v>272.660635681651</v>
      </c>
      <c r="IS16" s="116">
        <f>+CO16</f>
        <v>317.10812202714698</v>
      </c>
      <c r="IT16" s="116">
        <f>+CR16</f>
        <v>291.18042165894099</v>
      </c>
      <c r="IU16" s="116">
        <f>+CU16</f>
        <v>382.79162962660303</v>
      </c>
      <c r="IV16" s="116">
        <f>+CX16</f>
        <v>493.61402891470698</v>
      </c>
      <c r="IW16" s="116">
        <f>+DA16</f>
        <v>582.41022941382096</v>
      </c>
      <c r="IX16" s="116">
        <f>+DD16</f>
        <v>630.66044514665396</v>
      </c>
      <c r="IY16" s="116">
        <f>+DG16</f>
        <v>744.54478238300396</v>
      </c>
      <c r="IZ16" s="116">
        <f>+DJ16</f>
        <v>803.56116703063503</v>
      </c>
      <c r="JA16" s="116">
        <f>+DM16</f>
        <v>734.27247442759995</v>
      </c>
      <c r="JB16" s="116">
        <f>+DP16</f>
        <v>767.70686137860196</v>
      </c>
      <c r="JC16" s="116">
        <f>+DS16</f>
        <v>698.56632706338496</v>
      </c>
      <c r="JD16" s="116">
        <f>+DV16</f>
        <v>793.53578955492901</v>
      </c>
      <c r="JE16" s="116">
        <f>+DY16</f>
        <v>757.73086999883503</v>
      </c>
      <c r="JF16" s="116">
        <f>+EB16</f>
        <v>701.33194843599404</v>
      </c>
      <c r="JG16" s="116">
        <f>+EE16</f>
        <v>849.78655282995203</v>
      </c>
      <c r="JH16" s="116">
        <f>+EH16</f>
        <v>865.98519229808801</v>
      </c>
      <c r="JI16" s="116">
        <f>+EK16</f>
        <v>1073.4561813396799</v>
      </c>
      <c r="JJ16" s="116">
        <f>+EN16</f>
        <v>1081.9505898412599</v>
      </c>
      <c r="JK16" s="116">
        <f>EQ16</f>
        <v>1083.6791031991399</v>
      </c>
      <c r="JL16" s="116">
        <f>ET16</f>
        <v>1196.6500000000001</v>
      </c>
      <c r="JM16" s="116">
        <f>EW16</f>
        <v>914.35</v>
      </c>
      <c r="JN16" s="116">
        <f>EZ16</f>
        <v>1001.75</v>
      </c>
      <c r="JO16" s="116">
        <f>FC16</f>
        <v>1099.2</v>
      </c>
      <c r="JP16" s="116">
        <f>FF16</f>
        <v>1129.1500000000001</v>
      </c>
      <c r="JQ16" s="116">
        <f>FI16</f>
        <v>1192</v>
      </c>
      <c r="JR16" s="116">
        <f>FL16</f>
        <v>1014.45</v>
      </c>
      <c r="JS16" s="116">
        <f>FO16</f>
        <v>1129.45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142.52827288122501</v>
      </c>
      <c r="HQ19" s="116">
        <f t="shared" ref="HQ19:JI21" si="1">+IF(HQ14=0,HQ7,HQ14)</f>
        <v>179.46907264392701</v>
      </c>
      <c r="HR19" s="116">
        <f t="shared" si="1"/>
        <v>166.82623208343</v>
      </c>
      <c r="HS19" s="116">
        <f t="shared" si="1"/>
        <v>151.46715624626401</v>
      </c>
      <c r="HT19" s="116">
        <f t="shared" si="1"/>
        <v>161.986394681365</v>
      </c>
      <c r="HU19" s="116">
        <f t="shared" si="1"/>
        <v>168.110270577855</v>
      </c>
      <c r="HV19" s="116">
        <f t="shared" si="1"/>
        <v>160.65297009099999</v>
      </c>
      <c r="HW19" s="116">
        <f t="shared" si="1"/>
        <v>174.974937913437</v>
      </c>
      <c r="HX19" s="116">
        <f t="shared" si="1"/>
        <v>174.72800743374</v>
      </c>
      <c r="HY19" s="116">
        <f t="shared" si="1"/>
        <v>163.96183851894199</v>
      </c>
      <c r="HZ19" s="116">
        <f t="shared" si="1"/>
        <v>165.64096578088299</v>
      </c>
      <c r="IA19" s="116">
        <f t="shared" si="1"/>
        <v>161.39376153009101</v>
      </c>
      <c r="IB19" s="116">
        <f t="shared" si="1"/>
        <v>145.24450815789399</v>
      </c>
      <c r="IC19" s="116">
        <f t="shared" si="1"/>
        <v>146.084071788865</v>
      </c>
      <c r="ID19" s="116">
        <f t="shared" si="1"/>
        <v>147.96074343456399</v>
      </c>
      <c r="IE19" s="116">
        <f t="shared" si="1"/>
        <v>129.885432320728</v>
      </c>
      <c r="IF19" s="116">
        <f t="shared" si="1"/>
        <v>147.071793707654</v>
      </c>
      <c r="IG19" s="116">
        <f t="shared" si="1"/>
        <v>155.71436049705599</v>
      </c>
      <c r="IH19" s="116">
        <f t="shared" si="1"/>
        <v>152.01040330159799</v>
      </c>
      <c r="II19" s="116">
        <f t="shared" si="1"/>
        <v>160.80112837881799</v>
      </c>
      <c r="IJ19" s="116">
        <f t="shared" si="1"/>
        <v>217.54575261323501</v>
      </c>
      <c r="IK19" s="116">
        <f t="shared" si="1"/>
        <v>312.61398729665802</v>
      </c>
      <c r="IL19" s="116">
        <f t="shared" si="1"/>
        <v>324.76296689776001</v>
      </c>
      <c r="IM19" s="116">
        <f t="shared" si="1"/>
        <v>296.11903125288501</v>
      </c>
      <c r="IN19" s="116">
        <f t="shared" si="1"/>
        <v>281.20443027917401</v>
      </c>
      <c r="IO19" s="116">
        <f t="shared" si="1"/>
        <v>237.54712146870901</v>
      </c>
      <c r="IP19" s="116">
        <f t="shared" si="1"/>
        <v>217.644524805114</v>
      </c>
      <c r="IQ19" s="116">
        <f t="shared" si="1"/>
        <v>274.09283246389401</v>
      </c>
      <c r="IR19" s="116">
        <f t="shared" si="1"/>
        <v>284.06882384366099</v>
      </c>
      <c r="IS19" s="116">
        <f t="shared" si="1"/>
        <v>325.94823320030702</v>
      </c>
      <c r="IT19" s="116">
        <f t="shared" si="1"/>
        <v>402.94115676989497</v>
      </c>
      <c r="IU19" s="116">
        <f t="shared" si="1"/>
        <v>390.15015792157902</v>
      </c>
      <c r="IV19" s="116">
        <f t="shared" si="1"/>
        <v>584.48444544327799</v>
      </c>
      <c r="IW19" s="116">
        <f t="shared" si="1"/>
        <v>609.32565170081602</v>
      </c>
      <c r="IX19" s="116">
        <f t="shared" si="1"/>
        <v>644.83425468127405</v>
      </c>
      <c r="IY19" s="116">
        <f t="shared" si="1"/>
        <v>762.422549113081</v>
      </c>
      <c r="IZ19" s="116">
        <f t="shared" si="1"/>
        <v>878.08478580325095</v>
      </c>
      <c r="JA19" s="116">
        <f t="shared" si="1"/>
        <v>851.91015495534805</v>
      </c>
      <c r="JB19" s="116">
        <f t="shared" si="1"/>
        <v>772.89240145224301</v>
      </c>
      <c r="JC19" s="116">
        <f t="shared" si="1"/>
        <v>826.27877116277796</v>
      </c>
      <c r="JD19" s="116">
        <f t="shared" si="1"/>
        <v>850.77427474874003</v>
      </c>
      <c r="JE19" s="116">
        <f t="shared" si="1"/>
        <v>811.90741724440102</v>
      </c>
      <c r="JF19" s="116">
        <f t="shared" si="1"/>
        <v>771.21327419030195</v>
      </c>
      <c r="JG19" s="116">
        <f t="shared" si="1"/>
        <v>866.23212277778498</v>
      </c>
      <c r="JH19" s="116">
        <f t="shared" si="1"/>
        <v>898.62940171405796</v>
      </c>
      <c r="JI19" s="116">
        <f t="shared" si="1"/>
        <v>1080.5677791549599</v>
      </c>
      <c r="JJ19" s="116">
        <f t="shared" ref="JJ19:JJ21" si="2">+IF(JJ14=0,JJ7,JJ14)</f>
        <v>1254.0117480942699</v>
      </c>
      <c r="JK19" s="116">
        <f t="shared" ref="JK19" si="3">+IF(JK14=0,JK7,JK14)</f>
        <v>1165.51186417079</v>
      </c>
      <c r="JL19" s="116">
        <f t="shared" ref="JL19:JM19" si="4">+IF(JL14=0,JL7,JL14)</f>
        <v>1247.39401123839</v>
      </c>
      <c r="JM19" s="116">
        <f t="shared" si="4"/>
        <v>1205.55</v>
      </c>
      <c r="JN19" s="116">
        <f t="shared" ref="JN19:JO19" si="5">+IF(JN14=0,JN7,JN14)</f>
        <v>1074.8</v>
      </c>
      <c r="JO19" s="116">
        <f t="shared" si="5"/>
        <v>1180</v>
      </c>
      <c r="JP19" s="116">
        <f t="shared" ref="JP19" si="6">+IF(JP14=0,JP7,JP14)</f>
        <v>1147</v>
      </c>
      <c r="JQ19" s="116">
        <f t="shared" ref="JQ19:KH19" si="7">+IF(JQ14=0,JQ7,JQ14)</f>
        <v>1202.75</v>
      </c>
      <c r="JR19" s="116">
        <f t="shared" si="7"/>
        <v>1220.7</v>
      </c>
      <c r="JS19" s="116">
        <f t="shared" si="7"/>
        <v>1282.6500000000001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111.95827949471099</v>
      </c>
      <c r="HQ20" s="116">
        <f t="shared" si="8"/>
        <v>141.2442343868</v>
      </c>
      <c r="HR20" s="116">
        <f t="shared" si="8"/>
        <v>120.50207409223501</v>
      </c>
      <c r="HS20" s="116">
        <f t="shared" si="8"/>
        <v>124.45296176738999</v>
      </c>
      <c r="HT20" s="116">
        <f t="shared" si="8"/>
        <v>129.638501841031</v>
      </c>
      <c r="HU20" s="116">
        <f t="shared" si="8"/>
        <v>139.26879054922199</v>
      </c>
      <c r="HV20" s="116">
        <f t="shared" si="8"/>
        <v>133.737547804005</v>
      </c>
      <c r="HW20" s="116">
        <f t="shared" si="8"/>
        <v>140.454056851769</v>
      </c>
      <c r="HX20" s="116">
        <f t="shared" si="8"/>
        <v>146.62731884419901</v>
      </c>
      <c r="HY20" s="116">
        <f t="shared" si="8"/>
        <v>135.71299164158199</v>
      </c>
      <c r="HZ20" s="116">
        <f t="shared" si="8"/>
        <v>140.94791781116299</v>
      </c>
      <c r="IA20" s="116">
        <f t="shared" si="8"/>
        <v>124.50234786332901</v>
      </c>
      <c r="IB20" s="116">
        <f t="shared" si="8"/>
        <v>107.51353086016201</v>
      </c>
      <c r="IC20" s="116">
        <f t="shared" si="8"/>
        <v>121.637954298842</v>
      </c>
      <c r="ID20" s="116">
        <f t="shared" si="8"/>
        <v>98.870964070759797</v>
      </c>
      <c r="IE20" s="116">
        <f t="shared" si="8"/>
        <v>114.032495524168</v>
      </c>
      <c r="IF20" s="116">
        <f t="shared" si="1"/>
        <v>127.317355331877</v>
      </c>
      <c r="IG20" s="116">
        <f t="shared" si="1"/>
        <v>113.094159701319</v>
      </c>
      <c r="IH20" s="116">
        <f t="shared" si="1"/>
        <v>120.00821313284</v>
      </c>
      <c r="II20" s="116">
        <f t="shared" si="1"/>
        <v>138.77492958982799</v>
      </c>
      <c r="IJ20" s="116">
        <f t="shared" si="1"/>
        <v>147.76319905080601</v>
      </c>
      <c r="IK20" s="116">
        <f t="shared" si="1"/>
        <v>199.914916362855</v>
      </c>
      <c r="IL20" s="116">
        <f t="shared" si="1"/>
        <v>246.88109360126299</v>
      </c>
      <c r="IM20" s="116">
        <f t="shared" si="1"/>
        <v>234.78150009609999</v>
      </c>
      <c r="IN20" s="116">
        <f t="shared" si="1"/>
        <v>210.137838222319</v>
      </c>
      <c r="IO20" s="116">
        <f t="shared" si="1"/>
        <v>192.60577416381801</v>
      </c>
      <c r="IP20" s="116">
        <f t="shared" si="1"/>
        <v>175.32064058501399</v>
      </c>
      <c r="IQ20" s="116">
        <f t="shared" si="1"/>
        <v>192.60577416381801</v>
      </c>
      <c r="IR20" s="116">
        <f t="shared" si="1"/>
        <v>242.584503254531</v>
      </c>
      <c r="IS20" s="116">
        <f t="shared" si="1"/>
        <v>259.425161969881</v>
      </c>
      <c r="IT20" s="116">
        <f t="shared" si="1"/>
        <v>211.372490620805</v>
      </c>
      <c r="IU20" s="116">
        <f t="shared" si="1"/>
        <v>260.75858656024599</v>
      </c>
      <c r="IV20" s="116">
        <f t="shared" si="1"/>
        <v>376.37143715447598</v>
      </c>
      <c r="IW20" s="116">
        <f t="shared" si="1"/>
        <v>453.36436072406298</v>
      </c>
      <c r="IX20" s="116">
        <f t="shared" si="1"/>
        <v>547.74119006433398</v>
      </c>
      <c r="IY20" s="116">
        <f t="shared" si="1"/>
        <v>606.70818861602595</v>
      </c>
      <c r="IZ20" s="116">
        <f t="shared" si="1"/>
        <v>730.51913113620299</v>
      </c>
      <c r="JA20" s="116">
        <f t="shared" si="1"/>
        <v>688.24463301204196</v>
      </c>
      <c r="JB20" s="116">
        <f t="shared" si="1"/>
        <v>642.76003865181701</v>
      </c>
      <c r="JC20" s="116">
        <f t="shared" si="1"/>
        <v>689.52867150646705</v>
      </c>
      <c r="JD20" s="116">
        <f t="shared" si="1"/>
        <v>689.42989931458897</v>
      </c>
      <c r="JE20" s="116">
        <f t="shared" si="1"/>
        <v>730.02527017680904</v>
      </c>
      <c r="JF20" s="116">
        <f t="shared" si="1"/>
        <v>676.58951437033397</v>
      </c>
      <c r="JG20" s="116">
        <f t="shared" si="1"/>
        <v>687.94831643640498</v>
      </c>
      <c r="JH20" s="116">
        <f t="shared" si="1"/>
        <v>812.00618943628001</v>
      </c>
      <c r="JI20" s="116">
        <f t="shared" si="1"/>
        <v>844.50224056443199</v>
      </c>
      <c r="JJ20" s="116">
        <f t="shared" si="2"/>
        <v>1062.8381707127</v>
      </c>
      <c r="JK20" s="116">
        <f t="shared" ref="JK20" si="9">+IF(JK15=0,JK8,JK15)</f>
        <v>1017.35357635247</v>
      </c>
      <c r="JL20" s="116">
        <f t="shared" ref="JL20:JM20" si="10">+IF(JL15=0,JL8,JL15)</f>
        <v>1066.2458113325199</v>
      </c>
      <c r="JM20" s="116">
        <f t="shared" si="10"/>
        <v>884</v>
      </c>
      <c r="JN20" s="116">
        <f t="shared" ref="JN20:JO20" si="11">+IF(JN15=0,JN8,JN15)</f>
        <v>908.5</v>
      </c>
      <c r="JO20" s="116">
        <f t="shared" si="11"/>
        <v>989.1</v>
      </c>
      <c r="JP20" s="116">
        <f t="shared" ref="JP20" si="12">+IF(JP15=0,JP8,JP15)</f>
        <v>1038.3499999999999</v>
      </c>
      <c r="JQ20" s="116">
        <f t="shared" ref="JQ20:KH20" si="13">+IF(JQ15=0,JQ8,JQ15)</f>
        <v>1105.0999999999999</v>
      </c>
      <c r="JR20" s="116">
        <f t="shared" si="13"/>
        <v>1011</v>
      </c>
      <c r="JS20" s="116">
        <f t="shared" si="13"/>
        <v>1007.2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141.04669000304199</v>
      </c>
      <c r="HQ21" s="116">
        <f t="shared" si="1"/>
        <v>157.887348718391</v>
      </c>
      <c r="HR21" s="116">
        <f t="shared" si="1"/>
        <v>126.42840560496801</v>
      </c>
      <c r="HS21" s="116">
        <f t="shared" si="1"/>
        <v>132.552281501458</v>
      </c>
      <c r="HT21" s="116">
        <f t="shared" si="1"/>
        <v>141.93563972995199</v>
      </c>
      <c r="HU21" s="116">
        <f t="shared" si="1"/>
        <v>158.33182358184601</v>
      </c>
      <c r="HV21" s="116">
        <f t="shared" si="1"/>
        <v>148.108901722382</v>
      </c>
      <c r="HW21" s="116">
        <f t="shared" si="1"/>
        <v>170.67834756670601</v>
      </c>
      <c r="HX21" s="116">
        <f t="shared" si="1"/>
        <v>157.146557279299</v>
      </c>
      <c r="HY21" s="116">
        <f t="shared" si="1"/>
        <v>148.849693161473</v>
      </c>
      <c r="HZ21" s="116">
        <f t="shared" si="1"/>
        <v>147.26933809141099</v>
      </c>
      <c r="IA21" s="116">
        <f t="shared" si="1"/>
        <v>130.72499595169899</v>
      </c>
      <c r="IB21" s="116">
        <f t="shared" si="1"/>
        <v>126.132089029331</v>
      </c>
      <c r="IC21" s="116">
        <f t="shared" si="1"/>
        <v>144.30617233504501</v>
      </c>
      <c r="ID21" s="116">
        <f t="shared" si="1"/>
        <v>119.514352173446</v>
      </c>
      <c r="IE21" s="116">
        <f t="shared" si="1"/>
        <v>129.243413073516</v>
      </c>
      <c r="IF21" s="116">
        <f t="shared" si="1"/>
        <v>137.787207671039</v>
      </c>
      <c r="IG21" s="116">
        <f t="shared" si="1"/>
        <v>120.551460188174</v>
      </c>
      <c r="IH21" s="116">
        <f t="shared" si="1"/>
        <v>148.40521829801901</v>
      </c>
      <c r="II21" s="116">
        <f t="shared" si="1"/>
        <v>148.70153487365499</v>
      </c>
      <c r="IJ21" s="116">
        <f t="shared" si="1"/>
        <v>203.125012598919</v>
      </c>
      <c r="IK21" s="116">
        <f t="shared" si="1"/>
        <v>311.67565147380901</v>
      </c>
      <c r="IL21" s="116">
        <f t="shared" si="1"/>
        <v>255.27672991096799</v>
      </c>
      <c r="IM21" s="116">
        <f t="shared" si="1"/>
        <v>266.14167101764502</v>
      </c>
      <c r="IN21" s="116">
        <f t="shared" si="1"/>
        <v>230.33675146154999</v>
      </c>
      <c r="IO21" s="116">
        <f t="shared" si="1"/>
        <v>216.70618898226499</v>
      </c>
      <c r="IP21" s="116">
        <f t="shared" si="1"/>
        <v>200.65570780194699</v>
      </c>
      <c r="IQ21" s="116">
        <f t="shared" si="1"/>
        <v>266.38860149734199</v>
      </c>
      <c r="IR21" s="116">
        <f t="shared" si="1"/>
        <v>272.660635681651</v>
      </c>
      <c r="IS21" s="116">
        <f t="shared" si="1"/>
        <v>317.10812202714698</v>
      </c>
      <c r="IT21" s="116">
        <f t="shared" si="1"/>
        <v>291.18042165894099</v>
      </c>
      <c r="IU21" s="116">
        <f t="shared" si="1"/>
        <v>382.79162962660303</v>
      </c>
      <c r="IV21" s="116">
        <f t="shared" si="1"/>
        <v>493.61402891470698</v>
      </c>
      <c r="IW21" s="116">
        <f t="shared" si="1"/>
        <v>582.41022941382096</v>
      </c>
      <c r="IX21" s="116">
        <f t="shared" si="1"/>
        <v>630.66044514665396</v>
      </c>
      <c r="IY21" s="116">
        <f t="shared" si="1"/>
        <v>744.54478238300396</v>
      </c>
      <c r="IZ21" s="116">
        <f t="shared" si="1"/>
        <v>803.56116703063503</v>
      </c>
      <c r="JA21" s="116">
        <f t="shared" si="1"/>
        <v>734.27247442759995</v>
      </c>
      <c r="JB21" s="116">
        <f t="shared" si="1"/>
        <v>767.70686137860196</v>
      </c>
      <c r="JC21" s="116">
        <f t="shared" si="1"/>
        <v>698.56632706338496</v>
      </c>
      <c r="JD21" s="116">
        <f t="shared" si="1"/>
        <v>793.53578955492901</v>
      </c>
      <c r="JE21" s="116">
        <f t="shared" si="1"/>
        <v>757.73086999883503</v>
      </c>
      <c r="JF21" s="116">
        <f t="shared" si="1"/>
        <v>701.33194843599404</v>
      </c>
      <c r="JG21" s="116">
        <f t="shared" si="1"/>
        <v>849.78655282995203</v>
      </c>
      <c r="JH21" s="116">
        <f t="shared" si="1"/>
        <v>865.98519229808801</v>
      </c>
      <c r="JI21" s="116">
        <f t="shared" si="1"/>
        <v>1073.4561813396799</v>
      </c>
      <c r="JJ21" s="116">
        <f t="shared" si="2"/>
        <v>1081.9505898412599</v>
      </c>
      <c r="JK21" s="116">
        <f t="shared" ref="JK21" si="14">+IF(JK16=0,JK9,JK16)</f>
        <v>1083.6791031991399</v>
      </c>
      <c r="JL21" s="116">
        <f t="shared" ref="JL21:JM21" si="15">+IF(JL16=0,JL9,JL16)</f>
        <v>1196.6500000000001</v>
      </c>
      <c r="JM21" s="116">
        <f t="shared" si="15"/>
        <v>914.35</v>
      </c>
      <c r="JN21" s="116">
        <f t="shared" ref="JN21:JO21" si="16">+IF(JN16=0,JN9,JN16)</f>
        <v>1001.75</v>
      </c>
      <c r="JO21" s="116">
        <f t="shared" si="16"/>
        <v>1099.2</v>
      </c>
      <c r="JP21" s="116">
        <f t="shared" ref="JP21" si="17">+IF(JP16=0,JP9,JP16)</f>
        <v>1129.1500000000001</v>
      </c>
      <c r="JQ21" s="116">
        <f t="shared" ref="JQ21:KH21" si="18">+IF(JQ16=0,JQ9,JQ16)</f>
        <v>1192</v>
      </c>
      <c r="JR21" s="116">
        <f t="shared" si="18"/>
        <v>1014.45</v>
      </c>
      <c r="JS21" s="116">
        <f t="shared" si="18"/>
        <v>1129.45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100800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618398570</v>
      </c>
      <c r="D6" cm="1">
        <f t="array" ref="D6">_xll.EQNXTDZ($A$1,$B6,D$1)</f>
        <v>618398570</v>
      </c>
      <c r="E6" cm="1">
        <f t="array" ref="E6">_xll.EQNXTDZ($A$1,$B6,E$1)</f>
        <v>618398570</v>
      </c>
      <c r="F6" cm="1">
        <f t="array" ref="F6">_xll.EQNXTDZ($A$1,$B6,F$1)</f>
        <v>618398570</v>
      </c>
      <c r="G6" cm="1">
        <f t="array" ref="G6">_xll.EQNXTDZ($A$1,$B6,G$1)</f>
        <v>618398570</v>
      </c>
      <c r="H6" cm="1">
        <f t="array" ref="H6">_xll.EQNXTDZ($A$1,$B6,H$1)</f>
        <v>618398570</v>
      </c>
      <c r="I6" cm="1">
        <f t="array" ref="I6">_xll.EQNXTDZ($A$1,$B6,I$1)</f>
        <v>618398570</v>
      </c>
      <c r="J6" cm="1">
        <f t="array" ref="J6">_xll.EQNXTDZ($A$1,$B6,J$1)</f>
        <v>618398570</v>
      </c>
      <c r="K6" cm="1">
        <f t="array" ref="K6">_xll.EQNXTDZ($A$1,$B6,K$1)</f>
        <v>618398570</v>
      </c>
      <c r="L6" cm="1">
        <f t="array" ref="L6">_xll.EQNXTDZ($A$1,$B6,L$1)</f>
        <v>618398570</v>
      </c>
      <c r="M6" cm="1">
        <f t="array" ref="M6">_xll.EQNXTDZ($A$1,$B6,M$1)</f>
        <v>618398570</v>
      </c>
      <c r="N6" cm="1">
        <f t="array" ref="N6">_xll.EQNXTDZ($A$1,$B6,N$1)</f>
        <v>618398570</v>
      </c>
      <c r="O6" cm="1">
        <f t="array" ref="O6">_xll.EQNXTDZ($A$1,$B6,O$1)</f>
        <v>618398570</v>
      </c>
      <c r="P6" cm="1">
        <f t="array" ref="P6">_xll.EQNXTDZ($A$1,$B6,P$1)</f>
        <v>630622680</v>
      </c>
      <c r="Q6" cm="1">
        <f t="array" ref="Q6">_xll.EQNXTDZ($A$1,$B6,Q$1)</f>
        <v>631129729</v>
      </c>
      <c r="R6" cm="1">
        <f t="array" ref="R6">_xll.EQNXTDZ($A$1,$B6,R$1)</f>
        <v>631129729</v>
      </c>
      <c r="S6" cm="1">
        <f t="array" ref="S6">_xll.EQNXTDZ($A$1,$B6,S$1)</f>
        <v>631129729</v>
      </c>
      <c r="T6" cm="1">
        <f t="array" ref="T6">_xll.EQNXTDZ($A$1,$B6,T$1)</f>
        <v>631129729</v>
      </c>
      <c r="U6" cm="1">
        <f t="array" ref="U6">_xll.EQNXTDZ($A$1,$B6,U$1)</f>
        <v>631129729</v>
      </c>
      <c r="V6" cm="1">
        <f t="array" ref="V6">_xll.EQNXTDZ($A$1,$B6,V$1)</f>
        <v>631129729</v>
      </c>
      <c r="W6" cm="1">
        <f t="array" ref="W6">_xll.EQNXTDZ($A$1,$B6,W$1)</f>
        <v>631129729</v>
      </c>
      <c r="X6" cm="1">
        <f t="array" ref="X6">_xll.EQNXTDZ($A$1,$B6,X$1)</f>
        <v>631129729</v>
      </c>
      <c r="Y6" cm="1">
        <f t="array" ref="Y6">_xll.EQNXTDZ($A$1,$B6,Y$1)</f>
        <v>631129729</v>
      </c>
      <c r="Z6" cm="1">
        <f t="array" ref="Z6">_xll.EQNXTDZ($A$1,$B6,Z$1)</f>
        <v>631129729</v>
      </c>
      <c r="AA6" cm="1">
        <f t="array" ref="AA6">_xll.EQNXTDZ($A$1,$B6,AA$1)</f>
        <v>631129729</v>
      </c>
      <c r="AB6" cm="1">
        <f t="array" ref="AB6">_xll.EQNXTDZ($A$1,$B6,AB$1)</f>
        <v>631129729</v>
      </c>
      <c r="AC6" cm="1">
        <f t="array" ref="AC6">_xll.EQNXTDZ($A$1,$B6,AC$1)</f>
        <v>631129729</v>
      </c>
      <c r="AD6" cm="1">
        <f t="array" ref="AD6">_xll.EQNXTDZ($A$1,$B6,AD$1)</f>
        <v>631129729</v>
      </c>
      <c r="AE6" cm="1">
        <f t="array" ref="AE6">_xll.EQNXTDZ($A$1,$B6,AE$1)</f>
        <v>631129729</v>
      </c>
      <c r="AF6" cm="1">
        <f t="array" ref="AF6">_xll.EQNXTDZ($A$1,$B6,AF$1)</f>
        <v>631129729</v>
      </c>
      <c r="AG6" cm="1">
        <f t="array" ref="AG6">_xll.EQNXTDZ($A$1,$B6,AG$1)</f>
        <v>631129729</v>
      </c>
      <c r="AH6" cm="1">
        <f t="array" ref="AH6">_xll.EQNXTDZ($A$1,$B6,AH$1)</f>
        <v>921551715</v>
      </c>
      <c r="AI6" cm="1">
        <f t="array" ref="AI6">_xll.EQNXTDZ($A$1,$B6,AI$1)</f>
        <v>921551715</v>
      </c>
      <c r="AJ6" cm="1">
        <f t="array" ref="AJ6">_xll.EQNXTDZ($A$1,$B6,AJ$1)</f>
        <v>921551715</v>
      </c>
      <c r="AK6" cm="1">
        <f t="array" ref="AK6">_xll.EQNXTDZ($A$1,$B6,AK$1)</f>
        <v>921551715</v>
      </c>
      <c r="AL6" cm="1">
        <f t="array" ref="AL6">_xll.EQNXTDZ($A$1,$B6,AL$1)</f>
        <v>921551715</v>
      </c>
      <c r="AM6" cm="1">
        <f t="array" ref="AM6">_xll.EQNXTDZ($A$1,$B6,AM$1)</f>
        <v>921551715</v>
      </c>
      <c r="AN6" cm="1">
        <f t="array" ref="AN6">_xll.EQNXTDZ($A$1,$B6,AN$1)</f>
        <v>921551715</v>
      </c>
      <c r="AO6" cm="1">
        <f t="array" ref="AO6">_xll.EQNXTDZ($A$1,$B6,AO$1)</f>
        <v>921551715</v>
      </c>
      <c r="AP6" cm="1">
        <f t="array" ref="AP6">_xll.EQNXTDZ($A$1,$B6,AP$1)</f>
        <v>921551715</v>
      </c>
      <c r="AQ6" cm="1">
        <f t="array" ref="AQ6">_xll.EQNXTDZ($A$1,$B6,AQ$1)</f>
        <v>921551715</v>
      </c>
      <c r="AR6" cm="1">
        <f t="array" ref="AR6">_xll.EQNXTDZ($A$1,$B6,AR$1)</f>
        <v>921551715</v>
      </c>
      <c r="AS6" cm="1">
        <f t="array" ref="AS6">_xll.EQNXTDZ($A$1,$B6,AS$1)</f>
        <v>929011650</v>
      </c>
      <c r="AT6" cm="1">
        <f t="array" ref="AT6">_xll.EQNXTDZ($A$1,$B6,AT$1)</f>
        <v>929011650</v>
      </c>
      <c r="AU6" cm="1">
        <f t="array" ref="AU6">_xll.EQNXTDZ($A$1,$B6,AU$1)</f>
        <v>929011650</v>
      </c>
      <c r="AV6" cm="1">
        <f t="array" ref="AV6">_xll.EQNXTDZ($A$1,$B6,AV$1)</f>
        <v>929011650</v>
      </c>
      <c r="AW6" cm="1">
        <f t="array" ref="AW6">_xll.EQNXTDZ($A$1,$B6,AW$1)</f>
        <v>929011650</v>
      </c>
      <c r="AX6" cm="1">
        <f t="array" ref="AX6">_xll.EQNXTDZ($A$1,$B6,AX$1)</f>
        <v>952834816</v>
      </c>
      <c r="AY6" cm="1">
        <f t="array" ref="AY6">_xll.EQNXTDZ($A$1,$B6,AY$1)</f>
        <v>952834816</v>
      </c>
    </row>
    <row r="7" spans="1:51" x14ac:dyDescent="0.25">
      <c r="B7" t="s">
        <v>429</v>
      </c>
      <c r="C7" s="100">
        <f>+C6/10^7</f>
        <v>61.839857000000002</v>
      </c>
      <c r="D7" s="100">
        <f t="shared" ref="D7:X7" si="0">+D6/10^7</f>
        <v>61.839857000000002</v>
      </c>
      <c r="E7" s="100">
        <f t="shared" si="0"/>
        <v>61.839857000000002</v>
      </c>
      <c r="F7" s="100">
        <f t="shared" si="0"/>
        <v>61.839857000000002</v>
      </c>
      <c r="G7" s="100">
        <f t="shared" si="0"/>
        <v>61.839857000000002</v>
      </c>
      <c r="H7" s="100">
        <f t="shared" si="0"/>
        <v>61.839857000000002</v>
      </c>
      <c r="I7" s="100">
        <f t="shared" si="0"/>
        <v>61.839857000000002</v>
      </c>
      <c r="J7" s="100">
        <f t="shared" si="0"/>
        <v>61.839857000000002</v>
      </c>
      <c r="K7" s="100">
        <f t="shared" si="0"/>
        <v>61.839857000000002</v>
      </c>
      <c r="L7" s="100">
        <f t="shared" si="0"/>
        <v>61.839857000000002</v>
      </c>
      <c r="M7" s="100">
        <f t="shared" si="0"/>
        <v>61.839857000000002</v>
      </c>
      <c r="N7" s="100">
        <f t="shared" si="0"/>
        <v>61.839857000000002</v>
      </c>
      <c r="O7" s="100">
        <f t="shared" si="0"/>
        <v>61.839857000000002</v>
      </c>
      <c r="P7" s="100">
        <f t="shared" si="0"/>
        <v>63.062268000000003</v>
      </c>
      <c r="Q7" s="100">
        <f t="shared" si="0"/>
        <v>63.112972900000003</v>
      </c>
      <c r="R7" s="100">
        <f t="shared" si="0"/>
        <v>63.112972900000003</v>
      </c>
      <c r="S7" s="100">
        <f t="shared" si="0"/>
        <v>63.112972900000003</v>
      </c>
      <c r="T7" s="100">
        <f t="shared" si="0"/>
        <v>63.112972900000003</v>
      </c>
      <c r="U7" s="100">
        <f t="shared" si="0"/>
        <v>63.112972900000003</v>
      </c>
      <c r="V7" s="100">
        <f t="shared" si="0"/>
        <v>63.112972900000003</v>
      </c>
      <c r="W7" s="100">
        <f t="shared" si="0"/>
        <v>63.112972900000003</v>
      </c>
      <c r="X7" s="100">
        <f t="shared" si="0"/>
        <v>63.112972900000003</v>
      </c>
      <c r="Y7" s="100">
        <f t="shared" ref="Y7:AS7" si="1">+Y6/10^7</f>
        <v>63.112972900000003</v>
      </c>
      <c r="Z7" s="100">
        <f t="shared" si="1"/>
        <v>63.112972900000003</v>
      </c>
      <c r="AA7" s="100">
        <f t="shared" si="1"/>
        <v>63.112972900000003</v>
      </c>
      <c r="AB7" s="100">
        <f t="shared" si="1"/>
        <v>63.112972900000003</v>
      </c>
      <c r="AC7" s="100">
        <f t="shared" si="1"/>
        <v>63.112972900000003</v>
      </c>
      <c r="AD7" s="100">
        <f t="shared" si="1"/>
        <v>63.112972900000003</v>
      </c>
      <c r="AE7" s="100">
        <f t="shared" si="1"/>
        <v>63.112972900000003</v>
      </c>
      <c r="AF7" s="100">
        <f t="shared" si="1"/>
        <v>63.112972900000003</v>
      </c>
      <c r="AG7" s="100">
        <f t="shared" si="1"/>
        <v>63.112972900000003</v>
      </c>
      <c r="AH7" s="100">
        <f t="shared" si="1"/>
        <v>92.155171499999994</v>
      </c>
      <c r="AI7" s="100">
        <f t="shared" si="1"/>
        <v>92.155171499999994</v>
      </c>
      <c r="AJ7" s="100">
        <f t="shared" si="1"/>
        <v>92.155171499999994</v>
      </c>
      <c r="AK7" s="100">
        <f t="shared" si="1"/>
        <v>92.155171499999994</v>
      </c>
      <c r="AL7" s="100">
        <f t="shared" si="1"/>
        <v>92.155171499999994</v>
      </c>
      <c r="AM7" s="100">
        <f t="shared" si="1"/>
        <v>92.155171499999994</v>
      </c>
      <c r="AN7" s="100">
        <f t="shared" si="1"/>
        <v>92.155171499999994</v>
      </c>
      <c r="AO7" s="100">
        <f t="shared" si="1"/>
        <v>92.155171499999994</v>
      </c>
      <c r="AP7" s="100">
        <f t="shared" si="1"/>
        <v>92.155171499999994</v>
      </c>
      <c r="AQ7" s="100">
        <f t="shared" si="1"/>
        <v>92.155171499999994</v>
      </c>
      <c r="AR7" s="100">
        <f t="shared" si="1"/>
        <v>92.155171499999994</v>
      </c>
      <c r="AS7" s="100">
        <f t="shared" si="1"/>
        <v>92.901165000000006</v>
      </c>
      <c r="AT7" s="100">
        <f t="shared" ref="AT7:AX7" si="2">+AT6/10^7</f>
        <v>92.901165000000006</v>
      </c>
      <c r="AU7" s="100">
        <f t="shared" si="2"/>
        <v>92.901165000000006</v>
      </c>
      <c r="AV7" s="100">
        <f t="shared" si="2"/>
        <v>92.901165000000006</v>
      </c>
      <c r="AW7" s="100">
        <f t="shared" si="2"/>
        <v>92.901165000000006</v>
      </c>
      <c r="AX7" s="100">
        <f t="shared" si="2"/>
        <v>95.283481600000002</v>
      </c>
      <c r="AY7" s="100">
        <f t="shared" ref="AY7" si="3">+AY6/10^7</f>
        <v>95.283481600000002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100800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149.98557336808099</v>
      </c>
      <c r="C4" s="116">
        <v>148.70153487365499</v>
      </c>
      <c r="D4" s="116">
        <v>148.30644610613999</v>
      </c>
      <c r="E4" s="116">
        <v>149.98557336808099</v>
      </c>
      <c r="F4" s="116">
        <v>150.55000000000001</v>
      </c>
      <c r="G4">
        <v>172053</v>
      </c>
      <c r="H4" s="116"/>
      <c r="I4" s="116"/>
      <c r="L4" s="170">
        <v>42005</v>
      </c>
      <c r="M4" s="116">
        <v>148.849845628564</v>
      </c>
      <c r="N4" s="116">
        <v>149.88695470560501</v>
      </c>
      <c r="O4" s="116">
        <v>148.504142602884</v>
      </c>
      <c r="P4" s="116">
        <v>149.09677636119301</v>
      </c>
      <c r="Q4" s="116">
        <v>150.69999999999999</v>
      </c>
      <c r="R4">
        <v>535692</v>
      </c>
    </row>
    <row r="5" spans="1:18" x14ac:dyDescent="0.25">
      <c r="A5" s="170">
        <v>42006</v>
      </c>
      <c r="B5" s="116">
        <v>151.31899795844501</v>
      </c>
      <c r="C5" s="116">
        <v>150.23250384777799</v>
      </c>
      <c r="D5" s="116">
        <v>148.750920969595</v>
      </c>
      <c r="E5" s="116">
        <v>149.09662364117099</v>
      </c>
      <c r="F5" s="116">
        <v>152.1</v>
      </c>
      <c r="G5">
        <v>211913</v>
      </c>
      <c r="H5" s="116"/>
      <c r="I5" s="116"/>
      <c r="L5" s="170">
        <v>42006</v>
      </c>
      <c r="M5" s="116">
        <v>150.62774690349099</v>
      </c>
      <c r="N5" s="116">
        <v>151.31915295485101</v>
      </c>
      <c r="O5" s="116">
        <v>148.70168718898699</v>
      </c>
      <c r="P5" s="116">
        <v>149.04739021466699</v>
      </c>
      <c r="Q5" s="116">
        <v>152.5</v>
      </c>
      <c r="R5">
        <v>2043127</v>
      </c>
    </row>
    <row r="6" spans="1:18" x14ac:dyDescent="0.25">
      <c r="A6" s="170">
        <v>42009</v>
      </c>
      <c r="B6" s="116">
        <v>152.059789397537</v>
      </c>
      <c r="C6" s="116">
        <v>150.87452309499099</v>
      </c>
      <c r="D6" s="116">
        <v>150.528820423414</v>
      </c>
      <c r="E6" s="116">
        <v>151.12145357468799</v>
      </c>
      <c r="F6" s="116">
        <v>152.75</v>
      </c>
      <c r="G6">
        <v>158031</v>
      </c>
      <c r="H6" s="116"/>
      <c r="I6" s="116"/>
      <c r="L6" s="170">
        <v>42009</v>
      </c>
      <c r="M6" s="116">
        <v>151.072222222222</v>
      </c>
      <c r="N6" s="116">
        <v>152.60319276452</v>
      </c>
      <c r="O6" s="116">
        <v>149.788182412553</v>
      </c>
      <c r="P6" s="116">
        <v>149.788182412553</v>
      </c>
      <c r="Q6" s="116">
        <v>152.94999999999999</v>
      </c>
      <c r="R6">
        <v>1873161</v>
      </c>
    </row>
    <row r="7" spans="1:18" x14ac:dyDescent="0.25">
      <c r="A7" s="170">
        <v>42010</v>
      </c>
      <c r="B7" s="116">
        <v>149.639870696505</v>
      </c>
      <c r="C7" s="116">
        <v>146.23223007668301</v>
      </c>
      <c r="D7" s="116">
        <v>145.293894253834</v>
      </c>
      <c r="E7" s="116">
        <v>149.34355412086799</v>
      </c>
      <c r="F7" s="116">
        <v>148.05000000000001</v>
      </c>
      <c r="G7">
        <v>170365</v>
      </c>
      <c r="H7" s="116"/>
      <c r="I7" s="116"/>
      <c r="L7" s="170">
        <v>42010</v>
      </c>
      <c r="M7" s="116">
        <v>146.33115215575199</v>
      </c>
      <c r="N7" s="116">
        <v>150.084499291708</v>
      </c>
      <c r="O7" s="116">
        <v>145.19527078566</v>
      </c>
      <c r="P7" s="116">
        <v>150.084499291708</v>
      </c>
      <c r="Q7" s="116">
        <v>148.15</v>
      </c>
      <c r="R7">
        <v>2390258</v>
      </c>
    </row>
    <row r="8" spans="1:18" x14ac:dyDescent="0.25">
      <c r="A8" s="170">
        <v>42011</v>
      </c>
      <c r="B8" s="116">
        <v>147.12117980359301</v>
      </c>
      <c r="C8" s="116">
        <v>146.38038836450099</v>
      </c>
      <c r="D8" s="116">
        <v>144.20740014316601</v>
      </c>
      <c r="E8" s="116">
        <v>144.800033294439</v>
      </c>
      <c r="F8" s="116">
        <v>148.19999999999999</v>
      </c>
      <c r="G8">
        <v>187024</v>
      </c>
      <c r="H8" s="116"/>
      <c r="I8" s="116"/>
      <c r="L8" s="170">
        <v>42011</v>
      </c>
      <c r="M8" s="116">
        <v>146.627469034906</v>
      </c>
      <c r="N8" s="116">
        <v>147.36826123279201</v>
      </c>
      <c r="O8" s="116">
        <v>144.20754785514501</v>
      </c>
      <c r="P8" s="116">
        <v>145.39281537176299</v>
      </c>
      <c r="Q8" s="116">
        <v>148.44999999999999</v>
      </c>
      <c r="R8">
        <v>2770541</v>
      </c>
    </row>
    <row r="9" spans="1:18" x14ac:dyDescent="0.25">
      <c r="A9" s="170">
        <v>42012</v>
      </c>
      <c r="B9" s="116">
        <v>152.306719877234</v>
      </c>
      <c r="C9" s="116">
        <v>151.36838405438499</v>
      </c>
      <c r="D9" s="116">
        <v>147.36811028329001</v>
      </c>
      <c r="E9" s="116">
        <v>147.36811028329001</v>
      </c>
      <c r="F9" s="116">
        <v>153.25</v>
      </c>
      <c r="G9">
        <v>194069</v>
      </c>
      <c r="H9" s="116"/>
      <c r="I9" s="116"/>
      <c r="L9" s="170">
        <v>42012</v>
      </c>
      <c r="M9" s="116">
        <v>151.813014420108</v>
      </c>
      <c r="N9" s="116">
        <v>152.60319276452</v>
      </c>
      <c r="O9" s="116">
        <v>147.66457811194701</v>
      </c>
      <c r="P9" s="116">
        <v>148.059667284152</v>
      </c>
      <c r="Q9" s="116">
        <v>153.69999999999999</v>
      </c>
      <c r="R9">
        <v>2292977</v>
      </c>
    </row>
    <row r="10" spans="1:18" x14ac:dyDescent="0.25">
      <c r="A10" s="170">
        <v>42013</v>
      </c>
      <c r="B10" s="116">
        <v>155.862518784874</v>
      </c>
      <c r="C10" s="116">
        <v>153.39321398790199</v>
      </c>
      <c r="D10" s="116">
        <v>151.664700630022</v>
      </c>
      <c r="E10" s="116">
        <v>152.10917549347701</v>
      </c>
      <c r="F10" s="116">
        <v>155.30000000000001</v>
      </c>
      <c r="G10">
        <v>450738</v>
      </c>
      <c r="H10" s="116"/>
      <c r="I10" s="116"/>
      <c r="L10" s="170">
        <v>42013</v>
      </c>
      <c r="M10" s="116">
        <v>153.68968798808601</v>
      </c>
      <c r="N10" s="116">
        <v>155.763906142167</v>
      </c>
      <c r="O10" s="116">
        <v>151.41792524790199</v>
      </c>
      <c r="P10" s="116">
        <v>152.60319276452</v>
      </c>
      <c r="Q10" s="116">
        <v>155.6</v>
      </c>
      <c r="R10">
        <v>4013444</v>
      </c>
    </row>
    <row r="11" spans="1:18" x14ac:dyDescent="0.25">
      <c r="A11" s="170">
        <v>42016</v>
      </c>
      <c r="B11" s="116">
        <v>156.70208241584501</v>
      </c>
      <c r="C11" s="116">
        <v>154.973569057964</v>
      </c>
      <c r="D11" s="116">
        <v>153.343827891963</v>
      </c>
      <c r="E11" s="116">
        <v>155.02295515390401</v>
      </c>
      <c r="F11" s="116">
        <v>156.9</v>
      </c>
      <c r="G11">
        <v>167568</v>
      </c>
      <c r="H11" s="116"/>
      <c r="I11" s="116"/>
      <c r="L11" s="170">
        <v>42016</v>
      </c>
      <c r="M11" s="116">
        <v>155.41820311648701</v>
      </c>
      <c r="N11" s="116">
        <v>156.75162907268199</v>
      </c>
      <c r="O11" s="116">
        <v>153.29459881587999</v>
      </c>
      <c r="P11" s="116">
        <v>154.43048018597199</v>
      </c>
      <c r="Q11" s="116">
        <v>157.35</v>
      </c>
      <c r="R11">
        <v>1647105</v>
      </c>
    </row>
    <row r="12" spans="1:18" x14ac:dyDescent="0.25">
      <c r="A12" s="170">
        <v>42017</v>
      </c>
      <c r="B12" s="116">
        <v>155.41804392141901</v>
      </c>
      <c r="C12" s="116">
        <v>153.29444179602299</v>
      </c>
      <c r="D12" s="116">
        <v>152.35610597317401</v>
      </c>
      <c r="E12" s="116">
        <v>155.41804392141901</v>
      </c>
      <c r="F12" s="116">
        <v>155.19999999999999</v>
      </c>
      <c r="G12">
        <v>135186</v>
      </c>
      <c r="H12" s="116"/>
      <c r="I12" s="116"/>
      <c r="L12" s="170">
        <v>42017</v>
      </c>
      <c r="M12" s="116">
        <v>153.34398496240601</v>
      </c>
      <c r="N12" s="116">
        <v>155.96145072826999</v>
      </c>
      <c r="O12" s="116">
        <v>152.306875885366</v>
      </c>
      <c r="P12" s="116">
        <v>155.61574770259</v>
      </c>
      <c r="Q12" s="116">
        <v>155.25</v>
      </c>
      <c r="R12">
        <v>1558189</v>
      </c>
    </row>
    <row r="13" spans="1:18" x14ac:dyDescent="0.25">
      <c r="A13" s="170">
        <v>42018</v>
      </c>
      <c r="B13" s="116">
        <v>154.973569057964</v>
      </c>
      <c r="C13" s="116">
        <v>152.75119474068899</v>
      </c>
      <c r="D13" s="116">
        <v>151.61531453408199</v>
      </c>
      <c r="E13" s="116">
        <v>153.09689741226501</v>
      </c>
      <c r="F13" s="116">
        <v>154.65</v>
      </c>
      <c r="G13">
        <v>200757</v>
      </c>
      <c r="H13" s="116"/>
      <c r="I13" s="116"/>
      <c r="L13" s="170">
        <v>42018</v>
      </c>
      <c r="M13" s="116">
        <v>152.9488957902</v>
      </c>
      <c r="N13" s="116">
        <v>155.07250009080701</v>
      </c>
      <c r="O13" s="116">
        <v>151.91178671316001</v>
      </c>
      <c r="P13" s="116">
        <v>153.14644037630299</v>
      </c>
      <c r="Q13" s="116">
        <v>154.85</v>
      </c>
      <c r="R13">
        <v>1383172</v>
      </c>
    </row>
    <row r="14" spans="1:18" x14ac:dyDescent="0.25">
      <c r="A14" s="170">
        <v>42019</v>
      </c>
      <c r="B14" s="116">
        <v>155.56620220923699</v>
      </c>
      <c r="C14" s="116">
        <v>153.68953056353899</v>
      </c>
      <c r="D14" s="116">
        <v>152.10917549347701</v>
      </c>
      <c r="E14" s="116">
        <v>154.084619331054</v>
      </c>
      <c r="F14" s="116">
        <v>155.6</v>
      </c>
      <c r="G14">
        <v>234903</v>
      </c>
      <c r="H14" s="116"/>
      <c r="I14" s="116"/>
      <c r="L14" s="170">
        <v>42019</v>
      </c>
      <c r="M14" s="116">
        <v>153.739074134612</v>
      </c>
      <c r="N14" s="116">
        <v>155.66513384911599</v>
      </c>
      <c r="O14" s="116">
        <v>152.158717445788</v>
      </c>
      <c r="P14" s="116">
        <v>154.677410918601</v>
      </c>
      <c r="Q14" s="116">
        <v>155.65</v>
      </c>
      <c r="R14">
        <v>1183917</v>
      </c>
    </row>
    <row r="15" spans="1:18" x14ac:dyDescent="0.25">
      <c r="A15" s="170">
        <v>42020</v>
      </c>
      <c r="B15" s="116">
        <v>154.084619331054</v>
      </c>
      <c r="C15" s="116">
        <v>152.405492069113</v>
      </c>
      <c r="D15" s="116">
        <v>151.86224501377899</v>
      </c>
      <c r="E15" s="116">
        <v>153.09689741226501</v>
      </c>
      <c r="F15" s="116">
        <v>154.30000000000001</v>
      </c>
      <c r="G15">
        <v>174782</v>
      </c>
      <c r="H15" s="116"/>
      <c r="I15" s="116"/>
      <c r="L15" s="170">
        <v>42020</v>
      </c>
      <c r="M15" s="116">
        <v>152.40564817841701</v>
      </c>
      <c r="N15" s="116">
        <v>153.83784642766301</v>
      </c>
      <c r="O15" s="116">
        <v>151.86240056663399</v>
      </c>
      <c r="P15" s="116">
        <v>153.097054229777</v>
      </c>
      <c r="Q15" s="116">
        <v>154.30000000000001</v>
      </c>
      <c r="R15">
        <v>1299810</v>
      </c>
    </row>
    <row r="16" spans="1:18" x14ac:dyDescent="0.25">
      <c r="A16" s="170">
        <v>42023</v>
      </c>
      <c r="B16" s="116">
        <v>155.76374659299501</v>
      </c>
      <c r="C16" s="116">
        <v>154.62786638638801</v>
      </c>
      <c r="D16" s="116">
        <v>152.553650356932</v>
      </c>
      <c r="E16" s="116">
        <v>152.84996693256801</v>
      </c>
      <c r="F16" s="116">
        <v>156.55000000000001</v>
      </c>
      <c r="G16">
        <v>223809</v>
      </c>
      <c r="H16" s="116"/>
      <c r="I16" s="116"/>
      <c r="L16" s="170">
        <v>42023</v>
      </c>
      <c r="M16" s="116">
        <v>154.62802477207501</v>
      </c>
      <c r="N16" s="116">
        <v>155.86267843521901</v>
      </c>
      <c r="O16" s="116">
        <v>152.40564817841701</v>
      </c>
      <c r="P16" s="116">
        <v>152.40564817841701</v>
      </c>
      <c r="Q16" s="116">
        <v>156.55000000000001</v>
      </c>
      <c r="R16">
        <v>1000172</v>
      </c>
    </row>
    <row r="17" spans="1:18" x14ac:dyDescent="0.25">
      <c r="A17" s="170">
        <v>42024</v>
      </c>
      <c r="B17" s="116">
        <v>155.51681611329801</v>
      </c>
      <c r="C17" s="116">
        <v>154.43032200262999</v>
      </c>
      <c r="D17" s="116">
        <v>153.837688851357</v>
      </c>
      <c r="E17" s="116">
        <v>155.07234124984299</v>
      </c>
      <c r="F17" s="116">
        <v>156.35</v>
      </c>
      <c r="G17">
        <v>172897</v>
      </c>
      <c r="H17" s="116"/>
      <c r="I17" s="116"/>
      <c r="L17" s="170">
        <v>42024</v>
      </c>
      <c r="M17" s="116">
        <v>154.43048018597199</v>
      </c>
      <c r="N17" s="116">
        <v>155.51697540953799</v>
      </c>
      <c r="O17" s="116">
        <v>153.68968798808601</v>
      </c>
      <c r="P17" s="116">
        <v>154.87495550470399</v>
      </c>
      <c r="Q17" s="116">
        <v>156.35</v>
      </c>
      <c r="R17">
        <v>1211357</v>
      </c>
    </row>
    <row r="18" spans="1:18" x14ac:dyDescent="0.25">
      <c r="A18" s="170">
        <v>42025</v>
      </c>
      <c r="B18" s="116">
        <v>157.245329471178</v>
      </c>
      <c r="C18" s="116">
        <v>156.010677072692</v>
      </c>
      <c r="D18" s="116">
        <v>154.82541077014599</v>
      </c>
      <c r="E18" s="116">
        <v>154.82541077014599</v>
      </c>
      <c r="F18" s="116">
        <v>157.94999999999999</v>
      </c>
      <c r="G18">
        <v>358294</v>
      </c>
      <c r="H18" s="116"/>
      <c r="I18" s="116"/>
      <c r="L18" s="170">
        <v>42025</v>
      </c>
      <c r="M18" s="116">
        <v>156.06022302132101</v>
      </c>
      <c r="N18" s="116">
        <v>157.44303512404201</v>
      </c>
      <c r="O18" s="116">
        <v>154.72679706512699</v>
      </c>
      <c r="P18" s="116">
        <v>155.467589263013</v>
      </c>
      <c r="Q18" s="116">
        <v>158</v>
      </c>
      <c r="R18">
        <v>2696995</v>
      </c>
    </row>
    <row r="19" spans="1:18" x14ac:dyDescent="0.25">
      <c r="A19" s="170">
        <v>42026</v>
      </c>
      <c r="B19" s="116">
        <v>158.62814015748299</v>
      </c>
      <c r="C19" s="116">
        <v>156.55392412802601</v>
      </c>
      <c r="D19" s="116">
        <v>155.615588305177</v>
      </c>
      <c r="E19" s="116">
        <v>156.55392412802601</v>
      </c>
      <c r="F19" s="116">
        <v>158.5</v>
      </c>
      <c r="G19">
        <v>250061</v>
      </c>
      <c r="H19" s="116"/>
      <c r="I19" s="116"/>
      <c r="L19" s="170">
        <v>42026</v>
      </c>
      <c r="M19" s="116">
        <v>156.899787512259</v>
      </c>
      <c r="N19" s="116">
        <v>158.62830264066</v>
      </c>
      <c r="O19" s="116">
        <v>155.171272383858</v>
      </c>
      <c r="P19" s="116">
        <v>155.171272383858</v>
      </c>
      <c r="Q19" s="116">
        <v>158.85</v>
      </c>
      <c r="R19">
        <v>2326838</v>
      </c>
    </row>
    <row r="20" spans="1:18" x14ac:dyDescent="0.25">
      <c r="A20" s="170">
        <v>42027</v>
      </c>
      <c r="B20" s="116">
        <v>159.91217865190799</v>
      </c>
      <c r="C20" s="116">
        <v>159.072615020938</v>
      </c>
      <c r="D20" s="116">
        <v>154.87479686608501</v>
      </c>
      <c r="E20" s="116">
        <v>157.887348718391</v>
      </c>
      <c r="F20" s="116">
        <v>161.05000000000001</v>
      </c>
      <c r="G20">
        <v>410961</v>
      </c>
      <c r="H20" s="116"/>
      <c r="I20" s="116"/>
      <c r="L20" s="170">
        <v>42027</v>
      </c>
      <c r="M20" s="116">
        <v>159.17155025244301</v>
      </c>
      <c r="N20" s="116">
        <v>160.15927318295701</v>
      </c>
      <c r="O20" s="116">
        <v>154.973727797755</v>
      </c>
      <c r="P20" s="116">
        <v>157.196104391413</v>
      </c>
      <c r="Q20" s="116">
        <v>161.15</v>
      </c>
      <c r="R20">
        <v>2437301</v>
      </c>
    </row>
    <row r="21" spans="1:18" x14ac:dyDescent="0.25">
      <c r="A21" s="170">
        <v>42031</v>
      </c>
      <c r="B21" s="116">
        <v>160.10972303566601</v>
      </c>
      <c r="C21" s="116">
        <v>157.245329471178</v>
      </c>
      <c r="D21" s="116">
        <v>156.45515193614699</v>
      </c>
      <c r="E21" s="116">
        <v>159.813406460029</v>
      </c>
      <c r="F21" s="116">
        <v>159.19999999999999</v>
      </c>
      <c r="G21">
        <v>221649</v>
      </c>
      <c r="H21" s="116"/>
      <c r="I21" s="116"/>
      <c r="L21" s="170">
        <v>42031</v>
      </c>
      <c r="M21" s="116">
        <v>157.44303512404201</v>
      </c>
      <c r="N21" s="116">
        <v>160.01111474338001</v>
      </c>
      <c r="O21" s="116">
        <v>156.65285677963001</v>
      </c>
      <c r="P21" s="116">
        <v>159.02339181286601</v>
      </c>
      <c r="Q21" s="116">
        <v>159.4</v>
      </c>
      <c r="R21">
        <v>1634586</v>
      </c>
    </row>
    <row r="22" spans="1:18" x14ac:dyDescent="0.25">
      <c r="A22" s="170">
        <v>42032</v>
      </c>
      <c r="B22" s="116">
        <v>157.83796262245201</v>
      </c>
      <c r="C22" s="116">
        <v>156.70208241584501</v>
      </c>
      <c r="D22" s="116">
        <v>155.71436049705599</v>
      </c>
      <c r="E22" s="116">
        <v>157.34410166305699</v>
      </c>
      <c r="F22" s="116">
        <v>158.65</v>
      </c>
      <c r="G22">
        <v>267947</v>
      </c>
      <c r="H22" s="116"/>
      <c r="I22" s="116"/>
      <c r="L22" s="170">
        <v>42032</v>
      </c>
      <c r="M22" s="116">
        <v>156.80101521920699</v>
      </c>
      <c r="N22" s="116">
        <v>157.93689658929901</v>
      </c>
      <c r="O22" s="116">
        <v>155.71451999564101</v>
      </c>
      <c r="P22" s="116">
        <v>156.85040136573301</v>
      </c>
      <c r="Q22" s="116">
        <v>158.75</v>
      </c>
      <c r="R22">
        <v>1819031</v>
      </c>
    </row>
    <row r="23" spans="1:18" x14ac:dyDescent="0.25">
      <c r="A23" s="170">
        <v>42033</v>
      </c>
      <c r="B23" s="116">
        <v>158.77629844530099</v>
      </c>
      <c r="C23" s="116">
        <v>156.40576584020801</v>
      </c>
      <c r="D23" s="116">
        <v>155.41804392141901</v>
      </c>
      <c r="E23" s="116">
        <v>157.047785087421</v>
      </c>
      <c r="F23" s="116">
        <v>158.35</v>
      </c>
      <c r="G23">
        <v>222355</v>
      </c>
      <c r="H23" s="116"/>
      <c r="I23" s="116"/>
      <c r="L23" s="170">
        <v>42033</v>
      </c>
      <c r="M23" s="116">
        <v>156.30715375394999</v>
      </c>
      <c r="N23" s="116">
        <v>158.776461080237</v>
      </c>
      <c r="O23" s="116">
        <v>155.36881696996099</v>
      </c>
      <c r="P23" s="116">
        <v>156.99855980531001</v>
      </c>
      <c r="Q23" s="116">
        <v>158.25</v>
      </c>
      <c r="R23">
        <v>2823390</v>
      </c>
    </row>
    <row r="24" spans="1:18" x14ac:dyDescent="0.25">
      <c r="A24" s="170">
        <v>42034</v>
      </c>
      <c r="B24" s="116">
        <v>160.01095084378699</v>
      </c>
      <c r="C24" s="116">
        <v>156.751468511784</v>
      </c>
      <c r="D24" s="116">
        <v>152.158561589416</v>
      </c>
      <c r="E24" s="116">
        <v>157.541646046815</v>
      </c>
      <c r="F24" s="116">
        <v>158.69999999999999</v>
      </c>
      <c r="G24">
        <v>622484</v>
      </c>
      <c r="H24" s="116"/>
      <c r="I24" s="116"/>
      <c r="L24" s="170">
        <v>42034</v>
      </c>
      <c r="M24" s="116">
        <v>156.75162907268199</v>
      </c>
      <c r="N24" s="116">
        <v>160.40620391558599</v>
      </c>
      <c r="O24" s="116">
        <v>152.158717445788</v>
      </c>
      <c r="P24" s="116">
        <v>156.99855980531001</v>
      </c>
      <c r="Q24" s="116">
        <v>158.69999999999999</v>
      </c>
      <c r="R24">
        <v>4094370</v>
      </c>
    </row>
    <row r="25" spans="1:18" x14ac:dyDescent="0.25">
      <c r="A25" s="170">
        <v>42037</v>
      </c>
      <c r="B25" s="116">
        <v>165.64096578088299</v>
      </c>
      <c r="C25" s="116">
        <v>161.591305913849</v>
      </c>
      <c r="D25" s="116">
        <v>155.220499537661</v>
      </c>
      <c r="E25" s="116">
        <v>157.047785087421</v>
      </c>
      <c r="F25" s="116">
        <v>163.6</v>
      </c>
      <c r="G25">
        <v>958534</v>
      </c>
      <c r="H25" s="116"/>
      <c r="I25" s="116"/>
      <c r="L25" s="170">
        <v>42037</v>
      </c>
      <c r="M25" s="116">
        <v>161.591471432204</v>
      </c>
      <c r="N25" s="116">
        <v>165.69052159384</v>
      </c>
      <c r="O25" s="116">
        <v>155.81329228869299</v>
      </c>
      <c r="P25" s="116">
        <v>155.96145072826999</v>
      </c>
      <c r="Q25" s="116">
        <v>163.6</v>
      </c>
      <c r="R25">
        <v>5423705</v>
      </c>
    </row>
    <row r="26" spans="1:18" x14ac:dyDescent="0.25">
      <c r="A26" s="170">
        <v>42038</v>
      </c>
      <c r="B26" s="116">
        <v>162.57902783263799</v>
      </c>
      <c r="C26" s="116">
        <v>158.33182358184601</v>
      </c>
      <c r="D26" s="116">
        <v>157.294715567118</v>
      </c>
      <c r="E26" s="116">
        <v>161.986394681365</v>
      </c>
      <c r="F26" s="116">
        <v>160.30000000000001</v>
      </c>
      <c r="G26">
        <v>229590</v>
      </c>
      <c r="H26" s="116"/>
      <c r="I26" s="116"/>
      <c r="L26" s="170">
        <v>42038</v>
      </c>
      <c r="M26" s="116">
        <v>158.480144201082</v>
      </c>
      <c r="N26" s="116">
        <v>162.48042206966699</v>
      </c>
      <c r="O26" s="116">
        <v>157.24549053793899</v>
      </c>
      <c r="P26" s="116">
        <v>161.98656060440999</v>
      </c>
      <c r="Q26" s="116">
        <v>160.44999999999999</v>
      </c>
      <c r="R26">
        <v>1927234</v>
      </c>
    </row>
    <row r="27" spans="1:18" x14ac:dyDescent="0.25">
      <c r="A27" s="170">
        <v>42039</v>
      </c>
      <c r="B27" s="116">
        <v>160.99867276257601</v>
      </c>
      <c r="C27" s="116">
        <v>156.45515193614699</v>
      </c>
      <c r="D27" s="116">
        <v>155.81313268893501</v>
      </c>
      <c r="E27" s="116">
        <v>159.51708988439299</v>
      </c>
      <c r="F27" s="116">
        <v>158.4</v>
      </c>
      <c r="G27">
        <v>370839</v>
      </c>
      <c r="H27" s="116"/>
      <c r="I27" s="116"/>
      <c r="L27" s="170">
        <v>42039</v>
      </c>
      <c r="M27" s="116">
        <v>156.60347063310499</v>
      </c>
      <c r="N27" s="116">
        <v>161.09760996694601</v>
      </c>
      <c r="O27" s="116">
        <v>155.71451999564101</v>
      </c>
      <c r="P27" s="116">
        <v>158.72707493371101</v>
      </c>
      <c r="Q27" s="116">
        <v>158.55000000000001</v>
      </c>
      <c r="R27">
        <v>1567779</v>
      </c>
    </row>
    <row r="28" spans="1:18" x14ac:dyDescent="0.25">
      <c r="A28" s="170">
        <v>42040</v>
      </c>
      <c r="B28" s="116">
        <v>157.788576526512</v>
      </c>
      <c r="C28" s="116">
        <v>152.70180864475</v>
      </c>
      <c r="D28" s="116">
        <v>151.565928438143</v>
      </c>
      <c r="E28" s="116">
        <v>157.640418238694</v>
      </c>
      <c r="F28" s="116">
        <v>154.6</v>
      </c>
      <c r="G28">
        <v>324843</v>
      </c>
      <c r="H28" s="116"/>
      <c r="I28" s="116"/>
      <c r="L28" s="170">
        <v>42040</v>
      </c>
      <c r="M28" s="116">
        <v>152.85012349714901</v>
      </c>
      <c r="N28" s="116">
        <v>157.838124296248</v>
      </c>
      <c r="O28" s="116">
        <v>151.61546983400501</v>
      </c>
      <c r="P28" s="116">
        <v>157.29487668446501</v>
      </c>
      <c r="Q28" s="116">
        <v>154.75</v>
      </c>
      <c r="R28">
        <v>2403931</v>
      </c>
    </row>
    <row r="29" spans="1:18" x14ac:dyDescent="0.25">
      <c r="A29" s="170">
        <v>42041</v>
      </c>
      <c r="B29" s="116">
        <v>153.49198617978101</v>
      </c>
      <c r="C29" s="116">
        <v>150.67697871123301</v>
      </c>
      <c r="D29" s="116">
        <v>149.886801176202</v>
      </c>
      <c r="E29" s="116">
        <v>153.49198617978101</v>
      </c>
      <c r="F29" s="116">
        <v>152.55000000000001</v>
      </c>
      <c r="G29">
        <v>207358</v>
      </c>
      <c r="H29" s="116"/>
      <c r="I29" s="116"/>
      <c r="L29" s="170">
        <v>42041</v>
      </c>
      <c r="M29" s="116">
        <v>150.52897461043901</v>
      </c>
      <c r="N29" s="116">
        <v>152.800737350623</v>
      </c>
      <c r="O29" s="116">
        <v>149.68941011950201</v>
      </c>
      <c r="P29" s="116">
        <v>152.50442047146899</v>
      </c>
      <c r="Q29" s="116">
        <v>152.4</v>
      </c>
      <c r="R29">
        <v>1392578</v>
      </c>
    </row>
    <row r="30" spans="1:18" x14ac:dyDescent="0.25">
      <c r="A30" s="170">
        <v>42044</v>
      </c>
      <c r="B30" s="116">
        <v>151.12145357468799</v>
      </c>
      <c r="C30" s="116">
        <v>147.713812954866</v>
      </c>
      <c r="D30" s="116">
        <v>146.87424932389601</v>
      </c>
      <c r="E30" s="116">
        <v>151.12145357468799</v>
      </c>
      <c r="F30" s="116">
        <v>149.55000000000001</v>
      </c>
      <c r="G30">
        <v>319699</v>
      </c>
      <c r="H30" s="116"/>
      <c r="I30" s="116"/>
      <c r="L30" s="170">
        <v>42044</v>
      </c>
      <c r="M30" s="116">
        <v>147.713964258472</v>
      </c>
      <c r="N30" s="116">
        <v>151.02283607569601</v>
      </c>
      <c r="O30" s="116">
        <v>146.87439976753501</v>
      </c>
      <c r="P30" s="116">
        <v>149.640023972976</v>
      </c>
      <c r="Q30" s="116">
        <v>149.55000000000001</v>
      </c>
      <c r="R30">
        <v>1470539</v>
      </c>
    </row>
    <row r="31" spans="1:18" x14ac:dyDescent="0.25">
      <c r="A31" s="170">
        <v>42045</v>
      </c>
      <c r="B31" s="116">
        <v>151.31899795844501</v>
      </c>
      <c r="C31" s="116">
        <v>149.68925679244401</v>
      </c>
      <c r="D31" s="116">
        <v>146.28161617262299</v>
      </c>
      <c r="E31" s="116">
        <v>149.738642888383</v>
      </c>
      <c r="F31" s="116">
        <v>151.55000000000001</v>
      </c>
      <c r="G31">
        <v>337204</v>
      </c>
      <c r="H31" s="116"/>
      <c r="I31" s="116"/>
      <c r="L31" s="170">
        <v>42045</v>
      </c>
      <c r="M31" s="116">
        <v>149.68941011950201</v>
      </c>
      <c r="N31" s="116">
        <v>151.26976680832499</v>
      </c>
      <c r="O31" s="116">
        <v>146.18299371617499</v>
      </c>
      <c r="P31" s="116">
        <v>147.071944353638</v>
      </c>
      <c r="Q31" s="116">
        <v>151.55000000000001</v>
      </c>
      <c r="R31">
        <v>1719968</v>
      </c>
    </row>
    <row r="32" spans="1:18" x14ac:dyDescent="0.25">
      <c r="A32" s="170">
        <v>42046</v>
      </c>
      <c r="B32" s="116">
        <v>152.800580836629</v>
      </c>
      <c r="C32" s="116">
        <v>152.306719877234</v>
      </c>
      <c r="D32" s="116">
        <v>149.68925679244401</v>
      </c>
      <c r="E32" s="116">
        <v>150.133731655899</v>
      </c>
      <c r="F32" s="116">
        <v>154.19999999999999</v>
      </c>
      <c r="G32">
        <v>142277</v>
      </c>
      <c r="H32" s="116"/>
      <c r="I32" s="116"/>
      <c r="L32" s="170">
        <v>42046</v>
      </c>
      <c r="M32" s="116">
        <v>152.455034324943</v>
      </c>
      <c r="N32" s="116">
        <v>152.800737350623</v>
      </c>
      <c r="O32" s="116">
        <v>149.34370709382199</v>
      </c>
      <c r="P32" s="116">
        <v>149.34370709382199</v>
      </c>
      <c r="Q32" s="116">
        <v>154.35</v>
      </c>
      <c r="R32">
        <v>1131718</v>
      </c>
    </row>
    <row r="33" spans="1:18" x14ac:dyDescent="0.25">
      <c r="A33" s="170">
        <v>42047</v>
      </c>
      <c r="B33" s="116">
        <v>154.57848029044899</v>
      </c>
      <c r="C33" s="116">
        <v>152.89935302850799</v>
      </c>
      <c r="D33" s="116">
        <v>151.170839670627</v>
      </c>
      <c r="E33" s="116">
        <v>152.99812522038599</v>
      </c>
      <c r="F33" s="116">
        <v>154.80000000000001</v>
      </c>
      <c r="G33">
        <v>279482</v>
      </c>
      <c r="H33" s="116"/>
      <c r="I33" s="116"/>
      <c r="L33" s="170">
        <v>42047</v>
      </c>
      <c r="M33" s="116">
        <v>153.29459881587999</v>
      </c>
      <c r="N33" s="116">
        <v>154.87495550470399</v>
      </c>
      <c r="O33" s="116">
        <v>151.31915295485101</v>
      </c>
      <c r="P33" s="116">
        <v>153.04766808325201</v>
      </c>
      <c r="Q33" s="116">
        <v>155.19999999999999</v>
      </c>
      <c r="R33">
        <v>1727098</v>
      </c>
    </row>
    <row r="34" spans="1:18" x14ac:dyDescent="0.25">
      <c r="A34" s="170">
        <v>42048</v>
      </c>
      <c r="B34" s="116">
        <v>156.751468511784</v>
      </c>
      <c r="C34" s="116">
        <v>155.07234124984299</v>
      </c>
      <c r="D34" s="116">
        <v>153.09689741226501</v>
      </c>
      <c r="E34" s="116">
        <v>154.43032200262999</v>
      </c>
      <c r="F34" s="116">
        <v>157</v>
      </c>
      <c r="G34">
        <v>295238</v>
      </c>
      <c r="H34" s="116"/>
      <c r="I34" s="116"/>
      <c r="L34" s="170">
        <v>42048</v>
      </c>
      <c r="M34" s="116">
        <v>155.467589263013</v>
      </c>
      <c r="N34" s="116">
        <v>156.99855980531001</v>
      </c>
      <c r="O34" s="116">
        <v>152.9488957902</v>
      </c>
      <c r="P34" s="116">
        <v>153.739074134612</v>
      </c>
      <c r="Q34" s="116">
        <v>157.4</v>
      </c>
      <c r="R34">
        <v>1565871</v>
      </c>
    </row>
    <row r="35" spans="1:18" x14ac:dyDescent="0.25">
      <c r="A35" s="170">
        <v>42051</v>
      </c>
      <c r="B35" s="116">
        <v>156.010677072692</v>
      </c>
      <c r="C35" s="116">
        <v>153.29444179602299</v>
      </c>
      <c r="D35" s="116">
        <v>152.89935302850799</v>
      </c>
      <c r="E35" s="116">
        <v>155.07234124984299</v>
      </c>
      <c r="F35" s="116">
        <v>155.19999999999999</v>
      </c>
      <c r="G35">
        <v>160099</v>
      </c>
      <c r="H35" s="116"/>
      <c r="I35" s="116"/>
      <c r="L35" s="170">
        <v>42051</v>
      </c>
      <c r="M35" s="116">
        <v>153.245212669355</v>
      </c>
      <c r="N35" s="116">
        <v>156.01083687479601</v>
      </c>
      <c r="O35" s="116">
        <v>152.85012349714901</v>
      </c>
      <c r="P35" s="116">
        <v>155.912064581744</v>
      </c>
      <c r="Q35" s="116">
        <v>155.15</v>
      </c>
      <c r="R35">
        <v>696970</v>
      </c>
    </row>
    <row r="36" spans="1:18" x14ac:dyDescent="0.25">
      <c r="A36" s="170">
        <v>42053</v>
      </c>
      <c r="B36" s="116">
        <v>156.010677072692</v>
      </c>
      <c r="C36" s="116">
        <v>154.77602467420601</v>
      </c>
      <c r="D36" s="116">
        <v>153.39321398790199</v>
      </c>
      <c r="E36" s="116">
        <v>154.084619331054</v>
      </c>
      <c r="F36" s="116">
        <v>156.69999999999999</v>
      </c>
      <c r="G36">
        <v>191819</v>
      </c>
      <c r="H36" s="116"/>
      <c r="I36" s="116"/>
      <c r="L36" s="170">
        <v>42053</v>
      </c>
      <c r="M36" s="116">
        <v>154.92434165123001</v>
      </c>
      <c r="N36" s="116">
        <v>156.06022302132101</v>
      </c>
      <c r="O36" s="116">
        <v>153.14644037630299</v>
      </c>
      <c r="P36" s="116">
        <v>153.59091569503499</v>
      </c>
      <c r="Q36" s="116">
        <v>156.85</v>
      </c>
      <c r="R36">
        <v>1122120</v>
      </c>
    </row>
    <row r="37" spans="1:18" x14ac:dyDescent="0.25">
      <c r="A37" s="170">
        <v>42054</v>
      </c>
      <c r="B37" s="116">
        <v>156.45515193614699</v>
      </c>
      <c r="C37" s="116">
        <v>154.47970809857</v>
      </c>
      <c r="D37" s="116">
        <v>152.60303645287101</v>
      </c>
      <c r="E37" s="116">
        <v>155.56620220923699</v>
      </c>
      <c r="F37" s="116">
        <v>156.4</v>
      </c>
      <c r="G37">
        <v>208937</v>
      </c>
      <c r="H37" s="116"/>
      <c r="I37" s="116"/>
      <c r="L37" s="170">
        <v>42054</v>
      </c>
      <c r="M37" s="116">
        <v>155.07250009080701</v>
      </c>
      <c r="N37" s="116">
        <v>156.554084486579</v>
      </c>
      <c r="O37" s="116">
        <v>152.55380661799401</v>
      </c>
      <c r="P37" s="116">
        <v>155.467589263013</v>
      </c>
      <c r="Q37" s="116">
        <v>157</v>
      </c>
      <c r="R37">
        <v>1377032</v>
      </c>
    </row>
    <row r="38" spans="1:18" x14ac:dyDescent="0.25">
      <c r="A38" s="170">
        <v>42055</v>
      </c>
      <c r="B38" s="116">
        <v>160.15910913160499</v>
      </c>
      <c r="C38" s="116">
        <v>158.035507006209</v>
      </c>
      <c r="D38" s="116">
        <v>154.87479686608501</v>
      </c>
      <c r="E38" s="116">
        <v>155.56620220923699</v>
      </c>
      <c r="F38" s="116">
        <v>160</v>
      </c>
      <c r="G38">
        <v>517466</v>
      </c>
      <c r="H38" s="116"/>
      <c r="I38" s="116"/>
      <c r="L38" s="170">
        <v>42055</v>
      </c>
      <c r="M38" s="116">
        <v>157.73935200319599</v>
      </c>
      <c r="N38" s="116">
        <v>160.25804547600899</v>
      </c>
      <c r="O38" s="116">
        <v>154.677410918601</v>
      </c>
      <c r="P38" s="116">
        <v>155.81329228869299</v>
      </c>
      <c r="Q38" s="116">
        <v>159.69999999999999</v>
      </c>
      <c r="R38">
        <v>2886605</v>
      </c>
    </row>
    <row r="39" spans="1:18" x14ac:dyDescent="0.25">
      <c r="A39" s="170">
        <v>42058</v>
      </c>
      <c r="B39" s="116">
        <v>159.51708988439299</v>
      </c>
      <c r="C39" s="116">
        <v>153.88707494729599</v>
      </c>
      <c r="D39" s="116">
        <v>153.09689741226501</v>
      </c>
      <c r="E39" s="116">
        <v>159.51708988439299</v>
      </c>
      <c r="F39" s="116">
        <v>155.80000000000001</v>
      </c>
      <c r="G39">
        <v>342901</v>
      </c>
      <c r="H39" s="116"/>
      <c r="I39" s="116"/>
      <c r="L39" s="170">
        <v>42058</v>
      </c>
      <c r="M39" s="116">
        <v>154.035391013766</v>
      </c>
      <c r="N39" s="116">
        <v>159.51725327812301</v>
      </c>
      <c r="O39" s="116">
        <v>153.393371108932</v>
      </c>
      <c r="P39" s="116">
        <v>158.97400566633999</v>
      </c>
      <c r="Q39" s="116">
        <v>155.94999999999999</v>
      </c>
      <c r="R39">
        <v>1614558</v>
      </c>
    </row>
    <row r="40" spans="1:18" x14ac:dyDescent="0.25">
      <c r="A40" s="170">
        <v>42059</v>
      </c>
      <c r="B40" s="116">
        <v>155.12172734578201</v>
      </c>
      <c r="C40" s="116">
        <v>153.343827891963</v>
      </c>
      <c r="D40" s="116">
        <v>151.7634728219</v>
      </c>
      <c r="E40" s="116">
        <v>154.82541077014599</v>
      </c>
      <c r="F40" s="116">
        <v>155.25</v>
      </c>
      <c r="G40">
        <v>227252</v>
      </c>
      <c r="H40" s="116"/>
      <c r="I40" s="116"/>
      <c r="L40" s="170">
        <v>42059</v>
      </c>
      <c r="M40" s="116">
        <v>153.64030184155999</v>
      </c>
      <c r="N40" s="116">
        <v>155.36881696996099</v>
      </c>
      <c r="O40" s="116">
        <v>151.71424212705699</v>
      </c>
      <c r="P40" s="116">
        <v>154.08477716029199</v>
      </c>
      <c r="Q40" s="116">
        <v>155.55000000000001</v>
      </c>
      <c r="R40">
        <v>1404899</v>
      </c>
    </row>
    <row r="41" spans="1:18" x14ac:dyDescent="0.25">
      <c r="A41" s="170">
        <v>42060</v>
      </c>
      <c r="B41" s="116">
        <v>154.331549810751</v>
      </c>
      <c r="C41" s="116">
        <v>151.71408672596101</v>
      </c>
      <c r="D41" s="116">
        <v>151.31899795844501</v>
      </c>
      <c r="E41" s="116">
        <v>154.084619331054</v>
      </c>
      <c r="F41" s="116">
        <v>153.6</v>
      </c>
      <c r="G41">
        <v>217506</v>
      </c>
      <c r="H41" s="116"/>
      <c r="I41" s="116"/>
      <c r="L41" s="170">
        <v>42060</v>
      </c>
      <c r="M41" s="116">
        <v>151.61546983400501</v>
      </c>
      <c r="N41" s="116">
        <v>154.331707892921</v>
      </c>
      <c r="O41" s="116">
        <v>151.220380661799</v>
      </c>
      <c r="P41" s="116">
        <v>153.64030184155999</v>
      </c>
      <c r="Q41" s="116">
        <v>153.5</v>
      </c>
      <c r="R41">
        <v>1546220</v>
      </c>
    </row>
    <row r="42" spans="1:18" x14ac:dyDescent="0.25">
      <c r="A42" s="170">
        <v>42061</v>
      </c>
      <c r="B42" s="116">
        <v>152.89935302850799</v>
      </c>
      <c r="C42" s="116">
        <v>150.72636480717199</v>
      </c>
      <c r="D42" s="116">
        <v>150.133731655899</v>
      </c>
      <c r="E42" s="116">
        <v>152.89935302850799</v>
      </c>
      <c r="F42" s="116">
        <v>152.6</v>
      </c>
      <c r="G42">
        <v>129688</v>
      </c>
      <c r="H42" s="116"/>
      <c r="I42" s="116"/>
      <c r="L42" s="170">
        <v>42061</v>
      </c>
      <c r="M42" s="116">
        <v>150.67713305001601</v>
      </c>
      <c r="N42" s="116">
        <v>152.60319276452</v>
      </c>
      <c r="O42" s="116">
        <v>150.03511314518201</v>
      </c>
      <c r="P42" s="116">
        <v>152.010559006211</v>
      </c>
      <c r="Q42" s="116">
        <v>152.55000000000001</v>
      </c>
      <c r="R42">
        <v>2960597</v>
      </c>
    </row>
    <row r="43" spans="1:18" x14ac:dyDescent="0.25">
      <c r="A43" s="170">
        <v>42062</v>
      </c>
      <c r="B43" s="116">
        <v>154.57848029044899</v>
      </c>
      <c r="C43" s="116">
        <v>153.78830275541799</v>
      </c>
      <c r="D43" s="116">
        <v>151.12145357468799</v>
      </c>
      <c r="E43" s="116">
        <v>151.12145357468799</v>
      </c>
      <c r="F43" s="116">
        <v>155.69999999999999</v>
      </c>
      <c r="G43">
        <v>204958</v>
      </c>
      <c r="H43" s="116"/>
      <c r="I43" s="116"/>
      <c r="L43" s="170">
        <v>42062</v>
      </c>
      <c r="M43" s="116">
        <v>154.13416330681801</v>
      </c>
      <c r="N43" s="116">
        <v>154.62802477207501</v>
      </c>
      <c r="O43" s="116">
        <v>151.26976680832499</v>
      </c>
      <c r="P43" s="116">
        <v>151.516697540954</v>
      </c>
      <c r="Q43" s="116">
        <v>156.05000000000001</v>
      </c>
      <c r="R43">
        <v>1540677</v>
      </c>
    </row>
    <row r="44" spans="1:18" x14ac:dyDescent="0.25">
      <c r="A44" s="170">
        <v>42063</v>
      </c>
      <c r="B44" s="116">
        <v>155.02295515390401</v>
      </c>
      <c r="C44" s="116">
        <v>153.14628350820499</v>
      </c>
      <c r="D44" s="116">
        <v>151.12145357468799</v>
      </c>
      <c r="E44" s="116">
        <v>154.57848029044899</v>
      </c>
      <c r="F44" s="116">
        <v>155.05000000000001</v>
      </c>
      <c r="G44">
        <v>179878</v>
      </c>
      <c r="H44" s="116"/>
      <c r="I44" s="116"/>
      <c r="L44" s="170">
        <v>42063</v>
      </c>
      <c r="M44" s="116">
        <v>152.99828193672599</v>
      </c>
      <c r="N44" s="116">
        <v>155.07250009080701</v>
      </c>
      <c r="O44" s="116">
        <v>150.92406378264499</v>
      </c>
      <c r="P44" s="116">
        <v>154.825569358178</v>
      </c>
      <c r="Q44" s="116">
        <v>154.9</v>
      </c>
      <c r="R44">
        <v>816168</v>
      </c>
    </row>
    <row r="45" spans="1:18" x14ac:dyDescent="0.25">
      <c r="A45" s="170">
        <v>42065</v>
      </c>
      <c r="B45" s="116">
        <v>157.047785087421</v>
      </c>
      <c r="C45" s="116">
        <v>156.40576584020801</v>
      </c>
      <c r="D45" s="116">
        <v>153.04751131632599</v>
      </c>
      <c r="E45" s="116">
        <v>153.09689741226501</v>
      </c>
      <c r="F45" s="116">
        <v>158.35</v>
      </c>
      <c r="G45">
        <v>222919</v>
      </c>
      <c r="H45" s="116"/>
      <c r="I45" s="116"/>
      <c r="L45" s="170">
        <v>42065</v>
      </c>
      <c r="M45" s="116">
        <v>156.405926047002</v>
      </c>
      <c r="N45" s="116">
        <v>156.94917365878501</v>
      </c>
      <c r="O45" s="116">
        <v>153.097054229777</v>
      </c>
      <c r="P45" s="116">
        <v>153.59091569503499</v>
      </c>
      <c r="Q45" s="116">
        <v>158.35</v>
      </c>
      <c r="R45">
        <v>1211587</v>
      </c>
    </row>
    <row r="46" spans="1:18" x14ac:dyDescent="0.25">
      <c r="A46" s="170">
        <v>42066</v>
      </c>
      <c r="B46" s="116">
        <v>162.67780002451701</v>
      </c>
      <c r="C46" s="116">
        <v>161.14683105039401</v>
      </c>
      <c r="D46" s="116">
        <v>155.26988563360101</v>
      </c>
      <c r="E46" s="116">
        <v>157.047785087421</v>
      </c>
      <c r="F46" s="116">
        <v>163.15</v>
      </c>
      <c r="G46">
        <v>651806</v>
      </c>
      <c r="H46" s="116"/>
      <c r="I46" s="116"/>
      <c r="L46" s="170">
        <v>42066</v>
      </c>
      <c r="M46" s="116">
        <v>161.54208528567801</v>
      </c>
      <c r="N46" s="116">
        <v>162.875511241873</v>
      </c>
      <c r="O46" s="116">
        <v>155.22065853038399</v>
      </c>
      <c r="P46" s="116">
        <v>156.554084486579</v>
      </c>
      <c r="Q46" s="116">
        <v>163.55000000000001</v>
      </c>
      <c r="R46">
        <v>4314580</v>
      </c>
    </row>
    <row r="47" spans="1:18" x14ac:dyDescent="0.25">
      <c r="A47" s="170">
        <v>42067</v>
      </c>
      <c r="B47" s="116">
        <v>162.67780002451701</v>
      </c>
      <c r="C47" s="116">
        <v>156.55392412802601</v>
      </c>
      <c r="D47" s="116">
        <v>155.07234124984299</v>
      </c>
      <c r="E47" s="116">
        <v>161.986394681365</v>
      </c>
      <c r="F47" s="116">
        <v>158.5</v>
      </c>
      <c r="G47">
        <v>406027</v>
      </c>
      <c r="H47" s="116"/>
      <c r="I47" s="116"/>
      <c r="L47" s="170">
        <v>42067</v>
      </c>
      <c r="M47" s="116">
        <v>156.405926047002</v>
      </c>
      <c r="N47" s="116">
        <v>162.33226363009001</v>
      </c>
      <c r="O47" s="116">
        <v>155.07250009080701</v>
      </c>
      <c r="P47" s="116">
        <v>161.98656060440999</v>
      </c>
      <c r="Q47" s="116">
        <v>158.35</v>
      </c>
      <c r="R47">
        <v>2204041</v>
      </c>
    </row>
    <row r="48" spans="1:18" x14ac:dyDescent="0.25">
      <c r="A48" s="170">
        <v>42068</v>
      </c>
      <c r="B48" s="116">
        <v>159.51708988439299</v>
      </c>
      <c r="C48" s="116">
        <v>157.393487758997</v>
      </c>
      <c r="D48" s="116">
        <v>154.331549810751</v>
      </c>
      <c r="E48" s="116">
        <v>155.07234124984299</v>
      </c>
      <c r="F48" s="116">
        <v>159.35</v>
      </c>
      <c r="G48">
        <v>264577</v>
      </c>
      <c r="H48" s="116"/>
      <c r="I48" s="116"/>
      <c r="L48" s="170">
        <v>42068</v>
      </c>
      <c r="M48" s="116">
        <v>157.344262830991</v>
      </c>
      <c r="N48" s="116">
        <v>159.418480985071</v>
      </c>
      <c r="O48" s="116">
        <v>154.18354945334301</v>
      </c>
      <c r="P48" s="116">
        <v>155.96145072826999</v>
      </c>
      <c r="Q48" s="116">
        <v>159.30000000000001</v>
      </c>
      <c r="R48">
        <v>1419036</v>
      </c>
    </row>
    <row r="49" spans="1:18" x14ac:dyDescent="0.25">
      <c r="A49" s="170">
        <v>42072</v>
      </c>
      <c r="B49" s="116">
        <v>160.89990057069701</v>
      </c>
      <c r="C49" s="116">
        <v>156.80085460772301</v>
      </c>
      <c r="D49" s="116">
        <v>155.26988563360101</v>
      </c>
      <c r="E49" s="116">
        <v>157.047785087421</v>
      </c>
      <c r="F49" s="116">
        <v>158.75</v>
      </c>
      <c r="G49">
        <v>347069</v>
      </c>
      <c r="H49" s="116"/>
      <c r="I49" s="116"/>
      <c r="L49" s="170">
        <v>42072</v>
      </c>
      <c r="M49" s="116">
        <v>157.09733209836199</v>
      </c>
      <c r="N49" s="116">
        <v>160.85067923431799</v>
      </c>
      <c r="O49" s="116">
        <v>155.319430823435</v>
      </c>
      <c r="P49" s="116">
        <v>157.09733209836199</v>
      </c>
      <c r="Q49" s="116">
        <v>159.05000000000001</v>
      </c>
      <c r="R49">
        <v>2281047</v>
      </c>
    </row>
    <row r="50" spans="1:18" x14ac:dyDescent="0.25">
      <c r="A50" s="170">
        <v>42073</v>
      </c>
      <c r="B50" s="116">
        <v>158.924456733119</v>
      </c>
      <c r="C50" s="116">
        <v>155.31927172953999</v>
      </c>
      <c r="D50" s="116">
        <v>153.98584713917501</v>
      </c>
      <c r="E50" s="116">
        <v>157.788576526512</v>
      </c>
      <c r="F50" s="116">
        <v>157.25</v>
      </c>
      <c r="G50">
        <v>190244</v>
      </c>
      <c r="H50" s="116"/>
      <c r="I50" s="116"/>
      <c r="L50" s="170">
        <v>42073</v>
      </c>
      <c r="M50" s="116">
        <v>155.319430823435</v>
      </c>
      <c r="N50" s="116">
        <v>159.02339181286601</v>
      </c>
      <c r="O50" s="116">
        <v>153.887232574189</v>
      </c>
      <c r="P50" s="116">
        <v>157.68996585667099</v>
      </c>
      <c r="Q50" s="116">
        <v>157.25</v>
      </c>
      <c r="R50">
        <v>1354766</v>
      </c>
    </row>
    <row r="51" spans="1:18" x14ac:dyDescent="0.25">
      <c r="A51" s="170">
        <v>42074</v>
      </c>
      <c r="B51" s="116">
        <v>157.245329471178</v>
      </c>
      <c r="C51" s="116">
        <v>155.71436049705599</v>
      </c>
      <c r="D51" s="116">
        <v>154.82541077014599</v>
      </c>
      <c r="E51" s="116">
        <v>155.07234124984299</v>
      </c>
      <c r="F51" s="116">
        <v>157.65</v>
      </c>
      <c r="G51">
        <v>162593</v>
      </c>
      <c r="H51" s="116"/>
      <c r="I51" s="116"/>
      <c r="L51" s="170">
        <v>42074</v>
      </c>
      <c r="M51" s="116">
        <v>155.912064581744</v>
      </c>
      <c r="N51" s="116">
        <v>157.541807417093</v>
      </c>
      <c r="O51" s="116">
        <v>154.77618321165201</v>
      </c>
      <c r="P51" s="116">
        <v>155.41820311648701</v>
      </c>
      <c r="Q51" s="116">
        <v>157.85</v>
      </c>
      <c r="R51">
        <v>1773712</v>
      </c>
    </row>
    <row r="52" spans="1:18" x14ac:dyDescent="0.25">
      <c r="A52" s="170">
        <v>42075</v>
      </c>
      <c r="B52" s="116">
        <v>159.319545500635</v>
      </c>
      <c r="C52" s="116">
        <v>158.08489310214901</v>
      </c>
      <c r="D52" s="116">
        <v>155.862518784874</v>
      </c>
      <c r="E52" s="116">
        <v>156.55392412802601</v>
      </c>
      <c r="F52" s="116">
        <v>160.05000000000001</v>
      </c>
      <c r="G52">
        <v>256194</v>
      </c>
      <c r="H52" s="116"/>
      <c r="I52" s="116"/>
      <c r="L52" s="170">
        <v>42075</v>
      </c>
      <c r="M52" s="116">
        <v>158.03566888235099</v>
      </c>
      <c r="N52" s="116">
        <v>159.418480985071</v>
      </c>
      <c r="O52" s="116">
        <v>155.912064581744</v>
      </c>
      <c r="P52" s="116">
        <v>156.554084486579</v>
      </c>
      <c r="Q52" s="116">
        <v>160</v>
      </c>
      <c r="R52">
        <v>2130596</v>
      </c>
    </row>
    <row r="53" spans="1:18" x14ac:dyDescent="0.25">
      <c r="A53" s="170">
        <v>42076</v>
      </c>
      <c r="B53" s="116">
        <v>159.02322892499799</v>
      </c>
      <c r="C53" s="116">
        <v>152.948739124447</v>
      </c>
      <c r="D53" s="116">
        <v>152.01040330159799</v>
      </c>
      <c r="E53" s="116">
        <v>158.62814015748299</v>
      </c>
      <c r="F53" s="116">
        <v>154.85</v>
      </c>
      <c r="G53">
        <v>276558</v>
      </c>
      <c r="H53" s="116"/>
      <c r="I53" s="116"/>
      <c r="L53" s="170">
        <v>42076</v>
      </c>
      <c r="M53" s="116">
        <v>152.9488957902</v>
      </c>
      <c r="N53" s="116">
        <v>159.12216410591699</v>
      </c>
      <c r="O53" s="116">
        <v>151.664855980531</v>
      </c>
      <c r="P53" s="116">
        <v>158.97400566633999</v>
      </c>
      <c r="Q53" s="116">
        <v>154.85</v>
      </c>
      <c r="R53">
        <v>2248388</v>
      </c>
    </row>
    <row r="54" spans="1:18" x14ac:dyDescent="0.25">
      <c r="A54" s="170">
        <v>42079</v>
      </c>
      <c r="B54" s="116">
        <v>153.442600083841</v>
      </c>
      <c r="C54" s="116">
        <v>152.75119474068899</v>
      </c>
      <c r="D54" s="116">
        <v>151.12145357468799</v>
      </c>
      <c r="E54" s="116">
        <v>152.948739124447</v>
      </c>
      <c r="F54" s="116">
        <v>154.65</v>
      </c>
      <c r="G54">
        <v>141034</v>
      </c>
      <c r="H54" s="116"/>
      <c r="I54" s="116"/>
      <c r="L54" s="170">
        <v>42079</v>
      </c>
      <c r="M54" s="116">
        <v>152.85012349714901</v>
      </c>
      <c r="N54" s="116">
        <v>153.739074134612</v>
      </c>
      <c r="O54" s="116">
        <v>150.97344992917101</v>
      </c>
      <c r="P54" s="116">
        <v>153.04766808325201</v>
      </c>
      <c r="Q54" s="116">
        <v>154.75</v>
      </c>
      <c r="R54">
        <v>1343251</v>
      </c>
    </row>
    <row r="55" spans="1:18" x14ac:dyDescent="0.25">
      <c r="A55" s="170">
        <v>42080</v>
      </c>
      <c r="B55" s="116">
        <v>155.31927172953999</v>
      </c>
      <c r="C55" s="116">
        <v>154.67725248232699</v>
      </c>
      <c r="D55" s="116">
        <v>153.14628350820499</v>
      </c>
      <c r="E55" s="116">
        <v>153.14628350820499</v>
      </c>
      <c r="F55" s="116">
        <v>156.6</v>
      </c>
      <c r="G55">
        <v>118782</v>
      </c>
      <c r="H55" s="116"/>
      <c r="I55" s="116"/>
      <c r="L55" s="170">
        <v>42080</v>
      </c>
      <c r="M55" s="116">
        <v>154.77618321165201</v>
      </c>
      <c r="N55" s="116">
        <v>155.36881696996099</v>
      </c>
      <c r="O55" s="116">
        <v>153.34398496240601</v>
      </c>
      <c r="P55" s="116">
        <v>153.34398496240601</v>
      </c>
      <c r="Q55" s="116">
        <v>156.69999999999999</v>
      </c>
      <c r="R55">
        <v>1416285</v>
      </c>
    </row>
    <row r="56" spans="1:18" x14ac:dyDescent="0.25">
      <c r="A56" s="170">
        <v>42081</v>
      </c>
      <c r="B56" s="116">
        <v>156.06006316863201</v>
      </c>
      <c r="C56" s="116">
        <v>153.88707494729599</v>
      </c>
      <c r="D56" s="116">
        <v>153.59075837166</v>
      </c>
      <c r="E56" s="116">
        <v>154.726638578267</v>
      </c>
      <c r="F56" s="116">
        <v>155.80000000000001</v>
      </c>
      <c r="G56">
        <v>187676</v>
      </c>
      <c r="H56" s="116"/>
      <c r="I56" s="116"/>
      <c r="L56" s="170">
        <v>42081</v>
      </c>
      <c r="M56" s="116">
        <v>153.93661872071499</v>
      </c>
      <c r="N56" s="116">
        <v>156.30715375394999</v>
      </c>
      <c r="O56" s="116">
        <v>153.49214340198299</v>
      </c>
      <c r="P56" s="116">
        <v>154.973727797755</v>
      </c>
      <c r="Q56" s="116">
        <v>155.85</v>
      </c>
      <c r="R56">
        <v>1268390</v>
      </c>
    </row>
    <row r="57" spans="1:18" x14ac:dyDescent="0.25">
      <c r="A57" s="170">
        <v>42082</v>
      </c>
      <c r="B57" s="116">
        <v>155.41804392141901</v>
      </c>
      <c r="C57" s="116">
        <v>151.71408672596101</v>
      </c>
      <c r="D57" s="116">
        <v>150.97329528686899</v>
      </c>
      <c r="E57" s="116">
        <v>154.13400542699401</v>
      </c>
      <c r="F57" s="116">
        <v>153.6</v>
      </c>
      <c r="G57">
        <v>298682</v>
      </c>
      <c r="H57" s="116"/>
      <c r="I57" s="116"/>
      <c r="L57" s="170">
        <v>42082</v>
      </c>
      <c r="M57" s="116">
        <v>151.96117285968501</v>
      </c>
      <c r="N57" s="116">
        <v>155.41820311648701</v>
      </c>
      <c r="O57" s="116">
        <v>150.82529148959401</v>
      </c>
      <c r="P57" s="116">
        <v>154.72679706512699</v>
      </c>
      <c r="Q57" s="116">
        <v>153.85</v>
      </c>
      <c r="R57">
        <v>1776564</v>
      </c>
    </row>
    <row r="58" spans="1:18" x14ac:dyDescent="0.25">
      <c r="A58" s="170">
        <v>42083</v>
      </c>
      <c r="B58" s="116">
        <v>151.61531453408199</v>
      </c>
      <c r="C58" s="116">
        <v>148.20767391426099</v>
      </c>
      <c r="D58" s="116">
        <v>147.466882475169</v>
      </c>
      <c r="E58" s="116">
        <v>151.61531453408199</v>
      </c>
      <c r="F58" s="116">
        <v>150.05000000000001</v>
      </c>
      <c r="G58">
        <v>243116</v>
      </c>
      <c r="H58" s="116"/>
      <c r="I58" s="116"/>
      <c r="L58" s="170">
        <v>42083</v>
      </c>
      <c r="M58" s="116">
        <v>148.10905343067799</v>
      </c>
      <c r="N58" s="116">
        <v>151.86240056663399</v>
      </c>
      <c r="O58" s="116">
        <v>147.17071664668899</v>
      </c>
      <c r="P58" s="116">
        <v>151.86240056663399</v>
      </c>
      <c r="Q58" s="116">
        <v>149.94999999999999</v>
      </c>
      <c r="R58">
        <v>1834524</v>
      </c>
    </row>
    <row r="59" spans="1:18" x14ac:dyDescent="0.25">
      <c r="A59" s="170">
        <v>42086</v>
      </c>
      <c r="B59" s="116">
        <v>148.94846535335199</v>
      </c>
      <c r="C59" s="116">
        <v>145.49143863759201</v>
      </c>
      <c r="D59" s="116">
        <v>145.24450815789399</v>
      </c>
      <c r="E59" s="116">
        <v>148.15828781832101</v>
      </c>
      <c r="F59" s="116">
        <v>147.30000000000001</v>
      </c>
      <c r="G59">
        <v>163098</v>
      </c>
      <c r="H59" s="116"/>
      <c r="I59" s="116"/>
      <c r="L59" s="170">
        <v>42086</v>
      </c>
      <c r="M59" s="116">
        <v>145.39281537176299</v>
      </c>
      <c r="N59" s="116">
        <v>148.70168718898699</v>
      </c>
      <c r="O59" s="116">
        <v>145.09649849260799</v>
      </c>
      <c r="P59" s="116">
        <v>147.96089499110099</v>
      </c>
      <c r="Q59" s="116">
        <v>147.19999999999999</v>
      </c>
      <c r="R59">
        <v>1229406</v>
      </c>
    </row>
    <row r="60" spans="1:18" x14ac:dyDescent="0.25">
      <c r="A60" s="170">
        <v>42087</v>
      </c>
      <c r="B60" s="116">
        <v>147.02240761171399</v>
      </c>
      <c r="C60" s="116">
        <v>145.787755213228</v>
      </c>
      <c r="D60" s="116">
        <v>144.50371671880299</v>
      </c>
      <c r="E60" s="116">
        <v>145.39266644571299</v>
      </c>
      <c r="F60" s="116">
        <v>147.6</v>
      </c>
      <c r="G60">
        <v>109995</v>
      </c>
      <c r="H60" s="116"/>
      <c r="I60" s="116"/>
      <c r="L60" s="170">
        <v>42087</v>
      </c>
      <c r="M60" s="116">
        <v>146.133607569649</v>
      </c>
      <c r="N60" s="116">
        <v>147.121330500163</v>
      </c>
      <c r="O60" s="116">
        <v>144.405092441248</v>
      </c>
      <c r="P60" s="116">
        <v>145.54097381134</v>
      </c>
      <c r="Q60" s="116">
        <v>147.94999999999999</v>
      </c>
      <c r="R60">
        <v>1328198</v>
      </c>
    </row>
    <row r="61" spans="1:18" x14ac:dyDescent="0.25">
      <c r="A61" s="170">
        <v>42088</v>
      </c>
      <c r="B61" s="116">
        <v>147.41749637922999</v>
      </c>
      <c r="C61" s="116">
        <v>146.77547713201699</v>
      </c>
      <c r="D61" s="116">
        <v>145.73836911728901</v>
      </c>
      <c r="E61" s="116">
        <v>145.73836911728901</v>
      </c>
      <c r="F61" s="116">
        <v>148.6</v>
      </c>
      <c r="G61">
        <v>131861</v>
      </c>
      <c r="H61" s="116"/>
      <c r="I61" s="116"/>
      <c r="L61" s="170">
        <v>42088</v>
      </c>
      <c r="M61" s="116">
        <v>147.17071664668899</v>
      </c>
      <c r="N61" s="116">
        <v>147.565805818895</v>
      </c>
      <c r="O61" s="116">
        <v>145.93606298354601</v>
      </c>
      <c r="P61" s="116">
        <v>146.18299371617499</v>
      </c>
      <c r="Q61" s="116">
        <v>149</v>
      </c>
      <c r="R61">
        <v>1566031</v>
      </c>
    </row>
    <row r="62" spans="1:18" x14ac:dyDescent="0.25">
      <c r="A62" s="170">
        <v>42089</v>
      </c>
      <c r="B62" s="116">
        <v>147.66442685892699</v>
      </c>
      <c r="C62" s="116">
        <v>146.182843980744</v>
      </c>
      <c r="D62" s="116">
        <v>145.63959692540999</v>
      </c>
      <c r="E62" s="116">
        <v>146.13345788480399</v>
      </c>
      <c r="F62" s="116">
        <v>148</v>
      </c>
      <c r="G62">
        <v>200760</v>
      </c>
      <c r="H62" s="116"/>
      <c r="I62" s="116"/>
      <c r="L62" s="170">
        <v>42089</v>
      </c>
      <c r="M62" s="116">
        <v>145.49158766481401</v>
      </c>
      <c r="N62" s="116">
        <v>147.713964258472</v>
      </c>
      <c r="O62" s="116">
        <v>144.70140932040201</v>
      </c>
      <c r="P62" s="116">
        <v>146.23237986269999</v>
      </c>
      <c r="Q62" s="116">
        <v>147.30000000000001</v>
      </c>
      <c r="R62">
        <v>2029247</v>
      </c>
    </row>
    <row r="63" spans="1:18" x14ac:dyDescent="0.25">
      <c r="A63" s="170">
        <v>42090</v>
      </c>
      <c r="B63" s="116">
        <v>147.36811028329001</v>
      </c>
      <c r="C63" s="116">
        <v>144.10862795128699</v>
      </c>
      <c r="D63" s="116">
        <v>140.94791781116299</v>
      </c>
      <c r="E63" s="116">
        <v>145.935913501046</v>
      </c>
      <c r="F63" s="116">
        <v>145.9</v>
      </c>
      <c r="G63">
        <v>259404</v>
      </c>
      <c r="H63" s="116"/>
      <c r="I63" s="116"/>
      <c r="L63" s="170">
        <v>42090</v>
      </c>
      <c r="M63" s="116">
        <v>143.960617122516</v>
      </c>
      <c r="N63" s="116">
        <v>147.36826123279201</v>
      </c>
      <c r="O63" s="116">
        <v>140.948062184447</v>
      </c>
      <c r="P63" s="116">
        <v>146.627469034906</v>
      </c>
      <c r="Q63" s="116">
        <v>145.75</v>
      </c>
      <c r="R63">
        <v>2099157</v>
      </c>
    </row>
    <row r="64" spans="1:18" x14ac:dyDescent="0.25">
      <c r="A64" s="170">
        <v>42093</v>
      </c>
      <c r="B64" s="116">
        <v>148.55337658583699</v>
      </c>
      <c r="C64" s="116">
        <v>148.108901722382</v>
      </c>
      <c r="D64" s="116">
        <v>144.404944526924</v>
      </c>
      <c r="E64" s="116">
        <v>144.404944526924</v>
      </c>
      <c r="F64" s="116">
        <v>149.94999999999999</v>
      </c>
      <c r="G64">
        <v>243242</v>
      </c>
      <c r="H64" s="116"/>
      <c r="I64" s="116"/>
      <c r="L64" s="170">
        <v>42093</v>
      </c>
      <c r="M64" s="116">
        <v>147.911508844575</v>
      </c>
      <c r="N64" s="116">
        <v>148.40537030983299</v>
      </c>
      <c r="O64" s="116">
        <v>144.750795466928</v>
      </c>
      <c r="P64" s="116">
        <v>145.29404307871101</v>
      </c>
      <c r="Q64" s="116">
        <v>149.75</v>
      </c>
      <c r="R64">
        <v>818899</v>
      </c>
    </row>
    <row r="65" spans="1:18" x14ac:dyDescent="0.25">
      <c r="A65" s="170">
        <v>42094</v>
      </c>
      <c r="B65" s="116">
        <v>149.54109850462601</v>
      </c>
      <c r="C65" s="116">
        <v>147.26933809141099</v>
      </c>
      <c r="D65" s="116">
        <v>146.726091036078</v>
      </c>
      <c r="E65" s="116">
        <v>148.15828781832101</v>
      </c>
      <c r="F65" s="116">
        <v>149.1</v>
      </c>
      <c r="G65">
        <v>332001</v>
      </c>
      <c r="H65" s="116"/>
      <c r="I65" s="116"/>
      <c r="L65" s="170">
        <v>42094</v>
      </c>
      <c r="M65" s="116">
        <v>146.97317206058599</v>
      </c>
      <c r="N65" s="116">
        <v>149.34370709382199</v>
      </c>
      <c r="O65" s="116">
        <v>146.479310595329</v>
      </c>
      <c r="P65" s="116">
        <v>148.40537030983299</v>
      </c>
      <c r="Q65" s="116">
        <v>148.80000000000001</v>
      </c>
      <c r="R65">
        <v>1383972</v>
      </c>
    </row>
    <row r="66" spans="1:18" x14ac:dyDescent="0.25">
      <c r="A66" s="170">
        <v>42095</v>
      </c>
      <c r="B66" s="116">
        <v>150.133731655899</v>
      </c>
      <c r="C66" s="116">
        <v>149.29416802492801</v>
      </c>
      <c r="D66" s="116">
        <v>147.17056589953299</v>
      </c>
      <c r="E66" s="116">
        <v>147.66442685892699</v>
      </c>
      <c r="F66" s="116">
        <v>151.15</v>
      </c>
      <c r="G66">
        <v>143152</v>
      </c>
      <c r="H66" s="116"/>
      <c r="I66" s="116"/>
      <c r="L66" s="170">
        <v>42095</v>
      </c>
      <c r="M66" s="116">
        <v>149.24493480077001</v>
      </c>
      <c r="N66" s="116">
        <v>150.084499291708</v>
      </c>
      <c r="O66" s="116">
        <v>146.97317206058599</v>
      </c>
      <c r="P66" s="116">
        <v>146.97317206058599</v>
      </c>
      <c r="Q66" s="116">
        <v>151.1</v>
      </c>
      <c r="R66">
        <v>575050</v>
      </c>
    </row>
    <row r="67" spans="1:18" x14ac:dyDescent="0.25">
      <c r="A67" s="170">
        <v>42100</v>
      </c>
      <c r="B67" s="116">
        <v>150.528820423414</v>
      </c>
      <c r="C67" s="116">
        <v>149.491712408686</v>
      </c>
      <c r="D67" s="116">
        <v>148.05951562644199</v>
      </c>
      <c r="E67" s="116">
        <v>149.78802898432301</v>
      </c>
      <c r="F67" s="116">
        <v>151.35</v>
      </c>
      <c r="G67">
        <v>136467</v>
      </c>
      <c r="H67" s="116"/>
      <c r="I67" s="116"/>
      <c r="L67" s="170">
        <v>42100</v>
      </c>
      <c r="M67" s="116">
        <v>149.59063782645001</v>
      </c>
      <c r="N67" s="116">
        <v>150.232657731285</v>
      </c>
      <c r="O67" s="116">
        <v>147.96089499110099</v>
      </c>
      <c r="P67" s="116">
        <v>150.084499291708</v>
      </c>
      <c r="Q67" s="116">
        <v>151.44999999999999</v>
      </c>
      <c r="R67">
        <v>843471</v>
      </c>
    </row>
    <row r="68" spans="1:18" x14ac:dyDescent="0.25">
      <c r="A68" s="170">
        <v>42101</v>
      </c>
      <c r="B68" s="116">
        <v>150.82513699905101</v>
      </c>
      <c r="C68" s="116">
        <v>149.29416802492801</v>
      </c>
      <c r="D68" s="116">
        <v>148.15828781832101</v>
      </c>
      <c r="E68" s="116">
        <v>150.82513699905101</v>
      </c>
      <c r="F68" s="116">
        <v>151.15</v>
      </c>
      <c r="G68">
        <v>110414</v>
      </c>
      <c r="H68" s="116"/>
      <c r="I68" s="116"/>
      <c r="L68" s="170">
        <v>42101</v>
      </c>
      <c r="M68" s="116">
        <v>149.24493480077001</v>
      </c>
      <c r="N68" s="116">
        <v>150.52897461043901</v>
      </c>
      <c r="O68" s="116">
        <v>148.059667284152</v>
      </c>
      <c r="P68" s="116">
        <v>150.52897461043901</v>
      </c>
      <c r="Q68" s="116">
        <v>151.1</v>
      </c>
      <c r="R68">
        <v>1810409</v>
      </c>
    </row>
    <row r="69" spans="1:18" x14ac:dyDescent="0.25">
      <c r="A69" s="170">
        <v>42102</v>
      </c>
      <c r="B69" s="116">
        <v>151.81285891784</v>
      </c>
      <c r="C69" s="116">
        <v>149.98557336808099</v>
      </c>
      <c r="D69" s="116">
        <v>148.89907925741301</v>
      </c>
      <c r="E69" s="116">
        <v>149.244781928989</v>
      </c>
      <c r="F69" s="116">
        <v>151.85</v>
      </c>
      <c r="G69">
        <v>144476</v>
      </c>
      <c r="H69" s="116"/>
      <c r="I69" s="116"/>
      <c r="L69" s="170">
        <v>42102</v>
      </c>
      <c r="M69" s="116">
        <v>149.73879626602701</v>
      </c>
      <c r="N69" s="116">
        <v>151.813014420108</v>
      </c>
      <c r="O69" s="116">
        <v>148.94861792161601</v>
      </c>
      <c r="P69" s="116">
        <v>149.93634085213</v>
      </c>
      <c r="Q69" s="116">
        <v>151.6</v>
      </c>
      <c r="R69">
        <v>1142129</v>
      </c>
    </row>
    <row r="70" spans="1:18" x14ac:dyDescent="0.25">
      <c r="A70" s="170">
        <v>42103</v>
      </c>
      <c r="B70" s="116">
        <v>151.22022576656701</v>
      </c>
      <c r="C70" s="116">
        <v>150.281889943717</v>
      </c>
      <c r="D70" s="116">
        <v>149.34355412086799</v>
      </c>
      <c r="E70" s="116">
        <v>150.47943432747499</v>
      </c>
      <c r="F70" s="116">
        <v>152.15</v>
      </c>
      <c r="G70">
        <v>107633</v>
      </c>
      <c r="H70" s="116"/>
      <c r="I70" s="116"/>
      <c r="L70" s="170">
        <v>42103</v>
      </c>
      <c r="M70" s="116">
        <v>150.18327158475901</v>
      </c>
      <c r="N70" s="116">
        <v>151.12160836874801</v>
      </c>
      <c r="O70" s="116">
        <v>149.146162507719</v>
      </c>
      <c r="P70" s="116">
        <v>150.47958846391299</v>
      </c>
      <c r="Q70" s="116">
        <v>152.05000000000001</v>
      </c>
      <c r="R70">
        <v>852909</v>
      </c>
    </row>
    <row r="71" spans="1:18" x14ac:dyDescent="0.25">
      <c r="A71" s="170">
        <v>42104</v>
      </c>
      <c r="B71" s="116">
        <v>160.25788132348401</v>
      </c>
      <c r="C71" s="116">
        <v>159.22077330875601</v>
      </c>
      <c r="D71" s="116">
        <v>149.93618727214101</v>
      </c>
      <c r="E71" s="116">
        <v>150.03495946402001</v>
      </c>
      <c r="F71" s="116">
        <v>161.19999999999999</v>
      </c>
      <c r="G71">
        <v>972309</v>
      </c>
      <c r="H71" s="116"/>
      <c r="I71" s="116"/>
      <c r="L71" s="170">
        <v>42104</v>
      </c>
      <c r="M71" s="116">
        <v>159.22093639896801</v>
      </c>
      <c r="N71" s="116">
        <v>160.504976208638</v>
      </c>
      <c r="O71" s="116">
        <v>150.18327158475901</v>
      </c>
      <c r="P71" s="116">
        <v>150.82529148959401</v>
      </c>
      <c r="Q71" s="116">
        <v>161.19999999999999</v>
      </c>
      <c r="R71">
        <v>6349564</v>
      </c>
    </row>
    <row r="72" spans="1:18" x14ac:dyDescent="0.25">
      <c r="A72" s="170">
        <v>42107</v>
      </c>
      <c r="B72" s="116">
        <v>161.29498933821199</v>
      </c>
      <c r="C72" s="116">
        <v>159.566475980332</v>
      </c>
      <c r="D72" s="116">
        <v>156.899626799602</v>
      </c>
      <c r="E72" s="116">
        <v>160.702356186939</v>
      </c>
      <c r="F72" s="116">
        <v>161.55000000000001</v>
      </c>
      <c r="G72">
        <v>348323</v>
      </c>
      <c r="H72" s="116"/>
      <c r="I72" s="116"/>
      <c r="L72" s="170">
        <v>42107</v>
      </c>
      <c r="M72" s="116">
        <v>159.51725327812301</v>
      </c>
      <c r="N72" s="116">
        <v>160.75190694126599</v>
      </c>
      <c r="O72" s="116">
        <v>156.65285677963001</v>
      </c>
      <c r="P72" s="116">
        <v>159.66541171770001</v>
      </c>
      <c r="Q72" s="116">
        <v>161.5</v>
      </c>
      <c r="R72">
        <v>3122578</v>
      </c>
    </row>
    <row r="73" spans="1:18" x14ac:dyDescent="0.25">
      <c r="A73" s="170">
        <v>42109</v>
      </c>
      <c r="B73" s="116">
        <v>161.39376153009101</v>
      </c>
      <c r="C73" s="116">
        <v>157.294715567118</v>
      </c>
      <c r="D73" s="116">
        <v>156.45515193614699</v>
      </c>
      <c r="E73" s="116">
        <v>160.01095084378699</v>
      </c>
      <c r="F73" s="116">
        <v>159.25</v>
      </c>
      <c r="G73">
        <v>329192</v>
      </c>
      <c r="H73" s="116"/>
      <c r="I73" s="116"/>
      <c r="L73" s="170">
        <v>42109</v>
      </c>
      <c r="M73" s="116">
        <v>156.99855980531001</v>
      </c>
      <c r="N73" s="116">
        <v>161.49269913915199</v>
      </c>
      <c r="O73" s="116">
        <v>155.912064581744</v>
      </c>
      <c r="P73" s="116">
        <v>159.46786713159699</v>
      </c>
      <c r="Q73" s="116">
        <v>158.94999999999999</v>
      </c>
      <c r="R73">
        <v>4215595</v>
      </c>
    </row>
    <row r="74" spans="1:18" x14ac:dyDescent="0.25">
      <c r="A74" s="170">
        <v>42110</v>
      </c>
      <c r="B74" s="116">
        <v>158.23305138996699</v>
      </c>
      <c r="C74" s="116">
        <v>157.146557279299</v>
      </c>
      <c r="D74" s="116">
        <v>154.18339152293299</v>
      </c>
      <c r="E74" s="116">
        <v>157.047785087421</v>
      </c>
      <c r="F74" s="116">
        <v>159.1</v>
      </c>
      <c r="G74">
        <v>251710</v>
      </c>
      <c r="H74" s="116"/>
      <c r="I74" s="116"/>
      <c r="L74" s="170">
        <v>42110</v>
      </c>
      <c r="M74" s="116">
        <v>157.344262830991</v>
      </c>
      <c r="N74" s="116">
        <v>158.28259961497901</v>
      </c>
      <c r="O74" s="116">
        <v>154.13416330681801</v>
      </c>
      <c r="P74" s="116">
        <v>156.94917365878501</v>
      </c>
      <c r="Q74" s="116">
        <v>159.30000000000001</v>
      </c>
      <c r="R74">
        <v>1373494</v>
      </c>
    </row>
    <row r="75" spans="1:18" x14ac:dyDescent="0.25">
      <c r="A75" s="170">
        <v>42111</v>
      </c>
      <c r="B75" s="116">
        <v>159.22077330875601</v>
      </c>
      <c r="C75" s="116">
        <v>155.46743001735899</v>
      </c>
      <c r="D75" s="116">
        <v>154.973569057964</v>
      </c>
      <c r="E75" s="116">
        <v>156.94901289554201</v>
      </c>
      <c r="F75" s="116">
        <v>157.4</v>
      </c>
      <c r="G75">
        <v>244999</v>
      </c>
      <c r="H75" s="116"/>
      <c r="I75" s="116"/>
      <c r="L75" s="170">
        <v>42111</v>
      </c>
      <c r="M75" s="116">
        <v>155.61574770259</v>
      </c>
      <c r="N75" s="116">
        <v>159.22093639896801</v>
      </c>
      <c r="O75" s="116">
        <v>155.07250009080701</v>
      </c>
      <c r="P75" s="116">
        <v>157.29487668446501</v>
      </c>
      <c r="Q75" s="116">
        <v>157.55000000000001</v>
      </c>
      <c r="R75">
        <v>1223180</v>
      </c>
    </row>
    <row r="76" spans="1:18" x14ac:dyDescent="0.25">
      <c r="A76" s="170">
        <v>42114</v>
      </c>
      <c r="B76" s="116">
        <v>156.010677072692</v>
      </c>
      <c r="C76" s="116">
        <v>151.22022576656701</v>
      </c>
      <c r="D76" s="116">
        <v>149.44232631274701</v>
      </c>
      <c r="E76" s="116">
        <v>155.56620220923699</v>
      </c>
      <c r="F76" s="116">
        <v>153.1</v>
      </c>
      <c r="G76">
        <v>190097</v>
      </c>
      <c r="H76" s="116"/>
      <c r="I76" s="116"/>
      <c r="L76" s="170">
        <v>42114</v>
      </c>
      <c r="M76" s="116">
        <v>151.368539101377</v>
      </c>
      <c r="N76" s="116">
        <v>155.81329228869299</v>
      </c>
      <c r="O76" s="116">
        <v>149.34370709382199</v>
      </c>
      <c r="P76" s="116">
        <v>155.36881696996099</v>
      </c>
      <c r="Q76" s="116">
        <v>153.25</v>
      </c>
      <c r="R76">
        <v>1753170</v>
      </c>
    </row>
    <row r="77" spans="1:18" x14ac:dyDescent="0.25">
      <c r="A77" s="170">
        <v>42115</v>
      </c>
      <c r="B77" s="116">
        <v>152.60303645287101</v>
      </c>
      <c r="C77" s="116">
        <v>148.25706001020001</v>
      </c>
      <c r="D77" s="116">
        <v>148.01012953050301</v>
      </c>
      <c r="E77" s="116">
        <v>149.68925679244401</v>
      </c>
      <c r="F77" s="116">
        <v>150.1</v>
      </c>
      <c r="G77">
        <v>306992</v>
      </c>
      <c r="H77" s="116"/>
      <c r="I77" s="116"/>
      <c r="L77" s="170">
        <v>42115</v>
      </c>
      <c r="M77" s="116">
        <v>148.355984163307</v>
      </c>
      <c r="N77" s="116">
        <v>152.75135120409701</v>
      </c>
      <c r="O77" s="116">
        <v>147.81273655152401</v>
      </c>
      <c r="P77" s="116">
        <v>151.02283607569601</v>
      </c>
      <c r="Q77" s="116">
        <v>150.19999999999999</v>
      </c>
      <c r="R77">
        <v>3096387</v>
      </c>
    </row>
    <row r="78" spans="1:18" x14ac:dyDescent="0.25">
      <c r="A78" s="170">
        <v>42116</v>
      </c>
      <c r="B78" s="116">
        <v>149.83741508026199</v>
      </c>
      <c r="C78" s="116">
        <v>148.108901722382</v>
      </c>
      <c r="D78" s="116">
        <v>144.404944526924</v>
      </c>
      <c r="E78" s="116">
        <v>148.997851449292</v>
      </c>
      <c r="F78" s="116">
        <v>149.94999999999999</v>
      </c>
      <c r="G78">
        <v>372532</v>
      </c>
      <c r="H78" s="116"/>
      <c r="I78" s="116"/>
      <c r="L78" s="170">
        <v>42116</v>
      </c>
      <c r="M78" s="116">
        <v>147.81273655152401</v>
      </c>
      <c r="N78" s="116">
        <v>149.88695470560501</v>
      </c>
      <c r="O78" s="116">
        <v>144.05938941556801</v>
      </c>
      <c r="P78" s="116">
        <v>149.04739021466699</v>
      </c>
      <c r="Q78" s="116">
        <v>149.65</v>
      </c>
      <c r="R78">
        <v>2719219</v>
      </c>
    </row>
    <row r="79" spans="1:18" x14ac:dyDescent="0.25">
      <c r="A79" s="170">
        <v>42117</v>
      </c>
      <c r="B79" s="116">
        <v>150.67697871123301</v>
      </c>
      <c r="C79" s="116">
        <v>148.40521829801901</v>
      </c>
      <c r="D79" s="116">
        <v>148.15828781832101</v>
      </c>
      <c r="E79" s="116">
        <v>149.14600973711001</v>
      </c>
      <c r="F79" s="116">
        <v>150.25</v>
      </c>
      <c r="G79">
        <v>271849</v>
      </c>
      <c r="H79" s="116"/>
      <c r="I79" s="116"/>
      <c r="L79" s="170">
        <v>42117</v>
      </c>
      <c r="M79" s="116">
        <v>148.355984163307</v>
      </c>
      <c r="N79" s="116">
        <v>150.62774690349099</v>
      </c>
      <c r="O79" s="116">
        <v>148.059667284152</v>
      </c>
      <c r="P79" s="116">
        <v>149.146162507719</v>
      </c>
      <c r="Q79" s="116">
        <v>150.19999999999999</v>
      </c>
      <c r="R79">
        <v>2312755</v>
      </c>
    </row>
    <row r="80" spans="1:18" x14ac:dyDescent="0.25">
      <c r="A80" s="170">
        <v>42118</v>
      </c>
      <c r="B80" s="116">
        <v>148.50399048989701</v>
      </c>
      <c r="C80" s="116">
        <v>145.63959692540999</v>
      </c>
      <c r="D80" s="116">
        <v>144.35555843098399</v>
      </c>
      <c r="E80" s="116">
        <v>148.50399048989701</v>
      </c>
      <c r="F80" s="116">
        <v>147.44999999999999</v>
      </c>
      <c r="G80">
        <v>216844</v>
      </c>
      <c r="H80" s="116"/>
      <c r="I80" s="116"/>
      <c r="L80" s="170">
        <v>42118</v>
      </c>
      <c r="M80" s="116">
        <v>145.44220151828799</v>
      </c>
      <c r="N80" s="116">
        <v>148.80045948203801</v>
      </c>
      <c r="O80" s="116">
        <v>144.405092441248</v>
      </c>
      <c r="P80" s="116">
        <v>148.80045948203801</v>
      </c>
      <c r="Q80" s="116">
        <v>147.25</v>
      </c>
      <c r="R80">
        <v>1179218</v>
      </c>
    </row>
    <row r="81" spans="1:18" x14ac:dyDescent="0.25">
      <c r="A81" s="170">
        <v>42121</v>
      </c>
      <c r="B81" s="116">
        <v>146.182843980744</v>
      </c>
      <c r="C81" s="116">
        <v>140.25651246801101</v>
      </c>
      <c r="D81" s="116">
        <v>139.76265150861599</v>
      </c>
      <c r="E81" s="116">
        <v>146.034685692925</v>
      </c>
      <c r="F81" s="116">
        <v>142</v>
      </c>
      <c r="G81">
        <v>480494</v>
      </c>
      <c r="H81" s="116"/>
      <c r="I81" s="116"/>
      <c r="L81" s="170">
        <v>42121</v>
      </c>
      <c r="M81" s="116">
        <v>140.40481457266401</v>
      </c>
      <c r="N81" s="116">
        <v>146.33115215575199</v>
      </c>
      <c r="O81" s="116">
        <v>139.664022374778</v>
      </c>
      <c r="P81" s="116">
        <v>145.837290690494</v>
      </c>
      <c r="Q81" s="116">
        <v>142.15</v>
      </c>
      <c r="R81">
        <v>3007045</v>
      </c>
    </row>
    <row r="82" spans="1:18" x14ac:dyDescent="0.25">
      <c r="A82" s="170">
        <v>42122</v>
      </c>
      <c r="B82" s="116">
        <v>142.57765897716499</v>
      </c>
      <c r="C82" s="116">
        <v>140.602215139587</v>
      </c>
      <c r="D82" s="116">
        <v>139.565107124859</v>
      </c>
      <c r="E82" s="116">
        <v>140.75037342740501</v>
      </c>
      <c r="F82" s="116">
        <v>142.35</v>
      </c>
      <c r="G82">
        <v>334420</v>
      </c>
      <c r="H82" s="116"/>
      <c r="I82" s="116"/>
      <c r="L82" s="170">
        <v>42122</v>
      </c>
      <c r="M82" s="116">
        <v>140.20726998656099</v>
      </c>
      <c r="N82" s="116">
        <v>142.380260433693</v>
      </c>
      <c r="O82" s="116">
        <v>139.26893320257199</v>
      </c>
      <c r="P82" s="116">
        <v>139.86156696088</v>
      </c>
      <c r="Q82" s="116">
        <v>141.94999999999999</v>
      </c>
      <c r="R82">
        <v>3701269</v>
      </c>
    </row>
    <row r="83" spans="1:18" x14ac:dyDescent="0.25">
      <c r="A83" s="170">
        <v>42123</v>
      </c>
      <c r="B83" s="116">
        <v>141.58993705837599</v>
      </c>
      <c r="C83" s="116">
        <v>140.65160123552599</v>
      </c>
      <c r="D83" s="116">
        <v>139.86142370049501</v>
      </c>
      <c r="E83" s="116">
        <v>140.65160123552599</v>
      </c>
      <c r="F83" s="116">
        <v>142.4</v>
      </c>
      <c r="G83">
        <v>265138</v>
      </c>
      <c r="H83" s="116"/>
      <c r="I83" s="116"/>
      <c r="L83" s="170">
        <v>42123</v>
      </c>
      <c r="M83" s="116">
        <v>140.799903744869</v>
      </c>
      <c r="N83" s="116">
        <v>141.590082089281</v>
      </c>
      <c r="O83" s="116">
        <v>139.76279466782901</v>
      </c>
      <c r="P83" s="116">
        <v>140.50358686571499</v>
      </c>
      <c r="Q83" s="116">
        <v>142.55000000000001</v>
      </c>
      <c r="R83">
        <v>1836583</v>
      </c>
    </row>
    <row r="84" spans="1:18" x14ac:dyDescent="0.25">
      <c r="A84" s="170">
        <v>42124</v>
      </c>
      <c r="B84" s="116">
        <v>141.19484829085999</v>
      </c>
      <c r="C84" s="116">
        <v>140.40467075582899</v>
      </c>
      <c r="D84" s="116">
        <v>138.77492958982799</v>
      </c>
      <c r="E84" s="116">
        <v>140.25651246801101</v>
      </c>
      <c r="F84" s="116">
        <v>142.15</v>
      </c>
      <c r="G84">
        <v>236799</v>
      </c>
      <c r="H84" s="116"/>
      <c r="I84" s="116"/>
      <c r="L84" s="170">
        <v>42124</v>
      </c>
      <c r="M84" s="116">
        <v>140.35542842613799</v>
      </c>
      <c r="N84" s="116">
        <v>141.392537503178</v>
      </c>
      <c r="O84" s="116">
        <v>138.67629944426301</v>
      </c>
      <c r="P84" s="116">
        <v>140.50358686571499</v>
      </c>
      <c r="Q84" s="116">
        <v>142.1</v>
      </c>
      <c r="R84">
        <v>2456804</v>
      </c>
    </row>
    <row r="85" spans="1:18" x14ac:dyDescent="0.25">
      <c r="A85" s="170">
        <v>42128</v>
      </c>
      <c r="B85" s="116">
        <v>143.36783651219599</v>
      </c>
      <c r="C85" s="116">
        <v>141.83686753807299</v>
      </c>
      <c r="D85" s="116">
        <v>141.04669000304199</v>
      </c>
      <c r="E85" s="116">
        <v>143.02213384062</v>
      </c>
      <c r="F85" s="116">
        <v>143.6</v>
      </c>
      <c r="G85">
        <v>235658</v>
      </c>
      <c r="H85" s="116"/>
      <c r="I85" s="116"/>
      <c r="L85" s="170">
        <v>42128</v>
      </c>
      <c r="M85" s="116">
        <v>141.78762667538399</v>
      </c>
      <c r="N85" s="116">
        <v>143.121052631579</v>
      </c>
      <c r="O85" s="116">
        <v>140.799903744869</v>
      </c>
      <c r="P85" s="116">
        <v>141.63946823580699</v>
      </c>
      <c r="Q85" s="116">
        <v>143.55000000000001</v>
      </c>
      <c r="R85">
        <v>1103984</v>
      </c>
    </row>
    <row r="86" spans="1:18" x14ac:dyDescent="0.25">
      <c r="A86" s="170">
        <v>42129</v>
      </c>
      <c r="B86" s="116">
        <v>143.81231137565101</v>
      </c>
      <c r="C86" s="116">
        <v>142.52827288122501</v>
      </c>
      <c r="D86" s="116">
        <v>141.78748144213401</v>
      </c>
      <c r="E86" s="116">
        <v>142.231956305588</v>
      </c>
      <c r="F86" s="116">
        <v>144.30000000000001</v>
      </c>
      <c r="G86">
        <v>296601</v>
      </c>
      <c r="H86" s="116"/>
      <c r="I86" s="116"/>
      <c r="L86" s="170">
        <v>42129</v>
      </c>
      <c r="M86" s="116">
        <v>142.77534960589901</v>
      </c>
      <c r="N86" s="116">
        <v>144.108775562094</v>
      </c>
      <c r="O86" s="116">
        <v>141.738240528858</v>
      </c>
      <c r="P86" s="116">
        <v>142.08394355453899</v>
      </c>
      <c r="Q86" s="116">
        <v>144.55000000000001</v>
      </c>
      <c r="R86">
        <v>1785800</v>
      </c>
    </row>
    <row r="87" spans="1:18" x14ac:dyDescent="0.25">
      <c r="A87" s="170">
        <v>42130</v>
      </c>
      <c r="B87" s="116">
        <v>143.07151993655901</v>
      </c>
      <c r="C87" s="116">
        <v>138.08352424667501</v>
      </c>
      <c r="D87" s="116">
        <v>137.29334671164401</v>
      </c>
      <c r="E87" s="116">
        <v>142.231956305588</v>
      </c>
      <c r="F87" s="116">
        <v>139.80000000000001</v>
      </c>
      <c r="G87">
        <v>831037</v>
      </c>
      <c r="H87" s="116"/>
      <c r="I87" s="116"/>
      <c r="L87" s="170">
        <v>42130</v>
      </c>
      <c r="M87" s="116">
        <v>138.083665685954</v>
      </c>
      <c r="N87" s="116">
        <v>143.17043877810499</v>
      </c>
      <c r="O87" s="116">
        <v>137.04655660891399</v>
      </c>
      <c r="P87" s="116">
        <v>142.47903272674401</v>
      </c>
      <c r="Q87" s="116">
        <v>139.80000000000001</v>
      </c>
      <c r="R87">
        <v>2281538</v>
      </c>
    </row>
    <row r="88" spans="1:18" x14ac:dyDescent="0.25">
      <c r="A88" s="170">
        <v>42131</v>
      </c>
      <c r="B88" s="116">
        <v>138.97247397358501</v>
      </c>
      <c r="C88" s="116">
        <v>136.20685260097699</v>
      </c>
      <c r="D88" s="116">
        <v>135.07097239436999</v>
      </c>
      <c r="E88" s="116">
        <v>138.281068630433</v>
      </c>
      <c r="F88" s="116">
        <v>137.9</v>
      </c>
      <c r="G88">
        <v>242667</v>
      </c>
      <c r="H88" s="116"/>
      <c r="I88" s="116"/>
      <c r="L88" s="170">
        <v>42131</v>
      </c>
      <c r="M88" s="116">
        <v>136.058833678399</v>
      </c>
      <c r="N88" s="116">
        <v>138.725685590789</v>
      </c>
      <c r="O88" s="116">
        <v>134.922952308307</v>
      </c>
      <c r="P88" s="116">
        <v>137.293487341542</v>
      </c>
      <c r="Q88" s="116">
        <v>137.75</v>
      </c>
      <c r="R88">
        <v>2366296</v>
      </c>
    </row>
    <row r="89" spans="1:18" x14ac:dyDescent="0.25">
      <c r="A89" s="170">
        <v>42132</v>
      </c>
      <c r="B89" s="116">
        <v>140.058968084253</v>
      </c>
      <c r="C89" s="116">
        <v>139.36756274110101</v>
      </c>
      <c r="D89" s="116">
        <v>136.79948575225001</v>
      </c>
      <c r="E89" s="116">
        <v>136.79948575225001</v>
      </c>
      <c r="F89" s="116">
        <v>141.1</v>
      </c>
      <c r="G89">
        <v>139669</v>
      </c>
      <c r="H89" s="116"/>
      <c r="I89" s="116"/>
      <c r="L89" s="170">
        <v>42132</v>
      </c>
      <c r="M89" s="116">
        <v>139.31831934909701</v>
      </c>
      <c r="N89" s="116">
        <v>140.10849769350901</v>
      </c>
      <c r="O89" s="116">
        <v>136.60208129018201</v>
      </c>
      <c r="P89" s="116">
        <v>137.293487341542</v>
      </c>
      <c r="Q89" s="116">
        <v>141.05000000000001</v>
      </c>
      <c r="R89">
        <v>1572681</v>
      </c>
    </row>
    <row r="90" spans="1:18" x14ac:dyDescent="0.25">
      <c r="A90" s="170">
        <v>42135</v>
      </c>
      <c r="B90" s="116">
        <v>142.231956305588</v>
      </c>
      <c r="C90" s="116">
        <v>141.63932315431501</v>
      </c>
      <c r="D90" s="116">
        <v>139.071246165464</v>
      </c>
      <c r="E90" s="116">
        <v>140.25651246801101</v>
      </c>
      <c r="F90" s="116">
        <v>143.4</v>
      </c>
      <c r="G90">
        <v>468360</v>
      </c>
      <c r="H90" s="116"/>
      <c r="I90" s="116"/>
      <c r="L90" s="170">
        <v>42135</v>
      </c>
      <c r="M90" s="116">
        <v>141.590082089281</v>
      </c>
      <c r="N90" s="116">
        <v>142.13332970106401</v>
      </c>
      <c r="O90" s="116">
        <v>138.82445788384001</v>
      </c>
      <c r="P90" s="116">
        <v>139.664022374778</v>
      </c>
      <c r="Q90" s="116">
        <v>143.35</v>
      </c>
      <c r="R90">
        <v>2341680</v>
      </c>
    </row>
    <row r="91" spans="1:18" x14ac:dyDescent="0.25">
      <c r="A91" s="170">
        <v>42136</v>
      </c>
      <c r="B91" s="116">
        <v>143.31845041625601</v>
      </c>
      <c r="C91" s="116">
        <v>141.096076098981</v>
      </c>
      <c r="D91" s="116">
        <v>137.787207671039</v>
      </c>
      <c r="E91" s="116">
        <v>141.68870925025499</v>
      </c>
      <c r="F91" s="116">
        <v>142.85</v>
      </c>
      <c r="G91">
        <v>429533</v>
      </c>
      <c r="H91" s="116"/>
      <c r="I91" s="116"/>
      <c r="L91" s="170">
        <v>42136</v>
      </c>
      <c r="M91" s="116">
        <v>141.096220624024</v>
      </c>
      <c r="N91" s="116">
        <v>143.71368638988801</v>
      </c>
      <c r="O91" s="116">
        <v>137.68857651374799</v>
      </c>
      <c r="P91" s="116">
        <v>141.54069594275501</v>
      </c>
      <c r="Q91" s="116">
        <v>142.85</v>
      </c>
      <c r="R91">
        <v>3019872</v>
      </c>
    </row>
    <row r="92" spans="1:18" x14ac:dyDescent="0.25">
      <c r="A92" s="170">
        <v>42137</v>
      </c>
      <c r="B92" s="116">
        <v>144.158014047227</v>
      </c>
      <c r="C92" s="116">
        <v>142.72581726498299</v>
      </c>
      <c r="D92" s="116">
        <v>139.318176645161</v>
      </c>
      <c r="E92" s="116">
        <v>139.318176645161</v>
      </c>
      <c r="F92" s="116">
        <v>144.5</v>
      </c>
      <c r="G92">
        <v>318336</v>
      </c>
      <c r="H92" s="116"/>
      <c r="I92" s="116"/>
      <c r="L92" s="170">
        <v>42137</v>
      </c>
      <c r="M92" s="116">
        <v>142.77534960589901</v>
      </c>
      <c r="N92" s="116">
        <v>144.108775562094</v>
      </c>
      <c r="O92" s="116">
        <v>141.29376521012699</v>
      </c>
      <c r="P92" s="116">
        <v>141.392537503178</v>
      </c>
      <c r="Q92" s="116">
        <v>144.55000000000001</v>
      </c>
      <c r="R92">
        <v>2227212</v>
      </c>
    </row>
    <row r="93" spans="1:18" x14ac:dyDescent="0.25">
      <c r="A93" s="170">
        <v>42138</v>
      </c>
      <c r="B93" s="116">
        <v>144.898805486318</v>
      </c>
      <c r="C93" s="116">
        <v>144.30617233504501</v>
      </c>
      <c r="D93" s="116">
        <v>142.03441192183101</v>
      </c>
      <c r="E93" s="116">
        <v>142.72581726498299</v>
      </c>
      <c r="F93" s="116">
        <v>146.1</v>
      </c>
      <c r="G93">
        <v>178529</v>
      </c>
      <c r="H93" s="116"/>
      <c r="I93" s="116"/>
      <c r="L93" s="170">
        <v>42138</v>
      </c>
      <c r="M93" s="116">
        <v>144.50386473430001</v>
      </c>
      <c r="N93" s="116">
        <v>145.09649849260799</v>
      </c>
      <c r="O93" s="116">
        <v>141.886398968436</v>
      </c>
      <c r="P93" s="116">
        <v>143.26921107115601</v>
      </c>
      <c r="Q93" s="116">
        <v>146.30000000000001</v>
      </c>
      <c r="R93">
        <v>1373721</v>
      </c>
    </row>
    <row r="94" spans="1:18" x14ac:dyDescent="0.25">
      <c r="A94" s="170">
        <v>42139</v>
      </c>
      <c r="B94" s="116">
        <v>146.084071788865</v>
      </c>
      <c r="C94" s="116">
        <v>145.046963774137</v>
      </c>
      <c r="D94" s="116">
        <v>143.71353918377201</v>
      </c>
      <c r="E94" s="116">
        <v>144.70126110256001</v>
      </c>
      <c r="F94" s="116">
        <v>146.85</v>
      </c>
      <c r="G94">
        <v>261868</v>
      </c>
      <c r="H94" s="116"/>
      <c r="I94" s="116"/>
      <c r="L94" s="170">
        <v>42139</v>
      </c>
      <c r="M94" s="116">
        <v>145.59035995786601</v>
      </c>
      <c r="N94" s="116">
        <v>146.67685518143199</v>
      </c>
      <c r="O94" s="116">
        <v>143.66430024336199</v>
      </c>
      <c r="P94" s="116">
        <v>145.047112346083</v>
      </c>
      <c r="Q94" s="116">
        <v>147.4</v>
      </c>
      <c r="R94">
        <v>2232739</v>
      </c>
    </row>
    <row r="95" spans="1:18" x14ac:dyDescent="0.25">
      <c r="A95" s="170">
        <v>42142</v>
      </c>
      <c r="B95" s="116">
        <v>148.40521829801901</v>
      </c>
      <c r="C95" s="116">
        <v>146.084071788865</v>
      </c>
      <c r="D95" s="116">
        <v>144.948191582258</v>
      </c>
      <c r="E95" s="116">
        <v>144.948191582258</v>
      </c>
      <c r="F95" s="116">
        <v>147.9</v>
      </c>
      <c r="G95">
        <v>215855</v>
      </c>
      <c r="H95" s="116"/>
      <c r="I95" s="116"/>
      <c r="L95" s="170">
        <v>42142</v>
      </c>
      <c r="M95" s="116">
        <v>146.133607569649</v>
      </c>
      <c r="N95" s="116">
        <v>148.60291489593499</v>
      </c>
      <c r="O95" s="116">
        <v>145.837290690494</v>
      </c>
      <c r="P95" s="116">
        <v>145.93606298354601</v>
      </c>
      <c r="Q95" s="116">
        <v>147.94999999999999</v>
      </c>
      <c r="R95">
        <v>1497623</v>
      </c>
    </row>
    <row r="96" spans="1:18" x14ac:dyDescent="0.25">
      <c r="A96" s="170">
        <v>42143</v>
      </c>
      <c r="B96" s="116">
        <v>147.26933809141099</v>
      </c>
      <c r="C96" s="116">
        <v>145.688983021349</v>
      </c>
      <c r="D96" s="116">
        <v>145.34328034977301</v>
      </c>
      <c r="E96" s="116">
        <v>146.182843980744</v>
      </c>
      <c r="F96" s="116">
        <v>147.5</v>
      </c>
      <c r="G96">
        <v>447576</v>
      </c>
      <c r="H96" s="116"/>
      <c r="I96" s="116"/>
      <c r="L96" s="170">
        <v>42143</v>
      </c>
      <c r="M96" s="116">
        <v>145.73851839744299</v>
      </c>
      <c r="N96" s="116">
        <v>147.417647379318</v>
      </c>
      <c r="O96" s="116">
        <v>144.99772619955701</v>
      </c>
      <c r="P96" s="116">
        <v>145.985449130072</v>
      </c>
      <c r="Q96" s="116">
        <v>147.55000000000001</v>
      </c>
      <c r="R96">
        <v>1138811</v>
      </c>
    </row>
    <row r="97" spans="1:18" x14ac:dyDescent="0.25">
      <c r="A97" s="170">
        <v>42144</v>
      </c>
      <c r="B97" s="116">
        <v>147.02240761171399</v>
      </c>
      <c r="C97" s="116">
        <v>144.05924185534801</v>
      </c>
      <c r="D97" s="116">
        <v>143.02213384062</v>
      </c>
      <c r="E97" s="116">
        <v>145.837141309168</v>
      </c>
      <c r="F97" s="116">
        <v>145.85</v>
      </c>
      <c r="G97">
        <v>158991</v>
      </c>
      <c r="H97" s="116"/>
      <c r="I97" s="116"/>
      <c r="L97" s="170">
        <v>42144</v>
      </c>
      <c r="M97" s="116">
        <v>144.15816170861899</v>
      </c>
      <c r="N97" s="116">
        <v>146.923785914061</v>
      </c>
      <c r="O97" s="116">
        <v>142.77534960589901</v>
      </c>
      <c r="P97" s="116">
        <v>145.63974610439101</v>
      </c>
      <c r="Q97" s="116">
        <v>145.94999999999999</v>
      </c>
      <c r="R97">
        <v>1648427</v>
      </c>
    </row>
    <row r="98" spans="1:18" x14ac:dyDescent="0.25">
      <c r="A98" s="170">
        <v>42145</v>
      </c>
      <c r="B98" s="116">
        <v>145.49143863759201</v>
      </c>
      <c r="C98" s="116">
        <v>144.50371671880299</v>
      </c>
      <c r="D98" s="116">
        <v>143.41722260813501</v>
      </c>
      <c r="E98" s="116">
        <v>144.20740014316601</v>
      </c>
      <c r="F98" s="116">
        <v>146.30000000000001</v>
      </c>
      <c r="G98">
        <v>106932</v>
      </c>
      <c r="H98" s="116"/>
      <c r="I98" s="116"/>
      <c r="L98" s="170">
        <v>42145</v>
      </c>
      <c r="M98" s="116">
        <v>144.84956775998</v>
      </c>
      <c r="N98" s="116">
        <v>145.689132250917</v>
      </c>
      <c r="O98" s="116">
        <v>143.26921107115601</v>
      </c>
      <c r="P98" s="116">
        <v>144.35570629472201</v>
      </c>
      <c r="Q98" s="116">
        <v>146.65</v>
      </c>
      <c r="R98">
        <v>702795</v>
      </c>
    </row>
    <row r="99" spans="1:18" x14ac:dyDescent="0.25">
      <c r="A99" s="170">
        <v>42146</v>
      </c>
      <c r="B99" s="116">
        <v>147.071793707654</v>
      </c>
      <c r="C99" s="116">
        <v>145.88652740510699</v>
      </c>
      <c r="D99" s="116">
        <v>144.70126110256001</v>
      </c>
      <c r="E99" s="116">
        <v>145.195122061955</v>
      </c>
      <c r="F99" s="116">
        <v>147.69999999999999</v>
      </c>
      <c r="G99">
        <v>124983</v>
      </c>
      <c r="H99" s="116"/>
      <c r="I99" s="116"/>
      <c r="L99" s="170">
        <v>42146</v>
      </c>
      <c r="M99" s="116">
        <v>146.133607569649</v>
      </c>
      <c r="N99" s="116">
        <v>147.31887508626599</v>
      </c>
      <c r="O99" s="116">
        <v>144.750795466928</v>
      </c>
      <c r="P99" s="116">
        <v>145.19527078566</v>
      </c>
      <c r="Q99" s="116">
        <v>147.94999999999999</v>
      </c>
      <c r="R99">
        <v>1010894</v>
      </c>
    </row>
    <row r="100" spans="1:18" x14ac:dyDescent="0.25">
      <c r="A100" s="170">
        <v>42149</v>
      </c>
      <c r="B100" s="116">
        <v>147.713812954866</v>
      </c>
      <c r="C100" s="116">
        <v>145.442052541652</v>
      </c>
      <c r="D100" s="116">
        <v>145.145735966015</v>
      </c>
      <c r="E100" s="116">
        <v>145.540824733531</v>
      </c>
      <c r="F100" s="116">
        <v>147.25</v>
      </c>
      <c r="G100">
        <v>143436</v>
      </c>
      <c r="H100" s="116"/>
      <c r="I100" s="116"/>
      <c r="L100" s="170">
        <v>42149</v>
      </c>
      <c r="M100" s="116">
        <v>145.63974610439101</v>
      </c>
      <c r="N100" s="116">
        <v>147.61519196542099</v>
      </c>
      <c r="O100" s="116">
        <v>144.94834005303099</v>
      </c>
      <c r="P100" s="116">
        <v>145.689132250917</v>
      </c>
      <c r="Q100" s="116">
        <v>147.44999999999999</v>
      </c>
      <c r="R100">
        <v>872187</v>
      </c>
    </row>
    <row r="101" spans="1:18" x14ac:dyDescent="0.25">
      <c r="A101" s="170">
        <v>42150</v>
      </c>
      <c r="B101" s="116">
        <v>147.61504076298701</v>
      </c>
      <c r="C101" s="116">
        <v>146.77547713201699</v>
      </c>
      <c r="D101" s="116">
        <v>145.09634987007601</v>
      </c>
      <c r="E101" s="116">
        <v>145.09634987007601</v>
      </c>
      <c r="F101" s="116">
        <v>148.6</v>
      </c>
      <c r="G101">
        <v>166385</v>
      </c>
      <c r="H101" s="116"/>
      <c r="I101" s="116"/>
      <c r="L101" s="170">
        <v>42150</v>
      </c>
      <c r="M101" s="116">
        <v>146.97317206058599</v>
      </c>
      <c r="N101" s="116">
        <v>147.86212269804901</v>
      </c>
      <c r="O101" s="116">
        <v>144.99772619955701</v>
      </c>
      <c r="P101" s="116">
        <v>144.99772619955701</v>
      </c>
      <c r="Q101" s="116">
        <v>148.80000000000001</v>
      </c>
      <c r="R101">
        <v>1118631</v>
      </c>
    </row>
    <row r="102" spans="1:18" x14ac:dyDescent="0.25">
      <c r="A102" s="170">
        <v>42151</v>
      </c>
      <c r="B102" s="116">
        <v>148.15828781832101</v>
      </c>
      <c r="C102" s="116">
        <v>146.92363541983499</v>
      </c>
      <c r="D102" s="116">
        <v>145.688983021349</v>
      </c>
      <c r="E102" s="116">
        <v>145.88652740510699</v>
      </c>
      <c r="F102" s="116">
        <v>148.75</v>
      </c>
      <c r="G102">
        <v>138784</v>
      </c>
      <c r="H102" s="116"/>
      <c r="I102" s="116"/>
      <c r="L102" s="170">
        <v>42151</v>
      </c>
      <c r="M102" s="116">
        <v>146.87439976753501</v>
      </c>
      <c r="N102" s="116">
        <v>148.15843957720401</v>
      </c>
      <c r="O102" s="116">
        <v>145.59035995786601</v>
      </c>
      <c r="P102" s="116">
        <v>145.59035995786601</v>
      </c>
      <c r="Q102" s="116">
        <v>148.69999999999999</v>
      </c>
      <c r="R102">
        <v>909189</v>
      </c>
    </row>
    <row r="103" spans="1:18" x14ac:dyDescent="0.25">
      <c r="A103" s="170">
        <v>42152</v>
      </c>
      <c r="B103" s="116">
        <v>148.55337658583699</v>
      </c>
      <c r="C103" s="116">
        <v>143.120906032498</v>
      </c>
      <c r="D103" s="116">
        <v>141.2442343868</v>
      </c>
      <c r="E103" s="116">
        <v>147.02240761171399</v>
      </c>
      <c r="F103" s="116">
        <v>144.9</v>
      </c>
      <c r="G103">
        <v>534451</v>
      </c>
      <c r="H103" s="116"/>
      <c r="I103" s="116"/>
      <c r="L103" s="170">
        <v>42152</v>
      </c>
      <c r="M103" s="116">
        <v>143.121052631579</v>
      </c>
      <c r="N103" s="116">
        <v>148.45475645635801</v>
      </c>
      <c r="O103" s="116">
        <v>141.244379063601</v>
      </c>
      <c r="P103" s="116">
        <v>147.565805818895</v>
      </c>
      <c r="Q103" s="116">
        <v>144.9</v>
      </c>
      <c r="R103">
        <v>5132085</v>
      </c>
    </row>
    <row r="104" spans="1:18" x14ac:dyDescent="0.25">
      <c r="A104" s="170">
        <v>42153</v>
      </c>
      <c r="B104" s="116">
        <v>144.898805486318</v>
      </c>
      <c r="C104" s="116">
        <v>144.404944526924</v>
      </c>
      <c r="D104" s="116">
        <v>141.343006578679</v>
      </c>
      <c r="E104" s="116">
        <v>142.231956305588</v>
      </c>
      <c r="F104" s="116">
        <v>146.19999999999999</v>
      </c>
      <c r="G104">
        <v>171940</v>
      </c>
      <c r="H104" s="116"/>
      <c r="I104" s="116"/>
      <c r="L104" s="170">
        <v>42153</v>
      </c>
      <c r="M104" s="116">
        <v>144.45447858777399</v>
      </c>
      <c r="N104" s="116">
        <v>144.84956775998</v>
      </c>
      <c r="O104" s="116">
        <v>141.29376521012699</v>
      </c>
      <c r="P104" s="116">
        <v>141.29376521012699</v>
      </c>
      <c r="Q104" s="116">
        <v>146.25</v>
      </c>
      <c r="R104">
        <v>1343454</v>
      </c>
    </row>
    <row r="105" spans="1:18" x14ac:dyDescent="0.25">
      <c r="A105" s="170">
        <v>42156</v>
      </c>
      <c r="B105" s="116">
        <v>144.45433062286301</v>
      </c>
      <c r="C105" s="116">
        <v>143.269064320317</v>
      </c>
      <c r="D105" s="116">
        <v>143.02213384062</v>
      </c>
      <c r="E105" s="116">
        <v>143.911083567529</v>
      </c>
      <c r="F105" s="116">
        <v>145.05000000000001</v>
      </c>
      <c r="G105">
        <v>120932</v>
      </c>
      <c r="H105" s="116"/>
      <c r="I105" s="116"/>
      <c r="L105" s="170">
        <v>42156</v>
      </c>
      <c r="M105" s="116">
        <v>143.36798336420799</v>
      </c>
      <c r="N105" s="116">
        <v>144.60263702735099</v>
      </c>
      <c r="O105" s="116">
        <v>143.022280338527</v>
      </c>
      <c r="P105" s="116">
        <v>143.51614180378499</v>
      </c>
      <c r="Q105" s="116">
        <v>145.15</v>
      </c>
      <c r="R105">
        <v>569531</v>
      </c>
    </row>
    <row r="106" spans="1:18" x14ac:dyDescent="0.25">
      <c r="A106" s="170">
        <v>42157</v>
      </c>
      <c r="B106" s="116">
        <v>144.20740014316601</v>
      </c>
      <c r="C106" s="116">
        <v>138.87370178170701</v>
      </c>
      <c r="D106" s="116">
        <v>138.281068630433</v>
      </c>
      <c r="E106" s="116">
        <v>144.20740014316601</v>
      </c>
      <c r="F106" s="116">
        <v>140.6</v>
      </c>
      <c r="G106">
        <v>269453</v>
      </c>
      <c r="H106" s="116"/>
      <c r="I106" s="116"/>
      <c r="L106" s="170">
        <v>42157</v>
      </c>
      <c r="M106" s="116">
        <v>139.07138861646899</v>
      </c>
      <c r="N106" s="116">
        <v>143.960617122516</v>
      </c>
      <c r="O106" s="116">
        <v>138.281210272057</v>
      </c>
      <c r="P106" s="116">
        <v>143.21982492462999</v>
      </c>
      <c r="Q106" s="116">
        <v>140.80000000000001</v>
      </c>
      <c r="R106">
        <v>2077218</v>
      </c>
    </row>
    <row r="107" spans="1:18" x14ac:dyDescent="0.25">
      <c r="A107" s="170">
        <v>42158</v>
      </c>
      <c r="B107" s="116">
        <v>139.36756274110101</v>
      </c>
      <c r="C107" s="116">
        <v>135.26851677812701</v>
      </c>
      <c r="D107" s="116">
        <v>134.92281410655099</v>
      </c>
      <c r="E107" s="116">
        <v>139.170018357343</v>
      </c>
      <c r="F107" s="116">
        <v>136.94999999999999</v>
      </c>
      <c r="G107">
        <v>273223</v>
      </c>
      <c r="H107" s="116"/>
      <c r="I107" s="116"/>
      <c r="L107" s="170">
        <v>42158</v>
      </c>
      <c r="M107" s="116">
        <v>135.66374450619301</v>
      </c>
      <c r="N107" s="116">
        <v>139.46647778867501</v>
      </c>
      <c r="O107" s="116">
        <v>134.82418001525599</v>
      </c>
      <c r="P107" s="116">
        <v>138.873844030366</v>
      </c>
      <c r="Q107" s="116">
        <v>137.35</v>
      </c>
      <c r="R107">
        <v>2271136</v>
      </c>
    </row>
    <row r="108" spans="1:18" x14ac:dyDescent="0.25">
      <c r="A108" s="170">
        <v>42159</v>
      </c>
      <c r="B108" s="116">
        <v>136.79948575225001</v>
      </c>
      <c r="C108" s="116">
        <v>136.20685260097699</v>
      </c>
      <c r="D108" s="116">
        <v>134.330180955278</v>
      </c>
      <c r="E108" s="116">
        <v>135.66360554564301</v>
      </c>
      <c r="F108" s="116">
        <v>137.9</v>
      </c>
      <c r="G108">
        <v>335991</v>
      </c>
      <c r="H108" s="116"/>
      <c r="I108" s="116"/>
      <c r="L108" s="170">
        <v>42159</v>
      </c>
      <c r="M108" s="116">
        <v>136.058833678399</v>
      </c>
      <c r="N108" s="116">
        <v>136.89839816933599</v>
      </c>
      <c r="O108" s="116">
        <v>134.330318549998</v>
      </c>
      <c r="P108" s="116">
        <v>135.96006138534699</v>
      </c>
      <c r="Q108" s="116">
        <v>137.75</v>
      </c>
      <c r="R108">
        <v>2132044</v>
      </c>
    </row>
    <row r="109" spans="1:18" x14ac:dyDescent="0.25">
      <c r="A109" s="170">
        <v>42160</v>
      </c>
      <c r="B109" s="116">
        <v>137.98475205479701</v>
      </c>
      <c r="C109" s="116">
        <v>136.99703013600799</v>
      </c>
      <c r="D109" s="116">
        <v>135.120358490309</v>
      </c>
      <c r="E109" s="116">
        <v>136.30562479285601</v>
      </c>
      <c r="F109" s="116">
        <v>138.69999999999999</v>
      </c>
      <c r="G109">
        <v>117649</v>
      </c>
      <c r="H109" s="116"/>
      <c r="I109" s="116"/>
      <c r="L109" s="170">
        <v>42160</v>
      </c>
      <c r="M109" s="116">
        <v>136.79962587628501</v>
      </c>
      <c r="N109" s="116">
        <v>137.98489339290299</v>
      </c>
      <c r="O109" s="116">
        <v>135.16988304093601</v>
      </c>
      <c r="P109" s="116">
        <v>136.206992117976</v>
      </c>
      <c r="Q109" s="116">
        <v>138.5</v>
      </c>
      <c r="R109">
        <v>756591</v>
      </c>
    </row>
    <row r="110" spans="1:18" x14ac:dyDescent="0.25">
      <c r="A110" s="170">
        <v>42163</v>
      </c>
      <c r="B110" s="116">
        <v>136.84887184818899</v>
      </c>
      <c r="C110" s="116">
        <v>133.04614246085299</v>
      </c>
      <c r="D110" s="116">
        <v>132.35473711770001</v>
      </c>
      <c r="E110" s="116">
        <v>136.84887184818899</v>
      </c>
      <c r="F110" s="116">
        <v>134.69999999999999</v>
      </c>
      <c r="G110">
        <v>125064</v>
      </c>
      <c r="H110" s="116"/>
      <c r="I110" s="116"/>
      <c r="L110" s="170">
        <v>42163</v>
      </c>
      <c r="M110" s="116">
        <v>133.194437179906</v>
      </c>
      <c r="N110" s="116">
        <v>137.09594275543901</v>
      </c>
      <c r="O110" s="116">
        <v>132.35487268896901</v>
      </c>
      <c r="P110" s="116">
        <v>137.09594275543901</v>
      </c>
      <c r="Q110" s="116">
        <v>134.85</v>
      </c>
      <c r="R110">
        <v>1937914</v>
      </c>
    </row>
    <row r="111" spans="1:18" x14ac:dyDescent="0.25">
      <c r="A111" s="170">
        <v>42164</v>
      </c>
      <c r="B111" s="116">
        <v>136.79948575225001</v>
      </c>
      <c r="C111" s="116">
        <v>135.515447257825</v>
      </c>
      <c r="D111" s="116">
        <v>132.453509309579</v>
      </c>
      <c r="E111" s="116">
        <v>133.04614246085299</v>
      </c>
      <c r="F111" s="116">
        <v>137.19999999999999</v>
      </c>
      <c r="G111">
        <v>122858</v>
      </c>
      <c r="H111" s="116"/>
      <c r="I111" s="116"/>
      <c r="L111" s="170">
        <v>42164</v>
      </c>
      <c r="M111" s="116">
        <v>135.861289092296</v>
      </c>
      <c r="N111" s="116">
        <v>137.19471504849099</v>
      </c>
      <c r="O111" s="116">
        <v>132.35487268896901</v>
      </c>
      <c r="P111" s="116">
        <v>133.34259561948301</v>
      </c>
      <c r="Q111" s="116">
        <v>137.55000000000001</v>
      </c>
      <c r="R111">
        <v>877704</v>
      </c>
    </row>
    <row r="112" spans="1:18" x14ac:dyDescent="0.25">
      <c r="A112" s="170">
        <v>42165</v>
      </c>
      <c r="B112" s="116">
        <v>137.09580232788699</v>
      </c>
      <c r="C112" s="116">
        <v>134.92281410655099</v>
      </c>
      <c r="D112" s="116">
        <v>134.42895314715699</v>
      </c>
      <c r="E112" s="116">
        <v>135.95992212127999</v>
      </c>
      <c r="F112" s="116">
        <v>136.6</v>
      </c>
      <c r="G112">
        <v>116338</v>
      </c>
      <c r="H112" s="116"/>
      <c r="I112" s="116"/>
      <c r="L112" s="170">
        <v>42165</v>
      </c>
      <c r="M112" s="116">
        <v>134.922952308307</v>
      </c>
      <c r="N112" s="116">
        <v>136.997170462388</v>
      </c>
      <c r="O112" s="116">
        <v>134.330318549998</v>
      </c>
      <c r="P112" s="116">
        <v>135.91067523882199</v>
      </c>
      <c r="Q112" s="116">
        <v>136.6</v>
      </c>
      <c r="R112">
        <v>799419</v>
      </c>
    </row>
    <row r="113" spans="1:18" x14ac:dyDescent="0.25">
      <c r="A113" s="170">
        <v>42166</v>
      </c>
      <c r="B113" s="116">
        <v>136.009308217219</v>
      </c>
      <c r="C113" s="116">
        <v>132.552281501458</v>
      </c>
      <c r="D113" s="116">
        <v>131.36701519891199</v>
      </c>
      <c r="E113" s="116">
        <v>136.009308217219</v>
      </c>
      <c r="F113" s="116">
        <v>134.19999999999999</v>
      </c>
      <c r="G113">
        <v>100402</v>
      </c>
      <c r="H113" s="116"/>
      <c r="I113" s="116"/>
      <c r="L113" s="170">
        <v>42166</v>
      </c>
      <c r="M113" s="116">
        <v>132.749961861175</v>
      </c>
      <c r="N113" s="116">
        <v>136.058833678399</v>
      </c>
      <c r="O113" s="116">
        <v>131.959783516763</v>
      </c>
      <c r="P113" s="116">
        <v>135.31804148051299</v>
      </c>
      <c r="Q113" s="116">
        <v>134.4</v>
      </c>
      <c r="R113">
        <v>1586596</v>
      </c>
    </row>
    <row r="114" spans="1:18" x14ac:dyDescent="0.25">
      <c r="A114" s="170">
        <v>42167</v>
      </c>
      <c r="B114" s="116">
        <v>132.74982588521601</v>
      </c>
      <c r="C114" s="116">
        <v>126.527177796846</v>
      </c>
      <c r="D114" s="116">
        <v>124.50234786332901</v>
      </c>
      <c r="E114" s="116">
        <v>131.36701519891199</v>
      </c>
      <c r="F114" s="116">
        <v>128.1</v>
      </c>
      <c r="G114">
        <v>445312</v>
      </c>
      <c r="H114" s="116"/>
      <c r="I114" s="116"/>
      <c r="L114" s="170">
        <v>42167</v>
      </c>
      <c r="M114" s="116">
        <v>126.576693545458</v>
      </c>
      <c r="N114" s="116">
        <v>132.79934800769999</v>
      </c>
      <c r="O114" s="116">
        <v>124.15677236569699</v>
      </c>
      <c r="P114" s="116">
        <v>131.959783516763</v>
      </c>
      <c r="Q114" s="116">
        <v>128.15</v>
      </c>
      <c r="R114">
        <v>2641286</v>
      </c>
    </row>
    <row r="115" spans="1:18" x14ac:dyDescent="0.25">
      <c r="A115" s="170">
        <v>42170</v>
      </c>
      <c r="B115" s="116">
        <v>129.243413073516</v>
      </c>
      <c r="C115" s="116">
        <v>127.564285811575</v>
      </c>
      <c r="D115" s="116">
        <v>125.737000261815</v>
      </c>
      <c r="E115" s="116">
        <v>128.89771040194</v>
      </c>
      <c r="F115" s="116">
        <v>129.15</v>
      </c>
      <c r="G115">
        <v>220418</v>
      </c>
      <c r="H115" s="116"/>
      <c r="I115" s="116"/>
      <c r="L115" s="170">
        <v>42170</v>
      </c>
      <c r="M115" s="116">
        <v>127.515030329447</v>
      </c>
      <c r="N115" s="116">
        <v>129.292931604373</v>
      </c>
      <c r="O115" s="116">
        <v>125.539584468417</v>
      </c>
      <c r="P115" s="116">
        <v>126.280376666303</v>
      </c>
      <c r="Q115" s="116">
        <v>129.1</v>
      </c>
      <c r="R115">
        <v>1933262</v>
      </c>
    </row>
    <row r="116" spans="1:18" x14ac:dyDescent="0.25">
      <c r="A116" s="170">
        <v>42171</v>
      </c>
      <c r="B116" s="116">
        <v>128.89771040194</v>
      </c>
      <c r="C116" s="116">
        <v>127.11981094812</v>
      </c>
      <c r="D116" s="116">
        <v>125.440683686179</v>
      </c>
      <c r="E116" s="116">
        <v>128.89771040194</v>
      </c>
      <c r="F116" s="116">
        <v>128.69999999999999</v>
      </c>
      <c r="G116">
        <v>79834</v>
      </c>
      <c r="H116" s="116"/>
      <c r="I116" s="116"/>
      <c r="L116" s="170">
        <v>42171</v>
      </c>
      <c r="M116" s="116">
        <v>127.119941157241</v>
      </c>
      <c r="N116" s="116">
        <v>127.910119501653</v>
      </c>
      <c r="O116" s="116">
        <v>125.243267589263</v>
      </c>
      <c r="P116" s="116">
        <v>127.36687188987</v>
      </c>
      <c r="Q116" s="116">
        <v>128.69999999999999</v>
      </c>
      <c r="R116">
        <v>1341209</v>
      </c>
    </row>
    <row r="117" spans="1:18" x14ac:dyDescent="0.25">
      <c r="A117" s="170">
        <v>42172</v>
      </c>
      <c r="B117" s="116">
        <v>132.35473711770001</v>
      </c>
      <c r="C117" s="116">
        <v>130.62622375981999</v>
      </c>
      <c r="D117" s="116">
        <v>127.218583139999</v>
      </c>
      <c r="E117" s="116">
        <v>128.107532866908</v>
      </c>
      <c r="F117" s="116">
        <v>132.25</v>
      </c>
      <c r="G117">
        <v>217082</v>
      </c>
      <c r="H117" s="116"/>
      <c r="I117" s="116"/>
      <c r="L117" s="170">
        <v>42172</v>
      </c>
      <c r="M117" s="116">
        <v>130.72512985361999</v>
      </c>
      <c r="N117" s="116">
        <v>132.50303112854601</v>
      </c>
      <c r="O117" s="116">
        <v>127.268099596818</v>
      </c>
      <c r="P117" s="116">
        <v>127.71257491554999</v>
      </c>
      <c r="Q117" s="116">
        <v>132.35</v>
      </c>
      <c r="R117">
        <v>2239733</v>
      </c>
    </row>
    <row r="118" spans="1:18" x14ac:dyDescent="0.25">
      <c r="A118" s="170">
        <v>42173</v>
      </c>
      <c r="B118" s="116">
        <v>132.15719273394299</v>
      </c>
      <c r="C118" s="116">
        <v>130.87315423951699</v>
      </c>
      <c r="D118" s="116">
        <v>130.67560985575901</v>
      </c>
      <c r="E118" s="116">
        <v>131.07069862327501</v>
      </c>
      <c r="F118" s="116">
        <v>132.5</v>
      </c>
      <c r="G118">
        <v>78963</v>
      </c>
      <c r="H118" s="116"/>
      <c r="I118" s="116"/>
      <c r="L118" s="170">
        <v>42173</v>
      </c>
      <c r="M118" s="116">
        <v>130.97206058624801</v>
      </c>
      <c r="N118" s="116">
        <v>132.256100395917</v>
      </c>
      <c r="O118" s="116">
        <v>130.675743707094</v>
      </c>
      <c r="P118" s="116">
        <v>131.317763611928</v>
      </c>
      <c r="Q118" s="116">
        <v>132.6</v>
      </c>
      <c r="R118">
        <v>970883</v>
      </c>
    </row>
    <row r="119" spans="1:18" x14ac:dyDescent="0.25">
      <c r="A119" s="170">
        <v>42174</v>
      </c>
      <c r="B119" s="116">
        <v>134.330180955278</v>
      </c>
      <c r="C119" s="116">
        <v>132.20657882988201</v>
      </c>
      <c r="D119" s="116">
        <v>130.774382047638</v>
      </c>
      <c r="E119" s="116">
        <v>130.774382047638</v>
      </c>
      <c r="F119" s="116">
        <v>133.85</v>
      </c>
      <c r="G119">
        <v>211216</v>
      </c>
      <c r="H119" s="116"/>
      <c r="I119" s="116"/>
      <c r="L119" s="170">
        <v>42174</v>
      </c>
      <c r="M119" s="116">
        <v>132.10794195634</v>
      </c>
      <c r="N119" s="116">
        <v>134.52786313610099</v>
      </c>
      <c r="O119" s="116">
        <v>131.021446732774</v>
      </c>
      <c r="P119" s="116">
        <v>131.56469434455701</v>
      </c>
      <c r="Q119" s="116">
        <v>133.75</v>
      </c>
      <c r="R119">
        <v>1278156</v>
      </c>
    </row>
    <row r="120" spans="1:18" x14ac:dyDescent="0.25">
      <c r="A120" s="170">
        <v>42177</v>
      </c>
      <c r="B120" s="116">
        <v>134.67588362685399</v>
      </c>
      <c r="C120" s="116">
        <v>133.342459036489</v>
      </c>
      <c r="D120" s="116">
        <v>132.00903444612399</v>
      </c>
      <c r="E120" s="116">
        <v>133.342459036489</v>
      </c>
      <c r="F120" s="116">
        <v>135</v>
      </c>
      <c r="G120">
        <v>156865</v>
      </c>
      <c r="H120" s="116"/>
      <c r="I120" s="116"/>
      <c r="L120" s="170">
        <v>42177</v>
      </c>
      <c r="M120" s="116">
        <v>133.34259561948301</v>
      </c>
      <c r="N120" s="116">
        <v>134.77479386873</v>
      </c>
      <c r="O120" s="116">
        <v>132.05855580981401</v>
      </c>
      <c r="P120" s="116">
        <v>132.10794195634</v>
      </c>
      <c r="Q120" s="116">
        <v>135</v>
      </c>
      <c r="R120">
        <v>1019044</v>
      </c>
    </row>
    <row r="121" spans="1:18" x14ac:dyDescent="0.25">
      <c r="A121" s="170">
        <v>42178</v>
      </c>
      <c r="B121" s="116">
        <v>134.083250475581</v>
      </c>
      <c r="C121" s="116">
        <v>132.10780663800301</v>
      </c>
      <c r="D121" s="116">
        <v>131.36701519891199</v>
      </c>
      <c r="E121" s="116">
        <v>133.88570609182301</v>
      </c>
      <c r="F121" s="116">
        <v>133.75</v>
      </c>
      <c r="G121">
        <v>216535</v>
      </c>
      <c r="H121" s="116"/>
      <c r="I121" s="116"/>
      <c r="L121" s="170">
        <v>42178</v>
      </c>
      <c r="M121" s="116">
        <v>132.20671424939201</v>
      </c>
      <c r="N121" s="116">
        <v>134.23154625694701</v>
      </c>
      <c r="O121" s="116">
        <v>131.36714975845399</v>
      </c>
      <c r="P121" s="116">
        <v>133.93522937779201</v>
      </c>
      <c r="Q121" s="116">
        <v>133.85</v>
      </c>
      <c r="R121">
        <v>2115793</v>
      </c>
    </row>
    <row r="122" spans="1:18" x14ac:dyDescent="0.25">
      <c r="A122" s="170">
        <v>42179</v>
      </c>
      <c r="B122" s="116">
        <v>133.63877561212601</v>
      </c>
      <c r="C122" s="116">
        <v>131.56455958266901</v>
      </c>
      <c r="D122" s="116">
        <v>131.07069862327501</v>
      </c>
      <c r="E122" s="116">
        <v>131.76210396642699</v>
      </c>
      <c r="F122" s="116">
        <v>133.19999999999999</v>
      </c>
      <c r="G122">
        <v>242926</v>
      </c>
      <c r="H122" s="116"/>
      <c r="I122" s="116"/>
      <c r="L122" s="170">
        <v>42179</v>
      </c>
      <c r="M122" s="116">
        <v>131.56469434455701</v>
      </c>
      <c r="N122" s="116">
        <v>133.58952635211199</v>
      </c>
      <c r="O122" s="116">
        <v>130.87328829319699</v>
      </c>
      <c r="P122" s="116">
        <v>131.71285278413399</v>
      </c>
      <c r="Q122" s="116">
        <v>133.19999999999999</v>
      </c>
      <c r="R122">
        <v>1696146</v>
      </c>
    </row>
    <row r="123" spans="1:18" x14ac:dyDescent="0.25">
      <c r="A123" s="170">
        <v>42180</v>
      </c>
      <c r="B123" s="116">
        <v>134.231408763399</v>
      </c>
      <c r="C123" s="116">
        <v>133.194300748671</v>
      </c>
      <c r="D123" s="116">
        <v>131.021312527335</v>
      </c>
      <c r="E123" s="116">
        <v>131.36701519891199</v>
      </c>
      <c r="F123" s="116">
        <v>134.85</v>
      </c>
      <c r="G123">
        <v>251269</v>
      </c>
      <c r="H123" s="116"/>
      <c r="I123" s="116"/>
      <c r="L123" s="170">
        <v>42180</v>
      </c>
      <c r="M123" s="116">
        <v>134.03400167084399</v>
      </c>
      <c r="N123" s="116">
        <v>134.72540772220401</v>
      </c>
      <c r="O123" s="116">
        <v>130.97206058624801</v>
      </c>
      <c r="P123" s="116">
        <v>131.26837746540301</v>
      </c>
      <c r="Q123" s="116">
        <v>135.69999999999999</v>
      </c>
      <c r="R123">
        <v>2736280</v>
      </c>
    </row>
    <row r="124" spans="1:18" x14ac:dyDescent="0.25">
      <c r="A124" s="170">
        <v>42181</v>
      </c>
      <c r="B124" s="116">
        <v>133.24368684461001</v>
      </c>
      <c r="C124" s="116">
        <v>132.10780663800301</v>
      </c>
      <c r="D124" s="116">
        <v>130.87315423951699</v>
      </c>
      <c r="E124" s="116">
        <v>133.14491465273099</v>
      </c>
      <c r="F124" s="116">
        <v>133.75</v>
      </c>
      <c r="G124">
        <v>74756</v>
      </c>
      <c r="H124" s="116"/>
      <c r="I124" s="116"/>
      <c r="L124" s="170">
        <v>42181</v>
      </c>
      <c r="M124" s="116">
        <v>132.20671424939201</v>
      </c>
      <c r="N124" s="116">
        <v>133.34259561948301</v>
      </c>
      <c r="O124" s="116">
        <v>130.675743707094</v>
      </c>
      <c r="P124" s="116">
        <v>131.56469434455701</v>
      </c>
      <c r="Q124" s="116">
        <v>133.85</v>
      </c>
      <c r="R124">
        <v>928889</v>
      </c>
    </row>
    <row r="125" spans="1:18" x14ac:dyDescent="0.25">
      <c r="A125" s="170">
        <v>42184</v>
      </c>
      <c r="B125" s="116">
        <v>130.37929328012299</v>
      </c>
      <c r="C125" s="116">
        <v>128.206305058787</v>
      </c>
      <c r="D125" s="116">
        <v>126.774108276544</v>
      </c>
      <c r="E125" s="116">
        <v>130.37929328012299</v>
      </c>
      <c r="F125" s="116">
        <v>129.80000000000001</v>
      </c>
      <c r="G125">
        <v>118874</v>
      </c>
      <c r="H125" s="116"/>
      <c r="I125" s="116"/>
      <c r="L125" s="170">
        <v>42184</v>
      </c>
      <c r="M125" s="116">
        <v>127.95950564817799</v>
      </c>
      <c r="N125" s="116">
        <v>130.379426827939</v>
      </c>
      <c r="O125" s="116">
        <v>126.626079691984</v>
      </c>
      <c r="P125" s="116">
        <v>130.379426827939</v>
      </c>
      <c r="Q125" s="116">
        <v>129.55000000000001</v>
      </c>
      <c r="R125">
        <v>1397938</v>
      </c>
    </row>
    <row r="126" spans="1:18" x14ac:dyDescent="0.25">
      <c r="A126" s="170">
        <v>42185</v>
      </c>
      <c r="B126" s="116">
        <v>131.07069862327501</v>
      </c>
      <c r="C126" s="116">
        <v>130.72499595169899</v>
      </c>
      <c r="D126" s="116">
        <v>128.206305058787</v>
      </c>
      <c r="E126" s="116">
        <v>128.206305058787</v>
      </c>
      <c r="F126" s="116">
        <v>132.35</v>
      </c>
      <c r="G126">
        <v>129761</v>
      </c>
      <c r="H126" s="116"/>
      <c r="I126" s="116"/>
      <c r="L126" s="170">
        <v>42185</v>
      </c>
      <c r="M126" s="116">
        <v>130.57697141404199</v>
      </c>
      <c r="N126" s="116">
        <v>131.12021902582501</v>
      </c>
      <c r="O126" s="116">
        <v>127.564416475973</v>
      </c>
      <c r="P126" s="116">
        <v>128.157050234281</v>
      </c>
      <c r="Q126" s="116">
        <v>132.19999999999999</v>
      </c>
      <c r="R126">
        <v>4332991</v>
      </c>
    </row>
    <row r="127" spans="1:18" x14ac:dyDescent="0.25">
      <c r="A127" s="170">
        <v>42186</v>
      </c>
      <c r="B127" s="116">
        <v>134.478339243096</v>
      </c>
      <c r="C127" s="116">
        <v>133.63877561212601</v>
      </c>
      <c r="D127" s="116">
        <v>129.83604622478899</v>
      </c>
      <c r="E127" s="116">
        <v>131.36701519891199</v>
      </c>
      <c r="F127" s="116">
        <v>135.30000000000001</v>
      </c>
      <c r="G127">
        <v>216460</v>
      </c>
      <c r="H127" s="116"/>
      <c r="I127" s="116"/>
      <c r="L127" s="170">
        <v>42186</v>
      </c>
      <c r="M127" s="116">
        <v>133.88584323126699</v>
      </c>
      <c r="N127" s="116">
        <v>134.42909084305001</v>
      </c>
      <c r="O127" s="116">
        <v>129.68802077657901</v>
      </c>
      <c r="P127" s="116">
        <v>130.87328829319699</v>
      </c>
      <c r="Q127" s="116">
        <v>135.55000000000001</v>
      </c>
      <c r="R127">
        <v>2667661</v>
      </c>
    </row>
    <row r="128" spans="1:18" x14ac:dyDescent="0.25">
      <c r="A128" s="170">
        <v>42187</v>
      </c>
      <c r="B128" s="116">
        <v>136.503169176613</v>
      </c>
      <c r="C128" s="116">
        <v>135.515447257825</v>
      </c>
      <c r="D128" s="116">
        <v>133.63877561212601</v>
      </c>
      <c r="E128" s="116">
        <v>133.63877561212601</v>
      </c>
      <c r="F128" s="116">
        <v>137.19999999999999</v>
      </c>
      <c r="G128">
        <v>176661</v>
      </c>
      <c r="H128" s="116"/>
      <c r="I128" s="116"/>
      <c r="L128" s="170">
        <v>42187</v>
      </c>
      <c r="M128" s="116">
        <v>135.416813773564</v>
      </c>
      <c r="N128" s="116">
        <v>136.355150557553</v>
      </c>
      <c r="O128" s="116">
        <v>133.44136791253499</v>
      </c>
      <c r="P128" s="116">
        <v>133.78707093821501</v>
      </c>
      <c r="Q128" s="116">
        <v>137.1</v>
      </c>
      <c r="R128">
        <v>1826569</v>
      </c>
    </row>
    <row r="129" spans="1:18" x14ac:dyDescent="0.25">
      <c r="A129" s="170">
        <v>42188</v>
      </c>
      <c r="B129" s="116">
        <v>136.99703013600799</v>
      </c>
      <c r="C129" s="116">
        <v>134.330180955278</v>
      </c>
      <c r="D129" s="116">
        <v>133.63877561212601</v>
      </c>
      <c r="E129" s="116">
        <v>135.31790287406699</v>
      </c>
      <c r="F129" s="116">
        <v>136</v>
      </c>
      <c r="G129">
        <v>113363</v>
      </c>
      <c r="H129" s="116"/>
      <c r="I129" s="116"/>
      <c r="L129" s="170">
        <v>42188</v>
      </c>
      <c r="M129" s="116">
        <v>134.42909084305001</v>
      </c>
      <c r="N129" s="116">
        <v>136.89839816933599</v>
      </c>
      <c r="O129" s="116">
        <v>133.58952635211199</v>
      </c>
      <c r="P129" s="116">
        <v>135.81190294576999</v>
      </c>
      <c r="Q129" s="116">
        <v>136.1</v>
      </c>
      <c r="R129">
        <v>1032972</v>
      </c>
    </row>
    <row r="130" spans="1:18" x14ac:dyDescent="0.25">
      <c r="A130" s="170">
        <v>42191</v>
      </c>
      <c r="B130" s="116">
        <v>133.88570609182301</v>
      </c>
      <c r="C130" s="116">
        <v>133.39184513242901</v>
      </c>
      <c r="D130" s="116">
        <v>130.87315423951699</v>
      </c>
      <c r="E130" s="116">
        <v>133.29307294054999</v>
      </c>
      <c r="F130" s="116">
        <v>135.05000000000001</v>
      </c>
      <c r="G130">
        <v>105303</v>
      </c>
      <c r="H130" s="116"/>
      <c r="I130" s="116"/>
      <c r="L130" s="170">
        <v>42191</v>
      </c>
      <c r="M130" s="116">
        <v>133.34259561948301</v>
      </c>
      <c r="N130" s="116">
        <v>133.93522937779201</v>
      </c>
      <c r="O130" s="116">
        <v>130.57697141404199</v>
      </c>
      <c r="P130" s="116">
        <v>131.465922051506</v>
      </c>
      <c r="Q130" s="116">
        <v>135</v>
      </c>
      <c r="R130">
        <v>1260314</v>
      </c>
    </row>
    <row r="131" spans="1:18" x14ac:dyDescent="0.25">
      <c r="A131" s="170">
        <v>42192</v>
      </c>
      <c r="B131" s="116">
        <v>140.15774027613199</v>
      </c>
      <c r="C131" s="116">
        <v>136.94764404006801</v>
      </c>
      <c r="D131" s="116">
        <v>133.342459036489</v>
      </c>
      <c r="E131" s="116">
        <v>133.342459036489</v>
      </c>
      <c r="F131" s="116">
        <v>138.65</v>
      </c>
      <c r="G131">
        <v>466424</v>
      </c>
      <c r="H131" s="116"/>
      <c r="I131" s="116"/>
      <c r="L131" s="170">
        <v>42192</v>
      </c>
      <c r="M131" s="116">
        <v>136.50330899713001</v>
      </c>
      <c r="N131" s="116">
        <v>139.91095310740599</v>
      </c>
      <c r="O131" s="116">
        <v>133.44136791253499</v>
      </c>
      <c r="P131" s="116">
        <v>133.93522937779201</v>
      </c>
      <c r="Q131" s="116">
        <v>138.19999999999999</v>
      </c>
      <c r="R131">
        <v>3133999</v>
      </c>
    </row>
    <row r="132" spans="1:18" x14ac:dyDescent="0.25">
      <c r="A132" s="170">
        <v>42193</v>
      </c>
      <c r="B132" s="116">
        <v>136.30562479285601</v>
      </c>
      <c r="C132" s="116">
        <v>133.194300748671</v>
      </c>
      <c r="D132" s="116">
        <v>132.35473711770001</v>
      </c>
      <c r="E132" s="116">
        <v>134.330180955278</v>
      </c>
      <c r="F132" s="116">
        <v>134.85</v>
      </c>
      <c r="G132">
        <v>178921</v>
      </c>
      <c r="H132" s="116"/>
      <c r="I132" s="116"/>
      <c r="L132" s="170">
        <v>42193</v>
      </c>
      <c r="M132" s="116">
        <v>133.24382332643199</v>
      </c>
      <c r="N132" s="116">
        <v>136.30576441102801</v>
      </c>
      <c r="O132" s="116">
        <v>132.552417275072</v>
      </c>
      <c r="P132" s="116">
        <v>134.42909084305001</v>
      </c>
      <c r="Q132" s="116">
        <v>134.9</v>
      </c>
      <c r="R132">
        <v>1608817</v>
      </c>
    </row>
    <row r="133" spans="1:18" x14ac:dyDescent="0.25">
      <c r="A133" s="170">
        <v>42194</v>
      </c>
      <c r="B133" s="116">
        <v>134.330180955278</v>
      </c>
      <c r="C133" s="116">
        <v>132.25596492582201</v>
      </c>
      <c r="D133" s="116">
        <v>131.76210396642699</v>
      </c>
      <c r="E133" s="116">
        <v>134.330180955278</v>
      </c>
      <c r="F133" s="116">
        <v>133.9</v>
      </c>
      <c r="G133">
        <v>139125</v>
      </c>
      <c r="H133" s="116"/>
      <c r="I133" s="116"/>
      <c r="L133" s="170">
        <v>42194</v>
      </c>
      <c r="M133" s="116">
        <v>132.30548654244299</v>
      </c>
      <c r="N133" s="116">
        <v>134.03400167084399</v>
      </c>
      <c r="O133" s="116">
        <v>131.56469434455701</v>
      </c>
      <c r="P133" s="116">
        <v>133.24382332643199</v>
      </c>
      <c r="Q133" s="116">
        <v>133.94999999999999</v>
      </c>
      <c r="R133">
        <v>1049069</v>
      </c>
    </row>
    <row r="134" spans="1:18" x14ac:dyDescent="0.25">
      <c r="A134" s="170">
        <v>42195</v>
      </c>
      <c r="B134" s="116">
        <v>133.78693389994399</v>
      </c>
      <c r="C134" s="116">
        <v>132.947370268974</v>
      </c>
      <c r="D134" s="116">
        <v>132.35473711770001</v>
      </c>
      <c r="E134" s="116">
        <v>133.194300748671</v>
      </c>
      <c r="F134" s="116">
        <v>134.6</v>
      </c>
      <c r="G134">
        <v>93023</v>
      </c>
      <c r="H134" s="116"/>
      <c r="I134" s="116"/>
      <c r="L134" s="170">
        <v>42195</v>
      </c>
      <c r="M134" s="116">
        <v>132.898120300752</v>
      </c>
      <c r="N134" s="116">
        <v>133.93522937779201</v>
      </c>
      <c r="O134" s="116">
        <v>132.15732810286599</v>
      </c>
      <c r="P134" s="116">
        <v>133.14505103338101</v>
      </c>
      <c r="Q134" s="116">
        <v>134.55000000000001</v>
      </c>
      <c r="R134">
        <v>1590741</v>
      </c>
    </row>
    <row r="135" spans="1:18" x14ac:dyDescent="0.25">
      <c r="A135" s="170">
        <v>42198</v>
      </c>
      <c r="B135" s="116">
        <v>136.10808040909799</v>
      </c>
      <c r="C135" s="116">
        <v>135.07097239436999</v>
      </c>
      <c r="D135" s="116">
        <v>132.799211981155</v>
      </c>
      <c r="E135" s="116">
        <v>133.836319995884</v>
      </c>
      <c r="F135" s="116">
        <v>136.75</v>
      </c>
      <c r="G135">
        <v>81134</v>
      </c>
      <c r="H135" s="116"/>
      <c r="I135" s="116"/>
      <c r="L135" s="170">
        <v>42198</v>
      </c>
      <c r="M135" s="116">
        <v>135.12049689441</v>
      </c>
      <c r="N135" s="116">
        <v>136.10821982492499</v>
      </c>
      <c r="O135" s="116">
        <v>132.601803421597</v>
      </c>
      <c r="P135" s="116">
        <v>133.24382332643199</v>
      </c>
      <c r="Q135" s="116">
        <v>136.80000000000001</v>
      </c>
      <c r="R135">
        <v>1720786</v>
      </c>
    </row>
    <row r="136" spans="1:18" x14ac:dyDescent="0.25">
      <c r="A136" s="170">
        <v>42199</v>
      </c>
      <c r="B136" s="116">
        <v>136.30562479285601</v>
      </c>
      <c r="C136" s="116">
        <v>135.120358490309</v>
      </c>
      <c r="D136" s="116">
        <v>134.330180955278</v>
      </c>
      <c r="E136" s="116">
        <v>135.66360554564301</v>
      </c>
      <c r="F136" s="116">
        <v>136.80000000000001</v>
      </c>
      <c r="G136">
        <v>84466</v>
      </c>
      <c r="H136" s="116"/>
      <c r="I136" s="116"/>
      <c r="L136" s="170">
        <v>42199</v>
      </c>
      <c r="M136" s="116">
        <v>135.36742762703901</v>
      </c>
      <c r="N136" s="116">
        <v>136.50330899713001</v>
      </c>
      <c r="O136" s="116">
        <v>134.08338781737001</v>
      </c>
      <c r="P136" s="116">
        <v>135.31804148051299</v>
      </c>
      <c r="Q136" s="116">
        <v>137.05000000000001</v>
      </c>
      <c r="R136">
        <v>1974367</v>
      </c>
    </row>
    <row r="137" spans="1:18" x14ac:dyDescent="0.25">
      <c r="A137" s="170">
        <v>42200</v>
      </c>
      <c r="B137" s="116">
        <v>137.93536595885701</v>
      </c>
      <c r="C137" s="116">
        <v>136.30562479285601</v>
      </c>
      <c r="D137" s="116">
        <v>135.02158629843001</v>
      </c>
      <c r="E137" s="116">
        <v>135.31790287406699</v>
      </c>
      <c r="F137" s="116">
        <v>138</v>
      </c>
      <c r="G137">
        <v>122914</v>
      </c>
      <c r="H137" s="116"/>
      <c r="I137" s="116"/>
      <c r="L137" s="170">
        <v>42200</v>
      </c>
      <c r="M137" s="116">
        <v>136.45392285060501</v>
      </c>
      <c r="N137" s="116">
        <v>137.7873488068</v>
      </c>
      <c r="O137" s="116">
        <v>134.922952308307</v>
      </c>
      <c r="P137" s="116">
        <v>135.81190294576999</v>
      </c>
      <c r="Q137" s="116">
        <v>138.15</v>
      </c>
      <c r="R137">
        <v>1530200</v>
      </c>
    </row>
    <row r="138" spans="1:18" x14ac:dyDescent="0.25">
      <c r="A138" s="170">
        <v>42201</v>
      </c>
      <c r="B138" s="116">
        <v>137.29334671164401</v>
      </c>
      <c r="C138" s="116">
        <v>136.70071356037101</v>
      </c>
      <c r="D138" s="116">
        <v>135.02158629843001</v>
      </c>
      <c r="E138" s="116">
        <v>136.30562479285601</v>
      </c>
      <c r="F138" s="116">
        <v>138.4</v>
      </c>
      <c r="G138">
        <v>104955</v>
      </c>
      <c r="H138" s="116"/>
      <c r="I138" s="116"/>
      <c r="L138" s="170">
        <v>42201</v>
      </c>
      <c r="M138" s="116">
        <v>136.30576441102801</v>
      </c>
      <c r="N138" s="116">
        <v>137.24410119501701</v>
      </c>
      <c r="O138" s="116">
        <v>134.922952308307</v>
      </c>
      <c r="P138" s="116">
        <v>137.24410119501701</v>
      </c>
      <c r="Q138" s="116">
        <v>138</v>
      </c>
      <c r="R138">
        <v>804974</v>
      </c>
    </row>
    <row r="139" spans="1:18" x14ac:dyDescent="0.25">
      <c r="A139" s="170">
        <v>42202</v>
      </c>
      <c r="B139" s="116">
        <v>138.281068630433</v>
      </c>
      <c r="C139" s="116">
        <v>137.392118903523</v>
      </c>
      <c r="D139" s="116">
        <v>135.56483335376399</v>
      </c>
      <c r="E139" s="116">
        <v>137.63904938322</v>
      </c>
      <c r="F139" s="116">
        <v>139.1</v>
      </c>
      <c r="G139">
        <v>172790</v>
      </c>
      <c r="H139" s="116"/>
      <c r="I139" s="116"/>
      <c r="L139" s="170">
        <v>42202</v>
      </c>
      <c r="M139" s="116">
        <v>137.293487341542</v>
      </c>
      <c r="N139" s="116">
        <v>138.281210272057</v>
      </c>
      <c r="O139" s="116">
        <v>135.564972213142</v>
      </c>
      <c r="P139" s="116">
        <v>137.19471504849099</v>
      </c>
      <c r="Q139" s="116">
        <v>139</v>
      </c>
      <c r="R139">
        <v>2108950</v>
      </c>
    </row>
    <row r="140" spans="1:18" x14ac:dyDescent="0.25">
      <c r="A140" s="170">
        <v>42205</v>
      </c>
      <c r="B140" s="116">
        <v>140.454056851769</v>
      </c>
      <c r="C140" s="116">
        <v>139.86142370049501</v>
      </c>
      <c r="D140" s="116">
        <v>137.29334671164401</v>
      </c>
      <c r="E140" s="116">
        <v>137.787207671039</v>
      </c>
      <c r="F140" s="116">
        <v>141.6</v>
      </c>
      <c r="G140">
        <v>292146</v>
      </c>
      <c r="H140" s="116"/>
      <c r="I140" s="116"/>
      <c r="L140" s="170">
        <v>42205</v>
      </c>
      <c r="M140" s="116">
        <v>140.009725400458</v>
      </c>
      <c r="N140" s="116">
        <v>140.799903744869</v>
      </c>
      <c r="O140" s="116">
        <v>136.50330899713001</v>
      </c>
      <c r="P140" s="116">
        <v>136.50330899713001</v>
      </c>
      <c r="Q140" s="116">
        <v>141.75</v>
      </c>
      <c r="R140">
        <v>2394358</v>
      </c>
    </row>
    <row r="141" spans="1:18" x14ac:dyDescent="0.25">
      <c r="A141" s="170">
        <v>42206</v>
      </c>
      <c r="B141" s="116">
        <v>139.960195892374</v>
      </c>
      <c r="C141" s="116">
        <v>135.46606116188499</v>
      </c>
      <c r="D141" s="116">
        <v>134.77465581873301</v>
      </c>
      <c r="E141" s="116">
        <v>138.37984082231199</v>
      </c>
      <c r="F141" s="116">
        <v>137.15</v>
      </c>
      <c r="G141">
        <v>174716</v>
      </c>
      <c r="H141" s="116"/>
      <c r="I141" s="116"/>
      <c r="L141" s="170">
        <v>42206</v>
      </c>
      <c r="M141" s="116">
        <v>135.81190294576999</v>
      </c>
      <c r="N141" s="116">
        <v>140.157883840035</v>
      </c>
      <c r="O141" s="116">
        <v>135.21926918746101</v>
      </c>
      <c r="P141" s="116">
        <v>138.37998256510801</v>
      </c>
      <c r="Q141" s="116">
        <v>137.5</v>
      </c>
      <c r="R141">
        <v>1965237</v>
      </c>
    </row>
    <row r="142" spans="1:18" x14ac:dyDescent="0.25">
      <c r="A142" s="170">
        <v>42207</v>
      </c>
      <c r="B142" s="116">
        <v>138.281068630433</v>
      </c>
      <c r="C142" s="116">
        <v>137.787207671039</v>
      </c>
      <c r="D142" s="116">
        <v>135.31790287406699</v>
      </c>
      <c r="E142" s="116">
        <v>137.29334671164401</v>
      </c>
      <c r="F142" s="116">
        <v>139.5</v>
      </c>
      <c r="G142">
        <v>138420</v>
      </c>
      <c r="H142" s="116"/>
      <c r="I142" s="116"/>
      <c r="L142" s="170">
        <v>42207</v>
      </c>
      <c r="M142" s="116">
        <v>137.7873488068</v>
      </c>
      <c r="N142" s="116">
        <v>138.281210272057</v>
      </c>
      <c r="O142" s="116">
        <v>132.84873415422601</v>
      </c>
      <c r="P142" s="116">
        <v>135.31804148051299</v>
      </c>
      <c r="Q142" s="116">
        <v>139.5</v>
      </c>
      <c r="R142">
        <v>1310150</v>
      </c>
    </row>
    <row r="143" spans="1:18" x14ac:dyDescent="0.25">
      <c r="A143" s="170">
        <v>42208</v>
      </c>
      <c r="B143" s="116">
        <v>140.50344294770801</v>
      </c>
      <c r="C143" s="116">
        <v>139.46633493298</v>
      </c>
      <c r="D143" s="116">
        <v>137.392118903523</v>
      </c>
      <c r="E143" s="116">
        <v>139.02186006952499</v>
      </c>
      <c r="F143" s="116">
        <v>141.19999999999999</v>
      </c>
      <c r="G143">
        <v>915394</v>
      </c>
      <c r="H143" s="116"/>
      <c r="I143" s="116"/>
      <c r="L143" s="170">
        <v>42208</v>
      </c>
      <c r="M143" s="116">
        <v>139.12077476299399</v>
      </c>
      <c r="N143" s="116">
        <v>140.454200719189</v>
      </c>
      <c r="O143" s="116">
        <v>137.68857651374799</v>
      </c>
      <c r="P143" s="116">
        <v>138.23182412553101</v>
      </c>
      <c r="Q143" s="116">
        <v>140.85</v>
      </c>
      <c r="R143">
        <v>2009103</v>
      </c>
    </row>
    <row r="144" spans="1:18" x14ac:dyDescent="0.25">
      <c r="A144" s="170">
        <v>42209</v>
      </c>
      <c r="B144" s="116">
        <v>140.602215139587</v>
      </c>
      <c r="C144" s="116">
        <v>139.219404453283</v>
      </c>
      <c r="D144" s="116">
        <v>138.52799911013</v>
      </c>
      <c r="E144" s="116">
        <v>140.40467075582899</v>
      </c>
      <c r="F144" s="116">
        <v>140.94999999999999</v>
      </c>
      <c r="G144">
        <v>298064</v>
      </c>
      <c r="H144" s="116"/>
      <c r="I144" s="116"/>
      <c r="L144" s="170">
        <v>42209</v>
      </c>
      <c r="M144" s="116">
        <v>139.07138861646899</v>
      </c>
      <c r="N144" s="116">
        <v>140.55297301224101</v>
      </c>
      <c r="O144" s="116">
        <v>138.37998256510801</v>
      </c>
      <c r="P144" s="116">
        <v>139.12077476299399</v>
      </c>
      <c r="Q144" s="116">
        <v>140.80000000000001</v>
      </c>
      <c r="R144">
        <v>1542474</v>
      </c>
    </row>
    <row r="145" spans="1:18" x14ac:dyDescent="0.25">
      <c r="A145" s="170">
        <v>42212</v>
      </c>
      <c r="B145" s="116">
        <v>138.77492958982799</v>
      </c>
      <c r="C145" s="116">
        <v>135.81176383346099</v>
      </c>
      <c r="D145" s="116">
        <v>134.77465581873301</v>
      </c>
      <c r="E145" s="116">
        <v>138.77492958982799</v>
      </c>
      <c r="F145" s="116">
        <v>137.5</v>
      </c>
      <c r="G145">
        <v>210220</v>
      </c>
      <c r="H145" s="116"/>
      <c r="I145" s="116"/>
      <c r="L145" s="170">
        <v>42212</v>
      </c>
      <c r="M145" s="116">
        <v>135.861289092296</v>
      </c>
      <c r="N145" s="116">
        <v>138.873844030366</v>
      </c>
      <c r="O145" s="116">
        <v>135.07111074788401</v>
      </c>
      <c r="P145" s="116">
        <v>138.873844030366</v>
      </c>
      <c r="Q145" s="116">
        <v>137.55000000000001</v>
      </c>
      <c r="R145">
        <v>1245996</v>
      </c>
    </row>
    <row r="146" spans="1:18" x14ac:dyDescent="0.25">
      <c r="A146" s="170">
        <v>42213</v>
      </c>
      <c r="B146" s="116">
        <v>137.09580232788699</v>
      </c>
      <c r="C146" s="116">
        <v>136.05869431315801</v>
      </c>
      <c r="D146" s="116">
        <v>134.577111434975</v>
      </c>
      <c r="E146" s="116">
        <v>135.86114992940099</v>
      </c>
      <c r="F146" s="116">
        <v>137.75</v>
      </c>
      <c r="G146">
        <v>219556</v>
      </c>
      <c r="H146" s="116"/>
      <c r="I146" s="116"/>
      <c r="L146" s="170">
        <v>42213</v>
      </c>
      <c r="M146" s="116">
        <v>135.762516799244</v>
      </c>
      <c r="N146" s="116">
        <v>136.79962587628501</v>
      </c>
      <c r="O146" s="116">
        <v>134.478476989575</v>
      </c>
      <c r="P146" s="116">
        <v>136.10821982492499</v>
      </c>
      <c r="Q146" s="116">
        <v>137.44999999999999</v>
      </c>
      <c r="R146">
        <v>1294926</v>
      </c>
    </row>
    <row r="147" spans="1:18" x14ac:dyDescent="0.25">
      <c r="A147" s="170">
        <v>42214</v>
      </c>
      <c r="B147" s="116">
        <v>137.09580232788699</v>
      </c>
      <c r="C147" s="116">
        <v>136.898257944129</v>
      </c>
      <c r="D147" s="116">
        <v>134.577111434975</v>
      </c>
      <c r="E147" s="116">
        <v>134.577111434975</v>
      </c>
      <c r="F147" s="116">
        <v>138.6</v>
      </c>
      <c r="G147">
        <v>139321</v>
      </c>
      <c r="H147" s="116"/>
      <c r="I147" s="116"/>
      <c r="L147" s="170">
        <v>42214</v>
      </c>
      <c r="M147" s="116">
        <v>136.94778431586201</v>
      </c>
      <c r="N147" s="116">
        <v>137.19471504849099</v>
      </c>
      <c r="O147" s="116">
        <v>135.564972213142</v>
      </c>
      <c r="P147" s="116">
        <v>136.45392285060501</v>
      </c>
      <c r="Q147" s="116">
        <v>138.65</v>
      </c>
      <c r="R147">
        <v>1150281</v>
      </c>
    </row>
    <row r="148" spans="1:18" x14ac:dyDescent="0.25">
      <c r="A148" s="170">
        <v>42215</v>
      </c>
      <c r="B148" s="116">
        <v>136.898257944129</v>
      </c>
      <c r="C148" s="116">
        <v>135.367288970006</v>
      </c>
      <c r="D148" s="116">
        <v>134.03386437964099</v>
      </c>
      <c r="E148" s="116">
        <v>136.20685260097699</v>
      </c>
      <c r="F148" s="116">
        <v>137.05000000000001</v>
      </c>
      <c r="G148">
        <v>141056</v>
      </c>
      <c r="H148" s="116"/>
      <c r="I148" s="116"/>
      <c r="L148" s="170">
        <v>42215</v>
      </c>
      <c r="M148" s="116">
        <v>135.46619992008999</v>
      </c>
      <c r="N148" s="116">
        <v>136.00944753187301</v>
      </c>
      <c r="O148" s="116">
        <v>133.836457084741</v>
      </c>
      <c r="P148" s="116">
        <v>136.00944753187301</v>
      </c>
      <c r="Q148" s="116">
        <v>137.15</v>
      </c>
      <c r="R148">
        <v>1848759</v>
      </c>
    </row>
    <row r="149" spans="1:18" x14ac:dyDescent="0.25">
      <c r="A149" s="170">
        <v>42216</v>
      </c>
      <c r="B149" s="116">
        <v>141.2442343868</v>
      </c>
      <c r="C149" s="116">
        <v>138.37984082231199</v>
      </c>
      <c r="D149" s="116">
        <v>133.441231228368</v>
      </c>
      <c r="E149" s="116">
        <v>133.737547804005</v>
      </c>
      <c r="F149" s="116">
        <v>140.1</v>
      </c>
      <c r="G149">
        <v>418571</v>
      </c>
      <c r="H149" s="116"/>
      <c r="I149" s="116"/>
      <c r="L149" s="170">
        <v>42216</v>
      </c>
      <c r="M149" s="116">
        <v>138.47875485815999</v>
      </c>
      <c r="N149" s="116">
        <v>141.04683447749801</v>
      </c>
      <c r="O149" s="116">
        <v>133.688298645164</v>
      </c>
      <c r="P149" s="116">
        <v>134.330318549998</v>
      </c>
      <c r="Q149" s="116">
        <v>140.19999999999999</v>
      </c>
      <c r="R149">
        <v>2328615</v>
      </c>
    </row>
    <row r="150" spans="1:18" x14ac:dyDescent="0.25">
      <c r="A150" s="170">
        <v>42219</v>
      </c>
      <c r="B150" s="116">
        <v>141.83686753807299</v>
      </c>
      <c r="C150" s="116">
        <v>139.170018357343</v>
      </c>
      <c r="D150" s="116">
        <v>138.77492958982799</v>
      </c>
      <c r="E150" s="116">
        <v>140.15774027613199</v>
      </c>
      <c r="F150" s="116">
        <v>140.9</v>
      </c>
      <c r="G150">
        <v>193451</v>
      </c>
      <c r="H150" s="116"/>
      <c r="I150" s="116"/>
      <c r="L150" s="170">
        <v>42219</v>
      </c>
      <c r="M150" s="116">
        <v>139.12077476299399</v>
      </c>
      <c r="N150" s="116">
        <v>142.08394355453899</v>
      </c>
      <c r="O150" s="116">
        <v>138.52814100468601</v>
      </c>
      <c r="P150" s="116">
        <v>139.664022374778</v>
      </c>
      <c r="Q150" s="116">
        <v>140.85</v>
      </c>
      <c r="R150">
        <v>1673236</v>
      </c>
    </row>
    <row r="151" spans="1:18" x14ac:dyDescent="0.25">
      <c r="A151" s="170">
        <v>42220</v>
      </c>
      <c r="B151" s="116">
        <v>142.92336164874101</v>
      </c>
      <c r="C151" s="116">
        <v>141.491164866497</v>
      </c>
      <c r="D151" s="116">
        <v>139.46633493298</v>
      </c>
      <c r="E151" s="116">
        <v>141.44177877055699</v>
      </c>
      <c r="F151" s="116">
        <v>143.25</v>
      </c>
      <c r="G151">
        <v>323311</v>
      </c>
      <c r="H151" s="116"/>
      <c r="I151" s="116"/>
      <c r="L151" s="170">
        <v>42220</v>
      </c>
      <c r="M151" s="116">
        <v>141.54069594275501</v>
      </c>
      <c r="N151" s="116">
        <v>142.972894192002</v>
      </c>
      <c r="O151" s="116">
        <v>139.26893320257199</v>
      </c>
      <c r="P151" s="116">
        <v>141.63946823580699</v>
      </c>
      <c r="Q151" s="116">
        <v>143.30000000000001</v>
      </c>
      <c r="R151">
        <v>2117898</v>
      </c>
    </row>
    <row r="152" spans="1:18" x14ac:dyDescent="0.25">
      <c r="A152" s="170">
        <v>42221</v>
      </c>
      <c r="B152" s="116">
        <v>143.07151993655901</v>
      </c>
      <c r="C152" s="116">
        <v>140.35528465989</v>
      </c>
      <c r="D152" s="116">
        <v>139.76265150861599</v>
      </c>
      <c r="E152" s="116">
        <v>143.07151993655901</v>
      </c>
      <c r="F152" s="116">
        <v>142.1</v>
      </c>
      <c r="G152">
        <v>193449</v>
      </c>
      <c r="H152" s="116"/>
      <c r="I152" s="116"/>
      <c r="L152" s="170">
        <v>42221</v>
      </c>
      <c r="M152" s="116">
        <v>140.40481457266401</v>
      </c>
      <c r="N152" s="116">
        <v>142.87412189894999</v>
      </c>
      <c r="O152" s="116">
        <v>140.05911154698299</v>
      </c>
      <c r="P152" s="116">
        <v>142.42964658021901</v>
      </c>
      <c r="Q152" s="116">
        <v>142.15</v>
      </c>
      <c r="R152">
        <v>1550830</v>
      </c>
    </row>
    <row r="153" spans="1:18" x14ac:dyDescent="0.25">
      <c r="A153" s="170">
        <v>42222</v>
      </c>
      <c r="B153" s="116">
        <v>145.24450815789399</v>
      </c>
      <c r="C153" s="116">
        <v>142.03441192183101</v>
      </c>
      <c r="D153" s="116">
        <v>139.12063226140401</v>
      </c>
      <c r="E153" s="116">
        <v>140.35528465989</v>
      </c>
      <c r="F153" s="116">
        <v>143.80000000000001</v>
      </c>
      <c r="G153">
        <v>621114</v>
      </c>
      <c r="H153" s="116"/>
      <c r="I153" s="116"/>
      <c r="L153" s="170">
        <v>42222</v>
      </c>
      <c r="M153" s="116">
        <v>141.98517126148701</v>
      </c>
      <c r="N153" s="116">
        <v>145.49158766481401</v>
      </c>
      <c r="O153" s="116">
        <v>139.26893320257199</v>
      </c>
      <c r="P153" s="116">
        <v>140.25665613308601</v>
      </c>
      <c r="Q153" s="116">
        <v>143.75</v>
      </c>
      <c r="R153">
        <v>3835649</v>
      </c>
    </row>
    <row r="154" spans="1:18" x14ac:dyDescent="0.25">
      <c r="A154" s="170">
        <v>42223</v>
      </c>
      <c r="B154" s="116">
        <v>143.17029212843801</v>
      </c>
      <c r="C154" s="116">
        <v>140.15774027613199</v>
      </c>
      <c r="D154" s="116">
        <v>139.713265412677</v>
      </c>
      <c r="E154" s="116">
        <v>141.985025825891</v>
      </c>
      <c r="F154" s="116">
        <v>141.9</v>
      </c>
      <c r="G154">
        <v>365110</v>
      </c>
      <c r="H154" s="116"/>
      <c r="I154" s="116"/>
      <c r="L154" s="170">
        <v>42223</v>
      </c>
      <c r="M154" s="116">
        <v>140.20726998656099</v>
      </c>
      <c r="N154" s="116">
        <v>143.21982492462999</v>
      </c>
      <c r="O154" s="116">
        <v>139.86156696088</v>
      </c>
      <c r="P154" s="116">
        <v>141.19499291707501</v>
      </c>
      <c r="Q154" s="116">
        <v>141.94999999999999</v>
      </c>
      <c r="R154">
        <v>992867</v>
      </c>
    </row>
    <row r="155" spans="1:18" x14ac:dyDescent="0.25">
      <c r="A155" s="170">
        <v>42226</v>
      </c>
      <c r="B155" s="116">
        <v>140.700987331466</v>
      </c>
      <c r="C155" s="116">
        <v>137.19457451976601</v>
      </c>
      <c r="D155" s="116">
        <v>136.60194136849199</v>
      </c>
      <c r="E155" s="116">
        <v>140.25651246801101</v>
      </c>
      <c r="F155" s="116">
        <v>138.9</v>
      </c>
      <c r="G155">
        <v>258006</v>
      </c>
      <c r="H155" s="116"/>
      <c r="I155" s="116"/>
      <c r="L155" s="170">
        <v>42226</v>
      </c>
      <c r="M155" s="116">
        <v>137.24410119501701</v>
      </c>
      <c r="N155" s="116">
        <v>140.89867603792101</v>
      </c>
      <c r="O155" s="116">
        <v>136.552695143656</v>
      </c>
      <c r="P155" s="116">
        <v>140.25665613308601</v>
      </c>
      <c r="Q155" s="116">
        <v>138.94999999999999</v>
      </c>
      <c r="R155">
        <v>1248444</v>
      </c>
    </row>
    <row r="156" spans="1:18" x14ac:dyDescent="0.25">
      <c r="A156" s="170">
        <v>42227</v>
      </c>
      <c r="B156" s="116">
        <v>138.08352424667501</v>
      </c>
      <c r="C156" s="116">
        <v>136.20685260097699</v>
      </c>
      <c r="D156" s="116">
        <v>134.626497530915</v>
      </c>
      <c r="E156" s="116">
        <v>137.58966328728101</v>
      </c>
      <c r="F156" s="116">
        <v>137.9</v>
      </c>
      <c r="G156">
        <v>172179</v>
      </c>
      <c r="H156" s="116"/>
      <c r="I156" s="116"/>
      <c r="L156" s="170">
        <v>42227</v>
      </c>
      <c r="M156" s="116">
        <v>136.00944753187301</v>
      </c>
      <c r="N156" s="116">
        <v>139.07138861646899</v>
      </c>
      <c r="O156" s="116">
        <v>134.52786313610099</v>
      </c>
      <c r="P156" s="116">
        <v>137.491031927645</v>
      </c>
      <c r="Q156" s="116">
        <v>137.69999999999999</v>
      </c>
      <c r="R156">
        <v>1269206</v>
      </c>
    </row>
    <row r="157" spans="1:18" x14ac:dyDescent="0.25">
      <c r="A157" s="170">
        <v>42228</v>
      </c>
      <c r="B157" s="116">
        <v>135.16974458624799</v>
      </c>
      <c r="C157" s="116">
        <v>131.21885691109301</v>
      </c>
      <c r="D157" s="116">
        <v>130.67560985575901</v>
      </c>
      <c r="E157" s="116">
        <v>135.07097239436999</v>
      </c>
      <c r="F157" s="116">
        <v>132.85</v>
      </c>
      <c r="G157">
        <v>407476</v>
      </c>
      <c r="H157" s="116"/>
      <c r="I157" s="116"/>
      <c r="L157" s="170">
        <v>42228</v>
      </c>
      <c r="M157" s="116">
        <v>131.41653590498001</v>
      </c>
      <c r="N157" s="116">
        <v>136.00944753187301</v>
      </c>
      <c r="O157" s="116">
        <v>130.47819912099101</v>
      </c>
      <c r="P157" s="116">
        <v>136.00944753187301</v>
      </c>
      <c r="Q157" s="116">
        <v>133.05000000000001</v>
      </c>
      <c r="R157">
        <v>1197225</v>
      </c>
    </row>
    <row r="158" spans="1:18" x14ac:dyDescent="0.25">
      <c r="A158" s="170">
        <v>42229</v>
      </c>
      <c r="B158" s="116">
        <v>133.342459036489</v>
      </c>
      <c r="C158" s="116">
        <v>128.40384944254501</v>
      </c>
      <c r="D158" s="116">
        <v>127.95937457909</v>
      </c>
      <c r="E158" s="116">
        <v>133.342459036489</v>
      </c>
      <c r="F158" s="116">
        <v>130</v>
      </c>
      <c r="G158">
        <v>151002</v>
      </c>
      <c r="H158" s="116"/>
      <c r="I158" s="116"/>
      <c r="L158" s="170">
        <v>42229</v>
      </c>
      <c r="M158" s="116">
        <v>128.40398096691001</v>
      </c>
      <c r="N158" s="116">
        <v>133.09566488685499</v>
      </c>
      <c r="O158" s="116">
        <v>127.81134720860101</v>
      </c>
      <c r="P158" s="116">
        <v>132.84873415422601</v>
      </c>
      <c r="Q158" s="116">
        <v>130</v>
      </c>
      <c r="R158">
        <v>1074691</v>
      </c>
    </row>
    <row r="159" spans="1:18" x14ac:dyDescent="0.25">
      <c r="A159" s="170">
        <v>42230</v>
      </c>
      <c r="B159" s="116">
        <v>132.00903444612399</v>
      </c>
      <c r="C159" s="116">
        <v>130.42867937606201</v>
      </c>
      <c r="D159" s="116">
        <v>128.30507725066599</v>
      </c>
      <c r="E159" s="116">
        <v>129.885432320728</v>
      </c>
      <c r="F159" s="116">
        <v>132.05000000000001</v>
      </c>
      <c r="G159">
        <v>107172</v>
      </c>
      <c r="H159" s="116"/>
      <c r="I159" s="116"/>
      <c r="L159" s="170">
        <v>42230</v>
      </c>
      <c r="M159" s="116">
        <v>130.47819912099101</v>
      </c>
      <c r="N159" s="116">
        <v>132.05855580981401</v>
      </c>
      <c r="O159" s="116">
        <v>128.157050234281</v>
      </c>
      <c r="P159" s="116">
        <v>129.589248483528</v>
      </c>
      <c r="Q159" s="116">
        <v>132.1</v>
      </c>
      <c r="R159">
        <v>1714304</v>
      </c>
    </row>
    <row r="160" spans="1:18" x14ac:dyDescent="0.25">
      <c r="A160" s="170">
        <v>42233</v>
      </c>
      <c r="B160" s="116">
        <v>131.36701519891199</v>
      </c>
      <c r="C160" s="116">
        <v>129.44095745727299</v>
      </c>
      <c r="D160" s="116">
        <v>129.04586868975801</v>
      </c>
      <c r="E160" s="116">
        <v>130.87315423951699</v>
      </c>
      <c r="F160" s="116">
        <v>131.05000000000001</v>
      </c>
      <c r="G160">
        <v>125699</v>
      </c>
      <c r="H160" s="116"/>
      <c r="I160" s="116"/>
      <c r="L160" s="170">
        <v>42233</v>
      </c>
      <c r="M160" s="116">
        <v>129.391703897425</v>
      </c>
      <c r="N160" s="116">
        <v>131.26837746540301</v>
      </c>
      <c r="O160" s="116">
        <v>129.09538701827</v>
      </c>
      <c r="P160" s="116">
        <v>130.87328829319699</v>
      </c>
      <c r="Q160" s="116">
        <v>131</v>
      </c>
      <c r="R160">
        <v>798673</v>
      </c>
    </row>
    <row r="161" spans="1:18" x14ac:dyDescent="0.25">
      <c r="A161" s="170">
        <v>42234</v>
      </c>
      <c r="B161" s="116">
        <v>134.626497530915</v>
      </c>
      <c r="C161" s="116">
        <v>132.552281501458</v>
      </c>
      <c r="D161" s="116">
        <v>130.97192643139601</v>
      </c>
      <c r="E161" s="116">
        <v>133.29307294054999</v>
      </c>
      <c r="F161" s="116">
        <v>134.19999999999999</v>
      </c>
      <c r="G161">
        <v>288885</v>
      </c>
      <c r="H161" s="116"/>
      <c r="I161" s="116"/>
      <c r="L161" s="170">
        <v>42234</v>
      </c>
      <c r="M161" s="116">
        <v>132.50303112854601</v>
      </c>
      <c r="N161" s="116">
        <v>134.72540772220401</v>
      </c>
      <c r="O161" s="116">
        <v>130.92267443972301</v>
      </c>
      <c r="P161" s="116">
        <v>132.552417275072</v>
      </c>
      <c r="Q161" s="116">
        <v>134.15</v>
      </c>
      <c r="R161">
        <v>2189190</v>
      </c>
    </row>
    <row r="162" spans="1:18" x14ac:dyDescent="0.25">
      <c r="A162" s="170">
        <v>42235</v>
      </c>
      <c r="B162" s="116">
        <v>133.342459036489</v>
      </c>
      <c r="C162" s="116">
        <v>131.811490062367</v>
      </c>
      <c r="D162" s="116">
        <v>129.885432320728</v>
      </c>
      <c r="E162" s="116">
        <v>133.04614246085299</v>
      </c>
      <c r="F162" s="116">
        <v>133.44999999999999</v>
      </c>
      <c r="G162">
        <v>168533</v>
      </c>
      <c r="H162" s="116"/>
      <c r="I162" s="116"/>
      <c r="L162" s="170">
        <v>42235</v>
      </c>
      <c r="M162" s="116">
        <v>132.15732810286599</v>
      </c>
      <c r="N162" s="116">
        <v>133.14505103338101</v>
      </c>
      <c r="O162" s="116">
        <v>129.885565362682</v>
      </c>
      <c r="P162" s="116">
        <v>132.84873415422601</v>
      </c>
      <c r="Q162" s="116">
        <v>133.80000000000001</v>
      </c>
      <c r="R162">
        <v>1504926</v>
      </c>
    </row>
    <row r="163" spans="1:18" x14ac:dyDescent="0.25">
      <c r="A163" s="170">
        <v>42236</v>
      </c>
      <c r="B163" s="116">
        <v>133.24368684461001</v>
      </c>
      <c r="C163" s="116">
        <v>131.07069862327501</v>
      </c>
      <c r="D163" s="116">
        <v>130.18174889636501</v>
      </c>
      <c r="E163" s="116">
        <v>131.07069862327501</v>
      </c>
      <c r="F163" s="116">
        <v>132.69999999999999</v>
      </c>
      <c r="G163">
        <v>130005</v>
      </c>
      <c r="H163" s="116"/>
      <c r="I163" s="116"/>
      <c r="L163" s="170">
        <v>42236</v>
      </c>
      <c r="M163" s="116">
        <v>131.26837746540301</v>
      </c>
      <c r="N163" s="116">
        <v>133.34259561948301</v>
      </c>
      <c r="O163" s="116">
        <v>130.13249609531101</v>
      </c>
      <c r="P163" s="116">
        <v>131.66346663760899</v>
      </c>
      <c r="Q163" s="116">
        <v>132.9</v>
      </c>
      <c r="R163">
        <v>1354813</v>
      </c>
    </row>
    <row r="164" spans="1:18" x14ac:dyDescent="0.25">
      <c r="A164" s="170">
        <v>42237</v>
      </c>
      <c r="B164" s="116">
        <v>130.97192643139601</v>
      </c>
      <c r="C164" s="116">
        <v>129.19402697757599</v>
      </c>
      <c r="D164" s="116">
        <v>126.971652660301</v>
      </c>
      <c r="E164" s="116">
        <v>129.391571361334</v>
      </c>
      <c r="F164" s="116">
        <v>130.80000000000001</v>
      </c>
      <c r="G164">
        <v>165463</v>
      </c>
      <c r="H164" s="116"/>
      <c r="I164" s="116"/>
      <c r="L164" s="170">
        <v>42237</v>
      </c>
      <c r="M164" s="116">
        <v>128.799070139116</v>
      </c>
      <c r="N164" s="116">
        <v>130.57697141404199</v>
      </c>
      <c r="O164" s="116">
        <v>125.44081217536601</v>
      </c>
      <c r="P164" s="116">
        <v>129.885565362682</v>
      </c>
      <c r="Q164" s="116">
        <v>130.4</v>
      </c>
      <c r="R164">
        <v>1043785</v>
      </c>
    </row>
    <row r="165" spans="1:18" x14ac:dyDescent="0.25">
      <c r="A165" s="170">
        <v>42240</v>
      </c>
      <c r="B165" s="116">
        <v>126.922266564362</v>
      </c>
      <c r="C165" s="116">
        <v>113.588020660713</v>
      </c>
      <c r="D165" s="116">
        <v>112.007665590651</v>
      </c>
      <c r="E165" s="116">
        <v>126.922266564362</v>
      </c>
      <c r="F165" s="116">
        <v>115</v>
      </c>
      <c r="G165">
        <v>606126</v>
      </c>
      <c r="H165" s="116"/>
      <c r="I165" s="116"/>
      <c r="L165" s="170">
        <v>42240</v>
      </c>
      <c r="M165" s="116">
        <v>113.43997856961199</v>
      </c>
      <c r="N165" s="116">
        <v>127.31748574334399</v>
      </c>
      <c r="O165" s="116">
        <v>111.118829682903</v>
      </c>
      <c r="P165" s="116">
        <v>127.31748574334399</v>
      </c>
      <c r="Q165" s="116">
        <v>114.85</v>
      </c>
      <c r="R165">
        <v>3763375</v>
      </c>
    </row>
    <row r="166" spans="1:18" x14ac:dyDescent="0.25">
      <c r="A166" s="170">
        <v>42241</v>
      </c>
      <c r="B166" s="116">
        <v>117.983383199323</v>
      </c>
      <c r="C166" s="116">
        <v>116.798116896777</v>
      </c>
      <c r="D166" s="116">
        <v>107.51353086016201</v>
      </c>
      <c r="E166" s="116">
        <v>117.983383199323</v>
      </c>
      <c r="F166" s="116">
        <v>118.25</v>
      </c>
      <c r="G166">
        <v>419568</v>
      </c>
      <c r="H166" s="116"/>
      <c r="I166" s="116"/>
      <c r="L166" s="170">
        <v>42241</v>
      </c>
      <c r="M166" s="116">
        <v>116.106830482002</v>
      </c>
      <c r="N166" s="116">
        <v>117.93411790345399</v>
      </c>
      <c r="O166" s="116">
        <v>107.21732410737</v>
      </c>
      <c r="P166" s="116">
        <v>114.674632232756</v>
      </c>
      <c r="Q166" s="116">
        <v>117.55</v>
      </c>
      <c r="R166">
        <v>5056575</v>
      </c>
    </row>
    <row r="167" spans="1:18" x14ac:dyDescent="0.25">
      <c r="A167" s="170">
        <v>42242</v>
      </c>
      <c r="B167" s="116">
        <v>118.32908587089899</v>
      </c>
      <c r="C167" s="116">
        <v>116.007939361746</v>
      </c>
      <c r="D167" s="116">
        <v>114.081881620107</v>
      </c>
      <c r="E167" s="116">
        <v>116.55118641707899</v>
      </c>
      <c r="F167" s="116">
        <v>117.45</v>
      </c>
      <c r="G167">
        <v>227578</v>
      </c>
      <c r="H167" s="116"/>
      <c r="I167" s="116"/>
      <c r="L167" s="170">
        <v>42242</v>
      </c>
      <c r="M167" s="116">
        <v>115.859899749373</v>
      </c>
      <c r="N167" s="116">
        <v>118.32920707565999</v>
      </c>
      <c r="O167" s="116">
        <v>113.736295448767</v>
      </c>
      <c r="P167" s="116">
        <v>116.501919654208</v>
      </c>
      <c r="Q167" s="116">
        <v>117.3</v>
      </c>
      <c r="R167">
        <v>1404188</v>
      </c>
    </row>
    <row r="168" spans="1:18" x14ac:dyDescent="0.25">
      <c r="A168" s="170">
        <v>42243</v>
      </c>
      <c r="B168" s="116">
        <v>117.291977856171</v>
      </c>
      <c r="C168" s="116">
        <v>115.21776182671501</v>
      </c>
      <c r="D168" s="116">
        <v>114.77328696326001</v>
      </c>
      <c r="E168" s="116">
        <v>117.143819568353</v>
      </c>
      <c r="F168" s="116">
        <v>116.65</v>
      </c>
      <c r="G168">
        <v>272789</v>
      </c>
      <c r="H168" s="116"/>
      <c r="I168" s="116"/>
      <c r="L168" s="170">
        <v>42243</v>
      </c>
      <c r="M168" s="116">
        <v>114.921562965384</v>
      </c>
      <c r="N168" s="116">
        <v>117.98350404998</v>
      </c>
      <c r="O168" s="116">
        <v>114.477087646653</v>
      </c>
      <c r="P168" s="116">
        <v>117.78595946387701</v>
      </c>
      <c r="Q168" s="116">
        <v>116.35</v>
      </c>
      <c r="R168">
        <v>6857158</v>
      </c>
    </row>
    <row r="169" spans="1:18" x14ac:dyDescent="0.25">
      <c r="A169" s="170">
        <v>42244</v>
      </c>
      <c r="B169" s="116">
        <v>118.77356073435401</v>
      </c>
      <c r="C169" s="116">
        <v>116.403028129261</v>
      </c>
      <c r="D169" s="116">
        <v>115.662236690169</v>
      </c>
      <c r="E169" s="116">
        <v>116.205483745503</v>
      </c>
      <c r="F169" s="116">
        <v>117.85</v>
      </c>
      <c r="G169">
        <v>287684</v>
      </c>
      <c r="H169" s="116"/>
      <c r="I169" s="116"/>
      <c r="L169" s="170">
        <v>42244</v>
      </c>
      <c r="M169" s="116">
        <v>116.699464240311</v>
      </c>
      <c r="N169" s="116">
        <v>118.921840833969</v>
      </c>
      <c r="O169" s="116">
        <v>115.56358287021899</v>
      </c>
      <c r="P169" s="116">
        <v>116.89700882641399</v>
      </c>
      <c r="Q169" s="116">
        <v>118.15</v>
      </c>
      <c r="R169">
        <v>3490011</v>
      </c>
    </row>
    <row r="170" spans="1:18" x14ac:dyDescent="0.25">
      <c r="A170" s="170">
        <v>42247</v>
      </c>
      <c r="B170" s="116">
        <v>118.52663025465699</v>
      </c>
      <c r="C170" s="116">
        <v>118.131541487142</v>
      </c>
      <c r="D170" s="116">
        <v>115.464692306412</v>
      </c>
      <c r="E170" s="116">
        <v>117.44013614398899</v>
      </c>
      <c r="F170" s="116">
        <v>119.6</v>
      </c>
      <c r="G170">
        <v>160899</v>
      </c>
      <c r="H170" s="116"/>
      <c r="I170" s="116"/>
      <c r="L170" s="170">
        <v>42247</v>
      </c>
      <c r="M170" s="116">
        <v>118.131662489557</v>
      </c>
      <c r="N170" s="116">
        <v>118.67491010134</v>
      </c>
      <c r="O170" s="116">
        <v>115.41542443064201</v>
      </c>
      <c r="P170" s="116">
        <v>116.35376121463101</v>
      </c>
      <c r="Q170" s="116">
        <v>119.6</v>
      </c>
      <c r="R170">
        <v>2010188</v>
      </c>
    </row>
    <row r="171" spans="1:18" x14ac:dyDescent="0.25">
      <c r="A171" s="170">
        <v>42248</v>
      </c>
      <c r="B171" s="116">
        <v>117.538908335868</v>
      </c>
      <c r="C171" s="116">
        <v>114.032495524168</v>
      </c>
      <c r="D171" s="116">
        <v>112.84722922162101</v>
      </c>
      <c r="E171" s="116">
        <v>117.538908335868</v>
      </c>
      <c r="F171" s="116">
        <v>115.45</v>
      </c>
      <c r="G171">
        <v>176882</v>
      </c>
      <c r="H171" s="116"/>
      <c r="I171" s="116"/>
      <c r="L171" s="170">
        <v>42248</v>
      </c>
      <c r="M171" s="116">
        <v>113.785681595293</v>
      </c>
      <c r="N171" s="116">
        <v>117.29209799861999</v>
      </c>
      <c r="O171" s="116">
        <v>112.64980022520101</v>
      </c>
      <c r="P171" s="116">
        <v>117.29209799861999</v>
      </c>
      <c r="Q171" s="116">
        <v>115.2</v>
      </c>
      <c r="R171">
        <v>2716732</v>
      </c>
    </row>
    <row r="172" spans="1:18" x14ac:dyDescent="0.25">
      <c r="A172" s="170">
        <v>42249</v>
      </c>
      <c r="B172" s="116">
        <v>117.933997103384</v>
      </c>
      <c r="C172" s="116">
        <v>117.44013614398899</v>
      </c>
      <c r="D172" s="116">
        <v>114.081881620107</v>
      </c>
      <c r="E172" s="116">
        <v>115.563464498291</v>
      </c>
      <c r="F172" s="116">
        <v>118.9</v>
      </c>
      <c r="G172">
        <v>204671</v>
      </c>
      <c r="H172" s="116"/>
      <c r="I172" s="116"/>
      <c r="L172" s="170">
        <v>42249</v>
      </c>
      <c r="M172" s="116">
        <v>117.39087029167101</v>
      </c>
      <c r="N172" s="116">
        <v>117.884731756929</v>
      </c>
      <c r="O172" s="116">
        <v>114.081998474447</v>
      </c>
      <c r="P172" s="116">
        <v>114.674632232756</v>
      </c>
      <c r="Q172" s="116">
        <v>118.85</v>
      </c>
      <c r="R172">
        <v>1927201</v>
      </c>
    </row>
    <row r="173" spans="1:18" x14ac:dyDescent="0.25">
      <c r="A173" s="170">
        <v>42250</v>
      </c>
      <c r="B173" s="116">
        <v>122.971378889207</v>
      </c>
      <c r="C173" s="116">
        <v>122.329359641994</v>
      </c>
      <c r="D173" s="116">
        <v>117.63768052774699</v>
      </c>
      <c r="E173" s="116">
        <v>118.427858062778</v>
      </c>
      <c r="F173" s="116">
        <v>123.85</v>
      </c>
      <c r="G173">
        <v>438725</v>
      </c>
      <c r="H173" s="116"/>
      <c r="I173" s="116"/>
      <c r="L173" s="170">
        <v>42250</v>
      </c>
      <c r="M173" s="116">
        <v>122.625801823399</v>
      </c>
      <c r="N173" s="116">
        <v>123.465366314337</v>
      </c>
      <c r="O173" s="116">
        <v>117.539028731248</v>
      </c>
      <c r="P173" s="116">
        <v>119.267543859649</v>
      </c>
      <c r="Q173" s="116">
        <v>124.15</v>
      </c>
      <c r="R173">
        <v>4688477</v>
      </c>
    </row>
    <row r="174" spans="1:18" x14ac:dyDescent="0.25">
      <c r="A174" s="170">
        <v>42251</v>
      </c>
      <c r="B174" s="116">
        <v>122.625676217631</v>
      </c>
      <c r="C174" s="116">
        <v>118.822946830294</v>
      </c>
      <c r="D174" s="116">
        <v>115.563464498291</v>
      </c>
      <c r="E174" s="116">
        <v>122.625676217631</v>
      </c>
      <c r="F174" s="116">
        <v>120.3</v>
      </c>
      <c r="G174">
        <v>202706</v>
      </c>
      <c r="H174" s="116"/>
      <c r="I174" s="116"/>
      <c r="L174" s="170">
        <v>42251</v>
      </c>
      <c r="M174" s="116">
        <v>118.72429624786599</v>
      </c>
      <c r="N174" s="116">
        <v>123.020890995605</v>
      </c>
      <c r="O174" s="116">
        <v>115.31665213759</v>
      </c>
      <c r="P174" s="116">
        <v>123.020890995605</v>
      </c>
      <c r="Q174" s="116">
        <v>120.2</v>
      </c>
      <c r="R174">
        <v>2496844</v>
      </c>
    </row>
    <row r="175" spans="1:18" x14ac:dyDescent="0.25">
      <c r="A175" s="170">
        <v>42254</v>
      </c>
      <c r="B175" s="116">
        <v>120.995935051629</v>
      </c>
      <c r="C175" s="116">
        <v>118.97110511811201</v>
      </c>
      <c r="D175" s="116">
        <v>116.748730800837</v>
      </c>
      <c r="E175" s="116">
        <v>118.52663025465699</v>
      </c>
      <c r="F175" s="116">
        <v>120.45</v>
      </c>
      <c r="G175">
        <v>256250</v>
      </c>
      <c r="H175" s="116"/>
      <c r="I175" s="116"/>
      <c r="L175" s="170">
        <v>42254</v>
      </c>
      <c r="M175" s="116">
        <v>118.971226980495</v>
      </c>
      <c r="N175" s="116">
        <v>120.94667284152401</v>
      </c>
      <c r="O175" s="116">
        <v>116.89700882641399</v>
      </c>
      <c r="P175" s="116">
        <v>120.107108350587</v>
      </c>
      <c r="Q175" s="116">
        <v>120.45</v>
      </c>
      <c r="R175">
        <v>1349442</v>
      </c>
    </row>
    <row r="176" spans="1:18" x14ac:dyDescent="0.25">
      <c r="A176" s="170">
        <v>42255</v>
      </c>
      <c r="B176" s="116">
        <v>120.600846284114</v>
      </c>
      <c r="C176" s="116">
        <v>119.46496607750601</v>
      </c>
      <c r="D176" s="116">
        <v>115.662236690169</v>
      </c>
      <c r="E176" s="116">
        <v>119.41557998156701</v>
      </c>
      <c r="F176" s="116">
        <v>120.95</v>
      </c>
      <c r="G176">
        <v>133297</v>
      </c>
      <c r="H176" s="116"/>
      <c r="I176" s="116"/>
      <c r="L176" s="170">
        <v>42255</v>
      </c>
      <c r="M176" s="116">
        <v>119.465088445752</v>
      </c>
      <c r="N176" s="116">
        <v>120.600969815844</v>
      </c>
      <c r="O176" s="116">
        <v>115.56358287021899</v>
      </c>
      <c r="P176" s="116">
        <v>119.90956376448401</v>
      </c>
      <c r="Q176" s="116">
        <v>120.95</v>
      </c>
      <c r="R176">
        <v>1414288</v>
      </c>
    </row>
    <row r="177" spans="1:18" x14ac:dyDescent="0.25">
      <c r="A177" s="170">
        <v>42256</v>
      </c>
      <c r="B177" s="116">
        <v>122.971378889207</v>
      </c>
      <c r="C177" s="116">
        <v>122.082429162297</v>
      </c>
      <c r="D177" s="116">
        <v>120.156371420659</v>
      </c>
      <c r="E177" s="116">
        <v>120.50207409223501</v>
      </c>
      <c r="F177" s="116">
        <v>123.6</v>
      </c>
      <c r="G177">
        <v>156170</v>
      </c>
      <c r="H177" s="116"/>
      <c r="I177" s="116"/>
      <c r="L177" s="170">
        <v>42256</v>
      </c>
      <c r="M177" s="116">
        <v>122.131940358142</v>
      </c>
      <c r="N177" s="116">
        <v>122.971504849079</v>
      </c>
      <c r="O177" s="116">
        <v>120.05772220406099</v>
      </c>
      <c r="P177" s="116">
        <v>120.600969815844</v>
      </c>
      <c r="Q177" s="116">
        <v>123.65</v>
      </c>
      <c r="R177">
        <v>1569358</v>
      </c>
    </row>
    <row r="178" spans="1:18" x14ac:dyDescent="0.25">
      <c r="A178" s="170">
        <v>42257</v>
      </c>
      <c r="B178" s="116">
        <v>122.872606697328</v>
      </c>
      <c r="C178" s="116">
        <v>122.378745737933</v>
      </c>
      <c r="D178" s="116">
        <v>118.674788542475</v>
      </c>
      <c r="E178" s="116">
        <v>120.699618475992</v>
      </c>
      <c r="F178" s="116">
        <v>123.9</v>
      </c>
      <c r="G178">
        <v>133348</v>
      </c>
      <c r="H178" s="116"/>
      <c r="I178" s="116"/>
      <c r="L178" s="170">
        <v>42257</v>
      </c>
      <c r="M178" s="116">
        <v>122.230712651193</v>
      </c>
      <c r="N178" s="116">
        <v>123.070277142131</v>
      </c>
      <c r="O178" s="116">
        <v>118.526751661763</v>
      </c>
      <c r="P178" s="116">
        <v>120.502197522792</v>
      </c>
      <c r="Q178" s="116">
        <v>123.75</v>
      </c>
      <c r="R178">
        <v>1042265</v>
      </c>
    </row>
    <row r="179" spans="1:18" x14ac:dyDescent="0.25">
      <c r="A179" s="170">
        <v>42258</v>
      </c>
      <c r="B179" s="116">
        <v>123.860328616117</v>
      </c>
      <c r="C179" s="116">
        <v>121.391023819145</v>
      </c>
      <c r="D179" s="116">
        <v>120.798390667871</v>
      </c>
      <c r="E179" s="116">
        <v>122.72444840950899</v>
      </c>
      <c r="F179" s="116">
        <v>122.9</v>
      </c>
      <c r="G179">
        <v>181801</v>
      </c>
      <c r="H179" s="116"/>
      <c r="I179" s="116"/>
      <c r="L179" s="170">
        <v>42258</v>
      </c>
      <c r="M179" s="116">
        <v>121.736851185936</v>
      </c>
      <c r="N179" s="116">
        <v>123.761683193491</v>
      </c>
      <c r="O179" s="116">
        <v>121.193603574153</v>
      </c>
      <c r="P179" s="116">
        <v>123.267821728234</v>
      </c>
      <c r="Q179" s="116">
        <v>123.25</v>
      </c>
      <c r="R179">
        <v>784377</v>
      </c>
    </row>
    <row r="180" spans="1:18" x14ac:dyDescent="0.25">
      <c r="A180" s="170">
        <v>42261</v>
      </c>
      <c r="B180" s="116">
        <v>123.16892327296399</v>
      </c>
      <c r="C180" s="116">
        <v>122.773834505449</v>
      </c>
      <c r="D180" s="116">
        <v>120.205757516598</v>
      </c>
      <c r="E180" s="116">
        <v>121.489796011023</v>
      </c>
      <c r="F180" s="116">
        <v>124.3</v>
      </c>
      <c r="G180">
        <v>54079</v>
      </c>
      <c r="H180" s="116"/>
      <c r="I180" s="116"/>
      <c r="L180" s="170">
        <v>42261</v>
      </c>
      <c r="M180" s="116">
        <v>122.527029530348</v>
      </c>
      <c r="N180" s="116">
        <v>122.971504849079</v>
      </c>
      <c r="O180" s="116">
        <v>120.15649449711201</v>
      </c>
      <c r="P180" s="116">
        <v>122.576415676873</v>
      </c>
      <c r="Q180" s="116">
        <v>124.05</v>
      </c>
      <c r="R180">
        <v>789201</v>
      </c>
    </row>
    <row r="181" spans="1:18" x14ac:dyDescent="0.25">
      <c r="A181" s="170">
        <v>42262</v>
      </c>
      <c r="B181" s="116">
        <v>124.749278343027</v>
      </c>
      <c r="C181" s="116">
        <v>123.76155642423799</v>
      </c>
      <c r="D181" s="116">
        <v>122.72444840950899</v>
      </c>
      <c r="E181" s="116">
        <v>122.823220601388</v>
      </c>
      <c r="F181" s="116">
        <v>125.3</v>
      </c>
      <c r="G181">
        <v>384431</v>
      </c>
      <c r="H181" s="116"/>
      <c r="I181" s="116"/>
      <c r="L181" s="170">
        <v>42262</v>
      </c>
      <c r="M181" s="116">
        <v>123.86045548654199</v>
      </c>
      <c r="N181" s="116">
        <v>124.897564563583</v>
      </c>
      <c r="O181" s="116">
        <v>122.527029530348</v>
      </c>
      <c r="P181" s="116">
        <v>122.527029530348</v>
      </c>
      <c r="Q181" s="116">
        <v>125.4</v>
      </c>
      <c r="R181">
        <v>939558</v>
      </c>
    </row>
    <row r="182" spans="1:18" x14ac:dyDescent="0.25">
      <c r="A182" s="170">
        <v>42263</v>
      </c>
      <c r="B182" s="116">
        <v>125.045594918663</v>
      </c>
      <c r="C182" s="116">
        <v>121.687340394781</v>
      </c>
      <c r="D182" s="116">
        <v>120.699618475992</v>
      </c>
      <c r="E182" s="116">
        <v>125.045594918663</v>
      </c>
      <c r="F182" s="116">
        <v>123.2</v>
      </c>
      <c r="G182">
        <v>89122</v>
      </c>
      <c r="H182" s="116"/>
      <c r="I182" s="116"/>
      <c r="L182" s="170">
        <v>42263</v>
      </c>
      <c r="M182" s="116">
        <v>121.588692746359</v>
      </c>
      <c r="N182" s="116">
        <v>125.39142602884</v>
      </c>
      <c r="O182" s="116">
        <v>120.65035596237</v>
      </c>
      <c r="P182" s="116">
        <v>125.39142602884</v>
      </c>
      <c r="Q182" s="116">
        <v>123.1</v>
      </c>
      <c r="R182">
        <v>695624</v>
      </c>
    </row>
    <row r="183" spans="1:18" x14ac:dyDescent="0.25">
      <c r="A183" s="170">
        <v>42265</v>
      </c>
      <c r="B183" s="116">
        <v>124.20603128769299</v>
      </c>
      <c r="C183" s="116">
        <v>123.712170328298</v>
      </c>
      <c r="D183" s="116">
        <v>121.687340394781</v>
      </c>
      <c r="E183" s="116">
        <v>122.477517929812</v>
      </c>
      <c r="F183" s="116">
        <v>125.25</v>
      </c>
      <c r="G183">
        <v>92629</v>
      </c>
      <c r="H183" s="116"/>
      <c r="I183" s="116"/>
      <c r="L183" s="170">
        <v>42265</v>
      </c>
      <c r="M183" s="116">
        <v>123.909841633068</v>
      </c>
      <c r="N183" s="116">
        <v>124.453089244851</v>
      </c>
      <c r="O183" s="116">
        <v>121.39114816025599</v>
      </c>
      <c r="P183" s="116">
        <v>122.477643383822</v>
      </c>
      <c r="Q183" s="116">
        <v>125.45</v>
      </c>
      <c r="R183">
        <v>1284690</v>
      </c>
    </row>
    <row r="184" spans="1:18" x14ac:dyDescent="0.25">
      <c r="A184" s="170">
        <v>42268</v>
      </c>
      <c r="B184" s="116">
        <v>124.798664438966</v>
      </c>
      <c r="C184" s="116">
        <v>124.156645191753</v>
      </c>
      <c r="D184" s="116">
        <v>122.329359641994</v>
      </c>
      <c r="E184" s="116">
        <v>123.95910080799599</v>
      </c>
      <c r="F184" s="116">
        <v>125.7</v>
      </c>
      <c r="G184">
        <v>90552</v>
      </c>
      <c r="H184" s="116"/>
      <c r="I184" s="116"/>
      <c r="L184" s="170">
        <v>42268</v>
      </c>
      <c r="M184" s="116">
        <v>123.959227779594</v>
      </c>
      <c r="N184" s="116">
        <v>124.65063383095401</v>
      </c>
      <c r="O184" s="116">
        <v>121.539306599833</v>
      </c>
      <c r="P184" s="116">
        <v>121.539306599833</v>
      </c>
      <c r="Q184" s="116">
        <v>125.5</v>
      </c>
      <c r="R184">
        <v>623623</v>
      </c>
    </row>
    <row r="185" spans="1:18" x14ac:dyDescent="0.25">
      <c r="A185" s="170">
        <v>42269</v>
      </c>
      <c r="B185" s="116">
        <v>125.39129759023901</v>
      </c>
      <c r="C185" s="116">
        <v>122.428131833873</v>
      </c>
      <c r="D185" s="116">
        <v>121.588568202902</v>
      </c>
      <c r="E185" s="116">
        <v>124.798664438966</v>
      </c>
      <c r="F185" s="116">
        <v>123.95</v>
      </c>
      <c r="G185">
        <v>154580</v>
      </c>
      <c r="H185" s="116"/>
      <c r="I185" s="116"/>
      <c r="L185" s="170">
        <v>42269</v>
      </c>
      <c r="M185" s="116">
        <v>122.37887109077001</v>
      </c>
      <c r="N185" s="116">
        <v>125.44081217536601</v>
      </c>
      <c r="O185" s="116">
        <v>121.39114816025599</v>
      </c>
      <c r="P185" s="116">
        <v>124.65063383095401</v>
      </c>
      <c r="Q185" s="116">
        <v>123.9</v>
      </c>
      <c r="R185">
        <v>1284630</v>
      </c>
    </row>
    <row r="186" spans="1:18" x14ac:dyDescent="0.25">
      <c r="A186" s="170">
        <v>42270</v>
      </c>
      <c r="B186" s="116">
        <v>123.95910080799599</v>
      </c>
      <c r="C186" s="116">
        <v>123.61339813641899</v>
      </c>
      <c r="D186" s="116">
        <v>120.798390667871</v>
      </c>
      <c r="E186" s="116">
        <v>123.95910080799599</v>
      </c>
      <c r="F186" s="116">
        <v>125.15</v>
      </c>
      <c r="G186">
        <v>92810</v>
      </c>
      <c r="H186" s="116"/>
      <c r="I186" s="116"/>
      <c r="L186" s="170">
        <v>42270</v>
      </c>
      <c r="M186" s="116">
        <v>123.465366314337</v>
      </c>
      <c r="N186" s="116">
        <v>123.811069340017</v>
      </c>
      <c r="O186" s="116">
        <v>120.749128255421</v>
      </c>
      <c r="P186" s="116">
        <v>121.835623478987</v>
      </c>
      <c r="Q186" s="116">
        <v>125</v>
      </c>
      <c r="R186">
        <v>1055109</v>
      </c>
    </row>
    <row r="187" spans="1:18" x14ac:dyDescent="0.25">
      <c r="A187" s="170">
        <v>42271</v>
      </c>
      <c r="B187" s="116">
        <v>124.601120055208</v>
      </c>
      <c r="C187" s="116">
        <v>122.477517929812</v>
      </c>
      <c r="D187" s="116">
        <v>122.033043066357</v>
      </c>
      <c r="E187" s="116">
        <v>123.415853752662</v>
      </c>
      <c r="F187" s="116">
        <v>124</v>
      </c>
      <c r="G187">
        <v>76608</v>
      </c>
      <c r="H187" s="116"/>
      <c r="I187" s="116"/>
      <c r="L187" s="170">
        <v>42271</v>
      </c>
      <c r="M187" s="116">
        <v>122.67518796992501</v>
      </c>
      <c r="N187" s="116">
        <v>124.40370309832601</v>
      </c>
      <c r="O187" s="116">
        <v>122.131940358142</v>
      </c>
      <c r="P187" s="116">
        <v>123.267821728234</v>
      </c>
      <c r="Q187" s="116">
        <v>124.2</v>
      </c>
      <c r="R187">
        <v>1011551</v>
      </c>
    </row>
    <row r="188" spans="1:18" x14ac:dyDescent="0.25">
      <c r="A188" s="170">
        <v>42275</v>
      </c>
      <c r="B188" s="116">
        <v>126.132089029331</v>
      </c>
      <c r="C188" s="116">
        <v>125.29252539836</v>
      </c>
      <c r="D188" s="116">
        <v>122.477517929812</v>
      </c>
      <c r="E188" s="116">
        <v>124.40357567145</v>
      </c>
      <c r="F188" s="116">
        <v>126.85</v>
      </c>
      <c r="G188">
        <v>158009</v>
      </c>
      <c r="H188" s="116"/>
      <c r="I188" s="116"/>
      <c r="L188" s="170">
        <v>42275</v>
      </c>
      <c r="M188" s="116">
        <v>125.539584468417</v>
      </c>
      <c r="N188" s="116">
        <v>126.428535105881</v>
      </c>
      <c r="O188" s="116">
        <v>122.28009879771901</v>
      </c>
      <c r="P188" s="116">
        <v>123.465366314337</v>
      </c>
      <c r="Q188" s="116">
        <v>127.1</v>
      </c>
      <c r="R188">
        <v>1253307</v>
      </c>
    </row>
    <row r="189" spans="1:18" x14ac:dyDescent="0.25">
      <c r="A189" s="170">
        <v>42276</v>
      </c>
      <c r="B189" s="116">
        <v>125.885158549634</v>
      </c>
      <c r="C189" s="116">
        <v>124.749278343027</v>
      </c>
      <c r="D189" s="116">
        <v>121.687340394781</v>
      </c>
      <c r="E189" s="116">
        <v>125.440683686179</v>
      </c>
      <c r="F189" s="116">
        <v>126.3</v>
      </c>
      <c r="G189">
        <v>144763</v>
      </c>
      <c r="H189" s="116"/>
      <c r="I189" s="116"/>
      <c r="L189" s="170">
        <v>42276</v>
      </c>
      <c r="M189" s="116">
        <v>125.04572300316001</v>
      </c>
      <c r="N189" s="116">
        <v>126.033445933675</v>
      </c>
      <c r="O189" s="116">
        <v>121.588692746359</v>
      </c>
      <c r="P189" s="116">
        <v>124.94695071010899</v>
      </c>
      <c r="Q189" s="116">
        <v>126.6</v>
      </c>
      <c r="R189">
        <v>1009942</v>
      </c>
    </row>
    <row r="190" spans="1:18" x14ac:dyDescent="0.25">
      <c r="A190" s="170">
        <v>42277</v>
      </c>
      <c r="B190" s="116">
        <v>127.761830195332</v>
      </c>
      <c r="C190" s="116">
        <v>126.132089029331</v>
      </c>
      <c r="D190" s="116">
        <v>125.09498101460299</v>
      </c>
      <c r="E190" s="116">
        <v>126.823494372483</v>
      </c>
      <c r="F190" s="116">
        <v>127.7</v>
      </c>
      <c r="G190">
        <v>146796</v>
      </c>
      <c r="H190" s="116"/>
      <c r="I190" s="116"/>
      <c r="L190" s="170">
        <v>42277</v>
      </c>
      <c r="M190" s="116">
        <v>126.230990519778</v>
      </c>
      <c r="N190" s="116">
        <v>127.81134720860101</v>
      </c>
      <c r="O190" s="116">
        <v>125.095109149686</v>
      </c>
      <c r="P190" s="116">
        <v>125.835901347572</v>
      </c>
      <c r="Q190" s="116">
        <v>127.8</v>
      </c>
      <c r="R190">
        <v>915110</v>
      </c>
    </row>
    <row r="191" spans="1:18" x14ac:dyDescent="0.25">
      <c r="A191" s="170">
        <v>42278</v>
      </c>
      <c r="B191" s="116">
        <v>129.58911574509199</v>
      </c>
      <c r="C191" s="116">
        <v>128.65077992224201</v>
      </c>
      <c r="D191" s="116">
        <v>125.83577245369401</v>
      </c>
      <c r="E191" s="116">
        <v>126.576563892786</v>
      </c>
      <c r="F191" s="116">
        <v>130.25</v>
      </c>
      <c r="G191">
        <v>241822</v>
      </c>
      <c r="H191" s="116"/>
      <c r="I191" s="116"/>
      <c r="L191" s="170">
        <v>42278</v>
      </c>
      <c r="M191" s="116">
        <v>128.453367113436</v>
      </c>
      <c r="N191" s="116">
        <v>129.589248483528</v>
      </c>
      <c r="O191" s="116">
        <v>125.835901347572</v>
      </c>
      <c r="P191" s="116">
        <v>127.36687188987</v>
      </c>
      <c r="Q191" s="116">
        <v>130.05000000000001</v>
      </c>
      <c r="R191">
        <v>1218988</v>
      </c>
    </row>
    <row r="192" spans="1:18" x14ac:dyDescent="0.25">
      <c r="A192" s="170">
        <v>42282</v>
      </c>
      <c r="B192" s="116">
        <v>130.774382047638</v>
      </c>
      <c r="C192" s="116">
        <v>130.033590608547</v>
      </c>
      <c r="D192" s="116">
        <v>128.45323553848499</v>
      </c>
      <c r="E192" s="116">
        <v>129.885432320728</v>
      </c>
      <c r="F192" s="116">
        <v>131.65</v>
      </c>
      <c r="G192">
        <v>134142</v>
      </c>
      <c r="H192" s="116"/>
      <c r="I192" s="116"/>
      <c r="L192" s="170">
        <v>42282</v>
      </c>
      <c r="M192" s="116">
        <v>130.231268388362</v>
      </c>
      <c r="N192" s="116">
        <v>130.823902146671</v>
      </c>
      <c r="O192" s="116">
        <v>128.502753259961</v>
      </c>
      <c r="P192" s="116">
        <v>129.83617921615601</v>
      </c>
      <c r="Q192" s="116">
        <v>131.85</v>
      </c>
      <c r="R192">
        <v>746173</v>
      </c>
    </row>
    <row r="193" spans="1:18" x14ac:dyDescent="0.25">
      <c r="A193" s="170">
        <v>42283</v>
      </c>
      <c r="B193" s="116">
        <v>130.922540335457</v>
      </c>
      <c r="C193" s="116">
        <v>128.996482593818</v>
      </c>
      <c r="D193" s="116">
        <v>128.05814677096899</v>
      </c>
      <c r="E193" s="116">
        <v>130.37929328012299</v>
      </c>
      <c r="F193" s="116">
        <v>130.6</v>
      </c>
      <c r="G193">
        <v>250711</v>
      </c>
      <c r="H193" s="116"/>
      <c r="I193" s="116"/>
      <c r="L193" s="170">
        <v>42283</v>
      </c>
      <c r="M193" s="116">
        <v>128.947228578693</v>
      </c>
      <c r="N193" s="116">
        <v>130.92267443972301</v>
      </c>
      <c r="O193" s="116">
        <v>128.008891794704</v>
      </c>
      <c r="P193" s="116">
        <v>130.87328829319699</v>
      </c>
      <c r="Q193" s="116">
        <v>130.55000000000001</v>
      </c>
      <c r="R193">
        <v>1009128</v>
      </c>
    </row>
    <row r="194" spans="1:18" x14ac:dyDescent="0.25">
      <c r="A194" s="170">
        <v>42284</v>
      </c>
      <c r="B194" s="116">
        <v>132.20657882988201</v>
      </c>
      <c r="C194" s="116">
        <v>131.169470815154</v>
      </c>
      <c r="D194" s="116">
        <v>130.37929328012299</v>
      </c>
      <c r="E194" s="116">
        <v>130.87315423951699</v>
      </c>
      <c r="F194" s="116">
        <v>132.80000000000001</v>
      </c>
      <c r="G194">
        <v>134546</v>
      </c>
      <c r="H194" s="116"/>
      <c r="I194" s="116"/>
      <c r="L194" s="170">
        <v>42284</v>
      </c>
      <c r="M194" s="116">
        <v>131.41653590498001</v>
      </c>
      <c r="N194" s="116">
        <v>132.30548654244299</v>
      </c>
      <c r="O194" s="116">
        <v>129.98433765573401</v>
      </c>
      <c r="P194" s="116">
        <v>130.47819912099101</v>
      </c>
      <c r="Q194" s="116">
        <v>133.05000000000001</v>
      </c>
      <c r="R194">
        <v>994870</v>
      </c>
    </row>
    <row r="195" spans="1:18" x14ac:dyDescent="0.25">
      <c r="A195" s="170">
        <v>42285</v>
      </c>
      <c r="B195" s="116">
        <v>132.305351021761</v>
      </c>
      <c r="C195" s="116">
        <v>131.46578739079001</v>
      </c>
      <c r="D195" s="116">
        <v>130.18174889636501</v>
      </c>
      <c r="E195" s="116">
        <v>131.76210396642699</v>
      </c>
      <c r="F195" s="116">
        <v>133.1</v>
      </c>
      <c r="G195">
        <v>136284</v>
      </c>
      <c r="H195" s="116"/>
      <c r="I195" s="116"/>
      <c r="L195" s="170">
        <v>42285</v>
      </c>
      <c r="M195" s="116">
        <v>131.71285278413399</v>
      </c>
      <c r="N195" s="116">
        <v>133.24382332643199</v>
      </c>
      <c r="O195" s="116">
        <v>130.231268388362</v>
      </c>
      <c r="P195" s="116">
        <v>133.24382332643199</v>
      </c>
      <c r="Q195" s="116">
        <v>133.35</v>
      </c>
      <c r="R195">
        <v>846622</v>
      </c>
    </row>
    <row r="196" spans="1:18" x14ac:dyDescent="0.25">
      <c r="A196" s="170">
        <v>42286</v>
      </c>
      <c r="B196" s="116">
        <v>133.441231228368</v>
      </c>
      <c r="C196" s="116">
        <v>133.04614246085299</v>
      </c>
      <c r="D196" s="116">
        <v>132.10780663800301</v>
      </c>
      <c r="E196" s="116">
        <v>132.453509309579</v>
      </c>
      <c r="F196" s="116">
        <v>134.69999999999999</v>
      </c>
      <c r="G196">
        <v>185854</v>
      </c>
      <c r="H196" s="116"/>
      <c r="I196" s="116"/>
      <c r="L196" s="170">
        <v>42286</v>
      </c>
      <c r="M196" s="116">
        <v>133.046278740329</v>
      </c>
      <c r="N196" s="116">
        <v>133.688298645164</v>
      </c>
      <c r="O196" s="116">
        <v>131.71285278413399</v>
      </c>
      <c r="P196" s="116">
        <v>132.35487268896901</v>
      </c>
      <c r="Q196" s="116">
        <v>134.69999999999999</v>
      </c>
      <c r="R196">
        <v>1317037</v>
      </c>
    </row>
    <row r="197" spans="1:18" x14ac:dyDescent="0.25">
      <c r="A197" s="170">
        <v>42289</v>
      </c>
      <c r="B197" s="116">
        <v>134.13263657152001</v>
      </c>
      <c r="C197" s="116">
        <v>133.14491465273099</v>
      </c>
      <c r="D197" s="116">
        <v>132.25596492582201</v>
      </c>
      <c r="E197" s="116">
        <v>134.083250475581</v>
      </c>
      <c r="F197" s="116">
        <v>134.80000000000001</v>
      </c>
      <c r="G197">
        <v>141685</v>
      </c>
      <c r="H197" s="116"/>
      <c r="I197" s="116"/>
      <c r="L197" s="170">
        <v>42289</v>
      </c>
      <c r="M197" s="116">
        <v>132.898120300752</v>
      </c>
      <c r="N197" s="116">
        <v>134.330318549998</v>
      </c>
      <c r="O197" s="116">
        <v>132.256100395917</v>
      </c>
      <c r="P197" s="116">
        <v>133.34259561948301</v>
      </c>
      <c r="Q197" s="116">
        <v>134.55000000000001</v>
      </c>
      <c r="R197">
        <v>566886</v>
      </c>
    </row>
    <row r="198" spans="1:18" x14ac:dyDescent="0.25">
      <c r="A198" s="170">
        <v>42290</v>
      </c>
      <c r="B198" s="116">
        <v>133.14491465273099</v>
      </c>
      <c r="C198" s="116">
        <v>130.774382047638</v>
      </c>
      <c r="D198" s="116">
        <v>130.23113499230399</v>
      </c>
      <c r="E198" s="116">
        <v>133.14491465273099</v>
      </c>
      <c r="F198" s="116">
        <v>132.4</v>
      </c>
      <c r="G198">
        <v>105222</v>
      </c>
      <c r="H198" s="116"/>
      <c r="I198" s="116"/>
      <c r="L198" s="170">
        <v>42290</v>
      </c>
      <c r="M198" s="116">
        <v>130.675743707094</v>
      </c>
      <c r="N198" s="116">
        <v>133.046278740329</v>
      </c>
      <c r="O198" s="116">
        <v>130.08310994878499</v>
      </c>
      <c r="P198" s="116">
        <v>132.898120300752</v>
      </c>
      <c r="Q198" s="116">
        <v>132.30000000000001</v>
      </c>
      <c r="R198">
        <v>1028678</v>
      </c>
    </row>
    <row r="199" spans="1:18" x14ac:dyDescent="0.25">
      <c r="A199" s="170">
        <v>42291</v>
      </c>
      <c r="B199" s="116">
        <v>133.342459036489</v>
      </c>
      <c r="C199" s="116">
        <v>132.35473711770001</v>
      </c>
      <c r="D199" s="116">
        <v>130.87315423951699</v>
      </c>
      <c r="E199" s="116">
        <v>132.25596492582201</v>
      </c>
      <c r="F199" s="116">
        <v>134</v>
      </c>
      <c r="G199">
        <v>121776</v>
      </c>
      <c r="H199" s="116"/>
      <c r="I199" s="116"/>
      <c r="L199" s="170">
        <v>42291</v>
      </c>
      <c r="M199" s="116">
        <v>132.35487268896901</v>
      </c>
      <c r="N199" s="116">
        <v>133.34259561948301</v>
      </c>
      <c r="O199" s="116">
        <v>130.77451600014501</v>
      </c>
      <c r="P199" s="116">
        <v>131.36714975845399</v>
      </c>
      <c r="Q199" s="116">
        <v>134</v>
      </c>
      <c r="R199">
        <v>1428493</v>
      </c>
    </row>
    <row r="200" spans="1:18" x14ac:dyDescent="0.25">
      <c r="A200" s="170">
        <v>42292</v>
      </c>
      <c r="B200" s="116">
        <v>134.42895314715699</v>
      </c>
      <c r="C200" s="116">
        <v>133.095528556792</v>
      </c>
      <c r="D200" s="116">
        <v>131.61394567860901</v>
      </c>
      <c r="E200" s="116">
        <v>134.330180955278</v>
      </c>
      <c r="F200" s="116">
        <v>134.75</v>
      </c>
      <c r="G200">
        <v>113371</v>
      </c>
      <c r="H200" s="116"/>
      <c r="I200" s="116"/>
      <c r="L200" s="170">
        <v>42292</v>
      </c>
      <c r="M200" s="116">
        <v>133.046278740329</v>
      </c>
      <c r="N200" s="116">
        <v>133.34259561948301</v>
      </c>
      <c r="O200" s="116">
        <v>131.56469434455701</v>
      </c>
      <c r="P200" s="116">
        <v>132.552417275072</v>
      </c>
      <c r="Q200" s="116">
        <v>134.69999999999999</v>
      </c>
      <c r="R200">
        <v>591991</v>
      </c>
    </row>
    <row r="201" spans="1:18" x14ac:dyDescent="0.25">
      <c r="A201" s="170">
        <v>42293</v>
      </c>
      <c r="B201" s="116">
        <v>133.836319995884</v>
      </c>
      <c r="C201" s="116">
        <v>132.65105369333699</v>
      </c>
      <c r="D201" s="116">
        <v>131.021312527335</v>
      </c>
      <c r="E201" s="116">
        <v>133.836319995884</v>
      </c>
      <c r="F201" s="116">
        <v>134.30000000000001</v>
      </c>
      <c r="G201">
        <v>91679</v>
      </c>
      <c r="H201" s="116"/>
      <c r="I201" s="116"/>
      <c r="L201" s="170">
        <v>42293</v>
      </c>
      <c r="M201" s="116">
        <v>132.35487268896901</v>
      </c>
      <c r="N201" s="116">
        <v>133.540140205586</v>
      </c>
      <c r="O201" s="116">
        <v>130.97206058624801</v>
      </c>
      <c r="P201" s="116">
        <v>133.34259561948301</v>
      </c>
      <c r="Q201" s="116">
        <v>134</v>
      </c>
      <c r="R201">
        <v>357403</v>
      </c>
    </row>
    <row r="202" spans="1:18" x14ac:dyDescent="0.25">
      <c r="A202" s="170">
        <v>42296</v>
      </c>
      <c r="B202" s="116">
        <v>133.441231228368</v>
      </c>
      <c r="C202" s="116">
        <v>133.194300748671</v>
      </c>
      <c r="D202" s="116">
        <v>131.86087615830601</v>
      </c>
      <c r="E202" s="116">
        <v>133.342459036489</v>
      </c>
      <c r="F202" s="116">
        <v>134.85</v>
      </c>
      <c r="G202">
        <v>76248</v>
      </c>
      <c r="H202" s="116"/>
      <c r="I202" s="116"/>
      <c r="L202" s="170">
        <v>42296</v>
      </c>
      <c r="M202" s="116">
        <v>133.046278740329</v>
      </c>
      <c r="N202" s="116">
        <v>133.44136791253499</v>
      </c>
      <c r="O202" s="116">
        <v>131.614080491083</v>
      </c>
      <c r="P202" s="116">
        <v>131.959783516763</v>
      </c>
      <c r="Q202" s="116">
        <v>134.69999999999999</v>
      </c>
      <c r="R202">
        <v>405056</v>
      </c>
    </row>
    <row r="203" spans="1:18" x14ac:dyDescent="0.25">
      <c r="A203" s="170">
        <v>42297</v>
      </c>
      <c r="B203" s="116">
        <v>139.76265150861599</v>
      </c>
      <c r="C203" s="116">
        <v>137.49089109540199</v>
      </c>
      <c r="D203" s="116">
        <v>132.89798417303399</v>
      </c>
      <c r="E203" s="116">
        <v>133.194300748671</v>
      </c>
      <c r="F203" s="116">
        <v>139.19999999999999</v>
      </c>
      <c r="G203">
        <v>339850</v>
      </c>
      <c r="H203" s="116"/>
      <c r="I203" s="116"/>
      <c r="L203" s="170">
        <v>42297</v>
      </c>
      <c r="M203" s="116">
        <v>137.68857651374799</v>
      </c>
      <c r="N203" s="116">
        <v>140.157883840035</v>
      </c>
      <c r="O203" s="116">
        <v>132.99689259380301</v>
      </c>
      <c r="P203" s="116">
        <v>133.046278740329</v>
      </c>
      <c r="Q203" s="116">
        <v>139.4</v>
      </c>
      <c r="R203">
        <v>2469431</v>
      </c>
    </row>
    <row r="204" spans="1:18" x14ac:dyDescent="0.25">
      <c r="A204" s="170">
        <v>42298</v>
      </c>
      <c r="B204" s="116">
        <v>138.182296438554</v>
      </c>
      <c r="C204" s="116">
        <v>135.515447257825</v>
      </c>
      <c r="D204" s="116">
        <v>133.836319995884</v>
      </c>
      <c r="E204" s="116">
        <v>138.182296438554</v>
      </c>
      <c r="F204" s="116">
        <v>137.19999999999999</v>
      </c>
      <c r="G204">
        <v>85018</v>
      </c>
      <c r="H204" s="116"/>
      <c r="I204" s="116"/>
      <c r="L204" s="170">
        <v>42298</v>
      </c>
      <c r="M204" s="116">
        <v>135.861289092296</v>
      </c>
      <c r="N204" s="116">
        <v>137.98489339290299</v>
      </c>
      <c r="O204" s="116">
        <v>133.93522937779201</v>
      </c>
      <c r="P204" s="116">
        <v>137.98489339290299</v>
      </c>
      <c r="Q204" s="116">
        <v>137.55000000000001</v>
      </c>
      <c r="R204">
        <v>589717</v>
      </c>
    </row>
    <row r="205" spans="1:18" x14ac:dyDescent="0.25">
      <c r="A205" s="170">
        <v>42300</v>
      </c>
      <c r="B205" s="116">
        <v>138.08352424667501</v>
      </c>
      <c r="C205" s="116">
        <v>135.81176383346099</v>
      </c>
      <c r="D205" s="116">
        <v>135.21913068218799</v>
      </c>
      <c r="E205" s="116">
        <v>137.58966328728101</v>
      </c>
      <c r="F205" s="116">
        <v>137.5</v>
      </c>
      <c r="G205">
        <v>79715</v>
      </c>
      <c r="H205" s="116"/>
      <c r="I205" s="116"/>
      <c r="L205" s="170">
        <v>42300</v>
      </c>
      <c r="M205" s="116">
        <v>136.10821982492499</v>
      </c>
      <c r="N205" s="116">
        <v>138.281210272057</v>
      </c>
      <c r="O205" s="116">
        <v>135.16988304093601</v>
      </c>
      <c r="P205" s="116">
        <v>136.997170462388</v>
      </c>
      <c r="Q205" s="116">
        <v>137.80000000000001</v>
      </c>
      <c r="R205">
        <v>413539</v>
      </c>
    </row>
    <row r="206" spans="1:18" x14ac:dyDescent="0.25">
      <c r="A206" s="170">
        <v>42303</v>
      </c>
      <c r="B206" s="116">
        <v>138.08352424667501</v>
      </c>
      <c r="C206" s="116">
        <v>136.75009965631099</v>
      </c>
      <c r="D206" s="116">
        <v>135.71299164158199</v>
      </c>
      <c r="E206" s="116">
        <v>136.10808040909799</v>
      </c>
      <c r="F206" s="116">
        <v>138.44999999999999</v>
      </c>
      <c r="G206">
        <v>88151</v>
      </c>
      <c r="H206" s="116"/>
      <c r="I206" s="116"/>
      <c r="L206" s="170">
        <v>42303</v>
      </c>
      <c r="M206" s="116">
        <v>137.19471504849099</v>
      </c>
      <c r="N206" s="116">
        <v>138.47875485815999</v>
      </c>
      <c r="O206" s="116">
        <v>135.51558606661601</v>
      </c>
      <c r="P206" s="116">
        <v>136.700853583233</v>
      </c>
      <c r="Q206" s="116">
        <v>138.9</v>
      </c>
      <c r="R206">
        <v>734224</v>
      </c>
    </row>
    <row r="207" spans="1:18" x14ac:dyDescent="0.25">
      <c r="A207" s="170">
        <v>42304</v>
      </c>
      <c r="B207" s="116">
        <v>138.23168253449401</v>
      </c>
      <c r="C207" s="116">
        <v>133.78693389994399</v>
      </c>
      <c r="D207" s="116">
        <v>133.342459036489</v>
      </c>
      <c r="E207" s="116">
        <v>138.23168253449401</v>
      </c>
      <c r="F207" s="116">
        <v>135.44999999999999</v>
      </c>
      <c r="G207">
        <v>95415</v>
      </c>
      <c r="H207" s="116"/>
      <c r="I207" s="116"/>
      <c r="L207" s="170">
        <v>42304</v>
      </c>
      <c r="M207" s="116">
        <v>134.132773963895</v>
      </c>
      <c r="N207" s="116">
        <v>137.39225963459401</v>
      </c>
      <c r="O207" s="116">
        <v>133.44136791253499</v>
      </c>
      <c r="P207" s="116">
        <v>136.997170462388</v>
      </c>
      <c r="Q207" s="116">
        <v>135.80000000000001</v>
      </c>
      <c r="R207">
        <v>881996</v>
      </c>
    </row>
    <row r="208" spans="1:18" x14ac:dyDescent="0.25">
      <c r="A208" s="170">
        <v>42305</v>
      </c>
      <c r="B208" s="116">
        <v>135.515447257825</v>
      </c>
      <c r="C208" s="116">
        <v>133.836319995884</v>
      </c>
      <c r="D208" s="116">
        <v>133.194300748671</v>
      </c>
      <c r="E208" s="116">
        <v>135.515447257825</v>
      </c>
      <c r="F208" s="116">
        <v>135.5</v>
      </c>
      <c r="G208">
        <v>103280</v>
      </c>
      <c r="H208" s="116"/>
      <c r="I208" s="116"/>
      <c r="L208" s="170">
        <v>42305</v>
      </c>
      <c r="M208" s="116">
        <v>133.93522937779201</v>
      </c>
      <c r="N208" s="116">
        <v>135.268655333987</v>
      </c>
      <c r="O208" s="116">
        <v>133.34259561948301</v>
      </c>
      <c r="P208" s="116">
        <v>134.132773963895</v>
      </c>
      <c r="Q208" s="116">
        <v>135.6</v>
      </c>
      <c r="R208">
        <v>593469</v>
      </c>
    </row>
    <row r="209" spans="1:18" x14ac:dyDescent="0.25">
      <c r="A209" s="170">
        <v>42306</v>
      </c>
      <c r="B209" s="116">
        <v>136.79948575225001</v>
      </c>
      <c r="C209" s="116">
        <v>134.28079485933901</v>
      </c>
      <c r="D209" s="116">
        <v>133.342459036489</v>
      </c>
      <c r="E209" s="116">
        <v>135.515447257825</v>
      </c>
      <c r="F209" s="116">
        <v>135.94999999999999</v>
      </c>
      <c r="G209">
        <v>214170</v>
      </c>
      <c r="H209" s="116"/>
      <c r="I209" s="116"/>
      <c r="L209" s="170">
        <v>42306</v>
      </c>
      <c r="M209" s="116">
        <v>134.23154625694701</v>
      </c>
      <c r="N209" s="116">
        <v>136.79962587628501</v>
      </c>
      <c r="O209" s="116">
        <v>133.14505103338101</v>
      </c>
      <c r="P209" s="116">
        <v>134.23154625694701</v>
      </c>
      <c r="Q209" s="116">
        <v>135.9</v>
      </c>
      <c r="R209">
        <v>2084196</v>
      </c>
    </row>
    <row r="210" spans="1:18" x14ac:dyDescent="0.25">
      <c r="A210" s="170">
        <v>42307</v>
      </c>
      <c r="B210" s="116">
        <v>136.15746650503701</v>
      </c>
      <c r="C210" s="116">
        <v>131.46578739079001</v>
      </c>
      <c r="D210" s="116">
        <v>129.19402697757599</v>
      </c>
      <c r="E210" s="116">
        <v>136.15746650503701</v>
      </c>
      <c r="F210" s="116">
        <v>133.1</v>
      </c>
      <c r="G210">
        <v>135813</v>
      </c>
      <c r="H210" s="116"/>
      <c r="I210" s="116"/>
      <c r="L210" s="170">
        <v>42307</v>
      </c>
      <c r="M210" s="116">
        <v>131.81162507718599</v>
      </c>
      <c r="N210" s="116">
        <v>135.564972213142</v>
      </c>
      <c r="O210" s="116">
        <v>129.391703897425</v>
      </c>
      <c r="P210" s="116">
        <v>135.31804148051299</v>
      </c>
      <c r="Q210" s="116">
        <v>133.44999999999999</v>
      </c>
      <c r="R210">
        <v>774022</v>
      </c>
    </row>
    <row r="211" spans="1:18" x14ac:dyDescent="0.25">
      <c r="A211" s="170">
        <v>42310</v>
      </c>
      <c r="B211" s="116">
        <v>133.342459036489</v>
      </c>
      <c r="C211" s="116">
        <v>131.021312527335</v>
      </c>
      <c r="D211" s="116">
        <v>129.391571361334</v>
      </c>
      <c r="E211" s="116">
        <v>132.25596492582201</v>
      </c>
      <c r="F211" s="116">
        <v>132.65</v>
      </c>
      <c r="G211">
        <v>92856</v>
      </c>
      <c r="H211" s="116"/>
      <c r="I211" s="116"/>
      <c r="L211" s="170">
        <v>42310</v>
      </c>
      <c r="M211" s="116">
        <v>131.021446732774</v>
      </c>
      <c r="N211" s="116">
        <v>133.34259561948301</v>
      </c>
      <c r="O211" s="116">
        <v>129.34231775089901</v>
      </c>
      <c r="P211" s="116">
        <v>132.35487268896901</v>
      </c>
      <c r="Q211" s="116">
        <v>132.65</v>
      </c>
      <c r="R211">
        <v>621684</v>
      </c>
    </row>
    <row r="212" spans="1:18" x14ac:dyDescent="0.25">
      <c r="A212" s="170">
        <v>42311</v>
      </c>
      <c r="B212" s="116">
        <v>132.305351021761</v>
      </c>
      <c r="C212" s="116">
        <v>129.98420451260699</v>
      </c>
      <c r="D212" s="116">
        <v>129.391571361334</v>
      </c>
      <c r="E212" s="116">
        <v>131.07069862327501</v>
      </c>
      <c r="F212" s="116">
        <v>131.6</v>
      </c>
      <c r="G212">
        <v>81490</v>
      </c>
      <c r="H212" s="116"/>
      <c r="I212" s="116"/>
      <c r="L212" s="170">
        <v>42311</v>
      </c>
      <c r="M212" s="116">
        <v>130.13249609531101</v>
      </c>
      <c r="N212" s="116">
        <v>132.50303112854601</v>
      </c>
      <c r="O212" s="116">
        <v>129.19415931132201</v>
      </c>
      <c r="P212" s="116">
        <v>131.66346663760899</v>
      </c>
      <c r="Q212" s="116">
        <v>131.75</v>
      </c>
      <c r="R212">
        <v>519168</v>
      </c>
    </row>
    <row r="213" spans="1:18" x14ac:dyDescent="0.25">
      <c r="A213" s="170">
        <v>42312</v>
      </c>
      <c r="B213" s="116">
        <v>131.76210396642699</v>
      </c>
      <c r="C213" s="116">
        <v>130.08297670448599</v>
      </c>
      <c r="D213" s="116">
        <v>129.68788793697101</v>
      </c>
      <c r="E213" s="116">
        <v>131.76210396642699</v>
      </c>
      <c r="F213" s="116">
        <v>131.69999999999999</v>
      </c>
      <c r="G213">
        <v>89518</v>
      </c>
      <c r="H213" s="116"/>
      <c r="I213" s="116"/>
      <c r="L213" s="170">
        <v>42312</v>
      </c>
      <c r="M213" s="116">
        <v>130.13249609531101</v>
      </c>
      <c r="N213" s="116">
        <v>131.86101122371099</v>
      </c>
      <c r="O213" s="116">
        <v>129.78679306963099</v>
      </c>
      <c r="P213" s="116">
        <v>130.379426827939</v>
      </c>
      <c r="Q213" s="116">
        <v>131.75</v>
      </c>
      <c r="R213">
        <v>557561</v>
      </c>
    </row>
    <row r="214" spans="1:18" x14ac:dyDescent="0.25">
      <c r="A214" s="170">
        <v>42313</v>
      </c>
      <c r="B214" s="116">
        <v>130.87315423951699</v>
      </c>
      <c r="C214" s="116">
        <v>126.329633413089</v>
      </c>
      <c r="D214" s="116">
        <v>125.934544645573</v>
      </c>
      <c r="E214" s="116">
        <v>130.32990718418301</v>
      </c>
      <c r="F214" s="116">
        <v>127.9</v>
      </c>
      <c r="G214">
        <v>355185</v>
      </c>
      <c r="H214" s="116"/>
      <c r="I214" s="116"/>
      <c r="L214" s="170">
        <v>42313</v>
      </c>
      <c r="M214" s="116">
        <v>126.428535105881</v>
      </c>
      <c r="N214" s="116">
        <v>130.97206058624801</v>
      </c>
      <c r="O214" s="116">
        <v>125.934673640623</v>
      </c>
      <c r="P214" s="116">
        <v>130.13249609531101</v>
      </c>
      <c r="Q214" s="116">
        <v>128</v>
      </c>
      <c r="R214">
        <v>892494</v>
      </c>
    </row>
    <row r="215" spans="1:18" x14ac:dyDescent="0.25">
      <c r="A215" s="170">
        <v>42314</v>
      </c>
      <c r="B215" s="116">
        <v>126.823494372483</v>
      </c>
      <c r="C215" s="116">
        <v>124.25541738363199</v>
      </c>
      <c r="D215" s="116">
        <v>122.971378889207</v>
      </c>
      <c r="E215" s="116">
        <v>124.89743663084499</v>
      </c>
      <c r="F215" s="116">
        <v>125.8</v>
      </c>
      <c r="G215">
        <v>165174</v>
      </c>
      <c r="H215" s="116"/>
      <c r="I215" s="116"/>
      <c r="L215" s="170">
        <v>42314</v>
      </c>
      <c r="M215" s="116">
        <v>124.304930805274</v>
      </c>
      <c r="N215" s="116">
        <v>126.675465838509</v>
      </c>
      <c r="O215" s="116">
        <v>123.21843558170799</v>
      </c>
      <c r="P215" s="116">
        <v>125.243267589263</v>
      </c>
      <c r="Q215" s="116">
        <v>125.85</v>
      </c>
      <c r="R215">
        <v>858491</v>
      </c>
    </row>
    <row r="216" spans="1:18" x14ac:dyDescent="0.25">
      <c r="A216" s="170">
        <v>42317</v>
      </c>
      <c r="B216" s="116">
        <v>127.811216291272</v>
      </c>
      <c r="C216" s="116">
        <v>127.267969235938</v>
      </c>
      <c r="D216" s="116">
        <v>121.637954298842</v>
      </c>
      <c r="E216" s="116">
        <v>123.465239848601</v>
      </c>
      <c r="F216" s="116">
        <v>128.85</v>
      </c>
      <c r="G216">
        <v>153798</v>
      </c>
      <c r="H216" s="116"/>
      <c r="I216" s="116"/>
      <c r="L216" s="170">
        <v>42317</v>
      </c>
      <c r="M216" s="116">
        <v>127.218713450292</v>
      </c>
      <c r="N216" s="116">
        <v>127.860733355127</v>
      </c>
      <c r="O216" s="116">
        <v>121.48992045330699</v>
      </c>
      <c r="P216" s="116">
        <v>123.366594021285</v>
      </c>
      <c r="Q216" s="116">
        <v>128.80000000000001</v>
      </c>
      <c r="R216">
        <v>1107840</v>
      </c>
    </row>
    <row r="217" spans="1:18" x14ac:dyDescent="0.25">
      <c r="A217" s="170">
        <v>42318</v>
      </c>
      <c r="B217" s="116">
        <v>126.971652660301</v>
      </c>
      <c r="C217" s="116">
        <v>124.304803479572</v>
      </c>
      <c r="D217" s="116">
        <v>123.76155642423799</v>
      </c>
      <c r="E217" s="116">
        <v>124.45296176738999</v>
      </c>
      <c r="F217" s="116">
        <v>125.85</v>
      </c>
      <c r="G217">
        <v>122066</v>
      </c>
      <c r="H217" s="116"/>
      <c r="I217" s="116"/>
      <c r="L217" s="170">
        <v>42318</v>
      </c>
      <c r="M217" s="116">
        <v>124.15677236569699</v>
      </c>
      <c r="N217" s="116">
        <v>126.873010424612</v>
      </c>
      <c r="O217" s="116">
        <v>123.761683193491</v>
      </c>
      <c r="P217" s="116">
        <v>125.73712905452</v>
      </c>
      <c r="Q217" s="116">
        <v>125.7</v>
      </c>
      <c r="R217">
        <v>525833</v>
      </c>
    </row>
    <row r="218" spans="1:18" x14ac:dyDescent="0.25">
      <c r="A218" s="170">
        <v>42319</v>
      </c>
      <c r="B218" s="116">
        <v>127.317355331877</v>
      </c>
      <c r="C218" s="116">
        <v>126.379019509028</v>
      </c>
      <c r="D218" s="116">
        <v>125.440683686179</v>
      </c>
      <c r="E218" s="116">
        <v>127.317355331877</v>
      </c>
      <c r="F218" s="116">
        <v>127.95</v>
      </c>
      <c r="G218">
        <v>38009</v>
      </c>
      <c r="H218" s="116"/>
      <c r="I218" s="116"/>
      <c r="L218" s="170">
        <v>42319</v>
      </c>
      <c r="M218" s="116">
        <v>126.329762812829</v>
      </c>
      <c r="N218" s="116">
        <v>128.40398096691001</v>
      </c>
      <c r="O218" s="116">
        <v>125.144495296212</v>
      </c>
      <c r="P218" s="116">
        <v>125.144495296212</v>
      </c>
      <c r="Q218" s="116">
        <v>127.9</v>
      </c>
      <c r="R218">
        <v>100180</v>
      </c>
    </row>
    <row r="219" spans="1:18" x14ac:dyDescent="0.25">
      <c r="A219" s="170">
        <v>42321</v>
      </c>
      <c r="B219" s="116">
        <v>127.07042485218</v>
      </c>
      <c r="C219" s="116">
        <v>126.23086122121001</v>
      </c>
      <c r="D219" s="116">
        <v>124.94682272678401</v>
      </c>
      <c r="E219" s="116">
        <v>126.329633413089</v>
      </c>
      <c r="F219" s="116">
        <v>127.8</v>
      </c>
      <c r="G219">
        <v>126929</v>
      </c>
      <c r="H219" s="116"/>
      <c r="I219" s="116"/>
      <c r="L219" s="170">
        <v>42321</v>
      </c>
      <c r="M219" s="116">
        <v>126.428535105881</v>
      </c>
      <c r="N219" s="116">
        <v>127.41625803639501</v>
      </c>
      <c r="O219" s="116">
        <v>124.70001997748</v>
      </c>
      <c r="P219" s="116">
        <v>126.428535105881</v>
      </c>
      <c r="Q219" s="116">
        <v>128</v>
      </c>
      <c r="R219">
        <v>737584</v>
      </c>
    </row>
    <row r="220" spans="1:18" x14ac:dyDescent="0.25">
      <c r="A220" s="170">
        <v>42324</v>
      </c>
      <c r="B220" s="116">
        <v>127.712444099393</v>
      </c>
      <c r="C220" s="116">
        <v>126.329633413089</v>
      </c>
      <c r="D220" s="116">
        <v>125.440683686179</v>
      </c>
      <c r="E220" s="116">
        <v>127.416127523756</v>
      </c>
      <c r="F220" s="116">
        <v>127.9</v>
      </c>
      <c r="G220">
        <v>155276</v>
      </c>
      <c r="H220" s="116"/>
      <c r="I220" s="116"/>
      <c r="L220" s="170">
        <v>42324</v>
      </c>
      <c r="M220" s="116">
        <v>126.576693545458</v>
      </c>
      <c r="N220" s="116">
        <v>127.81134720860101</v>
      </c>
      <c r="O220" s="116">
        <v>124.94695071010899</v>
      </c>
      <c r="P220" s="116">
        <v>126.230990519778</v>
      </c>
      <c r="Q220" s="116">
        <v>128.15</v>
      </c>
      <c r="R220">
        <v>580961</v>
      </c>
    </row>
    <row r="221" spans="1:18" x14ac:dyDescent="0.25">
      <c r="A221" s="170">
        <v>42325</v>
      </c>
      <c r="B221" s="116">
        <v>132.15719273394299</v>
      </c>
      <c r="C221" s="116">
        <v>130.527451567941</v>
      </c>
      <c r="D221" s="116">
        <v>127.021038756241</v>
      </c>
      <c r="E221" s="116">
        <v>128.15691896284801</v>
      </c>
      <c r="F221" s="116">
        <v>132.15</v>
      </c>
      <c r="G221">
        <v>255300</v>
      </c>
      <c r="H221" s="116"/>
      <c r="I221" s="116"/>
      <c r="L221" s="170">
        <v>42325</v>
      </c>
      <c r="M221" s="116">
        <v>130.87328829319699</v>
      </c>
      <c r="N221" s="116">
        <v>132.35487268896901</v>
      </c>
      <c r="O221" s="116">
        <v>126.724851985035</v>
      </c>
      <c r="P221" s="116">
        <v>128.10766408775601</v>
      </c>
      <c r="Q221" s="116">
        <v>132.5</v>
      </c>
      <c r="R221">
        <v>1152357</v>
      </c>
    </row>
    <row r="222" spans="1:18" x14ac:dyDescent="0.25">
      <c r="A222" s="170">
        <v>42326</v>
      </c>
      <c r="B222" s="116">
        <v>132.10780663800301</v>
      </c>
      <c r="C222" s="116">
        <v>126.971652660301</v>
      </c>
      <c r="D222" s="116">
        <v>126.42840560496801</v>
      </c>
      <c r="E222" s="116">
        <v>132.10780663800301</v>
      </c>
      <c r="F222" s="116">
        <v>128.55000000000001</v>
      </c>
      <c r="G222">
        <v>214213</v>
      </c>
      <c r="H222" s="116"/>
      <c r="I222" s="116"/>
      <c r="L222" s="170">
        <v>42326</v>
      </c>
      <c r="M222" s="116">
        <v>127.16932730376701</v>
      </c>
      <c r="N222" s="116">
        <v>132.00916966328899</v>
      </c>
      <c r="O222" s="116">
        <v>126.527307398932</v>
      </c>
      <c r="P222" s="116">
        <v>132.00916966328899</v>
      </c>
      <c r="Q222" s="116">
        <v>128.75</v>
      </c>
      <c r="R222">
        <v>922793</v>
      </c>
    </row>
    <row r="223" spans="1:18" x14ac:dyDescent="0.25">
      <c r="A223" s="170">
        <v>42327</v>
      </c>
      <c r="B223" s="116">
        <v>129.93481841666801</v>
      </c>
      <c r="C223" s="116">
        <v>129.09525478569699</v>
      </c>
      <c r="D223" s="116">
        <v>127.909988483151</v>
      </c>
      <c r="E223" s="116">
        <v>128.40384944254501</v>
      </c>
      <c r="F223" s="116">
        <v>130.69999999999999</v>
      </c>
      <c r="G223">
        <v>147445</v>
      </c>
      <c r="H223" s="116"/>
      <c r="I223" s="116"/>
      <c r="L223" s="170">
        <v>42327</v>
      </c>
      <c r="M223" s="116">
        <v>129.292931604373</v>
      </c>
      <c r="N223" s="116">
        <v>129.78679306963099</v>
      </c>
      <c r="O223" s="116">
        <v>127.663188769024</v>
      </c>
      <c r="P223" s="116">
        <v>128.008891794704</v>
      </c>
      <c r="Q223" s="116">
        <v>130.9</v>
      </c>
      <c r="R223">
        <v>488288</v>
      </c>
    </row>
    <row r="224" spans="1:18" x14ac:dyDescent="0.25">
      <c r="A224" s="170">
        <v>42328</v>
      </c>
      <c r="B224" s="116">
        <v>134.28079485933901</v>
      </c>
      <c r="C224" s="116">
        <v>132.15719273394299</v>
      </c>
      <c r="D224" s="116">
        <v>129.885432320728</v>
      </c>
      <c r="E224" s="116">
        <v>129.93481841666801</v>
      </c>
      <c r="F224" s="116">
        <v>133.80000000000001</v>
      </c>
      <c r="G224">
        <v>244376</v>
      </c>
      <c r="H224" s="116"/>
      <c r="I224" s="116"/>
      <c r="L224" s="170">
        <v>42328</v>
      </c>
      <c r="M224" s="116">
        <v>132.15732810286599</v>
      </c>
      <c r="N224" s="116">
        <v>134.330318549998</v>
      </c>
      <c r="O224" s="116">
        <v>129.44109004395</v>
      </c>
      <c r="P224" s="116">
        <v>129.44109004395</v>
      </c>
      <c r="Q224" s="116">
        <v>133.80000000000001</v>
      </c>
      <c r="R224">
        <v>1149754</v>
      </c>
    </row>
    <row r="225" spans="1:18" x14ac:dyDescent="0.25">
      <c r="A225" s="170">
        <v>42331</v>
      </c>
      <c r="B225" s="116">
        <v>133.24368684461001</v>
      </c>
      <c r="C225" s="116">
        <v>131.169470815154</v>
      </c>
      <c r="D225" s="116">
        <v>129.78666012884901</v>
      </c>
      <c r="E225" s="116">
        <v>132.84859807709501</v>
      </c>
      <c r="F225" s="116">
        <v>132.80000000000001</v>
      </c>
      <c r="G225">
        <v>102375</v>
      </c>
      <c r="H225" s="116"/>
      <c r="I225" s="116"/>
      <c r="L225" s="170">
        <v>42331</v>
      </c>
      <c r="M225" s="116">
        <v>131.317763611928</v>
      </c>
      <c r="N225" s="116">
        <v>133.34259561948301</v>
      </c>
      <c r="O225" s="116">
        <v>129.63863463005299</v>
      </c>
      <c r="P225" s="116">
        <v>133.14505103338101</v>
      </c>
      <c r="Q225" s="116">
        <v>132.94999999999999</v>
      </c>
      <c r="R225">
        <v>842444</v>
      </c>
    </row>
    <row r="226" spans="1:18" x14ac:dyDescent="0.25">
      <c r="A226" s="170">
        <v>42332</v>
      </c>
      <c r="B226" s="116">
        <v>134.13263657152001</v>
      </c>
      <c r="C226" s="116">
        <v>132.552281501458</v>
      </c>
      <c r="D226" s="116">
        <v>131.021312527335</v>
      </c>
      <c r="E226" s="116">
        <v>131.95964835018501</v>
      </c>
      <c r="F226" s="116">
        <v>134.19999999999999</v>
      </c>
      <c r="G226">
        <v>166087</v>
      </c>
      <c r="H226" s="116"/>
      <c r="I226" s="116"/>
      <c r="L226" s="170">
        <v>42332</v>
      </c>
      <c r="M226" s="116">
        <v>132.70057571464901</v>
      </c>
      <c r="N226" s="116">
        <v>134.03400167084399</v>
      </c>
      <c r="O226" s="116">
        <v>130.87328829319699</v>
      </c>
      <c r="P226" s="116">
        <v>131.36714975845399</v>
      </c>
      <c r="Q226" s="116">
        <v>134.35</v>
      </c>
      <c r="R226">
        <v>613392</v>
      </c>
    </row>
    <row r="227" spans="1:18" x14ac:dyDescent="0.25">
      <c r="A227" s="170">
        <v>42334</v>
      </c>
      <c r="B227" s="116">
        <v>134.52772533903601</v>
      </c>
      <c r="C227" s="116">
        <v>133.39184513242901</v>
      </c>
      <c r="D227" s="116">
        <v>132.40412321363999</v>
      </c>
      <c r="E227" s="116">
        <v>132.40412321363999</v>
      </c>
      <c r="F227" s="116">
        <v>135.05000000000001</v>
      </c>
      <c r="G227">
        <v>132577</v>
      </c>
      <c r="H227" s="116"/>
      <c r="I227" s="116"/>
      <c r="L227" s="170">
        <v>42334</v>
      </c>
      <c r="M227" s="116">
        <v>133.29320947295801</v>
      </c>
      <c r="N227" s="116">
        <v>134.57724928262701</v>
      </c>
      <c r="O227" s="116">
        <v>132.50303112854601</v>
      </c>
      <c r="P227" s="116">
        <v>132.94750644727799</v>
      </c>
      <c r="Q227" s="116">
        <v>134.94999999999999</v>
      </c>
      <c r="R227">
        <v>1904180</v>
      </c>
    </row>
    <row r="228" spans="1:18" x14ac:dyDescent="0.25">
      <c r="A228" s="170">
        <v>42335</v>
      </c>
      <c r="B228" s="116">
        <v>136.60194136849199</v>
      </c>
      <c r="C228" s="116">
        <v>135.26851677812701</v>
      </c>
      <c r="D228" s="116">
        <v>133.441231228368</v>
      </c>
      <c r="E228" s="116">
        <v>134.18202266745999</v>
      </c>
      <c r="F228" s="116">
        <v>136.94999999999999</v>
      </c>
      <c r="G228">
        <v>191984</v>
      </c>
      <c r="H228" s="116"/>
      <c r="I228" s="116"/>
      <c r="L228" s="170">
        <v>42335</v>
      </c>
      <c r="M228" s="116">
        <v>135.268655333987</v>
      </c>
      <c r="N228" s="116">
        <v>136.700853583233</v>
      </c>
      <c r="O228" s="116">
        <v>133.24382332643199</v>
      </c>
      <c r="P228" s="116">
        <v>133.24382332643199</v>
      </c>
      <c r="Q228" s="116">
        <v>136.94999999999999</v>
      </c>
      <c r="R228">
        <v>1152280</v>
      </c>
    </row>
    <row r="229" spans="1:18" x14ac:dyDescent="0.25">
      <c r="A229" s="170">
        <v>42338</v>
      </c>
      <c r="B229" s="116">
        <v>136.40439698473401</v>
      </c>
      <c r="C229" s="116">
        <v>136.05869431315801</v>
      </c>
      <c r="D229" s="116">
        <v>134.330180955278</v>
      </c>
      <c r="E229" s="116">
        <v>136.30562479285601</v>
      </c>
      <c r="F229" s="116">
        <v>137.75</v>
      </c>
      <c r="G229">
        <v>73960</v>
      </c>
      <c r="H229" s="116"/>
      <c r="I229" s="116"/>
      <c r="L229" s="170">
        <v>42338</v>
      </c>
      <c r="M229" s="116">
        <v>135.861289092296</v>
      </c>
      <c r="N229" s="116">
        <v>136.40453670407899</v>
      </c>
      <c r="O229" s="116">
        <v>134.23154625694701</v>
      </c>
      <c r="P229" s="116">
        <v>136.30576441102801</v>
      </c>
      <c r="Q229" s="116">
        <v>137.55000000000001</v>
      </c>
      <c r="R229">
        <v>849968</v>
      </c>
    </row>
    <row r="230" spans="1:18" x14ac:dyDescent="0.25">
      <c r="A230" s="170">
        <v>42339</v>
      </c>
      <c r="B230" s="116">
        <v>137.44150499946301</v>
      </c>
      <c r="C230" s="116">
        <v>134.42895314715699</v>
      </c>
      <c r="D230" s="116">
        <v>133.14491465273099</v>
      </c>
      <c r="E230" s="116">
        <v>136.30562479285601</v>
      </c>
      <c r="F230" s="116">
        <v>136.1</v>
      </c>
      <c r="G230">
        <v>72978</v>
      </c>
      <c r="H230" s="116"/>
      <c r="I230" s="116"/>
      <c r="L230" s="170">
        <v>42339</v>
      </c>
      <c r="M230" s="116">
        <v>134.57724928262701</v>
      </c>
      <c r="N230" s="116">
        <v>137.39225963459401</v>
      </c>
      <c r="O230" s="116">
        <v>133.34259561948301</v>
      </c>
      <c r="P230" s="116">
        <v>136.355150557553</v>
      </c>
      <c r="Q230" s="116">
        <v>136.25</v>
      </c>
      <c r="R230">
        <v>911482</v>
      </c>
    </row>
    <row r="231" spans="1:18" x14ac:dyDescent="0.25">
      <c r="A231" s="170">
        <v>42340</v>
      </c>
      <c r="B231" s="116">
        <v>136.20685260097699</v>
      </c>
      <c r="C231" s="116">
        <v>134.37956705121701</v>
      </c>
      <c r="D231" s="116">
        <v>133.14491465273099</v>
      </c>
      <c r="E231" s="116">
        <v>136.20685260097699</v>
      </c>
      <c r="F231" s="116">
        <v>136.05000000000001</v>
      </c>
      <c r="G231">
        <v>112436</v>
      </c>
      <c r="H231" s="116"/>
      <c r="I231" s="116"/>
      <c r="L231" s="170">
        <v>42340</v>
      </c>
      <c r="M231" s="116">
        <v>134.52786313610099</v>
      </c>
      <c r="N231" s="116">
        <v>136.10821982492499</v>
      </c>
      <c r="O231" s="116">
        <v>133.34259561948301</v>
      </c>
      <c r="P231" s="116">
        <v>134.72540772220401</v>
      </c>
      <c r="Q231" s="116">
        <v>136.19999999999999</v>
      </c>
      <c r="R231">
        <v>565383</v>
      </c>
    </row>
    <row r="232" spans="1:18" x14ac:dyDescent="0.25">
      <c r="A232" s="170">
        <v>42341</v>
      </c>
      <c r="B232" s="116">
        <v>136.009308217219</v>
      </c>
      <c r="C232" s="116">
        <v>132.947370268974</v>
      </c>
      <c r="D232" s="116">
        <v>132.40412321363999</v>
      </c>
      <c r="E232" s="116">
        <v>136.009308217219</v>
      </c>
      <c r="F232" s="116">
        <v>134.6</v>
      </c>
      <c r="G232">
        <v>119341</v>
      </c>
      <c r="H232" s="116"/>
      <c r="I232" s="116"/>
      <c r="L232" s="170">
        <v>42341</v>
      </c>
      <c r="M232" s="116">
        <v>133.24382332643199</v>
      </c>
      <c r="N232" s="116">
        <v>135.12049689441</v>
      </c>
      <c r="O232" s="116">
        <v>132.552417275072</v>
      </c>
      <c r="P232" s="116">
        <v>134.42909084305001</v>
      </c>
      <c r="Q232" s="116">
        <v>134.9</v>
      </c>
      <c r="R232">
        <v>689892</v>
      </c>
    </row>
    <row r="233" spans="1:18" x14ac:dyDescent="0.25">
      <c r="A233" s="170">
        <v>42342</v>
      </c>
      <c r="B233" s="116">
        <v>134.083250475581</v>
      </c>
      <c r="C233" s="116">
        <v>131.95964835018501</v>
      </c>
      <c r="D233" s="116">
        <v>131.169470815154</v>
      </c>
      <c r="E233" s="116">
        <v>134.083250475581</v>
      </c>
      <c r="F233" s="116">
        <v>133.6</v>
      </c>
      <c r="G233">
        <v>67408</v>
      </c>
      <c r="H233" s="116"/>
      <c r="I233" s="116"/>
      <c r="L233" s="170">
        <v>42342</v>
      </c>
      <c r="M233" s="116">
        <v>132.00916966328899</v>
      </c>
      <c r="N233" s="116">
        <v>133.34259561948301</v>
      </c>
      <c r="O233" s="116">
        <v>131.12021902582501</v>
      </c>
      <c r="P233" s="116">
        <v>132.35487268896901</v>
      </c>
      <c r="Q233" s="116">
        <v>133.65</v>
      </c>
      <c r="R233">
        <v>758581</v>
      </c>
    </row>
    <row r="234" spans="1:18" x14ac:dyDescent="0.25">
      <c r="A234" s="170">
        <v>42345</v>
      </c>
      <c r="B234" s="116">
        <v>134.03386437964099</v>
      </c>
      <c r="C234" s="116">
        <v>133.737547804005</v>
      </c>
      <c r="D234" s="116">
        <v>132.453509309579</v>
      </c>
      <c r="E234" s="116">
        <v>133.342459036489</v>
      </c>
      <c r="F234" s="116">
        <v>135.4</v>
      </c>
      <c r="G234">
        <v>60067</v>
      </c>
      <c r="H234" s="116"/>
      <c r="I234" s="116"/>
      <c r="L234" s="170">
        <v>42345</v>
      </c>
      <c r="M234" s="116">
        <v>133.688298645164</v>
      </c>
      <c r="N234" s="116">
        <v>134.132773963895</v>
      </c>
      <c r="O234" s="116">
        <v>132.45364498201999</v>
      </c>
      <c r="P234" s="116">
        <v>132.45364498201999</v>
      </c>
      <c r="Q234" s="116">
        <v>135.35</v>
      </c>
      <c r="R234">
        <v>476940</v>
      </c>
    </row>
    <row r="235" spans="1:18" x14ac:dyDescent="0.25">
      <c r="A235" s="170">
        <v>42346</v>
      </c>
      <c r="B235" s="116">
        <v>136.84887184818899</v>
      </c>
      <c r="C235" s="116">
        <v>132.74982588521601</v>
      </c>
      <c r="D235" s="116">
        <v>128.40384944254501</v>
      </c>
      <c r="E235" s="116">
        <v>133.737547804005</v>
      </c>
      <c r="F235" s="116">
        <v>134.4</v>
      </c>
      <c r="G235">
        <v>171267</v>
      </c>
      <c r="H235" s="116"/>
      <c r="I235" s="116"/>
      <c r="L235" s="170">
        <v>42346</v>
      </c>
      <c r="M235" s="116">
        <v>133.34259561948301</v>
      </c>
      <c r="N235" s="116">
        <v>136.79962587628501</v>
      </c>
      <c r="O235" s="116">
        <v>132.84873415422601</v>
      </c>
      <c r="P235" s="116">
        <v>133.29320947295801</v>
      </c>
      <c r="Q235" s="116">
        <v>135</v>
      </c>
      <c r="R235">
        <v>1271238</v>
      </c>
    </row>
    <row r="236" spans="1:18" x14ac:dyDescent="0.25">
      <c r="A236" s="170">
        <v>42347</v>
      </c>
      <c r="B236" s="116">
        <v>134.52772533903601</v>
      </c>
      <c r="C236" s="116">
        <v>130.033590608547</v>
      </c>
      <c r="D236" s="116">
        <v>128.55200773036299</v>
      </c>
      <c r="E236" s="116">
        <v>134.52772533903601</v>
      </c>
      <c r="F236" s="116">
        <v>131.65</v>
      </c>
      <c r="G236">
        <v>94565</v>
      </c>
      <c r="H236" s="116"/>
      <c r="I236" s="116"/>
      <c r="L236" s="170">
        <v>42347</v>
      </c>
      <c r="M236" s="116">
        <v>130.527585267517</v>
      </c>
      <c r="N236" s="116">
        <v>134.626635429153</v>
      </c>
      <c r="O236" s="116">
        <v>128.799070139116</v>
      </c>
      <c r="P236" s="116">
        <v>133.490754059061</v>
      </c>
      <c r="Q236" s="116">
        <v>132.15</v>
      </c>
      <c r="R236">
        <v>1152536</v>
      </c>
    </row>
    <row r="237" spans="1:18" x14ac:dyDescent="0.25">
      <c r="A237" s="170">
        <v>42348</v>
      </c>
      <c r="B237" s="116">
        <v>133.836319995884</v>
      </c>
      <c r="C237" s="116">
        <v>133.490617324308</v>
      </c>
      <c r="D237" s="116">
        <v>130.37929328012299</v>
      </c>
      <c r="E237" s="116">
        <v>131.61394567860901</v>
      </c>
      <c r="F237" s="116">
        <v>135.15</v>
      </c>
      <c r="G237">
        <v>125454</v>
      </c>
      <c r="H237" s="116"/>
      <c r="I237" s="116"/>
      <c r="L237" s="170">
        <v>42348</v>
      </c>
      <c r="M237" s="116">
        <v>133.63891249863801</v>
      </c>
      <c r="N237" s="116">
        <v>134.132773963895</v>
      </c>
      <c r="O237" s="116">
        <v>130.28065453488799</v>
      </c>
      <c r="P237" s="116">
        <v>130.527585267517</v>
      </c>
      <c r="Q237" s="116">
        <v>135.30000000000001</v>
      </c>
      <c r="R237">
        <v>704236</v>
      </c>
    </row>
    <row r="238" spans="1:18" x14ac:dyDescent="0.25">
      <c r="A238" s="170">
        <v>42349</v>
      </c>
      <c r="B238" s="116">
        <v>134.13263657152001</v>
      </c>
      <c r="C238" s="116">
        <v>131.021312527335</v>
      </c>
      <c r="D238" s="116">
        <v>130.08297670448599</v>
      </c>
      <c r="E238" s="116">
        <v>133.54000342024699</v>
      </c>
      <c r="F238" s="116">
        <v>132.65</v>
      </c>
      <c r="G238">
        <v>76821</v>
      </c>
      <c r="H238" s="116"/>
      <c r="I238" s="116"/>
      <c r="L238" s="170">
        <v>42349</v>
      </c>
      <c r="M238" s="116">
        <v>131.56469434455701</v>
      </c>
      <c r="N238" s="116">
        <v>134.132773963895</v>
      </c>
      <c r="O238" s="116">
        <v>129.589248483528</v>
      </c>
      <c r="P238" s="116">
        <v>133.63891249863801</v>
      </c>
      <c r="Q238" s="116">
        <v>133.19999999999999</v>
      </c>
      <c r="R238">
        <v>836942</v>
      </c>
    </row>
    <row r="239" spans="1:18" x14ac:dyDescent="0.25">
      <c r="A239" s="170">
        <v>42352</v>
      </c>
      <c r="B239" s="116">
        <v>133.194300748671</v>
      </c>
      <c r="C239" s="116">
        <v>132.552281501458</v>
      </c>
      <c r="D239" s="116">
        <v>130.37929328012299</v>
      </c>
      <c r="E239" s="116">
        <v>130.37929328012299</v>
      </c>
      <c r="F239" s="116">
        <v>134.19999999999999</v>
      </c>
      <c r="G239">
        <v>44920</v>
      </c>
      <c r="H239" s="116"/>
      <c r="I239" s="116"/>
      <c r="L239" s="170">
        <v>42352</v>
      </c>
      <c r="M239" s="116">
        <v>132.70057571464901</v>
      </c>
      <c r="N239" s="116">
        <v>133.34259561948301</v>
      </c>
      <c r="O239" s="116">
        <v>130.033723802259</v>
      </c>
      <c r="P239" s="116">
        <v>130.28065453488799</v>
      </c>
      <c r="Q239" s="116">
        <v>134.35</v>
      </c>
      <c r="R239">
        <v>773849</v>
      </c>
    </row>
    <row r="240" spans="1:18" x14ac:dyDescent="0.25">
      <c r="A240" s="170">
        <v>42353</v>
      </c>
      <c r="B240" s="116">
        <v>133.342459036489</v>
      </c>
      <c r="C240" s="116">
        <v>132.10780663800301</v>
      </c>
      <c r="D240" s="116">
        <v>131.36701519891199</v>
      </c>
      <c r="E240" s="116">
        <v>132.65105369333699</v>
      </c>
      <c r="F240" s="116">
        <v>133.75</v>
      </c>
      <c r="G240">
        <v>60021</v>
      </c>
      <c r="H240" s="116"/>
      <c r="I240" s="116"/>
      <c r="L240" s="170">
        <v>42353</v>
      </c>
      <c r="M240" s="116">
        <v>132.20671424939201</v>
      </c>
      <c r="N240" s="116">
        <v>133.194437179906</v>
      </c>
      <c r="O240" s="116">
        <v>131.12021902582501</v>
      </c>
      <c r="P240" s="116">
        <v>133.194437179906</v>
      </c>
      <c r="Q240" s="116">
        <v>133.85</v>
      </c>
      <c r="R240">
        <v>589790</v>
      </c>
    </row>
    <row r="241" spans="1:18" x14ac:dyDescent="0.25">
      <c r="A241" s="170">
        <v>42354</v>
      </c>
      <c r="B241" s="116">
        <v>136.45378308067399</v>
      </c>
      <c r="C241" s="116">
        <v>134.577111434975</v>
      </c>
      <c r="D241" s="116">
        <v>131.76210396642699</v>
      </c>
      <c r="E241" s="116">
        <v>131.76210396642699</v>
      </c>
      <c r="F241" s="116">
        <v>136.25</v>
      </c>
      <c r="G241">
        <v>138556</v>
      </c>
      <c r="H241" s="116"/>
      <c r="I241" s="116"/>
      <c r="L241" s="170">
        <v>42354</v>
      </c>
      <c r="M241" s="116">
        <v>134.87356616178101</v>
      </c>
      <c r="N241" s="116">
        <v>137.145328901965</v>
      </c>
      <c r="O241" s="116">
        <v>132.50303112854601</v>
      </c>
      <c r="P241" s="116">
        <v>132.749961861175</v>
      </c>
      <c r="Q241" s="116">
        <v>136.55000000000001</v>
      </c>
      <c r="R241">
        <v>1191657</v>
      </c>
    </row>
    <row r="242" spans="1:18" x14ac:dyDescent="0.25">
      <c r="A242" s="170">
        <v>42355</v>
      </c>
      <c r="B242" s="116">
        <v>140.75037342740501</v>
      </c>
      <c r="C242" s="116">
        <v>140.35528465989</v>
      </c>
      <c r="D242" s="116">
        <v>134.67588362685399</v>
      </c>
      <c r="E242" s="116">
        <v>136.256238696916</v>
      </c>
      <c r="F242" s="116">
        <v>142.1</v>
      </c>
      <c r="G242">
        <v>227203</v>
      </c>
      <c r="H242" s="116"/>
      <c r="I242" s="116"/>
      <c r="L242" s="170">
        <v>42355</v>
      </c>
      <c r="M242" s="116">
        <v>140.454200719189</v>
      </c>
      <c r="N242" s="116">
        <v>141.04683447749801</v>
      </c>
      <c r="O242" s="116">
        <v>134.626635429153</v>
      </c>
      <c r="P242" s="116">
        <v>135.91067523882199</v>
      </c>
      <c r="Q242" s="116">
        <v>142.19999999999999</v>
      </c>
      <c r="R242">
        <v>1707401</v>
      </c>
    </row>
    <row r="243" spans="1:18" x14ac:dyDescent="0.25">
      <c r="A243" s="170">
        <v>42356</v>
      </c>
      <c r="B243" s="116">
        <v>142.231956305588</v>
      </c>
      <c r="C243" s="116">
        <v>139.960195892374</v>
      </c>
      <c r="D243" s="116">
        <v>139.071246165464</v>
      </c>
      <c r="E243" s="116">
        <v>142.03441192183101</v>
      </c>
      <c r="F243" s="116">
        <v>141.69999999999999</v>
      </c>
      <c r="G243">
        <v>228089</v>
      </c>
      <c r="H243" s="116"/>
      <c r="I243" s="116"/>
      <c r="L243" s="170">
        <v>42356</v>
      </c>
      <c r="M243" s="116">
        <v>140.157883840035</v>
      </c>
      <c r="N243" s="116">
        <v>142.23210199411599</v>
      </c>
      <c r="O243" s="116">
        <v>139.26893320257199</v>
      </c>
      <c r="P243" s="116">
        <v>140.70113145181799</v>
      </c>
      <c r="Q243" s="116">
        <v>141.9</v>
      </c>
      <c r="R243">
        <v>1147660</v>
      </c>
    </row>
    <row r="244" spans="1:18" x14ac:dyDescent="0.25">
      <c r="A244" s="170">
        <v>42359</v>
      </c>
      <c r="B244" s="116">
        <v>142.42950068934601</v>
      </c>
      <c r="C244" s="116">
        <v>141.14546219492101</v>
      </c>
      <c r="D244" s="116">
        <v>139.76265150861599</v>
      </c>
      <c r="E244" s="116">
        <v>140.30589856395</v>
      </c>
      <c r="F244" s="116">
        <v>142.9</v>
      </c>
      <c r="G244">
        <v>98446</v>
      </c>
      <c r="H244" s="116"/>
      <c r="I244" s="116"/>
      <c r="L244" s="170">
        <v>42359</v>
      </c>
      <c r="M244" s="116">
        <v>141.14560677054999</v>
      </c>
      <c r="N244" s="116">
        <v>142.52841887327</v>
      </c>
      <c r="O244" s="116">
        <v>139.56525008172599</v>
      </c>
      <c r="P244" s="116">
        <v>139.812180814355</v>
      </c>
      <c r="Q244" s="116">
        <v>142.9</v>
      </c>
      <c r="R244">
        <v>1040800</v>
      </c>
    </row>
    <row r="245" spans="1:18" x14ac:dyDescent="0.25">
      <c r="A245" s="170">
        <v>42360</v>
      </c>
      <c r="B245" s="116">
        <v>142.231956305588</v>
      </c>
      <c r="C245" s="116">
        <v>139.26879054922199</v>
      </c>
      <c r="D245" s="116">
        <v>138.47861301419101</v>
      </c>
      <c r="E245" s="116">
        <v>141.14546219492101</v>
      </c>
      <c r="F245" s="116">
        <v>141</v>
      </c>
      <c r="G245">
        <v>145400</v>
      </c>
      <c r="H245" s="116"/>
      <c r="I245" s="116"/>
      <c r="L245" s="170">
        <v>42360</v>
      </c>
      <c r="M245" s="116">
        <v>139.46647778867501</v>
      </c>
      <c r="N245" s="116">
        <v>142.23210199411599</v>
      </c>
      <c r="O245" s="116">
        <v>138.577527151211</v>
      </c>
      <c r="P245" s="116">
        <v>141.83701282191001</v>
      </c>
      <c r="Q245" s="116">
        <v>141.19999999999999</v>
      </c>
      <c r="R245">
        <v>609093</v>
      </c>
    </row>
    <row r="246" spans="1:18" x14ac:dyDescent="0.25">
      <c r="A246" s="170">
        <v>42361</v>
      </c>
      <c r="B246" s="116">
        <v>140.94791781116299</v>
      </c>
      <c r="C246" s="116">
        <v>140.207126372071</v>
      </c>
      <c r="D246" s="116">
        <v>139.318176645161</v>
      </c>
      <c r="E246" s="116">
        <v>140.94791781116299</v>
      </c>
      <c r="F246" s="116">
        <v>141.94999999999999</v>
      </c>
      <c r="G246">
        <v>128776</v>
      </c>
      <c r="H246" s="116"/>
      <c r="I246" s="116"/>
      <c r="L246" s="170">
        <v>42361</v>
      </c>
      <c r="M246" s="116">
        <v>140.25665613308601</v>
      </c>
      <c r="N246" s="116">
        <v>141.04683447749801</v>
      </c>
      <c r="O246" s="116">
        <v>139.31831934909701</v>
      </c>
      <c r="P246" s="116">
        <v>140.25665613308601</v>
      </c>
      <c r="Q246" s="116">
        <v>142</v>
      </c>
      <c r="R246">
        <v>561726</v>
      </c>
    </row>
    <row r="247" spans="1:18" x14ac:dyDescent="0.25">
      <c r="A247" s="170">
        <v>42362</v>
      </c>
      <c r="B247" s="116">
        <v>144.75064719849999</v>
      </c>
      <c r="C247" s="116">
        <v>142.97274774467999</v>
      </c>
      <c r="D247" s="116">
        <v>140.35528465989</v>
      </c>
      <c r="E247" s="116">
        <v>141.14546219492101</v>
      </c>
      <c r="F247" s="116">
        <v>144.75</v>
      </c>
      <c r="G247">
        <v>211237</v>
      </c>
      <c r="H247" s="116"/>
      <c r="I247" s="116"/>
      <c r="L247" s="170">
        <v>42362</v>
      </c>
      <c r="M247" s="116">
        <v>143.022280338527</v>
      </c>
      <c r="N247" s="116">
        <v>144.65202317387701</v>
      </c>
      <c r="O247" s="116">
        <v>140.25665613308601</v>
      </c>
      <c r="P247" s="116">
        <v>141.244379063601</v>
      </c>
      <c r="Q247" s="116">
        <v>144.80000000000001</v>
      </c>
      <c r="R247">
        <v>1428993</v>
      </c>
    </row>
    <row r="248" spans="1:18" x14ac:dyDescent="0.25">
      <c r="A248" s="170">
        <v>42366</v>
      </c>
      <c r="B248" s="116">
        <v>143.911083567529</v>
      </c>
      <c r="C248" s="116">
        <v>142.231956305588</v>
      </c>
      <c r="D248" s="116">
        <v>141.63932315431501</v>
      </c>
      <c r="E248" s="116">
        <v>143.911083567529</v>
      </c>
      <c r="F248" s="116">
        <v>144</v>
      </c>
      <c r="G248">
        <v>105267</v>
      </c>
      <c r="H248" s="116"/>
      <c r="I248" s="116"/>
      <c r="L248" s="170">
        <v>42366</v>
      </c>
      <c r="M248" s="116">
        <v>142.28148814064099</v>
      </c>
      <c r="N248" s="116">
        <v>143.466755657259</v>
      </c>
      <c r="O248" s="116">
        <v>141.68885438233301</v>
      </c>
      <c r="P248" s="116">
        <v>143.121052631579</v>
      </c>
      <c r="Q248" s="116">
        <v>144.05000000000001</v>
      </c>
      <c r="R248">
        <v>780709</v>
      </c>
    </row>
    <row r="249" spans="1:18" x14ac:dyDescent="0.25">
      <c r="A249" s="170">
        <v>42367</v>
      </c>
      <c r="B249" s="116">
        <v>142.42950068934601</v>
      </c>
      <c r="C249" s="116">
        <v>140.15774027613199</v>
      </c>
      <c r="D249" s="116">
        <v>139.565107124859</v>
      </c>
      <c r="E249" s="116">
        <v>142.231956305588</v>
      </c>
      <c r="F249" s="116">
        <v>141.9</v>
      </c>
      <c r="G249">
        <v>120328</v>
      </c>
      <c r="H249" s="116"/>
      <c r="I249" s="116"/>
      <c r="L249" s="170">
        <v>42367</v>
      </c>
      <c r="M249" s="116">
        <v>140.157883840035</v>
      </c>
      <c r="N249" s="116">
        <v>142.62719116632201</v>
      </c>
      <c r="O249" s="116">
        <v>139.46647778867501</v>
      </c>
      <c r="P249" s="116">
        <v>142.62719116632201</v>
      </c>
      <c r="Q249" s="116">
        <v>141.9</v>
      </c>
      <c r="R249">
        <v>1260484</v>
      </c>
    </row>
    <row r="250" spans="1:18" x14ac:dyDescent="0.25">
      <c r="A250" s="170">
        <v>42368</v>
      </c>
      <c r="B250" s="116">
        <v>145.540824733531</v>
      </c>
      <c r="C250" s="116">
        <v>144.50371671880299</v>
      </c>
      <c r="D250" s="116">
        <v>139.76265150861599</v>
      </c>
      <c r="E250" s="116">
        <v>141.68870925025499</v>
      </c>
      <c r="F250" s="116">
        <v>146.30000000000001</v>
      </c>
      <c r="G250">
        <v>239228</v>
      </c>
      <c r="H250" s="116"/>
      <c r="I250" s="116"/>
      <c r="L250" s="170">
        <v>42368</v>
      </c>
      <c r="M250" s="116">
        <v>144.553250880825</v>
      </c>
      <c r="N250" s="116">
        <v>145.59035995786601</v>
      </c>
      <c r="O250" s="116">
        <v>139.76279466782901</v>
      </c>
      <c r="P250" s="116">
        <v>140.750517598344</v>
      </c>
      <c r="Q250" s="116">
        <v>146.35</v>
      </c>
      <c r="R250">
        <v>1746109</v>
      </c>
    </row>
    <row r="251" spans="1:18" x14ac:dyDescent="0.25">
      <c r="A251" s="170">
        <v>42369</v>
      </c>
      <c r="B251" s="116">
        <v>146.084071788865</v>
      </c>
      <c r="C251" s="116">
        <v>144.30617233504501</v>
      </c>
      <c r="D251" s="116">
        <v>142.42950068934601</v>
      </c>
      <c r="E251" s="116">
        <v>145.195122061955</v>
      </c>
      <c r="F251" s="116">
        <v>146.1</v>
      </c>
      <c r="G251">
        <v>167823</v>
      </c>
      <c r="H251" s="116"/>
      <c r="I251" s="116"/>
      <c r="L251" s="170">
        <v>42369</v>
      </c>
      <c r="M251" s="116">
        <v>144.405092441248</v>
      </c>
      <c r="N251" s="116">
        <v>146.18299371617499</v>
      </c>
      <c r="O251" s="116">
        <v>142.42964658021901</v>
      </c>
      <c r="P251" s="116">
        <v>145.19527078566</v>
      </c>
      <c r="Q251" s="116">
        <v>146.19999999999999</v>
      </c>
      <c r="R251">
        <v>1464755</v>
      </c>
    </row>
    <row r="252" spans="1:18" x14ac:dyDescent="0.25">
      <c r="A252" s="170">
        <v>42370</v>
      </c>
      <c r="B252" s="116">
        <v>146.577932748259</v>
      </c>
      <c r="C252" s="116">
        <v>144.50371671880299</v>
      </c>
      <c r="D252" s="116">
        <v>143.66415308783201</v>
      </c>
      <c r="E252" s="116">
        <v>145.195122061955</v>
      </c>
      <c r="F252" s="116">
        <v>146.30000000000001</v>
      </c>
      <c r="G252">
        <v>109590</v>
      </c>
      <c r="H252" s="116"/>
      <c r="I252" s="116"/>
      <c r="L252" s="170">
        <v>42370</v>
      </c>
      <c r="M252" s="116">
        <v>144.60263702735099</v>
      </c>
      <c r="N252" s="116">
        <v>146.97317206058599</v>
      </c>
      <c r="O252" s="116">
        <v>143.71368638988801</v>
      </c>
      <c r="P252" s="116">
        <v>144.256934001671</v>
      </c>
      <c r="Q252" s="116">
        <v>146.4</v>
      </c>
      <c r="R252">
        <v>781067</v>
      </c>
    </row>
    <row r="253" spans="1:18" x14ac:dyDescent="0.25">
      <c r="A253" s="170">
        <v>42373</v>
      </c>
      <c r="B253" s="116">
        <v>145.195122061955</v>
      </c>
      <c r="C253" s="116">
        <v>141.738095346194</v>
      </c>
      <c r="D253" s="116">
        <v>140.55282904364799</v>
      </c>
      <c r="E253" s="116">
        <v>144.60248891068201</v>
      </c>
      <c r="F253" s="116">
        <v>143.5</v>
      </c>
      <c r="G253">
        <v>130360</v>
      </c>
      <c r="H253" s="116"/>
      <c r="I253" s="116"/>
      <c r="L253" s="170">
        <v>42373</v>
      </c>
      <c r="M253" s="116">
        <v>141.93578511496099</v>
      </c>
      <c r="N253" s="116">
        <v>145.39281537176299</v>
      </c>
      <c r="O253" s="116">
        <v>140.50358686571499</v>
      </c>
      <c r="P253" s="116">
        <v>144.108775562094</v>
      </c>
      <c r="Q253" s="116">
        <v>143.69999999999999</v>
      </c>
      <c r="R253">
        <v>950484</v>
      </c>
    </row>
    <row r="254" spans="1:18" x14ac:dyDescent="0.25">
      <c r="A254" s="170">
        <v>42374</v>
      </c>
      <c r="B254" s="116">
        <v>147.61504076298701</v>
      </c>
      <c r="C254" s="116">
        <v>146.38038836450099</v>
      </c>
      <c r="D254" s="116">
        <v>140.454056851769</v>
      </c>
      <c r="E254" s="116">
        <v>142.82458945686199</v>
      </c>
      <c r="F254" s="116">
        <v>148.19999999999999</v>
      </c>
      <c r="G254">
        <v>254598</v>
      </c>
      <c r="H254" s="116"/>
      <c r="I254" s="116"/>
      <c r="L254" s="170">
        <v>42374</v>
      </c>
      <c r="M254" s="116">
        <v>146.52869674185499</v>
      </c>
      <c r="N254" s="116">
        <v>147.66457811194701</v>
      </c>
      <c r="O254" s="116">
        <v>140.454200719189</v>
      </c>
      <c r="P254" s="116">
        <v>142.23210199411599</v>
      </c>
      <c r="Q254" s="116">
        <v>148.35</v>
      </c>
      <c r="R254">
        <v>1502760</v>
      </c>
    </row>
    <row r="255" spans="1:18" x14ac:dyDescent="0.25">
      <c r="A255" s="170">
        <v>42375</v>
      </c>
      <c r="B255" s="116">
        <v>147.96074343456399</v>
      </c>
      <c r="C255" s="116">
        <v>143.515994800014</v>
      </c>
      <c r="D255" s="116">
        <v>142.67643116904301</v>
      </c>
      <c r="E255" s="116">
        <v>146.824863227956</v>
      </c>
      <c r="F255" s="116">
        <v>145.30000000000001</v>
      </c>
      <c r="G255">
        <v>174456</v>
      </c>
      <c r="H255" s="116"/>
      <c r="I255" s="116"/>
      <c r="L255" s="170">
        <v>42375</v>
      </c>
      <c r="M255" s="116">
        <v>143.466755657259</v>
      </c>
      <c r="N255" s="116">
        <v>147.96089499110099</v>
      </c>
      <c r="O255" s="116">
        <v>142.72596345937299</v>
      </c>
      <c r="P255" s="116">
        <v>145.29404307871101</v>
      </c>
      <c r="Q255" s="116">
        <v>145.25</v>
      </c>
      <c r="R255">
        <v>834054</v>
      </c>
    </row>
    <row r="256" spans="1:18" x14ac:dyDescent="0.25">
      <c r="A256" s="170">
        <v>42376</v>
      </c>
      <c r="B256" s="116">
        <v>144.20740014316601</v>
      </c>
      <c r="C256" s="116">
        <v>138.23168253449401</v>
      </c>
      <c r="D256" s="116">
        <v>137.29334671164401</v>
      </c>
      <c r="E256" s="116">
        <v>144.20740014316601</v>
      </c>
      <c r="F256" s="116">
        <v>139.94999999999999</v>
      </c>
      <c r="G256">
        <v>148933</v>
      </c>
      <c r="H256" s="116"/>
      <c r="I256" s="116"/>
      <c r="L256" s="170">
        <v>42376</v>
      </c>
      <c r="M256" s="116">
        <v>138.33059641858301</v>
      </c>
      <c r="N256" s="116">
        <v>142.92350804547601</v>
      </c>
      <c r="O256" s="116">
        <v>137.293487341542</v>
      </c>
      <c r="P256" s="116">
        <v>142.33087428716701</v>
      </c>
      <c r="Q256" s="116">
        <v>140.05000000000001</v>
      </c>
      <c r="R256">
        <v>1034747</v>
      </c>
    </row>
    <row r="257" spans="1:18" x14ac:dyDescent="0.25">
      <c r="A257" s="170">
        <v>42377</v>
      </c>
      <c r="B257" s="116">
        <v>144.70126110256001</v>
      </c>
      <c r="C257" s="116">
        <v>142.52827288122501</v>
      </c>
      <c r="D257" s="116">
        <v>138.37984082231199</v>
      </c>
      <c r="E257" s="116">
        <v>138.37984082231199</v>
      </c>
      <c r="F257" s="116">
        <v>144.30000000000001</v>
      </c>
      <c r="G257">
        <v>483065</v>
      </c>
      <c r="H257" s="116"/>
      <c r="I257" s="116"/>
      <c r="L257" s="170">
        <v>42377</v>
      </c>
      <c r="M257" s="116">
        <v>142.676577312847</v>
      </c>
      <c r="N257" s="116">
        <v>144.94834005303099</v>
      </c>
      <c r="O257" s="116">
        <v>138.37998256510801</v>
      </c>
      <c r="P257" s="116">
        <v>138.92323017689199</v>
      </c>
      <c r="Q257" s="116">
        <v>144.44999999999999</v>
      </c>
      <c r="R257">
        <v>1284440</v>
      </c>
    </row>
    <row r="258" spans="1:18" x14ac:dyDescent="0.25">
      <c r="A258" s="170">
        <v>42380</v>
      </c>
      <c r="B258" s="116">
        <v>142.33072849746699</v>
      </c>
      <c r="C258" s="116">
        <v>140.35528465989</v>
      </c>
      <c r="D258" s="116">
        <v>139.713265412677</v>
      </c>
      <c r="E258" s="116">
        <v>142.13318411371</v>
      </c>
      <c r="F258" s="116">
        <v>142.1</v>
      </c>
      <c r="G258">
        <v>109581</v>
      </c>
      <c r="H258" s="116"/>
      <c r="I258" s="116"/>
      <c r="L258" s="170">
        <v>42380</v>
      </c>
      <c r="M258" s="116">
        <v>140.157883840035</v>
      </c>
      <c r="N258" s="116">
        <v>142.23210199411599</v>
      </c>
      <c r="O258" s="116">
        <v>139.219547056046</v>
      </c>
      <c r="P258" s="116">
        <v>141.44192364970399</v>
      </c>
      <c r="Q258" s="116">
        <v>141.9</v>
      </c>
      <c r="R258">
        <v>1201860</v>
      </c>
    </row>
    <row r="259" spans="1:18" x14ac:dyDescent="0.25">
      <c r="A259" s="170">
        <v>42381</v>
      </c>
      <c r="B259" s="116">
        <v>141.68870925025499</v>
      </c>
      <c r="C259" s="116">
        <v>137.58966328728101</v>
      </c>
      <c r="D259" s="116">
        <v>136.45378308067399</v>
      </c>
      <c r="E259" s="116">
        <v>140.25651246801101</v>
      </c>
      <c r="F259" s="116">
        <v>139.30000000000001</v>
      </c>
      <c r="G259">
        <v>139233</v>
      </c>
      <c r="H259" s="116"/>
      <c r="I259" s="116"/>
      <c r="L259" s="170">
        <v>42381</v>
      </c>
      <c r="M259" s="116">
        <v>137.7873488068</v>
      </c>
      <c r="N259" s="116">
        <v>141.68885438233301</v>
      </c>
      <c r="O259" s="116">
        <v>136.355150557553</v>
      </c>
      <c r="P259" s="116">
        <v>140.651745305292</v>
      </c>
      <c r="Q259" s="116">
        <v>139.5</v>
      </c>
      <c r="R259">
        <v>1353097</v>
      </c>
    </row>
    <row r="260" spans="1:18" x14ac:dyDescent="0.25">
      <c r="A260" s="170">
        <v>42382</v>
      </c>
      <c r="B260" s="116">
        <v>140.15774027613199</v>
      </c>
      <c r="C260" s="116">
        <v>133.589389516186</v>
      </c>
      <c r="D260" s="116">
        <v>128.70016601818199</v>
      </c>
      <c r="E260" s="116">
        <v>140.058968084253</v>
      </c>
      <c r="F260" s="116">
        <v>135.25</v>
      </c>
      <c r="G260">
        <v>296805</v>
      </c>
      <c r="H260" s="116"/>
      <c r="I260" s="116"/>
      <c r="L260" s="170">
        <v>42382</v>
      </c>
      <c r="M260" s="116">
        <v>133.93522937779201</v>
      </c>
      <c r="N260" s="116">
        <v>140.20726998656099</v>
      </c>
      <c r="O260" s="116">
        <v>128.70029784606399</v>
      </c>
      <c r="P260" s="116">
        <v>140.009725400458</v>
      </c>
      <c r="Q260" s="116">
        <v>135.6</v>
      </c>
      <c r="R260">
        <v>1907971</v>
      </c>
    </row>
    <row r="261" spans="1:18" x14ac:dyDescent="0.25">
      <c r="A261" s="170">
        <v>42383</v>
      </c>
      <c r="B261" s="116">
        <v>134.67588362685399</v>
      </c>
      <c r="C261" s="116">
        <v>132.60166759739801</v>
      </c>
      <c r="D261" s="116">
        <v>129.68788793697101</v>
      </c>
      <c r="E261" s="116">
        <v>131.46578739079001</v>
      </c>
      <c r="F261" s="116">
        <v>134.25</v>
      </c>
      <c r="G261">
        <v>212446</v>
      </c>
      <c r="H261" s="116"/>
      <c r="I261" s="116"/>
      <c r="L261" s="170">
        <v>42383</v>
      </c>
      <c r="M261" s="116">
        <v>132.404258835495</v>
      </c>
      <c r="N261" s="116">
        <v>134.57724928262701</v>
      </c>
      <c r="O261" s="116">
        <v>129.53986233700201</v>
      </c>
      <c r="P261" s="116">
        <v>130.47819912099101</v>
      </c>
      <c r="Q261" s="116">
        <v>134.05000000000001</v>
      </c>
      <c r="R261">
        <v>1431102</v>
      </c>
    </row>
    <row r="262" spans="1:18" x14ac:dyDescent="0.25">
      <c r="A262" s="170">
        <v>42384</v>
      </c>
      <c r="B262" s="116">
        <v>134.28079485933901</v>
      </c>
      <c r="C262" s="116">
        <v>126.774108276544</v>
      </c>
      <c r="D262" s="116">
        <v>125.934544645573</v>
      </c>
      <c r="E262" s="116">
        <v>134.28079485933901</v>
      </c>
      <c r="F262" s="116">
        <v>128.35</v>
      </c>
      <c r="G262">
        <v>233715</v>
      </c>
      <c r="H262" s="116"/>
      <c r="I262" s="116"/>
      <c r="L262" s="170">
        <v>42384</v>
      </c>
      <c r="M262" s="116">
        <v>126.92239657113799</v>
      </c>
      <c r="N262" s="116">
        <v>133.73768479168899</v>
      </c>
      <c r="O262" s="116">
        <v>125.934673640623</v>
      </c>
      <c r="P262" s="116">
        <v>133.34259561948301</v>
      </c>
      <c r="Q262" s="116">
        <v>128.5</v>
      </c>
      <c r="R262">
        <v>1756768</v>
      </c>
    </row>
    <row r="263" spans="1:18" x14ac:dyDescent="0.25">
      <c r="A263" s="170">
        <v>42387</v>
      </c>
      <c r="B263" s="116">
        <v>127.267969235938</v>
      </c>
      <c r="C263" s="116">
        <v>120.403301900356</v>
      </c>
      <c r="D263" s="116">
        <v>119.61312436532501</v>
      </c>
      <c r="E263" s="116">
        <v>127.169197044059</v>
      </c>
      <c r="F263" s="116">
        <v>121.9</v>
      </c>
      <c r="G263">
        <v>429268</v>
      </c>
      <c r="H263" s="116"/>
      <c r="I263" s="116"/>
      <c r="L263" s="170">
        <v>42387</v>
      </c>
      <c r="M263" s="116">
        <v>120.354039083215</v>
      </c>
      <c r="N263" s="116">
        <v>127.41625803639501</v>
      </c>
      <c r="O263" s="116">
        <v>119.563860738804</v>
      </c>
      <c r="P263" s="116">
        <v>126.428535105881</v>
      </c>
      <c r="Q263" s="116">
        <v>121.85</v>
      </c>
      <c r="R263">
        <v>2065711</v>
      </c>
    </row>
    <row r="264" spans="1:18" x14ac:dyDescent="0.25">
      <c r="A264" s="170">
        <v>42388</v>
      </c>
      <c r="B264" s="116">
        <v>125.39129759023901</v>
      </c>
      <c r="C264" s="116">
        <v>124.89743663084499</v>
      </c>
      <c r="D264" s="116">
        <v>119.514352173446</v>
      </c>
      <c r="E264" s="116">
        <v>119.514352173446</v>
      </c>
      <c r="F264" s="116">
        <v>126.45</v>
      </c>
      <c r="G264">
        <v>243018</v>
      </c>
      <c r="H264" s="116"/>
      <c r="I264" s="116"/>
      <c r="L264" s="170">
        <v>42388</v>
      </c>
      <c r="M264" s="116">
        <v>124.848178417057</v>
      </c>
      <c r="N264" s="116">
        <v>125.44081217536601</v>
      </c>
      <c r="O264" s="116">
        <v>120.05772220406099</v>
      </c>
      <c r="P264" s="116">
        <v>121.440534306781</v>
      </c>
      <c r="Q264" s="116">
        <v>126.4</v>
      </c>
      <c r="R264">
        <v>1411260</v>
      </c>
    </row>
    <row r="265" spans="1:18" x14ac:dyDescent="0.25">
      <c r="A265" s="170">
        <v>42389</v>
      </c>
      <c r="B265" s="116">
        <v>124.848050534905</v>
      </c>
      <c r="C265" s="116">
        <v>121.045321147569</v>
      </c>
      <c r="D265" s="116">
        <v>119.02049121405101</v>
      </c>
      <c r="E265" s="116">
        <v>124.848050534905</v>
      </c>
      <c r="F265" s="116">
        <v>122.55</v>
      </c>
      <c r="G265">
        <v>237862</v>
      </c>
      <c r="H265" s="116"/>
      <c r="I265" s="116"/>
      <c r="L265" s="170">
        <v>42389</v>
      </c>
      <c r="M265" s="116">
        <v>121.045445134576</v>
      </c>
      <c r="N265" s="116">
        <v>123.070277142131</v>
      </c>
      <c r="O265" s="116">
        <v>119.02061312702</v>
      </c>
      <c r="P265" s="116">
        <v>123.070277142131</v>
      </c>
      <c r="Q265" s="116">
        <v>122.55</v>
      </c>
      <c r="R265">
        <v>1278069</v>
      </c>
    </row>
    <row r="266" spans="1:18" x14ac:dyDescent="0.25">
      <c r="A266" s="170">
        <v>42390</v>
      </c>
      <c r="B266" s="116">
        <v>122.92199279326699</v>
      </c>
      <c r="C266" s="116">
        <v>120.74900457193201</v>
      </c>
      <c r="D266" s="116">
        <v>118.180927583081</v>
      </c>
      <c r="E266" s="116">
        <v>121.539182106963</v>
      </c>
      <c r="F266" s="116">
        <v>122.25</v>
      </c>
      <c r="G266">
        <v>165512</v>
      </c>
      <c r="H266" s="116"/>
      <c r="I266" s="116"/>
      <c r="L266" s="170">
        <v>42390</v>
      </c>
      <c r="M266" s="116">
        <v>120.255266790164</v>
      </c>
      <c r="N266" s="116">
        <v>123.020890995605</v>
      </c>
      <c r="O266" s="116">
        <v>118.032890196506</v>
      </c>
      <c r="P266" s="116">
        <v>121.539306599833</v>
      </c>
      <c r="Q266" s="116">
        <v>121.75</v>
      </c>
      <c r="R266">
        <v>1322358</v>
      </c>
    </row>
    <row r="267" spans="1:18" x14ac:dyDescent="0.25">
      <c r="A267" s="170">
        <v>42391</v>
      </c>
      <c r="B267" s="116">
        <v>124.848050534905</v>
      </c>
      <c r="C267" s="116">
        <v>124.05787299987399</v>
      </c>
      <c r="D267" s="116">
        <v>120.699618475992</v>
      </c>
      <c r="E267" s="116">
        <v>122.625676217631</v>
      </c>
      <c r="F267" s="116">
        <v>125.6</v>
      </c>
      <c r="G267">
        <v>140527</v>
      </c>
      <c r="H267" s="116"/>
      <c r="I267" s="116"/>
      <c r="L267" s="170">
        <v>42391</v>
      </c>
      <c r="M267" s="116">
        <v>124.00861392612001</v>
      </c>
      <c r="N267" s="116">
        <v>125.34203988231501</v>
      </c>
      <c r="O267" s="116">
        <v>120.45281137626699</v>
      </c>
      <c r="P267" s="116">
        <v>122.329484944245</v>
      </c>
      <c r="Q267" s="116">
        <v>125.55</v>
      </c>
      <c r="R267">
        <v>1084192</v>
      </c>
    </row>
    <row r="268" spans="1:18" x14ac:dyDescent="0.25">
      <c r="A268" s="170">
        <v>42394</v>
      </c>
      <c r="B268" s="116">
        <v>125.34191149430001</v>
      </c>
      <c r="C268" s="116">
        <v>122.72444840950899</v>
      </c>
      <c r="D268" s="116">
        <v>121.489796011023</v>
      </c>
      <c r="E268" s="116">
        <v>124.00848690393499</v>
      </c>
      <c r="F268" s="116">
        <v>124.25</v>
      </c>
      <c r="G268">
        <v>185587</v>
      </c>
      <c r="H268" s="116"/>
      <c r="I268" s="116"/>
      <c r="L268" s="170">
        <v>42394</v>
      </c>
      <c r="M268" s="116">
        <v>122.773960262976</v>
      </c>
      <c r="N268" s="116">
        <v>125.44081217536601</v>
      </c>
      <c r="O268" s="116">
        <v>121.88500962551301</v>
      </c>
      <c r="P268" s="116">
        <v>124.304930805274</v>
      </c>
      <c r="Q268" s="116">
        <v>124.3</v>
      </c>
      <c r="R268">
        <v>682689</v>
      </c>
    </row>
    <row r="269" spans="1:18" x14ac:dyDescent="0.25">
      <c r="A269" s="170">
        <v>42396</v>
      </c>
      <c r="B269" s="116">
        <v>124.65050615114799</v>
      </c>
      <c r="C269" s="116">
        <v>122.773834505449</v>
      </c>
      <c r="D269" s="116">
        <v>122.131815258236</v>
      </c>
      <c r="E269" s="116">
        <v>124.45296176738999</v>
      </c>
      <c r="F269" s="116">
        <v>124.3</v>
      </c>
      <c r="G269">
        <v>80230</v>
      </c>
      <c r="H269" s="116"/>
      <c r="I269" s="116"/>
      <c r="L269" s="170">
        <v>42396</v>
      </c>
      <c r="M269" s="116">
        <v>122.92211870255301</v>
      </c>
      <c r="N269" s="116">
        <v>124.40370309832601</v>
      </c>
      <c r="O269" s="116">
        <v>121.78623733246199</v>
      </c>
      <c r="P269" s="116">
        <v>123.415980167811</v>
      </c>
      <c r="Q269" s="116">
        <v>124.45</v>
      </c>
      <c r="R269">
        <v>655053</v>
      </c>
    </row>
    <row r="270" spans="1:18" x14ac:dyDescent="0.25">
      <c r="A270" s="170">
        <v>42397</v>
      </c>
      <c r="B270" s="116">
        <v>123.860328616117</v>
      </c>
      <c r="C270" s="116">
        <v>121.539182106963</v>
      </c>
      <c r="D270" s="116">
        <v>120.847776763811</v>
      </c>
      <c r="E270" s="116">
        <v>123.56401204047999</v>
      </c>
      <c r="F270" s="116">
        <v>123.05</v>
      </c>
      <c r="G270">
        <v>127039</v>
      </c>
      <c r="H270" s="116"/>
      <c r="I270" s="116"/>
      <c r="L270" s="170">
        <v>42397</v>
      </c>
      <c r="M270" s="116">
        <v>121.638078892884</v>
      </c>
      <c r="N270" s="116">
        <v>123.86045548654199</v>
      </c>
      <c r="O270" s="116">
        <v>121.09483128110099</v>
      </c>
      <c r="P270" s="116">
        <v>123.415980167811</v>
      </c>
      <c r="Q270" s="116">
        <v>123.15</v>
      </c>
      <c r="R270">
        <v>1539708</v>
      </c>
    </row>
    <row r="271" spans="1:18" x14ac:dyDescent="0.25">
      <c r="A271" s="170">
        <v>42398</v>
      </c>
      <c r="B271" s="116">
        <v>125.83577245369401</v>
      </c>
      <c r="C271" s="116">
        <v>124.798664438966</v>
      </c>
      <c r="D271" s="116">
        <v>121.934270874478</v>
      </c>
      <c r="E271" s="116">
        <v>122.971378889207</v>
      </c>
      <c r="F271" s="116">
        <v>126.35</v>
      </c>
      <c r="G271">
        <v>201627</v>
      </c>
      <c r="H271" s="116"/>
      <c r="I271" s="116"/>
      <c r="L271" s="170">
        <v>42398</v>
      </c>
      <c r="M271" s="116">
        <v>124.94695071010899</v>
      </c>
      <c r="N271" s="116">
        <v>125.88528749409799</v>
      </c>
      <c r="O271" s="116">
        <v>121.835623478987</v>
      </c>
      <c r="P271" s="116">
        <v>122.576415676873</v>
      </c>
      <c r="Q271" s="116">
        <v>126.5</v>
      </c>
      <c r="R271">
        <v>925581</v>
      </c>
    </row>
    <row r="272" spans="1:18" x14ac:dyDescent="0.25">
      <c r="A272" s="170">
        <v>42401</v>
      </c>
      <c r="B272" s="116">
        <v>126.527177796846</v>
      </c>
      <c r="C272" s="116">
        <v>125.045594918663</v>
      </c>
      <c r="D272" s="116">
        <v>123.514625944541</v>
      </c>
      <c r="E272" s="116">
        <v>125.440683686179</v>
      </c>
      <c r="F272" s="116">
        <v>126.6</v>
      </c>
      <c r="G272">
        <v>119319</v>
      </c>
      <c r="H272" s="116"/>
      <c r="I272" s="116"/>
      <c r="L272" s="170">
        <v>42401</v>
      </c>
      <c r="M272" s="116">
        <v>125.04572300316001</v>
      </c>
      <c r="N272" s="116">
        <v>126.724851985035</v>
      </c>
      <c r="O272" s="116">
        <v>123.66291090044</v>
      </c>
      <c r="P272" s="116">
        <v>125.243267589263</v>
      </c>
      <c r="Q272" s="116">
        <v>126.6</v>
      </c>
      <c r="R272">
        <v>592819</v>
      </c>
    </row>
    <row r="273" spans="1:18" x14ac:dyDescent="0.25">
      <c r="A273" s="170">
        <v>42402</v>
      </c>
      <c r="B273" s="116">
        <v>126.774108276544</v>
      </c>
      <c r="C273" s="116">
        <v>122.67506231357</v>
      </c>
      <c r="D273" s="116">
        <v>122.378745737933</v>
      </c>
      <c r="E273" s="116">
        <v>126.774108276544</v>
      </c>
      <c r="F273" s="116">
        <v>124.2</v>
      </c>
      <c r="G273">
        <v>137075</v>
      </c>
      <c r="H273" s="116"/>
      <c r="I273" s="116"/>
      <c r="L273" s="170">
        <v>42402</v>
      </c>
      <c r="M273" s="116">
        <v>122.724574116451</v>
      </c>
      <c r="N273" s="116">
        <v>126.132218226726</v>
      </c>
      <c r="O273" s="116">
        <v>122.03316806509</v>
      </c>
      <c r="P273" s="116">
        <v>125.835901347572</v>
      </c>
      <c r="Q273" s="116">
        <v>124.25</v>
      </c>
      <c r="R273">
        <v>734748</v>
      </c>
    </row>
    <row r="274" spans="1:18" x14ac:dyDescent="0.25">
      <c r="A274" s="170">
        <v>42403</v>
      </c>
      <c r="B274" s="116">
        <v>123.465239848601</v>
      </c>
      <c r="C274" s="116">
        <v>120.403301900356</v>
      </c>
      <c r="D274" s="116">
        <v>119.61312436532501</v>
      </c>
      <c r="E274" s="116">
        <v>123.465239848601</v>
      </c>
      <c r="F274" s="116">
        <v>121.9</v>
      </c>
      <c r="G274">
        <v>110519</v>
      </c>
      <c r="H274" s="116"/>
      <c r="I274" s="116"/>
      <c r="L274" s="170">
        <v>42403</v>
      </c>
      <c r="M274" s="116">
        <v>120.255266790164</v>
      </c>
      <c r="N274" s="116">
        <v>123.267821728234</v>
      </c>
      <c r="O274" s="116">
        <v>119.51447459227801</v>
      </c>
      <c r="P274" s="116">
        <v>121.539306599833</v>
      </c>
      <c r="Q274" s="116">
        <v>121.75</v>
      </c>
      <c r="R274">
        <v>877186</v>
      </c>
    </row>
    <row r="275" spans="1:18" x14ac:dyDescent="0.25">
      <c r="A275" s="170">
        <v>42404</v>
      </c>
      <c r="B275" s="116">
        <v>121.934270874478</v>
      </c>
      <c r="C275" s="116">
        <v>119.81066874908301</v>
      </c>
      <c r="D275" s="116">
        <v>118.822946830294</v>
      </c>
      <c r="E275" s="116">
        <v>121.440409915084</v>
      </c>
      <c r="F275" s="116">
        <v>121.3</v>
      </c>
      <c r="G275">
        <v>133065</v>
      </c>
      <c r="H275" s="116"/>
      <c r="I275" s="116"/>
      <c r="L275" s="170">
        <v>42404</v>
      </c>
      <c r="M275" s="116">
        <v>120.107108350587</v>
      </c>
      <c r="N275" s="116">
        <v>121.88500962551301</v>
      </c>
      <c r="O275" s="116">
        <v>118.921840833969</v>
      </c>
      <c r="P275" s="116">
        <v>121.588692746359</v>
      </c>
      <c r="Q275" s="116">
        <v>121.6</v>
      </c>
      <c r="R275">
        <v>1120485</v>
      </c>
    </row>
    <row r="276" spans="1:18" x14ac:dyDescent="0.25">
      <c r="A276" s="170">
        <v>42405</v>
      </c>
      <c r="B276" s="116">
        <v>121.934270874478</v>
      </c>
      <c r="C276" s="116">
        <v>121.094707243508</v>
      </c>
      <c r="D276" s="116">
        <v>120.00821313284</v>
      </c>
      <c r="E276" s="116">
        <v>120.798390667871</v>
      </c>
      <c r="F276" s="116">
        <v>122.6</v>
      </c>
      <c r="G276">
        <v>105508</v>
      </c>
      <c r="H276" s="116"/>
      <c r="I276" s="116"/>
      <c r="L276" s="170">
        <v>42405</v>
      </c>
      <c r="M276" s="116">
        <v>120.99605898805</v>
      </c>
      <c r="N276" s="116">
        <v>122.42825723729599</v>
      </c>
      <c r="O276" s="116">
        <v>119.958949911009</v>
      </c>
      <c r="P276" s="116">
        <v>120.403425229741</v>
      </c>
      <c r="Q276" s="116">
        <v>122.5</v>
      </c>
      <c r="R276">
        <v>797137</v>
      </c>
    </row>
    <row r="277" spans="1:18" x14ac:dyDescent="0.25">
      <c r="A277" s="170">
        <v>42408</v>
      </c>
      <c r="B277" s="116">
        <v>124.45296176738999</v>
      </c>
      <c r="C277" s="116">
        <v>122.329359641994</v>
      </c>
      <c r="D277" s="116">
        <v>120.89716285975</v>
      </c>
      <c r="E277" s="116">
        <v>121.094707243508</v>
      </c>
      <c r="F277" s="116">
        <v>123.85</v>
      </c>
      <c r="G277">
        <v>404240</v>
      </c>
      <c r="H277" s="116"/>
      <c r="I277" s="116"/>
      <c r="L277" s="170">
        <v>42408</v>
      </c>
      <c r="M277" s="116">
        <v>122.37887109077001</v>
      </c>
      <c r="N277" s="116">
        <v>124.55186153790299</v>
      </c>
      <c r="O277" s="116">
        <v>120.99605898805</v>
      </c>
      <c r="P277" s="116">
        <v>121.539306599833</v>
      </c>
      <c r="Q277" s="116">
        <v>123.9</v>
      </c>
      <c r="R277">
        <v>1227619</v>
      </c>
    </row>
    <row r="278" spans="1:18" x14ac:dyDescent="0.25">
      <c r="A278" s="170">
        <v>42409</v>
      </c>
      <c r="B278" s="116">
        <v>123.267695464843</v>
      </c>
      <c r="C278" s="116">
        <v>119.16864950186999</v>
      </c>
      <c r="D278" s="116">
        <v>118.625402446536</v>
      </c>
      <c r="E278" s="116">
        <v>123.267695464843</v>
      </c>
      <c r="F278" s="116">
        <v>120.65</v>
      </c>
      <c r="G278">
        <v>210073</v>
      </c>
      <c r="H278" s="116"/>
      <c r="I278" s="116"/>
      <c r="L278" s="170">
        <v>42409</v>
      </c>
      <c r="M278" s="116">
        <v>119.267543859649</v>
      </c>
      <c r="N278" s="116">
        <v>122.872732556028</v>
      </c>
      <c r="O278" s="116">
        <v>118.62552395481499</v>
      </c>
      <c r="P278" s="116">
        <v>121.48992045330699</v>
      </c>
      <c r="Q278" s="116">
        <v>120.75</v>
      </c>
      <c r="R278">
        <v>1109232</v>
      </c>
    </row>
    <row r="279" spans="1:18" x14ac:dyDescent="0.25">
      <c r="A279" s="170">
        <v>42410</v>
      </c>
      <c r="B279" s="116">
        <v>119.81066874908301</v>
      </c>
      <c r="C279" s="116">
        <v>116.896889088656</v>
      </c>
      <c r="D279" s="116">
        <v>114.822673059199</v>
      </c>
      <c r="E279" s="116">
        <v>118.52663025465699</v>
      </c>
      <c r="F279" s="116">
        <v>118.35</v>
      </c>
      <c r="G279">
        <v>232841</v>
      </c>
      <c r="H279" s="116"/>
      <c r="I279" s="116"/>
      <c r="L279" s="170">
        <v>42410</v>
      </c>
      <c r="M279" s="116">
        <v>116.89700882641399</v>
      </c>
      <c r="N279" s="116">
        <v>119.51447459227801</v>
      </c>
      <c r="O279" s="116">
        <v>115.02033525843601</v>
      </c>
      <c r="P279" s="116">
        <v>119.02061312702</v>
      </c>
      <c r="Q279" s="116">
        <v>118.35</v>
      </c>
      <c r="R279">
        <v>1654991</v>
      </c>
    </row>
    <row r="280" spans="1:18" x14ac:dyDescent="0.25">
      <c r="A280" s="170">
        <v>42411</v>
      </c>
      <c r="B280" s="116">
        <v>113.588020660713</v>
      </c>
      <c r="C280" s="116">
        <v>103.463870993128</v>
      </c>
      <c r="D280" s="116">
        <v>100.797021812398</v>
      </c>
      <c r="E280" s="116">
        <v>112.40275435816601</v>
      </c>
      <c r="F280" s="116">
        <v>104.75</v>
      </c>
      <c r="G280">
        <v>610403</v>
      </c>
      <c r="H280" s="116"/>
      <c r="I280" s="116"/>
      <c r="L280" s="170">
        <v>42411</v>
      </c>
      <c r="M280" s="116">
        <v>103.957838436671</v>
      </c>
      <c r="N280" s="116">
        <v>114.378315353601</v>
      </c>
      <c r="O280" s="116">
        <v>101.142828084705</v>
      </c>
      <c r="P280" s="116">
        <v>111.316374269006</v>
      </c>
      <c r="Q280" s="116">
        <v>105.25</v>
      </c>
      <c r="R280">
        <v>5524328</v>
      </c>
    </row>
    <row r="281" spans="1:18" x14ac:dyDescent="0.25">
      <c r="A281" s="170">
        <v>42412</v>
      </c>
      <c r="B281" s="116">
        <v>105.04422606319</v>
      </c>
      <c r="C281" s="116">
        <v>103.11816832155201</v>
      </c>
      <c r="D281" s="116">
        <v>98.870964070759797</v>
      </c>
      <c r="E281" s="116">
        <v>103.710801472825</v>
      </c>
      <c r="F281" s="116">
        <v>104.4</v>
      </c>
      <c r="G281">
        <v>397892</v>
      </c>
      <c r="H281" s="116"/>
      <c r="I281" s="116"/>
      <c r="L281" s="170">
        <v>42412</v>
      </c>
      <c r="M281" s="116">
        <v>103.019501652682</v>
      </c>
      <c r="N281" s="116">
        <v>105.093719806763</v>
      </c>
      <c r="O281" s="116">
        <v>98.772293051469205</v>
      </c>
      <c r="P281" s="116">
        <v>101.982392575642</v>
      </c>
      <c r="Q281" s="116">
        <v>104.3</v>
      </c>
      <c r="R281">
        <v>2087141</v>
      </c>
    </row>
    <row r="282" spans="1:18" x14ac:dyDescent="0.25">
      <c r="A282" s="170">
        <v>42415</v>
      </c>
      <c r="B282" s="116">
        <v>107.26660038046499</v>
      </c>
      <c r="C282" s="116">
        <v>104.698523391614</v>
      </c>
      <c r="D282" s="116">
        <v>103.809573664704</v>
      </c>
      <c r="E282" s="116">
        <v>105.686245310403</v>
      </c>
      <c r="F282" s="116">
        <v>106</v>
      </c>
      <c r="G282">
        <v>206706</v>
      </c>
      <c r="H282" s="116"/>
      <c r="I282" s="116"/>
      <c r="L282" s="170">
        <v>42415</v>
      </c>
      <c r="M282" s="116">
        <v>104.69863063455701</v>
      </c>
      <c r="N282" s="116">
        <v>107.118551814318</v>
      </c>
      <c r="O282" s="116">
        <v>103.80967999709399</v>
      </c>
      <c r="P282" s="116">
        <v>103.80967999709399</v>
      </c>
      <c r="Q282" s="116">
        <v>106</v>
      </c>
      <c r="R282">
        <v>1091675</v>
      </c>
    </row>
    <row r="283" spans="1:18" x14ac:dyDescent="0.25">
      <c r="A283" s="170">
        <v>42416</v>
      </c>
      <c r="B283" s="116">
        <v>107.414758668283</v>
      </c>
      <c r="C283" s="116">
        <v>101.34026886773199</v>
      </c>
      <c r="D283" s="116">
        <v>100.74763571645801</v>
      </c>
      <c r="E283" s="116">
        <v>105.93317579009999</v>
      </c>
      <c r="F283" s="116">
        <v>102.6</v>
      </c>
      <c r="G283">
        <v>229518</v>
      </c>
      <c r="H283" s="116"/>
      <c r="I283" s="116"/>
      <c r="L283" s="170">
        <v>42416</v>
      </c>
      <c r="M283" s="116">
        <v>101.389758817333</v>
      </c>
      <c r="N283" s="116">
        <v>107.56302713305</v>
      </c>
      <c r="O283" s="116">
        <v>100.945283498602</v>
      </c>
      <c r="P283" s="116">
        <v>106.377759616432</v>
      </c>
      <c r="Q283" s="116">
        <v>102.65</v>
      </c>
      <c r="R283">
        <v>1341261</v>
      </c>
    </row>
    <row r="284" spans="1:18" x14ac:dyDescent="0.25">
      <c r="A284" s="170">
        <v>42417</v>
      </c>
      <c r="B284" s="116">
        <v>103.414484897188</v>
      </c>
      <c r="C284" s="116">
        <v>102.624307362157</v>
      </c>
      <c r="D284" s="116">
        <v>99.809299893609094</v>
      </c>
      <c r="E284" s="116">
        <v>102.723079554036</v>
      </c>
      <c r="F284" s="116">
        <v>103.9</v>
      </c>
      <c r="G284">
        <v>220009</v>
      </c>
      <c r="H284" s="116"/>
      <c r="I284" s="116"/>
      <c r="L284" s="170">
        <v>42417</v>
      </c>
      <c r="M284" s="116">
        <v>102.723184773528</v>
      </c>
      <c r="N284" s="116">
        <v>103.315818531837</v>
      </c>
      <c r="O284" s="116">
        <v>99.858788275035394</v>
      </c>
      <c r="P284" s="116">
        <v>101.735461843013</v>
      </c>
      <c r="Q284" s="116">
        <v>104</v>
      </c>
      <c r="R284">
        <v>1268061</v>
      </c>
    </row>
    <row r="285" spans="1:18" x14ac:dyDescent="0.25">
      <c r="A285" s="170">
        <v>42418</v>
      </c>
      <c r="B285" s="116">
        <v>105.04422606319</v>
      </c>
      <c r="C285" s="116">
        <v>103.11816832155201</v>
      </c>
      <c r="D285" s="116">
        <v>101.34026886773199</v>
      </c>
      <c r="E285" s="116">
        <v>103.710801472825</v>
      </c>
      <c r="F285" s="116">
        <v>104.4</v>
      </c>
      <c r="G285">
        <v>123571</v>
      </c>
      <c r="H285" s="116"/>
      <c r="I285" s="116"/>
      <c r="L285" s="170">
        <v>42418</v>
      </c>
      <c r="M285" s="116">
        <v>103.26643238531101</v>
      </c>
      <c r="N285" s="116">
        <v>105.192492099815</v>
      </c>
      <c r="O285" s="116">
        <v>101.241600377756</v>
      </c>
      <c r="P285" s="116">
        <v>104.10599687624899</v>
      </c>
      <c r="Q285" s="116">
        <v>104.55</v>
      </c>
      <c r="R285">
        <v>1429030</v>
      </c>
    </row>
    <row r="286" spans="1:18" x14ac:dyDescent="0.25">
      <c r="A286" s="170">
        <v>42419</v>
      </c>
      <c r="B286" s="116">
        <v>106.87151161294901</v>
      </c>
      <c r="C286" s="116">
        <v>105.78501750228099</v>
      </c>
      <c r="D286" s="116">
        <v>102.772465649976</v>
      </c>
      <c r="E286" s="116">
        <v>104.10589024034</v>
      </c>
      <c r="F286" s="116">
        <v>107.1</v>
      </c>
      <c r="G286">
        <v>116713</v>
      </c>
      <c r="H286" s="116"/>
      <c r="I286" s="116"/>
      <c r="L286" s="170">
        <v>42419</v>
      </c>
      <c r="M286" s="116">
        <v>105.982670444227</v>
      </c>
      <c r="N286" s="116">
        <v>106.87162108168999</v>
      </c>
      <c r="O286" s="116">
        <v>102.970115506157</v>
      </c>
      <c r="P286" s="116">
        <v>103.710907704043</v>
      </c>
      <c r="Q286" s="116">
        <v>107.3</v>
      </c>
      <c r="R286">
        <v>1340622</v>
      </c>
    </row>
    <row r="287" spans="1:18" x14ac:dyDescent="0.25">
      <c r="A287" s="170">
        <v>42422</v>
      </c>
      <c r="B287" s="116">
        <v>108.353094491132</v>
      </c>
      <c r="C287" s="116">
        <v>107.76046133985901</v>
      </c>
      <c r="D287" s="116">
        <v>105.78501750228099</v>
      </c>
      <c r="E287" s="116">
        <v>106.67396722919101</v>
      </c>
      <c r="F287" s="116">
        <v>109.1</v>
      </c>
      <c r="G287">
        <v>114350</v>
      </c>
      <c r="H287" s="116"/>
      <c r="I287" s="116"/>
      <c r="L287" s="170">
        <v>42422</v>
      </c>
      <c r="M287" s="116">
        <v>107.76057171915301</v>
      </c>
      <c r="N287" s="116">
        <v>108.501363917039</v>
      </c>
      <c r="O287" s="116">
        <v>105.686353565072</v>
      </c>
      <c r="P287" s="116">
        <v>105.982670444227</v>
      </c>
      <c r="Q287" s="116">
        <v>109.1</v>
      </c>
      <c r="R287">
        <v>1151733</v>
      </c>
    </row>
    <row r="288" spans="1:18" x14ac:dyDescent="0.25">
      <c r="A288" s="170">
        <v>42423</v>
      </c>
      <c r="B288" s="116">
        <v>108.451866683011</v>
      </c>
      <c r="C288" s="116">
        <v>105.636859214463</v>
      </c>
      <c r="D288" s="116">
        <v>104.056504144401</v>
      </c>
      <c r="E288" s="116">
        <v>108.451866683011</v>
      </c>
      <c r="F288" s="116">
        <v>106.95</v>
      </c>
      <c r="G288">
        <v>93310</v>
      </c>
      <c r="H288" s="116"/>
      <c r="I288" s="116"/>
      <c r="L288" s="170">
        <v>42423</v>
      </c>
      <c r="M288" s="116">
        <v>105.340650539392</v>
      </c>
      <c r="N288" s="116">
        <v>108.15566089135901</v>
      </c>
      <c r="O288" s="116">
        <v>103.80967999709399</v>
      </c>
      <c r="P288" s="116">
        <v>107.661799426101</v>
      </c>
      <c r="Q288" s="116">
        <v>106.65</v>
      </c>
      <c r="R288">
        <v>1037357</v>
      </c>
    </row>
    <row r="289" spans="1:18" x14ac:dyDescent="0.25">
      <c r="A289" s="170">
        <v>42424</v>
      </c>
      <c r="B289" s="116">
        <v>106.920897708889</v>
      </c>
      <c r="C289" s="116">
        <v>105.488700926645</v>
      </c>
      <c r="D289" s="116">
        <v>103.710801472825</v>
      </c>
      <c r="E289" s="116">
        <v>105.686245310403</v>
      </c>
      <c r="F289" s="116">
        <v>106.8</v>
      </c>
      <c r="G289">
        <v>95638</v>
      </c>
      <c r="H289" s="116"/>
      <c r="I289" s="116"/>
      <c r="L289" s="170">
        <v>42424</v>
      </c>
      <c r="M289" s="116">
        <v>105.39003668591801</v>
      </c>
      <c r="N289" s="116">
        <v>106.97039337474099</v>
      </c>
      <c r="O289" s="116">
        <v>103.710907704043</v>
      </c>
      <c r="P289" s="116">
        <v>104.89617522066</v>
      </c>
      <c r="Q289" s="116">
        <v>106.7</v>
      </c>
      <c r="R289">
        <v>758132</v>
      </c>
    </row>
    <row r="290" spans="1:18" x14ac:dyDescent="0.25">
      <c r="A290" s="170">
        <v>42425</v>
      </c>
      <c r="B290" s="116">
        <v>106.67396722919101</v>
      </c>
      <c r="C290" s="116">
        <v>103.414484897188</v>
      </c>
      <c r="D290" s="116">
        <v>101.53781325148999</v>
      </c>
      <c r="E290" s="116">
        <v>105.488700926645</v>
      </c>
      <c r="F290" s="116">
        <v>104.7</v>
      </c>
      <c r="G290">
        <v>175212</v>
      </c>
      <c r="H290" s="116"/>
      <c r="I290" s="116"/>
      <c r="L290" s="170">
        <v>42425</v>
      </c>
      <c r="M290" s="116">
        <v>104.89617522066</v>
      </c>
      <c r="N290" s="116">
        <v>106.72346264211301</v>
      </c>
      <c r="O290" s="116">
        <v>101.241600377756</v>
      </c>
      <c r="P290" s="116">
        <v>106.476531909484</v>
      </c>
      <c r="Q290" s="116">
        <v>106.2</v>
      </c>
      <c r="R290">
        <v>9364686</v>
      </c>
    </row>
    <row r="291" spans="1:18" x14ac:dyDescent="0.25">
      <c r="A291" s="170">
        <v>42426</v>
      </c>
      <c r="B291" s="116">
        <v>106.67396722919101</v>
      </c>
      <c r="C291" s="116">
        <v>103.562643185007</v>
      </c>
      <c r="D291" s="116">
        <v>102.821851745915</v>
      </c>
      <c r="E291" s="116">
        <v>106.476422845434</v>
      </c>
      <c r="F291" s="116">
        <v>104.85</v>
      </c>
      <c r="G291">
        <v>136056</v>
      </c>
      <c r="H291" s="116"/>
      <c r="I291" s="116"/>
      <c r="L291" s="170">
        <v>42426</v>
      </c>
      <c r="M291" s="116">
        <v>103.463976971414</v>
      </c>
      <c r="N291" s="116">
        <v>107.167937960844</v>
      </c>
      <c r="O291" s="116">
        <v>102.525640187425</v>
      </c>
      <c r="P291" s="116">
        <v>106.624690349061</v>
      </c>
      <c r="Q291" s="116">
        <v>104.75</v>
      </c>
      <c r="R291">
        <v>2381968</v>
      </c>
    </row>
    <row r="292" spans="1:18" x14ac:dyDescent="0.25">
      <c r="A292" s="170">
        <v>42429</v>
      </c>
      <c r="B292" s="116">
        <v>105.686245310403</v>
      </c>
      <c r="C292" s="116">
        <v>102.37737688246</v>
      </c>
      <c r="D292" s="116">
        <v>100.550091332701</v>
      </c>
      <c r="E292" s="116">
        <v>104.89606777537099</v>
      </c>
      <c r="F292" s="116">
        <v>103.65</v>
      </c>
      <c r="G292">
        <v>347413</v>
      </c>
      <c r="H292" s="116"/>
      <c r="I292" s="116"/>
      <c r="L292" s="170">
        <v>42429</v>
      </c>
      <c r="M292" s="116">
        <v>102.278709454796</v>
      </c>
      <c r="N292" s="116">
        <v>105.785125858124</v>
      </c>
      <c r="O292" s="116">
        <v>100.352649740293</v>
      </c>
      <c r="P292" s="116">
        <v>103.710907704043</v>
      </c>
      <c r="Q292" s="116">
        <v>103.55</v>
      </c>
      <c r="R292">
        <v>1639500</v>
      </c>
    </row>
    <row r="293" spans="1:18" x14ac:dyDescent="0.25">
      <c r="A293" s="170">
        <v>42430</v>
      </c>
      <c r="B293" s="116">
        <v>108.056777915496</v>
      </c>
      <c r="C293" s="116">
        <v>107.66168914798</v>
      </c>
      <c r="D293" s="116">
        <v>103.216940513431</v>
      </c>
      <c r="E293" s="116">
        <v>103.710801472825</v>
      </c>
      <c r="F293" s="116">
        <v>109</v>
      </c>
      <c r="G293">
        <v>215691</v>
      </c>
      <c r="H293" s="116"/>
      <c r="I293" s="116"/>
      <c r="L293" s="170">
        <v>42430</v>
      </c>
      <c r="M293" s="116">
        <v>107.56302713305</v>
      </c>
      <c r="N293" s="116">
        <v>108.15566089135901</v>
      </c>
      <c r="O293" s="116">
        <v>102.920729359631</v>
      </c>
      <c r="P293" s="116">
        <v>102.920729359631</v>
      </c>
      <c r="Q293" s="116">
        <v>108.9</v>
      </c>
      <c r="R293">
        <v>1481271</v>
      </c>
    </row>
    <row r="294" spans="1:18" x14ac:dyDescent="0.25">
      <c r="A294" s="170">
        <v>42431</v>
      </c>
      <c r="B294" s="116">
        <v>110.624854904347</v>
      </c>
      <c r="C294" s="116">
        <v>108.303708395193</v>
      </c>
      <c r="D294" s="116">
        <v>108.056777915496</v>
      </c>
      <c r="E294" s="116">
        <v>108.945727642406</v>
      </c>
      <c r="F294" s="116">
        <v>109.65</v>
      </c>
      <c r="G294">
        <v>159545</v>
      </c>
      <c r="H294" s="116"/>
      <c r="I294" s="116"/>
      <c r="L294" s="170">
        <v>42431</v>
      </c>
      <c r="M294" s="116">
        <v>108.550750063565</v>
      </c>
      <c r="N294" s="116">
        <v>111.36576041553199</v>
      </c>
      <c r="O294" s="116">
        <v>108.106274744833</v>
      </c>
      <c r="P294" s="116">
        <v>108.649522356616</v>
      </c>
      <c r="Q294" s="116">
        <v>109.9</v>
      </c>
      <c r="R294">
        <v>1220668</v>
      </c>
    </row>
    <row r="295" spans="1:18" x14ac:dyDescent="0.25">
      <c r="A295" s="170">
        <v>42432</v>
      </c>
      <c r="B295" s="116">
        <v>110.130993944952</v>
      </c>
      <c r="C295" s="116">
        <v>108.20493620331401</v>
      </c>
      <c r="D295" s="116">
        <v>106.575195037312</v>
      </c>
      <c r="E295" s="116">
        <v>110.130993944952</v>
      </c>
      <c r="F295" s="116">
        <v>109.55</v>
      </c>
      <c r="G295">
        <v>236866</v>
      </c>
      <c r="H295" s="116"/>
      <c r="I295" s="116"/>
      <c r="L295" s="170">
        <v>42432</v>
      </c>
      <c r="M295" s="116">
        <v>108.15566089135901</v>
      </c>
      <c r="N295" s="116">
        <v>109.88417601976001</v>
      </c>
      <c r="O295" s="116">
        <v>106.624690349061</v>
      </c>
      <c r="P295" s="116">
        <v>109.143383821874</v>
      </c>
      <c r="Q295" s="116">
        <v>109.5</v>
      </c>
      <c r="R295">
        <v>1260507</v>
      </c>
    </row>
    <row r="296" spans="1:18" x14ac:dyDescent="0.25">
      <c r="A296" s="170">
        <v>42433</v>
      </c>
      <c r="B296" s="116">
        <v>112.60029874192399</v>
      </c>
      <c r="C296" s="116">
        <v>111.760735110954</v>
      </c>
      <c r="D296" s="116">
        <v>107.95800572361701</v>
      </c>
      <c r="E296" s="116">
        <v>109.637132985558</v>
      </c>
      <c r="F296" s="116">
        <v>113.15</v>
      </c>
      <c r="G296">
        <v>267880</v>
      </c>
      <c r="H296" s="116"/>
      <c r="I296" s="116"/>
      <c r="L296" s="170">
        <v>42433</v>
      </c>
      <c r="M296" s="116">
        <v>111.85962188078901</v>
      </c>
      <c r="N296" s="116">
        <v>112.50164178562299</v>
      </c>
      <c r="O296" s="116">
        <v>107.809957865679</v>
      </c>
      <c r="P296" s="116">
        <v>108.649522356616</v>
      </c>
      <c r="Q296" s="116">
        <v>113.25</v>
      </c>
      <c r="R296">
        <v>1377634</v>
      </c>
    </row>
    <row r="297" spans="1:18" x14ac:dyDescent="0.25">
      <c r="A297" s="170">
        <v>42437</v>
      </c>
      <c r="B297" s="116">
        <v>114.872059155138</v>
      </c>
      <c r="C297" s="116">
        <v>113.93372333228901</v>
      </c>
      <c r="D297" s="116">
        <v>111.71134901501399</v>
      </c>
      <c r="E297" s="116">
        <v>112.60029874192399</v>
      </c>
      <c r="F297" s="116">
        <v>115.35</v>
      </c>
      <c r="G297">
        <v>194627</v>
      </c>
      <c r="H297" s="116"/>
      <c r="I297" s="116"/>
      <c r="L297" s="170">
        <v>42437</v>
      </c>
      <c r="M297" s="116">
        <v>114.23015691402399</v>
      </c>
      <c r="N297" s="116">
        <v>114.97094911191</v>
      </c>
      <c r="O297" s="116">
        <v>111.711463441212</v>
      </c>
      <c r="P297" s="116">
        <v>112.89673095782901</v>
      </c>
      <c r="Q297" s="116">
        <v>115.65</v>
      </c>
      <c r="R297">
        <v>1677380</v>
      </c>
    </row>
    <row r="298" spans="1:18" x14ac:dyDescent="0.25">
      <c r="A298" s="170">
        <v>42438</v>
      </c>
      <c r="B298" s="116">
        <v>116.007939361746</v>
      </c>
      <c r="C298" s="116">
        <v>115.365920114533</v>
      </c>
      <c r="D298" s="116">
        <v>113.29170408507601</v>
      </c>
      <c r="E298" s="116">
        <v>114.57574257950201</v>
      </c>
      <c r="F298" s="116">
        <v>116.8</v>
      </c>
      <c r="G298">
        <v>173609</v>
      </c>
      <c r="H298" s="116"/>
      <c r="I298" s="116"/>
      <c r="L298" s="170">
        <v>42438</v>
      </c>
      <c r="M298" s="116">
        <v>115.41542443064201</v>
      </c>
      <c r="N298" s="116">
        <v>116.05744433547601</v>
      </c>
      <c r="O298" s="116">
        <v>113.143661690458</v>
      </c>
      <c r="P298" s="116">
        <v>114.23015691402399</v>
      </c>
      <c r="Q298" s="116">
        <v>116.85</v>
      </c>
      <c r="R298">
        <v>1555016</v>
      </c>
    </row>
    <row r="299" spans="1:18" x14ac:dyDescent="0.25">
      <c r="A299" s="170">
        <v>42439</v>
      </c>
      <c r="B299" s="116">
        <v>116.452414225201</v>
      </c>
      <c r="C299" s="116">
        <v>114.822673059199</v>
      </c>
      <c r="D299" s="116">
        <v>114.081881620107</v>
      </c>
      <c r="E299" s="116">
        <v>116.254869841443</v>
      </c>
      <c r="F299" s="116">
        <v>116.25</v>
      </c>
      <c r="G299">
        <v>140285</v>
      </c>
      <c r="H299" s="116"/>
      <c r="I299" s="116"/>
      <c r="L299" s="170">
        <v>42439</v>
      </c>
      <c r="M299" s="116">
        <v>115.02033525843601</v>
      </c>
      <c r="N299" s="116">
        <v>116.650078093785</v>
      </c>
      <c r="O299" s="116">
        <v>113.98322618139601</v>
      </c>
      <c r="P299" s="116">
        <v>116.35376121463101</v>
      </c>
      <c r="Q299" s="116">
        <v>116.45</v>
      </c>
      <c r="R299">
        <v>1177827</v>
      </c>
    </row>
    <row r="300" spans="1:18" x14ac:dyDescent="0.25">
      <c r="A300" s="170">
        <v>42440</v>
      </c>
      <c r="B300" s="116">
        <v>116.057325457685</v>
      </c>
      <c r="C300" s="116">
        <v>114.081881620107</v>
      </c>
      <c r="D300" s="116">
        <v>113.29170408507601</v>
      </c>
      <c r="E300" s="116">
        <v>116.057325457685</v>
      </c>
      <c r="F300" s="116">
        <v>115.5</v>
      </c>
      <c r="G300">
        <v>131957</v>
      </c>
      <c r="H300" s="116"/>
      <c r="I300" s="116"/>
      <c r="L300" s="170">
        <v>42440</v>
      </c>
      <c r="M300" s="116">
        <v>114.427701500127</v>
      </c>
      <c r="N300" s="116">
        <v>116.156216628528</v>
      </c>
      <c r="O300" s="116">
        <v>113.637523155715</v>
      </c>
      <c r="P300" s="116">
        <v>115.11910755148701</v>
      </c>
      <c r="Q300" s="116">
        <v>115.85</v>
      </c>
      <c r="R300">
        <v>1170769</v>
      </c>
    </row>
    <row r="301" spans="1:18" x14ac:dyDescent="0.25">
      <c r="A301" s="170">
        <v>42443</v>
      </c>
      <c r="B301" s="116">
        <v>115.859781073927</v>
      </c>
      <c r="C301" s="116">
        <v>114.13126771604701</v>
      </c>
      <c r="D301" s="116">
        <v>112.60029874192399</v>
      </c>
      <c r="E301" s="116">
        <v>115.168375730775</v>
      </c>
      <c r="F301" s="116">
        <v>115.55</v>
      </c>
      <c r="G301">
        <v>157696</v>
      </c>
      <c r="H301" s="116"/>
      <c r="I301" s="116"/>
      <c r="L301" s="170">
        <v>42443</v>
      </c>
      <c r="M301" s="116">
        <v>114.23015691402399</v>
      </c>
      <c r="N301" s="116">
        <v>115.909285895899</v>
      </c>
      <c r="O301" s="116">
        <v>112.50164178562299</v>
      </c>
      <c r="P301" s="116">
        <v>114.62524608623001</v>
      </c>
      <c r="Q301" s="116">
        <v>115.65</v>
      </c>
      <c r="R301">
        <v>1609295</v>
      </c>
    </row>
    <row r="302" spans="1:18" x14ac:dyDescent="0.25">
      <c r="A302" s="170">
        <v>42444</v>
      </c>
      <c r="B302" s="116">
        <v>115.168375730775</v>
      </c>
      <c r="C302" s="116">
        <v>113.93372333228901</v>
      </c>
      <c r="D302" s="116">
        <v>113.538634564774</v>
      </c>
      <c r="E302" s="116">
        <v>115.168375730775</v>
      </c>
      <c r="F302" s="116">
        <v>115.35</v>
      </c>
      <c r="G302">
        <v>110998</v>
      </c>
      <c r="H302" s="116"/>
      <c r="I302" s="116"/>
      <c r="L302" s="170">
        <v>42444</v>
      </c>
      <c r="M302" s="116">
        <v>114.032612327921</v>
      </c>
      <c r="N302" s="116">
        <v>114.97094911191</v>
      </c>
      <c r="O302" s="116">
        <v>113.58813700919001</v>
      </c>
      <c r="P302" s="116">
        <v>114.575859939704</v>
      </c>
      <c r="Q302" s="116">
        <v>115.45</v>
      </c>
      <c r="R302">
        <v>1082982</v>
      </c>
    </row>
    <row r="303" spans="1:18" x14ac:dyDescent="0.25">
      <c r="A303" s="170">
        <v>42445</v>
      </c>
      <c r="B303" s="116">
        <v>114.674514771381</v>
      </c>
      <c r="C303" s="116">
        <v>113.88433723635001</v>
      </c>
      <c r="D303" s="116">
        <v>112.896615317561</v>
      </c>
      <c r="E303" s="116">
        <v>114.57574257950201</v>
      </c>
      <c r="F303" s="116">
        <v>115.3</v>
      </c>
      <c r="G303">
        <v>139070</v>
      </c>
      <c r="H303" s="116"/>
      <c r="I303" s="116"/>
      <c r="L303" s="170">
        <v>42445</v>
      </c>
      <c r="M303" s="116">
        <v>113.68690930224101</v>
      </c>
      <c r="N303" s="116">
        <v>114.674632232756</v>
      </c>
      <c r="O303" s="116">
        <v>112.699186371726</v>
      </c>
      <c r="P303" s="116">
        <v>114.27954306055</v>
      </c>
      <c r="Q303" s="116">
        <v>115.1</v>
      </c>
      <c r="R303">
        <v>964165</v>
      </c>
    </row>
    <row r="304" spans="1:18" x14ac:dyDescent="0.25">
      <c r="A304" s="170">
        <v>42446</v>
      </c>
      <c r="B304" s="116">
        <v>115.365920114533</v>
      </c>
      <c r="C304" s="116">
        <v>114.476970387623</v>
      </c>
      <c r="D304" s="116">
        <v>113.88433723635001</v>
      </c>
      <c r="E304" s="116">
        <v>115.365920114533</v>
      </c>
      <c r="F304" s="116">
        <v>115.9</v>
      </c>
      <c r="G304">
        <v>132153</v>
      </c>
      <c r="H304" s="116"/>
      <c r="I304" s="116"/>
      <c r="L304" s="170">
        <v>42446</v>
      </c>
      <c r="M304" s="116">
        <v>114.378315353601</v>
      </c>
      <c r="N304" s="116">
        <v>115.514196723693</v>
      </c>
      <c r="O304" s="116">
        <v>113.58813700919001</v>
      </c>
      <c r="P304" s="116">
        <v>114.575859939704</v>
      </c>
      <c r="Q304" s="116">
        <v>115.8</v>
      </c>
      <c r="R304">
        <v>1396728</v>
      </c>
    </row>
    <row r="305" spans="1:18" x14ac:dyDescent="0.25">
      <c r="A305" s="170">
        <v>42447</v>
      </c>
      <c r="B305" s="116">
        <v>118.23031367902</v>
      </c>
      <c r="C305" s="116">
        <v>117.44013614398899</v>
      </c>
      <c r="D305" s="116">
        <v>114.674514771381</v>
      </c>
      <c r="E305" s="116">
        <v>115.069603538896</v>
      </c>
      <c r="F305" s="116">
        <v>118.9</v>
      </c>
      <c r="G305">
        <v>194056</v>
      </c>
      <c r="H305" s="116"/>
      <c r="I305" s="116"/>
      <c r="L305" s="170">
        <v>42447</v>
      </c>
      <c r="M305" s="116">
        <v>117.440256438197</v>
      </c>
      <c r="N305" s="116">
        <v>118.18104863608301</v>
      </c>
      <c r="O305" s="116">
        <v>114.52647379317899</v>
      </c>
      <c r="P305" s="116">
        <v>115.069721404962</v>
      </c>
      <c r="Q305" s="116">
        <v>118.9</v>
      </c>
      <c r="R305">
        <v>2062464</v>
      </c>
    </row>
    <row r="306" spans="1:18" x14ac:dyDescent="0.25">
      <c r="A306" s="170">
        <v>42450</v>
      </c>
      <c r="B306" s="116">
        <v>119.316807789688</v>
      </c>
      <c r="C306" s="116">
        <v>118.180927583081</v>
      </c>
      <c r="D306" s="116">
        <v>117.291977856171</v>
      </c>
      <c r="E306" s="116">
        <v>118.32908587089899</v>
      </c>
      <c r="F306" s="116">
        <v>119.65</v>
      </c>
      <c r="G306">
        <v>318989</v>
      </c>
      <c r="H306" s="116"/>
      <c r="I306" s="116"/>
      <c r="L306" s="170">
        <v>42450</v>
      </c>
      <c r="M306" s="116">
        <v>118.427979368712</v>
      </c>
      <c r="N306" s="116">
        <v>119.415702299226</v>
      </c>
      <c r="O306" s="116">
        <v>117.29209799861999</v>
      </c>
      <c r="P306" s="116">
        <v>117.736573317351</v>
      </c>
      <c r="Q306" s="116">
        <v>119.9</v>
      </c>
      <c r="R306">
        <v>839802</v>
      </c>
    </row>
    <row r="307" spans="1:18" x14ac:dyDescent="0.25">
      <c r="A307" s="170">
        <v>42451</v>
      </c>
      <c r="B307" s="116">
        <v>121.637954298842</v>
      </c>
      <c r="C307" s="116">
        <v>119.81066874908301</v>
      </c>
      <c r="D307" s="116">
        <v>118.92171902217299</v>
      </c>
      <c r="E307" s="116">
        <v>121.489796011023</v>
      </c>
      <c r="F307" s="116">
        <v>121.3</v>
      </c>
      <c r="G307">
        <v>161280</v>
      </c>
      <c r="H307" s="116"/>
      <c r="I307" s="116"/>
      <c r="L307" s="170">
        <v>42451</v>
      </c>
      <c r="M307" s="116">
        <v>119.90956376448401</v>
      </c>
      <c r="N307" s="116">
        <v>121.78623733246199</v>
      </c>
      <c r="O307" s="116">
        <v>118.971226980495</v>
      </c>
      <c r="P307" s="116">
        <v>119.563860738804</v>
      </c>
      <c r="Q307" s="116">
        <v>121.4</v>
      </c>
      <c r="R307">
        <v>1469400</v>
      </c>
    </row>
    <row r="308" spans="1:18" x14ac:dyDescent="0.25">
      <c r="A308" s="170">
        <v>42452</v>
      </c>
      <c r="B308" s="116">
        <v>120.600846284114</v>
      </c>
      <c r="C308" s="116">
        <v>118.23031367902</v>
      </c>
      <c r="D308" s="116">
        <v>117.44013614398899</v>
      </c>
      <c r="E308" s="116">
        <v>120.50207409223501</v>
      </c>
      <c r="F308" s="116">
        <v>119.7</v>
      </c>
      <c r="G308">
        <v>275161</v>
      </c>
      <c r="H308" s="116"/>
      <c r="I308" s="116"/>
      <c r="L308" s="170">
        <v>42452</v>
      </c>
      <c r="M308" s="116">
        <v>117.98350404998</v>
      </c>
      <c r="N308" s="116">
        <v>120.65035596237</v>
      </c>
      <c r="O308" s="116">
        <v>117.193325705568</v>
      </c>
      <c r="P308" s="116">
        <v>120.107108350587</v>
      </c>
      <c r="Q308" s="116">
        <v>119.45</v>
      </c>
      <c r="R308">
        <v>1230385</v>
      </c>
    </row>
    <row r="309" spans="1:18" x14ac:dyDescent="0.25">
      <c r="A309" s="170">
        <v>42457</v>
      </c>
      <c r="B309" s="116">
        <v>119.46496607750601</v>
      </c>
      <c r="C309" s="116">
        <v>118.180927583081</v>
      </c>
      <c r="D309" s="116">
        <v>116.99566128053399</v>
      </c>
      <c r="E309" s="116">
        <v>118.822946830294</v>
      </c>
      <c r="F309" s="116">
        <v>119.65</v>
      </c>
      <c r="G309">
        <v>159682</v>
      </c>
      <c r="H309" s="116"/>
      <c r="I309" s="116"/>
      <c r="L309" s="170">
        <v>42457</v>
      </c>
      <c r="M309" s="116">
        <v>117.93411790345399</v>
      </c>
      <c r="N309" s="116">
        <v>119.51447459227801</v>
      </c>
      <c r="O309" s="116">
        <v>117.045167265991</v>
      </c>
      <c r="P309" s="116">
        <v>118.526751661763</v>
      </c>
      <c r="Q309" s="116">
        <v>119.4</v>
      </c>
      <c r="R309">
        <v>1382616</v>
      </c>
    </row>
    <row r="310" spans="1:18" x14ac:dyDescent="0.25">
      <c r="A310" s="170">
        <v>42458</v>
      </c>
      <c r="B310" s="116">
        <v>119.02049121405101</v>
      </c>
      <c r="C310" s="116">
        <v>118.131541487142</v>
      </c>
      <c r="D310" s="116">
        <v>116.99566128053399</v>
      </c>
      <c r="E310" s="116">
        <v>117.63768052774699</v>
      </c>
      <c r="F310" s="116">
        <v>119.6</v>
      </c>
      <c r="G310">
        <v>156799</v>
      </c>
      <c r="H310" s="116"/>
      <c r="I310" s="116"/>
      <c r="L310" s="170">
        <v>42458</v>
      </c>
      <c r="M310" s="116">
        <v>117.835345610403</v>
      </c>
      <c r="N310" s="116">
        <v>118.921840833969</v>
      </c>
      <c r="O310" s="116">
        <v>116.94639497294</v>
      </c>
      <c r="P310" s="116">
        <v>117.6378010243</v>
      </c>
      <c r="Q310" s="116">
        <v>119.3</v>
      </c>
      <c r="R310">
        <v>3588313</v>
      </c>
    </row>
    <row r="311" spans="1:18" x14ac:dyDescent="0.25">
      <c r="A311" s="170">
        <v>42459</v>
      </c>
      <c r="B311" s="116">
        <v>122.378745737933</v>
      </c>
      <c r="C311" s="116">
        <v>119.86005484502201</v>
      </c>
      <c r="D311" s="116">
        <v>118.131541487142</v>
      </c>
      <c r="E311" s="116">
        <v>118.131541487142</v>
      </c>
      <c r="F311" s="116">
        <v>121.35</v>
      </c>
      <c r="G311">
        <v>168611</v>
      </c>
      <c r="H311" s="116"/>
      <c r="I311" s="116"/>
      <c r="L311" s="170">
        <v>42459</v>
      </c>
      <c r="M311" s="116">
        <v>119.90956376448401</v>
      </c>
      <c r="N311" s="116">
        <v>123.465366314337</v>
      </c>
      <c r="O311" s="116">
        <v>118.032890196506</v>
      </c>
      <c r="P311" s="116">
        <v>118.427979368712</v>
      </c>
      <c r="Q311" s="116">
        <v>121.4</v>
      </c>
      <c r="R311">
        <v>1922207</v>
      </c>
    </row>
    <row r="312" spans="1:18" x14ac:dyDescent="0.25">
      <c r="A312" s="170">
        <v>42460</v>
      </c>
      <c r="B312" s="116">
        <v>120.89716285975</v>
      </c>
      <c r="C312" s="116">
        <v>119.514352173446</v>
      </c>
      <c r="D312" s="116">
        <v>119.069877309991</v>
      </c>
      <c r="E312" s="116">
        <v>120.89716285975</v>
      </c>
      <c r="F312" s="116">
        <v>121</v>
      </c>
      <c r="G312">
        <v>111832</v>
      </c>
      <c r="H312" s="116"/>
      <c r="I312" s="116"/>
      <c r="L312" s="170">
        <v>42460</v>
      </c>
      <c r="M312" s="116">
        <v>119.76140532490599</v>
      </c>
      <c r="N312" s="116">
        <v>120.798514401947</v>
      </c>
      <c r="O312" s="116">
        <v>118.823068540918</v>
      </c>
      <c r="P312" s="116">
        <v>120.502197522792</v>
      </c>
      <c r="Q312" s="116">
        <v>121.25</v>
      </c>
      <c r="R312">
        <v>1627181</v>
      </c>
    </row>
    <row r="313" spans="1:18" x14ac:dyDescent="0.25">
      <c r="A313" s="170">
        <v>42461</v>
      </c>
      <c r="B313" s="116">
        <v>122.625676217631</v>
      </c>
      <c r="C313" s="116">
        <v>120.995935051629</v>
      </c>
      <c r="D313" s="116">
        <v>118.52663025465699</v>
      </c>
      <c r="E313" s="116">
        <v>120.353915804416</v>
      </c>
      <c r="F313" s="116">
        <v>122.5</v>
      </c>
      <c r="G313">
        <v>226622</v>
      </c>
      <c r="H313" s="116"/>
      <c r="I313" s="116"/>
      <c r="L313" s="170">
        <v>42461</v>
      </c>
      <c r="M313" s="116">
        <v>121.045445134576</v>
      </c>
      <c r="N313" s="116">
        <v>122.67518796992501</v>
      </c>
      <c r="O313" s="116">
        <v>118.72429624786599</v>
      </c>
      <c r="P313" s="116">
        <v>120.502197522792</v>
      </c>
      <c r="Q313" s="116">
        <v>122.55</v>
      </c>
      <c r="R313">
        <v>1532533</v>
      </c>
    </row>
    <row r="314" spans="1:18" x14ac:dyDescent="0.25">
      <c r="A314" s="170">
        <v>42464</v>
      </c>
      <c r="B314" s="116">
        <v>121.934270874478</v>
      </c>
      <c r="C314" s="116">
        <v>119.267421693749</v>
      </c>
      <c r="D314" s="116">
        <v>118.72417463841499</v>
      </c>
      <c r="E314" s="116">
        <v>120.89716285975</v>
      </c>
      <c r="F314" s="116">
        <v>120.75</v>
      </c>
      <c r="G314">
        <v>988211</v>
      </c>
      <c r="H314" s="116"/>
      <c r="I314" s="116"/>
      <c r="L314" s="170">
        <v>42464</v>
      </c>
      <c r="M314" s="116">
        <v>119.712019178381</v>
      </c>
      <c r="N314" s="116">
        <v>121.934395772039</v>
      </c>
      <c r="O314" s="116">
        <v>119.267543859649</v>
      </c>
      <c r="P314" s="116">
        <v>121.34176201373</v>
      </c>
      <c r="Q314" s="116">
        <v>121.2</v>
      </c>
      <c r="R314">
        <v>831737</v>
      </c>
    </row>
    <row r="315" spans="1:18" x14ac:dyDescent="0.25">
      <c r="A315" s="170">
        <v>42465</v>
      </c>
      <c r="B315" s="116">
        <v>119.514352173446</v>
      </c>
      <c r="C315" s="116">
        <v>116.798116896777</v>
      </c>
      <c r="D315" s="116">
        <v>116.55118641707899</v>
      </c>
      <c r="E315" s="116">
        <v>119.514352173446</v>
      </c>
      <c r="F315" s="116">
        <v>118.25</v>
      </c>
      <c r="G315">
        <v>252800</v>
      </c>
      <c r="H315" s="116"/>
      <c r="I315" s="116"/>
      <c r="L315" s="170">
        <v>42465</v>
      </c>
      <c r="M315" s="116">
        <v>116.798236533362</v>
      </c>
      <c r="N315" s="116">
        <v>119.66263303185499</v>
      </c>
      <c r="O315" s="116">
        <v>116.551305800734</v>
      </c>
      <c r="P315" s="116">
        <v>119.51447459227801</v>
      </c>
      <c r="Q315" s="116">
        <v>118.25</v>
      </c>
      <c r="R315">
        <v>1663091</v>
      </c>
    </row>
    <row r="316" spans="1:18" x14ac:dyDescent="0.25">
      <c r="A316" s="170">
        <v>42466</v>
      </c>
      <c r="B316" s="116">
        <v>118.180927583081</v>
      </c>
      <c r="C316" s="116">
        <v>116.896889088656</v>
      </c>
      <c r="D316" s="116">
        <v>114.57574257950201</v>
      </c>
      <c r="E316" s="116">
        <v>118.03276929526299</v>
      </c>
      <c r="F316" s="116">
        <v>118.35</v>
      </c>
      <c r="G316">
        <v>1919494</v>
      </c>
      <c r="H316" s="116"/>
      <c r="I316" s="116"/>
      <c r="L316" s="170">
        <v>42466</v>
      </c>
      <c r="M316" s="116">
        <v>117.39087029167101</v>
      </c>
      <c r="N316" s="116">
        <v>118.526751661763</v>
      </c>
      <c r="O316" s="116">
        <v>113.58813700919001</v>
      </c>
      <c r="P316" s="116">
        <v>118.131662489557</v>
      </c>
      <c r="Q316" s="116">
        <v>118.85</v>
      </c>
      <c r="R316">
        <v>1327276</v>
      </c>
    </row>
    <row r="317" spans="1:18" x14ac:dyDescent="0.25">
      <c r="A317" s="170">
        <v>42467</v>
      </c>
      <c r="B317" s="116">
        <v>118.872332926233</v>
      </c>
      <c r="C317" s="116">
        <v>117.291977856171</v>
      </c>
      <c r="D317" s="116">
        <v>116.649958608958</v>
      </c>
      <c r="E317" s="116">
        <v>118.32908587089899</v>
      </c>
      <c r="F317" s="116">
        <v>118.75</v>
      </c>
      <c r="G317">
        <v>155301</v>
      </c>
      <c r="H317" s="116"/>
      <c r="I317" s="116"/>
      <c r="L317" s="170">
        <v>42467</v>
      </c>
      <c r="M317" s="116">
        <v>117.242711852094</v>
      </c>
      <c r="N317" s="116">
        <v>118.921840833969</v>
      </c>
      <c r="O317" s="116">
        <v>116.650078093785</v>
      </c>
      <c r="P317" s="116">
        <v>116.650078093785</v>
      </c>
      <c r="Q317" s="116">
        <v>118.7</v>
      </c>
      <c r="R317">
        <v>1147382</v>
      </c>
    </row>
    <row r="318" spans="1:18" x14ac:dyDescent="0.25">
      <c r="A318" s="170">
        <v>42468</v>
      </c>
      <c r="B318" s="116">
        <v>117.63768052774699</v>
      </c>
      <c r="C318" s="116">
        <v>116.50180032114</v>
      </c>
      <c r="D318" s="116">
        <v>115.859781073927</v>
      </c>
      <c r="E318" s="116">
        <v>117.094433472413</v>
      </c>
      <c r="F318" s="116">
        <v>117.95</v>
      </c>
      <c r="G318">
        <v>122030</v>
      </c>
      <c r="H318" s="116"/>
      <c r="I318" s="116"/>
      <c r="L318" s="170">
        <v>42468</v>
      </c>
      <c r="M318" s="116">
        <v>116.254988921579</v>
      </c>
      <c r="N318" s="116">
        <v>117.539028731248</v>
      </c>
      <c r="O318" s="116">
        <v>115.56358287021899</v>
      </c>
      <c r="P318" s="116">
        <v>117.045167265991</v>
      </c>
      <c r="Q318" s="116">
        <v>117.7</v>
      </c>
      <c r="R318">
        <v>648096</v>
      </c>
    </row>
    <row r="319" spans="1:18" x14ac:dyDescent="0.25">
      <c r="A319" s="170">
        <v>42471</v>
      </c>
      <c r="B319" s="116">
        <v>118.822946830294</v>
      </c>
      <c r="C319" s="116">
        <v>118.27969977495999</v>
      </c>
      <c r="D319" s="116">
        <v>116.452414225201</v>
      </c>
      <c r="E319" s="116">
        <v>116.55118641707899</v>
      </c>
      <c r="F319" s="116">
        <v>119.75</v>
      </c>
      <c r="G319">
        <v>143432</v>
      </c>
      <c r="H319" s="116"/>
      <c r="I319" s="116"/>
      <c r="L319" s="170">
        <v>42471</v>
      </c>
      <c r="M319" s="116">
        <v>118.032890196506</v>
      </c>
      <c r="N319" s="116">
        <v>118.773682394392</v>
      </c>
      <c r="O319" s="116">
        <v>116.403147361157</v>
      </c>
      <c r="P319" s="116">
        <v>116.551305800734</v>
      </c>
      <c r="Q319" s="116">
        <v>119.5</v>
      </c>
      <c r="R319">
        <v>1050521</v>
      </c>
    </row>
    <row r="320" spans="1:18" x14ac:dyDescent="0.25">
      <c r="A320" s="170">
        <v>42472</v>
      </c>
      <c r="B320" s="116">
        <v>118.92171902217299</v>
      </c>
      <c r="C320" s="116">
        <v>116.896889088656</v>
      </c>
      <c r="D320" s="116">
        <v>116.600572513019</v>
      </c>
      <c r="E320" s="116">
        <v>118.92171902217299</v>
      </c>
      <c r="F320" s="116">
        <v>118.35</v>
      </c>
      <c r="G320">
        <v>97165</v>
      </c>
      <c r="H320" s="116"/>
      <c r="I320" s="116"/>
      <c r="L320" s="170">
        <v>42472</v>
      </c>
      <c r="M320" s="116">
        <v>116.89700882641399</v>
      </c>
      <c r="N320" s="116">
        <v>118.62552395481499</v>
      </c>
      <c r="O320" s="116">
        <v>116.60069194725899</v>
      </c>
      <c r="P320" s="116">
        <v>118.032890196506</v>
      </c>
      <c r="Q320" s="116">
        <v>118.35</v>
      </c>
      <c r="R320">
        <v>788617</v>
      </c>
    </row>
    <row r="321" spans="1:18" x14ac:dyDescent="0.25">
      <c r="A321" s="170">
        <v>42473</v>
      </c>
      <c r="B321" s="116">
        <v>119.761282653143</v>
      </c>
      <c r="C321" s="116">
        <v>119.02049121405101</v>
      </c>
      <c r="D321" s="116">
        <v>117.489522239929</v>
      </c>
      <c r="E321" s="116">
        <v>117.736452719626</v>
      </c>
      <c r="F321" s="116">
        <v>120.5</v>
      </c>
      <c r="G321">
        <v>211508</v>
      </c>
      <c r="H321" s="116"/>
      <c r="I321" s="116"/>
      <c r="L321" s="170">
        <v>42473</v>
      </c>
      <c r="M321" s="116">
        <v>119.168771566598</v>
      </c>
      <c r="N321" s="116">
        <v>119.860177617958</v>
      </c>
      <c r="O321" s="116">
        <v>117.489642584723</v>
      </c>
      <c r="P321" s="116">
        <v>117.588414877774</v>
      </c>
      <c r="Q321" s="116">
        <v>120.65</v>
      </c>
      <c r="R321">
        <v>928735</v>
      </c>
    </row>
    <row r="322" spans="1:18" x14ac:dyDescent="0.25">
      <c r="A322" s="170">
        <v>42478</v>
      </c>
      <c r="B322" s="116">
        <v>119.514352173446</v>
      </c>
      <c r="C322" s="116">
        <v>118.97110511811201</v>
      </c>
      <c r="D322" s="116">
        <v>117.83522491150499</v>
      </c>
      <c r="E322" s="116">
        <v>118.97110511811201</v>
      </c>
      <c r="F322" s="116">
        <v>120.45</v>
      </c>
      <c r="G322">
        <v>76787</v>
      </c>
      <c r="H322" s="116"/>
      <c r="I322" s="116"/>
      <c r="L322" s="170">
        <v>42478</v>
      </c>
      <c r="M322" s="116">
        <v>118.526751661763</v>
      </c>
      <c r="N322" s="116">
        <v>119.51447459227801</v>
      </c>
      <c r="O322" s="116">
        <v>117.6378010243</v>
      </c>
      <c r="P322" s="116">
        <v>119.366316152701</v>
      </c>
      <c r="Q322" s="116">
        <v>120</v>
      </c>
      <c r="R322">
        <v>765331</v>
      </c>
    </row>
    <row r="323" spans="1:18" x14ac:dyDescent="0.25">
      <c r="A323" s="170">
        <v>42480</v>
      </c>
      <c r="B323" s="116">
        <v>121.539182106963</v>
      </c>
      <c r="C323" s="116">
        <v>120.452687996295</v>
      </c>
      <c r="D323" s="116">
        <v>118.131541487142</v>
      </c>
      <c r="E323" s="116">
        <v>118.674788542475</v>
      </c>
      <c r="F323" s="116">
        <v>121.95</v>
      </c>
      <c r="G323">
        <v>192822</v>
      </c>
      <c r="H323" s="116"/>
      <c r="I323" s="116"/>
      <c r="L323" s="170">
        <v>42480</v>
      </c>
      <c r="M323" s="116">
        <v>120.354039083215</v>
      </c>
      <c r="N323" s="116">
        <v>121.68746503941</v>
      </c>
      <c r="O323" s="116">
        <v>118.08227634303201</v>
      </c>
      <c r="P323" s="116">
        <v>118.72429624786599</v>
      </c>
      <c r="Q323" s="116">
        <v>121.85</v>
      </c>
      <c r="R323">
        <v>1572869</v>
      </c>
    </row>
    <row r="324" spans="1:18" x14ac:dyDescent="0.25">
      <c r="A324" s="170">
        <v>42481</v>
      </c>
      <c r="B324" s="116">
        <v>121.242865531326</v>
      </c>
      <c r="C324" s="116">
        <v>118.625402446536</v>
      </c>
      <c r="D324" s="116">
        <v>118.08215539120199</v>
      </c>
      <c r="E324" s="116">
        <v>121.242865531326</v>
      </c>
      <c r="F324" s="116">
        <v>120.1</v>
      </c>
      <c r="G324">
        <v>203108</v>
      </c>
      <c r="H324" s="116"/>
      <c r="I324" s="116"/>
      <c r="L324" s="170">
        <v>42481</v>
      </c>
      <c r="M324" s="116">
        <v>118.62552395481499</v>
      </c>
      <c r="N324" s="116">
        <v>121.24298972067901</v>
      </c>
      <c r="O324" s="116">
        <v>118.08227634303201</v>
      </c>
      <c r="P324" s="116">
        <v>120.897286694998</v>
      </c>
      <c r="Q324" s="116">
        <v>120.1</v>
      </c>
      <c r="R324">
        <v>892645</v>
      </c>
    </row>
    <row r="325" spans="1:18" x14ac:dyDescent="0.25">
      <c r="A325" s="170">
        <v>42482</v>
      </c>
      <c r="B325" s="116">
        <v>120.50207409223501</v>
      </c>
      <c r="C325" s="116">
        <v>118.72417463841499</v>
      </c>
      <c r="D325" s="116">
        <v>117.588294431808</v>
      </c>
      <c r="E325" s="116">
        <v>118.52663025465699</v>
      </c>
      <c r="F325" s="116">
        <v>120.2</v>
      </c>
      <c r="G325">
        <v>106090</v>
      </c>
      <c r="H325" s="116"/>
      <c r="I325" s="116"/>
      <c r="L325" s="170">
        <v>42482</v>
      </c>
      <c r="M325" s="116">
        <v>118.773682394392</v>
      </c>
      <c r="N325" s="116">
        <v>120.354039083215</v>
      </c>
      <c r="O325" s="116">
        <v>117.539028731248</v>
      </c>
      <c r="P325" s="116">
        <v>117.539028731248</v>
      </c>
      <c r="Q325" s="116">
        <v>120.25</v>
      </c>
      <c r="R325">
        <v>716365</v>
      </c>
    </row>
    <row r="326" spans="1:18" x14ac:dyDescent="0.25">
      <c r="A326" s="170">
        <v>42485</v>
      </c>
      <c r="B326" s="116">
        <v>120.403301900356</v>
      </c>
      <c r="C326" s="116">
        <v>119.761282653143</v>
      </c>
      <c r="D326" s="116">
        <v>118.52663025465699</v>
      </c>
      <c r="E326" s="116">
        <v>119.316807789688</v>
      </c>
      <c r="F326" s="116">
        <v>121.25</v>
      </c>
      <c r="G326">
        <v>104987</v>
      </c>
      <c r="H326" s="116"/>
      <c r="I326" s="116"/>
      <c r="L326" s="170">
        <v>42485</v>
      </c>
      <c r="M326" s="116">
        <v>119.712019178381</v>
      </c>
      <c r="N326" s="116">
        <v>120.403425229741</v>
      </c>
      <c r="O326" s="116">
        <v>118.526751661763</v>
      </c>
      <c r="P326" s="116">
        <v>118.921840833969</v>
      </c>
      <c r="Q326" s="116">
        <v>121.2</v>
      </c>
      <c r="R326">
        <v>782130</v>
      </c>
    </row>
    <row r="327" spans="1:18" x14ac:dyDescent="0.25">
      <c r="A327" s="170">
        <v>42486</v>
      </c>
      <c r="B327" s="116">
        <v>120.995935051629</v>
      </c>
      <c r="C327" s="116">
        <v>120.353915804416</v>
      </c>
      <c r="D327" s="116">
        <v>118.822946830294</v>
      </c>
      <c r="E327" s="116">
        <v>119.90944094096101</v>
      </c>
      <c r="F327" s="116">
        <v>121.85</v>
      </c>
      <c r="G327">
        <v>143475</v>
      </c>
      <c r="H327" s="116"/>
      <c r="I327" s="116"/>
      <c r="L327" s="170">
        <v>42486</v>
      </c>
      <c r="M327" s="116">
        <v>120.30465293669</v>
      </c>
      <c r="N327" s="116">
        <v>120.99605898805</v>
      </c>
      <c r="O327" s="116">
        <v>119.11938542007201</v>
      </c>
      <c r="P327" s="116">
        <v>119.11938542007201</v>
      </c>
      <c r="Q327" s="116">
        <v>121.8</v>
      </c>
      <c r="R327">
        <v>984070</v>
      </c>
    </row>
    <row r="328" spans="1:18" x14ac:dyDescent="0.25">
      <c r="A328" s="170">
        <v>42487</v>
      </c>
      <c r="B328" s="116">
        <v>122.378745737933</v>
      </c>
      <c r="C328" s="116">
        <v>120.94654895569001</v>
      </c>
      <c r="D328" s="116">
        <v>120.600846284114</v>
      </c>
      <c r="E328" s="116">
        <v>121.391023819145</v>
      </c>
      <c r="F328" s="116">
        <v>122.45</v>
      </c>
      <c r="G328">
        <v>180046</v>
      </c>
      <c r="H328" s="116"/>
      <c r="I328" s="116"/>
      <c r="L328" s="170">
        <v>42487</v>
      </c>
      <c r="M328" s="116">
        <v>120.897286694998</v>
      </c>
      <c r="N328" s="116">
        <v>122.42825723729599</v>
      </c>
      <c r="O328" s="116">
        <v>120.45281137626699</v>
      </c>
      <c r="P328" s="116">
        <v>120.99605898805</v>
      </c>
      <c r="Q328" s="116">
        <v>122.4</v>
      </c>
      <c r="R328">
        <v>1949554</v>
      </c>
    </row>
    <row r="329" spans="1:18" x14ac:dyDescent="0.25">
      <c r="A329" s="170">
        <v>42488</v>
      </c>
      <c r="B329" s="116">
        <v>121.884884778539</v>
      </c>
      <c r="C329" s="116">
        <v>118.52663025465699</v>
      </c>
      <c r="D329" s="116">
        <v>118.52663025465699</v>
      </c>
      <c r="E329" s="116">
        <v>121.687340394781</v>
      </c>
      <c r="F329" s="116">
        <v>120</v>
      </c>
      <c r="G329">
        <v>287028</v>
      </c>
      <c r="H329" s="116"/>
      <c r="I329" s="116"/>
      <c r="L329" s="170">
        <v>42488</v>
      </c>
      <c r="M329" s="116">
        <v>118.823068540918</v>
      </c>
      <c r="N329" s="116">
        <v>121.983781918565</v>
      </c>
      <c r="O329" s="116">
        <v>118.526751661763</v>
      </c>
      <c r="P329" s="116">
        <v>120.99605898805</v>
      </c>
      <c r="Q329" s="116">
        <v>120.3</v>
      </c>
      <c r="R329">
        <v>2142054</v>
      </c>
    </row>
    <row r="330" spans="1:18" x14ac:dyDescent="0.25">
      <c r="A330" s="170">
        <v>42489</v>
      </c>
      <c r="B330" s="116">
        <v>119.711896557204</v>
      </c>
      <c r="C330" s="116">
        <v>118.427858062778</v>
      </c>
      <c r="D330" s="116">
        <v>117.44013614398899</v>
      </c>
      <c r="E330" s="116">
        <v>119.711896557204</v>
      </c>
      <c r="F330" s="116">
        <v>119.9</v>
      </c>
      <c r="G330">
        <v>150734</v>
      </c>
      <c r="H330" s="116"/>
      <c r="I330" s="116"/>
      <c r="L330" s="170">
        <v>42489</v>
      </c>
      <c r="M330" s="116">
        <v>118.576137808289</v>
      </c>
      <c r="N330" s="116">
        <v>119.563860738804</v>
      </c>
      <c r="O330" s="116">
        <v>117.539028731248</v>
      </c>
      <c r="P330" s="116">
        <v>119.51447459227801</v>
      </c>
      <c r="Q330" s="116">
        <v>120.05</v>
      </c>
      <c r="R330">
        <v>869948</v>
      </c>
    </row>
    <row r="331" spans="1:18" x14ac:dyDescent="0.25">
      <c r="A331" s="170">
        <v>42492</v>
      </c>
      <c r="B331" s="116">
        <v>120.255143612537</v>
      </c>
      <c r="C331" s="116">
        <v>119.61312436532501</v>
      </c>
      <c r="D331" s="116">
        <v>117.19320566429199</v>
      </c>
      <c r="E331" s="116">
        <v>118.427858062778</v>
      </c>
      <c r="F331" s="116">
        <v>121.1</v>
      </c>
      <c r="G331">
        <v>154161</v>
      </c>
      <c r="H331" s="116"/>
      <c r="I331" s="116"/>
      <c r="L331" s="170">
        <v>42492</v>
      </c>
      <c r="M331" s="116">
        <v>119.613246885329</v>
      </c>
      <c r="N331" s="116">
        <v>120.30465293669</v>
      </c>
      <c r="O331" s="116">
        <v>117.539028731248</v>
      </c>
      <c r="P331" s="116">
        <v>117.884731756929</v>
      </c>
      <c r="Q331" s="116">
        <v>121.1</v>
      </c>
      <c r="R331">
        <v>717595</v>
      </c>
    </row>
    <row r="332" spans="1:18" x14ac:dyDescent="0.25">
      <c r="A332" s="170">
        <v>42493</v>
      </c>
      <c r="B332" s="116">
        <v>120.94654895569001</v>
      </c>
      <c r="C332" s="116">
        <v>117.983383199323</v>
      </c>
      <c r="D332" s="116">
        <v>117.538908335868</v>
      </c>
      <c r="E332" s="116">
        <v>120.452687996295</v>
      </c>
      <c r="F332" s="116">
        <v>119.45</v>
      </c>
      <c r="G332">
        <v>264917</v>
      </c>
      <c r="H332" s="116"/>
      <c r="I332" s="116"/>
      <c r="L332" s="170">
        <v>42493</v>
      </c>
      <c r="M332" s="116">
        <v>117.98350404998</v>
      </c>
      <c r="N332" s="116">
        <v>121.045445134576</v>
      </c>
      <c r="O332" s="116">
        <v>117.68718717082599</v>
      </c>
      <c r="P332" s="116">
        <v>120.107108350587</v>
      </c>
      <c r="Q332" s="116">
        <v>119.45</v>
      </c>
      <c r="R332">
        <v>1356187</v>
      </c>
    </row>
    <row r="333" spans="1:18" x14ac:dyDescent="0.25">
      <c r="A333" s="170">
        <v>42494</v>
      </c>
      <c r="B333" s="116">
        <v>118.47724415871799</v>
      </c>
      <c r="C333" s="116">
        <v>115.464692306412</v>
      </c>
      <c r="D333" s="116">
        <v>114.872059155138</v>
      </c>
      <c r="E333" s="116">
        <v>118.47724415871799</v>
      </c>
      <c r="F333" s="116">
        <v>116.9</v>
      </c>
      <c r="G333">
        <v>97723</v>
      </c>
      <c r="H333" s="116"/>
      <c r="I333" s="116"/>
      <c r="L333" s="170">
        <v>42494</v>
      </c>
      <c r="M333" s="116">
        <v>115.514196723693</v>
      </c>
      <c r="N333" s="116">
        <v>118.32920707565999</v>
      </c>
      <c r="O333" s="116">
        <v>114.872176818859</v>
      </c>
      <c r="P333" s="116">
        <v>118.32920707565999</v>
      </c>
      <c r="Q333" s="116">
        <v>116.95</v>
      </c>
      <c r="R333">
        <v>894057</v>
      </c>
    </row>
    <row r="334" spans="1:18" x14ac:dyDescent="0.25">
      <c r="A334" s="170">
        <v>42495</v>
      </c>
      <c r="B334" s="116">
        <v>116.452414225201</v>
      </c>
      <c r="C334" s="116">
        <v>114.872059155138</v>
      </c>
      <c r="D334" s="116">
        <v>114.032495524168</v>
      </c>
      <c r="E334" s="116">
        <v>115.563464498291</v>
      </c>
      <c r="F334" s="116">
        <v>116.3</v>
      </c>
      <c r="G334">
        <v>121154</v>
      </c>
      <c r="H334" s="116"/>
      <c r="I334" s="116"/>
      <c r="L334" s="170">
        <v>42495</v>
      </c>
      <c r="M334" s="116">
        <v>114.921562965384</v>
      </c>
      <c r="N334" s="116">
        <v>116.35376121463101</v>
      </c>
      <c r="O334" s="116">
        <v>113.884453888344</v>
      </c>
      <c r="P334" s="116">
        <v>115.56358287021899</v>
      </c>
      <c r="Q334" s="116">
        <v>116.35</v>
      </c>
      <c r="R334">
        <v>745000</v>
      </c>
    </row>
    <row r="335" spans="1:18" x14ac:dyDescent="0.25">
      <c r="A335" s="170">
        <v>42496</v>
      </c>
      <c r="B335" s="116">
        <v>117.933997103384</v>
      </c>
      <c r="C335" s="116">
        <v>116.600572513019</v>
      </c>
      <c r="D335" s="116">
        <v>114.476970387623</v>
      </c>
      <c r="E335" s="116">
        <v>115.365920114533</v>
      </c>
      <c r="F335" s="116">
        <v>118.05</v>
      </c>
      <c r="G335">
        <v>183861</v>
      </c>
      <c r="H335" s="116"/>
      <c r="I335" s="116"/>
      <c r="L335" s="170">
        <v>42496</v>
      </c>
      <c r="M335" s="116">
        <v>116.650078093785</v>
      </c>
      <c r="N335" s="116">
        <v>118.032890196506</v>
      </c>
      <c r="O335" s="116">
        <v>114.378315353601</v>
      </c>
      <c r="P335" s="116">
        <v>115.11910755148701</v>
      </c>
      <c r="Q335" s="116">
        <v>118.1</v>
      </c>
      <c r="R335">
        <v>654231</v>
      </c>
    </row>
    <row r="336" spans="1:18" x14ac:dyDescent="0.25">
      <c r="A336" s="170">
        <v>42499</v>
      </c>
      <c r="B336" s="116">
        <v>118.872332926233</v>
      </c>
      <c r="C336" s="116">
        <v>117.736452719626</v>
      </c>
      <c r="D336" s="116">
        <v>116.304255937382</v>
      </c>
      <c r="E336" s="116">
        <v>118.03276929526299</v>
      </c>
      <c r="F336" s="116">
        <v>119.2</v>
      </c>
      <c r="G336">
        <v>125640</v>
      </c>
      <c r="H336" s="116"/>
      <c r="I336" s="116"/>
      <c r="L336" s="170">
        <v>42499</v>
      </c>
      <c r="M336" s="116">
        <v>117.29209799861999</v>
      </c>
      <c r="N336" s="116">
        <v>118.921840833969</v>
      </c>
      <c r="O336" s="116">
        <v>116.008058188951</v>
      </c>
      <c r="P336" s="116">
        <v>117.440256438197</v>
      </c>
      <c r="Q336" s="116">
        <v>118.75</v>
      </c>
      <c r="R336">
        <v>1207381</v>
      </c>
    </row>
    <row r="337" spans="1:18" x14ac:dyDescent="0.25">
      <c r="A337" s="170">
        <v>42500</v>
      </c>
      <c r="B337" s="116">
        <v>118.378471966839</v>
      </c>
      <c r="C337" s="116">
        <v>116.699344704898</v>
      </c>
      <c r="D337" s="116">
        <v>116.600572513019</v>
      </c>
      <c r="E337" s="116">
        <v>118.32908587089899</v>
      </c>
      <c r="F337" s="116">
        <v>118.15</v>
      </c>
      <c r="G337">
        <v>133428</v>
      </c>
      <c r="H337" s="116"/>
      <c r="I337" s="116"/>
      <c r="L337" s="170">
        <v>42500</v>
      </c>
      <c r="M337" s="116">
        <v>116.74885038683701</v>
      </c>
      <c r="N337" s="116">
        <v>118.477365515237</v>
      </c>
      <c r="O337" s="116">
        <v>116.551305800734</v>
      </c>
      <c r="P337" s="116">
        <v>117.539028731248</v>
      </c>
      <c r="Q337" s="116">
        <v>118.2</v>
      </c>
      <c r="R337">
        <v>526190</v>
      </c>
    </row>
    <row r="338" spans="1:18" x14ac:dyDescent="0.25">
      <c r="A338" s="170">
        <v>42501</v>
      </c>
      <c r="B338" s="116">
        <v>116.699344704898</v>
      </c>
      <c r="C338" s="116">
        <v>115.859781073927</v>
      </c>
      <c r="D338" s="116">
        <v>115.168375730775</v>
      </c>
      <c r="E338" s="116">
        <v>116.205483745503</v>
      </c>
      <c r="F338" s="116">
        <v>117.3</v>
      </c>
      <c r="G338">
        <v>48868</v>
      </c>
      <c r="H338" s="116"/>
      <c r="I338" s="116"/>
      <c r="L338" s="170">
        <v>42501</v>
      </c>
      <c r="M338" s="116">
        <v>115.859899749373</v>
      </c>
      <c r="N338" s="116">
        <v>116.798236533362</v>
      </c>
      <c r="O338" s="116">
        <v>114.872176818859</v>
      </c>
      <c r="P338" s="116">
        <v>115.56358287021899</v>
      </c>
      <c r="Q338" s="116">
        <v>117.3</v>
      </c>
      <c r="R338">
        <v>622661</v>
      </c>
    </row>
    <row r="339" spans="1:18" x14ac:dyDescent="0.25">
      <c r="A339" s="170">
        <v>42502</v>
      </c>
      <c r="B339" s="116">
        <v>117.83522491150499</v>
      </c>
      <c r="C339" s="116">
        <v>117.489522239929</v>
      </c>
      <c r="D339" s="116">
        <v>115.859781073927</v>
      </c>
      <c r="E339" s="116">
        <v>117.143819568353</v>
      </c>
      <c r="F339" s="116">
        <v>118.95</v>
      </c>
      <c r="G339">
        <v>78947</v>
      </c>
      <c r="H339" s="116"/>
      <c r="I339" s="116"/>
      <c r="L339" s="170">
        <v>42502</v>
      </c>
      <c r="M339" s="116">
        <v>117.489642584723</v>
      </c>
      <c r="N339" s="116">
        <v>117.736573317351</v>
      </c>
      <c r="O339" s="116">
        <v>115.810513602848</v>
      </c>
      <c r="P339" s="116">
        <v>116.304375068105</v>
      </c>
      <c r="Q339" s="116">
        <v>118.95</v>
      </c>
      <c r="R339">
        <v>596225</v>
      </c>
    </row>
    <row r="340" spans="1:18" x14ac:dyDescent="0.25">
      <c r="A340" s="170">
        <v>42503</v>
      </c>
      <c r="B340" s="116">
        <v>119.21803559780901</v>
      </c>
      <c r="C340" s="116">
        <v>118.03276929526299</v>
      </c>
      <c r="D340" s="116">
        <v>116.600572513019</v>
      </c>
      <c r="E340" s="116">
        <v>117.983383199323</v>
      </c>
      <c r="F340" s="116">
        <v>119.5</v>
      </c>
      <c r="G340">
        <v>193022</v>
      </c>
      <c r="H340" s="116"/>
      <c r="I340" s="116"/>
      <c r="L340" s="170">
        <v>42503</v>
      </c>
      <c r="M340" s="116">
        <v>118.08227634303201</v>
      </c>
      <c r="N340" s="116">
        <v>119.21815771312301</v>
      </c>
      <c r="O340" s="116">
        <v>116.551305800734</v>
      </c>
      <c r="P340" s="116">
        <v>116.551305800734</v>
      </c>
      <c r="Q340" s="116">
        <v>119.55</v>
      </c>
      <c r="R340">
        <v>1103386</v>
      </c>
    </row>
    <row r="341" spans="1:18" x14ac:dyDescent="0.25">
      <c r="A341" s="170">
        <v>42506</v>
      </c>
      <c r="B341" s="116">
        <v>119.514352173446</v>
      </c>
      <c r="C341" s="116">
        <v>119.16864950186999</v>
      </c>
      <c r="D341" s="116">
        <v>117.34136395211</v>
      </c>
      <c r="E341" s="116">
        <v>118.57601635059601</v>
      </c>
      <c r="F341" s="116">
        <v>120.65</v>
      </c>
      <c r="G341">
        <v>111537</v>
      </c>
      <c r="H341" s="116"/>
      <c r="I341" s="116"/>
      <c r="L341" s="170">
        <v>42506</v>
      </c>
      <c r="M341" s="116">
        <v>119.168771566598</v>
      </c>
      <c r="N341" s="116">
        <v>119.51447459227801</v>
      </c>
      <c r="O341" s="116">
        <v>116.99578111946499</v>
      </c>
      <c r="P341" s="116">
        <v>118.08227634303201</v>
      </c>
      <c r="Q341" s="116">
        <v>120.65</v>
      </c>
      <c r="R341">
        <v>688646</v>
      </c>
    </row>
    <row r="342" spans="1:18" x14ac:dyDescent="0.25">
      <c r="A342" s="170">
        <v>42507</v>
      </c>
      <c r="B342" s="116">
        <v>119.90944094096101</v>
      </c>
      <c r="C342" s="116">
        <v>118.72417463841499</v>
      </c>
      <c r="D342" s="116">
        <v>118.23031367902</v>
      </c>
      <c r="E342" s="116">
        <v>119.90944094096101</v>
      </c>
      <c r="F342" s="116">
        <v>120.2</v>
      </c>
      <c r="G342">
        <v>99263</v>
      </c>
      <c r="H342" s="116"/>
      <c r="I342" s="116"/>
      <c r="L342" s="170">
        <v>42507</v>
      </c>
      <c r="M342" s="116">
        <v>118.872454687443</v>
      </c>
      <c r="N342" s="116">
        <v>119.90956376448401</v>
      </c>
      <c r="O342" s="116">
        <v>118.131662489557</v>
      </c>
      <c r="P342" s="116">
        <v>119.51447459227801</v>
      </c>
      <c r="Q342" s="116">
        <v>120.35</v>
      </c>
      <c r="R342">
        <v>1068540</v>
      </c>
    </row>
    <row r="343" spans="1:18" x14ac:dyDescent="0.25">
      <c r="A343" s="170">
        <v>42508</v>
      </c>
      <c r="B343" s="116">
        <v>120.255143612537</v>
      </c>
      <c r="C343" s="116">
        <v>119.36619388562799</v>
      </c>
      <c r="D343" s="116">
        <v>118.32908587089899</v>
      </c>
      <c r="E343" s="116">
        <v>118.92171902217299</v>
      </c>
      <c r="F343" s="116">
        <v>120.85</v>
      </c>
      <c r="G343">
        <v>108640</v>
      </c>
      <c r="H343" s="116"/>
      <c r="I343" s="116"/>
      <c r="L343" s="170">
        <v>42508</v>
      </c>
      <c r="M343" s="116">
        <v>119.465088445752</v>
      </c>
      <c r="N343" s="116">
        <v>120.255266790164</v>
      </c>
      <c r="O343" s="116">
        <v>118.08227634303201</v>
      </c>
      <c r="P343" s="116">
        <v>118.526751661763</v>
      </c>
      <c r="Q343" s="116">
        <v>120.95</v>
      </c>
      <c r="R343">
        <v>641976</v>
      </c>
    </row>
    <row r="344" spans="1:18" x14ac:dyDescent="0.25">
      <c r="A344" s="170">
        <v>42509</v>
      </c>
      <c r="B344" s="116">
        <v>120.50207409223501</v>
      </c>
      <c r="C344" s="116">
        <v>118.180927583081</v>
      </c>
      <c r="D344" s="116">
        <v>117.785838815565</v>
      </c>
      <c r="E344" s="116">
        <v>120.00821313284</v>
      </c>
      <c r="F344" s="116">
        <v>119.65</v>
      </c>
      <c r="G344">
        <v>107495</v>
      </c>
      <c r="H344" s="116"/>
      <c r="I344" s="116"/>
      <c r="L344" s="170">
        <v>42509</v>
      </c>
      <c r="M344" s="116">
        <v>118.477365515237</v>
      </c>
      <c r="N344" s="116">
        <v>120.502197522792</v>
      </c>
      <c r="O344" s="116">
        <v>117.489642584723</v>
      </c>
      <c r="P344" s="116">
        <v>118.526751661763</v>
      </c>
      <c r="Q344" s="116">
        <v>119.95</v>
      </c>
      <c r="R344">
        <v>1085102</v>
      </c>
    </row>
    <row r="345" spans="1:18" x14ac:dyDescent="0.25">
      <c r="A345" s="170">
        <v>42510</v>
      </c>
      <c r="B345" s="116">
        <v>119.514352173446</v>
      </c>
      <c r="C345" s="116">
        <v>118.47724415871799</v>
      </c>
      <c r="D345" s="116">
        <v>117.588294431808</v>
      </c>
      <c r="E345" s="116">
        <v>117.588294431808</v>
      </c>
      <c r="F345" s="116">
        <v>119.95</v>
      </c>
      <c r="G345">
        <v>53916</v>
      </c>
      <c r="H345" s="116"/>
      <c r="I345" s="116"/>
      <c r="L345" s="170">
        <v>42510</v>
      </c>
      <c r="M345" s="116">
        <v>118.576137808289</v>
      </c>
      <c r="N345" s="116">
        <v>119.66263303185499</v>
      </c>
      <c r="O345" s="116">
        <v>118.032890196506</v>
      </c>
      <c r="P345" s="116">
        <v>118.427979368712</v>
      </c>
      <c r="Q345" s="116">
        <v>120.05</v>
      </c>
      <c r="R345">
        <v>466672</v>
      </c>
    </row>
    <row r="346" spans="1:18" x14ac:dyDescent="0.25">
      <c r="A346" s="170">
        <v>42513</v>
      </c>
      <c r="B346" s="116">
        <v>122.428131833873</v>
      </c>
      <c r="C346" s="116">
        <v>118.97110511811201</v>
      </c>
      <c r="D346" s="116">
        <v>117.538908335868</v>
      </c>
      <c r="E346" s="116">
        <v>118.52663025465699</v>
      </c>
      <c r="F346" s="116">
        <v>120.45</v>
      </c>
      <c r="G346">
        <v>199603</v>
      </c>
      <c r="H346" s="116"/>
      <c r="I346" s="116"/>
      <c r="L346" s="170">
        <v>42513</v>
      </c>
      <c r="M346" s="116">
        <v>118.921840833969</v>
      </c>
      <c r="N346" s="116">
        <v>122.576415676873</v>
      </c>
      <c r="O346" s="116">
        <v>118.230434782609</v>
      </c>
      <c r="P346" s="116">
        <v>119.02061312702</v>
      </c>
      <c r="Q346" s="116">
        <v>120.4</v>
      </c>
      <c r="R346">
        <v>1396870</v>
      </c>
    </row>
    <row r="347" spans="1:18" x14ac:dyDescent="0.25">
      <c r="A347" s="170">
        <v>42514</v>
      </c>
      <c r="B347" s="116">
        <v>120.699618475992</v>
      </c>
      <c r="C347" s="116">
        <v>120.156371420659</v>
      </c>
      <c r="D347" s="116">
        <v>118.32908587089899</v>
      </c>
      <c r="E347" s="116">
        <v>120.452687996295</v>
      </c>
      <c r="F347" s="116">
        <v>121.65</v>
      </c>
      <c r="G347">
        <v>190605</v>
      </c>
      <c r="H347" s="116"/>
      <c r="I347" s="116"/>
      <c r="L347" s="170">
        <v>42514</v>
      </c>
      <c r="M347" s="116">
        <v>120.255266790164</v>
      </c>
      <c r="N347" s="116">
        <v>120.69974210889499</v>
      </c>
      <c r="O347" s="116">
        <v>118.230434782609</v>
      </c>
      <c r="P347" s="116">
        <v>120.205880643638</v>
      </c>
      <c r="Q347" s="116">
        <v>121.75</v>
      </c>
      <c r="R347">
        <v>1438192</v>
      </c>
    </row>
    <row r="348" spans="1:18" x14ac:dyDescent="0.25">
      <c r="A348" s="170">
        <v>42515</v>
      </c>
      <c r="B348" s="116">
        <v>120.995935051629</v>
      </c>
      <c r="C348" s="116">
        <v>117.88461100744399</v>
      </c>
      <c r="D348" s="116">
        <v>117.63768052774699</v>
      </c>
      <c r="E348" s="116">
        <v>120.995935051629</v>
      </c>
      <c r="F348" s="116">
        <v>119.35</v>
      </c>
      <c r="G348">
        <v>178344</v>
      </c>
      <c r="H348" s="116"/>
      <c r="I348" s="116"/>
      <c r="L348" s="170">
        <v>42515</v>
      </c>
      <c r="M348" s="116">
        <v>118.032890196506</v>
      </c>
      <c r="N348" s="116">
        <v>119.51447459227801</v>
      </c>
      <c r="O348" s="116">
        <v>117.68718717082599</v>
      </c>
      <c r="P348" s="116">
        <v>118.526751661763</v>
      </c>
      <c r="Q348" s="116">
        <v>119.5</v>
      </c>
      <c r="R348">
        <v>1787665</v>
      </c>
    </row>
    <row r="349" spans="1:18" x14ac:dyDescent="0.25">
      <c r="A349" s="170">
        <v>42516</v>
      </c>
      <c r="B349" s="116">
        <v>118.52663025465699</v>
      </c>
      <c r="C349" s="116">
        <v>117.045047376474</v>
      </c>
      <c r="D349" s="116">
        <v>116.55118641707899</v>
      </c>
      <c r="E349" s="116">
        <v>117.687066623687</v>
      </c>
      <c r="F349" s="116">
        <v>118.5</v>
      </c>
      <c r="G349">
        <v>90032</v>
      </c>
      <c r="H349" s="116"/>
      <c r="I349" s="116"/>
      <c r="L349" s="170">
        <v>42516</v>
      </c>
      <c r="M349" s="116">
        <v>117.14393955904301</v>
      </c>
      <c r="N349" s="116">
        <v>118.773682394392</v>
      </c>
      <c r="O349" s="116">
        <v>116.699464240311</v>
      </c>
      <c r="P349" s="116">
        <v>118.526751661763</v>
      </c>
      <c r="Q349" s="116">
        <v>118.6</v>
      </c>
      <c r="R349">
        <v>1383549</v>
      </c>
    </row>
    <row r="350" spans="1:18" x14ac:dyDescent="0.25">
      <c r="A350" s="170">
        <v>42517</v>
      </c>
      <c r="B350" s="116">
        <v>118.03276929526299</v>
      </c>
      <c r="C350" s="116">
        <v>115.810394977988</v>
      </c>
      <c r="D350" s="116">
        <v>115.563464498291</v>
      </c>
      <c r="E350" s="116">
        <v>116.55118641707899</v>
      </c>
      <c r="F350" s="116">
        <v>117.25</v>
      </c>
      <c r="G350">
        <v>144689</v>
      </c>
      <c r="H350" s="116"/>
      <c r="I350" s="116"/>
      <c r="L350" s="170">
        <v>42517</v>
      </c>
      <c r="M350" s="116">
        <v>115.859899749373</v>
      </c>
      <c r="N350" s="116">
        <v>117.93411790345399</v>
      </c>
      <c r="O350" s="116">
        <v>115.41542443064201</v>
      </c>
      <c r="P350" s="116">
        <v>116.650078093785</v>
      </c>
      <c r="Q350" s="116">
        <v>117.3</v>
      </c>
      <c r="R350">
        <v>676137</v>
      </c>
    </row>
    <row r="351" spans="1:18" x14ac:dyDescent="0.25">
      <c r="A351" s="170">
        <v>42520</v>
      </c>
      <c r="B351" s="116">
        <v>118.03276929526299</v>
      </c>
      <c r="C351" s="116">
        <v>116.847502992716</v>
      </c>
      <c r="D351" s="116">
        <v>116.057325457685</v>
      </c>
      <c r="E351" s="116">
        <v>117.045047376474</v>
      </c>
      <c r="F351" s="116">
        <v>118.3</v>
      </c>
      <c r="G351">
        <v>129650</v>
      </c>
      <c r="H351" s="116"/>
      <c r="I351" s="116"/>
      <c r="L351" s="170">
        <v>42520</v>
      </c>
      <c r="M351" s="116">
        <v>116.501919654208</v>
      </c>
      <c r="N351" s="116">
        <v>118.18104863608301</v>
      </c>
      <c r="O351" s="116">
        <v>115.859899749373</v>
      </c>
      <c r="P351" s="116">
        <v>116.551305800734</v>
      </c>
      <c r="Q351" s="116">
        <v>117.95</v>
      </c>
      <c r="R351">
        <v>692008</v>
      </c>
    </row>
    <row r="352" spans="1:18" x14ac:dyDescent="0.25">
      <c r="A352" s="170">
        <v>42521</v>
      </c>
      <c r="B352" s="116">
        <v>117.538908335868</v>
      </c>
      <c r="C352" s="116">
        <v>116.452414225201</v>
      </c>
      <c r="D352" s="116">
        <v>116.057325457685</v>
      </c>
      <c r="E352" s="116">
        <v>117.538908335868</v>
      </c>
      <c r="F352" s="116">
        <v>117.9</v>
      </c>
      <c r="G352">
        <v>55767</v>
      </c>
      <c r="H352" s="116"/>
      <c r="I352" s="116"/>
      <c r="L352" s="170">
        <v>42521</v>
      </c>
      <c r="M352" s="116">
        <v>116.304375068105</v>
      </c>
      <c r="N352" s="116">
        <v>117.6378010243</v>
      </c>
      <c r="O352" s="116">
        <v>116.106830482002</v>
      </c>
      <c r="P352" s="116">
        <v>116.35376121463101</v>
      </c>
      <c r="Q352" s="116">
        <v>117.75</v>
      </c>
      <c r="R352">
        <v>658231</v>
      </c>
    </row>
    <row r="353" spans="1:18" x14ac:dyDescent="0.25">
      <c r="A353" s="170">
        <v>42522</v>
      </c>
      <c r="B353" s="116">
        <v>118.03276929526299</v>
      </c>
      <c r="C353" s="116">
        <v>116.55118641707899</v>
      </c>
      <c r="D353" s="116">
        <v>116.353642033322</v>
      </c>
      <c r="E353" s="116">
        <v>117.538908335868</v>
      </c>
      <c r="F353" s="116">
        <v>118</v>
      </c>
      <c r="G353">
        <v>95641</v>
      </c>
      <c r="H353" s="116"/>
      <c r="I353" s="116"/>
      <c r="L353" s="170">
        <v>42522</v>
      </c>
      <c r="M353" s="116">
        <v>116.60069194725899</v>
      </c>
      <c r="N353" s="116">
        <v>117.98350404998</v>
      </c>
      <c r="O353" s="116">
        <v>116.403147361157</v>
      </c>
      <c r="P353" s="116">
        <v>116.74885038683701</v>
      </c>
      <c r="Q353" s="116">
        <v>118.05</v>
      </c>
      <c r="R353">
        <v>581341</v>
      </c>
    </row>
    <row r="354" spans="1:18" x14ac:dyDescent="0.25">
      <c r="A354" s="170">
        <v>42523</v>
      </c>
      <c r="B354" s="116">
        <v>118.180927583081</v>
      </c>
      <c r="C354" s="116">
        <v>117.687066623687</v>
      </c>
      <c r="D354" s="116">
        <v>116.254869841443</v>
      </c>
      <c r="E354" s="116">
        <v>117.538908335868</v>
      </c>
      <c r="F354" s="116">
        <v>119.15</v>
      </c>
      <c r="G354">
        <v>72028</v>
      </c>
      <c r="H354" s="116"/>
      <c r="I354" s="116"/>
      <c r="L354" s="170">
        <v>42523</v>
      </c>
      <c r="M354" s="116">
        <v>117.78595946387701</v>
      </c>
      <c r="N354" s="116">
        <v>118.32920707565999</v>
      </c>
      <c r="O354" s="116">
        <v>116.205602775054</v>
      </c>
      <c r="P354" s="116">
        <v>117.045167265991</v>
      </c>
      <c r="Q354" s="116">
        <v>119.25</v>
      </c>
      <c r="R354">
        <v>549738</v>
      </c>
    </row>
    <row r="355" spans="1:18" x14ac:dyDescent="0.25">
      <c r="A355" s="170">
        <v>42524</v>
      </c>
      <c r="B355" s="116">
        <v>120.699618475992</v>
      </c>
      <c r="C355" s="116">
        <v>118.72417463841499</v>
      </c>
      <c r="D355" s="116">
        <v>118.27969977495999</v>
      </c>
      <c r="E355" s="116">
        <v>119.46496607750601</v>
      </c>
      <c r="F355" s="116">
        <v>120.2</v>
      </c>
      <c r="G355">
        <v>212760</v>
      </c>
      <c r="H355" s="116"/>
      <c r="I355" s="116"/>
      <c r="L355" s="170">
        <v>42524</v>
      </c>
      <c r="M355" s="116">
        <v>118.72429624786599</v>
      </c>
      <c r="N355" s="116">
        <v>120.600969815844</v>
      </c>
      <c r="O355" s="116">
        <v>118.230434782609</v>
      </c>
      <c r="P355" s="116">
        <v>119.465088445752</v>
      </c>
      <c r="Q355" s="116">
        <v>120.2</v>
      </c>
      <c r="R355">
        <v>1783456</v>
      </c>
    </row>
    <row r="356" spans="1:18" x14ac:dyDescent="0.25">
      <c r="A356" s="170">
        <v>42527</v>
      </c>
      <c r="B356" s="116">
        <v>119.514352173446</v>
      </c>
      <c r="C356" s="116">
        <v>117.736452719626</v>
      </c>
      <c r="D356" s="116">
        <v>117.143819568353</v>
      </c>
      <c r="E356" s="116">
        <v>119.316807789688</v>
      </c>
      <c r="F356" s="116">
        <v>119.2</v>
      </c>
      <c r="G356">
        <v>83872</v>
      </c>
      <c r="H356" s="116"/>
      <c r="I356" s="116"/>
      <c r="L356" s="170">
        <v>42527</v>
      </c>
      <c r="M356" s="116">
        <v>117.835345610403</v>
      </c>
      <c r="N356" s="116">
        <v>119.712019178381</v>
      </c>
      <c r="O356" s="116">
        <v>117.14393955904301</v>
      </c>
      <c r="P356" s="116">
        <v>118.872454687443</v>
      </c>
      <c r="Q356" s="116">
        <v>119.3</v>
      </c>
      <c r="R356">
        <v>866406</v>
      </c>
    </row>
    <row r="357" spans="1:18" x14ac:dyDescent="0.25">
      <c r="A357" s="170">
        <v>42528</v>
      </c>
      <c r="B357" s="116">
        <v>118.822946830294</v>
      </c>
      <c r="C357" s="116">
        <v>117.83522491150499</v>
      </c>
      <c r="D357" s="116">
        <v>117.588294431808</v>
      </c>
      <c r="E357" s="116">
        <v>118.72417463841499</v>
      </c>
      <c r="F357" s="116">
        <v>119.3</v>
      </c>
      <c r="G357">
        <v>70266</v>
      </c>
      <c r="H357" s="116"/>
      <c r="I357" s="116"/>
      <c r="L357" s="170">
        <v>42528</v>
      </c>
      <c r="M357" s="116">
        <v>117.884731756929</v>
      </c>
      <c r="N357" s="116">
        <v>118.872454687443</v>
      </c>
      <c r="O357" s="116">
        <v>117.39087029167101</v>
      </c>
      <c r="P357" s="116">
        <v>117.93411790345399</v>
      </c>
      <c r="Q357" s="116">
        <v>119.35</v>
      </c>
      <c r="R357">
        <v>690551</v>
      </c>
    </row>
    <row r="358" spans="1:18" x14ac:dyDescent="0.25">
      <c r="A358" s="170">
        <v>42529</v>
      </c>
      <c r="B358" s="116">
        <v>124.749278343027</v>
      </c>
      <c r="C358" s="116">
        <v>122.971378889207</v>
      </c>
      <c r="D358" s="116">
        <v>117.39075004804999</v>
      </c>
      <c r="E358" s="116">
        <v>118.47724415871799</v>
      </c>
      <c r="F358" s="116">
        <v>124.5</v>
      </c>
      <c r="G358">
        <v>444265</v>
      </c>
      <c r="H358" s="116"/>
      <c r="I358" s="116"/>
      <c r="L358" s="170">
        <v>42529</v>
      </c>
      <c r="M358" s="116">
        <v>122.872732556028</v>
      </c>
      <c r="N358" s="116">
        <v>124.94695071010899</v>
      </c>
      <c r="O358" s="116">
        <v>117.440256438197</v>
      </c>
      <c r="P358" s="116">
        <v>117.835345610403</v>
      </c>
      <c r="Q358" s="116">
        <v>124.4</v>
      </c>
      <c r="R358">
        <v>2390316</v>
      </c>
    </row>
    <row r="359" spans="1:18" x14ac:dyDescent="0.25">
      <c r="A359" s="170">
        <v>42530</v>
      </c>
      <c r="B359" s="116">
        <v>126.42840560496801</v>
      </c>
      <c r="C359" s="116">
        <v>123.514625944541</v>
      </c>
      <c r="D359" s="116">
        <v>123.218309368904</v>
      </c>
      <c r="E359" s="116">
        <v>125.440683686179</v>
      </c>
      <c r="F359" s="116">
        <v>125.05</v>
      </c>
      <c r="G359">
        <v>497483</v>
      </c>
      <c r="H359" s="116"/>
      <c r="I359" s="116"/>
      <c r="L359" s="170">
        <v>42530</v>
      </c>
      <c r="M359" s="116">
        <v>123.415980167811</v>
      </c>
      <c r="N359" s="116">
        <v>125.88528749409799</v>
      </c>
      <c r="O359" s="116">
        <v>123.070277142131</v>
      </c>
      <c r="P359" s="116">
        <v>125.73712905452</v>
      </c>
      <c r="Q359" s="116">
        <v>124.95</v>
      </c>
      <c r="R359">
        <v>2825223</v>
      </c>
    </row>
    <row r="360" spans="1:18" x14ac:dyDescent="0.25">
      <c r="A360" s="170">
        <v>42531</v>
      </c>
      <c r="B360" s="116">
        <v>124.354189575511</v>
      </c>
      <c r="C360" s="116">
        <v>122.082429162297</v>
      </c>
      <c r="D360" s="116">
        <v>121.440409915084</v>
      </c>
      <c r="E360" s="116">
        <v>124.25541738363199</v>
      </c>
      <c r="F360" s="116">
        <v>123.6</v>
      </c>
      <c r="G360">
        <v>160789</v>
      </c>
      <c r="H360" s="116"/>
      <c r="I360" s="116"/>
      <c r="L360" s="170">
        <v>42531</v>
      </c>
      <c r="M360" s="116">
        <v>122.131940358142</v>
      </c>
      <c r="N360" s="116">
        <v>124.453089244851</v>
      </c>
      <c r="O360" s="116">
        <v>121.193603574153</v>
      </c>
      <c r="P360" s="116">
        <v>123.761683193491</v>
      </c>
      <c r="Q360" s="116">
        <v>123.65</v>
      </c>
      <c r="R360">
        <v>900666</v>
      </c>
    </row>
    <row r="361" spans="1:18" x14ac:dyDescent="0.25">
      <c r="A361" s="170">
        <v>42534</v>
      </c>
      <c r="B361" s="116">
        <v>127.613671907514</v>
      </c>
      <c r="C361" s="116">
        <v>126.625949988725</v>
      </c>
      <c r="D361" s="116">
        <v>120.353915804416</v>
      </c>
      <c r="E361" s="116">
        <v>120.847776763811</v>
      </c>
      <c r="F361" s="116">
        <v>128.19999999999999</v>
      </c>
      <c r="G361">
        <v>568772</v>
      </c>
      <c r="H361" s="116"/>
      <c r="I361" s="116"/>
      <c r="L361" s="170">
        <v>42534</v>
      </c>
      <c r="M361" s="116">
        <v>126.576693545458</v>
      </c>
      <c r="N361" s="116">
        <v>127.41625803639501</v>
      </c>
      <c r="O361" s="116">
        <v>120.502197522792</v>
      </c>
      <c r="P361" s="116">
        <v>120.502197522792</v>
      </c>
      <c r="Q361" s="116">
        <v>128.15</v>
      </c>
      <c r="R361">
        <v>4305954</v>
      </c>
    </row>
    <row r="362" spans="1:18" x14ac:dyDescent="0.25">
      <c r="A362" s="170">
        <v>42535</v>
      </c>
      <c r="B362" s="116">
        <v>128.15691896284801</v>
      </c>
      <c r="C362" s="116">
        <v>124.94682272678401</v>
      </c>
      <c r="D362" s="116">
        <v>124.45296176738999</v>
      </c>
      <c r="E362" s="116">
        <v>127.712444099393</v>
      </c>
      <c r="F362" s="116">
        <v>126.5</v>
      </c>
      <c r="G362">
        <v>330492</v>
      </c>
      <c r="H362" s="116"/>
      <c r="I362" s="116"/>
      <c r="L362" s="170">
        <v>42535</v>
      </c>
      <c r="M362" s="116">
        <v>124.94695071010899</v>
      </c>
      <c r="N362" s="116">
        <v>127.910119501653</v>
      </c>
      <c r="O362" s="116">
        <v>124.453089244851</v>
      </c>
      <c r="P362" s="116">
        <v>127.81134720860101</v>
      </c>
      <c r="Q362" s="116">
        <v>126.5</v>
      </c>
      <c r="R362">
        <v>2902578</v>
      </c>
    </row>
    <row r="363" spans="1:18" x14ac:dyDescent="0.25">
      <c r="A363" s="170">
        <v>42536</v>
      </c>
      <c r="B363" s="116">
        <v>126.774108276544</v>
      </c>
      <c r="C363" s="116">
        <v>125.687614165876</v>
      </c>
      <c r="D363" s="116">
        <v>125.243139302421</v>
      </c>
      <c r="E363" s="116">
        <v>125.440683686179</v>
      </c>
      <c r="F363" s="116">
        <v>127.25</v>
      </c>
      <c r="G363">
        <v>330202</v>
      </c>
      <c r="H363" s="116"/>
      <c r="I363" s="116"/>
      <c r="L363" s="170">
        <v>42536</v>
      </c>
      <c r="M363" s="116">
        <v>125.44081217536601</v>
      </c>
      <c r="N363" s="116">
        <v>126.576693545458</v>
      </c>
      <c r="O363" s="116">
        <v>125.04572300316001</v>
      </c>
      <c r="P363" s="116">
        <v>125.687742907995</v>
      </c>
      <c r="Q363" s="116">
        <v>127</v>
      </c>
      <c r="R363">
        <v>1662070</v>
      </c>
    </row>
    <row r="364" spans="1:18" x14ac:dyDescent="0.25">
      <c r="A364" s="170">
        <v>42537</v>
      </c>
      <c r="B364" s="116">
        <v>126.922266564362</v>
      </c>
      <c r="C364" s="116">
        <v>124.551733959269</v>
      </c>
      <c r="D364" s="116">
        <v>122.526904025752</v>
      </c>
      <c r="E364" s="116">
        <v>125.687614165876</v>
      </c>
      <c r="F364" s="116">
        <v>126.1</v>
      </c>
      <c r="G364">
        <v>246621</v>
      </c>
      <c r="H364" s="116"/>
      <c r="I364" s="116"/>
      <c r="L364" s="170">
        <v>42537</v>
      </c>
      <c r="M364" s="116">
        <v>124.55186153790299</v>
      </c>
      <c r="N364" s="116">
        <v>126.971782717664</v>
      </c>
      <c r="O364" s="116">
        <v>122.28009879771901</v>
      </c>
      <c r="P364" s="116">
        <v>125.34203988231501</v>
      </c>
      <c r="Q364" s="116">
        <v>126.1</v>
      </c>
      <c r="R364">
        <v>1489092</v>
      </c>
    </row>
    <row r="365" spans="1:18" x14ac:dyDescent="0.25">
      <c r="A365" s="170">
        <v>42538</v>
      </c>
      <c r="B365" s="116">
        <v>126.872880468422</v>
      </c>
      <c r="C365" s="116">
        <v>124.25541738363199</v>
      </c>
      <c r="D365" s="116">
        <v>123.267695464843</v>
      </c>
      <c r="E365" s="116">
        <v>126.03331683745201</v>
      </c>
      <c r="F365" s="116">
        <v>125.8</v>
      </c>
      <c r="G365">
        <v>315795</v>
      </c>
      <c r="H365" s="116"/>
      <c r="I365" s="116"/>
      <c r="L365" s="170">
        <v>42538</v>
      </c>
      <c r="M365" s="116">
        <v>124.15677236569699</v>
      </c>
      <c r="N365" s="116">
        <v>126.77423813156101</v>
      </c>
      <c r="O365" s="116">
        <v>123.169049435182</v>
      </c>
      <c r="P365" s="116">
        <v>124.94695071010899</v>
      </c>
      <c r="Q365" s="116">
        <v>125.7</v>
      </c>
      <c r="R365">
        <v>1717907</v>
      </c>
    </row>
    <row r="366" spans="1:18" x14ac:dyDescent="0.25">
      <c r="A366" s="170">
        <v>42541</v>
      </c>
      <c r="B366" s="116">
        <v>125.490069782118</v>
      </c>
      <c r="C366" s="116">
        <v>124.551733959269</v>
      </c>
      <c r="D366" s="116">
        <v>122.872606697328</v>
      </c>
      <c r="E366" s="116">
        <v>124.45296176738999</v>
      </c>
      <c r="F366" s="116">
        <v>126.1</v>
      </c>
      <c r="G366">
        <v>177186</v>
      </c>
      <c r="H366" s="116"/>
      <c r="I366" s="116"/>
      <c r="L366" s="170">
        <v>42541</v>
      </c>
      <c r="M366" s="116">
        <v>124.601247684428</v>
      </c>
      <c r="N366" s="116">
        <v>125.58897061494299</v>
      </c>
      <c r="O366" s="116">
        <v>123.020890995605</v>
      </c>
      <c r="P366" s="116">
        <v>123.020890995605</v>
      </c>
      <c r="Q366" s="116">
        <v>126.15</v>
      </c>
      <c r="R366">
        <v>732869</v>
      </c>
    </row>
    <row r="367" spans="1:18" x14ac:dyDescent="0.25">
      <c r="A367" s="170">
        <v>42542</v>
      </c>
      <c r="B367" s="116">
        <v>125.34191149430001</v>
      </c>
      <c r="C367" s="116">
        <v>123.81094252017699</v>
      </c>
      <c r="D367" s="116">
        <v>123.465239848601</v>
      </c>
      <c r="E367" s="116">
        <v>124.551733959269</v>
      </c>
      <c r="F367" s="116">
        <v>125.35</v>
      </c>
      <c r="G367">
        <v>82486</v>
      </c>
      <c r="H367" s="116"/>
      <c r="I367" s="116"/>
      <c r="L367" s="170">
        <v>42542</v>
      </c>
      <c r="M367" s="116">
        <v>123.909841633068</v>
      </c>
      <c r="N367" s="116">
        <v>125.243267589263</v>
      </c>
      <c r="O367" s="116">
        <v>123.564138607388</v>
      </c>
      <c r="P367" s="116">
        <v>124.749406124006</v>
      </c>
      <c r="Q367" s="116">
        <v>125.45</v>
      </c>
      <c r="R367">
        <v>447117</v>
      </c>
    </row>
    <row r="368" spans="1:18" x14ac:dyDescent="0.25">
      <c r="A368" s="170">
        <v>42543</v>
      </c>
      <c r="B368" s="116">
        <v>126.922266564362</v>
      </c>
      <c r="C368" s="116">
        <v>125.687614165876</v>
      </c>
      <c r="D368" s="116">
        <v>123.11953717702499</v>
      </c>
      <c r="E368" s="116">
        <v>124.89743663084499</v>
      </c>
      <c r="F368" s="116">
        <v>127.25</v>
      </c>
      <c r="G368">
        <v>405664</v>
      </c>
      <c r="H368" s="116"/>
      <c r="I368" s="116"/>
      <c r="L368" s="170">
        <v>42543</v>
      </c>
      <c r="M368" s="116">
        <v>125.687742907995</v>
      </c>
      <c r="N368" s="116">
        <v>127.070555010715</v>
      </c>
      <c r="O368" s="116">
        <v>123.169049435182</v>
      </c>
      <c r="P368" s="116">
        <v>124.058000072645</v>
      </c>
      <c r="Q368" s="116">
        <v>127.25</v>
      </c>
      <c r="R368">
        <v>2792498</v>
      </c>
    </row>
    <row r="369" spans="1:18" x14ac:dyDescent="0.25">
      <c r="A369" s="170">
        <v>42544</v>
      </c>
      <c r="B369" s="116">
        <v>126.576563892786</v>
      </c>
      <c r="C369" s="116">
        <v>125.045594918663</v>
      </c>
      <c r="D369" s="116">
        <v>124.156645191753</v>
      </c>
      <c r="E369" s="116">
        <v>126.280247317149</v>
      </c>
      <c r="F369" s="116">
        <v>126.6</v>
      </c>
      <c r="G369">
        <v>249377</v>
      </c>
      <c r="H369" s="116"/>
      <c r="I369" s="116"/>
      <c r="L369" s="170">
        <v>42544</v>
      </c>
      <c r="M369" s="116">
        <v>125.19388144273699</v>
      </c>
      <c r="N369" s="116">
        <v>126.576693545458</v>
      </c>
      <c r="O369" s="116">
        <v>124.058000072645</v>
      </c>
      <c r="P369" s="116">
        <v>125.934673640623</v>
      </c>
      <c r="Q369" s="116">
        <v>126.75</v>
      </c>
      <c r="R369">
        <v>1408701</v>
      </c>
    </row>
    <row r="370" spans="1:18" x14ac:dyDescent="0.25">
      <c r="A370" s="170">
        <v>42545</v>
      </c>
      <c r="B370" s="116">
        <v>123.36646765672199</v>
      </c>
      <c r="C370" s="116">
        <v>122.72444840950899</v>
      </c>
      <c r="D370" s="116">
        <v>115.958553265806</v>
      </c>
      <c r="E370" s="116">
        <v>121.391023819145</v>
      </c>
      <c r="F370" s="116">
        <v>124.25</v>
      </c>
      <c r="G370">
        <v>450222</v>
      </c>
      <c r="H370" s="116"/>
      <c r="I370" s="116"/>
      <c r="L370" s="170">
        <v>42545</v>
      </c>
      <c r="M370" s="116">
        <v>122.724574116451</v>
      </c>
      <c r="N370" s="116">
        <v>123.31720787475901</v>
      </c>
      <c r="O370" s="116">
        <v>115.66235516327001</v>
      </c>
      <c r="P370" s="116">
        <v>119.02061312702</v>
      </c>
      <c r="Q370" s="116">
        <v>124.25</v>
      </c>
      <c r="R370">
        <v>3585896</v>
      </c>
    </row>
    <row r="371" spans="1:18" x14ac:dyDescent="0.25">
      <c r="A371" s="170">
        <v>42548</v>
      </c>
      <c r="B371" s="116">
        <v>124.89743663084499</v>
      </c>
      <c r="C371" s="116">
        <v>124.45296176738999</v>
      </c>
      <c r="D371" s="116">
        <v>122.92199279326699</v>
      </c>
      <c r="E371" s="116">
        <v>123.465239848601</v>
      </c>
      <c r="F371" s="116">
        <v>126</v>
      </c>
      <c r="G371">
        <v>341273</v>
      </c>
      <c r="H371" s="116"/>
      <c r="I371" s="116"/>
      <c r="L371" s="170">
        <v>42548</v>
      </c>
      <c r="M371" s="116">
        <v>124.40370309832601</v>
      </c>
      <c r="N371" s="116">
        <v>124.848178417057</v>
      </c>
      <c r="O371" s="116">
        <v>122.773960262976</v>
      </c>
      <c r="P371" s="116">
        <v>123.21843558170799</v>
      </c>
      <c r="Q371" s="116">
        <v>125.95</v>
      </c>
      <c r="R371">
        <v>2162032</v>
      </c>
    </row>
    <row r="372" spans="1:18" x14ac:dyDescent="0.25">
      <c r="A372" s="170">
        <v>42549</v>
      </c>
      <c r="B372" s="116">
        <v>127.11981094812</v>
      </c>
      <c r="C372" s="116">
        <v>126.280247317149</v>
      </c>
      <c r="D372" s="116">
        <v>125.34191149430001</v>
      </c>
      <c r="E372" s="116">
        <v>125.934544645573</v>
      </c>
      <c r="F372" s="116">
        <v>127.85</v>
      </c>
      <c r="G372">
        <v>263491</v>
      </c>
      <c r="H372" s="116"/>
      <c r="I372" s="116"/>
      <c r="L372" s="170">
        <v>42549</v>
      </c>
      <c r="M372" s="116">
        <v>126.280376666303</v>
      </c>
      <c r="N372" s="116">
        <v>127.02116886418899</v>
      </c>
      <c r="O372" s="116">
        <v>125.19388144273699</v>
      </c>
      <c r="P372" s="116">
        <v>125.934673640623</v>
      </c>
      <c r="Q372" s="116">
        <v>127.85</v>
      </c>
      <c r="R372">
        <v>2563561</v>
      </c>
    </row>
    <row r="373" spans="1:18" x14ac:dyDescent="0.25">
      <c r="A373" s="170">
        <v>42550</v>
      </c>
      <c r="B373" s="116">
        <v>129.391571361334</v>
      </c>
      <c r="C373" s="116">
        <v>128.15691896284801</v>
      </c>
      <c r="D373" s="116">
        <v>126.67533608466501</v>
      </c>
      <c r="E373" s="116">
        <v>126.872880468422</v>
      </c>
      <c r="F373" s="116">
        <v>129.75</v>
      </c>
      <c r="G373">
        <v>263649</v>
      </c>
      <c r="H373" s="116"/>
      <c r="I373" s="116"/>
      <c r="L373" s="170">
        <v>42550</v>
      </c>
      <c r="M373" s="116">
        <v>128.10766408775601</v>
      </c>
      <c r="N373" s="116">
        <v>129.292931604373</v>
      </c>
      <c r="O373" s="116">
        <v>126.527307398932</v>
      </c>
      <c r="P373" s="116">
        <v>126.576693545458</v>
      </c>
      <c r="Q373" s="116">
        <v>129.69999999999999</v>
      </c>
      <c r="R373">
        <v>2735697</v>
      </c>
    </row>
    <row r="374" spans="1:18" x14ac:dyDescent="0.25">
      <c r="A374" s="170">
        <v>42551</v>
      </c>
      <c r="B374" s="116">
        <v>129.885432320728</v>
      </c>
      <c r="C374" s="116">
        <v>129.243413073516</v>
      </c>
      <c r="D374" s="116">
        <v>127.860602387211</v>
      </c>
      <c r="E374" s="116">
        <v>129.09525478569699</v>
      </c>
      <c r="F374" s="116">
        <v>130.85</v>
      </c>
      <c r="G374">
        <v>300320</v>
      </c>
      <c r="H374" s="116"/>
      <c r="I374" s="116"/>
      <c r="L374" s="170">
        <v>42551</v>
      </c>
      <c r="M374" s="116">
        <v>129.589248483528</v>
      </c>
      <c r="N374" s="116">
        <v>130.330040681414</v>
      </c>
      <c r="O374" s="116">
        <v>127.860733355127</v>
      </c>
      <c r="P374" s="116">
        <v>128.89784243216701</v>
      </c>
      <c r="Q374" s="116">
        <v>131.19999999999999</v>
      </c>
      <c r="R374">
        <v>2810587</v>
      </c>
    </row>
    <row r="375" spans="1:18" x14ac:dyDescent="0.25">
      <c r="A375" s="170">
        <v>42552</v>
      </c>
      <c r="B375" s="116">
        <v>134.972200202491</v>
      </c>
      <c r="C375" s="116">
        <v>133.194300748671</v>
      </c>
      <c r="D375" s="116">
        <v>129.93481841666801</v>
      </c>
      <c r="E375" s="116">
        <v>130.37929328012299</v>
      </c>
      <c r="F375" s="116">
        <v>134.85</v>
      </c>
      <c r="G375">
        <v>554403</v>
      </c>
      <c r="H375" s="116"/>
      <c r="I375" s="116"/>
      <c r="L375" s="170">
        <v>42552</v>
      </c>
      <c r="M375" s="116">
        <v>133.24382332643199</v>
      </c>
      <c r="N375" s="116">
        <v>135.07111074788401</v>
      </c>
      <c r="O375" s="116">
        <v>129.885565362682</v>
      </c>
      <c r="P375" s="116">
        <v>130.379426827939</v>
      </c>
      <c r="Q375" s="116">
        <v>134.9</v>
      </c>
      <c r="R375">
        <v>5379977</v>
      </c>
    </row>
    <row r="376" spans="1:18" x14ac:dyDescent="0.25">
      <c r="A376" s="170">
        <v>42555</v>
      </c>
      <c r="B376" s="116">
        <v>134.18202266745999</v>
      </c>
      <c r="C376" s="116">
        <v>132.40412321363999</v>
      </c>
      <c r="D376" s="116">
        <v>132.10780663800301</v>
      </c>
      <c r="E376" s="116">
        <v>133.441231228368</v>
      </c>
      <c r="F376" s="116">
        <v>134.05000000000001</v>
      </c>
      <c r="G376">
        <v>161483</v>
      </c>
      <c r="H376" s="116"/>
      <c r="I376" s="116"/>
      <c r="L376" s="170">
        <v>42555</v>
      </c>
      <c r="M376" s="116">
        <v>132.45364498201999</v>
      </c>
      <c r="N376" s="116">
        <v>134.132773963895</v>
      </c>
      <c r="O376" s="116">
        <v>132.15732810286599</v>
      </c>
      <c r="P376" s="116">
        <v>133.93522937779201</v>
      </c>
      <c r="Q376" s="116">
        <v>134.1</v>
      </c>
      <c r="R376">
        <v>1144671</v>
      </c>
    </row>
    <row r="377" spans="1:18" x14ac:dyDescent="0.25">
      <c r="A377" s="170">
        <v>42556</v>
      </c>
      <c r="B377" s="116">
        <v>134.52772533903601</v>
      </c>
      <c r="C377" s="116">
        <v>132.15719273394299</v>
      </c>
      <c r="D377" s="116">
        <v>131.46578739079001</v>
      </c>
      <c r="E377" s="116">
        <v>133.342459036489</v>
      </c>
      <c r="F377" s="116">
        <v>133.80000000000001</v>
      </c>
      <c r="G377">
        <v>113949</v>
      </c>
      <c r="H377" s="116"/>
      <c r="I377" s="116"/>
      <c r="L377" s="170">
        <v>42556</v>
      </c>
      <c r="M377" s="116">
        <v>132.256100395917</v>
      </c>
      <c r="N377" s="116">
        <v>134.478476989575</v>
      </c>
      <c r="O377" s="116">
        <v>131.56469434455701</v>
      </c>
      <c r="P377" s="116">
        <v>132.601803421597</v>
      </c>
      <c r="Q377" s="116">
        <v>133.9</v>
      </c>
      <c r="R377">
        <v>942568</v>
      </c>
    </row>
    <row r="378" spans="1:18" x14ac:dyDescent="0.25">
      <c r="A378" s="170">
        <v>42558</v>
      </c>
      <c r="B378" s="116">
        <v>134.52772533903601</v>
      </c>
      <c r="C378" s="116">
        <v>132.60166759739801</v>
      </c>
      <c r="D378" s="116">
        <v>131.86087615830601</v>
      </c>
      <c r="E378" s="116">
        <v>133.24368684461001</v>
      </c>
      <c r="F378" s="116">
        <v>134.25</v>
      </c>
      <c r="G378">
        <v>244585</v>
      </c>
      <c r="H378" s="116"/>
      <c r="I378" s="116"/>
      <c r="L378" s="170">
        <v>42558</v>
      </c>
      <c r="M378" s="116">
        <v>132.79934800769999</v>
      </c>
      <c r="N378" s="116">
        <v>134.72540772220401</v>
      </c>
      <c r="O378" s="116">
        <v>131.81162507718599</v>
      </c>
      <c r="P378" s="116">
        <v>131.86101122371099</v>
      </c>
      <c r="Q378" s="116">
        <v>134.44999999999999</v>
      </c>
      <c r="R378">
        <v>2125346</v>
      </c>
    </row>
    <row r="379" spans="1:18" x14ac:dyDescent="0.25">
      <c r="A379" s="170">
        <v>42559</v>
      </c>
      <c r="B379" s="116">
        <v>133.342459036489</v>
      </c>
      <c r="C379" s="116">
        <v>130.922540335457</v>
      </c>
      <c r="D379" s="116">
        <v>129.98420451260699</v>
      </c>
      <c r="E379" s="116">
        <v>133.342459036489</v>
      </c>
      <c r="F379" s="116">
        <v>132.55000000000001</v>
      </c>
      <c r="G379">
        <v>180641</v>
      </c>
      <c r="H379" s="116"/>
      <c r="I379" s="116"/>
      <c r="L379" s="170">
        <v>42559</v>
      </c>
      <c r="M379" s="116">
        <v>130.97206058624801</v>
      </c>
      <c r="N379" s="116">
        <v>132.94750644727799</v>
      </c>
      <c r="O379" s="116">
        <v>129.83617921615601</v>
      </c>
      <c r="P379" s="116">
        <v>132.79934800769999</v>
      </c>
      <c r="Q379" s="116">
        <v>132.6</v>
      </c>
      <c r="R379">
        <v>1296935</v>
      </c>
    </row>
    <row r="380" spans="1:18" x14ac:dyDescent="0.25">
      <c r="A380" s="170">
        <v>42562</v>
      </c>
      <c r="B380" s="116">
        <v>133.342459036489</v>
      </c>
      <c r="C380" s="116">
        <v>131.51517348672999</v>
      </c>
      <c r="D380" s="116">
        <v>131.07069862327501</v>
      </c>
      <c r="E380" s="116">
        <v>132.35473711770001</v>
      </c>
      <c r="F380" s="116">
        <v>133.15</v>
      </c>
      <c r="G380">
        <v>98052</v>
      </c>
      <c r="H380" s="116"/>
      <c r="I380" s="116"/>
      <c r="L380" s="170">
        <v>42562</v>
      </c>
      <c r="M380" s="116">
        <v>131.465922051506</v>
      </c>
      <c r="N380" s="116">
        <v>133.34259561948301</v>
      </c>
      <c r="O380" s="116">
        <v>131.07083287930001</v>
      </c>
      <c r="P380" s="116">
        <v>132.35487268896901</v>
      </c>
      <c r="Q380" s="116">
        <v>133.1</v>
      </c>
      <c r="R380">
        <v>1689644</v>
      </c>
    </row>
    <row r="381" spans="1:18" x14ac:dyDescent="0.25">
      <c r="A381" s="170">
        <v>42563</v>
      </c>
      <c r="B381" s="116">
        <v>133.63877561212601</v>
      </c>
      <c r="C381" s="116">
        <v>131.169470815154</v>
      </c>
      <c r="D381" s="116">
        <v>130.774382047638</v>
      </c>
      <c r="E381" s="116">
        <v>132.35473711770001</v>
      </c>
      <c r="F381" s="116">
        <v>132.80000000000001</v>
      </c>
      <c r="G381">
        <v>370192</v>
      </c>
      <c r="H381" s="116"/>
      <c r="I381" s="116"/>
      <c r="L381" s="170">
        <v>42563</v>
      </c>
      <c r="M381" s="116">
        <v>131.26837746540301</v>
      </c>
      <c r="N381" s="116">
        <v>133.490754059061</v>
      </c>
      <c r="O381" s="116">
        <v>130.87328829319699</v>
      </c>
      <c r="P381" s="116">
        <v>131.81162507718599</v>
      </c>
      <c r="Q381" s="116">
        <v>132.9</v>
      </c>
      <c r="R381">
        <v>1612081</v>
      </c>
    </row>
    <row r="382" spans="1:18" x14ac:dyDescent="0.25">
      <c r="A382" s="170">
        <v>42564</v>
      </c>
      <c r="B382" s="116">
        <v>132.35473711770001</v>
      </c>
      <c r="C382" s="116">
        <v>130.47806547200199</v>
      </c>
      <c r="D382" s="116">
        <v>129.391571361334</v>
      </c>
      <c r="E382" s="116">
        <v>131.86087615830601</v>
      </c>
      <c r="F382" s="116">
        <v>132.1</v>
      </c>
      <c r="G382">
        <v>173329</v>
      </c>
      <c r="H382" s="116"/>
      <c r="I382" s="116"/>
      <c r="L382" s="170">
        <v>42564</v>
      </c>
      <c r="M382" s="116">
        <v>130.527585267517</v>
      </c>
      <c r="N382" s="116">
        <v>132.15732810286599</v>
      </c>
      <c r="O382" s="116">
        <v>129.49047619047599</v>
      </c>
      <c r="P382" s="116">
        <v>131.26837746540301</v>
      </c>
      <c r="Q382" s="116">
        <v>132.15</v>
      </c>
      <c r="R382">
        <v>1306338</v>
      </c>
    </row>
    <row r="383" spans="1:18" x14ac:dyDescent="0.25">
      <c r="A383" s="170">
        <v>42565</v>
      </c>
      <c r="B383" s="116">
        <v>131.71271787048801</v>
      </c>
      <c r="C383" s="116">
        <v>130.82376814357801</v>
      </c>
      <c r="D383" s="116">
        <v>130.033590608547</v>
      </c>
      <c r="E383" s="116">
        <v>131.71271787048801</v>
      </c>
      <c r="F383" s="116">
        <v>132.44999999999999</v>
      </c>
      <c r="G383">
        <v>134351</v>
      </c>
      <c r="H383" s="116"/>
      <c r="I383" s="116"/>
      <c r="L383" s="170">
        <v>42565</v>
      </c>
      <c r="M383" s="116">
        <v>130.97206058624801</v>
      </c>
      <c r="N383" s="116">
        <v>131.66346663760899</v>
      </c>
      <c r="O383" s="116">
        <v>129.98433765573401</v>
      </c>
      <c r="P383" s="116">
        <v>131.26837746540301</v>
      </c>
      <c r="Q383" s="116">
        <v>132.6</v>
      </c>
      <c r="R383">
        <v>1093389</v>
      </c>
    </row>
    <row r="384" spans="1:18" x14ac:dyDescent="0.25">
      <c r="A384" s="170">
        <v>42566</v>
      </c>
      <c r="B384" s="116">
        <v>132.65105369333699</v>
      </c>
      <c r="C384" s="116">
        <v>130.97192643139601</v>
      </c>
      <c r="D384" s="116">
        <v>130.67560985575901</v>
      </c>
      <c r="E384" s="116">
        <v>132.35473711770001</v>
      </c>
      <c r="F384" s="116">
        <v>132.6</v>
      </c>
      <c r="G384">
        <v>168841</v>
      </c>
      <c r="H384" s="116"/>
      <c r="I384" s="116"/>
      <c r="L384" s="170">
        <v>42566</v>
      </c>
      <c r="M384" s="116">
        <v>130.97206058624801</v>
      </c>
      <c r="N384" s="116">
        <v>132.84873415422601</v>
      </c>
      <c r="O384" s="116">
        <v>130.62635756056801</v>
      </c>
      <c r="P384" s="116">
        <v>132.35487268896901</v>
      </c>
      <c r="Q384" s="116">
        <v>132.6</v>
      </c>
      <c r="R384">
        <v>1587827</v>
      </c>
    </row>
    <row r="385" spans="1:18" x14ac:dyDescent="0.25">
      <c r="A385" s="170">
        <v>42569</v>
      </c>
      <c r="B385" s="116">
        <v>131.86087615830601</v>
      </c>
      <c r="C385" s="116">
        <v>128.05814677096899</v>
      </c>
      <c r="D385" s="116">
        <v>127.465513619696</v>
      </c>
      <c r="E385" s="116">
        <v>131.36701519891199</v>
      </c>
      <c r="F385" s="116">
        <v>129.65</v>
      </c>
      <c r="G385">
        <v>176676</v>
      </c>
      <c r="H385" s="116"/>
      <c r="I385" s="116"/>
      <c r="L385" s="170">
        <v>42569</v>
      </c>
      <c r="M385" s="116">
        <v>128.35459482038399</v>
      </c>
      <c r="N385" s="116">
        <v>131.81162507718599</v>
      </c>
      <c r="O385" s="116">
        <v>127.564416475973</v>
      </c>
      <c r="P385" s="116">
        <v>131.36714975845399</v>
      </c>
      <c r="Q385" s="116">
        <v>129.94999999999999</v>
      </c>
      <c r="R385">
        <v>2283784</v>
      </c>
    </row>
    <row r="386" spans="1:18" x14ac:dyDescent="0.25">
      <c r="A386" s="170">
        <v>42570</v>
      </c>
      <c r="B386" s="116">
        <v>129.144640881637</v>
      </c>
      <c r="C386" s="116">
        <v>128.45323553848499</v>
      </c>
      <c r="D386" s="116">
        <v>127.317355331877</v>
      </c>
      <c r="E386" s="116">
        <v>128.45323553848499</v>
      </c>
      <c r="F386" s="116">
        <v>130.05000000000001</v>
      </c>
      <c r="G386">
        <v>135327</v>
      </c>
      <c r="H386" s="116"/>
      <c r="I386" s="116"/>
      <c r="L386" s="170">
        <v>42570</v>
      </c>
      <c r="M386" s="116">
        <v>128.453367113436</v>
      </c>
      <c r="N386" s="116">
        <v>129.885565362682</v>
      </c>
      <c r="O386" s="116">
        <v>127.218713450292</v>
      </c>
      <c r="P386" s="116">
        <v>129.885565362682</v>
      </c>
      <c r="Q386" s="116">
        <v>130.05000000000001</v>
      </c>
      <c r="R386">
        <v>3903542</v>
      </c>
    </row>
    <row r="387" spans="1:18" x14ac:dyDescent="0.25">
      <c r="A387" s="170">
        <v>42571</v>
      </c>
      <c r="B387" s="116">
        <v>132.84859807709501</v>
      </c>
      <c r="C387" s="116">
        <v>132.00903444612399</v>
      </c>
      <c r="D387" s="116">
        <v>128.40384944254501</v>
      </c>
      <c r="E387" s="116">
        <v>129.391571361334</v>
      </c>
      <c r="F387" s="116">
        <v>133.65</v>
      </c>
      <c r="G387">
        <v>207481</v>
      </c>
      <c r="H387" s="116"/>
      <c r="I387" s="116"/>
      <c r="L387" s="170">
        <v>42571</v>
      </c>
      <c r="M387" s="116">
        <v>132.20671424939201</v>
      </c>
      <c r="N387" s="116">
        <v>133.14505103338101</v>
      </c>
      <c r="O387" s="116">
        <v>128.74968399259001</v>
      </c>
      <c r="P387" s="116">
        <v>128.74968399259001</v>
      </c>
      <c r="Q387" s="116">
        <v>133.85</v>
      </c>
      <c r="R387">
        <v>1887075</v>
      </c>
    </row>
    <row r="388" spans="1:18" x14ac:dyDescent="0.25">
      <c r="A388" s="170">
        <v>42572</v>
      </c>
      <c r="B388" s="116">
        <v>134.13263657152001</v>
      </c>
      <c r="C388" s="116">
        <v>130.08297670448599</v>
      </c>
      <c r="D388" s="116">
        <v>129.49034355321299</v>
      </c>
      <c r="E388" s="116">
        <v>134.13263657152001</v>
      </c>
      <c r="F388" s="116">
        <v>131.69999999999999</v>
      </c>
      <c r="G388">
        <v>243696</v>
      </c>
      <c r="H388" s="116"/>
      <c r="I388" s="116"/>
      <c r="L388" s="170">
        <v>42572</v>
      </c>
      <c r="M388" s="116">
        <v>130.18188224183601</v>
      </c>
      <c r="N388" s="116">
        <v>133.14505103338101</v>
      </c>
      <c r="O388" s="116">
        <v>129.53986233700201</v>
      </c>
      <c r="P388" s="116">
        <v>133.14505103338101</v>
      </c>
      <c r="Q388" s="116">
        <v>131.80000000000001</v>
      </c>
      <c r="R388">
        <v>1884426</v>
      </c>
    </row>
    <row r="389" spans="1:18" x14ac:dyDescent="0.25">
      <c r="A389" s="170">
        <v>42573</v>
      </c>
      <c r="B389" s="116">
        <v>131.12008471921399</v>
      </c>
      <c r="C389" s="116">
        <v>130.033590608547</v>
      </c>
      <c r="D389" s="116">
        <v>129.58911574509199</v>
      </c>
      <c r="E389" s="116">
        <v>130.87315423951699</v>
      </c>
      <c r="F389" s="116">
        <v>131.65</v>
      </c>
      <c r="G389">
        <v>91804</v>
      </c>
      <c r="H389" s="116"/>
      <c r="I389" s="116"/>
      <c r="L389" s="170">
        <v>42573</v>
      </c>
      <c r="M389" s="116">
        <v>129.885565362682</v>
      </c>
      <c r="N389" s="116">
        <v>131.26837746540301</v>
      </c>
      <c r="O389" s="116">
        <v>129.589248483528</v>
      </c>
      <c r="P389" s="116">
        <v>130.28065453488799</v>
      </c>
      <c r="Q389" s="116">
        <v>131.5</v>
      </c>
      <c r="R389">
        <v>2012357</v>
      </c>
    </row>
    <row r="390" spans="1:18" x14ac:dyDescent="0.25">
      <c r="A390" s="170">
        <v>42576</v>
      </c>
      <c r="B390" s="116">
        <v>132.50289540551901</v>
      </c>
      <c r="C390" s="116">
        <v>131.811490062367</v>
      </c>
      <c r="D390" s="116">
        <v>129.68788793697101</v>
      </c>
      <c r="E390" s="116">
        <v>130.87315423951699</v>
      </c>
      <c r="F390" s="116">
        <v>133.44999999999999</v>
      </c>
      <c r="G390">
        <v>421994</v>
      </c>
      <c r="H390" s="116"/>
      <c r="I390" s="116"/>
      <c r="L390" s="170">
        <v>42576</v>
      </c>
      <c r="M390" s="116">
        <v>131.81162507718599</v>
      </c>
      <c r="N390" s="116">
        <v>132.35487268896901</v>
      </c>
      <c r="O390" s="116">
        <v>129.589248483528</v>
      </c>
      <c r="P390" s="116">
        <v>130.13249609531101</v>
      </c>
      <c r="Q390" s="116">
        <v>133.44999999999999</v>
      </c>
      <c r="R390">
        <v>1656721</v>
      </c>
    </row>
    <row r="391" spans="1:18" x14ac:dyDescent="0.25">
      <c r="A391" s="170">
        <v>42577</v>
      </c>
      <c r="B391" s="116">
        <v>132.99675636491301</v>
      </c>
      <c r="C391" s="116">
        <v>129.53972964915201</v>
      </c>
      <c r="D391" s="116">
        <v>129.19402697757599</v>
      </c>
      <c r="E391" s="116">
        <v>132.74982588521601</v>
      </c>
      <c r="F391" s="116">
        <v>131.15</v>
      </c>
      <c r="G391">
        <v>212791</v>
      </c>
      <c r="H391" s="116"/>
      <c r="I391" s="116"/>
      <c r="L391" s="170">
        <v>42577</v>
      </c>
      <c r="M391" s="116">
        <v>129.53986233700201</v>
      </c>
      <c r="N391" s="116">
        <v>132.898120300752</v>
      </c>
      <c r="O391" s="116">
        <v>128.947228578693</v>
      </c>
      <c r="P391" s="116">
        <v>131.81162507718599</v>
      </c>
      <c r="Q391" s="116">
        <v>131.15</v>
      </c>
      <c r="R391">
        <v>1271947</v>
      </c>
    </row>
    <row r="392" spans="1:18" x14ac:dyDescent="0.25">
      <c r="A392" s="170">
        <v>42578</v>
      </c>
      <c r="B392" s="116">
        <v>136.79948575225001</v>
      </c>
      <c r="C392" s="116">
        <v>135.614219449703</v>
      </c>
      <c r="D392" s="116">
        <v>129.885432320728</v>
      </c>
      <c r="E392" s="116">
        <v>130.774382047638</v>
      </c>
      <c r="F392" s="116">
        <v>137.30000000000001</v>
      </c>
      <c r="G392">
        <v>509867</v>
      </c>
      <c r="H392" s="116"/>
      <c r="I392" s="116"/>
      <c r="L392" s="170">
        <v>42578</v>
      </c>
      <c r="M392" s="116">
        <v>135.762516799244</v>
      </c>
      <c r="N392" s="116">
        <v>137.04655660891399</v>
      </c>
      <c r="O392" s="116">
        <v>129.83617921615601</v>
      </c>
      <c r="P392" s="116">
        <v>129.83617921615601</v>
      </c>
      <c r="Q392" s="116">
        <v>137.44999999999999</v>
      </c>
      <c r="R392">
        <v>3576969</v>
      </c>
    </row>
    <row r="393" spans="1:18" x14ac:dyDescent="0.25">
      <c r="A393" s="170">
        <v>42579</v>
      </c>
      <c r="B393" s="116">
        <v>140.25651246801101</v>
      </c>
      <c r="C393" s="116">
        <v>138.23168253449401</v>
      </c>
      <c r="D393" s="116">
        <v>134.82404191467199</v>
      </c>
      <c r="E393" s="116">
        <v>136.79948575225001</v>
      </c>
      <c r="F393" s="116">
        <v>139.94999999999999</v>
      </c>
      <c r="G393">
        <v>345445</v>
      </c>
      <c r="H393" s="116"/>
      <c r="I393" s="116"/>
      <c r="L393" s="170">
        <v>42579</v>
      </c>
      <c r="M393" s="116">
        <v>138.429368711634</v>
      </c>
      <c r="N393" s="116">
        <v>140.50358686571499</v>
      </c>
      <c r="O393" s="116">
        <v>134.87356616178101</v>
      </c>
      <c r="P393" s="116">
        <v>136.30576441102801</v>
      </c>
      <c r="Q393" s="116">
        <v>140.15</v>
      </c>
      <c r="R393">
        <v>3754038</v>
      </c>
    </row>
    <row r="394" spans="1:18" x14ac:dyDescent="0.25">
      <c r="A394" s="170">
        <v>42580</v>
      </c>
      <c r="B394" s="116">
        <v>143.120906032498</v>
      </c>
      <c r="C394" s="116">
        <v>140.40467075582899</v>
      </c>
      <c r="D394" s="116">
        <v>137.540277191342</v>
      </c>
      <c r="E394" s="116">
        <v>140.15774027613199</v>
      </c>
      <c r="F394" s="116">
        <v>142.15</v>
      </c>
      <c r="G394">
        <v>369339</v>
      </c>
      <c r="H394" s="116"/>
      <c r="I394" s="116"/>
      <c r="L394" s="170">
        <v>42580</v>
      </c>
      <c r="M394" s="116">
        <v>140.40481457266401</v>
      </c>
      <c r="N394" s="116">
        <v>142.92350804547601</v>
      </c>
      <c r="O394" s="116">
        <v>137.491031927645</v>
      </c>
      <c r="P394" s="116">
        <v>139.17016090952001</v>
      </c>
      <c r="Q394" s="116">
        <v>142.15</v>
      </c>
      <c r="R394">
        <v>3056272</v>
      </c>
    </row>
    <row r="395" spans="1:18" x14ac:dyDescent="0.25">
      <c r="A395" s="170">
        <v>42583</v>
      </c>
      <c r="B395" s="116">
        <v>142.72581726498299</v>
      </c>
      <c r="C395" s="116">
        <v>139.61449322079801</v>
      </c>
      <c r="D395" s="116">
        <v>136.503169176613</v>
      </c>
      <c r="E395" s="116">
        <v>141.738095346194</v>
      </c>
      <c r="F395" s="116">
        <v>141.35</v>
      </c>
      <c r="G395">
        <v>373805</v>
      </c>
      <c r="H395" s="116"/>
      <c r="I395" s="116"/>
      <c r="L395" s="170">
        <v>42583</v>
      </c>
      <c r="M395" s="116">
        <v>139.26893320257199</v>
      </c>
      <c r="N395" s="116">
        <v>143.07166648505299</v>
      </c>
      <c r="O395" s="116">
        <v>136.552695143656</v>
      </c>
      <c r="P395" s="116">
        <v>141.244379063601</v>
      </c>
      <c r="Q395" s="116">
        <v>141</v>
      </c>
      <c r="R395">
        <v>1987955</v>
      </c>
    </row>
    <row r="396" spans="1:18" x14ac:dyDescent="0.25">
      <c r="A396" s="170">
        <v>42584</v>
      </c>
      <c r="B396" s="116">
        <v>140.25651246801101</v>
      </c>
      <c r="C396" s="116">
        <v>136.99703013600799</v>
      </c>
      <c r="D396" s="116">
        <v>136.55255527255301</v>
      </c>
      <c r="E396" s="116">
        <v>140.25651246801101</v>
      </c>
      <c r="F396" s="116">
        <v>138.69999999999999</v>
      </c>
      <c r="G396">
        <v>149126</v>
      </c>
      <c r="H396" s="116"/>
      <c r="I396" s="116"/>
      <c r="L396" s="170">
        <v>42584</v>
      </c>
      <c r="M396" s="116">
        <v>136.700853583233</v>
      </c>
      <c r="N396" s="116">
        <v>140.05911154698299</v>
      </c>
      <c r="O396" s="116">
        <v>136.40453670407899</v>
      </c>
      <c r="P396" s="116">
        <v>139.26893320257199</v>
      </c>
      <c r="Q396" s="116">
        <v>138.4</v>
      </c>
      <c r="R396">
        <v>1175233</v>
      </c>
    </row>
    <row r="397" spans="1:18" x14ac:dyDescent="0.25">
      <c r="A397" s="170">
        <v>42585</v>
      </c>
      <c r="B397" s="116">
        <v>138.13291034261499</v>
      </c>
      <c r="C397" s="116">
        <v>134.478339243096</v>
      </c>
      <c r="D397" s="116">
        <v>133.88570609182301</v>
      </c>
      <c r="E397" s="116">
        <v>137.98475205479701</v>
      </c>
      <c r="F397" s="116">
        <v>136.15</v>
      </c>
      <c r="G397">
        <v>209084</v>
      </c>
      <c r="H397" s="116"/>
      <c r="I397" s="116"/>
      <c r="L397" s="170">
        <v>42585</v>
      </c>
      <c r="M397" s="116">
        <v>134.08338781737001</v>
      </c>
      <c r="N397" s="116">
        <v>138.33059641858301</v>
      </c>
      <c r="O397" s="116">
        <v>133.44136791253499</v>
      </c>
      <c r="P397" s="116">
        <v>136.700853583233</v>
      </c>
      <c r="Q397" s="116">
        <v>135.75</v>
      </c>
      <c r="R397">
        <v>1451654</v>
      </c>
    </row>
    <row r="398" spans="1:18" x14ac:dyDescent="0.25">
      <c r="A398" s="170">
        <v>42586</v>
      </c>
      <c r="B398" s="116">
        <v>137.58966328728101</v>
      </c>
      <c r="C398" s="116">
        <v>136.60194136849199</v>
      </c>
      <c r="D398" s="116">
        <v>134.03386437964099</v>
      </c>
      <c r="E398" s="116">
        <v>135.367288970006</v>
      </c>
      <c r="F398" s="116">
        <v>138.30000000000001</v>
      </c>
      <c r="G398">
        <v>232752</v>
      </c>
      <c r="H398" s="116"/>
      <c r="I398" s="116"/>
      <c r="L398" s="170">
        <v>42586</v>
      </c>
      <c r="M398" s="116">
        <v>136.60208129018201</v>
      </c>
      <c r="N398" s="116">
        <v>137.68857651374799</v>
      </c>
      <c r="O398" s="116">
        <v>133.836457084741</v>
      </c>
      <c r="P398" s="116">
        <v>134.330318549998</v>
      </c>
      <c r="Q398" s="116">
        <v>138.30000000000001</v>
      </c>
      <c r="R398">
        <v>1515003</v>
      </c>
    </row>
    <row r="399" spans="1:18" x14ac:dyDescent="0.25">
      <c r="A399" s="170">
        <v>42587</v>
      </c>
      <c r="B399" s="116">
        <v>140.058968084253</v>
      </c>
      <c r="C399" s="116">
        <v>137.392118903523</v>
      </c>
      <c r="D399" s="116">
        <v>136.898257944129</v>
      </c>
      <c r="E399" s="116">
        <v>140.058968084253</v>
      </c>
      <c r="F399" s="116">
        <v>139.1</v>
      </c>
      <c r="G399">
        <v>276858</v>
      </c>
      <c r="H399" s="116"/>
      <c r="I399" s="116"/>
      <c r="L399" s="170">
        <v>42587</v>
      </c>
      <c r="M399" s="116">
        <v>137.39225963459401</v>
      </c>
      <c r="N399" s="116">
        <v>138.92323017689199</v>
      </c>
      <c r="O399" s="116">
        <v>136.79962587628501</v>
      </c>
      <c r="P399" s="116">
        <v>136.79962587628501</v>
      </c>
      <c r="Q399" s="116">
        <v>139.1</v>
      </c>
      <c r="R399">
        <v>1427614</v>
      </c>
    </row>
    <row r="400" spans="1:18" x14ac:dyDescent="0.25">
      <c r="A400" s="170">
        <v>42590</v>
      </c>
      <c r="B400" s="116">
        <v>141.738095346194</v>
      </c>
      <c r="C400" s="116">
        <v>141.14546219492101</v>
      </c>
      <c r="D400" s="116">
        <v>137.09580232788699</v>
      </c>
      <c r="E400" s="116">
        <v>138.034138150736</v>
      </c>
      <c r="F400" s="116">
        <v>142.9</v>
      </c>
      <c r="G400">
        <v>441218</v>
      </c>
      <c r="H400" s="116"/>
      <c r="I400" s="116"/>
      <c r="L400" s="170">
        <v>42590</v>
      </c>
      <c r="M400" s="116">
        <v>141.14560677054999</v>
      </c>
      <c r="N400" s="116">
        <v>141.738240528858</v>
      </c>
      <c r="O400" s="116">
        <v>136.700853583233</v>
      </c>
      <c r="P400" s="116">
        <v>136.849012022811</v>
      </c>
      <c r="Q400" s="116">
        <v>142.9</v>
      </c>
      <c r="R400">
        <v>2430227</v>
      </c>
    </row>
    <row r="401" spans="1:18" x14ac:dyDescent="0.25">
      <c r="A401" s="170">
        <v>42591</v>
      </c>
      <c r="B401" s="116">
        <v>145.195122061955</v>
      </c>
      <c r="C401" s="116">
        <v>141.63932315431501</v>
      </c>
      <c r="D401" s="116">
        <v>137.63904938322</v>
      </c>
      <c r="E401" s="116">
        <v>141.63932315431501</v>
      </c>
      <c r="F401" s="116">
        <v>143.4</v>
      </c>
      <c r="G401">
        <v>1006927</v>
      </c>
      <c r="H401" s="116"/>
      <c r="I401" s="116"/>
      <c r="L401" s="170">
        <v>42591</v>
      </c>
      <c r="M401" s="116">
        <v>141.49130979623001</v>
      </c>
      <c r="N401" s="116">
        <v>145.19527078566</v>
      </c>
      <c r="O401" s="116">
        <v>137.44164578111901</v>
      </c>
      <c r="P401" s="116">
        <v>142.13332970106401</v>
      </c>
      <c r="Q401" s="116">
        <v>143.25</v>
      </c>
      <c r="R401">
        <v>8549636</v>
      </c>
    </row>
    <row r="402" spans="1:18" x14ac:dyDescent="0.25">
      <c r="A402" s="170">
        <v>42592</v>
      </c>
      <c r="B402" s="116">
        <v>143.02213384062</v>
      </c>
      <c r="C402" s="116">
        <v>136.15746650503701</v>
      </c>
      <c r="D402" s="116">
        <v>135.41667506594601</v>
      </c>
      <c r="E402" s="116">
        <v>143.02213384062</v>
      </c>
      <c r="F402" s="116">
        <v>137.85</v>
      </c>
      <c r="G402">
        <v>555618</v>
      </c>
      <c r="H402" s="116"/>
      <c r="I402" s="116"/>
      <c r="L402" s="170">
        <v>42592</v>
      </c>
      <c r="M402" s="116">
        <v>136.058833678399</v>
      </c>
      <c r="N402" s="116">
        <v>142.72596345937299</v>
      </c>
      <c r="O402" s="116">
        <v>135.564972213142</v>
      </c>
      <c r="P402" s="116">
        <v>142.47903272674401</v>
      </c>
      <c r="Q402" s="116">
        <v>137.75</v>
      </c>
      <c r="R402">
        <v>3289526</v>
      </c>
    </row>
    <row r="403" spans="1:18" x14ac:dyDescent="0.25">
      <c r="A403" s="170">
        <v>42593</v>
      </c>
      <c r="B403" s="116">
        <v>137.73782157509899</v>
      </c>
      <c r="C403" s="116">
        <v>135.56483335376399</v>
      </c>
      <c r="D403" s="116">
        <v>134.330180955278</v>
      </c>
      <c r="E403" s="116">
        <v>136.30562479285601</v>
      </c>
      <c r="F403" s="116">
        <v>137.25</v>
      </c>
      <c r="G403">
        <v>217405</v>
      </c>
      <c r="H403" s="116"/>
      <c r="I403" s="116"/>
      <c r="L403" s="170">
        <v>42593</v>
      </c>
      <c r="M403" s="116">
        <v>135.61435835966699</v>
      </c>
      <c r="N403" s="116">
        <v>137.54041807417099</v>
      </c>
      <c r="O403" s="116">
        <v>134.08338781737001</v>
      </c>
      <c r="P403" s="116">
        <v>135.81190294576999</v>
      </c>
      <c r="Q403" s="116">
        <v>137.30000000000001</v>
      </c>
      <c r="R403">
        <v>1140212</v>
      </c>
    </row>
    <row r="404" spans="1:18" x14ac:dyDescent="0.25">
      <c r="A404" s="170">
        <v>42594</v>
      </c>
      <c r="B404" s="116">
        <v>137.58966328728101</v>
      </c>
      <c r="C404" s="116">
        <v>135.21913068218799</v>
      </c>
      <c r="D404" s="116">
        <v>134.626497530915</v>
      </c>
      <c r="E404" s="116">
        <v>136.30562479285601</v>
      </c>
      <c r="F404" s="116">
        <v>136.9</v>
      </c>
      <c r="G404">
        <v>174223</v>
      </c>
      <c r="H404" s="116"/>
      <c r="I404" s="116"/>
      <c r="L404" s="170">
        <v>42594</v>
      </c>
      <c r="M404" s="116">
        <v>135.268655333987</v>
      </c>
      <c r="N404" s="116">
        <v>137.73796266027401</v>
      </c>
      <c r="O404" s="116">
        <v>134.330318549998</v>
      </c>
      <c r="P404" s="116">
        <v>136.10821982492499</v>
      </c>
      <c r="Q404" s="116">
        <v>136.94999999999999</v>
      </c>
      <c r="R404">
        <v>1024054</v>
      </c>
    </row>
    <row r="405" spans="1:18" x14ac:dyDescent="0.25">
      <c r="A405" s="170">
        <v>42598</v>
      </c>
      <c r="B405" s="116">
        <v>137.392118903523</v>
      </c>
      <c r="C405" s="116">
        <v>136.40439698473401</v>
      </c>
      <c r="D405" s="116">
        <v>134.37956705121701</v>
      </c>
      <c r="E405" s="116">
        <v>135.56483335376399</v>
      </c>
      <c r="F405" s="116">
        <v>138.1</v>
      </c>
      <c r="G405">
        <v>188544</v>
      </c>
      <c r="H405" s="116"/>
      <c r="I405" s="116"/>
      <c r="L405" s="170">
        <v>42598</v>
      </c>
      <c r="M405" s="116">
        <v>136.355150557553</v>
      </c>
      <c r="N405" s="116">
        <v>137.39225963459401</v>
      </c>
      <c r="O405" s="116">
        <v>134.42909084305001</v>
      </c>
      <c r="P405" s="116">
        <v>135.21926918746101</v>
      </c>
      <c r="Q405" s="116">
        <v>138.05000000000001</v>
      </c>
      <c r="R405">
        <v>1518494</v>
      </c>
    </row>
    <row r="406" spans="1:18" x14ac:dyDescent="0.25">
      <c r="A406" s="170">
        <v>42599</v>
      </c>
      <c r="B406" s="116">
        <v>137.68843547916001</v>
      </c>
      <c r="C406" s="116">
        <v>136.009308217219</v>
      </c>
      <c r="D406" s="116">
        <v>135.46606116188499</v>
      </c>
      <c r="E406" s="116">
        <v>137.68843547916001</v>
      </c>
      <c r="F406" s="116">
        <v>137.69999999999999</v>
      </c>
      <c r="G406">
        <v>137404</v>
      </c>
      <c r="H406" s="116"/>
      <c r="I406" s="116"/>
      <c r="L406" s="170">
        <v>42599</v>
      </c>
      <c r="M406" s="116">
        <v>135.96006138534699</v>
      </c>
      <c r="N406" s="116">
        <v>137.68857651374799</v>
      </c>
      <c r="O406" s="116">
        <v>135.46619992008999</v>
      </c>
      <c r="P406" s="116">
        <v>137.09594275543901</v>
      </c>
      <c r="Q406" s="116">
        <v>137.65</v>
      </c>
      <c r="R406">
        <v>778141</v>
      </c>
    </row>
    <row r="407" spans="1:18" x14ac:dyDescent="0.25">
      <c r="A407" s="170">
        <v>42600</v>
      </c>
      <c r="B407" s="116">
        <v>137.68843547916001</v>
      </c>
      <c r="C407" s="116">
        <v>136.99703013600799</v>
      </c>
      <c r="D407" s="116">
        <v>136.30562479285601</v>
      </c>
      <c r="E407" s="116">
        <v>137.19457451976601</v>
      </c>
      <c r="F407" s="116">
        <v>138.69999999999999</v>
      </c>
      <c r="G407">
        <v>143093</v>
      </c>
      <c r="H407" s="116"/>
      <c r="I407" s="116"/>
      <c r="L407" s="170">
        <v>42600</v>
      </c>
      <c r="M407" s="116">
        <v>137.145328901965</v>
      </c>
      <c r="N407" s="116">
        <v>137.83673495332499</v>
      </c>
      <c r="O407" s="116">
        <v>136.15760597145001</v>
      </c>
      <c r="P407" s="116">
        <v>136.75023972975899</v>
      </c>
      <c r="Q407" s="116">
        <v>138.85</v>
      </c>
      <c r="R407">
        <v>901208</v>
      </c>
    </row>
    <row r="408" spans="1:18" x14ac:dyDescent="0.25">
      <c r="A408" s="170">
        <v>42601</v>
      </c>
      <c r="B408" s="116">
        <v>140.00958198831401</v>
      </c>
      <c r="C408" s="116">
        <v>139.51572102891899</v>
      </c>
      <c r="D408" s="116">
        <v>137.04641623194701</v>
      </c>
      <c r="E408" s="116">
        <v>137.73782157509899</v>
      </c>
      <c r="F408" s="116">
        <v>141.25</v>
      </c>
      <c r="G408">
        <v>369513</v>
      </c>
      <c r="H408" s="116"/>
      <c r="I408" s="116"/>
      <c r="L408" s="170">
        <v>42601</v>
      </c>
      <c r="M408" s="116">
        <v>139.5158639352</v>
      </c>
      <c r="N408" s="116">
        <v>140.10849769350901</v>
      </c>
      <c r="O408" s="116">
        <v>137.04655660891399</v>
      </c>
      <c r="P408" s="116">
        <v>138.13305183247999</v>
      </c>
      <c r="Q408" s="116">
        <v>141.25</v>
      </c>
      <c r="R408">
        <v>2298138</v>
      </c>
    </row>
    <row r="409" spans="1:18" x14ac:dyDescent="0.25">
      <c r="A409" s="170">
        <v>42604</v>
      </c>
      <c r="B409" s="116">
        <v>140.25651246801101</v>
      </c>
      <c r="C409" s="116">
        <v>136.94764404006801</v>
      </c>
      <c r="D409" s="116">
        <v>136.45378308067399</v>
      </c>
      <c r="E409" s="116">
        <v>139.76265150861599</v>
      </c>
      <c r="F409" s="116">
        <v>138.65</v>
      </c>
      <c r="G409">
        <v>145669</v>
      </c>
      <c r="H409" s="116"/>
      <c r="I409" s="116"/>
      <c r="L409" s="170">
        <v>42604</v>
      </c>
      <c r="M409" s="116">
        <v>136.700853583233</v>
      </c>
      <c r="N409" s="116">
        <v>140.306042279612</v>
      </c>
      <c r="O409" s="116">
        <v>136.30576441102801</v>
      </c>
      <c r="P409" s="116">
        <v>140.25665613308601</v>
      </c>
      <c r="Q409" s="116">
        <v>138.4</v>
      </c>
      <c r="R409">
        <v>1398679</v>
      </c>
    </row>
    <row r="410" spans="1:18" x14ac:dyDescent="0.25">
      <c r="A410" s="170">
        <v>42605</v>
      </c>
      <c r="B410" s="116">
        <v>139.219404453283</v>
      </c>
      <c r="C410" s="116">
        <v>137.68843547916001</v>
      </c>
      <c r="D410" s="116">
        <v>136.60194136849199</v>
      </c>
      <c r="E410" s="116">
        <v>137.24396061570499</v>
      </c>
      <c r="F410" s="116">
        <v>139.4</v>
      </c>
      <c r="G410">
        <v>134765</v>
      </c>
      <c r="H410" s="116"/>
      <c r="I410" s="116"/>
      <c r="L410" s="170">
        <v>42605</v>
      </c>
      <c r="M410" s="116">
        <v>137.88612109985101</v>
      </c>
      <c r="N410" s="116">
        <v>139.26893320257199</v>
      </c>
      <c r="O410" s="116">
        <v>136.700853583233</v>
      </c>
      <c r="P410" s="116">
        <v>136.997170462388</v>
      </c>
      <c r="Q410" s="116">
        <v>139.6</v>
      </c>
      <c r="R410">
        <v>1282978</v>
      </c>
    </row>
    <row r="411" spans="1:18" x14ac:dyDescent="0.25">
      <c r="A411" s="170">
        <v>42606</v>
      </c>
      <c r="B411" s="116">
        <v>140.75037342740501</v>
      </c>
      <c r="C411" s="116">
        <v>138.62677130200899</v>
      </c>
      <c r="D411" s="116">
        <v>138.13291034261499</v>
      </c>
      <c r="E411" s="116">
        <v>139.26879054922199</v>
      </c>
      <c r="F411" s="116">
        <v>140.35</v>
      </c>
      <c r="G411">
        <v>476218</v>
      </c>
      <c r="H411" s="116"/>
      <c r="I411" s="116"/>
      <c r="L411" s="170">
        <v>42606</v>
      </c>
      <c r="M411" s="116">
        <v>138.52814100468601</v>
      </c>
      <c r="N411" s="116">
        <v>140.70113145181799</v>
      </c>
      <c r="O411" s="116">
        <v>138.083665685954</v>
      </c>
      <c r="P411" s="116">
        <v>138.67629944426301</v>
      </c>
      <c r="Q411" s="116">
        <v>140.25</v>
      </c>
      <c r="R411">
        <v>2956023</v>
      </c>
    </row>
    <row r="412" spans="1:18" x14ac:dyDescent="0.25">
      <c r="A412" s="170">
        <v>42607</v>
      </c>
      <c r="B412" s="116">
        <v>144.009855759408</v>
      </c>
      <c r="C412" s="116">
        <v>138.77492958982799</v>
      </c>
      <c r="D412" s="116">
        <v>138.37984082231199</v>
      </c>
      <c r="E412" s="116">
        <v>142.13318411371</v>
      </c>
      <c r="F412" s="116">
        <v>140.5</v>
      </c>
      <c r="G412">
        <v>708973</v>
      </c>
      <c r="H412" s="116"/>
      <c r="I412" s="116"/>
      <c r="L412" s="170">
        <v>42607</v>
      </c>
      <c r="M412" s="116">
        <v>138.725685590789</v>
      </c>
      <c r="N412" s="116">
        <v>143.71368638988801</v>
      </c>
      <c r="O412" s="116">
        <v>138.37998256510801</v>
      </c>
      <c r="P412" s="116">
        <v>141.63946823580699</v>
      </c>
      <c r="Q412" s="116">
        <v>140.44999999999999</v>
      </c>
      <c r="R412">
        <v>4868511</v>
      </c>
    </row>
    <row r="413" spans="1:18" x14ac:dyDescent="0.25">
      <c r="A413" s="170">
        <v>42608</v>
      </c>
      <c r="B413" s="116">
        <v>140.108354180193</v>
      </c>
      <c r="C413" s="116">
        <v>138.182296438554</v>
      </c>
      <c r="D413" s="116">
        <v>137.29334671164401</v>
      </c>
      <c r="E413" s="116">
        <v>138.87370178170701</v>
      </c>
      <c r="F413" s="116">
        <v>139.9</v>
      </c>
      <c r="G413">
        <v>192152</v>
      </c>
      <c r="H413" s="116"/>
      <c r="I413" s="116"/>
      <c r="L413" s="170">
        <v>42608</v>
      </c>
      <c r="M413" s="116">
        <v>138.18243797900601</v>
      </c>
      <c r="N413" s="116">
        <v>139.96033925393201</v>
      </c>
      <c r="O413" s="116">
        <v>137.19471504849099</v>
      </c>
      <c r="P413" s="116">
        <v>139.26893320257199</v>
      </c>
      <c r="Q413" s="116">
        <v>139.9</v>
      </c>
      <c r="R413">
        <v>1468343</v>
      </c>
    </row>
    <row r="414" spans="1:18" x14ac:dyDescent="0.25">
      <c r="A414" s="170">
        <v>42611</v>
      </c>
      <c r="B414" s="116">
        <v>139.318176645161</v>
      </c>
      <c r="C414" s="116">
        <v>137.24396061570499</v>
      </c>
      <c r="D414" s="116">
        <v>136.15746650503701</v>
      </c>
      <c r="E414" s="116">
        <v>138.281068630433</v>
      </c>
      <c r="F414" s="116">
        <v>138.94999999999999</v>
      </c>
      <c r="G414">
        <v>156140</v>
      </c>
      <c r="H414" s="116"/>
      <c r="I414" s="116"/>
      <c r="L414" s="170">
        <v>42611</v>
      </c>
      <c r="M414" s="116">
        <v>137.293487341542</v>
      </c>
      <c r="N414" s="116">
        <v>139.41709164214899</v>
      </c>
      <c r="O414" s="116">
        <v>136.10821982492499</v>
      </c>
      <c r="P414" s="116">
        <v>138.82445788384001</v>
      </c>
      <c r="Q414" s="116">
        <v>139</v>
      </c>
      <c r="R414">
        <v>1604324</v>
      </c>
    </row>
    <row r="415" spans="1:18" x14ac:dyDescent="0.25">
      <c r="A415" s="170">
        <v>42612</v>
      </c>
      <c r="B415" s="116">
        <v>139.02186006952499</v>
      </c>
      <c r="C415" s="116">
        <v>138.47861301419101</v>
      </c>
      <c r="D415" s="116">
        <v>137.04641623194701</v>
      </c>
      <c r="E415" s="116">
        <v>137.540277191342</v>
      </c>
      <c r="F415" s="116">
        <v>140.19999999999999</v>
      </c>
      <c r="G415">
        <v>230617</v>
      </c>
      <c r="H415" s="116"/>
      <c r="I415" s="116"/>
      <c r="L415" s="170">
        <v>42612</v>
      </c>
      <c r="M415" s="116">
        <v>138.47875485815999</v>
      </c>
      <c r="N415" s="116">
        <v>139.022002469943</v>
      </c>
      <c r="O415" s="116">
        <v>137.04655660891399</v>
      </c>
      <c r="P415" s="116">
        <v>137.935507246377</v>
      </c>
      <c r="Q415" s="116">
        <v>140.19999999999999</v>
      </c>
      <c r="R415">
        <v>1832319</v>
      </c>
    </row>
    <row r="416" spans="1:18" x14ac:dyDescent="0.25">
      <c r="A416" s="170">
        <v>42613</v>
      </c>
      <c r="B416" s="116">
        <v>140.058968084253</v>
      </c>
      <c r="C416" s="116">
        <v>138.37984082231199</v>
      </c>
      <c r="D416" s="116">
        <v>137.93536595885701</v>
      </c>
      <c r="E416" s="116">
        <v>138.923087877646</v>
      </c>
      <c r="F416" s="116">
        <v>140.1</v>
      </c>
      <c r="G416">
        <v>171924</v>
      </c>
      <c r="H416" s="116"/>
      <c r="I416" s="116"/>
      <c r="L416" s="170">
        <v>42613</v>
      </c>
      <c r="M416" s="116">
        <v>138.52814100468601</v>
      </c>
      <c r="N416" s="116">
        <v>139.86156696088</v>
      </c>
      <c r="O416" s="116">
        <v>138.281210272057</v>
      </c>
      <c r="P416" s="116">
        <v>138.37998256510801</v>
      </c>
      <c r="Q416" s="116">
        <v>140.25</v>
      </c>
      <c r="R416">
        <v>1401308</v>
      </c>
    </row>
    <row r="417" spans="1:18" x14ac:dyDescent="0.25">
      <c r="A417" s="170">
        <v>42614</v>
      </c>
      <c r="B417" s="116">
        <v>141.68870925025499</v>
      </c>
      <c r="C417" s="116">
        <v>138.97247397358501</v>
      </c>
      <c r="D417" s="116">
        <v>138.37984082231199</v>
      </c>
      <c r="E417" s="116">
        <v>138.72554349388801</v>
      </c>
      <c r="F417" s="116">
        <v>140.69999999999999</v>
      </c>
      <c r="G417">
        <v>451370</v>
      </c>
      <c r="H417" s="116"/>
      <c r="I417" s="116"/>
      <c r="L417" s="170">
        <v>42614</v>
      </c>
      <c r="M417" s="116">
        <v>139.367705495623</v>
      </c>
      <c r="N417" s="116">
        <v>141.590082089281</v>
      </c>
      <c r="O417" s="116">
        <v>138.281210272057</v>
      </c>
      <c r="P417" s="116">
        <v>138.52814100468601</v>
      </c>
      <c r="Q417" s="116">
        <v>141.1</v>
      </c>
      <c r="R417">
        <v>2493654</v>
      </c>
    </row>
    <row r="418" spans="1:18" x14ac:dyDescent="0.25">
      <c r="A418" s="170">
        <v>42615</v>
      </c>
      <c r="B418" s="116">
        <v>140.75037342740501</v>
      </c>
      <c r="C418" s="116">
        <v>139.565107124859</v>
      </c>
      <c r="D418" s="116">
        <v>139.26879054922199</v>
      </c>
      <c r="E418" s="116">
        <v>139.76265150861599</v>
      </c>
      <c r="F418" s="116">
        <v>141.30000000000001</v>
      </c>
      <c r="G418">
        <v>168774</v>
      </c>
      <c r="H418" s="116"/>
      <c r="I418" s="116"/>
      <c r="L418" s="170">
        <v>42615</v>
      </c>
      <c r="M418" s="116">
        <v>139.86156696088</v>
      </c>
      <c r="N418" s="116">
        <v>140.84928989139499</v>
      </c>
      <c r="O418" s="116">
        <v>139.26893320257199</v>
      </c>
      <c r="P418" s="116">
        <v>139.664022374778</v>
      </c>
      <c r="Q418" s="116">
        <v>141.6</v>
      </c>
      <c r="R418">
        <v>1681308</v>
      </c>
    </row>
    <row r="419" spans="1:18" x14ac:dyDescent="0.25">
      <c r="A419" s="170">
        <v>42619</v>
      </c>
      <c r="B419" s="116">
        <v>141.44177877055699</v>
      </c>
      <c r="C419" s="116">
        <v>139.91080979643499</v>
      </c>
      <c r="D419" s="116">
        <v>139.51572102891899</v>
      </c>
      <c r="E419" s="116">
        <v>139.76265150861599</v>
      </c>
      <c r="F419" s="116">
        <v>141.65</v>
      </c>
      <c r="G419">
        <v>190762</v>
      </c>
      <c r="H419" s="116"/>
      <c r="I419" s="116"/>
      <c r="L419" s="170">
        <v>42619</v>
      </c>
      <c r="M419" s="116">
        <v>140.009725400458</v>
      </c>
      <c r="N419" s="116">
        <v>141.49130979623001</v>
      </c>
      <c r="O419" s="116">
        <v>139.5158639352</v>
      </c>
      <c r="P419" s="116">
        <v>140.157883840035</v>
      </c>
      <c r="Q419" s="116">
        <v>141.75</v>
      </c>
      <c r="R419">
        <v>1300643</v>
      </c>
    </row>
    <row r="420" spans="1:18" x14ac:dyDescent="0.25">
      <c r="A420" s="170">
        <v>42620</v>
      </c>
      <c r="B420" s="116">
        <v>142.33072849746699</v>
      </c>
      <c r="C420" s="116">
        <v>140.40467075582899</v>
      </c>
      <c r="D420" s="116">
        <v>139.91080979643499</v>
      </c>
      <c r="E420" s="116">
        <v>140.207126372071</v>
      </c>
      <c r="F420" s="116">
        <v>142.15</v>
      </c>
      <c r="G420">
        <v>266910</v>
      </c>
      <c r="H420" s="116"/>
      <c r="I420" s="116"/>
      <c r="L420" s="170">
        <v>42620</v>
      </c>
      <c r="M420" s="116">
        <v>140.454200719189</v>
      </c>
      <c r="N420" s="116">
        <v>142.42964658021901</v>
      </c>
      <c r="O420" s="116">
        <v>139.56525008172599</v>
      </c>
      <c r="P420" s="116">
        <v>140.009725400458</v>
      </c>
      <c r="Q420" s="116">
        <v>142.19999999999999</v>
      </c>
      <c r="R420">
        <v>2381717</v>
      </c>
    </row>
    <row r="421" spans="1:18" x14ac:dyDescent="0.25">
      <c r="A421" s="170">
        <v>42621</v>
      </c>
      <c r="B421" s="116">
        <v>141.738095346194</v>
      </c>
      <c r="C421" s="116">
        <v>140.40467075582899</v>
      </c>
      <c r="D421" s="116">
        <v>139.86142370049501</v>
      </c>
      <c r="E421" s="116">
        <v>140.30589856395</v>
      </c>
      <c r="F421" s="116">
        <v>142.15</v>
      </c>
      <c r="G421">
        <v>197232</v>
      </c>
      <c r="H421" s="116"/>
      <c r="I421" s="116"/>
      <c r="L421" s="170">
        <v>42621</v>
      </c>
      <c r="M421" s="116">
        <v>140.454200719189</v>
      </c>
      <c r="N421" s="116">
        <v>141.738240528858</v>
      </c>
      <c r="O421" s="116">
        <v>140.05911154698299</v>
      </c>
      <c r="P421" s="116">
        <v>140.50358686571499</v>
      </c>
      <c r="Q421" s="116">
        <v>142.19999999999999</v>
      </c>
      <c r="R421">
        <v>1155009</v>
      </c>
    </row>
    <row r="422" spans="1:18" x14ac:dyDescent="0.25">
      <c r="A422" s="170">
        <v>42622</v>
      </c>
      <c r="B422" s="116">
        <v>140.849145619284</v>
      </c>
      <c r="C422" s="116">
        <v>137.83659376697801</v>
      </c>
      <c r="D422" s="116">
        <v>137.145188423826</v>
      </c>
      <c r="E422" s="116">
        <v>139.51572102891899</v>
      </c>
      <c r="F422" s="116">
        <v>139.55000000000001</v>
      </c>
      <c r="G422">
        <v>278081</v>
      </c>
      <c r="H422" s="116"/>
      <c r="I422" s="116"/>
      <c r="L422" s="170">
        <v>42622</v>
      </c>
      <c r="M422" s="116">
        <v>137.98489339290299</v>
      </c>
      <c r="N422" s="116">
        <v>140.948062184447</v>
      </c>
      <c r="O422" s="116">
        <v>137.09594275543901</v>
      </c>
      <c r="P422" s="116">
        <v>140.454200719189</v>
      </c>
      <c r="Q422" s="116">
        <v>139.69999999999999</v>
      </c>
      <c r="R422">
        <v>1199464</v>
      </c>
    </row>
    <row r="423" spans="1:18" x14ac:dyDescent="0.25">
      <c r="A423" s="170">
        <v>42625</v>
      </c>
      <c r="B423" s="116">
        <v>137.787207671039</v>
      </c>
      <c r="C423" s="116">
        <v>133.589389516186</v>
      </c>
      <c r="D423" s="116">
        <v>133.342459036489</v>
      </c>
      <c r="E423" s="116">
        <v>137.787207671039</v>
      </c>
      <c r="F423" s="116">
        <v>135.25</v>
      </c>
      <c r="G423">
        <v>228511</v>
      </c>
      <c r="H423" s="116"/>
      <c r="I423" s="116"/>
      <c r="L423" s="170">
        <v>42625</v>
      </c>
      <c r="M423" s="116">
        <v>133.63891249863801</v>
      </c>
      <c r="N423" s="116">
        <v>136.700853583233</v>
      </c>
      <c r="O423" s="116">
        <v>133.29320947295801</v>
      </c>
      <c r="P423" s="116">
        <v>136.206992117976</v>
      </c>
      <c r="Q423" s="116">
        <v>135.30000000000001</v>
      </c>
      <c r="R423">
        <v>2248691</v>
      </c>
    </row>
    <row r="424" spans="1:18" x14ac:dyDescent="0.25">
      <c r="A424" s="170">
        <v>42627</v>
      </c>
      <c r="B424" s="116">
        <v>136.40439698473401</v>
      </c>
      <c r="C424" s="116">
        <v>135.614219449703</v>
      </c>
      <c r="D424" s="116">
        <v>133.342459036489</v>
      </c>
      <c r="E424" s="116">
        <v>134.28079485933901</v>
      </c>
      <c r="F424" s="116">
        <v>137.30000000000001</v>
      </c>
      <c r="G424">
        <v>201883</v>
      </c>
      <c r="H424" s="116"/>
      <c r="I424" s="116"/>
      <c r="L424" s="170">
        <v>42627</v>
      </c>
      <c r="M424" s="116">
        <v>135.762516799244</v>
      </c>
      <c r="N424" s="116">
        <v>136.50330899713001</v>
      </c>
      <c r="O424" s="116">
        <v>133.44136791253499</v>
      </c>
      <c r="P424" s="116">
        <v>133.540140205586</v>
      </c>
      <c r="Q424" s="116">
        <v>137.44999999999999</v>
      </c>
      <c r="R424">
        <v>1045853</v>
      </c>
    </row>
    <row r="425" spans="1:18" x14ac:dyDescent="0.25">
      <c r="A425" s="170">
        <v>42628</v>
      </c>
      <c r="B425" s="116">
        <v>136.75009965631099</v>
      </c>
      <c r="C425" s="116">
        <v>135.26851677812701</v>
      </c>
      <c r="D425" s="116">
        <v>134.67588362685399</v>
      </c>
      <c r="E425" s="116">
        <v>135.762377737522</v>
      </c>
      <c r="F425" s="116">
        <v>136.94999999999999</v>
      </c>
      <c r="G425">
        <v>151600</v>
      </c>
      <c r="H425" s="116"/>
      <c r="I425" s="116"/>
      <c r="L425" s="170">
        <v>42628</v>
      </c>
      <c r="M425" s="116">
        <v>135.31804148051299</v>
      </c>
      <c r="N425" s="116">
        <v>136.79962587628501</v>
      </c>
      <c r="O425" s="116">
        <v>134.626635429153</v>
      </c>
      <c r="P425" s="116">
        <v>135.66374450619301</v>
      </c>
      <c r="Q425" s="116">
        <v>137</v>
      </c>
      <c r="R425">
        <v>1451283</v>
      </c>
    </row>
    <row r="426" spans="1:18" x14ac:dyDescent="0.25">
      <c r="A426" s="170">
        <v>42629</v>
      </c>
      <c r="B426" s="116">
        <v>139.812037604556</v>
      </c>
      <c r="C426" s="116">
        <v>137.88597986291799</v>
      </c>
      <c r="D426" s="116">
        <v>136.40439698473401</v>
      </c>
      <c r="E426" s="116">
        <v>137.19457451976601</v>
      </c>
      <c r="F426" s="116">
        <v>139.6</v>
      </c>
      <c r="G426">
        <v>515643</v>
      </c>
      <c r="H426" s="116"/>
      <c r="I426" s="116"/>
      <c r="L426" s="170">
        <v>42629</v>
      </c>
      <c r="M426" s="116">
        <v>138.13305183247999</v>
      </c>
      <c r="N426" s="116">
        <v>139.96033925393201</v>
      </c>
      <c r="O426" s="116">
        <v>136.15760597145001</v>
      </c>
      <c r="P426" s="116">
        <v>136.651467436708</v>
      </c>
      <c r="Q426" s="116">
        <v>139.85</v>
      </c>
      <c r="R426">
        <v>3029995</v>
      </c>
    </row>
    <row r="427" spans="1:18" x14ac:dyDescent="0.25">
      <c r="A427" s="170">
        <v>42632</v>
      </c>
      <c r="B427" s="116">
        <v>139.565107124859</v>
      </c>
      <c r="C427" s="116">
        <v>137.98475205479701</v>
      </c>
      <c r="D427" s="116">
        <v>137.24396061570499</v>
      </c>
      <c r="E427" s="116">
        <v>138.429226918252</v>
      </c>
      <c r="F427" s="116">
        <v>139.69999999999999</v>
      </c>
      <c r="G427">
        <v>188451</v>
      </c>
      <c r="H427" s="116"/>
      <c r="I427" s="116"/>
      <c r="L427" s="170">
        <v>42632</v>
      </c>
      <c r="M427" s="116">
        <v>138.18243797900601</v>
      </c>
      <c r="N427" s="116">
        <v>139.56525008172599</v>
      </c>
      <c r="O427" s="116">
        <v>137.24410119501701</v>
      </c>
      <c r="P427" s="116">
        <v>138.13305183247999</v>
      </c>
      <c r="Q427" s="116">
        <v>139.9</v>
      </c>
      <c r="R427">
        <v>1362666</v>
      </c>
    </row>
    <row r="428" spans="1:18" x14ac:dyDescent="0.25">
      <c r="A428" s="170">
        <v>42633</v>
      </c>
      <c r="B428" s="116">
        <v>138.47861301419101</v>
      </c>
      <c r="C428" s="116">
        <v>136.45378308067399</v>
      </c>
      <c r="D428" s="116">
        <v>135.86114992940099</v>
      </c>
      <c r="E428" s="116">
        <v>138.23168253449401</v>
      </c>
      <c r="F428" s="116">
        <v>138.15</v>
      </c>
      <c r="G428">
        <v>241611</v>
      </c>
      <c r="H428" s="116"/>
      <c r="I428" s="116"/>
      <c r="L428" s="170">
        <v>42633</v>
      </c>
      <c r="M428" s="116">
        <v>136.30576441102801</v>
      </c>
      <c r="N428" s="116">
        <v>138.62691329773699</v>
      </c>
      <c r="O428" s="116">
        <v>135.81190294576999</v>
      </c>
      <c r="P428" s="116">
        <v>137.98489339290299</v>
      </c>
      <c r="Q428" s="116">
        <v>138</v>
      </c>
      <c r="R428">
        <v>1787917</v>
      </c>
    </row>
    <row r="429" spans="1:18" x14ac:dyDescent="0.25">
      <c r="A429" s="170">
        <v>42634</v>
      </c>
      <c r="B429" s="116">
        <v>138.62677130200899</v>
      </c>
      <c r="C429" s="116">
        <v>136.55255527255301</v>
      </c>
      <c r="D429" s="116">
        <v>135.86114992940099</v>
      </c>
      <c r="E429" s="116">
        <v>136.256238696916</v>
      </c>
      <c r="F429" s="116">
        <v>138.25</v>
      </c>
      <c r="G429">
        <v>161835</v>
      </c>
      <c r="H429" s="116"/>
      <c r="I429" s="116"/>
      <c r="L429" s="170">
        <v>42634</v>
      </c>
      <c r="M429" s="116">
        <v>136.355150557553</v>
      </c>
      <c r="N429" s="116">
        <v>138.62691329773699</v>
      </c>
      <c r="O429" s="116">
        <v>135.91067523882199</v>
      </c>
      <c r="P429" s="116">
        <v>136.30576441102801</v>
      </c>
      <c r="Q429" s="116">
        <v>138.05000000000001</v>
      </c>
      <c r="R429">
        <v>1635459</v>
      </c>
    </row>
    <row r="430" spans="1:18" x14ac:dyDescent="0.25">
      <c r="A430" s="170">
        <v>42635</v>
      </c>
      <c r="B430" s="116">
        <v>138.182296438554</v>
      </c>
      <c r="C430" s="116">
        <v>137.04641623194701</v>
      </c>
      <c r="D430" s="116">
        <v>136.10808040909799</v>
      </c>
      <c r="E430" s="116">
        <v>137.68843547916001</v>
      </c>
      <c r="F430" s="116">
        <v>138.75</v>
      </c>
      <c r="G430">
        <v>97717</v>
      </c>
      <c r="H430" s="116"/>
      <c r="I430" s="116"/>
      <c r="L430" s="170">
        <v>42635</v>
      </c>
      <c r="M430" s="116">
        <v>137.19471504849099</v>
      </c>
      <c r="N430" s="116">
        <v>138.23182412553101</v>
      </c>
      <c r="O430" s="116">
        <v>136.00944753187301</v>
      </c>
      <c r="P430" s="116">
        <v>137.44164578111901</v>
      </c>
      <c r="Q430" s="116">
        <v>138.9</v>
      </c>
      <c r="R430">
        <v>1204798</v>
      </c>
    </row>
    <row r="431" spans="1:18" x14ac:dyDescent="0.25">
      <c r="A431" s="170">
        <v>42636</v>
      </c>
      <c r="B431" s="116">
        <v>141.738095346194</v>
      </c>
      <c r="C431" s="116">
        <v>140.602215139587</v>
      </c>
      <c r="D431" s="116">
        <v>136.503169176613</v>
      </c>
      <c r="E431" s="116">
        <v>136.79948575225001</v>
      </c>
      <c r="F431" s="116">
        <v>142.35</v>
      </c>
      <c r="G431">
        <v>591479</v>
      </c>
      <c r="H431" s="116"/>
      <c r="I431" s="116"/>
      <c r="L431" s="170">
        <v>42636</v>
      </c>
      <c r="M431" s="116">
        <v>140.651745305292</v>
      </c>
      <c r="N431" s="116">
        <v>142.23210199411599</v>
      </c>
      <c r="O431" s="116">
        <v>136.40453670407899</v>
      </c>
      <c r="P431" s="116">
        <v>137.19471504849099</v>
      </c>
      <c r="Q431" s="116">
        <v>142.4</v>
      </c>
      <c r="R431">
        <v>3538509</v>
      </c>
    </row>
    <row r="432" spans="1:18" x14ac:dyDescent="0.25">
      <c r="A432" s="170">
        <v>42639</v>
      </c>
      <c r="B432" s="116">
        <v>142.42950068934601</v>
      </c>
      <c r="C432" s="116">
        <v>138.676157397949</v>
      </c>
      <c r="D432" s="116">
        <v>138.23168253449401</v>
      </c>
      <c r="E432" s="116">
        <v>141.14546219492101</v>
      </c>
      <c r="F432" s="116">
        <v>140.4</v>
      </c>
      <c r="G432">
        <v>443950</v>
      </c>
      <c r="H432" s="116"/>
      <c r="I432" s="116"/>
      <c r="L432" s="170">
        <v>42639</v>
      </c>
      <c r="M432" s="116">
        <v>138.92323017689199</v>
      </c>
      <c r="N432" s="116">
        <v>142.47903272674401</v>
      </c>
      <c r="O432" s="116">
        <v>138.281210272057</v>
      </c>
      <c r="P432" s="116">
        <v>141.68885438233301</v>
      </c>
      <c r="Q432" s="116">
        <v>140.65</v>
      </c>
      <c r="R432">
        <v>2769361</v>
      </c>
    </row>
    <row r="433" spans="1:18" x14ac:dyDescent="0.25">
      <c r="A433" s="170">
        <v>42640</v>
      </c>
      <c r="B433" s="116">
        <v>144.60248891068201</v>
      </c>
      <c r="C433" s="116">
        <v>142.92336164874101</v>
      </c>
      <c r="D433" s="116">
        <v>139.02186006952499</v>
      </c>
      <c r="E433" s="116">
        <v>139.66387931673799</v>
      </c>
      <c r="F433" s="116">
        <v>144.69999999999999</v>
      </c>
      <c r="G433">
        <v>355681</v>
      </c>
      <c r="H433" s="116"/>
      <c r="I433" s="116"/>
      <c r="L433" s="170">
        <v>42640</v>
      </c>
      <c r="M433" s="116">
        <v>142.77534960589901</v>
      </c>
      <c r="N433" s="116">
        <v>144.60263702735099</v>
      </c>
      <c r="O433" s="116">
        <v>138.82445788384001</v>
      </c>
      <c r="P433" s="116">
        <v>139.17016090952001</v>
      </c>
      <c r="Q433" s="116">
        <v>144.55000000000001</v>
      </c>
      <c r="R433">
        <v>3316650</v>
      </c>
    </row>
    <row r="434" spans="1:18" x14ac:dyDescent="0.25">
      <c r="A434" s="170">
        <v>42641</v>
      </c>
      <c r="B434" s="116">
        <v>147.071793707654</v>
      </c>
      <c r="C434" s="116">
        <v>144.948191582258</v>
      </c>
      <c r="D434" s="116">
        <v>143.86169747158999</v>
      </c>
      <c r="E434" s="116">
        <v>145.98529959698601</v>
      </c>
      <c r="F434" s="116">
        <v>146.75</v>
      </c>
      <c r="G434">
        <v>650166</v>
      </c>
      <c r="H434" s="116"/>
      <c r="I434" s="116"/>
      <c r="L434" s="170">
        <v>42641</v>
      </c>
      <c r="M434" s="116">
        <v>144.94834005303099</v>
      </c>
      <c r="N434" s="116">
        <v>147.31887508626599</v>
      </c>
      <c r="O434" s="116">
        <v>143.812458682939</v>
      </c>
      <c r="P434" s="116">
        <v>146.281766009226</v>
      </c>
      <c r="Q434" s="116">
        <v>146.75</v>
      </c>
      <c r="R434">
        <v>6464628</v>
      </c>
    </row>
    <row r="435" spans="1:18" x14ac:dyDescent="0.25">
      <c r="A435" s="170">
        <v>42642</v>
      </c>
      <c r="B435" s="116">
        <v>146.23223007668301</v>
      </c>
      <c r="C435" s="116">
        <v>135.46606116188499</v>
      </c>
      <c r="D435" s="116">
        <v>130.47806547200199</v>
      </c>
      <c r="E435" s="116">
        <v>145.442052541652</v>
      </c>
      <c r="F435" s="116">
        <v>137.15</v>
      </c>
      <c r="G435">
        <v>553532</v>
      </c>
      <c r="H435" s="116"/>
      <c r="I435" s="116"/>
      <c r="L435" s="170">
        <v>42642</v>
      </c>
      <c r="M435" s="116">
        <v>135.31804148051299</v>
      </c>
      <c r="N435" s="116">
        <v>146.18299371617499</v>
      </c>
      <c r="O435" s="116">
        <v>132.70057571464901</v>
      </c>
      <c r="P435" s="116">
        <v>146.08422142312301</v>
      </c>
      <c r="Q435" s="116">
        <v>137</v>
      </c>
      <c r="R435">
        <v>4753568</v>
      </c>
    </row>
    <row r="436" spans="1:18" x14ac:dyDescent="0.25">
      <c r="A436" s="170">
        <v>42643</v>
      </c>
      <c r="B436" s="116">
        <v>138.57738520607001</v>
      </c>
      <c r="C436" s="116">
        <v>137.787207671039</v>
      </c>
      <c r="D436" s="116">
        <v>134.330180955278</v>
      </c>
      <c r="E436" s="116">
        <v>134.330180955278</v>
      </c>
      <c r="F436" s="116">
        <v>139.5</v>
      </c>
      <c r="G436">
        <v>293084</v>
      </c>
      <c r="H436" s="116"/>
      <c r="I436" s="116"/>
      <c r="L436" s="170">
        <v>42643</v>
      </c>
      <c r="M436" s="116">
        <v>137.88612109985101</v>
      </c>
      <c r="N436" s="116">
        <v>139.17016090952001</v>
      </c>
      <c r="O436" s="116">
        <v>134.52786313610099</v>
      </c>
      <c r="P436" s="116">
        <v>135.268655333987</v>
      </c>
      <c r="Q436" s="116">
        <v>139.6</v>
      </c>
      <c r="R436">
        <v>1471713</v>
      </c>
    </row>
    <row r="437" spans="1:18" x14ac:dyDescent="0.25">
      <c r="A437" s="170">
        <v>42646</v>
      </c>
      <c r="B437" s="116">
        <v>141.2442343868</v>
      </c>
      <c r="C437" s="116">
        <v>140.65160123552599</v>
      </c>
      <c r="D437" s="116">
        <v>138.182296438554</v>
      </c>
      <c r="E437" s="116">
        <v>139.26879054922199</v>
      </c>
      <c r="F437" s="116">
        <v>142.4</v>
      </c>
      <c r="G437">
        <v>191249</v>
      </c>
      <c r="H437" s="116"/>
      <c r="I437" s="116"/>
      <c r="L437" s="170">
        <v>42646</v>
      </c>
      <c r="M437" s="116">
        <v>140.60235915876601</v>
      </c>
      <c r="N437" s="116">
        <v>141.392537503178</v>
      </c>
      <c r="O437" s="116">
        <v>138.083665685954</v>
      </c>
      <c r="P437" s="116">
        <v>139.219547056046</v>
      </c>
      <c r="Q437" s="116">
        <v>142.35</v>
      </c>
      <c r="R437">
        <v>1927658</v>
      </c>
    </row>
    <row r="438" spans="1:18" x14ac:dyDescent="0.25">
      <c r="A438" s="170">
        <v>42647</v>
      </c>
      <c r="B438" s="116">
        <v>141.343006578679</v>
      </c>
      <c r="C438" s="116">
        <v>140.207126372071</v>
      </c>
      <c r="D438" s="116">
        <v>137.44150499946301</v>
      </c>
      <c r="E438" s="116">
        <v>141.19484829085999</v>
      </c>
      <c r="F438" s="116">
        <v>141.94999999999999</v>
      </c>
      <c r="G438">
        <v>634157</v>
      </c>
      <c r="H438" s="116"/>
      <c r="I438" s="116"/>
      <c r="L438" s="170">
        <v>42647</v>
      </c>
      <c r="M438" s="116">
        <v>140.05911154698299</v>
      </c>
      <c r="N438" s="116">
        <v>141.49130979623001</v>
      </c>
      <c r="O438" s="116">
        <v>137.04655660891399</v>
      </c>
      <c r="P438" s="116">
        <v>140.750517598344</v>
      </c>
      <c r="Q438" s="116">
        <v>141.80000000000001</v>
      </c>
      <c r="R438">
        <v>2678079</v>
      </c>
    </row>
    <row r="439" spans="1:18" x14ac:dyDescent="0.25">
      <c r="A439" s="170">
        <v>42648</v>
      </c>
      <c r="B439" s="116">
        <v>152.405492069113</v>
      </c>
      <c r="C439" s="116">
        <v>151.46715624626401</v>
      </c>
      <c r="D439" s="116">
        <v>138.97247397358501</v>
      </c>
      <c r="E439" s="116">
        <v>140.65160123552599</v>
      </c>
      <c r="F439" s="116">
        <v>153.35</v>
      </c>
      <c r="G439">
        <v>1887644</v>
      </c>
      <c r="H439" s="116"/>
      <c r="I439" s="116"/>
      <c r="L439" s="170">
        <v>42648</v>
      </c>
      <c r="M439" s="116">
        <v>151.41792524790199</v>
      </c>
      <c r="N439" s="116">
        <v>152.50442047146899</v>
      </c>
      <c r="O439" s="116">
        <v>138.725685590789</v>
      </c>
      <c r="P439" s="116">
        <v>140.20726998656099</v>
      </c>
      <c r="Q439" s="116">
        <v>153.30000000000001</v>
      </c>
      <c r="R439">
        <v>9741635</v>
      </c>
    </row>
    <row r="440" spans="1:18" x14ac:dyDescent="0.25">
      <c r="A440" s="170">
        <v>42649</v>
      </c>
      <c r="B440" s="116">
        <v>153.59075837166</v>
      </c>
      <c r="C440" s="116">
        <v>148.94846535335199</v>
      </c>
      <c r="D440" s="116">
        <v>146.973021515775</v>
      </c>
      <c r="E440" s="116">
        <v>152.10917549347701</v>
      </c>
      <c r="F440" s="116">
        <v>150.80000000000001</v>
      </c>
      <c r="G440">
        <v>1249354</v>
      </c>
      <c r="H440" s="116"/>
      <c r="I440" s="116"/>
      <c r="L440" s="170">
        <v>42649</v>
      </c>
      <c r="M440" s="116">
        <v>149.04739021466699</v>
      </c>
      <c r="N440" s="116">
        <v>153.541529548509</v>
      </c>
      <c r="O440" s="116">
        <v>146.775627474483</v>
      </c>
      <c r="P440" s="116">
        <v>152.05994515273699</v>
      </c>
      <c r="Q440" s="116">
        <v>150.9</v>
      </c>
      <c r="R440">
        <v>6256632</v>
      </c>
    </row>
    <row r="441" spans="1:18" x14ac:dyDescent="0.25">
      <c r="A441" s="170">
        <v>42650</v>
      </c>
      <c r="B441" s="116">
        <v>152.553650356932</v>
      </c>
      <c r="C441" s="116">
        <v>149.244781928989</v>
      </c>
      <c r="D441" s="116">
        <v>148.849693161473</v>
      </c>
      <c r="E441" s="116">
        <v>150.03495946402001</v>
      </c>
      <c r="F441" s="116">
        <v>151.1</v>
      </c>
      <c r="G441">
        <v>538185</v>
      </c>
      <c r="H441" s="116"/>
      <c r="I441" s="116"/>
      <c r="L441" s="170">
        <v>42650</v>
      </c>
      <c r="M441" s="116">
        <v>149.39309324034701</v>
      </c>
      <c r="N441" s="116">
        <v>152.60319276452</v>
      </c>
      <c r="O441" s="116">
        <v>148.75107333551301</v>
      </c>
      <c r="P441" s="116">
        <v>150.43020231738799</v>
      </c>
      <c r="Q441" s="116">
        <v>151.25</v>
      </c>
      <c r="R441">
        <v>4097231</v>
      </c>
    </row>
    <row r="442" spans="1:18" x14ac:dyDescent="0.25">
      <c r="A442" s="170">
        <v>42653</v>
      </c>
      <c r="B442" s="116">
        <v>152.10917549347701</v>
      </c>
      <c r="C442" s="116">
        <v>149.738642888383</v>
      </c>
      <c r="D442" s="116">
        <v>149.29416802492801</v>
      </c>
      <c r="E442" s="116">
        <v>149.639870696505</v>
      </c>
      <c r="F442" s="116">
        <v>151.6</v>
      </c>
      <c r="G442">
        <v>277069</v>
      </c>
      <c r="H442" s="116"/>
      <c r="I442" s="116"/>
      <c r="L442" s="170">
        <v>42653</v>
      </c>
      <c r="M442" s="116">
        <v>149.788182412553</v>
      </c>
      <c r="N442" s="116">
        <v>152.05994515273699</v>
      </c>
      <c r="O442" s="116">
        <v>149.24493480077001</v>
      </c>
      <c r="P442" s="116">
        <v>150.03511314518201</v>
      </c>
      <c r="Q442" s="116">
        <v>151.65</v>
      </c>
      <c r="R442">
        <v>2063455</v>
      </c>
    </row>
    <row r="443" spans="1:18" x14ac:dyDescent="0.25">
      <c r="A443" s="170">
        <v>42656</v>
      </c>
      <c r="B443" s="116">
        <v>150.92390919093</v>
      </c>
      <c r="C443" s="116">
        <v>146.034685692925</v>
      </c>
      <c r="D443" s="116">
        <v>143.36783651219599</v>
      </c>
      <c r="E443" s="116">
        <v>149.83741508026199</v>
      </c>
      <c r="F443" s="116">
        <v>147.85</v>
      </c>
      <c r="G443">
        <v>357558</v>
      </c>
      <c r="H443" s="116"/>
      <c r="I443" s="116"/>
      <c r="L443" s="170">
        <v>42656</v>
      </c>
      <c r="M443" s="116">
        <v>146.03483527659699</v>
      </c>
      <c r="N443" s="116">
        <v>151.12160836874801</v>
      </c>
      <c r="O443" s="116">
        <v>143.318597217682</v>
      </c>
      <c r="P443" s="116">
        <v>149.59063782645001</v>
      </c>
      <c r="Q443" s="116">
        <v>147.85</v>
      </c>
      <c r="R443">
        <v>3116651</v>
      </c>
    </row>
    <row r="444" spans="1:18" x14ac:dyDescent="0.25">
      <c r="A444" s="170">
        <v>42657</v>
      </c>
      <c r="B444" s="116">
        <v>151.81285891784</v>
      </c>
      <c r="C444" s="116">
        <v>150.97329528686899</v>
      </c>
      <c r="D444" s="116">
        <v>144.20740014316601</v>
      </c>
      <c r="E444" s="116">
        <v>146.47916055638001</v>
      </c>
      <c r="F444" s="116">
        <v>152.85</v>
      </c>
      <c r="G444">
        <v>372561</v>
      </c>
      <c r="H444" s="116"/>
      <c r="I444" s="116"/>
      <c r="L444" s="170">
        <v>42657</v>
      </c>
      <c r="M444" s="116">
        <v>151.31915295485101</v>
      </c>
      <c r="N444" s="116">
        <v>152.306875885366</v>
      </c>
      <c r="O444" s="116">
        <v>145.59035995786601</v>
      </c>
      <c r="P444" s="116">
        <v>147.17071664668899</v>
      </c>
      <c r="Q444" s="116">
        <v>153.19999999999999</v>
      </c>
      <c r="R444">
        <v>3968866</v>
      </c>
    </row>
    <row r="445" spans="1:18" x14ac:dyDescent="0.25">
      <c r="A445" s="170">
        <v>42660</v>
      </c>
      <c r="B445" s="116">
        <v>152.306719877234</v>
      </c>
      <c r="C445" s="116">
        <v>148.355832202079</v>
      </c>
      <c r="D445" s="116">
        <v>147.66442685892699</v>
      </c>
      <c r="E445" s="116">
        <v>152.10917549347701</v>
      </c>
      <c r="F445" s="116">
        <v>150.19999999999999</v>
      </c>
      <c r="G445">
        <v>352255</v>
      </c>
      <c r="H445" s="116"/>
      <c r="I445" s="116"/>
      <c r="L445" s="170">
        <v>42660</v>
      </c>
      <c r="M445" s="116">
        <v>148.40537030983299</v>
      </c>
      <c r="N445" s="116">
        <v>152.35626203189099</v>
      </c>
      <c r="O445" s="116">
        <v>147.36826123279201</v>
      </c>
      <c r="P445" s="116">
        <v>151.12160836874801</v>
      </c>
      <c r="Q445" s="116">
        <v>150.25</v>
      </c>
      <c r="R445">
        <v>3180180</v>
      </c>
    </row>
    <row r="446" spans="1:18" x14ac:dyDescent="0.25">
      <c r="A446" s="170">
        <v>42661</v>
      </c>
      <c r="B446" s="116">
        <v>150.67697871123301</v>
      </c>
      <c r="C446" s="116">
        <v>150.03495946402001</v>
      </c>
      <c r="D446" s="116">
        <v>148.997851449292</v>
      </c>
      <c r="E446" s="116">
        <v>149.09662364117099</v>
      </c>
      <c r="F446" s="116">
        <v>151.9</v>
      </c>
      <c r="G446">
        <v>254565</v>
      </c>
      <c r="H446" s="116"/>
      <c r="I446" s="116"/>
      <c r="L446" s="170">
        <v>42661</v>
      </c>
      <c r="M446" s="116">
        <v>150.03511314518201</v>
      </c>
      <c r="N446" s="116">
        <v>150.82529148959401</v>
      </c>
      <c r="O446" s="116">
        <v>148.89923177508999</v>
      </c>
      <c r="P446" s="116">
        <v>149.09677636119301</v>
      </c>
      <c r="Q446" s="116">
        <v>151.9</v>
      </c>
      <c r="R446">
        <v>2736835</v>
      </c>
    </row>
    <row r="447" spans="1:18" x14ac:dyDescent="0.25">
      <c r="A447" s="170">
        <v>42662</v>
      </c>
      <c r="B447" s="116">
        <v>155.71436049705599</v>
      </c>
      <c r="C447" s="116">
        <v>152.65242254880999</v>
      </c>
      <c r="D447" s="116">
        <v>149.68925679244401</v>
      </c>
      <c r="E447" s="116">
        <v>150.133731655899</v>
      </c>
      <c r="F447" s="116">
        <v>154.55000000000001</v>
      </c>
      <c r="G447">
        <v>750233</v>
      </c>
      <c r="H447" s="116"/>
      <c r="I447" s="116"/>
      <c r="L447" s="170">
        <v>42662</v>
      </c>
      <c r="M447" s="116">
        <v>152.70196505757099</v>
      </c>
      <c r="N447" s="116">
        <v>155.763906142167</v>
      </c>
      <c r="O447" s="116">
        <v>148.998004068141</v>
      </c>
      <c r="P447" s="116">
        <v>150.13388543823299</v>
      </c>
      <c r="Q447" s="116">
        <v>154.6</v>
      </c>
      <c r="R447">
        <v>6685790</v>
      </c>
    </row>
    <row r="448" spans="1:18" x14ac:dyDescent="0.25">
      <c r="A448" s="170">
        <v>42663</v>
      </c>
      <c r="B448" s="116">
        <v>154.82541077014599</v>
      </c>
      <c r="C448" s="116">
        <v>150.528820423414</v>
      </c>
      <c r="D448" s="116">
        <v>150.23250384777799</v>
      </c>
      <c r="E448" s="116">
        <v>153.78830275541799</v>
      </c>
      <c r="F448" s="116">
        <v>152.4</v>
      </c>
      <c r="G448">
        <v>281000</v>
      </c>
      <c r="H448" s="116"/>
      <c r="I448" s="116"/>
      <c r="L448" s="170">
        <v>42663</v>
      </c>
      <c r="M448" s="116">
        <v>150.47958846391299</v>
      </c>
      <c r="N448" s="116">
        <v>154.72679706512699</v>
      </c>
      <c r="O448" s="116">
        <v>150.084499291708</v>
      </c>
      <c r="P448" s="116">
        <v>154.035391013766</v>
      </c>
      <c r="Q448" s="116">
        <v>152.35</v>
      </c>
      <c r="R448">
        <v>2780284</v>
      </c>
    </row>
    <row r="449" spans="1:18" x14ac:dyDescent="0.25">
      <c r="A449" s="170">
        <v>42664</v>
      </c>
      <c r="B449" s="116">
        <v>152.25733378129499</v>
      </c>
      <c r="C449" s="116">
        <v>150.775750903112</v>
      </c>
      <c r="D449" s="116">
        <v>149.39294021680701</v>
      </c>
      <c r="E449" s="116">
        <v>151.022681382809</v>
      </c>
      <c r="F449" s="116">
        <v>152.65</v>
      </c>
      <c r="G449">
        <v>169776</v>
      </c>
      <c r="H449" s="116"/>
      <c r="I449" s="116"/>
      <c r="L449" s="170">
        <v>42664</v>
      </c>
      <c r="M449" s="116">
        <v>150.62774690349099</v>
      </c>
      <c r="N449" s="116">
        <v>152.306875885366</v>
      </c>
      <c r="O449" s="116">
        <v>149.294320947296</v>
      </c>
      <c r="P449" s="116">
        <v>150.578360756965</v>
      </c>
      <c r="Q449" s="116">
        <v>152.5</v>
      </c>
      <c r="R449">
        <v>1751366</v>
      </c>
    </row>
    <row r="450" spans="1:18" x14ac:dyDescent="0.25">
      <c r="A450" s="170">
        <v>42667</v>
      </c>
      <c r="B450" s="116">
        <v>154.13400542699401</v>
      </c>
      <c r="C450" s="116">
        <v>151.96101720565801</v>
      </c>
      <c r="D450" s="116">
        <v>150.23250384777799</v>
      </c>
      <c r="E450" s="116">
        <v>151.61531453408199</v>
      </c>
      <c r="F450" s="116">
        <v>153.85</v>
      </c>
      <c r="G450">
        <v>407325</v>
      </c>
      <c r="H450" s="116"/>
      <c r="I450" s="116"/>
      <c r="L450" s="170">
        <v>42667</v>
      </c>
      <c r="M450" s="116">
        <v>152.158717445788</v>
      </c>
      <c r="N450" s="116">
        <v>154.08477716029199</v>
      </c>
      <c r="O450" s="116">
        <v>150.13388543823299</v>
      </c>
      <c r="P450" s="116">
        <v>151.02283607569601</v>
      </c>
      <c r="Q450" s="116">
        <v>154.05000000000001</v>
      </c>
      <c r="R450">
        <v>2715234</v>
      </c>
    </row>
    <row r="451" spans="1:18" x14ac:dyDescent="0.25">
      <c r="A451" s="170">
        <v>42668</v>
      </c>
      <c r="B451" s="116">
        <v>149.78802898432301</v>
      </c>
      <c r="C451" s="116">
        <v>148.20767391426099</v>
      </c>
      <c r="D451" s="116">
        <v>146.67670494013799</v>
      </c>
      <c r="E451" s="116">
        <v>147.96074343456399</v>
      </c>
      <c r="F451" s="116">
        <v>150.05000000000001</v>
      </c>
      <c r="G451">
        <v>381404</v>
      </c>
      <c r="H451" s="116"/>
      <c r="I451" s="116"/>
      <c r="L451" s="170">
        <v>42668</v>
      </c>
      <c r="M451" s="116">
        <v>148.15843957720401</v>
      </c>
      <c r="N451" s="116">
        <v>149.88695470560501</v>
      </c>
      <c r="O451" s="116">
        <v>146.57808288838001</v>
      </c>
      <c r="P451" s="116">
        <v>147.22010279321501</v>
      </c>
      <c r="Q451" s="116">
        <v>150</v>
      </c>
      <c r="R451">
        <v>3234883</v>
      </c>
    </row>
    <row r="452" spans="1:18" x14ac:dyDescent="0.25">
      <c r="A452" s="170">
        <v>42669</v>
      </c>
      <c r="B452" s="116">
        <v>149.29416802492801</v>
      </c>
      <c r="C452" s="116">
        <v>143.61476699189299</v>
      </c>
      <c r="D452" s="116">
        <v>142.380114593407</v>
      </c>
      <c r="E452" s="116">
        <v>147.17056589953299</v>
      </c>
      <c r="F452" s="116">
        <v>145.4</v>
      </c>
      <c r="G452">
        <v>528511</v>
      </c>
      <c r="H452" s="116"/>
      <c r="I452" s="116"/>
      <c r="L452" s="170">
        <v>42669</v>
      </c>
      <c r="M452" s="116">
        <v>143.614914096836</v>
      </c>
      <c r="N452" s="116">
        <v>149.34370709382199</v>
      </c>
      <c r="O452" s="116">
        <v>142.28148814064099</v>
      </c>
      <c r="P452" s="116">
        <v>146.18299371617499</v>
      </c>
      <c r="Q452" s="116">
        <v>145.4</v>
      </c>
      <c r="R452">
        <v>3586046</v>
      </c>
    </row>
    <row r="453" spans="1:18" x14ac:dyDescent="0.25">
      <c r="A453" s="170">
        <v>42670</v>
      </c>
      <c r="B453" s="116">
        <v>139.46633493298</v>
      </c>
      <c r="C453" s="116">
        <v>136.256238696916</v>
      </c>
      <c r="D453" s="116">
        <v>133.935092187762</v>
      </c>
      <c r="E453" s="116">
        <v>138.23168253449401</v>
      </c>
      <c r="F453" s="116">
        <v>137.94999999999999</v>
      </c>
      <c r="G453">
        <v>836906</v>
      </c>
      <c r="H453" s="116"/>
      <c r="I453" s="116"/>
      <c r="L453" s="170">
        <v>42670</v>
      </c>
      <c r="M453" s="116">
        <v>136.058833678399</v>
      </c>
      <c r="N453" s="116">
        <v>139.46647778867501</v>
      </c>
      <c r="O453" s="116">
        <v>133.984615524318</v>
      </c>
      <c r="P453" s="116">
        <v>137.7873488068</v>
      </c>
      <c r="Q453" s="116">
        <v>137.75</v>
      </c>
      <c r="R453">
        <v>8524741</v>
      </c>
    </row>
    <row r="454" spans="1:18" x14ac:dyDescent="0.25">
      <c r="A454" s="170">
        <v>42671</v>
      </c>
      <c r="B454" s="116">
        <v>139.565107124859</v>
      </c>
      <c r="C454" s="116">
        <v>137.88597986291799</v>
      </c>
      <c r="D454" s="116">
        <v>136.40439698473401</v>
      </c>
      <c r="E454" s="116">
        <v>137.29334671164401</v>
      </c>
      <c r="F454" s="116">
        <v>139.6</v>
      </c>
      <c r="G454">
        <v>314230</v>
      </c>
      <c r="H454" s="116"/>
      <c r="I454" s="116"/>
      <c r="L454" s="170">
        <v>42671</v>
      </c>
      <c r="M454" s="116">
        <v>138.23182412553101</v>
      </c>
      <c r="N454" s="116">
        <v>139.56525008172599</v>
      </c>
      <c r="O454" s="116">
        <v>136.30576441102801</v>
      </c>
      <c r="P454" s="116">
        <v>136.30576441102801</v>
      </c>
      <c r="Q454" s="116">
        <v>139.94999999999999</v>
      </c>
      <c r="R454">
        <v>2281364</v>
      </c>
    </row>
    <row r="455" spans="1:18" x14ac:dyDescent="0.25">
      <c r="A455" s="170">
        <v>42673</v>
      </c>
      <c r="B455" s="116">
        <v>139.960195892374</v>
      </c>
      <c r="C455" s="116">
        <v>137.58966328728101</v>
      </c>
      <c r="D455" s="116">
        <v>137.29334671164401</v>
      </c>
      <c r="E455" s="116">
        <v>139.960195892374</v>
      </c>
      <c r="F455" s="116">
        <v>139.30000000000001</v>
      </c>
      <c r="G455">
        <v>98233</v>
      </c>
      <c r="H455" s="116"/>
      <c r="I455" s="116"/>
      <c r="L455" s="170">
        <v>42673</v>
      </c>
      <c r="M455" s="116">
        <v>137.68857651374799</v>
      </c>
      <c r="N455" s="116">
        <v>139.26893320257199</v>
      </c>
      <c r="O455" s="116">
        <v>137.293487341542</v>
      </c>
      <c r="P455" s="116">
        <v>138.92323017689199</v>
      </c>
      <c r="Q455" s="116">
        <v>139.4</v>
      </c>
      <c r="R455">
        <v>428310</v>
      </c>
    </row>
    <row r="456" spans="1:18" x14ac:dyDescent="0.25">
      <c r="A456" s="170">
        <v>42675</v>
      </c>
      <c r="B456" s="116">
        <v>139.071246165464</v>
      </c>
      <c r="C456" s="116">
        <v>136.99703013600799</v>
      </c>
      <c r="D456" s="116">
        <v>136.651327464432</v>
      </c>
      <c r="E456" s="116">
        <v>137.98475205479701</v>
      </c>
      <c r="F456" s="116">
        <v>138.69999999999999</v>
      </c>
      <c r="G456">
        <v>219746</v>
      </c>
      <c r="H456" s="116"/>
      <c r="I456" s="116"/>
      <c r="L456" s="170">
        <v>42675</v>
      </c>
      <c r="M456" s="116">
        <v>136.89839816933599</v>
      </c>
      <c r="N456" s="116">
        <v>139.022002469943</v>
      </c>
      <c r="O456" s="116">
        <v>136.60208129018201</v>
      </c>
      <c r="P456" s="116">
        <v>137.68857651374799</v>
      </c>
      <c r="Q456" s="116">
        <v>138.6</v>
      </c>
      <c r="R456">
        <v>1497745</v>
      </c>
    </row>
    <row r="457" spans="1:18" x14ac:dyDescent="0.25">
      <c r="A457" s="170">
        <v>42676</v>
      </c>
      <c r="B457" s="116">
        <v>136.256238696916</v>
      </c>
      <c r="C457" s="116">
        <v>133.29307294054999</v>
      </c>
      <c r="D457" s="116">
        <v>132.947370268974</v>
      </c>
      <c r="E457" s="116">
        <v>136.256238696916</v>
      </c>
      <c r="F457" s="116">
        <v>134.94999999999999</v>
      </c>
      <c r="G457">
        <v>503204</v>
      </c>
      <c r="H457" s="116"/>
      <c r="I457" s="116"/>
      <c r="L457" s="170">
        <v>42676</v>
      </c>
      <c r="M457" s="116">
        <v>133.29320947295801</v>
      </c>
      <c r="N457" s="116">
        <v>136.30576441102801</v>
      </c>
      <c r="O457" s="116">
        <v>132.84873415422601</v>
      </c>
      <c r="P457" s="116">
        <v>136.30576441102801</v>
      </c>
      <c r="Q457" s="116">
        <v>134.94999999999999</v>
      </c>
      <c r="R457">
        <v>2026448</v>
      </c>
    </row>
    <row r="458" spans="1:18" x14ac:dyDescent="0.25">
      <c r="A458" s="170">
        <v>42677</v>
      </c>
      <c r="B458" s="116">
        <v>134.577111434975</v>
      </c>
      <c r="C458" s="116">
        <v>129.78666012884901</v>
      </c>
      <c r="D458" s="116">
        <v>128.94709649787899</v>
      </c>
      <c r="E458" s="116">
        <v>133.04614246085299</v>
      </c>
      <c r="F458" s="116">
        <v>131.4</v>
      </c>
      <c r="G458">
        <v>497460</v>
      </c>
      <c r="H458" s="116"/>
      <c r="I458" s="116"/>
      <c r="L458" s="170">
        <v>42677</v>
      </c>
      <c r="M458" s="116">
        <v>129.737406923105</v>
      </c>
      <c r="N458" s="116">
        <v>134.57724928262701</v>
      </c>
      <c r="O458" s="116">
        <v>129.19415931132201</v>
      </c>
      <c r="P458" s="116">
        <v>132.45364498201999</v>
      </c>
      <c r="Q458" s="116">
        <v>131.35</v>
      </c>
      <c r="R458">
        <v>2063211</v>
      </c>
    </row>
    <row r="459" spans="1:18" x14ac:dyDescent="0.25">
      <c r="A459" s="170">
        <v>42678</v>
      </c>
      <c r="B459" s="116">
        <v>130.37929328012299</v>
      </c>
      <c r="C459" s="116">
        <v>124.848050534905</v>
      </c>
      <c r="D459" s="116">
        <v>124.107259095814</v>
      </c>
      <c r="E459" s="116">
        <v>130.37929328012299</v>
      </c>
      <c r="F459" s="116">
        <v>126.4</v>
      </c>
      <c r="G459">
        <v>2639147</v>
      </c>
      <c r="H459" s="116"/>
      <c r="I459" s="116"/>
      <c r="L459" s="170">
        <v>42678</v>
      </c>
      <c r="M459" s="116">
        <v>125.292653735789</v>
      </c>
      <c r="N459" s="116">
        <v>130.379426827939</v>
      </c>
      <c r="O459" s="116">
        <v>124.453089244851</v>
      </c>
      <c r="P459" s="116">
        <v>129.391703897425</v>
      </c>
      <c r="Q459" s="116">
        <v>126.85</v>
      </c>
      <c r="R459">
        <v>4614456</v>
      </c>
    </row>
    <row r="460" spans="1:18" x14ac:dyDescent="0.25">
      <c r="A460" s="170">
        <v>42681</v>
      </c>
      <c r="B460" s="116">
        <v>128.749552114121</v>
      </c>
      <c r="C460" s="116">
        <v>126.47779170090701</v>
      </c>
      <c r="D460" s="116">
        <v>125.440683686179</v>
      </c>
      <c r="E460" s="116">
        <v>125.440683686179</v>
      </c>
      <c r="F460" s="116">
        <v>128.05000000000001</v>
      </c>
      <c r="G460">
        <v>153048</v>
      </c>
      <c r="H460" s="116"/>
      <c r="I460" s="116"/>
      <c r="L460" s="170">
        <v>42681</v>
      </c>
      <c r="M460" s="116">
        <v>126.428535105881</v>
      </c>
      <c r="N460" s="116">
        <v>128.799070139116</v>
      </c>
      <c r="O460" s="116">
        <v>125.687742907995</v>
      </c>
      <c r="P460" s="116">
        <v>126.132218226726</v>
      </c>
      <c r="Q460" s="116">
        <v>128</v>
      </c>
      <c r="R460">
        <v>1948286</v>
      </c>
    </row>
    <row r="461" spans="1:18" x14ac:dyDescent="0.25">
      <c r="A461" s="170">
        <v>42682</v>
      </c>
      <c r="B461" s="116">
        <v>129.44095745727299</v>
      </c>
      <c r="C461" s="116">
        <v>126.23086122121001</v>
      </c>
      <c r="D461" s="116">
        <v>125.243139302421</v>
      </c>
      <c r="E461" s="116">
        <v>127.860602387211</v>
      </c>
      <c r="F461" s="116">
        <v>127.8</v>
      </c>
      <c r="G461">
        <v>223278</v>
      </c>
      <c r="H461" s="116"/>
      <c r="I461" s="116"/>
      <c r="L461" s="170">
        <v>42682</v>
      </c>
      <c r="M461" s="116">
        <v>125.88528749409799</v>
      </c>
      <c r="N461" s="116">
        <v>129.391703897425</v>
      </c>
      <c r="O461" s="116">
        <v>124.996336856634</v>
      </c>
      <c r="P461" s="116">
        <v>128.40398096691001</v>
      </c>
      <c r="Q461" s="116">
        <v>127.45</v>
      </c>
      <c r="R461">
        <v>2758553</v>
      </c>
    </row>
    <row r="462" spans="1:18" x14ac:dyDescent="0.25">
      <c r="A462" s="170">
        <v>42683</v>
      </c>
      <c r="B462" s="116">
        <v>121.391023819145</v>
      </c>
      <c r="C462" s="116">
        <v>120.403301900356</v>
      </c>
      <c r="D462" s="116">
        <v>113.88433723635001</v>
      </c>
      <c r="E462" s="116">
        <v>119.11926340593</v>
      </c>
      <c r="F462" s="116">
        <v>121.9</v>
      </c>
      <c r="G462">
        <v>716714</v>
      </c>
      <c r="H462" s="116"/>
      <c r="I462" s="116"/>
      <c r="L462" s="170">
        <v>42683</v>
      </c>
      <c r="M462" s="116">
        <v>120.403425229741</v>
      </c>
      <c r="N462" s="116">
        <v>121.39114816025599</v>
      </c>
      <c r="O462" s="116">
        <v>113.538750862664</v>
      </c>
      <c r="P462" s="116">
        <v>116.551305800734</v>
      </c>
      <c r="Q462" s="116">
        <v>121.9</v>
      </c>
      <c r="R462">
        <v>5272740</v>
      </c>
    </row>
    <row r="463" spans="1:18" x14ac:dyDescent="0.25">
      <c r="A463" s="170">
        <v>42684</v>
      </c>
      <c r="B463" s="116">
        <v>125.58884197399701</v>
      </c>
      <c r="C463" s="116">
        <v>123.81094252017699</v>
      </c>
      <c r="D463" s="116">
        <v>122.378745737933</v>
      </c>
      <c r="E463" s="116">
        <v>123.465239848601</v>
      </c>
      <c r="F463" s="116">
        <v>125.35</v>
      </c>
      <c r="G463">
        <v>293503</v>
      </c>
      <c r="H463" s="116"/>
      <c r="I463" s="116"/>
      <c r="L463" s="170">
        <v>42684</v>
      </c>
      <c r="M463" s="116">
        <v>123.86045548654199</v>
      </c>
      <c r="N463" s="116">
        <v>125.539584468417</v>
      </c>
      <c r="O463" s="116">
        <v>122.131940358142</v>
      </c>
      <c r="P463" s="116">
        <v>122.477643383822</v>
      </c>
      <c r="Q463" s="116">
        <v>125.4</v>
      </c>
      <c r="R463">
        <v>2170482</v>
      </c>
    </row>
    <row r="464" spans="1:18" x14ac:dyDescent="0.25">
      <c r="A464" s="170">
        <v>42685</v>
      </c>
      <c r="B464" s="116">
        <v>123.712170328298</v>
      </c>
      <c r="C464" s="116">
        <v>116.847502992716</v>
      </c>
      <c r="D464" s="116">
        <v>115.909167169867</v>
      </c>
      <c r="E464" s="116">
        <v>123.465239848601</v>
      </c>
      <c r="F464" s="116">
        <v>118.3</v>
      </c>
      <c r="G464">
        <v>418167</v>
      </c>
      <c r="H464" s="116"/>
      <c r="I464" s="116"/>
      <c r="L464" s="170">
        <v>42685</v>
      </c>
      <c r="M464" s="116">
        <v>117.193325705568</v>
      </c>
      <c r="N464" s="116">
        <v>123.811069340017</v>
      </c>
      <c r="O464" s="116">
        <v>115.810513602848</v>
      </c>
      <c r="P464" s="116">
        <v>121.48992045330699</v>
      </c>
      <c r="Q464" s="116">
        <v>118.65</v>
      </c>
      <c r="R464">
        <v>3058329</v>
      </c>
    </row>
    <row r="465" spans="1:18" x14ac:dyDescent="0.25">
      <c r="A465" s="170">
        <v>42689</v>
      </c>
      <c r="B465" s="116">
        <v>120.00821313284</v>
      </c>
      <c r="C465" s="116">
        <v>115.61285059423</v>
      </c>
      <c r="D465" s="116">
        <v>113.094159701319</v>
      </c>
      <c r="E465" s="116">
        <v>120.00821313284</v>
      </c>
      <c r="F465" s="116">
        <v>117.05</v>
      </c>
      <c r="G465">
        <v>584243</v>
      </c>
      <c r="H465" s="116"/>
      <c r="I465" s="116"/>
      <c r="L465" s="170">
        <v>42689</v>
      </c>
      <c r="M465" s="116">
        <v>115.56358287021899</v>
      </c>
      <c r="N465" s="116">
        <v>118.32920707565999</v>
      </c>
      <c r="O465" s="116">
        <v>112.847344811304</v>
      </c>
      <c r="P465" s="116">
        <v>118.32920707565999</v>
      </c>
      <c r="Q465" s="116">
        <v>117</v>
      </c>
      <c r="R465">
        <v>2405650</v>
      </c>
    </row>
    <row r="466" spans="1:18" x14ac:dyDescent="0.25">
      <c r="A466" s="170">
        <v>42690</v>
      </c>
      <c r="B466" s="116">
        <v>123.712170328298</v>
      </c>
      <c r="C466" s="116">
        <v>119.81066874908301</v>
      </c>
      <c r="D466" s="116">
        <v>119.02049121405101</v>
      </c>
      <c r="E466" s="116">
        <v>121.489796011023</v>
      </c>
      <c r="F466" s="116">
        <v>121.3</v>
      </c>
      <c r="G466">
        <v>950044</v>
      </c>
      <c r="H466" s="116"/>
      <c r="I466" s="116"/>
      <c r="L466" s="170">
        <v>42690</v>
      </c>
      <c r="M466" s="116">
        <v>119.810791471432</v>
      </c>
      <c r="N466" s="116">
        <v>123.761683193491</v>
      </c>
      <c r="O466" s="116">
        <v>118.921840833969</v>
      </c>
      <c r="P466" s="116">
        <v>121.588692746359</v>
      </c>
      <c r="Q466" s="116">
        <v>121.3</v>
      </c>
      <c r="R466">
        <v>4703414</v>
      </c>
    </row>
    <row r="467" spans="1:18" x14ac:dyDescent="0.25">
      <c r="A467" s="170">
        <v>42691</v>
      </c>
      <c r="B467" s="116">
        <v>121.341637723205</v>
      </c>
      <c r="C467" s="116">
        <v>117.34136395211</v>
      </c>
      <c r="D467" s="116">
        <v>116.600572513019</v>
      </c>
      <c r="E467" s="116">
        <v>120.50207409223501</v>
      </c>
      <c r="F467" s="116">
        <v>118.8</v>
      </c>
      <c r="G467">
        <v>225373</v>
      </c>
      <c r="H467" s="116"/>
      <c r="I467" s="116"/>
      <c r="L467" s="170">
        <v>42691</v>
      </c>
      <c r="M467" s="116">
        <v>117.14393955904301</v>
      </c>
      <c r="N467" s="116">
        <v>121.292375867204</v>
      </c>
      <c r="O467" s="116">
        <v>113.785681595293</v>
      </c>
      <c r="P467" s="116">
        <v>120.205880643638</v>
      </c>
      <c r="Q467" s="116">
        <v>118.6</v>
      </c>
      <c r="R467">
        <v>1306586</v>
      </c>
    </row>
    <row r="468" spans="1:18" x14ac:dyDescent="0.25">
      <c r="A468" s="170">
        <v>42692</v>
      </c>
      <c r="B468" s="116">
        <v>119.514352173446</v>
      </c>
      <c r="C468" s="116">
        <v>118.674788542475</v>
      </c>
      <c r="D468" s="116">
        <v>117.045047376474</v>
      </c>
      <c r="E468" s="116">
        <v>118.52663025465699</v>
      </c>
      <c r="F468" s="116">
        <v>120.15</v>
      </c>
      <c r="G468">
        <v>415169</v>
      </c>
      <c r="H468" s="116"/>
      <c r="I468" s="116"/>
      <c r="L468" s="170">
        <v>42692</v>
      </c>
      <c r="M468" s="116">
        <v>118.62552395481499</v>
      </c>
      <c r="N468" s="116">
        <v>119.51447459227801</v>
      </c>
      <c r="O468" s="116">
        <v>116.847622679888</v>
      </c>
      <c r="P468" s="116">
        <v>117.440256438197</v>
      </c>
      <c r="Q468" s="116">
        <v>120.1</v>
      </c>
      <c r="R468">
        <v>2008909</v>
      </c>
    </row>
    <row r="469" spans="1:18" x14ac:dyDescent="0.25">
      <c r="A469" s="170">
        <v>42695</v>
      </c>
      <c r="B469" s="116">
        <v>119.81066874908301</v>
      </c>
      <c r="C469" s="116">
        <v>114.674514771381</v>
      </c>
      <c r="D469" s="116">
        <v>113.588020660713</v>
      </c>
      <c r="E469" s="116">
        <v>119.316807789688</v>
      </c>
      <c r="F469" s="116">
        <v>116.1</v>
      </c>
      <c r="G469">
        <v>285144</v>
      </c>
      <c r="H469" s="116"/>
      <c r="I469" s="116"/>
      <c r="L469" s="170">
        <v>42695</v>
      </c>
      <c r="M469" s="116">
        <v>114.23015691402399</v>
      </c>
      <c r="N469" s="116">
        <v>120.30465293669</v>
      </c>
      <c r="O469" s="116">
        <v>113.489364716138</v>
      </c>
      <c r="P469" s="116">
        <v>118.62552395481499</v>
      </c>
      <c r="Q469" s="116">
        <v>115.65</v>
      </c>
      <c r="R469">
        <v>1976322</v>
      </c>
    </row>
    <row r="470" spans="1:18" x14ac:dyDescent="0.25">
      <c r="A470" s="170">
        <v>42696</v>
      </c>
      <c r="B470" s="116">
        <v>117.34136395211</v>
      </c>
      <c r="C470" s="116">
        <v>116.057325457685</v>
      </c>
      <c r="D470" s="116">
        <v>114.822673059199</v>
      </c>
      <c r="E470" s="116">
        <v>116.254869841443</v>
      </c>
      <c r="F470" s="116">
        <v>117.5</v>
      </c>
      <c r="G470">
        <v>195323</v>
      </c>
      <c r="H470" s="116"/>
      <c r="I470" s="116"/>
      <c r="L470" s="170">
        <v>42696</v>
      </c>
      <c r="M470" s="116">
        <v>115.859899749373</v>
      </c>
      <c r="N470" s="116">
        <v>117.341484145145</v>
      </c>
      <c r="O470" s="116">
        <v>114.62524608623001</v>
      </c>
      <c r="P470" s="116">
        <v>116.35376121463101</v>
      </c>
      <c r="Q470" s="116">
        <v>117.3</v>
      </c>
      <c r="R470">
        <v>3411500</v>
      </c>
    </row>
    <row r="471" spans="1:18" x14ac:dyDescent="0.25">
      <c r="A471" s="170">
        <v>42697</v>
      </c>
      <c r="B471" s="116">
        <v>117.63768052774699</v>
      </c>
      <c r="C471" s="116">
        <v>116.205483745503</v>
      </c>
      <c r="D471" s="116">
        <v>115.563464498291</v>
      </c>
      <c r="E471" s="116">
        <v>117.291977856171</v>
      </c>
      <c r="F471" s="116">
        <v>117.65</v>
      </c>
      <c r="G471">
        <v>274879</v>
      </c>
      <c r="H471" s="116"/>
      <c r="I471" s="116"/>
      <c r="L471" s="170">
        <v>42697</v>
      </c>
      <c r="M471" s="116">
        <v>116.205602775054</v>
      </c>
      <c r="N471" s="116">
        <v>117.440256438197</v>
      </c>
      <c r="O471" s="116">
        <v>115.41542443064201</v>
      </c>
      <c r="P471" s="116">
        <v>117.341484145145</v>
      </c>
      <c r="Q471" s="116">
        <v>117.65</v>
      </c>
      <c r="R471">
        <v>2170944</v>
      </c>
    </row>
    <row r="472" spans="1:18" x14ac:dyDescent="0.25">
      <c r="A472" s="170">
        <v>42698</v>
      </c>
      <c r="B472" s="116">
        <v>116.55118641707899</v>
      </c>
      <c r="C472" s="116">
        <v>114.230039907926</v>
      </c>
      <c r="D472" s="116">
        <v>113.588020660713</v>
      </c>
      <c r="E472" s="116">
        <v>116.55118641707899</v>
      </c>
      <c r="F472" s="116">
        <v>115.65</v>
      </c>
      <c r="G472">
        <v>246281</v>
      </c>
      <c r="H472" s="116"/>
      <c r="I472" s="116"/>
      <c r="L472" s="170">
        <v>42698</v>
      </c>
      <c r="M472" s="116">
        <v>113.68690930224101</v>
      </c>
      <c r="N472" s="116">
        <v>116.205602775054</v>
      </c>
      <c r="O472" s="116">
        <v>113.094275543932</v>
      </c>
      <c r="P472" s="116">
        <v>116.205602775054</v>
      </c>
      <c r="Q472" s="116">
        <v>115.1</v>
      </c>
      <c r="R472">
        <v>2220419</v>
      </c>
    </row>
    <row r="473" spans="1:18" x14ac:dyDescent="0.25">
      <c r="A473" s="170">
        <v>42699</v>
      </c>
      <c r="B473" s="116">
        <v>117.19320566429199</v>
      </c>
      <c r="C473" s="116">
        <v>116.699344704898</v>
      </c>
      <c r="D473" s="116">
        <v>114.279426003865</v>
      </c>
      <c r="E473" s="116">
        <v>114.57574257950201</v>
      </c>
      <c r="F473" s="116">
        <v>118.15</v>
      </c>
      <c r="G473">
        <v>240172</v>
      </c>
      <c r="H473" s="116"/>
      <c r="I473" s="116"/>
      <c r="L473" s="170">
        <v>42699</v>
      </c>
      <c r="M473" s="116">
        <v>117.045167265991</v>
      </c>
      <c r="N473" s="116">
        <v>117.736573317351</v>
      </c>
      <c r="O473" s="116">
        <v>114.180770767498</v>
      </c>
      <c r="P473" s="116">
        <v>114.575859939704</v>
      </c>
      <c r="Q473" s="116">
        <v>118.5</v>
      </c>
      <c r="R473">
        <v>1474301</v>
      </c>
    </row>
    <row r="474" spans="1:18" x14ac:dyDescent="0.25">
      <c r="A474" s="170">
        <v>42702</v>
      </c>
      <c r="B474" s="116">
        <v>120.156371420659</v>
      </c>
      <c r="C474" s="116">
        <v>119.316807789688</v>
      </c>
      <c r="D474" s="116">
        <v>116.205483745503</v>
      </c>
      <c r="E474" s="116">
        <v>117.489522239929</v>
      </c>
      <c r="F474" s="116">
        <v>120.8</v>
      </c>
      <c r="G474">
        <v>287684</v>
      </c>
      <c r="H474" s="116"/>
      <c r="I474" s="116"/>
      <c r="L474" s="170">
        <v>42702</v>
      </c>
      <c r="M474" s="116">
        <v>119.465088445752</v>
      </c>
      <c r="N474" s="116">
        <v>120.30465293669</v>
      </c>
      <c r="O474" s="116">
        <v>116.05744433547601</v>
      </c>
      <c r="P474" s="116">
        <v>117.094553412517</v>
      </c>
      <c r="Q474" s="116">
        <v>120.95</v>
      </c>
      <c r="R474">
        <v>1738935</v>
      </c>
    </row>
    <row r="475" spans="1:18" x14ac:dyDescent="0.25">
      <c r="A475" s="170">
        <v>42703</v>
      </c>
      <c r="B475" s="116">
        <v>122.526904025752</v>
      </c>
      <c r="C475" s="116">
        <v>120.156371420659</v>
      </c>
      <c r="D475" s="116">
        <v>119.86005484502201</v>
      </c>
      <c r="E475" s="116">
        <v>120.50207409223501</v>
      </c>
      <c r="F475" s="116">
        <v>121.65</v>
      </c>
      <c r="G475">
        <v>263545</v>
      </c>
      <c r="H475" s="116"/>
      <c r="I475" s="116"/>
      <c r="L475" s="170">
        <v>42703</v>
      </c>
      <c r="M475" s="116">
        <v>120.45281137626699</v>
      </c>
      <c r="N475" s="116">
        <v>122.67518796992501</v>
      </c>
      <c r="O475" s="116">
        <v>120.008336057535</v>
      </c>
      <c r="P475" s="116">
        <v>121.292375867204</v>
      </c>
      <c r="Q475" s="116">
        <v>121.95</v>
      </c>
      <c r="R475">
        <v>1993986</v>
      </c>
    </row>
    <row r="476" spans="1:18" x14ac:dyDescent="0.25">
      <c r="A476" s="170">
        <v>42704</v>
      </c>
      <c r="B476" s="116">
        <v>122.872606697328</v>
      </c>
      <c r="C476" s="116">
        <v>122.279973546055</v>
      </c>
      <c r="D476" s="116">
        <v>119.563738269385</v>
      </c>
      <c r="E476" s="116">
        <v>119.563738269385</v>
      </c>
      <c r="F476" s="116">
        <v>123.8</v>
      </c>
      <c r="G476">
        <v>606017</v>
      </c>
      <c r="H476" s="116"/>
      <c r="I476" s="116"/>
      <c r="L476" s="170">
        <v>42704</v>
      </c>
      <c r="M476" s="116">
        <v>122.329484944245</v>
      </c>
      <c r="N476" s="116">
        <v>122.872732556028</v>
      </c>
      <c r="O476" s="116">
        <v>120.99605898805</v>
      </c>
      <c r="P476" s="116">
        <v>121.440534306781</v>
      </c>
      <c r="Q476" s="116">
        <v>123.85</v>
      </c>
      <c r="R476">
        <v>1616908</v>
      </c>
    </row>
    <row r="477" spans="1:18" x14ac:dyDescent="0.25">
      <c r="A477" s="170">
        <v>42705</v>
      </c>
      <c r="B477" s="116">
        <v>123.267695464843</v>
      </c>
      <c r="C477" s="116">
        <v>120.403301900356</v>
      </c>
      <c r="D477" s="116">
        <v>120.00821313284</v>
      </c>
      <c r="E477" s="116">
        <v>123.267695464843</v>
      </c>
      <c r="F477" s="116">
        <v>121.9</v>
      </c>
      <c r="G477">
        <v>100834</v>
      </c>
      <c r="H477" s="116"/>
      <c r="I477" s="116"/>
      <c r="L477" s="170">
        <v>42705</v>
      </c>
      <c r="M477" s="116">
        <v>120.403425229741</v>
      </c>
      <c r="N477" s="116">
        <v>123.119663288656</v>
      </c>
      <c r="O477" s="116">
        <v>120.05772220406099</v>
      </c>
      <c r="P477" s="116">
        <v>123.119663288656</v>
      </c>
      <c r="Q477" s="116">
        <v>121.9</v>
      </c>
      <c r="R477">
        <v>1205710</v>
      </c>
    </row>
    <row r="478" spans="1:18" x14ac:dyDescent="0.25">
      <c r="A478" s="170">
        <v>42706</v>
      </c>
      <c r="B478" s="116">
        <v>121.8354986826</v>
      </c>
      <c r="C478" s="116">
        <v>120.10698532471901</v>
      </c>
      <c r="D478" s="116">
        <v>118.822946830294</v>
      </c>
      <c r="E478" s="116">
        <v>120.353915804416</v>
      </c>
      <c r="F478" s="116">
        <v>121.6</v>
      </c>
      <c r="G478">
        <v>132128</v>
      </c>
      <c r="H478" s="116"/>
      <c r="I478" s="116"/>
      <c r="L478" s="170">
        <v>42706</v>
      </c>
      <c r="M478" s="116">
        <v>120.05772220406099</v>
      </c>
      <c r="N478" s="116">
        <v>121.88500962551301</v>
      </c>
      <c r="O478" s="116">
        <v>118.823068540918</v>
      </c>
      <c r="P478" s="116">
        <v>120.008336057535</v>
      </c>
      <c r="Q478" s="116">
        <v>121.55</v>
      </c>
      <c r="R478">
        <v>1343432</v>
      </c>
    </row>
    <row r="479" spans="1:18" x14ac:dyDescent="0.25">
      <c r="A479" s="170">
        <v>42709</v>
      </c>
      <c r="B479" s="116">
        <v>122.971378889207</v>
      </c>
      <c r="C479" s="116">
        <v>122.033043066357</v>
      </c>
      <c r="D479" s="116">
        <v>119.514352173446</v>
      </c>
      <c r="E479" s="116">
        <v>120.995935051629</v>
      </c>
      <c r="F479" s="116">
        <v>123.55</v>
      </c>
      <c r="G479">
        <v>209407</v>
      </c>
      <c r="H479" s="116"/>
      <c r="I479" s="116"/>
      <c r="L479" s="170">
        <v>42709</v>
      </c>
      <c r="M479" s="116">
        <v>122.131940358142</v>
      </c>
      <c r="N479" s="116">
        <v>123.31720787475901</v>
      </c>
      <c r="O479" s="116">
        <v>119.613246885329</v>
      </c>
      <c r="P479" s="116">
        <v>119.958949911009</v>
      </c>
      <c r="Q479" s="116">
        <v>123.65</v>
      </c>
      <c r="R479">
        <v>1401882</v>
      </c>
    </row>
    <row r="480" spans="1:18" x14ac:dyDescent="0.25">
      <c r="A480" s="170">
        <v>42710</v>
      </c>
      <c r="B480" s="116">
        <v>123.712170328298</v>
      </c>
      <c r="C480" s="116">
        <v>121.934270874478</v>
      </c>
      <c r="D480" s="116">
        <v>121.391023819145</v>
      </c>
      <c r="E480" s="116">
        <v>122.279973546055</v>
      </c>
      <c r="F480" s="116">
        <v>123.45</v>
      </c>
      <c r="G480">
        <v>130520</v>
      </c>
      <c r="H480" s="116"/>
      <c r="I480" s="116"/>
      <c r="L480" s="170">
        <v>42710</v>
      </c>
      <c r="M480" s="116">
        <v>121.88500962551301</v>
      </c>
      <c r="N480" s="116">
        <v>123.71229704696501</v>
      </c>
      <c r="O480" s="116">
        <v>121.292375867204</v>
      </c>
      <c r="P480" s="116">
        <v>122.28009879771901</v>
      </c>
      <c r="Q480" s="116">
        <v>123.4</v>
      </c>
      <c r="R480">
        <v>1486818</v>
      </c>
    </row>
    <row r="481" spans="1:18" x14ac:dyDescent="0.25">
      <c r="A481" s="170">
        <v>42711</v>
      </c>
      <c r="B481" s="116">
        <v>123.267695464843</v>
      </c>
      <c r="C481" s="116">
        <v>120.74900457193201</v>
      </c>
      <c r="D481" s="116">
        <v>119.267421693749</v>
      </c>
      <c r="E481" s="116">
        <v>123.267695464843</v>
      </c>
      <c r="F481" s="116">
        <v>122.25</v>
      </c>
      <c r="G481">
        <v>145452</v>
      </c>
      <c r="H481" s="116"/>
      <c r="I481" s="116"/>
      <c r="L481" s="170">
        <v>42711</v>
      </c>
      <c r="M481" s="116">
        <v>120.798514401947</v>
      </c>
      <c r="N481" s="116">
        <v>122.971504849079</v>
      </c>
      <c r="O481" s="116">
        <v>119.267543859649</v>
      </c>
      <c r="P481" s="116">
        <v>122.82334640950199</v>
      </c>
      <c r="Q481" s="116">
        <v>122.3</v>
      </c>
      <c r="R481">
        <v>1217621</v>
      </c>
    </row>
    <row r="482" spans="1:18" x14ac:dyDescent="0.25">
      <c r="A482" s="170">
        <v>42712</v>
      </c>
      <c r="B482" s="116">
        <v>123.36646765672199</v>
      </c>
      <c r="C482" s="116">
        <v>122.329359641994</v>
      </c>
      <c r="D482" s="116">
        <v>120.74900457193201</v>
      </c>
      <c r="E482" s="116">
        <v>120.74900457193201</v>
      </c>
      <c r="F482" s="116">
        <v>123.85</v>
      </c>
      <c r="G482">
        <v>95645</v>
      </c>
      <c r="H482" s="116"/>
      <c r="I482" s="116"/>
      <c r="L482" s="170">
        <v>42712</v>
      </c>
      <c r="M482" s="116">
        <v>122.329484944245</v>
      </c>
      <c r="N482" s="116">
        <v>123.564138607388</v>
      </c>
      <c r="O482" s="116">
        <v>121.48992045330699</v>
      </c>
      <c r="P482" s="116">
        <v>121.48992045330699</v>
      </c>
      <c r="Q482" s="116">
        <v>123.85</v>
      </c>
      <c r="R482">
        <v>1090370</v>
      </c>
    </row>
    <row r="483" spans="1:18" x14ac:dyDescent="0.25">
      <c r="A483" s="170">
        <v>42713</v>
      </c>
      <c r="B483" s="116">
        <v>123.070151081086</v>
      </c>
      <c r="C483" s="116">
        <v>122.378745737933</v>
      </c>
      <c r="D483" s="116">
        <v>121.983656970418</v>
      </c>
      <c r="E483" s="116">
        <v>122.477517929812</v>
      </c>
      <c r="F483" s="116">
        <v>123.9</v>
      </c>
      <c r="G483">
        <v>71007</v>
      </c>
      <c r="H483" s="116"/>
      <c r="I483" s="116"/>
      <c r="L483" s="170">
        <v>42713</v>
      </c>
      <c r="M483" s="116">
        <v>122.37887109077001</v>
      </c>
      <c r="N483" s="116">
        <v>123.070277142131</v>
      </c>
      <c r="O483" s="116">
        <v>121.983781918565</v>
      </c>
      <c r="P483" s="116">
        <v>122.82334640950199</v>
      </c>
      <c r="Q483" s="116">
        <v>123.9</v>
      </c>
      <c r="R483">
        <v>920060</v>
      </c>
    </row>
    <row r="484" spans="1:18" x14ac:dyDescent="0.25">
      <c r="A484" s="170">
        <v>42716</v>
      </c>
      <c r="B484" s="116">
        <v>123.36646765672199</v>
      </c>
      <c r="C484" s="116">
        <v>121.8354986826</v>
      </c>
      <c r="D484" s="116">
        <v>120.995935051629</v>
      </c>
      <c r="E484" s="116">
        <v>122.477517929812</v>
      </c>
      <c r="F484" s="116">
        <v>123.35</v>
      </c>
      <c r="G484">
        <v>141069</v>
      </c>
      <c r="H484" s="116"/>
      <c r="I484" s="116"/>
      <c r="L484" s="170">
        <v>42716</v>
      </c>
      <c r="M484" s="116">
        <v>121.835623478987</v>
      </c>
      <c r="N484" s="116">
        <v>123.465366314337</v>
      </c>
      <c r="O484" s="116">
        <v>120.600969815844</v>
      </c>
      <c r="P484" s="116">
        <v>122.37887109077001</v>
      </c>
      <c r="Q484" s="116">
        <v>123.35</v>
      </c>
      <c r="R484">
        <v>760874</v>
      </c>
    </row>
    <row r="485" spans="1:18" x14ac:dyDescent="0.25">
      <c r="A485" s="170">
        <v>42717</v>
      </c>
      <c r="B485" s="116">
        <v>123.415853752662</v>
      </c>
      <c r="C485" s="116">
        <v>122.082429162297</v>
      </c>
      <c r="D485" s="116">
        <v>121.539182106963</v>
      </c>
      <c r="E485" s="116">
        <v>123.415853752662</v>
      </c>
      <c r="F485" s="116">
        <v>123.6</v>
      </c>
      <c r="G485">
        <v>72018</v>
      </c>
      <c r="H485" s="116"/>
      <c r="I485" s="116"/>
      <c r="L485" s="170">
        <v>42717</v>
      </c>
      <c r="M485" s="116">
        <v>121.835623478987</v>
      </c>
      <c r="N485" s="116">
        <v>123.465366314337</v>
      </c>
      <c r="O485" s="116">
        <v>121.539306599833</v>
      </c>
      <c r="P485" s="116">
        <v>122.527029530348</v>
      </c>
      <c r="Q485" s="116">
        <v>123.35</v>
      </c>
      <c r="R485">
        <v>502421</v>
      </c>
    </row>
    <row r="486" spans="1:18" x14ac:dyDescent="0.25">
      <c r="A486" s="170">
        <v>42718</v>
      </c>
      <c r="B486" s="116">
        <v>123.16892327296399</v>
      </c>
      <c r="C486" s="116">
        <v>121.193479435387</v>
      </c>
      <c r="D486" s="116">
        <v>120.89716285975</v>
      </c>
      <c r="E486" s="116">
        <v>121.094707243508</v>
      </c>
      <c r="F486" s="116">
        <v>122.7</v>
      </c>
      <c r="G486">
        <v>71274</v>
      </c>
      <c r="H486" s="116"/>
      <c r="I486" s="116"/>
      <c r="L486" s="170">
        <v>42718</v>
      </c>
      <c r="M486" s="116">
        <v>121.24298972067901</v>
      </c>
      <c r="N486" s="116">
        <v>123.267821728234</v>
      </c>
      <c r="O486" s="116">
        <v>120.897286694998</v>
      </c>
      <c r="P486" s="116">
        <v>122.329484944245</v>
      </c>
      <c r="Q486" s="116">
        <v>122.75</v>
      </c>
      <c r="R486">
        <v>826188</v>
      </c>
    </row>
    <row r="487" spans="1:18" x14ac:dyDescent="0.25">
      <c r="A487" s="170">
        <v>42719</v>
      </c>
      <c r="B487" s="116">
        <v>125.243139302421</v>
      </c>
      <c r="C487" s="116">
        <v>123.11953717702499</v>
      </c>
      <c r="D487" s="116">
        <v>120.89716285975</v>
      </c>
      <c r="E487" s="116">
        <v>121.983656970418</v>
      </c>
      <c r="F487" s="116">
        <v>124.65</v>
      </c>
      <c r="G487">
        <v>188103</v>
      </c>
      <c r="H487" s="116"/>
      <c r="I487" s="116"/>
      <c r="L487" s="170">
        <v>42719</v>
      </c>
      <c r="M487" s="116">
        <v>122.92211870255301</v>
      </c>
      <c r="N487" s="116">
        <v>125.292653735789</v>
      </c>
      <c r="O487" s="116">
        <v>120.69974210889499</v>
      </c>
      <c r="P487" s="116">
        <v>120.99605898805</v>
      </c>
      <c r="Q487" s="116">
        <v>124.45</v>
      </c>
      <c r="R487">
        <v>2212399</v>
      </c>
    </row>
    <row r="488" spans="1:18" x14ac:dyDescent="0.25">
      <c r="A488" s="170">
        <v>42720</v>
      </c>
      <c r="B488" s="116">
        <v>123.76155642423799</v>
      </c>
      <c r="C488" s="116">
        <v>122.67506231357</v>
      </c>
      <c r="D488" s="116">
        <v>121.489796011023</v>
      </c>
      <c r="E488" s="116">
        <v>123.76155642423799</v>
      </c>
      <c r="F488" s="116">
        <v>124.2</v>
      </c>
      <c r="G488">
        <v>91158</v>
      </c>
      <c r="H488" s="116"/>
      <c r="I488" s="116"/>
      <c r="L488" s="170">
        <v>42720</v>
      </c>
      <c r="M488" s="116">
        <v>122.773960262976</v>
      </c>
      <c r="N488" s="116">
        <v>123.465366314337</v>
      </c>
      <c r="O488" s="116">
        <v>121.440534306781</v>
      </c>
      <c r="P488" s="116">
        <v>123.465366314337</v>
      </c>
      <c r="Q488" s="116">
        <v>124.3</v>
      </c>
      <c r="R488">
        <v>804735</v>
      </c>
    </row>
    <row r="489" spans="1:18" x14ac:dyDescent="0.25">
      <c r="A489" s="170">
        <v>42723</v>
      </c>
      <c r="B489" s="116">
        <v>124.45296176738999</v>
      </c>
      <c r="C489" s="116">
        <v>122.872606697328</v>
      </c>
      <c r="D489" s="116">
        <v>122.576290121691</v>
      </c>
      <c r="E489" s="116">
        <v>123.76155642423799</v>
      </c>
      <c r="F489" s="116">
        <v>124.4</v>
      </c>
      <c r="G489">
        <v>80449</v>
      </c>
      <c r="H489" s="116"/>
      <c r="I489" s="116"/>
      <c r="L489" s="170">
        <v>42723</v>
      </c>
      <c r="M489" s="116">
        <v>122.773960262976</v>
      </c>
      <c r="N489" s="116">
        <v>124.55186153790299</v>
      </c>
      <c r="O489" s="116">
        <v>122.477643383822</v>
      </c>
      <c r="P489" s="116">
        <v>123.267821728234</v>
      </c>
      <c r="Q489" s="116">
        <v>124.3</v>
      </c>
      <c r="R489">
        <v>923038</v>
      </c>
    </row>
    <row r="490" spans="1:18" x14ac:dyDescent="0.25">
      <c r="A490" s="170">
        <v>42724</v>
      </c>
      <c r="B490" s="116">
        <v>123.36646765672199</v>
      </c>
      <c r="C490" s="116">
        <v>119.761282653143</v>
      </c>
      <c r="D490" s="116">
        <v>119.267421693749</v>
      </c>
      <c r="E490" s="116">
        <v>123.16892327296399</v>
      </c>
      <c r="F490" s="116">
        <v>121.25</v>
      </c>
      <c r="G490">
        <v>156812</v>
      </c>
      <c r="H490" s="116"/>
      <c r="I490" s="116"/>
      <c r="L490" s="170">
        <v>42724</v>
      </c>
      <c r="M490" s="116">
        <v>119.76140532490599</v>
      </c>
      <c r="N490" s="116">
        <v>123.465366314337</v>
      </c>
      <c r="O490" s="116">
        <v>119.267543859649</v>
      </c>
      <c r="P490" s="116">
        <v>123.267821728234</v>
      </c>
      <c r="Q490" s="116">
        <v>121.25</v>
      </c>
      <c r="R490">
        <v>646197</v>
      </c>
    </row>
    <row r="491" spans="1:18" x14ac:dyDescent="0.25">
      <c r="A491" s="170">
        <v>42725</v>
      </c>
      <c r="B491" s="116">
        <v>121.489796011023</v>
      </c>
      <c r="C491" s="116">
        <v>120.156371420659</v>
      </c>
      <c r="D491" s="116">
        <v>119.61312436532501</v>
      </c>
      <c r="E491" s="116">
        <v>120.50207409223501</v>
      </c>
      <c r="F491" s="116">
        <v>121.65</v>
      </c>
      <c r="G491">
        <v>101698</v>
      </c>
      <c r="H491" s="116"/>
      <c r="I491" s="116"/>
      <c r="L491" s="170">
        <v>42725</v>
      </c>
      <c r="M491" s="116">
        <v>120.107108350587</v>
      </c>
      <c r="N491" s="116">
        <v>121.440534306781</v>
      </c>
      <c r="O491" s="116">
        <v>119.267543859649</v>
      </c>
      <c r="P491" s="116">
        <v>119.267543859649</v>
      </c>
      <c r="Q491" s="116">
        <v>121.6</v>
      </c>
      <c r="R491">
        <v>677057</v>
      </c>
    </row>
    <row r="492" spans="1:18" x14ac:dyDescent="0.25">
      <c r="A492" s="170">
        <v>42726</v>
      </c>
      <c r="B492" s="116">
        <v>120.255143612537</v>
      </c>
      <c r="C492" s="116">
        <v>118.180927583081</v>
      </c>
      <c r="D492" s="116">
        <v>117.538908335868</v>
      </c>
      <c r="E492" s="116">
        <v>120.255143612537</v>
      </c>
      <c r="F492" s="116">
        <v>119.65</v>
      </c>
      <c r="G492">
        <v>158854</v>
      </c>
      <c r="H492" s="116"/>
      <c r="I492" s="116"/>
      <c r="L492" s="170">
        <v>42726</v>
      </c>
      <c r="M492" s="116">
        <v>117.93411790345399</v>
      </c>
      <c r="N492" s="116">
        <v>120.897286694998</v>
      </c>
      <c r="O492" s="116">
        <v>117.539028731248</v>
      </c>
      <c r="P492" s="116">
        <v>120.897286694998</v>
      </c>
      <c r="Q492" s="116">
        <v>119.4</v>
      </c>
      <c r="R492">
        <v>839802</v>
      </c>
    </row>
    <row r="493" spans="1:18" x14ac:dyDescent="0.25">
      <c r="A493" s="170">
        <v>42727</v>
      </c>
      <c r="B493" s="116">
        <v>118.23031367902</v>
      </c>
      <c r="C493" s="116">
        <v>117.687066623687</v>
      </c>
      <c r="D493" s="116">
        <v>116.649958608958</v>
      </c>
      <c r="E493" s="116">
        <v>117.538908335868</v>
      </c>
      <c r="F493" s="116">
        <v>119.15</v>
      </c>
      <c r="G493">
        <v>86517</v>
      </c>
      <c r="H493" s="116"/>
      <c r="I493" s="116"/>
      <c r="L493" s="170">
        <v>42727</v>
      </c>
      <c r="M493" s="116">
        <v>117.39087029167101</v>
      </c>
      <c r="N493" s="116">
        <v>118.32920707565999</v>
      </c>
      <c r="O493" s="116">
        <v>116.551305800734</v>
      </c>
      <c r="P493" s="116">
        <v>118.032890196506</v>
      </c>
      <c r="Q493" s="116">
        <v>118.85</v>
      </c>
      <c r="R493">
        <v>749376</v>
      </c>
    </row>
    <row r="494" spans="1:18" x14ac:dyDescent="0.25">
      <c r="A494" s="170">
        <v>42730</v>
      </c>
      <c r="B494" s="116">
        <v>117.39075004804999</v>
      </c>
      <c r="C494" s="116">
        <v>115.662236690169</v>
      </c>
      <c r="D494" s="116">
        <v>115.069603538896</v>
      </c>
      <c r="E494" s="116">
        <v>117.094433472413</v>
      </c>
      <c r="F494" s="116">
        <v>117.1</v>
      </c>
      <c r="G494">
        <v>110390</v>
      </c>
      <c r="H494" s="116"/>
      <c r="I494" s="116"/>
      <c r="L494" s="170">
        <v>42730</v>
      </c>
      <c r="M494" s="116">
        <v>115.56358287021899</v>
      </c>
      <c r="N494" s="116">
        <v>117.39087029167101</v>
      </c>
      <c r="O494" s="116">
        <v>114.872176818859</v>
      </c>
      <c r="P494" s="116">
        <v>117.341484145145</v>
      </c>
      <c r="Q494" s="116">
        <v>117</v>
      </c>
      <c r="R494">
        <v>425216</v>
      </c>
    </row>
    <row r="495" spans="1:18" x14ac:dyDescent="0.25">
      <c r="A495" s="170">
        <v>42731</v>
      </c>
      <c r="B495" s="116">
        <v>119.267421693749</v>
      </c>
      <c r="C495" s="116">
        <v>118.72417463841499</v>
      </c>
      <c r="D495" s="116">
        <v>115.069603538896</v>
      </c>
      <c r="E495" s="116">
        <v>115.662236690169</v>
      </c>
      <c r="F495" s="116">
        <v>120.2</v>
      </c>
      <c r="G495">
        <v>110264</v>
      </c>
      <c r="H495" s="116"/>
      <c r="I495" s="116"/>
      <c r="L495" s="170">
        <v>42731</v>
      </c>
      <c r="M495" s="116">
        <v>119.069999273546</v>
      </c>
      <c r="N495" s="116">
        <v>119.563860738804</v>
      </c>
      <c r="O495" s="116">
        <v>115.02033525843601</v>
      </c>
      <c r="P495" s="116">
        <v>115.56358287021899</v>
      </c>
      <c r="Q495" s="116">
        <v>120.55</v>
      </c>
      <c r="R495">
        <v>728501</v>
      </c>
    </row>
    <row r="496" spans="1:18" x14ac:dyDescent="0.25">
      <c r="A496" s="170">
        <v>42732</v>
      </c>
      <c r="B496" s="116">
        <v>120.403301900356</v>
      </c>
      <c r="C496" s="116">
        <v>118.08215539120199</v>
      </c>
      <c r="D496" s="116">
        <v>117.736452719626</v>
      </c>
      <c r="E496" s="116">
        <v>118.52663025465699</v>
      </c>
      <c r="F496" s="116">
        <v>119.55</v>
      </c>
      <c r="G496">
        <v>102242</v>
      </c>
      <c r="H496" s="116"/>
      <c r="I496" s="116"/>
      <c r="L496" s="170">
        <v>42732</v>
      </c>
      <c r="M496" s="116">
        <v>118.131662489557</v>
      </c>
      <c r="N496" s="116">
        <v>120.502197522792</v>
      </c>
      <c r="O496" s="116">
        <v>117.736573317351</v>
      </c>
      <c r="P496" s="116">
        <v>117.736573317351</v>
      </c>
      <c r="Q496" s="116">
        <v>119.6</v>
      </c>
      <c r="R496">
        <v>866902</v>
      </c>
    </row>
    <row r="497" spans="1:18" x14ac:dyDescent="0.25">
      <c r="A497" s="170">
        <v>42733</v>
      </c>
      <c r="B497" s="116">
        <v>120.452687996295</v>
      </c>
      <c r="C497" s="116">
        <v>119.563738269385</v>
      </c>
      <c r="D497" s="116">
        <v>118.427858062778</v>
      </c>
      <c r="E497" s="116">
        <v>118.52663025465699</v>
      </c>
      <c r="F497" s="116">
        <v>121.05</v>
      </c>
      <c r="G497">
        <v>96828</v>
      </c>
      <c r="H497" s="116"/>
      <c r="I497" s="116"/>
      <c r="L497" s="170">
        <v>42733</v>
      </c>
      <c r="M497" s="116">
        <v>119.613246885329</v>
      </c>
      <c r="N497" s="116">
        <v>120.65035596237</v>
      </c>
      <c r="O497" s="116">
        <v>118.131662489557</v>
      </c>
      <c r="P497" s="116">
        <v>118.131662489557</v>
      </c>
      <c r="Q497" s="116">
        <v>121.1</v>
      </c>
      <c r="R497">
        <v>1025503</v>
      </c>
    </row>
    <row r="498" spans="1:18" x14ac:dyDescent="0.25">
      <c r="A498" s="170">
        <v>42734</v>
      </c>
      <c r="B498" s="116">
        <v>121.489796011023</v>
      </c>
      <c r="C498" s="116">
        <v>120.551460188174</v>
      </c>
      <c r="D498" s="116">
        <v>119.90944094096101</v>
      </c>
      <c r="E498" s="116">
        <v>120.403301900356</v>
      </c>
      <c r="F498" s="116">
        <v>122.05</v>
      </c>
      <c r="G498">
        <v>147086</v>
      </c>
      <c r="H498" s="116"/>
      <c r="I498" s="116"/>
      <c r="L498" s="170">
        <v>42734</v>
      </c>
      <c r="M498" s="116">
        <v>120.502197522792</v>
      </c>
      <c r="N498" s="116">
        <v>121.78623733246199</v>
      </c>
      <c r="O498" s="116">
        <v>119.613246885329</v>
      </c>
      <c r="P498" s="116">
        <v>119.613246885329</v>
      </c>
      <c r="Q498" s="116">
        <v>122</v>
      </c>
      <c r="R498">
        <v>1017447</v>
      </c>
    </row>
    <row r="499" spans="1:18" x14ac:dyDescent="0.25">
      <c r="A499" s="170">
        <v>42737</v>
      </c>
      <c r="B499" s="116">
        <v>122.92199279326699</v>
      </c>
      <c r="C499" s="116">
        <v>122.033043066357</v>
      </c>
      <c r="D499" s="116">
        <v>120.00821313284</v>
      </c>
      <c r="E499" s="116">
        <v>121.193479435387</v>
      </c>
      <c r="F499" s="116">
        <v>123.55</v>
      </c>
      <c r="G499">
        <v>152067</v>
      </c>
      <c r="H499" s="116"/>
      <c r="I499" s="116"/>
      <c r="L499" s="170">
        <v>42737</v>
      </c>
      <c r="M499" s="116">
        <v>122.03316806509</v>
      </c>
      <c r="N499" s="116">
        <v>122.67518796992501</v>
      </c>
      <c r="O499" s="116">
        <v>119.860177617958</v>
      </c>
      <c r="P499" s="116">
        <v>121.292375867204</v>
      </c>
      <c r="Q499" s="116">
        <v>123.55</v>
      </c>
      <c r="R499">
        <v>1102178</v>
      </c>
    </row>
    <row r="500" spans="1:18" x14ac:dyDescent="0.25">
      <c r="A500" s="170">
        <v>42738</v>
      </c>
      <c r="B500" s="116">
        <v>123.76155642423799</v>
      </c>
      <c r="C500" s="116">
        <v>122.773834505449</v>
      </c>
      <c r="D500" s="116">
        <v>121.637954298842</v>
      </c>
      <c r="E500" s="116">
        <v>121.736726490721</v>
      </c>
      <c r="F500" s="116">
        <v>124.3</v>
      </c>
      <c r="G500">
        <v>89405</v>
      </c>
      <c r="H500" s="116"/>
      <c r="I500" s="116"/>
      <c r="L500" s="170">
        <v>42738</v>
      </c>
      <c r="M500" s="116">
        <v>122.92211870255301</v>
      </c>
      <c r="N500" s="116">
        <v>123.86045548654199</v>
      </c>
      <c r="O500" s="116">
        <v>121.292375867204</v>
      </c>
      <c r="P500" s="116">
        <v>121.292375867204</v>
      </c>
      <c r="Q500" s="116">
        <v>124.45</v>
      </c>
      <c r="R500">
        <v>580430</v>
      </c>
    </row>
    <row r="501" spans="1:18" x14ac:dyDescent="0.25">
      <c r="A501" s="170">
        <v>42739</v>
      </c>
      <c r="B501" s="116">
        <v>124.354189575511</v>
      </c>
      <c r="C501" s="116">
        <v>122.67506231357</v>
      </c>
      <c r="D501" s="116">
        <v>122.082429162297</v>
      </c>
      <c r="E501" s="116">
        <v>123.465239848601</v>
      </c>
      <c r="F501" s="116">
        <v>124.2</v>
      </c>
      <c r="G501">
        <v>89264</v>
      </c>
      <c r="H501" s="116"/>
      <c r="I501" s="116"/>
      <c r="L501" s="170">
        <v>42739</v>
      </c>
      <c r="M501" s="116">
        <v>122.92211870255301</v>
      </c>
      <c r="N501" s="116">
        <v>124.502475391377</v>
      </c>
      <c r="O501" s="116">
        <v>122.28009879771901</v>
      </c>
      <c r="P501" s="116">
        <v>123.465366314337</v>
      </c>
      <c r="Q501" s="116">
        <v>124.45</v>
      </c>
      <c r="R501">
        <v>656213</v>
      </c>
    </row>
    <row r="502" spans="1:18" x14ac:dyDescent="0.25">
      <c r="A502" s="170">
        <v>42740</v>
      </c>
      <c r="B502" s="116">
        <v>124.00848690393499</v>
      </c>
      <c r="C502" s="116">
        <v>123.61339813641899</v>
      </c>
      <c r="D502" s="116">
        <v>123.16892327296399</v>
      </c>
      <c r="E502" s="116">
        <v>123.662784232359</v>
      </c>
      <c r="F502" s="116">
        <v>125.15</v>
      </c>
      <c r="G502">
        <v>72050</v>
      </c>
      <c r="H502" s="116"/>
      <c r="I502" s="116"/>
      <c r="L502" s="170">
        <v>42740</v>
      </c>
      <c r="M502" s="116">
        <v>123.66291090044</v>
      </c>
      <c r="N502" s="116">
        <v>124.107386219171</v>
      </c>
      <c r="O502" s="116">
        <v>123.020890995605</v>
      </c>
      <c r="P502" s="116">
        <v>123.21843558170799</v>
      </c>
      <c r="Q502" s="116">
        <v>125.2</v>
      </c>
      <c r="R502">
        <v>503565</v>
      </c>
    </row>
    <row r="503" spans="1:18" x14ac:dyDescent="0.25">
      <c r="A503" s="170">
        <v>42741</v>
      </c>
      <c r="B503" s="116">
        <v>125.39129759023901</v>
      </c>
      <c r="C503" s="116">
        <v>123.020764985146</v>
      </c>
      <c r="D503" s="116">
        <v>122.477517929812</v>
      </c>
      <c r="E503" s="116">
        <v>124.45296176738999</v>
      </c>
      <c r="F503" s="116">
        <v>124.55</v>
      </c>
      <c r="G503">
        <v>157143</v>
      </c>
      <c r="H503" s="116"/>
      <c r="I503" s="116"/>
      <c r="L503" s="170">
        <v>42741</v>
      </c>
      <c r="M503" s="116">
        <v>123.119663288656</v>
      </c>
      <c r="N503" s="116">
        <v>125.39142602884</v>
      </c>
      <c r="O503" s="116">
        <v>122.527029530348</v>
      </c>
      <c r="P503" s="116">
        <v>123.86045548654199</v>
      </c>
      <c r="Q503" s="116">
        <v>124.65</v>
      </c>
      <c r="R503">
        <v>1255021</v>
      </c>
    </row>
    <row r="504" spans="1:18" x14ac:dyDescent="0.25">
      <c r="A504" s="170">
        <v>42744</v>
      </c>
      <c r="B504" s="116">
        <v>123.95910080799599</v>
      </c>
      <c r="C504" s="116">
        <v>123.020764985146</v>
      </c>
      <c r="D504" s="116">
        <v>122.477517929812</v>
      </c>
      <c r="E504" s="116">
        <v>123.020764985146</v>
      </c>
      <c r="F504" s="116">
        <v>124.55</v>
      </c>
      <c r="G504">
        <v>52752</v>
      </c>
      <c r="H504" s="116"/>
      <c r="I504" s="116"/>
      <c r="L504" s="170">
        <v>42744</v>
      </c>
      <c r="M504" s="116">
        <v>123.21843558170799</v>
      </c>
      <c r="N504" s="116">
        <v>123.959227779594</v>
      </c>
      <c r="O504" s="116">
        <v>122.42825723729599</v>
      </c>
      <c r="P504" s="116">
        <v>123.21843558170799</v>
      </c>
      <c r="Q504" s="116">
        <v>124.75</v>
      </c>
      <c r="R504">
        <v>414927</v>
      </c>
    </row>
    <row r="505" spans="1:18" x14ac:dyDescent="0.25">
      <c r="A505" s="170">
        <v>42745</v>
      </c>
      <c r="B505" s="116">
        <v>123.56401204047999</v>
      </c>
      <c r="C505" s="116">
        <v>122.823220601388</v>
      </c>
      <c r="D505" s="116">
        <v>122.230587450115</v>
      </c>
      <c r="E505" s="116">
        <v>123.415853752662</v>
      </c>
      <c r="F505" s="116">
        <v>124.35</v>
      </c>
      <c r="G505">
        <v>67758</v>
      </c>
      <c r="H505" s="116"/>
      <c r="I505" s="116"/>
      <c r="L505" s="170">
        <v>42745</v>
      </c>
      <c r="M505" s="116">
        <v>122.92211870255301</v>
      </c>
      <c r="N505" s="116">
        <v>123.959227779594</v>
      </c>
      <c r="O505" s="116">
        <v>122.28009879771901</v>
      </c>
      <c r="P505" s="116">
        <v>123.959227779594</v>
      </c>
      <c r="Q505" s="116">
        <v>124.45</v>
      </c>
      <c r="R505">
        <v>533212</v>
      </c>
    </row>
    <row r="506" spans="1:18" x14ac:dyDescent="0.25">
      <c r="A506" s="170">
        <v>42746</v>
      </c>
      <c r="B506" s="116">
        <v>126.23086122121001</v>
      </c>
      <c r="C506" s="116">
        <v>125.78638635775501</v>
      </c>
      <c r="D506" s="116">
        <v>122.971378889207</v>
      </c>
      <c r="E506" s="116">
        <v>123.860328616117</v>
      </c>
      <c r="F506" s="116">
        <v>127.35</v>
      </c>
      <c r="G506">
        <v>117158</v>
      </c>
      <c r="H506" s="116"/>
      <c r="I506" s="116"/>
      <c r="L506" s="170">
        <v>42746</v>
      </c>
      <c r="M506" s="116">
        <v>125.98405978714899</v>
      </c>
      <c r="N506" s="116">
        <v>126.329762812829</v>
      </c>
      <c r="O506" s="116">
        <v>123.020890995605</v>
      </c>
      <c r="P506" s="116">
        <v>123.465366314337</v>
      </c>
      <c r="Q506" s="116">
        <v>127.55</v>
      </c>
      <c r="R506">
        <v>839283</v>
      </c>
    </row>
    <row r="507" spans="1:18" x14ac:dyDescent="0.25">
      <c r="A507" s="170">
        <v>42747</v>
      </c>
      <c r="B507" s="116">
        <v>126.823494372483</v>
      </c>
      <c r="C507" s="116">
        <v>123.662784232359</v>
      </c>
      <c r="D507" s="116">
        <v>122.625676217631</v>
      </c>
      <c r="E507" s="116">
        <v>126.42840560496801</v>
      </c>
      <c r="F507" s="116">
        <v>125.2</v>
      </c>
      <c r="G507">
        <v>125830</v>
      </c>
      <c r="H507" s="116"/>
      <c r="I507" s="116"/>
      <c r="L507" s="170">
        <v>42747</v>
      </c>
      <c r="M507" s="116">
        <v>123.61352475391401</v>
      </c>
      <c r="N507" s="116">
        <v>126.823624278087</v>
      </c>
      <c r="O507" s="116">
        <v>122.527029530348</v>
      </c>
      <c r="P507" s="116">
        <v>126.724851985035</v>
      </c>
      <c r="Q507" s="116">
        <v>125.15</v>
      </c>
      <c r="R507">
        <v>1403598</v>
      </c>
    </row>
    <row r="508" spans="1:18" x14ac:dyDescent="0.25">
      <c r="A508" s="170">
        <v>42748</v>
      </c>
      <c r="B508" s="116">
        <v>129.09525478569699</v>
      </c>
      <c r="C508" s="116">
        <v>126.67533608466501</v>
      </c>
      <c r="D508" s="116">
        <v>125.34191149430001</v>
      </c>
      <c r="E508" s="116">
        <v>125.440683686179</v>
      </c>
      <c r="F508" s="116">
        <v>128.25</v>
      </c>
      <c r="G508">
        <v>424278</v>
      </c>
      <c r="H508" s="116"/>
      <c r="I508" s="116"/>
      <c r="L508" s="170">
        <v>42748</v>
      </c>
      <c r="M508" s="116">
        <v>126.77423813156101</v>
      </c>
      <c r="N508" s="116">
        <v>129.292931604373</v>
      </c>
      <c r="O508" s="116">
        <v>125.095109149686</v>
      </c>
      <c r="P508" s="116">
        <v>125.34203988231501</v>
      </c>
      <c r="Q508" s="116">
        <v>128.35</v>
      </c>
      <c r="R508">
        <v>3617760</v>
      </c>
    </row>
    <row r="509" spans="1:18" x14ac:dyDescent="0.25">
      <c r="A509" s="170">
        <v>42751</v>
      </c>
      <c r="B509" s="116">
        <v>126.625949988725</v>
      </c>
      <c r="C509" s="116">
        <v>126.03331683745201</v>
      </c>
      <c r="D509" s="116">
        <v>125.440683686179</v>
      </c>
      <c r="E509" s="116">
        <v>126.576563892786</v>
      </c>
      <c r="F509" s="116">
        <v>127.6</v>
      </c>
      <c r="G509">
        <v>84468</v>
      </c>
      <c r="H509" s="116"/>
      <c r="I509" s="116"/>
      <c r="L509" s="170">
        <v>42751</v>
      </c>
      <c r="M509" s="116">
        <v>126.082832080201</v>
      </c>
      <c r="N509" s="116">
        <v>126.823624278087</v>
      </c>
      <c r="O509" s="116">
        <v>125.44081217536601</v>
      </c>
      <c r="P509" s="116">
        <v>126.626079691984</v>
      </c>
      <c r="Q509" s="116">
        <v>127.65</v>
      </c>
      <c r="R509">
        <v>538746</v>
      </c>
    </row>
    <row r="510" spans="1:18" x14ac:dyDescent="0.25">
      <c r="A510" s="170">
        <v>42752</v>
      </c>
      <c r="B510" s="116">
        <v>127.712444099393</v>
      </c>
      <c r="C510" s="116">
        <v>126.082702933391</v>
      </c>
      <c r="D510" s="116">
        <v>125.09498101460299</v>
      </c>
      <c r="E510" s="116">
        <v>126.379019509028</v>
      </c>
      <c r="F510" s="116">
        <v>127.65</v>
      </c>
      <c r="G510">
        <v>91150</v>
      </c>
      <c r="H510" s="116"/>
      <c r="I510" s="116"/>
      <c r="L510" s="170">
        <v>42752</v>
      </c>
      <c r="M510" s="116">
        <v>126.033445933675</v>
      </c>
      <c r="N510" s="116">
        <v>127.81134720860101</v>
      </c>
      <c r="O510" s="116">
        <v>124.996336856634</v>
      </c>
      <c r="P510" s="116">
        <v>127.02116886418899</v>
      </c>
      <c r="Q510" s="116">
        <v>127.6</v>
      </c>
      <c r="R510">
        <v>851814</v>
      </c>
    </row>
    <row r="511" spans="1:18" x14ac:dyDescent="0.25">
      <c r="A511" s="170">
        <v>42753</v>
      </c>
      <c r="B511" s="116">
        <v>128.749552114121</v>
      </c>
      <c r="C511" s="116">
        <v>127.169197044059</v>
      </c>
      <c r="D511" s="116">
        <v>125.98393074151301</v>
      </c>
      <c r="E511" s="116">
        <v>125.98393074151301</v>
      </c>
      <c r="F511" s="116">
        <v>128.75</v>
      </c>
      <c r="G511">
        <v>165371</v>
      </c>
      <c r="H511" s="116"/>
      <c r="I511" s="116"/>
      <c r="L511" s="170">
        <v>42753</v>
      </c>
      <c r="M511" s="116">
        <v>127.070555010715</v>
      </c>
      <c r="N511" s="116">
        <v>128.84845628564199</v>
      </c>
      <c r="O511" s="116">
        <v>126.132218226726</v>
      </c>
      <c r="P511" s="116">
        <v>126.428535105881</v>
      </c>
      <c r="Q511" s="116">
        <v>128.65</v>
      </c>
      <c r="R511">
        <v>1059940</v>
      </c>
    </row>
    <row r="512" spans="1:18" x14ac:dyDescent="0.25">
      <c r="A512" s="170">
        <v>42754</v>
      </c>
      <c r="B512" s="116">
        <v>129.885432320728</v>
      </c>
      <c r="C512" s="116">
        <v>128.79893821006101</v>
      </c>
      <c r="D512" s="116">
        <v>127.663058003454</v>
      </c>
      <c r="E512" s="116">
        <v>127.811216291272</v>
      </c>
      <c r="F512" s="116">
        <v>130.4</v>
      </c>
      <c r="G512">
        <v>148993</v>
      </c>
      <c r="H512" s="116"/>
      <c r="I512" s="116"/>
      <c r="L512" s="170">
        <v>42754</v>
      </c>
      <c r="M512" s="116">
        <v>128.89784243216701</v>
      </c>
      <c r="N512" s="116">
        <v>129.93495150920799</v>
      </c>
      <c r="O512" s="116">
        <v>127.564416475973</v>
      </c>
      <c r="P512" s="116">
        <v>128.20643638080699</v>
      </c>
      <c r="Q512" s="116">
        <v>130.5</v>
      </c>
      <c r="R512">
        <v>1308883</v>
      </c>
    </row>
    <row r="513" spans="1:18" x14ac:dyDescent="0.25">
      <c r="A513" s="170">
        <v>42755</v>
      </c>
      <c r="B513" s="116">
        <v>129.73727403290999</v>
      </c>
      <c r="C513" s="116">
        <v>125.045594918663</v>
      </c>
      <c r="D513" s="116">
        <v>124.551733959269</v>
      </c>
      <c r="E513" s="116">
        <v>128.79893821006101</v>
      </c>
      <c r="F513" s="116">
        <v>126.6</v>
      </c>
      <c r="G513">
        <v>104253</v>
      </c>
      <c r="H513" s="116"/>
      <c r="I513" s="116"/>
      <c r="L513" s="170">
        <v>42755</v>
      </c>
      <c r="M513" s="116">
        <v>124.848178417057</v>
      </c>
      <c r="N513" s="116">
        <v>129.737406923105</v>
      </c>
      <c r="O513" s="116">
        <v>124.453089244851</v>
      </c>
      <c r="P513" s="116">
        <v>128.65091169953899</v>
      </c>
      <c r="Q513" s="116">
        <v>126.4</v>
      </c>
      <c r="R513">
        <v>961631</v>
      </c>
    </row>
    <row r="514" spans="1:18" x14ac:dyDescent="0.25">
      <c r="A514" s="170">
        <v>42758</v>
      </c>
      <c r="B514" s="116">
        <v>126.823494372483</v>
      </c>
      <c r="C514" s="116">
        <v>126.47779170090701</v>
      </c>
      <c r="D514" s="116">
        <v>125.045594918663</v>
      </c>
      <c r="E514" s="116">
        <v>126.774108276544</v>
      </c>
      <c r="F514" s="116">
        <v>128.05000000000001</v>
      </c>
      <c r="G514">
        <v>79220</v>
      </c>
      <c r="H514" s="116"/>
      <c r="I514" s="116"/>
      <c r="L514" s="170">
        <v>42758</v>
      </c>
      <c r="M514" s="116">
        <v>126.329762812829</v>
      </c>
      <c r="N514" s="116">
        <v>126.823624278087</v>
      </c>
      <c r="O514" s="116">
        <v>125.04572300316001</v>
      </c>
      <c r="P514" s="116">
        <v>126.033445933675</v>
      </c>
      <c r="Q514" s="116">
        <v>127.9</v>
      </c>
      <c r="R514">
        <v>746313</v>
      </c>
    </row>
    <row r="515" spans="1:18" x14ac:dyDescent="0.25">
      <c r="A515" s="170">
        <v>42759</v>
      </c>
      <c r="B515" s="116">
        <v>127.712444099393</v>
      </c>
      <c r="C515" s="116">
        <v>127.021038756241</v>
      </c>
      <c r="D515" s="116">
        <v>125.53945587805801</v>
      </c>
      <c r="E515" s="116">
        <v>126.922266564362</v>
      </c>
      <c r="F515" s="116">
        <v>128.6</v>
      </c>
      <c r="G515">
        <v>71716</v>
      </c>
      <c r="H515" s="116"/>
      <c r="I515" s="116"/>
      <c r="L515" s="170">
        <v>42759</v>
      </c>
      <c r="M515" s="116">
        <v>126.873010424612</v>
      </c>
      <c r="N515" s="116">
        <v>127.36687188987</v>
      </c>
      <c r="O515" s="116">
        <v>125.292653735789</v>
      </c>
      <c r="P515" s="116">
        <v>127.218713450292</v>
      </c>
      <c r="Q515" s="116">
        <v>128.44999999999999</v>
      </c>
      <c r="R515">
        <v>996229</v>
      </c>
    </row>
    <row r="516" spans="1:18" x14ac:dyDescent="0.25">
      <c r="A516" s="170">
        <v>42760</v>
      </c>
      <c r="B516" s="116">
        <v>127.416127523756</v>
      </c>
      <c r="C516" s="116">
        <v>126.625949988725</v>
      </c>
      <c r="D516" s="116">
        <v>124.996208822724</v>
      </c>
      <c r="E516" s="116">
        <v>124.996208822724</v>
      </c>
      <c r="F516" s="116">
        <v>128.19999999999999</v>
      </c>
      <c r="G516">
        <v>84761</v>
      </c>
      <c r="H516" s="116"/>
      <c r="I516" s="116"/>
      <c r="L516" s="170">
        <v>42760</v>
      </c>
      <c r="M516" s="116">
        <v>126.77423813156101</v>
      </c>
      <c r="N516" s="116">
        <v>127.663188769024</v>
      </c>
      <c r="O516" s="116">
        <v>125.88528749409799</v>
      </c>
      <c r="P516" s="116">
        <v>127.663188769024</v>
      </c>
      <c r="Q516" s="116">
        <v>128.35</v>
      </c>
      <c r="R516">
        <v>909771</v>
      </c>
    </row>
    <row r="517" spans="1:18" x14ac:dyDescent="0.25">
      <c r="A517" s="170">
        <v>42762</v>
      </c>
      <c r="B517" s="116">
        <v>128.354463346606</v>
      </c>
      <c r="C517" s="116">
        <v>127.465513619696</v>
      </c>
      <c r="D517" s="116">
        <v>126.922266564362</v>
      </c>
      <c r="E517" s="116">
        <v>127.613671907514</v>
      </c>
      <c r="F517" s="116">
        <v>129.05000000000001</v>
      </c>
      <c r="G517">
        <v>105163</v>
      </c>
      <c r="H517" s="116"/>
      <c r="I517" s="116"/>
      <c r="L517" s="170">
        <v>42762</v>
      </c>
      <c r="M517" s="116">
        <v>127.613802622498</v>
      </c>
      <c r="N517" s="116">
        <v>128.35459482038399</v>
      </c>
      <c r="O517" s="116">
        <v>126.77423813156101</v>
      </c>
      <c r="P517" s="116">
        <v>126.77423813156101</v>
      </c>
      <c r="Q517" s="116">
        <v>129.19999999999999</v>
      </c>
      <c r="R517">
        <v>759876</v>
      </c>
    </row>
    <row r="518" spans="1:18" x14ac:dyDescent="0.25">
      <c r="A518" s="170">
        <v>42765</v>
      </c>
      <c r="B518" s="116">
        <v>130.08297670448599</v>
      </c>
      <c r="C518" s="116">
        <v>128.79893821006101</v>
      </c>
      <c r="D518" s="116">
        <v>126.42840560496801</v>
      </c>
      <c r="E518" s="116">
        <v>126.922266564362</v>
      </c>
      <c r="F518" s="116">
        <v>130.4</v>
      </c>
      <c r="G518">
        <v>269848</v>
      </c>
      <c r="H518" s="116"/>
      <c r="I518" s="116"/>
      <c r="L518" s="170">
        <v>42765</v>
      </c>
      <c r="M518" s="116">
        <v>128.84845628564199</v>
      </c>
      <c r="N518" s="116">
        <v>130.18188224183601</v>
      </c>
      <c r="O518" s="116">
        <v>126.527307398932</v>
      </c>
      <c r="P518" s="116">
        <v>127.515030329447</v>
      </c>
      <c r="Q518" s="116">
        <v>130.44999999999999</v>
      </c>
      <c r="R518">
        <v>1256759</v>
      </c>
    </row>
    <row r="519" spans="1:18" x14ac:dyDescent="0.25">
      <c r="A519" s="170">
        <v>42766</v>
      </c>
      <c r="B519" s="116">
        <v>130.32990718418301</v>
      </c>
      <c r="C519" s="116">
        <v>127.465513619696</v>
      </c>
      <c r="D519" s="116">
        <v>126.922266564362</v>
      </c>
      <c r="E519" s="116">
        <v>129.391571361334</v>
      </c>
      <c r="F519" s="116">
        <v>129.05000000000001</v>
      </c>
      <c r="G519">
        <v>198070</v>
      </c>
      <c r="H519" s="116"/>
      <c r="I519" s="116"/>
      <c r="L519" s="170">
        <v>42766</v>
      </c>
      <c r="M519" s="116">
        <v>127.268099596818</v>
      </c>
      <c r="N519" s="116">
        <v>130.379426827939</v>
      </c>
      <c r="O519" s="116">
        <v>126.92239657113799</v>
      </c>
      <c r="P519" s="116">
        <v>128.89784243216701</v>
      </c>
      <c r="Q519" s="116">
        <v>128.85</v>
      </c>
      <c r="R519">
        <v>1614154</v>
      </c>
    </row>
    <row r="520" spans="1:18" x14ac:dyDescent="0.25">
      <c r="A520" s="170">
        <v>42767</v>
      </c>
      <c r="B520" s="116">
        <v>129.144640881637</v>
      </c>
      <c r="C520" s="116">
        <v>128.65077992224201</v>
      </c>
      <c r="D520" s="116">
        <v>125.934544645573</v>
      </c>
      <c r="E520" s="116">
        <v>126.527177796846</v>
      </c>
      <c r="F520" s="116">
        <v>130.25</v>
      </c>
      <c r="G520">
        <v>148691</v>
      </c>
      <c r="H520" s="116"/>
      <c r="I520" s="116"/>
      <c r="L520" s="170">
        <v>42767</v>
      </c>
      <c r="M520" s="116">
        <v>128.502753259961</v>
      </c>
      <c r="N520" s="116">
        <v>129.04600087174501</v>
      </c>
      <c r="O520" s="116">
        <v>125.786515201046</v>
      </c>
      <c r="P520" s="116">
        <v>127.465644182921</v>
      </c>
      <c r="Q520" s="116">
        <v>130.1</v>
      </c>
      <c r="R520">
        <v>1221969</v>
      </c>
    </row>
    <row r="521" spans="1:18" x14ac:dyDescent="0.25">
      <c r="A521" s="170">
        <v>42768</v>
      </c>
      <c r="B521" s="116">
        <v>137.04641623194701</v>
      </c>
      <c r="C521" s="116">
        <v>135.91053602534001</v>
      </c>
      <c r="D521" s="116">
        <v>130.67560985575901</v>
      </c>
      <c r="E521" s="116">
        <v>131.56455958266901</v>
      </c>
      <c r="F521" s="116">
        <v>137.6</v>
      </c>
      <c r="G521">
        <v>790919</v>
      </c>
      <c r="H521" s="116"/>
      <c r="I521" s="116"/>
      <c r="L521" s="170">
        <v>42768</v>
      </c>
      <c r="M521" s="116">
        <v>135.96006138534699</v>
      </c>
      <c r="N521" s="116">
        <v>137.09594275543901</v>
      </c>
      <c r="O521" s="116">
        <v>130.77451600014501</v>
      </c>
      <c r="P521" s="116">
        <v>130.823902146671</v>
      </c>
      <c r="Q521" s="116">
        <v>137.65</v>
      </c>
      <c r="R521">
        <v>6652685</v>
      </c>
    </row>
    <row r="522" spans="1:18" x14ac:dyDescent="0.25">
      <c r="A522" s="170">
        <v>42769</v>
      </c>
      <c r="B522" s="116">
        <v>141.985025825891</v>
      </c>
      <c r="C522" s="116">
        <v>139.86142370049501</v>
      </c>
      <c r="D522" s="116">
        <v>135.614219449703</v>
      </c>
      <c r="E522" s="116">
        <v>135.91053602534001</v>
      </c>
      <c r="F522" s="116">
        <v>141.6</v>
      </c>
      <c r="G522">
        <v>666351</v>
      </c>
      <c r="H522" s="116"/>
      <c r="I522" s="116"/>
      <c r="L522" s="170">
        <v>42769</v>
      </c>
      <c r="M522" s="116">
        <v>140.10849769350901</v>
      </c>
      <c r="N522" s="116">
        <v>142.13332970106401</v>
      </c>
      <c r="O522" s="116">
        <v>135.416813773564</v>
      </c>
      <c r="P522" s="116">
        <v>136.50330899713001</v>
      </c>
      <c r="Q522" s="116">
        <v>141.85</v>
      </c>
      <c r="R522">
        <v>3569132</v>
      </c>
    </row>
    <row r="523" spans="1:18" x14ac:dyDescent="0.25">
      <c r="A523" s="170">
        <v>42772</v>
      </c>
      <c r="B523" s="116">
        <v>142.873975552801</v>
      </c>
      <c r="C523" s="116">
        <v>140.700987331466</v>
      </c>
      <c r="D523" s="116">
        <v>139.170018357343</v>
      </c>
      <c r="E523" s="116">
        <v>139.51572102891899</v>
      </c>
      <c r="F523" s="116">
        <v>142.44999999999999</v>
      </c>
      <c r="G523">
        <v>279547</v>
      </c>
      <c r="H523" s="116"/>
      <c r="I523" s="116"/>
      <c r="L523" s="170">
        <v>42772</v>
      </c>
      <c r="M523" s="116">
        <v>140.99744833097199</v>
      </c>
      <c r="N523" s="116">
        <v>142.972894192002</v>
      </c>
      <c r="O523" s="116">
        <v>139.46647778867501</v>
      </c>
      <c r="P523" s="116">
        <v>140.157883840035</v>
      </c>
      <c r="Q523" s="116">
        <v>142.75</v>
      </c>
      <c r="R523">
        <v>2127506</v>
      </c>
    </row>
    <row r="524" spans="1:18" x14ac:dyDescent="0.25">
      <c r="A524" s="170">
        <v>42773</v>
      </c>
      <c r="B524" s="116">
        <v>143.71353918377201</v>
      </c>
      <c r="C524" s="116">
        <v>139.91080979643499</v>
      </c>
      <c r="D524" s="116">
        <v>138.52799911013</v>
      </c>
      <c r="E524" s="116">
        <v>140.30589856395</v>
      </c>
      <c r="F524" s="116">
        <v>141.65</v>
      </c>
      <c r="G524">
        <v>254798</v>
      </c>
      <c r="H524" s="116"/>
      <c r="I524" s="116"/>
      <c r="L524" s="170">
        <v>42773</v>
      </c>
      <c r="M524" s="116">
        <v>139.91095310740599</v>
      </c>
      <c r="N524" s="116">
        <v>144.01000326904199</v>
      </c>
      <c r="O524" s="116">
        <v>138.37998256510801</v>
      </c>
      <c r="P524" s="116">
        <v>140.35542842613799</v>
      </c>
      <c r="Q524" s="116">
        <v>141.65</v>
      </c>
      <c r="R524">
        <v>2205918</v>
      </c>
    </row>
    <row r="525" spans="1:18" x14ac:dyDescent="0.25">
      <c r="A525" s="170">
        <v>42774</v>
      </c>
      <c r="B525" s="116">
        <v>144.948191582258</v>
      </c>
      <c r="C525" s="116">
        <v>144.10862795128699</v>
      </c>
      <c r="D525" s="116">
        <v>139.41694883704</v>
      </c>
      <c r="E525" s="116">
        <v>139.565107124859</v>
      </c>
      <c r="F525" s="116">
        <v>145.9</v>
      </c>
      <c r="G525">
        <v>268965</v>
      </c>
      <c r="H525" s="116"/>
      <c r="I525" s="116"/>
      <c r="L525" s="170">
        <v>42774</v>
      </c>
      <c r="M525" s="116">
        <v>144.35570629472201</v>
      </c>
      <c r="N525" s="116">
        <v>145.09649849260799</v>
      </c>
      <c r="O525" s="116">
        <v>139.61463622825201</v>
      </c>
      <c r="P525" s="116">
        <v>140.20726998656099</v>
      </c>
      <c r="Q525" s="116">
        <v>146.15</v>
      </c>
      <c r="R525">
        <v>2162887</v>
      </c>
    </row>
    <row r="526" spans="1:18" x14ac:dyDescent="0.25">
      <c r="A526" s="170">
        <v>42775</v>
      </c>
      <c r="B526" s="116">
        <v>145.293894253834</v>
      </c>
      <c r="C526" s="116">
        <v>142.18257020964899</v>
      </c>
      <c r="D526" s="116">
        <v>141.58993705837599</v>
      </c>
      <c r="E526" s="116">
        <v>144.70126110256001</v>
      </c>
      <c r="F526" s="116">
        <v>143.94999999999999</v>
      </c>
      <c r="G526">
        <v>332700</v>
      </c>
      <c r="H526" s="116"/>
      <c r="I526" s="116"/>
      <c r="L526" s="170">
        <v>42775</v>
      </c>
      <c r="M526" s="116">
        <v>142.13332970106401</v>
      </c>
      <c r="N526" s="116">
        <v>145.343429225237</v>
      </c>
      <c r="O526" s="116">
        <v>141.29376521012699</v>
      </c>
      <c r="P526" s="116">
        <v>144.20754785514501</v>
      </c>
      <c r="Q526" s="116">
        <v>143.9</v>
      </c>
      <c r="R526">
        <v>1726818</v>
      </c>
    </row>
    <row r="527" spans="1:18" x14ac:dyDescent="0.25">
      <c r="A527" s="170">
        <v>42776</v>
      </c>
      <c r="B527" s="116">
        <v>143.56538089595301</v>
      </c>
      <c r="C527" s="116">
        <v>142.13318411371</v>
      </c>
      <c r="D527" s="116">
        <v>141.04669000304199</v>
      </c>
      <c r="E527" s="116">
        <v>142.231956305588</v>
      </c>
      <c r="F527" s="116">
        <v>143.9</v>
      </c>
      <c r="G527">
        <v>128007</v>
      </c>
      <c r="H527" s="116"/>
      <c r="I527" s="116"/>
      <c r="L527" s="170">
        <v>42776</v>
      </c>
      <c r="M527" s="116">
        <v>142.18271584759</v>
      </c>
      <c r="N527" s="116">
        <v>143.71368638988801</v>
      </c>
      <c r="O527" s="116">
        <v>140.84928989139499</v>
      </c>
      <c r="P527" s="116">
        <v>142.18271584759</v>
      </c>
      <c r="Q527" s="116">
        <v>143.94999999999999</v>
      </c>
      <c r="R527">
        <v>1367413</v>
      </c>
    </row>
    <row r="528" spans="1:18" x14ac:dyDescent="0.25">
      <c r="A528" s="170">
        <v>42779</v>
      </c>
      <c r="B528" s="116">
        <v>144.898805486318</v>
      </c>
      <c r="C528" s="116">
        <v>140.058968084253</v>
      </c>
      <c r="D528" s="116">
        <v>139.318176645161</v>
      </c>
      <c r="E528" s="116">
        <v>142.28134240152801</v>
      </c>
      <c r="F528" s="116">
        <v>141.80000000000001</v>
      </c>
      <c r="G528">
        <v>253161</v>
      </c>
      <c r="H528" s="116"/>
      <c r="I528" s="116"/>
      <c r="L528" s="170">
        <v>42779</v>
      </c>
      <c r="M528" s="116">
        <v>140.20726998656099</v>
      </c>
      <c r="N528" s="116">
        <v>145.047112346083</v>
      </c>
      <c r="O528" s="116">
        <v>139.5158639352</v>
      </c>
      <c r="P528" s="116">
        <v>143.121052631579</v>
      </c>
      <c r="Q528" s="116">
        <v>141.94999999999999</v>
      </c>
      <c r="R528">
        <v>2224197</v>
      </c>
    </row>
    <row r="529" spans="1:18" x14ac:dyDescent="0.25">
      <c r="A529" s="170">
        <v>42780</v>
      </c>
      <c r="B529" s="116">
        <v>141.738095346194</v>
      </c>
      <c r="C529" s="116">
        <v>139.76265150861599</v>
      </c>
      <c r="D529" s="116">
        <v>138.429226918252</v>
      </c>
      <c r="E529" s="116">
        <v>140.454056851769</v>
      </c>
      <c r="F529" s="116">
        <v>141.5</v>
      </c>
      <c r="G529">
        <v>137197</v>
      </c>
      <c r="H529" s="116"/>
      <c r="I529" s="116"/>
      <c r="L529" s="170">
        <v>42780</v>
      </c>
      <c r="M529" s="116">
        <v>139.46647778867501</v>
      </c>
      <c r="N529" s="116">
        <v>141.93578511496099</v>
      </c>
      <c r="O529" s="116">
        <v>138.23182412553101</v>
      </c>
      <c r="P529" s="116">
        <v>140.651745305292</v>
      </c>
      <c r="Q529" s="116">
        <v>141.19999999999999</v>
      </c>
      <c r="R529">
        <v>1395593</v>
      </c>
    </row>
    <row r="530" spans="1:18" x14ac:dyDescent="0.25">
      <c r="A530" s="170">
        <v>42781</v>
      </c>
      <c r="B530" s="116">
        <v>140.99730390710201</v>
      </c>
      <c r="C530" s="116">
        <v>136.94764404006801</v>
      </c>
      <c r="D530" s="116">
        <v>136.30562479285601</v>
      </c>
      <c r="E530" s="116">
        <v>139.219404453283</v>
      </c>
      <c r="F530" s="116">
        <v>138.65</v>
      </c>
      <c r="G530">
        <v>135839</v>
      </c>
      <c r="H530" s="116"/>
      <c r="I530" s="116"/>
      <c r="L530" s="170">
        <v>42781</v>
      </c>
      <c r="M530" s="116">
        <v>137.04655660891399</v>
      </c>
      <c r="N530" s="116">
        <v>141.096220624024</v>
      </c>
      <c r="O530" s="116">
        <v>136.30576441102801</v>
      </c>
      <c r="P530" s="116">
        <v>139.17016090952001</v>
      </c>
      <c r="Q530" s="116">
        <v>138.75</v>
      </c>
      <c r="R530">
        <v>1193620</v>
      </c>
    </row>
    <row r="531" spans="1:18" x14ac:dyDescent="0.25">
      <c r="A531" s="170">
        <v>42782</v>
      </c>
      <c r="B531" s="116">
        <v>139.071246165464</v>
      </c>
      <c r="C531" s="116">
        <v>138.37984082231199</v>
      </c>
      <c r="D531" s="116">
        <v>136.84887184818899</v>
      </c>
      <c r="E531" s="116">
        <v>137.29334671164401</v>
      </c>
      <c r="F531" s="116">
        <v>140.1</v>
      </c>
      <c r="G531">
        <v>77598</v>
      </c>
      <c r="H531" s="116"/>
      <c r="I531" s="116"/>
      <c r="L531" s="170">
        <v>42782</v>
      </c>
      <c r="M531" s="116">
        <v>138.37998256510801</v>
      </c>
      <c r="N531" s="116">
        <v>138.97261632341699</v>
      </c>
      <c r="O531" s="116">
        <v>136.40453670407899</v>
      </c>
      <c r="P531" s="116">
        <v>137.491031927645</v>
      </c>
      <c r="Q531" s="116">
        <v>140.1</v>
      </c>
      <c r="R531">
        <v>942382</v>
      </c>
    </row>
    <row r="532" spans="1:18" x14ac:dyDescent="0.25">
      <c r="A532" s="170">
        <v>42783</v>
      </c>
      <c r="B532" s="116">
        <v>140.15774027613199</v>
      </c>
      <c r="C532" s="116">
        <v>138.47861301419101</v>
      </c>
      <c r="D532" s="116">
        <v>137.98475205479701</v>
      </c>
      <c r="E532" s="116">
        <v>139.170018357343</v>
      </c>
      <c r="F532" s="116">
        <v>140.19999999999999</v>
      </c>
      <c r="G532">
        <v>72762</v>
      </c>
      <c r="H532" s="116"/>
      <c r="I532" s="116"/>
      <c r="L532" s="170">
        <v>42783</v>
      </c>
      <c r="M532" s="116">
        <v>138.429368711634</v>
      </c>
      <c r="N532" s="116">
        <v>140.20726998656099</v>
      </c>
      <c r="O532" s="116">
        <v>137.935507246377</v>
      </c>
      <c r="P532" s="116">
        <v>139.17016090952001</v>
      </c>
      <c r="Q532" s="116">
        <v>140.15</v>
      </c>
      <c r="R532">
        <v>952450</v>
      </c>
    </row>
    <row r="533" spans="1:18" x14ac:dyDescent="0.25">
      <c r="A533" s="170">
        <v>42786</v>
      </c>
      <c r="B533" s="116">
        <v>140.75037342740501</v>
      </c>
      <c r="C533" s="116">
        <v>139.76265150861599</v>
      </c>
      <c r="D533" s="116">
        <v>138.182296438554</v>
      </c>
      <c r="E533" s="116">
        <v>140.25651246801101</v>
      </c>
      <c r="F533" s="116">
        <v>141.5</v>
      </c>
      <c r="G533">
        <v>136166</v>
      </c>
      <c r="H533" s="116"/>
      <c r="I533" s="116"/>
      <c r="L533" s="170">
        <v>42786</v>
      </c>
      <c r="M533" s="116">
        <v>139.86156696088</v>
      </c>
      <c r="N533" s="116">
        <v>140.84928989139499</v>
      </c>
      <c r="O533" s="116">
        <v>138.083665685954</v>
      </c>
      <c r="P533" s="116">
        <v>139.26893320257199</v>
      </c>
      <c r="Q533" s="116">
        <v>141.6</v>
      </c>
      <c r="R533">
        <v>1517679</v>
      </c>
    </row>
    <row r="534" spans="1:18" x14ac:dyDescent="0.25">
      <c r="A534" s="170">
        <v>42787</v>
      </c>
      <c r="B534" s="116">
        <v>141.491164866497</v>
      </c>
      <c r="C534" s="116">
        <v>140.00958198831401</v>
      </c>
      <c r="D534" s="116">
        <v>139.26879054922199</v>
      </c>
      <c r="E534" s="116">
        <v>140.25651246801101</v>
      </c>
      <c r="F534" s="116">
        <v>141.75</v>
      </c>
      <c r="G534">
        <v>114627</v>
      </c>
      <c r="H534" s="116"/>
      <c r="I534" s="116"/>
      <c r="L534" s="170">
        <v>42787</v>
      </c>
      <c r="M534" s="116">
        <v>139.86156696088</v>
      </c>
      <c r="N534" s="116">
        <v>141.44192364970399</v>
      </c>
      <c r="O534" s="116">
        <v>139.26893320257199</v>
      </c>
      <c r="P534" s="116">
        <v>140.40481457266401</v>
      </c>
      <c r="Q534" s="116">
        <v>141.6</v>
      </c>
      <c r="R534">
        <v>1671915</v>
      </c>
    </row>
    <row r="535" spans="1:18" x14ac:dyDescent="0.25">
      <c r="A535" s="170">
        <v>42788</v>
      </c>
      <c r="B535" s="116">
        <v>141.04669000304199</v>
      </c>
      <c r="C535" s="116">
        <v>138.33045472637301</v>
      </c>
      <c r="D535" s="116">
        <v>137.787207671039</v>
      </c>
      <c r="E535" s="116">
        <v>140.50344294770801</v>
      </c>
      <c r="F535" s="116">
        <v>140.05000000000001</v>
      </c>
      <c r="G535">
        <v>107652</v>
      </c>
      <c r="H535" s="116"/>
      <c r="I535" s="116"/>
      <c r="L535" s="170">
        <v>42788</v>
      </c>
      <c r="M535" s="116">
        <v>138.281210272057</v>
      </c>
      <c r="N535" s="116">
        <v>140.99744833097199</v>
      </c>
      <c r="O535" s="116">
        <v>137.88612109985101</v>
      </c>
      <c r="P535" s="116">
        <v>140.799903744869</v>
      </c>
      <c r="Q535" s="116">
        <v>140</v>
      </c>
      <c r="R535">
        <v>1296093</v>
      </c>
    </row>
    <row r="536" spans="1:18" x14ac:dyDescent="0.25">
      <c r="A536" s="170">
        <v>42789</v>
      </c>
      <c r="B536" s="116">
        <v>139.170018357343</v>
      </c>
      <c r="C536" s="116">
        <v>137.540277191342</v>
      </c>
      <c r="D536" s="116">
        <v>136.84887184818899</v>
      </c>
      <c r="E536" s="116">
        <v>137.58966328728101</v>
      </c>
      <c r="F536" s="116">
        <v>139.25</v>
      </c>
      <c r="G536">
        <v>95293</v>
      </c>
      <c r="H536" s="116"/>
      <c r="I536" s="116"/>
      <c r="L536" s="170">
        <v>42789</v>
      </c>
      <c r="M536" s="116">
        <v>137.54041807417099</v>
      </c>
      <c r="N536" s="116">
        <v>139.17016090952001</v>
      </c>
      <c r="O536" s="116">
        <v>136.997170462388</v>
      </c>
      <c r="P536" s="116">
        <v>138.33059641858301</v>
      </c>
      <c r="Q536" s="116">
        <v>139.25</v>
      </c>
      <c r="R536">
        <v>1340126</v>
      </c>
    </row>
    <row r="537" spans="1:18" x14ac:dyDescent="0.25">
      <c r="A537" s="170">
        <v>42793</v>
      </c>
      <c r="B537" s="116">
        <v>138.824315685767</v>
      </c>
      <c r="C537" s="116">
        <v>137.29334671164401</v>
      </c>
      <c r="D537" s="116">
        <v>137.04641623194701</v>
      </c>
      <c r="E537" s="116">
        <v>137.73782157509899</v>
      </c>
      <c r="F537" s="116">
        <v>139</v>
      </c>
      <c r="G537">
        <v>71509</v>
      </c>
      <c r="H537" s="116"/>
      <c r="I537" s="116"/>
      <c r="L537" s="170">
        <v>42793</v>
      </c>
      <c r="M537" s="116">
        <v>137.19471504849099</v>
      </c>
      <c r="N537" s="116">
        <v>138.725685590789</v>
      </c>
      <c r="O537" s="116">
        <v>136.651467436708</v>
      </c>
      <c r="P537" s="116">
        <v>137.293487341542</v>
      </c>
      <c r="Q537" s="116">
        <v>138.9</v>
      </c>
      <c r="R537">
        <v>1129032</v>
      </c>
    </row>
    <row r="538" spans="1:18" x14ac:dyDescent="0.25">
      <c r="A538" s="170">
        <v>42794</v>
      </c>
      <c r="B538" s="116">
        <v>138.13291034261499</v>
      </c>
      <c r="C538" s="116">
        <v>136.30562479285601</v>
      </c>
      <c r="D538" s="116">
        <v>134.972200202491</v>
      </c>
      <c r="E538" s="116">
        <v>137.29334671164401</v>
      </c>
      <c r="F538" s="116">
        <v>138</v>
      </c>
      <c r="G538">
        <v>195071</v>
      </c>
      <c r="H538" s="116"/>
      <c r="I538" s="116"/>
      <c r="L538" s="170">
        <v>42794</v>
      </c>
      <c r="M538" s="116">
        <v>136.355150557553</v>
      </c>
      <c r="N538" s="116">
        <v>138.13305183247999</v>
      </c>
      <c r="O538" s="116">
        <v>135.07111074788401</v>
      </c>
      <c r="P538" s="116">
        <v>137.44164578111901</v>
      </c>
      <c r="Q538" s="116">
        <v>138.05000000000001</v>
      </c>
      <c r="R538">
        <v>1513693</v>
      </c>
    </row>
    <row r="539" spans="1:18" x14ac:dyDescent="0.25">
      <c r="A539" s="170">
        <v>42795</v>
      </c>
      <c r="B539" s="116">
        <v>143.762925279711</v>
      </c>
      <c r="C539" s="116">
        <v>141.88625363401201</v>
      </c>
      <c r="D539" s="116">
        <v>136.79948575225001</v>
      </c>
      <c r="E539" s="116">
        <v>136.84887184818899</v>
      </c>
      <c r="F539" s="116">
        <v>143.65</v>
      </c>
      <c r="G539">
        <v>449050</v>
      </c>
      <c r="H539" s="116"/>
      <c r="I539" s="116"/>
      <c r="L539" s="170">
        <v>42795</v>
      </c>
      <c r="M539" s="116">
        <v>141.83701282191001</v>
      </c>
      <c r="N539" s="116">
        <v>144.01000326904199</v>
      </c>
      <c r="O539" s="116">
        <v>136.552695143656</v>
      </c>
      <c r="P539" s="116">
        <v>136.79962587628501</v>
      </c>
      <c r="Q539" s="116">
        <v>143.6</v>
      </c>
      <c r="R539">
        <v>4919352</v>
      </c>
    </row>
    <row r="540" spans="1:18" x14ac:dyDescent="0.25">
      <c r="A540" s="170">
        <v>42796</v>
      </c>
      <c r="B540" s="116">
        <v>143.911083567529</v>
      </c>
      <c r="C540" s="116">
        <v>139.46633493298</v>
      </c>
      <c r="D540" s="116">
        <v>138.57738520607001</v>
      </c>
      <c r="E540" s="116">
        <v>143.31845041625601</v>
      </c>
      <c r="F540" s="116">
        <v>141.19999999999999</v>
      </c>
      <c r="G540">
        <v>200680</v>
      </c>
      <c r="H540" s="116"/>
      <c r="I540" s="116"/>
      <c r="L540" s="170">
        <v>42796</v>
      </c>
      <c r="M540" s="116">
        <v>139.367705495623</v>
      </c>
      <c r="N540" s="116">
        <v>143.960617122516</v>
      </c>
      <c r="O540" s="116">
        <v>138.33059641858301</v>
      </c>
      <c r="P540" s="116">
        <v>143.66430024336199</v>
      </c>
      <c r="Q540" s="116">
        <v>141.1</v>
      </c>
      <c r="R540">
        <v>1765255</v>
      </c>
    </row>
    <row r="541" spans="1:18" x14ac:dyDescent="0.25">
      <c r="A541" s="170">
        <v>42797</v>
      </c>
      <c r="B541" s="116">
        <v>142.42950068934601</v>
      </c>
      <c r="C541" s="116">
        <v>141.44177877055699</v>
      </c>
      <c r="D541" s="116">
        <v>138.281068630433</v>
      </c>
      <c r="E541" s="116">
        <v>141.44177877055699</v>
      </c>
      <c r="F541" s="116">
        <v>143.19999999999999</v>
      </c>
      <c r="G541">
        <v>161855</v>
      </c>
      <c r="H541" s="116"/>
      <c r="I541" s="116"/>
      <c r="L541" s="170">
        <v>42797</v>
      </c>
      <c r="M541" s="116">
        <v>141.590082089281</v>
      </c>
      <c r="N541" s="116">
        <v>142.42964658021901</v>
      </c>
      <c r="O541" s="116">
        <v>138.37998256510801</v>
      </c>
      <c r="P541" s="116">
        <v>139.367705495623</v>
      </c>
      <c r="Q541" s="116">
        <v>143.35</v>
      </c>
      <c r="R541">
        <v>1672938</v>
      </c>
    </row>
    <row r="542" spans="1:18" x14ac:dyDescent="0.25">
      <c r="A542" s="170">
        <v>42800</v>
      </c>
      <c r="B542" s="116">
        <v>143.31845041625601</v>
      </c>
      <c r="C542" s="116">
        <v>141.738095346194</v>
      </c>
      <c r="D542" s="116">
        <v>140.25651246801101</v>
      </c>
      <c r="E542" s="116">
        <v>141.2442343868</v>
      </c>
      <c r="F542" s="116">
        <v>143.5</v>
      </c>
      <c r="G542">
        <v>244283</v>
      </c>
      <c r="H542" s="116"/>
      <c r="I542" s="116"/>
      <c r="L542" s="170">
        <v>42800</v>
      </c>
      <c r="M542" s="116">
        <v>141.49130979623001</v>
      </c>
      <c r="N542" s="116">
        <v>143.41736951073301</v>
      </c>
      <c r="O542" s="116">
        <v>140.35542842613799</v>
      </c>
      <c r="P542" s="116">
        <v>142.18271584759</v>
      </c>
      <c r="Q542" s="116">
        <v>143.25</v>
      </c>
      <c r="R542">
        <v>2043052</v>
      </c>
    </row>
    <row r="543" spans="1:18" x14ac:dyDescent="0.25">
      <c r="A543" s="170">
        <v>42801</v>
      </c>
      <c r="B543" s="116">
        <v>142.380114593407</v>
      </c>
      <c r="C543" s="116">
        <v>140.94791781116299</v>
      </c>
      <c r="D543" s="116">
        <v>140.50344294770801</v>
      </c>
      <c r="E543" s="116">
        <v>141.2442343868</v>
      </c>
      <c r="F543" s="116">
        <v>142.69999999999999</v>
      </c>
      <c r="G543">
        <v>85726</v>
      </c>
      <c r="H543" s="116"/>
      <c r="I543" s="116"/>
      <c r="L543" s="170">
        <v>42801</v>
      </c>
      <c r="M543" s="116">
        <v>140.99744833097199</v>
      </c>
      <c r="N543" s="116">
        <v>142.380260433693</v>
      </c>
      <c r="O543" s="116">
        <v>140.454200719189</v>
      </c>
      <c r="P543" s="116">
        <v>141.244379063601</v>
      </c>
      <c r="Q543" s="116">
        <v>142.75</v>
      </c>
      <c r="R543">
        <v>727617</v>
      </c>
    </row>
    <row r="544" spans="1:18" x14ac:dyDescent="0.25">
      <c r="A544" s="170">
        <v>42802</v>
      </c>
      <c r="B544" s="116">
        <v>141.63932315431501</v>
      </c>
      <c r="C544" s="116">
        <v>139.51572102891899</v>
      </c>
      <c r="D544" s="116">
        <v>138.52799911013</v>
      </c>
      <c r="E544" s="116">
        <v>141.63932315431501</v>
      </c>
      <c r="F544" s="116">
        <v>141.25</v>
      </c>
      <c r="G544">
        <v>145190</v>
      </c>
      <c r="H544" s="116"/>
      <c r="I544" s="116"/>
      <c r="L544" s="170">
        <v>42802</v>
      </c>
      <c r="M544" s="116">
        <v>139.664022374778</v>
      </c>
      <c r="N544" s="116">
        <v>141.244379063601</v>
      </c>
      <c r="O544" s="116">
        <v>138.33059641858301</v>
      </c>
      <c r="P544" s="116">
        <v>140.651745305292</v>
      </c>
      <c r="Q544" s="116">
        <v>141.4</v>
      </c>
      <c r="R544">
        <v>1103877</v>
      </c>
    </row>
    <row r="545" spans="1:18" x14ac:dyDescent="0.25">
      <c r="A545" s="170">
        <v>42803</v>
      </c>
      <c r="B545" s="116">
        <v>140.50344294770801</v>
      </c>
      <c r="C545" s="116">
        <v>139.071246165464</v>
      </c>
      <c r="D545" s="116">
        <v>138.57738520607001</v>
      </c>
      <c r="E545" s="116">
        <v>139.26879054922199</v>
      </c>
      <c r="F545" s="116">
        <v>140.80000000000001</v>
      </c>
      <c r="G545">
        <v>109019</v>
      </c>
      <c r="H545" s="116"/>
      <c r="I545" s="116"/>
      <c r="L545" s="170">
        <v>42803</v>
      </c>
      <c r="M545" s="116">
        <v>139.07138861646899</v>
      </c>
      <c r="N545" s="116">
        <v>140.60235915876601</v>
      </c>
      <c r="O545" s="116">
        <v>138.47875485815999</v>
      </c>
      <c r="P545" s="116">
        <v>138.873844030366</v>
      </c>
      <c r="Q545" s="116">
        <v>140.80000000000001</v>
      </c>
      <c r="R545">
        <v>1073015</v>
      </c>
    </row>
    <row r="546" spans="1:18" x14ac:dyDescent="0.25">
      <c r="A546" s="170">
        <v>42804</v>
      </c>
      <c r="B546" s="116">
        <v>140.25651246801101</v>
      </c>
      <c r="C546" s="116">
        <v>135.56483335376399</v>
      </c>
      <c r="D546" s="116">
        <v>135.16974458624799</v>
      </c>
      <c r="E546" s="116">
        <v>139.66387931673799</v>
      </c>
      <c r="F546" s="116">
        <v>137.25</v>
      </c>
      <c r="G546">
        <v>132661</v>
      </c>
      <c r="H546" s="116"/>
      <c r="I546" s="116"/>
      <c r="L546" s="170">
        <v>42804</v>
      </c>
      <c r="M546" s="116">
        <v>135.416813773564</v>
      </c>
      <c r="N546" s="116">
        <v>140.50358686571499</v>
      </c>
      <c r="O546" s="116">
        <v>135.07111074788401</v>
      </c>
      <c r="P546" s="116">
        <v>139.12077476299399</v>
      </c>
      <c r="Q546" s="116">
        <v>137.1</v>
      </c>
      <c r="R546">
        <v>1671172</v>
      </c>
    </row>
    <row r="547" spans="1:18" x14ac:dyDescent="0.25">
      <c r="A547" s="170">
        <v>42808</v>
      </c>
      <c r="B547" s="116">
        <v>140.25651246801101</v>
      </c>
      <c r="C547" s="116">
        <v>137.787207671039</v>
      </c>
      <c r="D547" s="116">
        <v>137.04641623194701</v>
      </c>
      <c r="E547" s="116">
        <v>137.787207671039</v>
      </c>
      <c r="F547" s="116">
        <v>139.5</v>
      </c>
      <c r="G547">
        <v>132309</v>
      </c>
      <c r="H547" s="116"/>
      <c r="I547" s="116"/>
      <c r="L547" s="170">
        <v>42808</v>
      </c>
      <c r="M547" s="116">
        <v>137.7873488068</v>
      </c>
      <c r="N547" s="116">
        <v>138.67629944426301</v>
      </c>
      <c r="O547" s="116">
        <v>136.89839816933599</v>
      </c>
      <c r="P547" s="116">
        <v>138.47875485815999</v>
      </c>
      <c r="Q547" s="116">
        <v>139.5</v>
      </c>
      <c r="R547">
        <v>838219</v>
      </c>
    </row>
    <row r="548" spans="1:18" x14ac:dyDescent="0.25">
      <c r="A548" s="170">
        <v>42809</v>
      </c>
      <c r="B548" s="116">
        <v>140.25651246801101</v>
      </c>
      <c r="C548" s="116">
        <v>139.170018357343</v>
      </c>
      <c r="D548" s="116">
        <v>137.787207671039</v>
      </c>
      <c r="E548" s="116">
        <v>138.034138150736</v>
      </c>
      <c r="F548" s="116">
        <v>140.9</v>
      </c>
      <c r="G548">
        <v>131426</v>
      </c>
      <c r="H548" s="116"/>
      <c r="I548" s="116"/>
      <c r="L548" s="170">
        <v>42809</v>
      </c>
      <c r="M548" s="116">
        <v>139.17016090952001</v>
      </c>
      <c r="N548" s="116">
        <v>140.35542842613799</v>
      </c>
      <c r="O548" s="116">
        <v>137.589804220697</v>
      </c>
      <c r="P548" s="116">
        <v>137.88612109985101</v>
      </c>
      <c r="Q548" s="116">
        <v>140.9</v>
      </c>
      <c r="R548">
        <v>1279451</v>
      </c>
    </row>
    <row r="549" spans="1:18" x14ac:dyDescent="0.25">
      <c r="A549" s="170">
        <v>42810</v>
      </c>
      <c r="B549" s="116">
        <v>143.61476699189299</v>
      </c>
      <c r="C549" s="116">
        <v>142.873975552801</v>
      </c>
      <c r="D549" s="116">
        <v>139.26879054922199</v>
      </c>
      <c r="E549" s="116">
        <v>139.26879054922199</v>
      </c>
      <c r="F549" s="116">
        <v>144.65</v>
      </c>
      <c r="G549">
        <v>332867</v>
      </c>
      <c r="H549" s="116"/>
      <c r="I549" s="116"/>
      <c r="L549" s="170">
        <v>42810</v>
      </c>
      <c r="M549" s="116">
        <v>142.92350804547601</v>
      </c>
      <c r="N549" s="116">
        <v>143.71368638988801</v>
      </c>
      <c r="O549" s="116">
        <v>139.61463622825201</v>
      </c>
      <c r="P549" s="116">
        <v>139.86156696088</v>
      </c>
      <c r="Q549" s="116">
        <v>144.69999999999999</v>
      </c>
      <c r="R549">
        <v>3987646</v>
      </c>
    </row>
    <row r="550" spans="1:18" x14ac:dyDescent="0.25">
      <c r="A550" s="170">
        <v>42811</v>
      </c>
      <c r="B550" s="116">
        <v>143.96046966346901</v>
      </c>
      <c r="C550" s="116">
        <v>143.120906032498</v>
      </c>
      <c r="D550" s="116">
        <v>140.602215139587</v>
      </c>
      <c r="E550" s="116">
        <v>143.21967822437699</v>
      </c>
      <c r="F550" s="116">
        <v>144.9</v>
      </c>
      <c r="G550">
        <v>188463</v>
      </c>
      <c r="H550" s="116"/>
      <c r="I550" s="116"/>
      <c r="L550" s="170">
        <v>42811</v>
      </c>
      <c r="M550" s="116">
        <v>143.022280338527</v>
      </c>
      <c r="N550" s="116">
        <v>143.911230975991</v>
      </c>
      <c r="O550" s="116">
        <v>140.50358686571499</v>
      </c>
      <c r="P550" s="116">
        <v>143.911230975991</v>
      </c>
      <c r="Q550" s="116">
        <v>144.80000000000001</v>
      </c>
      <c r="R550">
        <v>1898811</v>
      </c>
    </row>
    <row r="551" spans="1:18" x14ac:dyDescent="0.25">
      <c r="A551" s="170">
        <v>42814</v>
      </c>
      <c r="B551" s="116">
        <v>145.63959692540999</v>
      </c>
      <c r="C551" s="116">
        <v>144.70126110256001</v>
      </c>
      <c r="D551" s="116">
        <v>143.269064320317</v>
      </c>
      <c r="E551" s="116">
        <v>144.20740014316601</v>
      </c>
      <c r="F551" s="116">
        <v>146.5</v>
      </c>
      <c r="G551">
        <v>239137</v>
      </c>
      <c r="H551" s="116"/>
      <c r="I551" s="116"/>
      <c r="L551" s="170">
        <v>42814</v>
      </c>
      <c r="M551" s="116">
        <v>144.65202317387701</v>
      </c>
      <c r="N551" s="116">
        <v>145.63974610439101</v>
      </c>
      <c r="O551" s="116">
        <v>143.022280338527</v>
      </c>
      <c r="P551" s="116">
        <v>143.022280338527</v>
      </c>
      <c r="Q551" s="116">
        <v>146.44999999999999</v>
      </c>
      <c r="R551">
        <v>2675495</v>
      </c>
    </row>
    <row r="552" spans="1:18" x14ac:dyDescent="0.25">
      <c r="A552" s="170">
        <v>42815</v>
      </c>
      <c r="B552" s="116">
        <v>146.67670494013799</v>
      </c>
      <c r="C552" s="116">
        <v>144.20740014316601</v>
      </c>
      <c r="D552" s="116">
        <v>143.515994800014</v>
      </c>
      <c r="E552" s="116">
        <v>145.98529959698601</v>
      </c>
      <c r="F552" s="116">
        <v>146</v>
      </c>
      <c r="G552">
        <v>181722</v>
      </c>
      <c r="H552" s="116"/>
      <c r="I552" s="116"/>
      <c r="L552" s="170">
        <v>42815</v>
      </c>
      <c r="M552" s="116">
        <v>144.108775562094</v>
      </c>
      <c r="N552" s="116">
        <v>146.627469034906</v>
      </c>
      <c r="O552" s="116">
        <v>143.318597217682</v>
      </c>
      <c r="P552" s="116">
        <v>145.19527078566</v>
      </c>
      <c r="Q552" s="116">
        <v>145.9</v>
      </c>
      <c r="R552">
        <v>2955856</v>
      </c>
    </row>
    <row r="553" spans="1:18" x14ac:dyDescent="0.25">
      <c r="A553" s="170">
        <v>42816</v>
      </c>
      <c r="B553" s="116">
        <v>143.41722260813501</v>
      </c>
      <c r="C553" s="116">
        <v>141.343006578679</v>
      </c>
      <c r="D553" s="116">
        <v>140.454056851769</v>
      </c>
      <c r="E553" s="116">
        <v>143.21967822437699</v>
      </c>
      <c r="F553" s="116">
        <v>143.1</v>
      </c>
      <c r="G553">
        <v>258859</v>
      </c>
      <c r="H553" s="116"/>
      <c r="I553" s="116"/>
      <c r="L553" s="170">
        <v>42816</v>
      </c>
      <c r="M553" s="116">
        <v>141.34315135665301</v>
      </c>
      <c r="N553" s="116">
        <v>143.763072536414</v>
      </c>
      <c r="O553" s="116">
        <v>140.454200719189</v>
      </c>
      <c r="P553" s="116">
        <v>143.763072536414</v>
      </c>
      <c r="Q553" s="116">
        <v>143.1</v>
      </c>
      <c r="R553">
        <v>2306755</v>
      </c>
    </row>
    <row r="554" spans="1:18" x14ac:dyDescent="0.25">
      <c r="A554" s="170">
        <v>42817</v>
      </c>
      <c r="B554" s="116">
        <v>150.133731655899</v>
      </c>
      <c r="C554" s="116">
        <v>149.59048460056499</v>
      </c>
      <c r="D554" s="116">
        <v>141.491164866497</v>
      </c>
      <c r="E554" s="116">
        <v>141.985025825891</v>
      </c>
      <c r="F554" s="116">
        <v>151.44999999999999</v>
      </c>
      <c r="G554">
        <v>673546</v>
      </c>
      <c r="H554" s="116"/>
      <c r="I554" s="116"/>
      <c r="L554" s="170">
        <v>42817</v>
      </c>
      <c r="M554" s="116">
        <v>149.73879626602701</v>
      </c>
      <c r="N554" s="116">
        <v>150.62774690349099</v>
      </c>
      <c r="O554" s="116">
        <v>141.44192364970399</v>
      </c>
      <c r="P554" s="116">
        <v>142.13332970106401</v>
      </c>
      <c r="Q554" s="116">
        <v>151.6</v>
      </c>
      <c r="R554">
        <v>6422298</v>
      </c>
    </row>
    <row r="555" spans="1:18" x14ac:dyDescent="0.25">
      <c r="A555" s="170">
        <v>42818</v>
      </c>
      <c r="B555" s="116">
        <v>151.36838405438499</v>
      </c>
      <c r="C555" s="116">
        <v>149.04723754523101</v>
      </c>
      <c r="D555" s="116">
        <v>148.65214877771601</v>
      </c>
      <c r="E555" s="116">
        <v>151.12145357468799</v>
      </c>
      <c r="F555" s="116">
        <v>150.9</v>
      </c>
      <c r="G555">
        <v>417441</v>
      </c>
      <c r="H555" s="116"/>
      <c r="I555" s="116"/>
      <c r="L555" s="170">
        <v>42818</v>
      </c>
      <c r="M555" s="116">
        <v>149.294320947296</v>
      </c>
      <c r="N555" s="116">
        <v>151.26976680832499</v>
      </c>
      <c r="O555" s="116">
        <v>148.652301042461</v>
      </c>
      <c r="P555" s="116">
        <v>151.02283607569601</v>
      </c>
      <c r="Q555" s="116">
        <v>151.15</v>
      </c>
      <c r="R555">
        <v>3485991</v>
      </c>
    </row>
    <row r="556" spans="1:18" x14ac:dyDescent="0.25">
      <c r="A556" s="170">
        <v>42821</v>
      </c>
      <c r="B556" s="116">
        <v>150.03495946402001</v>
      </c>
      <c r="C556" s="116">
        <v>146.87424932389601</v>
      </c>
      <c r="D556" s="116">
        <v>146.182843980744</v>
      </c>
      <c r="E556" s="116">
        <v>149.14600973711001</v>
      </c>
      <c r="F556" s="116">
        <v>148.69999999999999</v>
      </c>
      <c r="G556">
        <v>328739</v>
      </c>
      <c r="H556" s="116"/>
      <c r="I556" s="116"/>
      <c r="L556" s="170">
        <v>42821</v>
      </c>
      <c r="M556" s="116">
        <v>146.775627474483</v>
      </c>
      <c r="N556" s="116">
        <v>150.03511314518201</v>
      </c>
      <c r="O556" s="116">
        <v>146.18299371617499</v>
      </c>
      <c r="P556" s="116">
        <v>149.146162507719</v>
      </c>
      <c r="Q556" s="116">
        <v>148.6</v>
      </c>
      <c r="R556">
        <v>2933289</v>
      </c>
    </row>
    <row r="557" spans="1:18" x14ac:dyDescent="0.25">
      <c r="A557" s="170">
        <v>42822</v>
      </c>
      <c r="B557" s="116">
        <v>152.01040330159799</v>
      </c>
      <c r="C557" s="116">
        <v>148.80030706553401</v>
      </c>
      <c r="D557" s="116">
        <v>146.182843980744</v>
      </c>
      <c r="E557" s="116">
        <v>148.05951562644199</v>
      </c>
      <c r="F557" s="116">
        <v>150.65</v>
      </c>
      <c r="G557">
        <v>339545</v>
      </c>
      <c r="H557" s="116"/>
      <c r="I557" s="116"/>
      <c r="L557" s="170">
        <v>42822</v>
      </c>
      <c r="M557" s="116">
        <v>148.70168718898699</v>
      </c>
      <c r="N557" s="116">
        <v>152.010559006211</v>
      </c>
      <c r="O557" s="116">
        <v>146.18299371617499</v>
      </c>
      <c r="P557" s="116">
        <v>148.059667284152</v>
      </c>
      <c r="Q557" s="116">
        <v>150.55000000000001</v>
      </c>
      <c r="R557">
        <v>2740120</v>
      </c>
    </row>
    <row r="558" spans="1:18" x14ac:dyDescent="0.25">
      <c r="A558" s="170">
        <v>42823</v>
      </c>
      <c r="B558" s="116">
        <v>151.12145357468799</v>
      </c>
      <c r="C558" s="116">
        <v>148.89907925741301</v>
      </c>
      <c r="D558" s="116">
        <v>148.15828781832101</v>
      </c>
      <c r="E558" s="116">
        <v>150.18311775183801</v>
      </c>
      <c r="F558" s="116">
        <v>150.75</v>
      </c>
      <c r="G558">
        <v>228531</v>
      </c>
      <c r="H558" s="116"/>
      <c r="I558" s="116"/>
      <c r="L558" s="170">
        <v>42823</v>
      </c>
      <c r="M558" s="116">
        <v>148.75107333551301</v>
      </c>
      <c r="N558" s="116">
        <v>151.12160836874801</v>
      </c>
      <c r="O558" s="116">
        <v>147.66457811194701</v>
      </c>
      <c r="P558" s="116">
        <v>149.83756855907899</v>
      </c>
      <c r="Q558" s="116">
        <v>150.6</v>
      </c>
      <c r="R558">
        <v>2092924</v>
      </c>
    </row>
    <row r="559" spans="1:18" x14ac:dyDescent="0.25">
      <c r="A559" s="170">
        <v>42824</v>
      </c>
      <c r="B559" s="116">
        <v>150.57820651935401</v>
      </c>
      <c r="C559" s="116">
        <v>148.30644610613999</v>
      </c>
      <c r="D559" s="116">
        <v>147.76319905080601</v>
      </c>
      <c r="E559" s="116">
        <v>148.15828781832101</v>
      </c>
      <c r="F559" s="116">
        <v>150.15</v>
      </c>
      <c r="G559">
        <v>750619</v>
      </c>
      <c r="H559" s="116"/>
      <c r="I559" s="116"/>
      <c r="L559" s="170">
        <v>42824</v>
      </c>
      <c r="M559" s="116">
        <v>148.30659801678101</v>
      </c>
      <c r="N559" s="116">
        <v>150.874677636119</v>
      </c>
      <c r="O559" s="116">
        <v>147.86212269804901</v>
      </c>
      <c r="P559" s="116">
        <v>149.59063782645001</v>
      </c>
      <c r="Q559" s="116">
        <v>150.15</v>
      </c>
      <c r="R559">
        <v>3022795</v>
      </c>
    </row>
    <row r="560" spans="1:18" x14ac:dyDescent="0.25">
      <c r="A560" s="170">
        <v>42825</v>
      </c>
      <c r="B560" s="116">
        <v>150.133731655899</v>
      </c>
      <c r="C560" s="116">
        <v>148.40521829801901</v>
      </c>
      <c r="D560" s="116">
        <v>148.15828781832101</v>
      </c>
      <c r="E560" s="116">
        <v>150.08434555995899</v>
      </c>
      <c r="F560" s="116">
        <v>150.25</v>
      </c>
      <c r="G560">
        <v>106433</v>
      </c>
      <c r="H560" s="116"/>
      <c r="I560" s="116"/>
      <c r="L560" s="170">
        <v>42825</v>
      </c>
      <c r="M560" s="116">
        <v>148.70168718898699</v>
      </c>
      <c r="N560" s="116">
        <v>150.232657731285</v>
      </c>
      <c r="O560" s="116">
        <v>148.25721187025499</v>
      </c>
      <c r="P560" s="116">
        <v>149.59063782645001</v>
      </c>
      <c r="Q560" s="116">
        <v>150.55000000000001</v>
      </c>
      <c r="R560">
        <v>1193137</v>
      </c>
    </row>
    <row r="561" spans="1:18" x14ac:dyDescent="0.25">
      <c r="A561" s="170">
        <v>42828</v>
      </c>
      <c r="B561" s="116">
        <v>151.61531453408199</v>
      </c>
      <c r="C561" s="116">
        <v>150.03495946402001</v>
      </c>
      <c r="D561" s="116">
        <v>148.602762681776</v>
      </c>
      <c r="E561" s="116">
        <v>150.03495946402001</v>
      </c>
      <c r="F561" s="116">
        <v>151.9</v>
      </c>
      <c r="G561">
        <v>235906</v>
      </c>
      <c r="H561" s="116"/>
      <c r="I561" s="116"/>
      <c r="L561" s="170">
        <v>42828</v>
      </c>
      <c r="M561" s="116">
        <v>150.03511314518201</v>
      </c>
      <c r="N561" s="116">
        <v>151.61546983400501</v>
      </c>
      <c r="O561" s="116">
        <v>148.45475645635801</v>
      </c>
      <c r="P561" s="116">
        <v>148.80045948203801</v>
      </c>
      <c r="Q561" s="116">
        <v>151.9</v>
      </c>
      <c r="R561">
        <v>1788548</v>
      </c>
    </row>
    <row r="562" spans="1:18" x14ac:dyDescent="0.25">
      <c r="A562" s="170">
        <v>42830</v>
      </c>
      <c r="B562" s="116">
        <v>152.70180864475</v>
      </c>
      <c r="C562" s="116">
        <v>150.775750903112</v>
      </c>
      <c r="D562" s="116">
        <v>149.44232631274701</v>
      </c>
      <c r="E562" s="116">
        <v>150.133731655899</v>
      </c>
      <c r="F562" s="116">
        <v>152.65</v>
      </c>
      <c r="G562">
        <v>213810</v>
      </c>
      <c r="H562" s="116"/>
      <c r="I562" s="116"/>
      <c r="L562" s="170">
        <v>42830</v>
      </c>
      <c r="M562" s="116">
        <v>150.77590534306799</v>
      </c>
      <c r="N562" s="116">
        <v>152.89950964367401</v>
      </c>
      <c r="O562" s="116">
        <v>149.146162507719</v>
      </c>
      <c r="P562" s="116">
        <v>150.92406378264499</v>
      </c>
      <c r="Q562" s="116">
        <v>152.65</v>
      </c>
      <c r="R562">
        <v>2011288</v>
      </c>
    </row>
    <row r="563" spans="1:18" x14ac:dyDescent="0.25">
      <c r="A563" s="170">
        <v>42831</v>
      </c>
      <c r="B563" s="116">
        <v>152.60303645287101</v>
      </c>
      <c r="C563" s="116">
        <v>151.170839670627</v>
      </c>
      <c r="D563" s="116">
        <v>149.44232631274701</v>
      </c>
      <c r="E563" s="116">
        <v>152.10917549347701</v>
      </c>
      <c r="F563" s="116">
        <v>153.05000000000001</v>
      </c>
      <c r="G563">
        <v>190615</v>
      </c>
      <c r="H563" s="116"/>
      <c r="I563" s="116"/>
      <c r="L563" s="170">
        <v>42831</v>
      </c>
      <c r="M563" s="116">
        <v>151.170994515274</v>
      </c>
      <c r="N563" s="116">
        <v>152.455034324943</v>
      </c>
      <c r="O563" s="116">
        <v>149.39309324034701</v>
      </c>
      <c r="P563" s="116">
        <v>151.02283607569601</v>
      </c>
      <c r="Q563" s="116">
        <v>153.05000000000001</v>
      </c>
      <c r="R563">
        <v>2295942</v>
      </c>
    </row>
    <row r="564" spans="1:18" x14ac:dyDescent="0.25">
      <c r="A564" s="170">
        <v>42832</v>
      </c>
      <c r="B564" s="116">
        <v>152.60303645287101</v>
      </c>
      <c r="C564" s="116">
        <v>149.09662364117099</v>
      </c>
      <c r="D564" s="116">
        <v>148.55337658583699</v>
      </c>
      <c r="E564" s="116">
        <v>151.12145357468799</v>
      </c>
      <c r="F564" s="116">
        <v>150.94999999999999</v>
      </c>
      <c r="G564">
        <v>209528</v>
      </c>
      <c r="H564" s="116"/>
      <c r="I564" s="116"/>
      <c r="L564" s="170">
        <v>42832</v>
      </c>
      <c r="M564" s="116">
        <v>148.75107333551301</v>
      </c>
      <c r="N564" s="116">
        <v>152.55380661799401</v>
      </c>
      <c r="O564" s="116">
        <v>148.15843957720401</v>
      </c>
      <c r="P564" s="116">
        <v>150.92406378264499</v>
      </c>
      <c r="Q564" s="116">
        <v>150.6</v>
      </c>
      <c r="R564">
        <v>1444642</v>
      </c>
    </row>
    <row r="565" spans="1:18" x14ac:dyDescent="0.25">
      <c r="A565" s="170">
        <v>42835</v>
      </c>
      <c r="B565" s="116">
        <v>150.23250384777799</v>
      </c>
      <c r="C565" s="116">
        <v>149.04723754523101</v>
      </c>
      <c r="D565" s="116">
        <v>147.76319905080601</v>
      </c>
      <c r="E565" s="116">
        <v>149.639870696505</v>
      </c>
      <c r="F565" s="116">
        <v>150.9</v>
      </c>
      <c r="G565">
        <v>194395</v>
      </c>
      <c r="H565" s="116"/>
      <c r="I565" s="116"/>
      <c r="L565" s="170">
        <v>42835</v>
      </c>
      <c r="M565" s="116">
        <v>149.09677636119301</v>
      </c>
      <c r="N565" s="116">
        <v>150.380816170862</v>
      </c>
      <c r="O565" s="116">
        <v>147.565805818895</v>
      </c>
      <c r="P565" s="116">
        <v>149.640023972976</v>
      </c>
      <c r="Q565" s="116">
        <v>150.94999999999999</v>
      </c>
      <c r="R565">
        <v>1857915</v>
      </c>
    </row>
    <row r="566" spans="1:18" x14ac:dyDescent="0.25">
      <c r="A566" s="170">
        <v>42836</v>
      </c>
      <c r="B566" s="116">
        <v>151.71408672596101</v>
      </c>
      <c r="C566" s="116">
        <v>150.82513699905101</v>
      </c>
      <c r="D566" s="116">
        <v>148.25706001020001</v>
      </c>
      <c r="E566" s="116">
        <v>148.25706001020001</v>
      </c>
      <c r="F566" s="116">
        <v>152.69999999999999</v>
      </c>
      <c r="G566">
        <v>168192</v>
      </c>
      <c r="H566" s="116"/>
      <c r="I566" s="116"/>
      <c r="L566" s="170">
        <v>42836</v>
      </c>
      <c r="M566" s="116">
        <v>151.516697540954</v>
      </c>
      <c r="N566" s="116">
        <v>151.86240056663399</v>
      </c>
      <c r="O566" s="116">
        <v>149.19554865424399</v>
      </c>
      <c r="P566" s="116">
        <v>149.640023972976</v>
      </c>
      <c r="Q566" s="116">
        <v>153.4</v>
      </c>
      <c r="R566">
        <v>2064221</v>
      </c>
    </row>
    <row r="567" spans="1:18" x14ac:dyDescent="0.25">
      <c r="A567" s="170">
        <v>42837</v>
      </c>
      <c r="B567" s="116">
        <v>151.86224501377899</v>
      </c>
      <c r="C567" s="116">
        <v>149.491712408686</v>
      </c>
      <c r="D567" s="116">
        <v>148.45460439395799</v>
      </c>
      <c r="E567" s="116">
        <v>151.664700630022</v>
      </c>
      <c r="F567" s="116">
        <v>151.35</v>
      </c>
      <c r="G567">
        <v>156076</v>
      </c>
      <c r="H567" s="116"/>
      <c r="I567" s="116"/>
      <c r="L567" s="170">
        <v>42837</v>
      </c>
      <c r="M567" s="116">
        <v>149.88695470560501</v>
      </c>
      <c r="N567" s="116">
        <v>152.05994515273699</v>
      </c>
      <c r="O567" s="116">
        <v>148.45475645635801</v>
      </c>
      <c r="P567" s="116">
        <v>152.05994515273699</v>
      </c>
      <c r="Q567" s="116">
        <v>151.75</v>
      </c>
      <c r="R567">
        <v>1907247</v>
      </c>
    </row>
    <row r="568" spans="1:18" x14ac:dyDescent="0.25">
      <c r="A568" s="170">
        <v>42838</v>
      </c>
      <c r="B568" s="116">
        <v>150.97329528686899</v>
      </c>
      <c r="C568" s="116">
        <v>148.45460439395799</v>
      </c>
      <c r="D568" s="116">
        <v>147.76319905080601</v>
      </c>
      <c r="E568" s="116">
        <v>149.639870696505</v>
      </c>
      <c r="F568" s="116">
        <v>150.30000000000001</v>
      </c>
      <c r="G568">
        <v>132479</v>
      </c>
      <c r="H568" s="116"/>
      <c r="I568" s="116"/>
      <c r="L568" s="170">
        <v>42838</v>
      </c>
      <c r="M568" s="116">
        <v>148.652301042461</v>
      </c>
      <c r="N568" s="116">
        <v>151.12160836874801</v>
      </c>
      <c r="O568" s="116">
        <v>147.96089499110099</v>
      </c>
      <c r="P568" s="116">
        <v>150.13388543823299</v>
      </c>
      <c r="Q568" s="116">
        <v>150.5</v>
      </c>
      <c r="R568">
        <v>1272204</v>
      </c>
    </row>
    <row r="569" spans="1:18" x14ac:dyDescent="0.25">
      <c r="A569" s="170">
        <v>42842</v>
      </c>
      <c r="B569" s="116">
        <v>149.04723754523101</v>
      </c>
      <c r="C569" s="116">
        <v>147.91135733862399</v>
      </c>
      <c r="D569" s="116">
        <v>146.824863227956</v>
      </c>
      <c r="E569" s="116">
        <v>148.65214877771601</v>
      </c>
      <c r="F569" s="116">
        <v>149.75</v>
      </c>
      <c r="G569">
        <v>120103</v>
      </c>
      <c r="H569" s="116"/>
      <c r="I569" s="116"/>
      <c r="L569" s="170">
        <v>42842</v>
      </c>
      <c r="M569" s="116">
        <v>147.61519196542099</v>
      </c>
      <c r="N569" s="116">
        <v>149.146162507719</v>
      </c>
      <c r="O569" s="116">
        <v>146.72624132795801</v>
      </c>
      <c r="P569" s="116">
        <v>149.146162507719</v>
      </c>
      <c r="Q569" s="116">
        <v>149.44999999999999</v>
      </c>
      <c r="R569">
        <v>830703</v>
      </c>
    </row>
    <row r="570" spans="1:18" x14ac:dyDescent="0.25">
      <c r="A570" s="170">
        <v>42843</v>
      </c>
      <c r="B570" s="116">
        <v>150.43004823153601</v>
      </c>
      <c r="C570" s="116">
        <v>146.084071788865</v>
      </c>
      <c r="D570" s="116">
        <v>145.195122061955</v>
      </c>
      <c r="E570" s="116">
        <v>147.861971242685</v>
      </c>
      <c r="F570" s="116">
        <v>147.9</v>
      </c>
      <c r="G570">
        <v>201159</v>
      </c>
      <c r="H570" s="116"/>
      <c r="I570" s="116"/>
      <c r="L570" s="170">
        <v>42843</v>
      </c>
      <c r="M570" s="116">
        <v>146.33115215575199</v>
      </c>
      <c r="N570" s="116">
        <v>150.62774690349099</v>
      </c>
      <c r="O570" s="116">
        <v>145.689132250917</v>
      </c>
      <c r="P570" s="116">
        <v>147.269488939741</v>
      </c>
      <c r="Q570" s="116">
        <v>148.15</v>
      </c>
      <c r="R570">
        <v>1563947</v>
      </c>
    </row>
    <row r="571" spans="1:18" x14ac:dyDescent="0.25">
      <c r="A571" s="170">
        <v>42844</v>
      </c>
      <c r="B571" s="116">
        <v>148.65214877771601</v>
      </c>
      <c r="C571" s="116">
        <v>148.01012953050301</v>
      </c>
      <c r="D571" s="116">
        <v>145.688983021349</v>
      </c>
      <c r="E571" s="116">
        <v>147.41749637922999</v>
      </c>
      <c r="F571" s="116">
        <v>149.85</v>
      </c>
      <c r="G571">
        <v>99674</v>
      </c>
      <c r="H571" s="116"/>
      <c r="I571" s="116"/>
      <c r="L571" s="170">
        <v>42844</v>
      </c>
      <c r="M571" s="116">
        <v>148.355984163307</v>
      </c>
      <c r="N571" s="116">
        <v>148.94861792161601</v>
      </c>
      <c r="O571" s="116">
        <v>145.689132250917</v>
      </c>
      <c r="P571" s="116">
        <v>146.08422142312301</v>
      </c>
      <c r="Q571" s="116">
        <v>150.19999999999999</v>
      </c>
      <c r="R571">
        <v>1092317</v>
      </c>
    </row>
    <row r="572" spans="1:18" x14ac:dyDescent="0.25">
      <c r="A572" s="170">
        <v>42845</v>
      </c>
      <c r="B572" s="116">
        <v>151.565928438143</v>
      </c>
      <c r="C572" s="116">
        <v>150.18311775183801</v>
      </c>
      <c r="D572" s="116">
        <v>149.04723754523101</v>
      </c>
      <c r="E572" s="116">
        <v>149.09662364117099</v>
      </c>
      <c r="F572" s="116">
        <v>152.05000000000001</v>
      </c>
      <c r="G572">
        <v>199513</v>
      </c>
      <c r="H572" s="116"/>
      <c r="I572" s="116"/>
      <c r="L572" s="170">
        <v>42845</v>
      </c>
      <c r="M572" s="116">
        <v>150.28204387781</v>
      </c>
      <c r="N572" s="116">
        <v>151.71424212705699</v>
      </c>
      <c r="O572" s="116">
        <v>148.40537030983299</v>
      </c>
      <c r="P572" s="116">
        <v>148.40537030983299</v>
      </c>
      <c r="Q572" s="116">
        <v>152.15</v>
      </c>
      <c r="R572">
        <v>1540540</v>
      </c>
    </row>
    <row r="573" spans="1:18" x14ac:dyDescent="0.25">
      <c r="A573" s="170">
        <v>42846</v>
      </c>
      <c r="B573" s="116">
        <v>152.01040330159799</v>
      </c>
      <c r="C573" s="116">
        <v>149.639870696505</v>
      </c>
      <c r="D573" s="116">
        <v>148.15828781832101</v>
      </c>
      <c r="E573" s="116">
        <v>151.12145357468799</v>
      </c>
      <c r="F573" s="116">
        <v>151.5</v>
      </c>
      <c r="G573">
        <v>188568</v>
      </c>
      <c r="H573" s="116"/>
      <c r="I573" s="116"/>
      <c r="L573" s="170">
        <v>42846</v>
      </c>
      <c r="M573" s="116">
        <v>149.442479386873</v>
      </c>
      <c r="N573" s="116">
        <v>152.010559006211</v>
      </c>
      <c r="O573" s="116">
        <v>147.86212269804901</v>
      </c>
      <c r="P573" s="116">
        <v>151.61546983400501</v>
      </c>
      <c r="Q573" s="116">
        <v>151.30000000000001</v>
      </c>
      <c r="R573">
        <v>1293698</v>
      </c>
    </row>
    <row r="574" spans="1:18" x14ac:dyDescent="0.25">
      <c r="A574" s="170">
        <v>42849</v>
      </c>
      <c r="B574" s="116">
        <v>151.170839670627</v>
      </c>
      <c r="C574" s="116">
        <v>150.03495946402001</v>
      </c>
      <c r="D574" s="116">
        <v>149.14600973711001</v>
      </c>
      <c r="E574" s="116">
        <v>149.639870696505</v>
      </c>
      <c r="F574" s="116">
        <v>151.9</v>
      </c>
      <c r="G574">
        <v>185597</v>
      </c>
      <c r="H574" s="116"/>
      <c r="I574" s="116"/>
      <c r="L574" s="170">
        <v>42849</v>
      </c>
      <c r="M574" s="116">
        <v>150.084499291708</v>
      </c>
      <c r="N574" s="116">
        <v>151.368539101377</v>
      </c>
      <c r="O574" s="116">
        <v>149.146162507719</v>
      </c>
      <c r="P574" s="116">
        <v>149.146162507719</v>
      </c>
      <c r="Q574" s="116">
        <v>151.94999999999999</v>
      </c>
      <c r="R574">
        <v>1079887</v>
      </c>
    </row>
    <row r="575" spans="1:18" x14ac:dyDescent="0.25">
      <c r="A575" s="170">
        <v>42850</v>
      </c>
      <c r="B575" s="116">
        <v>150.97329528686899</v>
      </c>
      <c r="C575" s="116">
        <v>149.83741508026199</v>
      </c>
      <c r="D575" s="116">
        <v>148.849693161473</v>
      </c>
      <c r="E575" s="116">
        <v>149.29416802492801</v>
      </c>
      <c r="F575" s="116">
        <v>151.69999999999999</v>
      </c>
      <c r="G575">
        <v>134052</v>
      </c>
      <c r="H575" s="116"/>
      <c r="I575" s="116"/>
      <c r="L575" s="170">
        <v>42850</v>
      </c>
      <c r="M575" s="116">
        <v>149.83756855907899</v>
      </c>
      <c r="N575" s="116">
        <v>151.26976680832499</v>
      </c>
      <c r="O575" s="116">
        <v>149.146162507719</v>
      </c>
      <c r="P575" s="116">
        <v>150.52897461043901</v>
      </c>
      <c r="Q575" s="116">
        <v>151.69999999999999</v>
      </c>
      <c r="R575">
        <v>945527</v>
      </c>
    </row>
    <row r="576" spans="1:18" x14ac:dyDescent="0.25">
      <c r="A576" s="170">
        <v>42851</v>
      </c>
      <c r="B576" s="116">
        <v>154.47970809857</v>
      </c>
      <c r="C576" s="116">
        <v>151.86224501377899</v>
      </c>
      <c r="D576" s="116">
        <v>149.78802898432301</v>
      </c>
      <c r="E576" s="116">
        <v>150.133731655899</v>
      </c>
      <c r="F576" s="116">
        <v>153.75</v>
      </c>
      <c r="G576">
        <v>783914</v>
      </c>
      <c r="H576" s="116"/>
      <c r="I576" s="116"/>
      <c r="L576" s="170">
        <v>42851</v>
      </c>
      <c r="M576" s="116">
        <v>151.86240056663399</v>
      </c>
      <c r="N576" s="116">
        <v>154.677410918601</v>
      </c>
      <c r="O576" s="116">
        <v>149.73879626602701</v>
      </c>
      <c r="P576" s="116">
        <v>150.578360756965</v>
      </c>
      <c r="Q576" s="116">
        <v>153.75</v>
      </c>
      <c r="R576">
        <v>4161713</v>
      </c>
    </row>
    <row r="577" spans="1:18" x14ac:dyDescent="0.25">
      <c r="A577" s="170">
        <v>42852</v>
      </c>
      <c r="B577" s="116">
        <v>153.39321398790199</v>
      </c>
      <c r="C577" s="116">
        <v>150.281889943717</v>
      </c>
      <c r="D577" s="116">
        <v>149.78802898432301</v>
      </c>
      <c r="E577" s="116">
        <v>152.20794768535501</v>
      </c>
      <c r="F577" s="116">
        <v>152.15</v>
      </c>
      <c r="G577">
        <v>230348</v>
      </c>
      <c r="H577" s="116"/>
      <c r="I577" s="116"/>
      <c r="L577" s="170">
        <v>42852</v>
      </c>
      <c r="M577" s="116">
        <v>150.232657731285</v>
      </c>
      <c r="N577" s="116">
        <v>153.49214340198299</v>
      </c>
      <c r="O577" s="116">
        <v>149.68941011950201</v>
      </c>
      <c r="P577" s="116">
        <v>153.097054229777</v>
      </c>
      <c r="Q577" s="116">
        <v>152.1</v>
      </c>
      <c r="R577">
        <v>1388038</v>
      </c>
    </row>
    <row r="578" spans="1:18" x14ac:dyDescent="0.25">
      <c r="A578" s="170">
        <v>42853</v>
      </c>
      <c r="B578" s="116">
        <v>152.75119474068899</v>
      </c>
      <c r="C578" s="116">
        <v>151.12145357468799</v>
      </c>
      <c r="D578" s="116">
        <v>150.23250384777799</v>
      </c>
      <c r="E578" s="116">
        <v>151.46715624626401</v>
      </c>
      <c r="F578" s="116">
        <v>153</v>
      </c>
      <c r="G578">
        <v>623913</v>
      </c>
      <c r="H578" s="116"/>
      <c r="I578" s="116"/>
      <c r="L578" s="170">
        <v>42853</v>
      </c>
      <c r="M578" s="116">
        <v>151.220380661799</v>
      </c>
      <c r="N578" s="116">
        <v>152.800737350623</v>
      </c>
      <c r="O578" s="116">
        <v>150.13388543823299</v>
      </c>
      <c r="P578" s="116">
        <v>151.516697540954</v>
      </c>
      <c r="Q578" s="116">
        <v>153.1</v>
      </c>
      <c r="R578">
        <v>1132516</v>
      </c>
    </row>
    <row r="579" spans="1:18" x14ac:dyDescent="0.25">
      <c r="A579" s="170">
        <v>42857</v>
      </c>
      <c r="B579" s="116">
        <v>159.61586207627201</v>
      </c>
      <c r="C579" s="116">
        <v>155.81313268893501</v>
      </c>
      <c r="D579" s="116">
        <v>151.7634728219</v>
      </c>
      <c r="E579" s="116">
        <v>152.10917549347701</v>
      </c>
      <c r="F579" s="116">
        <v>157.75</v>
      </c>
      <c r="G579">
        <v>1264286</v>
      </c>
      <c r="H579" s="116"/>
      <c r="I579" s="116"/>
      <c r="L579" s="170">
        <v>42857</v>
      </c>
      <c r="M579" s="116">
        <v>155.763906142167</v>
      </c>
      <c r="N579" s="116">
        <v>159.46786713159699</v>
      </c>
      <c r="O579" s="116">
        <v>151.86240056663399</v>
      </c>
      <c r="P579" s="116">
        <v>152.40564817841701</v>
      </c>
      <c r="Q579" s="116">
        <v>157.69999999999999</v>
      </c>
      <c r="R579">
        <v>6827849</v>
      </c>
    </row>
    <row r="580" spans="1:18" x14ac:dyDescent="0.25">
      <c r="A580" s="170">
        <v>42858</v>
      </c>
      <c r="B580" s="116">
        <v>156.94901289554201</v>
      </c>
      <c r="C580" s="116">
        <v>154.18339152293299</v>
      </c>
      <c r="D580" s="116">
        <v>153.59075837166</v>
      </c>
      <c r="E580" s="116">
        <v>155.17111344172201</v>
      </c>
      <c r="F580" s="116">
        <v>156.1</v>
      </c>
      <c r="G580">
        <v>202972</v>
      </c>
      <c r="H580" s="116"/>
      <c r="I580" s="116"/>
      <c r="L580" s="170">
        <v>42858</v>
      </c>
      <c r="M580" s="116">
        <v>154.28232174639501</v>
      </c>
      <c r="N580" s="116">
        <v>156.899787512259</v>
      </c>
      <c r="O580" s="116">
        <v>153.64030184155999</v>
      </c>
      <c r="P580" s="116">
        <v>156.899787512259</v>
      </c>
      <c r="Q580" s="116">
        <v>156.19999999999999</v>
      </c>
      <c r="R580">
        <v>1523044</v>
      </c>
    </row>
    <row r="581" spans="1:18" x14ac:dyDescent="0.25">
      <c r="A581" s="170">
        <v>42859</v>
      </c>
      <c r="B581" s="116">
        <v>156.45515193614699</v>
      </c>
      <c r="C581" s="116">
        <v>153.39321398790199</v>
      </c>
      <c r="D581" s="116">
        <v>152.99812522038599</v>
      </c>
      <c r="E581" s="116">
        <v>154.57848029044899</v>
      </c>
      <c r="F581" s="116">
        <v>155.30000000000001</v>
      </c>
      <c r="G581">
        <v>174933</v>
      </c>
      <c r="H581" s="116"/>
      <c r="I581" s="116"/>
      <c r="L581" s="170">
        <v>42859</v>
      </c>
      <c r="M581" s="116">
        <v>153.442757255457</v>
      </c>
      <c r="N581" s="116">
        <v>156.35653990047601</v>
      </c>
      <c r="O581" s="116">
        <v>152.89950964367401</v>
      </c>
      <c r="P581" s="116">
        <v>154.381094039446</v>
      </c>
      <c r="Q581" s="116">
        <v>155.35</v>
      </c>
      <c r="R581">
        <v>1653237</v>
      </c>
    </row>
    <row r="582" spans="1:18" x14ac:dyDescent="0.25">
      <c r="A582" s="170">
        <v>42860</v>
      </c>
      <c r="B582" s="116">
        <v>154.084619331054</v>
      </c>
      <c r="C582" s="116">
        <v>150.18311775183801</v>
      </c>
      <c r="D582" s="116">
        <v>149.14600973711001</v>
      </c>
      <c r="E582" s="116">
        <v>153.39321398790199</v>
      </c>
      <c r="F582" s="116">
        <v>152.05000000000001</v>
      </c>
      <c r="G582">
        <v>161844</v>
      </c>
      <c r="H582" s="116"/>
      <c r="I582" s="116"/>
      <c r="L582" s="170">
        <v>42860</v>
      </c>
      <c r="M582" s="116">
        <v>150.43020231738799</v>
      </c>
      <c r="N582" s="116">
        <v>154.57863862554899</v>
      </c>
      <c r="O582" s="116">
        <v>149.24493480077001</v>
      </c>
      <c r="P582" s="116">
        <v>154.57863862554899</v>
      </c>
      <c r="Q582" s="116">
        <v>152.30000000000001</v>
      </c>
      <c r="R582">
        <v>1349536</v>
      </c>
    </row>
    <row r="583" spans="1:18" x14ac:dyDescent="0.25">
      <c r="A583" s="170">
        <v>42863</v>
      </c>
      <c r="B583" s="116">
        <v>152.158561589416</v>
      </c>
      <c r="C583" s="116">
        <v>150.87452309499099</v>
      </c>
      <c r="D583" s="116">
        <v>150.23250384777799</v>
      </c>
      <c r="E583" s="116">
        <v>151.12145357468799</v>
      </c>
      <c r="F583" s="116">
        <v>152.75</v>
      </c>
      <c r="G583">
        <v>192646</v>
      </c>
      <c r="H583" s="116"/>
      <c r="I583" s="116"/>
      <c r="L583" s="170">
        <v>42863</v>
      </c>
      <c r="M583" s="116">
        <v>150.726519196542</v>
      </c>
      <c r="N583" s="116">
        <v>152.25748973884001</v>
      </c>
      <c r="O583" s="116">
        <v>150.084499291708</v>
      </c>
      <c r="P583" s="116">
        <v>150.92406378264499</v>
      </c>
      <c r="Q583" s="116">
        <v>152.6</v>
      </c>
      <c r="R583">
        <v>1239593</v>
      </c>
    </row>
    <row r="584" spans="1:18" x14ac:dyDescent="0.25">
      <c r="A584" s="170">
        <v>42864</v>
      </c>
      <c r="B584" s="116">
        <v>153.04751131632599</v>
      </c>
      <c r="C584" s="116">
        <v>152.20794768535501</v>
      </c>
      <c r="D584" s="116">
        <v>150.67697871123301</v>
      </c>
      <c r="E584" s="116">
        <v>152.84996693256801</v>
      </c>
      <c r="F584" s="116">
        <v>154.1</v>
      </c>
      <c r="G584">
        <v>242993</v>
      </c>
      <c r="H584" s="116"/>
      <c r="I584" s="116"/>
      <c r="L584" s="170">
        <v>42864</v>
      </c>
      <c r="M584" s="116">
        <v>152.158717445788</v>
      </c>
      <c r="N584" s="116">
        <v>153.245212669355</v>
      </c>
      <c r="O584" s="116">
        <v>150.67713305001601</v>
      </c>
      <c r="P584" s="116">
        <v>151.31915295485101</v>
      </c>
      <c r="Q584" s="116">
        <v>154.05000000000001</v>
      </c>
      <c r="R584">
        <v>939148</v>
      </c>
    </row>
    <row r="585" spans="1:18" x14ac:dyDescent="0.25">
      <c r="A585" s="170">
        <v>42865</v>
      </c>
      <c r="B585" s="116">
        <v>154.47970809857</v>
      </c>
      <c r="C585" s="116">
        <v>152.99812522038599</v>
      </c>
      <c r="D585" s="116">
        <v>152.059789397537</v>
      </c>
      <c r="E585" s="116">
        <v>152.35610597317401</v>
      </c>
      <c r="F585" s="116">
        <v>154.9</v>
      </c>
      <c r="G585">
        <v>269544</v>
      </c>
      <c r="H585" s="116"/>
      <c r="I585" s="116"/>
      <c r="L585" s="170">
        <v>42865</v>
      </c>
      <c r="M585" s="116">
        <v>152.9488957902</v>
      </c>
      <c r="N585" s="116">
        <v>154.43048018597199</v>
      </c>
      <c r="O585" s="116">
        <v>152.010559006211</v>
      </c>
      <c r="P585" s="116">
        <v>152.99828193672599</v>
      </c>
      <c r="Q585" s="116">
        <v>154.85</v>
      </c>
      <c r="R585">
        <v>1186929</v>
      </c>
    </row>
    <row r="586" spans="1:18" x14ac:dyDescent="0.25">
      <c r="A586" s="170">
        <v>42866</v>
      </c>
      <c r="B586" s="116">
        <v>154.084619331054</v>
      </c>
      <c r="C586" s="116">
        <v>152.10917549347701</v>
      </c>
      <c r="D586" s="116">
        <v>151.36838405438499</v>
      </c>
      <c r="E586" s="116">
        <v>153.49198617978101</v>
      </c>
      <c r="F586" s="116">
        <v>154</v>
      </c>
      <c r="G586">
        <v>149321</v>
      </c>
      <c r="H586" s="116"/>
      <c r="I586" s="116"/>
      <c r="L586" s="170">
        <v>42866</v>
      </c>
      <c r="M586" s="116">
        <v>152.109331299263</v>
      </c>
      <c r="N586" s="116">
        <v>154.28232174639501</v>
      </c>
      <c r="O586" s="116">
        <v>151.31915295485101</v>
      </c>
      <c r="P586" s="116">
        <v>153.097054229777</v>
      </c>
      <c r="Q586" s="116">
        <v>154</v>
      </c>
      <c r="R586">
        <v>589464</v>
      </c>
    </row>
    <row r="587" spans="1:18" x14ac:dyDescent="0.25">
      <c r="A587" s="170">
        <v>42867</v>
      </c>
      <c r="B587" s="116">
        <v>152.75119474068899</v>
      </c>
      <c r="C587" s="116">
        <v>150.627592615293</v>
      </c>
      <c r="D587" s="116">
        <v>149.738642888383</v>
      </c>
      <c r="E587" s="116">
        <v>152.059789397537</v>
      </c>
      <c r="F587" s="116">
        <v>152.5</v>
      </c>
      <c r="G587">
        <v>126166</v>
      </c>
      <c r="H587" s="116"/>
      <c r="I587" s="116"/>
      <c r="L587" s="170">
        <v>42867</v>
      </c>
      <c r="M587" s="116">
        <v>150.77590534306799</v>
      </c>
      <c r="N587" s="116">
        <v>152.85012349714901</v>
      </c>
      <c r="O587" s="116">
        <v>149.788182412553</v>
      </c>
      <c r="P587" s="116">
        <v>152.109331299263</v>
      </c>
      <c r="Q587" s="116">
        <v>152.65</v>
      </c>
      <c r="R587">
        <v>940916</v>
      </c>
    </row>
    <row r="588" spans="1:18" x14ac:dyDescent="0.25">
      <c r="A588" s="170">
        <v>42870</v>
      </c>
      <c r="B588" s="116">
        <v>153.195669604144</v>
      </c>
      <c r="C588" s="116">
        <v>152.65242254880999</v>
      </c>
      <c r="D588" s="116">
        <v>150.82513699905101</v>
      </c>
      <c r="E588" s="116">
        <v>151.022681382809</v>
      </c>
      <c r="F588" s="116">
        <v>154.55000000000001</v>
      </c>
      <c r="G588">
        <v>175162</v>
      </c>
      <c r="H588" s="116"/>
      <c r="I588" s="116"/>
      <c r="L588" s="170">
        <v>42870</v>
      </c>
      <c r="M588" s="116">
        <v>152.70196505757099</v>
      </c>
      <c r="N588" s="116">
        <v>153.097054229777</v>
      </c>
      <c r="O588" s="116">
        <v>150.578360756965</v>
      </c>
      <c r="P588" s="116">
        <v>150.77590534306799</v>
      </c>
      <c r="Q588" s="116">
        <v>154.6</v>
      </c>
      <c r="R588">
        <v>1012554</v>
      </c>
    </row>
    <row r="589" spans="1:18" x14ac:dyDescent="0.25">
      <c r="A589" s="170">
        <v>42871</v>
      </c>
      <c r="B589" s="116">
        <v>153.29444179602299</v>
      </c>
      <c r="C589" s="116">
        <v>152.405492069113</v>
      </c>
      <c r="D589" s="116">
        <v>151.12145357468799</v>
      </c>
      <c r="E589" s="116">
        <v>153.29444179602299</v>
      </c>
      <c r="F589" s="116">
        <v>154.30000000000001</v>
      </c>
      <c r="G589">
        <v>137939</v>
      </c>
      <c r="H589" s="116"/>
      <c r="I589" s="116"/>
      <c r="L589" s="170">
        <v>42871</v>
      </c>
      <c r="M589" s="116">
        <v>152.55380661799401</v>
      </c>
      <c r="N589" s="116">
        <v>153.541529548509</v>
      </c>
      <c r="O589" s="116">
        <v>151.12160836874801</v>
      </c>
      <c r="P589" s="116">
        <v>152.70196505757099</v>
      </c>
      <c r="Q589" s="116">
        <v>154.44999999999999</v>
      </c>
      <c r="R589">
        <v>1306020</v>
      </c>
    </row>
    <row r="590" spans="1:18" x14ac:dyDescent="0.25">
      <c r="A590" s="170">
        <v>42872</v>
      </c>
      <c r="B590" s="116">
        <v>152.35610597317401</v>
      </c>
      <c r="C590" s="116">
        <v>150.775750903112</v>
      </c>
      <c r="D590" s="116">
        <v>150.380662135596</v>
      </c>
      <c r="E590" s="116">
        <v>152.158561589416</v>
      </c>
      <c r="F590" s="116">
        <v>152.65</v>
      </c>
      <c r="G590">
        <v>129042</v>
      </c>
      <c r="H590" s="116"/>
      <c r="I590" s="116"/>
      <c r="L590" s="170">
        <v>42872</v>
      </c>
      <c r="M590" s="116">
        <v>150.97344992917101</v>
      </c>
      <c r="N590" s="116">
        <v>152.75135120409701</v>
      </c>
      <c r="O590" s="116">
        <v>150.62774690349099</v>
      </c>
      <c r="P590" s="116">
        <v>152.109331299263</v>
      </c>
      <c r="Q590" s="116">
        <v>152.85</v>
      </c>
      <c r="R590">
        <v>1161590</v>
      </c>
    </row>
    <row r="591" spans="1:18" x14ac:dyDescent="0.25">
      <c r="A591" s="170">
        <v>42873</v>
      </c>
      <c r="B591" s="116">
        <v>151.12145357468799</v>
      </c>
      <c r="C591" s="116">
        <v>145.688983021349</v>
      </c>
      <c r="D591" s="116">
        <v>144.50371671880299</v>
      </c>
      <c r="E591" s="116">
        <v>151.12145357468799</v>
      </c>
      <c r="F591" s="116">
        <v>147.5</v>
      </c>
      <c r="G591">
        <v>180468</v>
      </c>
      <c r="H591" s="116"/>
      <c r="I591" s="116"/>
      <c r="L591" s="170">
        <v>42873</v>
      </c>
      <c r="M591" s="116">
        <v>145.689132250917</v>
      </c>
      <c r="N591" s="116">
        <v>150.726519196542</v>
      </c>
      <c r="O591" s="116">
        <v>145.19527078566</v>
      </c>
      <c r="P591" s="116">
        <v>150.13388543823299</v>
      </c>
      <c r="Q591" s="116">
        <v>147.5</v>
      </c>
      <c r="R591">
        <v>1233917</v>
      </c>
    </row>
    <row r="592" spans="1:18" x14ac:dyDescent="0.25">
      <c r="A592" s="170">
        <v>42874</v>
      </c>
      <c r="B592" s="116">
        <v>151.71408672596101</v>
      </c>
      <c r="C592" s="116">
        <v>147.81258514674499</v>
      </c>
      <c r="D592" s="116">
        <v>146.67670494013799</v>
      </c>
      <c r="E592" s="116">
        <v>147.51626857110901</v>
      </c>
      <c r="F592" s="116">
        <v>149.65</v>
      </c>
      <c r="G592">
        <v>453600</v>
      </c>
      <c r="H592" s="116"/>
      <c r="I592" s="116"/>
      <c r="L592" s="170">
        <v>42874</v>
      </c>
      <c r="M592" s="116">
        <v>147.66457811194701</v>
      </c>
      <c r="N592" s="116">
        <v>151.91178671316001</v>
      </c>
      <c r="O592" s="116">
        <v>146.52869674185499</v>
      </c>
      <c r="P592" s="116">
        <v>147.66457811194701</v>
      </c>
      <c r="Q592" s="116">
        <v>149.5</v>
      </c>
      <c r="R592">
        <v>2744849</v>
      </c>
    </row>
    <row r="593" spans="1:18" x14ac:dyDescent="0.25">
      <c r="A593" s="170">
        <v>42877</v>
      </c>
      <c r="B593" s="116">
        <v>149.09662364117099</v>
      </c>
      <c r="C593" s="116">
        <v>145.540824733531</v>
      </c>
      <c r="D593" s="116">
        <v>145.195122061955</v>
      </c>
      <c r="E593" s="116">
        <v>148.15828781832101</v>
      </c>
      <c r="F593" s="116">
        <v>147.35</v>
      </c>
      <c r="G593">
        <v>152534</v>
      </c>
      <c r="H593" s="116"/>
      <c r="I593" s="116"/>
      <c r="L593" s="170">
        <v>42877</v>
      </c>
      <c r="M593" s="116">
        <v>145.985449130072</v>
      </c>
      <c r="N593" s="116">
        <v>149.294320947296</v>
      </c>
      <c r="O593" s="116">
        <v>145.39281537176299</v>
      </c>
      <c r="P593" s="116">
        <v>147.96089499110099</v>
      </c>
      <c r="Q593" s="116">
        <v>147.80000000000001</v>
      </c>
      <c r="R593">
        <v>1098727</v>
      </c>
    </row>
    <row r="594" spans="1:18" x14ac:dyDescent="0.25">
      <c r="A594" s="170">
        <v>42878</v>
      </c>
      <c r="B594" s="116">
        <v>146.182843980744</v>
      </c>
      <c r="C594" s="116">
        <v>142.72581726498299</v>
      </c>
      <c r="D594" s="116">
        <v>141.93563972995199</v>
      </c>
      <c r="E594" s="116">
        <v>145.688983021349</v>
      </c>
      <c r="F594" s="116">
        <v>144.5</v>
      </c>
      <c r="G594">
        <v>131576</v>
      </c>
      <c r="H594" s="116"/>
      <c r="I594" s="116"/>
      <c r="L594" s="170">
        <v>42878</v>
      </c>
      <c r="M594" s="116">
        <v>142.972894192002</v>
      </c>
      <c r="N594" s="116">
        <v>146.57808288838001</v>
      </c>
      <c r="O594" s="116">
        <v>141.886398968436</v>
      </c>
      <c r="P594" s="116">
        <v>146.23237986269999</v>
      </c>
      <c r="Q594" s="116">
        <v>144.75</v>
      </c>
      <c r="R594">
        <v>1355129</v>
      </c>
    </row>
    <row r="595" spans="1:18" x14ac:dyDescent="0.25">
      <c r="A595" s="170">
        <v>42879</v>
      </c>
      <c r="B595" s="116">
        <v>144.20740014316601</v>
      </c>
      <c r="C595" s="116">
        <v>139.76265150861599</v>
      </c>
      <c r="D595" s="116">
        <v>138.77492958982799</v>
      </c>
      <c r="E595" s="116">
        <v>143.762925279711</v>
      </c>
      <c r="F595" s="116">
        <v>141.5</v>
      </c>
      <c r="G595">
        <v>208654</v>
      </c>
      <c r="H595" s="116"/>
      <c r="I595" s="116"/>
      <c r="L595" s="170">
        <v>42879</v>
      </c>
      <c r="M595" s="116">
        <v>139.96033925393201</v>
      </c>
      <c r="N595" s="116">
        <v>144.30632014819699</v>
      </c>
      <c r="O595" s="116">
        <v>138.47875485815999</v>
      </c>
      <c r="P595" s="116">
        <v>143.41736951073301</v>
      </c>
      <c r="Q595" s="116">
        <v>141.69999999999999</v>
      </c>
      <c r="R595">
        <v>1755862</v>
      </c>
    </row>
    <row r="596" spans="1:18" x14ac:dyDescent="0.25">
      <c r="A596" s="170">
        <v>42880</v>
      </c>
      <c r="B596" s="116">
        <v>142.82458945686199</v>
      </c>
      <c r="C596" s="116">
        <v>141.68870925025499</v>
      </c>
      <c r="D596" s="116">
        <v>140.75037342740501</v>
      </c>
      <c r="E596" s="116">
        <v>141.738095346194</v>
      </c>
      <c r="F596" s="116">
        <v>143.44999999999999</v>
      </c>
      <c r="G596">
        <v>121202</v>
      </c>
      <c r="H596" s="116"/>
      <c r="I596" s="116"/>
      <c r="L596" s="170">
        <v>42880</v>
      </c>
      <c r="M596" s="116">
        <v>141.29376521012699</v>
      </c>
      <c r="N596" s="116">
        <v>142.87412189894999</v>
      </c>
      <c r="O596" s="116">
        <v>140.35542842613799</v>
      </c>
      <c r="P596" s="116">
        <v>141.68885438233301</v>
      </c>
      <c r="Q596" s="116">
        <v>143.05000000000001</v>
      </c>
      <c r="R596">
        <v>1842806</v>
      </c>
    </row>
    <row r="597" spans="1:18" x14ac:dyDescent="0.25">
      <c r="A597" s="170">
        <v>42881</v>
      </c>
      <c r="B597" s="116">
        <v>145.09634987007601</v>
      </c>
      <c r="C597" s="116">
        <v>144.60248891068201</v>
      </c>
      <c r="D597" s="116">
        <v>142.231956305588</v>
      </c>
      <c r="E597" s="116">
        <v>142.231956305588</v>
      </c>
      <c r="F597" s="116">
        <v>146.4</v>
      </c>
      <c r="G597">
        <v>140672</v>
      </c>
      <c r="H597" s="116"/>
      <c r="I597" s="116"/>
      <c r="L597" s="170">
        <v>42881</v>
      </c>
      <c r="M597" s="116">
        <v>145.09649849260799</v>
      </c>
      <c r="N597" s="116">
        <v>145.44220151828799</v>
      </c>
      <c r="O597" s="116">
        <v>141.738240528858</v>
      </c>
      <c r="P597" s="116">
        <v>142.23210199411599</v>
      </c>
      <c r="Q597" s="116">
        <v>146.9</v>
      </c>
      <c r="R597">
        <v>1417686</v>
      </c>
    </row>
    <row r="598" spans="1:18" x14ac:dyDescent="0.25">
      <c r="A598" s="170">
        <v>42884</v>
      </c>
      <c r="B598" s="116">
        <v>145.787755213228</v>
      </c>
      <c r="C598" s="116">
        <v>143.66415308783201</v>
      </c>
      <c r="D598" s="116">
        <v>142.47888678528599</v>
      </c>
      <c r="E598" s="116">
        <v>144.60248891068201</v>
      </c>
      <c r="F598" s="116">
        <v>145.44999999999999</v>
      </c>
      <c r="G598">
        <v>107551</v>
      </c>
      <c r="H598" s="116"/>
      <c r="I598" s="116"/>
      <c r="L598" s="170">
        <v>42884</v>
      </c>
      <c r="M598" s="116">
        <v>143.614914096836</v>
      </c>
      <c r="N598" s="116">
        <v>145.689132250917</v>
      </c>
      <c r="O598" s="116">
        <v>142.13332970106401</v>
      </c>
      <c r="P598" s="116">
        <v>145.39281537176299</v>
      </c>
      <c r="Q598" s="116">
        <v>145.4</v>
      </c>
      <c r="R598">
        <v>977041</v>
      </c>
    </row>
    <row r="599" spans="1:18" x14ac:dyDescent="0.25">
      <c r="A599" s="170">
        <v>42885</v>
      </c>
      <c r="B599" s="116">
        <v>144.60248891068201</v>
      </c>
      <c r="C599" s="116">
        <v>143.81231137565101</v>
      </c>
      <c r="D599" s="116">
        <v>142.08379801776999</v>
      </c>
      <c r="E599" s="116">
        <v>143.21967822437699</v>
      </c>
      <c r="F599" s="116">
        <v>145.6</v>
      </c>
      <c r="G599">
        <v>164707</v>
      </c>
      <c r="H599" s="116"/>
      <c r="I599" s="116"/>
      <c r="L599" s="170">
        <v>42885</v>
      </c>
      <c r="M599" s="116">
        <v>143.763072536414</v>
      </c>
      <c r="N599" s="116">
        <v>144.405092441248</v>
      </c>
      <c r="O599" s="116">
        <v>141.93578511496099</v>
      </c>
      <c r="P599" s="116">
        <v>143.21982492462999</v>
      </c>
      <c r="Q599" s="116">
        <v>145.55000000000001</v>
      </c>
      <c r="R599">
        <v>1513053</v>
      </c>
    </row>
    <row r="600" spans="1:18" x14ac:dyDescent="0.25">
      <c r="A600" s="170">
        <v>42886</v>
      </c>
      <c r="B600" s="116">
        <v>149.14600973711001</v>
      </c>
      <c r="C600" s="116">
        <v>147.12117980359301</v>
      </c>
      <c r="D600" s="116">
        <v>145.98529959698601</v>
      </c>
      <c r="E600" s="116">
        <v>146.67670494013799</v>
      </c>
      <c r="F600" s="116">
        <v>148.94999999999999</v>
      </c>
      <c r="G600">
        <v>847346</v>
      </c>
      <c r="H600" s="116"/>
      <c r="I600" s="116"/>
      <c r="L600" s="170">
        <v>42886</v>
      </c>
      <c r="M600" s="116">
        <v>147.565805818895</v>
      </c>
      <c r="N600" s="116">
        <v>149.146162507719</v>
      </c>
      <c r="O600" s="116">
        <v>145.73851839744299</v>
      </c>
      <c r="P600" s="116">
        <v>146.72624132795801</v>
      </c>
      <c r="Q600" s="116">
        <v>149.4</v>
      </c>
      <c r="R600">
        <v>3325237</v>
      </c>
    </row>
    <row r="601" spans="1:18" x14ac:dyDescent="0.25">
      <c r="A601" s="170">
        <v>42887</v>
      </c>
      <c r="B601" s="116">
        <v>151.664700630022</v>
      </c>
      <c r="C601" s="116">
        <v>149.98557336808099</v>
      </c>
      <c r="D601" s="116">
        <v>146.52854665231999</v>
      </c>
      <c r="E601" s="116">
        <v>147.17056589953299</v>
      </c>
      <c r="F601" s="116">
        <v>151.85</v>
      </c>
      <c r="G601">
        <v>324935</v>
      </c>
      <c r="H601" s="116"/>
      <c r="I601" s="116"/>
      <c r="L601" s="170">
        <v>42887</v>
      </c>
      <c r="M601" s="116">
        <v>150.52897461043901</v>
      </c>
      <c r="N601" s="116">
        <v>152.109331299263</v>
      </c>
      <c r="O601" s="116">
        <v>146.42992444880301</v>
      </c>
      <c r="P601" s="116">
        <v>146.52869674185499</v>
      </c>
      <c r="Q601" s="116">
        <v>152.4</v>
      </c>
      <c r="R601">
        <v>2952069</v>
      </c>
    </row>
    <row r="602" spans="1:18" x14ac:dyDescent="0.25">
      <c r="A602" s="170">
        <v>42888</v>
      </c>
      <c r="B602" s="116">
        <v>156.55392412802601</v>
      </c>
      <c r="C602" s="116">
        <v>153.195669604144</v>
      </c>
      <c r="D602" s="116">
        <v>150.23250384777799</v>
      </c>
      <c r="E602" s="116">
        <v>150.33127603965701</v>
      </c>
      <c r="F602" s="116">
        <v>155.1</v>
      </c>
      <c r="G602">
        <v>749131</v>
      </c>
      <c r="H602" s="116"/>
      <c r="I602" s="116"/>
      <c r="L602" s="170">
        <v>42888</v>
      </c>
      <c r="M602" s="116">
        <v>152.9488957902</v>
      </c>
      <c r="N602" s="116">
        <v>156.405926047002</v>
      </c>
      <c r="O602" s="116">
        <v>150.28204387781</v>
      </c>
      <c r="P602" s="116">
        <v>151.220380661799</v>
      </c>
      <c r="Q602" s="116">
        <v>154.85</v>
      </c>
      <c r="R602">
        <v>3603942</v>
      </c>
    </row>
    <row r="603" spans="1:18" x14ac:dyDescent="0.25">
      <c r="A603" s="170">
        <v>42891</v>
      </c>
      <c r="B603" s="116">
        <v>154.52909419450901</v>
      </c>
      <c r="C603" s="116">
        <v>152.89935302850799</v>
      </c>
      <c r="D603" s="116">
        <v>150.92390919093</v>
      </c>
      <c r="E603" s="116">
        <v>153.195669604144</v>
      </c>
      <c r="F603" s="116">
        <v>154.80000000000001</v>
      </c>
      <c r="G603">
        <v>204221</v>
      </c>
      <c r="H603" s="116"/>
      <c r="I603" s="116"/>
      <c r="L603" s="170">
        <v>42891</v>
      </c>
      <c r="M603" s="116">
        <v>153.04766808325201</v>
      </c>
      <c r="N603" s="116">
        <v>154.57863862554899</v>
      </c>
      <c r="O603" s="116">
        <v>151.02283607569601</v>
      </c>
      <c r="P603" s="116">
        <v>153.14644037630299</v>
      </c>
      <c r="Q603" s="116">
        <v>154.94999999999999</v>
      </c>
      <c r="R603">
        <v>1647207</v>
      </c>
    </row>
    <row r="604" spans="1:18" x14ac:dyDescent="0.25">
      <c r="A604" s="170">
        <v>42892</v>
      </c>
      <c r="B604" s="116">
        <v>153.49198617978101</v>
      </c>
      <c r="C604" s="116">
        <v>150.97329528686899</v>
      </c>
      <c r="D604" s="116">
        <v>150.43004823153601</v>
      </c>
      <c r="E604" s="116">
        <v>153.49198617978101</v>
      </c>
      <c r="F604" s="116">
        <v>152.85</v>
      </c>
      <c r="G604">
        <v>152061</v>
      </c>
      <c r="H604" s="116"/>
      <c r="I604" s="116"/>
      <c r="L604" s="170">
        <v>42892</v>
      </c>
      <c r="M604" s="116">
        <v>151.12160836874801</v>
      </c>
      <c r="N604" s="116">
        <v>153.739074134612</v>
      </c>
      <c r="O604" s="116">
        <v>150.33143002433599</v>
      </c>
      <c r="P604" s="116">
        <v>153.097054229777</v>
      </c>
      <c r="Q604" s="116">
        <v>153</v>
      </c>
      <c r="R604">
        <v>1290705</v>
      </c>
    </row>
    <row r="605" spans="1:18" x14ac:dyDescent="0.25">
      <c r="A605" s="170">
        <v>42893</v>
      </c>
      <c r="B605" s="116">
        <v>154.331549810751</v>
      </c>
      <c r="C605" s="116">
        <v>153.78830275541799</v>
      </c>
      <c r="D605" s="116">
        <v>150.67697871123301</v>
      </c>
      <c r="E605" s="116">
        <v>151.22022576656701</v>
      </c>
      <c r="F605" s="116">
        <v>155.69999999999999</v>
      </c>
      <c r="G605">
        <v>204973</v>
      </c>
      <c r="H605" s="116"/>
      <c r="I605" s="116"/>
      <c r="L605" s="170">
        <v>42893</v>
      </c>
      <c r="M605" s="116">
        <v>153.64030184155999</v>
      </c>
      <c r="N605" s="116">
        <v>154.47986633249801</v>
      </c>
      <c r="O605" s="116">
        <v>150.52897461043901</v>
      </c>
      <c r="P605" s="116">
        <v>150.77590534306799</v>
      </c>
      <c r="Q605" s="116">
        <v>155.55000000000001</v>
      </c>
      <c r="R605">
        <v>1943703</v>
      </c>
    </row>
    <row r="606" spans="1:18" x14ac:dyDescent="0.25">
      <c r="A606" s="170">
        <v>42894</v>
      </c>
      <c r="B606" s="116">
        <v>155.02295515390401</v>
      </c>
      <c r="C606" s="116">
        <v>152.405492069113</v>
      </c>
      <c r="D606" s="116">
        <v>151.417770150324</v>
      </c>
      <c r="E606" s="116">
        <v>154.13400542699401</v>
      </c>
      <c r="F606" s="116">
        <v>154.30000000000001</v>
      </c>
      <c r="G606">
        <v>155893</v>
      </c>
      <c r="H606" s="116"/>
      <c r="I606" s="116"/>
      <c r="L606" s="170">
        <v>42894</v>
      </c>
      <c r="M606" s="116">
        <v>152.70196505757099</v>
      </c>
      <c r="N606" s="116">
        <v>154.973727797755</v>
      </c>
      <c r="O606" s="116">
        <v>151.516697540954</v>
      </c>
      <c r="P606" s="116">
        <v>153.19582652282901</v>
      </c>
      <c r="Q606" s="116">
        <v>154.6</v>
      </c>
      <c r="R606">
        <v>1479812</v>
      </c>
    </row>
    <row r="607" spans="1:18" x14ac:dyDescent="0.25">
      <c r="A607" s="170">
        <v>42895</v>
      </c>
      <c r="B607" s="116">
        <v>153.54137227571999</v>
      </c>
      <c r="C607" s="116">
        <v>152.35610597317401</v>
      </c>
      <c r="D607" s="116">
        <v>151.022681382809</v>
      </c>
      <c r="E607" s="116">
        <v>152.10917549347701</v>
      </c>
      <c r="F607" s="116">
        <v>154.25</v>
      </c>
      <c r="G607">
        <v>153370</v>
      </c>
      <c r="H607" s="116"/>
      <c r="I607" s="116"/>
      <c r="L607" s="170">
        <v>42895</v>
      </c>
      <c r="M607" s="116">
        <v>152.50442047146899</v>
      </c>
      <c r="N607" s="116">
        <v>153.739074134612</v>
      </c>
      <c r="O607" s="116">
        <v>150.92406378264499</v>
      </c>
      <c r="P607" s="116">
        <v>152.99828193672599</v>
      </c>
      <c r="Q607" s="116">
        <v>154.4</v>
      </c>
      <c r="R607">
        <v>1319642</v>
      </c>
    </row>
    <row r="608" spans="1:18" x14ac:dyDescent="0.25">
      <c r="A608" s="170">
        <v>42898</v>
      </c>
      <c r="B608" s="116">
        <v>152.70180864475</v>
      </c>
      <c r="C608" s="116">
        <v>150.281889943717</v>
      </c>
      <c r="D608" s="116">
        <v>149.83741508026199</v>
      </c>
      <c r="E608" s="116">
        <v>151.565928438143</v>
      </c>
      <c r="F608" s="116">
        <v>152.15</v>
      </c>
      <c r="G608">
        <v>115043</v>
      </c>
      <c r="H608" s="116"/>
      <c r="I608" s="116"/>
      <c r="L608" s="170">
        <v>42898</v>
      </c>
      <c r="M608" s="116">
        <v>150.232657731285</v>
      </c>
      <c r="N608" s="116">
        <v>152.60319276452</v>
      </c>
      <c r="O608" s="116">
        <v>149.88695470560501</v>
      </c>
      <c r="P608" s="116">
        <v>151.61546983400501</v>
      </c>
      <c r="Q608" s="116">
        <v>152.1</v>
      </c>
      <c r="R608">
        <v>1438107</v>
      </c>
    </row>
    <row r="609" spans="1:18" x14ac:dyDescent="0.25">
      <c r="A609" s="170">
        <v>42899</v>
      </c>
      <c r="B609" s="116">
        <v>155.862518784874</v>
      </c>
      <c r="C609" s="116">
        <v>154.38093590669101</v>
      </c>
      <c r="D609" s="116">
        <v>149.93618727214101</v>
      </c>
      <c r="E609" s="116">
        <v>150.281889943717</v>
      </c>
      <c r="F609" s="116">
        <v>156.30000000000001</v>
      </c>
      <c r="G609">
        <v>386048</v>
      </c>
      <c r="H609" s="116"/>
      <c r="I609" s="116"/>
      <c r="L609" s="170">
        <v>42899</v>
      </c>
      <c r="M609" s="116">
        <v>154.529252479024</v>
      </c>
      <c r="N609" s="116">
        <v>155.763906142167</v>
      </c>
      <c r="O609" s="116">
        <v>149.83756855907899</v>
      </c>
      <c r="P609" s="116">
        <v>150.578360756965</v>
      </c>
      <c r="Q609" s="116">
        <v>156.44999999999999</v>
      </c>
      <c r="R609">
        <v>3463217</v>
      </c>
    </row>
    <row r="610" spans="1:18" x14ac:dyDescent="0.25">
      <c r="A610" s="170">
        <v>42900</v>
      </c>
      <c r="B610" s="116">
        <v>158.38120967778499</v>
      </c>
      <c r="C610" s="116">
        <v>156.60331022396599</v>
      </c>
      <c r="D610" s="116">
        <v>153.29444179602299</v>
      </c>
      <c r="E610" s="116">
        <v>155.07234124984299</v>
      </c>
      <c r="F610" s="116">
        <v>158.55000000000001</v>
      </c>
      <c r="G610">
        <v>505314</v>
      </c>
      <c r="H610" s="116"/>
      <c r="I610" s="116"/>
      <c r="L610" s="170">
        <v>42900</v>
      </c>
      <c r="M610" s="116">
        <v>156.50469834005301</v>
      </c>
      <c r="N610" s="116">
        <v>158.480144201082</v>
      </c>
      <c r="O610" s="116">
        <v>153.14644037630299</v>
      </c>
      <c r="P610" s="116">
        <v>155.02311394428099</v>
      </c>
      <c r="Q610" s="116">
        <v>158.44999999999999</v>
      </c>
      <c r="R610">
        <v>4815053</v>
      </c>
    </row>
    <row r="611" spans="1:18" x14ac:dyDescent="0.25">
      <c r="A611" s="170">
        <v>42901</v>
      </c>
      <c r="B611" s="116">
        <v>160.80112837881799</v>
      </c>
      <c r="C611" s="116">
        <v>157.047785087421</v>
      </c>
      <c r="D611" s="116">
        <v>155.81313268893501</v>
      </c>
      <c r="E611" s="116">
        <v>156.06006316863201</v>
      </c>
      <c r="F611" s="116">
        <v>159</v>
      </c>
      <c r="G611">
        <v>477196</v>
      </c>
      <c r="H611" s="116"/>
      <c r="I611" s="116"/>
      <c r="L611" s="170">
        <v>42901</v>
      </c>
      <c r="M611" s="116">
        <v>157.14671824488801</v>
      </c>
      <c r="N611" s="116">
        <v>160.75190694126599</v>
      </c>
      <c r="O611" s="116">
        <v>155.66513384911599</v>
      </c>
      <c r="P611" s="116">
        <v>156.50469834005301</v>
      </c>
      <c r="Q611" s="116">
        <v>159.1</v>
      </c>
      <c r="R611">
        <v>3647423</v>
      </c>
    </row>
    <row r="612" spans="1:18" x14ac:dyDescent="0.25">
      <c r="A612" s="170">
        <v>42902</v>
      </c>
      <c r="B612" s="116">
        <v>159.813406460029</v>
      </c>
      <c r="C612" s="116">
        <v>156.25760755239</v>
      </c>
      <c r="D612" s="116">
        <v>155.66497440111601</v>
      </c>
      <c r="E612" s="116">
        <v>157.146557279299</v>
      </c>
      <c r="F612" s="116">
        <v>158.19999999999999</v>
      </c>
      <c r="G612">
        <v>219033</v>
      </c>
      <c r="H612" s="116"/>
      <c r="I612" s="116"/>
      <c r="L612" s="170">
        <v>42902</v>
      </c>
      <c r="M612" s="116">
        <v>156.257767607424</v>
      </c>
      <c r="N612" s="116">
        <v>159.81357015727701</v>
      </c>
      <c r="O612" s="116">
        <v>155.763906142167</v>
      </c>
      <c r="P612" s="116">
        <v>157.986282735825</v>
      </c>
      <c r="Q612" s="116">
        <v>158.19999999999999</v>
      </c>
      <c r="R612">
        <v>1968954</v>
      </c>
    </row>
    <row r="613" spans="1:18" x14ac:dyDescent="0.25">
      <c r="A613" s="170">
        <v>42905</v>
      </c>
      <c r="B613" s="116">
        <v>158.035507006209</v>
      </c>
      <c r="C613" s="116">
        <v>154.38093590669101</v>
      </c>
      <c r="D613" s="116">
        <v>153.98584713917501</v>
      </c>
      <c r="E613" s="116">
        <v>158.035507006209</v>
      </c>
      <c r="F613" s="116">
        <v>156.30000000000001</v>
      </c>
      <c r="G613">
        <v>127558</v>
      </c>
      <c r="H613" s="116"/>
      <c r="I613" s="116"/>
      <c r="L613" s="170">
        <v>42905</v>
      </c>
      <c r="M613" s="116">
        <v>154.47986633249801</v>
      </c>
      <c r="N613" s="116">
        <v>157.59119356361899</v>
      </c>
      <c r="O613" s="116">
        <v>153.98600486724101</v>
      </c>
      <c r="P613" s="116">
        <v>157.047945951836</v>
      </c>
      <c r="Q613" s="116">
        <v>156.4</v>
      </c>
      <c r="R613">
        <v>1362450</v>
      </c>
    </row>
    <row r="614" spans="1:18" x14ac:dyDescent="0.25">
      <c r="A614" s="170">
        <v>42906</v>
      </c>
      <c r="B614" s="116">
        <v>156.45515193614699</v>
      </c>
      <c r="C614" s="116">
        <v>155.26988563360101</v>
      </c>
      <c r="D614" s="116">
        <v>153.68953056353899</v>
      </c>
      <c r="E614" s="116">
        <v>155.07234124984299</v>
      </c>
      <c r="F614" s="116">
        <v>157.19999999999999</v>
      </c>
      <c r="G614">
        <v>253465</v>
      </c>
      <c r="H614" s="116"/>
      <c r="I614" s="116"/>
      <c r="L614" s="170">
        <v>42906</v>
      </c>
      <c r="M614" s="116">
        <v>154.92434165123001</v>
      </c>
      <c r="N614" s="116">
        <v>156.702242926156</v>
      </c>
      <c r="O614" s="116">
        <v>153.64030184155999</v>
      </c>
      <c r="P614" s="116">
        <v>154.825569358178</v>
      </c>
      <c r="Q614" s="116">
        <v>156.85</v>
      </c>
      <c r="R614">
        <v>1212404</v>
      </c>
    </row>
    <row r="615" spans="1:18" x14ac:dyDescent="0.25">
      <c r="A615" s="170">
        <v>42907</v>
      </c>
      <c r="B615" s="116">
        <v>157.294715567118</v>
      </c>
      <c r="C615" s="116">
        <v>155.07234124984299</v>
      </c>
      <c r="D615" s="116">
        <v>154.28216371481199</v>
      </c>
      <c r="E615" s="116">
        <v>154.28216371481199</v>
      </c>
      <c r="F615" s="116">
        <v>157</v>
      </c>
      <c r="G615">
        <v>211939</v>
      </c>
      <c r="H615" s="116"/>
      <c r="I615" s="116"/>
      <c r="L615" s="170">
        <v>42907</v>
      </c>
      <c r="M615" s="116">
        <v>154.87495550470399</v>
      </c>
      <c r="N615" s="116">
        <v>157.44303512404201</v>
      </c>
      <c r="O615" s="116">
        <v>154.13416330681801</v>
      </c>
      <c r="P615" s="116">
        <v>154.87495550470399</v>
      </c>
      <c r="Q615" s="116">
        <v>156.80000000000001</v>
      </c>
      <c r="R615">
        <v>2770731</v>
      </c>
    </row>
    <row r="616" spans="1:18" x14ac:dyDescent="0.25">
      <c r="A616" s="170">
        <v>42908</v>
      </c>
      <c r="B616" s="116">
        <v>156.06006316863201</v>
      </c>
      <c r="C616" s="116">
        <v>152.89935302850799</v>
      </c>
      <c r="D616" s="116">
        <v>152.10917549347701</v>
      </c>
      <c r="E616" s="116">
        <v>156.06006316863201</v>
      </c>
      <c r="F616" s="116">
        <v>154.80000000000001</v>
      </c>
      <c r="G616">
        <v>169023</v>
      </c>
      <c r="H616" s="116"/>
      <c r="I616" s="116"/>
      <c r="L616" s="170">
        <v>42908</v>
      </c>
      <c r="M616" s="116">
        <v>152.85012349714901</v>
      </c>
      <c r="N616" s="116">
        <v>156.65285677963001</v>
      </c>
      <c r="O616" s="116">
        <v>152.109331299263</v>
      </c>
      <c r="P616" s="116">
        <v>155.07250009080701</v>
      </c>
      <c r="Q616" s="116">
        <v>154.75</v>
      </c>
      <c r="R616">
        <v>2216575</v>
      </c>
    </row>
    <row r="617" spans="1:18" x14ac:dyDescent="0.25">
      <c r="A617" s="170">
        <v>42909</v>
      </c>
      <c r="B617" s="116">
        <v>152.89935302850799</v>
      </c>
      <c r="C617" s="116">
        <v>149.29416802492801</v>
      </c>
      <c r="D617" s="116">
        <v>148.01012953050301</v>
      </c>
      <c r="E617" s="116">
        <v>152.89935302850799</v>
      </c>
      <c r="F617" s="116">
        <v>151.15</v>
      </c>
      <c r="G617">
        <v>390686</v>
      </c>
      <c r="H617" s="116"/>
      <c r="I617" s="116"/>
      <c r="L617" s="170">
        <v>42909</v>
      </c>
      <c r="M617" s="116">
        <v>149.294320947296</v>
      </c>
      <c r="N617" s="116">
        <v>153.097054229777</v>
      </c>
      <c r="O617" s="116">
        <v>147.96089499110099</v>
      </c>
      <c r="P617" s="116">
        <v>152.70196505757099</v>
      </c>
      <c r="Q617" s="116">
        <v>151.15</v>
      </c>
      <c r="R617">
        <v>1980476</v>
      </c>
    </row>
    <row r="618" spans="1:18" x14ac:dyDescent="0.25">
      <c r="A618" s="170">
        <v>42913</v>
      </c>
      <c r="B618" s="116">
        <v>150.03495946402001</v>
      </c>
      <c r="C618" s="116">
        <v>145.49143863759201</v>
      </c>
      <c r="D618" s="116">
        <v>144.10862795128699</v>
      </c>
      <c r="E618" s="116">
        <v>149.14600973711001</v>
      </c>
      <c r="F618" s="116">
        <v>147.30000000000001</v>
      </c>
      <c r="G618">
        <v>164015</v>
      </c>
      <c r="H618" s="116"/>
      <c r="I618" s="116"/>
      <c r="L618" s="170">
        <v>42913</v>
      </c>
      <c r="M618" s="116">
        <v>145.54097381134</v>
      </c>
      <c r="N618" s="116">
        <v>150.084499291708</v>
      </c>
      <c r="O618" s="116">
        <v>143.960617122516</v>
      </c>
      <c r="P618" s="116">
        <v>149.294320947296</v>
      </c>
      <c r="Q618" s="116">
        <v>147.35</v>
      </c>
      <c r="R618">
        <v>1465569</v>
      </c>
    </row>
    <row r="619" spans="1:18" x14ac:dyDescent="0.25">
      <c r="A619" s="170">
        <v>42914</v>
      </c>
      <c r="B619" s="116">
        <v>148.65214877771601</v>
      </c>
      <c r="C619" s="116">
        <v>146.824863227956</v>
      </c>
      <c r="D619" s="116">
        <v>144.800033294439</v>
      </c>
      <c r="E619" s="116">
        <v>145.59021082947001</v>
      </c>
      <c r="F619" s="116">
        <v>148.65</v>
      </c>
      <c r="G619">
        <v>165668</v>
      </c>
      <c r="H619" s="116"/>
      <c r="I619" s="116"/>
      <c r="L619" s="170">
        <v>42914</v>
      </c>
      <c r="M619" s="116">
        <v>147.31887508626599</v>
      </c>
      <c r="N619" s="116">
        <v>148.355984163307</v>
      </c>
      <c r="O619" s="116">
        <v>144.60263702735099</v>
      </c>
      <c r="P619" s="116">
        <v>145.44220151828799</v>
      </c>
      <c r="Q619" s="116">
        <v>149.15</v>
      </c>
      <c r="R619">
        <v>2135161</v>
      </c>
    </row>
    <row r="620" spans="1:18" x14ac:dyDescent="0.25">
      <c r="A620" s="170">
        <v>42915</v>
      </c>
      <c r="B620" s="116">
        <v>149.93618727214101</v>
      </c>
      <c r="C620" s="116">
        <v>146.38038836450099</v>
      </c>
      <c r="D620" s="116">
        <v>145.98529959698601</v>
      </c>
      <c r="E620" s="116">
        <v>149.14600973711001</v>
      </c>
      <c r="F620" s="116">
        <v>148.19999999999999</v>
      </c>
      <c r="G620">
        <v>160194</v>
      </c>
      <c r="H620" s="116"/>
      <c r="I620" s="116"/>
      <c r="L620" s="170">
        <v>42915</v>
      </c>
      <c r="M620" s="116">
        <v>146.67685518143199</v>
      </c>
      <c r="N620" s="116">
        <v>149.83756855907899</v>
      </c>
      <c r="O620" s="116">
        <v>146.08422142312301</v>
      </c>
      <c r="P620" s="116">
        <v>148.10905343067799</v>
      </c>
      <c r="Q620" s="116">
        <v>148.5</v>
      </c>
      <c r="R620">
        <v>2280933</v>
      </c>
    </row>
    <row r="621" spans="1:18" x14ac:dyDescent="0.25">
      <c r="A621" s="170">
        <v>42916</v>
      </c>
      <c r="B621" s="116">
        <v>149.491712408686</v>
      </c>
      <c r="C621" s="116">
        <v>148.70153487365499</v>
      </c>
      <c r="D621" s="116">
        <v>145.293894253834</v>
      </c>
      <c r="E621" s="116">
        <v>146.23223007668301</v>
      </c>
      <c r="F621" s="116">
        <v>150.55000000000001</v>
      </c>
      <c r="G621">
        <v>123851</v>
      </c>
      <c r="H621" s="116"/>
      <c r="I621" s="116"/>
      <c r="L621" s="170">
        <v>42916</v>
      </c>
      <c r="M621" s="116">
        <v>148.80045948203801</v>
      </c>
      <c r="N621" s="116">
        <v>149.83756855907899</v>
      </c>
      <c r="O621" s="116">
        <v>145.29404307871101</v>
      </c>
      <c r="P621" s="116">
        <v>146.18299371617499</v>
      </c>
      <c r="Q621" s="116">
        <v>150.65</v>
      </c>
      <c r="R621">
        <v>1854572</v>
      </c>
    </row>
    <row r="622" spans="1:18" x14ac:dyDescent="0.25">
      <c r="A622" s="170">
        <v>42919</v>
      </c>
      <c r="B622" s="116">
        <v>153.54137227571999</v>
      </c>
      <c r="C622" s="116">
        <v>149.34355412086799</v>
      </c>
      <c r="D622" s="116">
        <v>148.94846535335199</v>
      </c>
      <c r="E622" s="116">
        <v>150.133731655899</v>
      </c>
      <c r="F622" s="116">
        <v>151.19999999999999</v>
      </c>
      <c r="G622">
        <v>619374</v>
      </c>
      <c r="H622" s="116"/>
      <c r="I622" s="116"/>
      <c r="L622" s="170">
        <v>42919</v>
      </c>
      <c r="M622" s="116">
        <v>149.73879626602701</v>
      </c>
      <c r="N622" s="116">
        <v>153.739074134612</v>
      </c>
      <c r="O622" s="116">
        <v>148.89923177508999</v>
      </c>
      <c r="P622" s="116">
        <v>150.62774690349099</v>
      </c>
      <c r="Q622" s="116">
        <v>151.6</v>
      </c>
      <c r="R622">
        <v>8680232</v>
      </c>
    </row>
    <row r="623" spans="1:18" x14ac:dyDescent="0.25">
      <c r="A623" s="170">
        <v>42920</v>
      </c>
      <c r="B623" s="116">
        <v>152.158561589416</v>
      </c>
      <c r="C623" s="116">
        <v>148.15828781832101</v>
      </c>
      <c r="D623" s="116">
        <v>147.76319905080601</v>
      </c>
      <c r="E623" s="116">
        <v>151.022681382809</v>
      </c>
      <c r="F623" s="116">
        <v>150</v>
      </c>
      <c r="G623">
        <v>297281</v>
      </c>
      <c r="H623" s="116"/>
      <c r="I623" s="116"/>
      <c r="L623" s="170">
        <v>42920</v>
      </c>
      <c r="M623" s="116">
        <v>148.20782572373</v>
      </c>
      <c r="N623" s="116">
        <v>152.25748973884001</v>
      </c>
      <c r="O623" s="116">
        <v>147.911508844575</v>
      </c>
      <c r="P623" s="116">
        <v>151.813014420108</v>
      </c>
      <c r="Q623" s="116">
        <v>150.05000000000001</v>
      </c>
      <c r="R623">
        <v>3080845</v>
      </c>
    </row>
    <row r="624" spans="1:18" x14ac:dyDescent="0.25">
      <c r="A624" s="170">
        <v>42921</v>
      </c>
      <c r="B624" s="116">
        <v>155.02295515390401</v>
      </c>
      <c r="C624" s="116">
        <v>154.28216371481199</v>
      </c>
      <c r="D624" s="116">
        <v>148.80030706553401</v>
      </c>
      <c r="E624" s="116">
        <v>149.14600973711001</v>
      </c>
      <c r="F624" s="116">
        <v>156.19999999999999</v>
      </c>
      <c r="G624">
        <v>563183</v>
      </c>
      <c r="H624" s="116"/>
      <c r="I624" s="116"/>
      <c r="L624" s="170">
        <v>42921</v>
      </c>
      <c r="M624" s="116">
        <v>154.23293559986899</v>
      </c>
      <c r="N624" s="116">
        <v>155.171272383858</v>
      </c>
      <c r="O624" s="116">
        <v>148.15843957720401</v>
      </c>
      <c r="P624" s="116">
        <v>149.640023972976</v>
      </c>
      <c r="Q624" s="116">
        <v>156.15</v>
      </c>
      <c r="R624">
        <v>5849123</v>
      </c>
    </row>
    <row r="625" spans="1:18" x14ac:dyDescent="0.25">
      <c r="A625" s="170">
        <v>42922</v>
      </c>
      <c r="B625" s="116">
        <v>155.81313268893501</v>
      </c>
      <c r="C625" s="116">
        <v>151.565928438143</v>
      </c>
      <c r="D625" s="116">
        <v>150.82513699905101</v>
      </c>
      <c r="E625" s="116">
        <v>155.07234124984299</v>
      </c>
      <c r="F625" s="116">
        <v>153.44999999999999</v>
      </c>
      <c r="G625">
        <v>371133</v>
      </c>
      <c r="H625" s="116"/>
      <c r="I625" s="116"/>
      <c r="L625" s="170">
        <v>42922</v>
      </c>
      <c r="M625" s="116">
        <v>151.46731139442801</v>
      </c>
      <c r="N625" s="116">
        <v>155.86267843521901</v>
      </c>
      <c r="O625" s="116">
        <v>150.874677636119</v>
      </c>
      <c r="P625" s="116">
        <v>154.57863862554899</v>
      </c>
      <c r="Q625" s="116">
        <v>153.35</v>
      </c>
      <c r="R625">
        <v>4873097</v>
      </c>
    </row>
    <row r="626" spans="1:18" x14ac:dyDescent="0.25">
      <c r="A626" s="170">
        <v>42923</v>
      </c>
      <c r="B626" s="116">
        <v>156.80085460772301</v>
      </c>
      <c r="C626" s="116">
        <v>155.615588305177</v>
      </c>
      <c r="D626" s="116">
        <v>151.12145357468799</v>
      </c>
      <c r="E626" s="116">
        <v>152.800580836629</v>
      </c>
      <c r="F626" s="116">
        <v>157.55000000000001</v>
      </c>
      <c r="G626">
        <v>493551</v>
      </c>
      <c r="H626" s="116"/>
      <c r="I626" s="116"/>
      <c r="L626" s="170">
        <v>42923</v>
      </c>
      <c r="M626" s="116">
        <v>155.81329228869299</v>
      </c>
      <c r="N626" s="116">
        <v>156.94917365878501</v>
      </c>
      <c r="O626" s="116">
        <v>151.220380661799</v>
      </c>
      <c r="P626" s="116">
        <v>151.26976680832499</v>
      </c>
      <c r="Q626" s="116">
        <v>157.75</v>
      </c>
      <c r="R626">
        <v>6442241</v>
      </c>
    </row>
    <row r="627" spans="1:18" x14ac:dyDescent="0.25">
      <c r="A627" s="170">
        <v>42926</v>
      </c>
      <c r="B627" s="116">
        <v>165.542193589004</v>
      </c>
      <c r="C627" s="116">
        <v>164.406313382397</v>
      </c>
      <c r="D627" s="116">
        <v>154.82541077014599</v>
      </c>
      <c r="E627" s="116">
        <v>156.80085460772301</v>
      </c>
      <c r="F627" s="116">
        <v>166.45</v>
      </c>
      <c r="G627">
        <v>2178680</v>
      </c>
      <c r="H627" s="116"/>
      <c r="I627" s="116"/>
      <c r="L627" s="170">
        <v>42926</v>
      </c>
      <c r="M627" s="116">
        <v>164.50525407722199</v>
      </c>
      <c r="N627" s="116">
        <v>165.78929388689099</v>
      </c>
      <c r="O627" s="116">
        <v>155.171272383858</v>
      </c>
      <c r="P627" s="116">
        <v>157.047945951836</v>
      </c>
      <c r="Q627" s="116">
        <v>166.55</v>
      </c>
      <c r="R627">
        <v>4761386</v>
      </c>
    </row>
    <row r="628" spans="1:18" x14ac:dyDescent="0.25">
      <c r="A628" s="170">
        <v>42927</v>
      </c>
      <c r="B628" s="116">
        <v>170.48080318294799</v>
      </c>
      <c r="C628" s="116">
        <v>166.82623208343</v>
      </c>
      <c r="D628" s="116">
        <v>165.34464920524701</v>
      </c>
      <c r="E628" s="116">
        <v>165.39403530118599</v>
      </c>
      <c r="F628" s="116">
        <v>168.9</v>
      </c>
      <c r="G628">
        <v>1694282</v>
      </c>
      <c r="H628" s="116"/>
      <c r="I628" s="116"/>
      <c r="L628" s="170">
        <v>42927</v>
      </c>
      <c r="M628" s="116">
        <v>167.41903672224001</v>
      </c>
      <c r="N628" s="116">
        <v>170.67852239293899</v>
      </c>
      <c r="O628" s="116">
        <v>164.99911554247899</v>
      </c>
      <c r="P628" s="116">
        <v>164.99911554247899</v>
      </c>
      <c r="Q628" s="116">
        <v>169.5</v>
      </c>
      <c r="R628">
        <v>12571250</v>
      </c>
    </row>
    <row r="629" spans="1:18" x14ac:dyDescent="0.25">
      <c r="A629" s="170">
        <v>42928</v>
      </c>
      <c r="B629" s="116">
        <v>172.50563311646499</v>
      </c>
      <c r="C629" s="116">
        <v>171.22159462203999</v>
      </c>
      <c r="D629" s="116">
        <v>167.17193475500599</v>
      </c>
      <c r="E629" s="116">
        <v>167.91272619409801</v>
      </c>
      <c r="F629" s="116">
        <v>173.35</v>
      </c>
      <c r="G629">
        <v>1219291</v>
      </c>
      <c r="H629" s="116"/>
      <c r="I629" s="116"/>
      <c r="L629" s="170">
        <v>42928</v>
      </c>
      <c r="M629" s="116">
        <v>171.61685917692799</v>
      </c>
      <c r="N629" s="116">
        <v>172.653968253968</v>
      </c>
      <c r="O629" s="116">
        <v>166.92517525698301</v>
      </c>
      <c r="P629" s="116">
        <v>168.95000726453799</v>
      </c>
      <c r="Q629" s="116">
        <v>173.75</v>
      </c>
      <c r="R629">
        <v>10623109</v>
      </c>
    </row>
    <row r="630" spans="1:18" x14ac:dyDescent="0.25">
      <c r="A630" s="170">
        <v>42929</v>
      </c>
      <c r="B630" s="116">
        <v>174.38230476216401</v>
      </c>
      <c r="C630" s="116">
        <v>173.295810651496</v>
      </c>
      <c r="D630" s="116">
        <v>169.19676468852299</v>
      </c>
      <c r="E630" s="116">
        <v>172.75256359616299</v>
      </c>
      <c r="F630" s="116">
        <v>175.45</v>
      </c>
      <c r="G630">
        <v>690733</v>
      </c>
      <c r="H630" s="116"/>
      <c r="I630" s="116"/>
      <c r="L630" s="170">
        <v>42929</v>
      </c>
      <c r="M630" s="116">
        <v>173.24660201227701</v>
      </c>
      <c r="N630" s="116">
        <v>174.53064182194601</v>
      </c>
      <c r="O630" s="116">
        <v>169.09816570411499</v>
      </c>
      <c r="P630" s="116">
        <v>173.19721586575099</v>
      </c>
      <c r="Q630" s="116">
        <v>175.4</v>
      </c>
      <c r="R630">
        <v>5222043</v>
      </c>
    </row>
    <row r="631" spans="1:18" x14ac:dyDescent="0.25">
      <c r="A631" s="170">
        <v>42930</v>
      </c>
      <c r="B631" s="116">
        <v>173.83905770683</v>
      </c>
      <c r="C631" s="116">
        <v>171.912999965192</v>
      </c>
      <c r="D631" s="116">
        <v>169.888170031675</v>
      </c>
      <c r="E631" s="116">
        <v>173.83905770683</v>
      </c>
      <c r="F631" s="116">
        <v>174.05</v>
      </c>
      <c r="G631">
        <v>332697</v>
      </c>
      <c r="H631" s="116"/>
      <c r="I631" s="116"/>
      <c r="L631" s="170">
        <v>42930</v>
      </c>
      <c r="M631" s="116">
        <v>172.061334495659</v>
      </c>
      <c r="N631" s="116">
        <v>173.74046347753401</v>
      </c>
      <c r="O631" s="116">
        <v>169.93773019505301</v>
      </c>
      <c r="P631" s="116">
        <v>173.74046347753401</v>
      </c>
      <c r="Q631" s="116">
        <v>174.2</v>
      </c>
      <c r="R631">
        <v>2831387</v>
      </c>
    </row>
    <row r="632" spans="1:18" x14ac:dyDescent="0.25">
      <c r="A632" s="170">
        <v>42933</v>
      </c>
      <c r="B632" s="116">
        <v>177.04915394289401</v>
      </c>
      <c r="C632" s="116">
        <v>174.62923524186101</v>
      </c>
      <c r="D632" s="116">
        <v>170.57957537482699</v>
      </c>
      <c r="E632" s="116">
        <v>172.801949692102</v>
      </c>
      <c r="F632" s="116">
        <v>176.8</v>
      </c>
      <c r="G632">
        <v>773502</v>
      </c>
      <c r="H632" s="116"/>
      <c r="I632" s="116"/>
      <c r="L632" s="170">
        <v>42933</v>
      </c>
      <c r="M632" s="116">
        <v>174.82695870110101</v>
      </c>
      <c r="N632" s="116">
        <v>177.098721441284</v>
      </c>
      <c r="O632" s="116">
        <v>170.48097780683599</v>
      </c>
      <c r="P632" s="116">
        <v>172.11072064218499</v>
      </c>
      <c r="Q632" s="116">
        <v>177</v>
      </c>
      <c r="R632">
        <v>4882663</v>
      </c>
    </row>
    <row r="633" spans="1:18" x14ac:dyDescent="0.25">
      <c r="A633" s="170">
        <v>42934</v>
      </c>
      <c r="B633" s="116">
        <v>176.357748599742</v>
      </c>
      <c r="C633" s="116">
        <v>171.76484167737399</v>
      </c>
      <c r="D633" s="116">
        <v>170.97466414234299</v>
      </c>
      <c r="E633" s="116">
        <v>174.62923524186101</v>
      </c>
      <c r="F633" s="116">
        <v>173.9</v>
      </c>
      <c r="G633">
        <v>503688</v>
      </c>
      <c r="H633" s="116"/>
      <c r="I633" s="116"/>
      <c r="L633" s="170">
        <v>42934</v>
      </c>
      <c r="M633" s="116">
        <v>171.61685917692799</v>
      </c>
      <c r="N633" s="116">
        <v>176.50608768297599</v>
      </c>
      <c r="O633" s="116">
        <v>170.925453125568</v>
      </c>
      <c r="P633" s="116">
        <v>173.938008063637</v>
      </c>
      <c r="Q633" s="116">
        <v>173.75</v>
      </c>
      <c r="R633">
        <v>3264325</v>
      </c>
    </row>
    <row r="634" spans="1:18" x14ac:dyDescent="0.25">
      <c r="A634" s="170">
        <v>42935</v>
      </c>
      <c r="B634" s="116">
        <v>175.073710105316</v>
      </c>
      <c r="C634" s="116">
        <v>172.75256359616299</v>
      </c>
      <c r="D634" s="116">
        <v>170.97466414234299</v>
      </c>
      <c r="E634" s="116">
        <v>170.97466414234299</v>
      </c>
      <c r="F634" s="116">
        <v>174.9</v>
      </c>
      <c r="G634">
        <v>250871</v>
      </c>
      <c r="H634" s="116"/>
      <c r="I634" s="116"/>
      <c r="L634" s="170">
        <v>42935</v>
      </c>
      <c r="M634" s="116">
        <v>172.999671279648</v>
      </c>
      <c r="N634" s="116">
        <v>175.222047873306</v>
      </c>
      <c r="O634" s="116">
        <v>171.567473030402</v>
      </c>
      <c r="P634" s="116">
        <v>171.66624532345401</v>
      </c>
      <c r="Q634" s="116">
        <v>175.15</v>
      </c>
      <c r="R634">
        <v>4161102</v>
      </c>
    </row>
    <row r="635" spans="1:18" x14ac:dyDescent="0.25">
      <c r="A635" s="170">
        <v>42936</v>
      </c>
      <c r="B635" s="116">
        <v>174.13537428246701</v>
      </c>
      <c r="C635" s="116">
        <v>169.246150784462</v>
      </c>
      <c r="D635" s="116">
        <v>168.01149838597601</v>
      </c>
      <c r="E635" s="116">
        <v>173.83905770683</v>
      </c>
      <c r="F635" s="116">
        <v>171.35</v>
      </c>
      <c r="G635">
        <v>266787</v>
      </c>
      <c r="H635" s="116"/>
      <c r="I635" s="116"/>
      <c r="L635" s="170">
        <v>42936</v>
      </c>
      <c r="M635" s="116">
        <v>169.196937997167</v>
      </c>
      <c r="N635" s="116">
        <v>174.086166503215</v>
      </c>
      <c r="O635" s="116">
        <v>168.20921506665201</v>
      </c>
      <c r="P635" s="116">
        <v>173.24660201227701</v>
      </c>
      <c r="Q635" s="116">
        <v>171.3</v>
      </c>
      <c r="R635">
        <v>2791324</v>
      </c>
    </row>
    <row r="636" spans="1:18" x14ac:dyDescent="0.25">
      <c r="A636" s="170">
        <v>42937</v>
      </c>
      <c r="B636" s="116">
        <v>171.51791119767699</v>
      </c>
      <c r="C636" s="116">
        <v>169.986942223554</v>
      </c>
      <c r="D636" s="116">
        <v>167.81395400221899</v>
      </c>
      <c r="E636" s="116">
        <v>169.097992496644</v>
      </c>
      <c r="F636" s="116">
        <v>172.1</v>
      </c>
      <c r="G636">
        <v>330422</v>
      </c>
      <c r="H636" s="116"/>
      <c r="I636" s="116"/>
      <c r="L636" s="170">
        <v>42937</v>
      </c>
      <c r="M636" s="116">
        <v>170.08588863463001</v>
      </c>
      <c r="N636" s="116">
        <v>171.715631469979</v>
      </c>
      <c r="O636" s="116">
        <v>167.616581308343</v>
      </c>
      <c r="P636" s="116">
        <v>169.789571755476</v>
      </c>
      <c r="Q636" s="116">
        <v>172.2</v>
      </c>
      <c r="R636">
        <v>4670938</v>
      </c>
    </row>
    <row r="637" spans="1:18" x14ac:dyDescent="0.25">
      <c r="A637" s="170">
        <v>42940</v>
      </c>
      <c r="B637" s="116">
        <v>172.159930444889</v>
      </c>
      <c r="C637" s="116">
        <v>167.91272619409801</v>
      </c>
      <c r="D637" s="116">
        <v>167.22132085094501</v>
      </c>
      <c r="E637" s="116">
        <v>171.81422777331301</v>
      </c>
      <c r="F637" s="116">
        <v>170</v>
      </c>
      <c r="G637">
        <v>302798</v>
      </c>
      <c r="H637" s="116"/>
      <c r="I637" s="116"/>
      <c r="L637" s="170">
        <v>42940</v>
      </c>
      <c r="M637" s="116">
        <v>167.912898187498</v>
      </c>
      <c r="N637" s="116">
        <v>172.160106788711</v>
      </c>
      <c r="O637" s="116">
        <v>167.36965057571501</v>
      </c>
      <c r="P637" s="116">
        <v>170.08588863463001</v>
      </c>
      <c r="Q637" s="116">
        <v>170</v>
      </c>
      <c r="R637">
        <v>2636591</v>
      </c>
    </row>
    <row r="638" spans="1:18" x14ac:dyDescent="0.25">
      <c r="A638" s="170">
        <v>42941</v>
      </c>
      <c r="B638" s="116">
        <v>170.530189278888</v>
      </c>
      <c r="C638" s="116">
        <v>168.94983420882599</v>
      </c>
      <c r="D638" s="116">
        <v>167.17193475500599</v>
      </c>
      <c r="E638" s="116">
        <v>167.91272619409801</v>
      </c>
      <c r="F638" s="116">
        <v>171.05</v>
      </c>
      <c r="G638">
        <v>155163</v>
      </c>
      <c r="H638" s="116"/>
      <c r="I638" s="116"/>
      <c r="L638" s="170">
        <v>42941</v>
      </c>
      <c r="M638" s="116">
        <v>169.04877955759</v>
      </c>
      <c r="N638" s="116">
        <v>170.135274781156</v>
      </c>
      <c r="O638" s="116">
        <v>167.122719843086</v>
      </c>
      <c r="P638" s="116">
        <v>168.406759652755</v>
      </c>
      <c r="Q638" s="116">
        <v>171.15</v>
      </c>
      <c r="R638">
        <v>2103806</v>
      </c>
    </row>
    <row r="639" spans="1:18" x14ac:dyDescent="0.25">
      <c r="A639" s="170">
        <v>42942</v>
      </c>
      <c r="B639" s="116">
        <v>172.99949407586001</v>
      </c>
      <c r="C639" s="116">
        <v>170.233872703251</v>
      </c>
      <c r="D639" s="116">
        <v>168.752289825068</v>
      </c>
      <c r="E639" s="116">
        <v>168.999220304765</v>
      </c>
      <c r="F639" s="116">
        <v>172.35</v>
      </c>
      <c r="G639">
        <v>295904</v>
      </c>
      <c r="H639" s="116"/>
      <c r="I639" s="116"/>
      <c r="L639" s="170">
        <v>42942</v>
      </c>
      <c r="M639" s="116">
        <v>170.08588863463001</v>
      </c>
      <c r="N639" s="116">
        <v>173.19721586575099</v>
      </c>
      <c r="O639" s="116">
        <v>168.65369038538401</v>
      </c>
      <c r="P639" s="116">
        <v>169.88834404852699</v>
      </c>
      <c r="Q639" s="116">
        <v>172.2</v>
      </c>
      <c r="R639">
        <v>3803339</v>
      </c>
    </row>
    <row r="640" spans="1:18" x14ac:dyDescent="0.25">
      <c r="A640" s="170">
        <v>42943</v>
      </c>
      <c r="B640" s="116">
        <v>171.36975290985799</v>
      </c>
      <c r="C640" s="116">
        <v>165.93728235652</v>
      </c>
      <c r="D640" s="116">
        <v>165.44342139712501</v>
      </c>
      <c r="E640" s="116">
        <v>171.36975290985799</v>
      </c>
      <c r="F640" s="116">
        <v>168</v>
      </c>
      <c r="G640">
        <v>224781</v>
      </c>
      <c r="H640" s="116"/>
      <c r="I640" s="116"/>
      <c r="L640" s="170">
        <v>42943</v>
      </c>
      <c r="M640" s="116">
        <v>166.332541498674</v>
      </c>
      <c r="N640" s="116">
        <v>171.715631469979</v>
      </c>
      <c r="O640" s="116">
        <v>165.64113544731401</v>
      </c>
      <c r="P640" s="116">
        <v>171.715631469979</v>
      </c>
      <c r="Q640" s="116">
        <v>168.4</v>
      </c>
      <c r="R640">
        <v>2370296</v>
      </c>
    </row>
    <row r="641" spans="1:18" x14ac:dyDescent="0.25">
      <c r="A641" s="170">
        <v>42944</v>
      </c>
      <c r="B641" s="116">
        <v>168.357201057552</v>
      </c>
      <c r="C641" s="116">
        <v>166.77684598748999</v>
      </c>
      <c r="D641" s="116">
        <v>164.85078824585199</v>
      </c>
      <c r="E641" s="116">
        <v>165.93728235652</v>
      </c>
      <c r="F641" s="116">
        <v>168.85</v>
      </c>
      <c r="G641">
        <v>272863</v>
      </c>
      <c r="H641" s="116"/>
      <c r="I641" s="116"/>
      <c r="L641" s="170">
        <v>42944</v>
      </c>
      <c r="M641" s="116">
        <v>167.07333369656001</v>
      </c>
      <c r="N641" s="116">
        <v>168.554918092332</v>
      </c>
      <c r="O641" s="116">
        <v>164.801570956376</v>
      </c>
      <c r="P641" s="116">
        <v>165.83868003341701</v>
      </c>
      <c r="Q641" s="116">
        <v>169.15</v>
      </c>
      <c r="R641">
        <v>2290563</v>
      </c>
    </row>
    <row r="642" spans="1:18" x14ac:dyDescent="0.25">
      <c r="A642" s="170">
        <v>42947</v>
      </c>
      <c r="B642" s="116">
        <v>170.233872703251</v>
      </c>
      <c r="C642" s="116">
        <v>167.51763742658201</v>
      </c>
      <c r="D642" s="116">
        <v>166.431143315914</v>
      </c>
      <c r="E642" s="116">
        <v>169.097992496644</v>
      </c>
      <c r="F642" s="116">
        <v>169.6</v>
      </c>
      <c r="G642">
        <v>206652</v>
      </c>
      <c r="H642" s="116"/>
      <c r="I642" s="116"/>
      <c r="L642" s="170">
        <v>42947</v>
      </c>
      <c r="M642" s="116">
        <v>167.468422868766</v>
      </c>
      <c r="N642" s="116">
        <v>170.283433220733</v>
      </c>
      <c r="O642" s="116">
        <v>166.28315535214799</v>
      </c>
      <c r="P642" s="116">
        <v>167.41903672224001</v>
      </c>
      <c r="Q642" s="116">
        <v>169.55</v>
      </c>
      <c r="R642">
        <v>1896521</v>
      </c>
    </row>
    <row r="643" spans="1:18" x14ac:dyDescent="0.25">
      <c r="A643" s="170">
        <v>42948</v>
      </c>
      <c r="B643" s="116">
        <v>169.69062564791699</v>
      </c>
      <c r="C643" s="116">
        <v>165.542193589004</v>
      </c>
      <c r="D643" s="116">
        <v>164.94956043773101</v>
      </c>
      <c r="E643" s="116">
        <v>167.962112290037</v>
      </c>
      <c r="F643" s="116">
        <v>167.6</v>
      </c>
      <c r="G643">
        <v>165381</v>
      </c>
      <c r="H643" s="116"/>
      <c r="I643" s="116"/>
      <c r="L643" s="170">
        <v>42948</v>
      </c>
      <c r="M643" s="116">
        <v>165.44359086121099</v>
      </c>
      <c r="N643" s="116">
        <v>169.64141331589801</v>
      </c>
      <c r="O643" s="116">
        <v>164.70279866332501</v>
      </c>
      <c r="P643" s="116">
        <v>168.900621118012</v>
      </c>
      <c r="Q643" s="116">
        <v>167.5</v>
      </c>
      <c r="R643">
        <v>2140964</v>
      </c>
    </row>
    <row r="644" spans="1:18" x14ac:dyDescent="0.25">
      <c r="A644" s="170">
        <v>42949</v>
      </c>
      <c r="B644" s="116">
        <v>166.52991550779299</v>
      </c>
      <c r="C644" s="116">
        <v>162.92473050421401</v>
      </c>
      <c r="D644" s="116">
        <v>162.233325161062</v>
      </c>
      <c r="E644" s="116">
        <v>166.13482674027799</v>
      </c>
      <c r="F644" s="116">
        <v>164.95</v>
      </c>
      <c r="G644">
        <v>211261</v>
      </c>
      <c r="H644" s="116"/>
      <c r="I644" s="116"/>
      <c r="L644" s="170">
        <v>42949</v>
      </c>
      <c r="M644" s="116">
        <v>163.07305582797599</v>
      </c>
      <c r="N644" s="116">
        <v>166.48069993825101</v>
      </c>
      <c r="O644" s="116">
        <v>162.18410519051301</v>
      </c>
      <c r="P644" s="116">
        <v>165.93745232646799</v>
      </c>
      <c r="Q644" s="116">
        <v>165.1</v>
      </c>
      <c r="R644">
        <v>2009220</v>
      </c>
    </row>
    <row r="645" spans="1:18" x14ac:dyDescent="0.25">
      <c r="A645" s="170">
        <v>42950</v>
      </c>
      <c r="B645" s="116">
        <v>167.320093042824</v>
      </c>
      <c r="C645" s="116">
        <v>164.85078824585199</v>
      </c>
      <c r="D645" s="116">
        <v>162.875344408275</v>
      </c>
      <c r="E645" s="116">
        <v>162.92473050421401</v>
      </c>
      <c r="F645" s="116">
        <v>166.9</v>
      </c>
      <c r="G645">
        <v>165671</v>
      </c>
      <c r="H645" s="116"/>
      <c r="I645" s="116"/>
      <c r="L645" s="170">
        <v>42950</v>
      </c>
      <c r="M645" s="116">
        <v>164.604026370274</v>
      </c>
      <c r="N645" s="116">
        <v>167.320264429189</v>
      </c>
      <c r="O645" s="116">
        <v>162.48042206966699</v>
      </c>
      <c r="P645" s="116">
        <v>163.91262031891301</v>
      </c>
      <c r="Q645" s="116">
        <v>166.65</v>
      </c>
      <c r="R645">
        <v>2895078</v>
      </c>
    </row>
    <row r="646" spans="1:18" x14ac:dyDescent="0.25">
      <c r="A646" s="170">
        <v>42951</v>
      </c>
      <c r="B646" s="116">
        <v>165.295263109307</v>
      </c>
      <c r="C646" s="116">
        <v>164.1593829027</v>
      </c>
      <c r="D646" s="116">
        <v>161.93700858542499</v>
      </c>
      <c r="E646" s="116">
        <v>162.974116600153</v>
      </c>
      <c r="F646" s="116">
        <v>166.2</v>
      </c>
      <c r="G646">
        <v>191918</v>
      </c>
      <c r="H646" s="116"/>
      <c r="I646" s="116"/>
      <c r="L646" s="170">
        <v>42951</v>
      </c>
      <c r="M646" s="116">
        <v>164.40648178417101</v>
      </c>
      <c r="N646" s="116">
        <v>165.54236315426201</v>
      </c>
      <c r="O646" s="116">
        <v>161.83840216483199</v>
      </c>
      <c r="P646" s="116">
        <v>162.67796665577001</v>
      </c>
      <c r="Q646" s="116">
        <v>166.45</v>
      </c>
      <c r="R646">
        <v>2298689</v>
      </c>
    </row>
    <row r="647" spans="1:18" x14ac:dyDescent="0.25">
      <c r="A647" s="170">
        <v>42954</v>
      </c>
      <c r="B647" s="116">
        <v>169.740011743857</v>
      </c>
      <c r="C647" s="116">
        <v>168.357201057552</v>
      </c>
      <c r="D647" s="116">
        <v>165.04833262961</v>
      </c>
      <c r="E647" s="116">
        <v>165.04833262961</v>
      </c>
      <c r="F647" s="116">
        <v>170.45</v>
      </c>
      <c r="G647">
        <v>334380</v>
      </c>
      <c r="H647" s="116"/>
      <c r="I647" s="116"/>
      <c r="L647" s="170">
        <v>42954</v>
      </c>
      <c r="M647" s="116">
        <v>168.35737350622901</v>
      </c>
      <c r="N647" s="116">
        <v>169.59202716937301</v>
      </c>
      <c r="O647" s="116">
        <v>164.94972939595399</v>
      </c>
      <c r="P647" s="116">
        <v>164.94972939595399</v>
      </c>
      <c r="Q647" s="116">
        <v>170.45</v>
      </c>
      <c r="R647">
        <v>2548868</v>
      </c>
    </row>
    <row r="648" spans="1:18" x14ac:dyDescent="0.25">
      <c r="A648" s="170">
        <v>42955</v>
      </c>
      <c r="B648" s="116">
        <v>170.57957537482699</v>
      </c>
      <c r="C648" s="116">
        <v>163.912452423003</v>
      </c>
      <c r="D648" s="116">
        <v>163.41859146360801</v>
      </c>
      <c r="E648" s="116">
        <v>170.57957537482699</v>
      </c>
      <c r="F648" s="116">
        <v>165.95</v>
      </c>
      <c r="G648">
        <v>255168</v>
      </c>
      <c r="H648" s="116"/>
      <c r="I648" s="116"/>
      <c r="L648" s="170">
        <v>42955</v>
      </c>
      <c r="M648" s="116">
        <v>163.962006465439</v>
      </c>
      <c r="N648" s="116">
        <v>169.690799462424</v>
      </c>
      <c r="O648" s="116">
        <v>163.56691729323299</v>
      </c>
      <c r="P648" s="116">
        <v>169.690799462424</v>
      </c>
      <c r="Q648" s="116">
        <v>166</v>
      </c>
      <c r="R648">
        <v>2372930</v>
      </c>
    </row>
    <row r="649" spans="1:18" x14ac:dyDescent="0.25">
      <c r="A649" s="170">
        <v>42956</v>
      </c>
      <c r="B649" s="116">
        <v>164.75201605397299</v>
      </c>
      <c r="C649" s="116">
        <v>160.50481180318101</v>
      </c>
      <c r="D649" s="116">
        <v>159.12200111687699</v>
      </c>
      <c r="E649" s="116">
        <v>162.974116600153</v>
      </c>
      <c r="F649" s="116">
        <v>162.5</v>
      </c>
      <c r="G649">
        <v>142631</v>
      </c>
      <c r="H649" s="116"/>
      <c r="I649" s="116"/>
      <c r="L649" s="170">
        <v>42956</v>
      </c>
      <c r="M649" s="116">
        <v>160.10988703643201</v>
      </c>
      <c r="N649" s="116">
        <v>164.85095710290199</v>
      </c>
      <c r="O649" s="116">
        <v>158.480144201082</v>
      </c>
      <c r="P649" s="116">
        <v>163.46814500018201</v>
      </c>
      <c r="Q649" s="116">
        <v>162.1</v>
      </c>
      <c r="R649">
        <v>1267995</v>
      </c>
    </row>
    <row r="650" spans="1:18" x14ac:dyDescent="0.25">
      <c r="A650" s="170">
        <v>42957</v>
      </c>
      <c r="B650" s="116">
        <v>161.29498933821199</v>
      </c>
      <c r="C650" s="116">
        <v>154.13400542699401</v>
      </c>
      <c r="D650" s="116">
        <v>151.46715624626401</v>
      </c>
      <c r="E650" s="116">
        <v>159.51708988439299</v>
      </c>
      <c r="F650" s="116">
        <v>156.05000000000001</v>
      </c>
      <c r="G650">
        <v>285495</v>
      </c>
      <c r="H650" s="116"/>
      <c r="I650" s="116"/>
      <c r="L650" s="170">
        <v>42957</v>
      </c>
      <c r="M650" s="116">
        <v>154.08477716029199</v>
      </c>
      <c r="N650" s="116">
        <v>161.49269913915199</v>
      </c>
      <c r="O650" s="116">
        <v>151.31915295485101</v>
      </c>
      <c r="P650" s="116">
        <v>159.862956303803</v>
      </c>
      <c r="Q650" s="116">
        <v>156</v>
      </c>
      <c r="R650">
        <v>2470478</v>
      </c>
    </row>
    <row r="651" spans="1:18" x14ac:dyDescent="0.25">
      <c r="A651" s="170">
        <v>42958</v>
      </c>
      <c r="B651" s="116">
        <v>162.67780002451701</v>
      </c>
      <c r="C651" s="116">
        <v>161.93700858542499</v>
      </c>
      <c r="D651" s="116">
        <v>150.23250384777799</v>
      </c>
      <c r="E651" s="116">
        <v>153.09689741226501</v>
      </c>
      <c r="F651" s="116">
        <v>163.95</v>
      </c>
      <c r="G651">
        <v>573119</v>
      </c>
      <c r="H651" s="116"/>
      <c r="I651" s="116"/>
      <c r="L651" s="170">
        <v>42958</v>
      </c>
      <c r="M651" s="116">
        <v>162.18410519051301</v>
      </c>
      <c r="N651" s="116">
        <v>162.77673894882099</v>
      </c>
      <c r="O651" s="116">
        <v>150.18327158475901</v>
      </c>
      <c r="P651" s="116">
        <v>153.19582652282901</v>
      </c>
      <c r="Q651" s="116">
        <v>164.2</v>
      </c>
      <c r="R651">
        <v>6027593</v>
      </c>
    </row>
    <row r="652" spans="1:18" x14ac:dyDescent="0.25">
      <c r="A652" s="170">
        <v>42961</v>
      </c>
      <c r="B652" s="116">
        <v>178.08626195762201</v>
      </c>
      <c r="C652" s="116">
        <v>176.50590688756</v>
      </c>
      <c r="D652" s="116">
        <v>162.974116600153</v>
      </c>
      <c r="E652" s="116">
        <v>162.974116600153</v>
      </c>
      <c r="F652" s="116">
        <v>178.7</v>
      </c>
      <c r="G652">
        <v>951672</v>
      </c>
      <c r="H652" s="116"/>
      <c r="I652" s="116"/>
      <c r="L652" s="170">
        <v>42961</v>
      </c>
      <c r="M652" s="116">
        <v>176.55547382950101</v>
      </c>
      <c r="N652" s="116">
        <v>178.08644437179899</v>
      </c>
      <c r="O652" s="116">
        <v>163.07305582797599</v>
      </c>
      <c r="P652" s="116">
        <v>163.962006465439</v>
      </c>
      <c r="Q652" s="116">
        <v>178.75</v>
      </c>
      <c r="R652">
        <v>9368807</v>
      </c>
    </row>
    <row r="653" spans="1:18" x14ac:dyDescent="0.25">
      <c r="A653" s="170">
        <v>42963</v>
      </c>
      <c r="B653" s="116">
        <v>193.840426562304</v>
      </c>
      <c r="C653" s="116">
        <v>190.92664690187701</v>
      </c>
      <c r="D653" s="116">
        <v>179.814775315503</v>
      </c>
      <c r="E653" s="116">
        <v>181.24697209774601</v>
      </c>
      <c r="F653" s="116">
        <v>193.3</v>
      </c>
      <c r="G653">
        <v>3155166</v>
      </c>
      <c r="H653" s="116"/>
      <c r="I653" s="116"/>
      <c r="L653" s="170">
        <v>42963</v>
      </c>
      <c r="M653" s="116">
        <v>191.470090080273</v>
      </c>
      <c r="N653" s="116">
        <v>194.33448657876599</v>
      </c>
      <c r="O653" s="116">
        <v>179.271711888417</v>
      </c>
      <c r="P653" s="116">
        <v>180.259434818931</v>
      </c>
      <c r="Q653" s="116">
        <v>193.85</v>
      </c>
      <c r="R653">
        <v>29191015</v>
      </c>
    </row>
    <row r="654" spans="1:18" x14ac:dyDescent="0.25">
      <c r="A654" s="170">
        <v>42964</v>
      </c>
      <c r="B654" s="116">
        <v>194.976306768911</v>
      </c>
      <c r="C654" s="116">
        <v>187.716550665813</v>
      </c>
      <c r="D654" s="116">
        <v>186.87698703484301</v>
      </c>
      <c r="E654" s="116">
        <v>191.22296347751299</v>
      </c>
      <c r="F654" s="116">
        <v>190.05</v>
      </c>
      <c r="G654">
        <v>1206258</v>
      </c>
      <c r="H654" s="116"/>
      <c r="I654" s="116"/>
      <c r="L654" s="170">
        <v>42964</v>
      </c>
      <c r="M654" s="116">
        <v>188.25999055610001</v>
      </c>
      <c r="N654" s="116">
        <v>194.97650648359999</v>
      </c>
      <c r="O654" s="116">
        <v>187.469812211689</v>
      </c>
      <c r="P654" s="116">
        <v>191.61824851985</v>
      </c>
      <c r="Q654" s="116">
        <v>190.6</v>
      </c>
      <c r="R654">
        <v>10381703</v>
      </c>
    </row>
    <row r="655" spans="1:18" x14ac:dyDescent="0.25">
      <c r="A655" s="170">
        <v>42965</v>
      </c>
      <c r="B655" s="116">
        <v>194.23551532981901</v>
      </c>
      <c r="C655" s="116">
        <v>192.11191320442299</v>
      </c>
      <c r="D655" s="116">
        <v>185.938651211993</v>
      </c>
      <c r="E655" s="116">
        <v>187.66716456987399</v>
      </c>
      <c r="F655" s="116">
        <v>194.5</v>
      </c>
      <c r="G655">
        <v>1172572</v>
      </c>
      <c r="H655" s="116"/>
      <c r="I655" s="116"/>
      <c r="L655" s="170">
        <v>42965</v>
      </c>
      <c r="M655" s="116">
        <v>192.01333769205601</v>
      </c>
      <c r="N655" s="116">
        <v>193.98878355308599</v>
      </c>
      <c r="O655" s="116">
        <v>185.741297083288</v>
      </c>
      <c r="P655" s="116">
        <v>187.469812211689</v>
      </c>
      <c r="Q655" s="116">
        <v>194.4</v>
      </c>
      <c r="R655">
        <v>10030010</v>
      </c>
    </row>
    <row r="656" spans="1:18" x14ac:dyDescent="0.25">
      <c r="A656" s="170">
        <v>42968</v>
      </c>
      <c r="B656" s="116">
        <v>200.50754951412799</v>
      </c>
      <c r="C656" s="116">
        <v>193.34656560290901</v>
      </c>
      <c r="D656" s="116">
        <v>191.914368820666</v>
      </c>
      <c r="E656" s="116">
        <v>193.593496082607</v>
      </c>
      <c r="F656" s="116">
        <v>195.75</v>
      </c>
      <c r="G656">
        <v>2156166</v>
      </c>
      <c r="H656" s="116"/>
      <c r="I656" s="116"/>
      <c r="L656" s="170">
        <v>42968</v>
      </c>
      <c r="M656" s="116">
        <v>193.74185282045701</v>
      </c>
      <c r="N656" s="116">
        <v>200.50775489448301</v>
      </c>
      <c r="O656" s="116">
        <v>192.01333769205601</v>
      </c>
      <c r="P656" s="116">
        <v>194.23571428571401</v>
      </c>
      <c r="Q656" s="116">
        <v>196.15</v>
      </c>
      <c r="R656">
        <v>15744338</v>
      </c>
    </row>
    <row r="657" spans="1:18" x14ac:dyDescent="0.25">
      <c r="A657" s="170">
        <v>42969</v>
      </c>
      <c r="B657" s="116">
        <v>196.90236451054901</v>
      </c>
      <c r="C657" s="116">
        <v>187.469620186116</v>
      </c>
      <c r="D657" s="116">
        <v>186.679442651085</v>
      </c>
      <c r="E657" s="116">
        <v>195.56893992018399</v>
      </c>
      <c r="F657" s="116">
        <v>189.8</v>
      </c>
      <c r="G657">
        <v>870994</v>
      </c>
      <c r="H657" s="116"/>
      <c r="I657" s="116"/>
      <c r="L657" s="170">
        <v>42969</v>
      </c>
      <c r="M657" s="116">
        <v>187.519198358214</v>
      </c>
      <c r="N657" s="116">
        <v>197.05072463768099</v>
      </c>
      <c r="O657" s="116">
        <v>186.5314754277</v>
      </c>
      <c r="P657" s="116">
        <v>194.729575750972</v>
      </c>
      <c r="Q657" s="116">
        <v>189.85</v>
      </c>
      <c r="R657">
        <v>7466196</v>
      </c>
    </row>
    <row r="658" spans="1:18" x14ac:dyDescent="0.25">
      <c r="A658" s="170">
        <v>42970</v>
      </c>
      <c r="B658" s="116">
        <v>195.27262334454699</v>
      </c>
      <c r="C658" s="116">
        <v>194.23551532981901</v>
      </c>
      <c r="D658" s="116">
        <v>187.12391751454001</v>
      </c>
      <c r="E658" s="116">
        <v>189.19813354399599</v>
      </c>
      <c r="F658" s="116">
        <v>196.65</v>
      </c>
      <c r="G658">
        <v>692436</v>
      </c>
      <c r="H658" s="116"/>
      <c r="I658" s="116"/>
      <c r="L658" s="170">
        <v>42970</v>
      </c>
      <c r="M658" s="116">
        <v>194.136941992663</v>
      </c>
      <c r="N658" s="116">
        <v>195.02589263012601</v>
      </c>
      <c r="O658" s="116">
        <v>186.82779230685401</v>
      </c>
      <c r="P658" s="116">
        <v>189.14894119356401</v>
      </c>
      <c r="Q658" s="116">
        <v>196.55</v>
      </c>
      <c r="R658">
        <v>7522673</v>
      </c>
    </row>
    <row r="659" spans="1:18" x14ac:dyDescent="0.25">
      <c r="A659" s="170">
        <v>42971</v>
      </c>
      <c r="B659" s="116">
        <v>195.81587039988099</v>
      </c>
      <c r="C659" s="116">
        <v>191.914368820666</v>
      </c>
      <c r="D659" s="116">
        <v>191.42050786127101</v>
      </c>
      <c r="E659" s="116">
        <v>195.07507896078999</v>
      </c>
      <c r="F659" s="116">
        <v>194.3</v>
      </c>
      <c r="G659">
        <v>401278</v>
      </c>
      <c r="H659" s="116"/>
      <c r="I659" s="116"/>
      <c r="L659" s="170">
        <v>42971</v>
      </c>
      <c r="M659" s="116">
        <v>191.86517925247901</v>
      </c>
      <c r="N659" s="116">
        <v>195.865457121064</v>
      </c>
      <c r="O659" s="116">
        <v>191.32193164069599</v>
      </c>
      <c r="P659" s="116">
        <v>194.87773419054901</v>
      </c>
      <c r="Q659" s="116">
        <v>194.25</v>
      </c>
      <c r="R659">
        <v>4587179</v>
      </c>
    </row>
    <row r="660" spans="1:18" x14ac:dyDescent="0.25">
      <c r="A660" s="170">
        <v>42975</v>
      </c>
      <c r="B660" s="116">
        <v>193.88981265824299</v>
      </c>
      <c r="C660" s="116">
        <v>190.63033032624</v>
      </c>
      <c r="D660" s="116">
        <v>189.88953888714801</v>
      </c>
      <c r="E660" s="116">
        <v>192.60577416381801</v>
      </c>
      <c r="F660" s="116">
        <v>193</v>
      </c>
      <c r="G660">
        <v>858928</v>
      </c>
      <c r="H660" s="116"/>
      <c r="I660" s="116"/>
      <c r="L660" s="170">
        <v>42975</v>
      </c>
      <c r="M660" s="116">
        <v>190.92684246849001</v>
      </c>
      <c r="N660" s="116">
        <v>193.89001126003399</v>
      </c>
      <c r="O660" s="116">
        <v>189.692188805347</v>
      </c>
      <c r="P660" s="116">
        <v>192.60597145036499</v>
      </c>
      <c r="Q660" s="116">
        <v>193.3</v>
      </c>
      <c r="R660">
        <v>3684762</v>
      </c>
    </row>
    <row r="661" spans="1:18" x14ac:dyDescent="0.25">
      <c r="A661" s="170">
        <v>42976</v>
      </c>
      <c r="B661" s="116">
        <v>194.87753457703201</v>
      </c>
      <c r="C661" s="116">
        <v>187.815322857692</v>
      </c>
      <c r="D661" s="116">
        <v>187.12391751454001</v>
      </c>
      <c r="E661" s="116">
        <v>188.75365868054101</v>
      </c>
      <c r="F661" s="116">
        <v>190.15</v>
      </c>
      <c r="G661">
        <v>622325</v>
      </c>
      <c r="H661" s="116"/>
      <c r="I661" s="116"/>
      <c r="L661" s="170">
        <v>42976</v>
      </c>
      <c r="M661" s="116">
        <v>188.01305982347199</v>
      </c>
      <c r="N661" s="116">
        <v>195.075278776652</v>
      </c>
      <c r="O661" s="116">
        <v>187.025336892957</v>
      </c>
      <c r="P661" s="116">
        <v>190.58113944281001</v>
      </c>
      <c r="Q661" s="116">
        <v>190.35</v>
      </c>
      <c r="R661">
        <v>5679382</v>
      </c>
    </row>
    <row r="662" spans="1:18" x14ac:dyDescent="0.25">
      <c r="A662" s="170">
        <v>42977</v>
      </c>
      <c r="B662" s="116">
        <v>195.76648430394201</v>
      </c>
      <c r="C662" s="116">
        <v>194.48244580951601</v>
      </c>
      <c r="D662" s="116">
        <v>190.136469366846</v>
      </c>
      <c r="E662" s="116">
        <v>190.383399846543</v>
      </c>
      <c r="F662" s="116">
        <v>196.9</v>
      </c>
      <c r="G662">
        <v>796613</v>
      </c>
      <c r="H662" s="116"/>
      <c r="I662" s="116"/>
      <c r="L662" s="170">
        <v>42977</v>
      </c>
      <c r="M662" s="116">
        <v>194.63080345792</v>
      </c>
      <c r="N662" s="116">
        <v>195.717298681486</v>
      </c>
      <c r="O662" s="116">
        <v>189.98850568450101</v>
      </c>
      <c r="P662" s="116">
        <v>190.630525589336</v>
      </c>
      <c r="Q662" s="116">
        <v>197.05</v>
      </c>
      <c r="R662">
        <v>7173447</v>
      </c>
    </row>
    <row r="663" spans="1:18" x14ac:dyDescent="0.25">
      <c r="A663" s="170">
        <v>42978</v>
      </c>
      <c r="B663" s="116">
        <v>198.18640300497401</v>
      </c>
      <c r="C663" s="116">
        <v>195.470167728305</v>
      </c>
      <c r="D663" s="116">
        <v>193.791040466364</v>
      </c>
      <c r="E663" s="116">
        <v>194.581218001395</v>
      </c>
      <c r="F663" s="116">
        <v>197.9</v>
      </c>
      <c r="G663">
        <v>1698024</v>
      </c>
      <c r="H663" s="116"/>
      <c r="I663" s="116"/>
      <c r="L663" s="170">
        <v>42978</v>
      </c>
      <c r="M663" s="116">
        <v>195.569140241909</v>
      </c>
      <c r="N663" s="116">
        <v>198.235992154299</v>
      </c>
      <c r="O663" s="116">
        <v>193.69246667393099</v>
      </c>
      <c r="P663" s="116">
        <v>196.06300170716599</v>
      </c>
      <c r="Q663" s="116">
        <v>198</v>
      </c>
      <c r="R663">
        <v>7760949</v>
      </c>
    </row>
    <row r="664" spans="1:18" x14ac:dyDescent="0.25">
      <c r="A664" s="170">
        <v>42979</v>
      </c>
      <c r="B664" s="116">
        <v>198.630877868429</v>
      </c>
      <c r="C664" s="116">
        <v>194.976306768911</v>
      </c>
      <c r="D664" s="116">
        <v>194.03797094606099</v>
      </c>
      <c r="E664" s="116">
        <v>195.470167728305</v>
      </c>
      <c r="F664" s="116">
        <v>197.4</v>
      </c>
      <c r="G664">
        <v>730573</v>
      </c>
      <c r="H664" s="116"/>
      <c r="I664" s="116"/>
      <c r="L664" s="170">
        <v>42979</v>
      </c>
      <c r="M664" s="116">
        <v>195.17405106970301</v>
      </c>
      <c r="N664" s="116">
        <v>198.18660600777301</v>
      </c>
      <c r="O664" s="116">
        <v>193.89001126003399</v>
      </c>
      <c r="P664" s="116">
        <v>195.81607097453801</v>
      </c>
      <c r="Q664" s="116">
        <v>197.6</v>
      </c>
      <c r="R664">
        <v>3401210</v>
      </c>
    </row>
    <row r="665" spans="1:18" x14ac:dyDescent="0.25">
      <c r="A665" s="170">
        <v>42982</v>
      </c>
      <c r="B665" s="116">
        <v>196.359117455215</v>
      </c>
      <c r="C665" s="116">
        <v>190.77848861405801</v>
      </c>
      <c r="D665" s="116">
        <v>188.16102552926799</v>
      </c>
      <c r="E665" s="116">
        <v>196.359117455215</v>
      </c>
      <c r="F665" s="116">
        <v>193.15</v>
      </c>
      <c r="G665">
        <v>663383</v>
      </c>
      <c r="H665" s="116"/>
      <c r="I665" s="116"/>
      <c r="L665" s="170">
        <v>42982</v>
      </c>
      <c r="M665" s="116">
        <v>190.92684246849001</v>
      </c>
      <c r="N665" s="116">
        <v>195.96422941411501</v>
      </c>
      <c r="O665" s="116">
        <v>188.16121826304899</v>
      </c>
      <c r="P665" s="116">
        <v>195.569140241909</v>
      </c>
      <c r="Q665" s="116">
        <v>193.3</v>
      </c>
      <c r="R665">
        <v>4372250</v>
      </c>
    </row>
    <row r="666" spans="1:18" x14ac:dyDescent="0.25">
      <c r="A666" s="170">
        <v>42983</v>
      </c>
      <c r="B666" s="116">
        <v>194.828148481093</v>
      </c>
      <c r="C666" s="116">
        <v>194.13674313793999</v>
      </c>
      <c r="D666" s="116">
        <v>190.877260805937</v>
      </c>
      <c r="E666" s="116">
        <v>192.50700197193899</v>
      </c>
      <c r="F666" s="116">
        <v>196.55</v>
      </c>
      <c r="G666">
        <v>301530</v>
      </c>
      <c r="H666" s="116"/>
      <c r="I666" s="116"/>
      <c r="L666" s="170">
        <v>42983</v>
      </c>
      <c r="M666" s="116">
        <v>194.28510043224</v>
      </c>
      <c r="N666" s="116">
        <v>194.97650648359999</v>
      </c>
      <c r="O666" s="116">
        <v>190.92684246849001</v>
      </c>
      <c r="P666" s="116">
        <v>191.914565399005</v>
      </c>
      <c r="Q666" s="116">
        <v>196.7</v>
      </c>
      <c r="R666">
        <v>3442385</v>
      </c>
    </row>
    <row r="667" spans="1:18" x14ac:dyDescent="0.25">
      <c r="A667" s="170">
        <v>42984</v>
      </c>
      <c r="B667" s="116">
        <v>204.31027890146501</v>
      </c>
      <c r="C667" s="116">
        <v>203.223784790797</v>
      </c>
      <c r="D667" s="116">
        <v>192.309457588181</v>
      </c>
      <c r="E667" s="116">
        <v>193.593496082607</v>
      </c>
      <c r="F667" s="116">
        <v>205.75</v>
      </c>
      <c r="G667">
        <v>1719720</v>
      </c>
      <c r="H667" s="116"/>
      <c r="I667" s="116"/>
      <c r="L667" s="170">
        <v>42984</v>
      </c>
      <c r="M667" s="116">
        <v>203.421537539501</v>
      </c>
      <c r="N667" s="116">
        <v>204.65619120264401</v>
      </c>
      <c r="O667" s="116">
        <v>192.210882278159</v>
      </c>
      <c r="P667" s="116">
        <v>192.704743743417</v>
      </c>
      <c r="Q667" s="116">
        <v>205.95</v>
      </c>
      <c r="R667">
        <v>14490021</v>
      </c>
    </row>
    <row r="668" spans="1:18" x14ac:dyDescent="0.25">
      <c r="A668" s="170">
        <v>42985</v>
      </c>
      <c r="B668" s="116">
        <v>206.680811506558</v>
      </c>
      <c r="C668" s="116">
        <v>203.02624040704001</v>
      </c>
      <c r="D668" s="116">
        <v>202.08790458419</v>
      </c>
      <c r="E668" s="116">
        <v>206.23633664310299</v>
      </c>
      <c r="F668" s="116">
        <v>205.55</v>
      </c>
      <c r="G668">
        <v>707034</v>
      </c>
      <c r="H668" s="116"/>
      <c r="I668" s="116"/>
      <c r="L668" s="170">
        <v>42985</v>
      </c>
      <c r="M668" s="116">
        <v>203.22399295339801</v>
      </c>
      <c r="N668" s="116">
        <v>206.730409356725</v>
      </c>
      <c r="O668" s="116">
        <v>202.28565616940901</v>
      </c>
      <c r="P668" s="116">
        <v>205.39698340052999</v>
      </c>
      <c r="Q668" s="116">
        <v>205.75</v>
      </c>
      <c r="R668">
        <v>5862028</v>
      </c>
    </row>
    <row r="669" spans="1:18" x14ac:dyDescent="0.25">
      <c r="A669" s="170">
        <v>42986</v>
      </c>
      <c r="B669" s="116">
        <v>208.01423609692301</v>
      </c>
      <c r="C669" s="116">
        <v>204.16212061364701</v>
      </c>
      <c r="D669" s="116">
        <v>203.07562650297899</v>
      </c>
      <c r="E669" s="116">
        <v>205.248614724314</v>
      </c>
      <c r="F669" s="116">
        <v>206.7</v>
      </c>
      <c r="G669">
        <v>676255</v>
      </c>
      <c r="H669" s="116"/>
      <c r="I669" s="116"/>
      <c r="L669" s="170">
        <v>42986</v>
      </c>
      <c r="M669" s="116">
        <v>204.35987432349</v>
      </c>
      <c r="N669" s="116">
        <v>208.21199375249699</v>
      </c>
      <c r="O669" s="116">
        <v>202.927676074244</v>
      </c>
      <c r="P669" s="116">
        <v>203.56969597907801</v>
      </c>
      <c r="Q669" s="116">
        <v>206.9</v>
      </c>
      <c r="R669">
        <v>6430260</v>
      </c>
    </row>
    <row r="670" spans="1:18" x14ac:dyDescent="0.25">
      <c r="A670" s="170">
        <v>42989</v>
      </c>
      <c r="B670" s="116">
        <v>208.211780480681</v>
      </c>
      <c r="C670" s="116">
        <v>206.48326712279999</v>
      </c>
      <c r="D670" s="116">
        <v>204.60659547710199</v>
      </c>
      <c r="E670" s="116">
        <v>207.42160294564999</v>
      </c>
      <c r="F670" s="116">
        <v>209.05</v>
      </c>
      <c r="G670">
        <v>435161</v>
      </c>
      <c r="H670" s="116"/>
      <c r="I670" s="116"/>
      <c r="L670" s="170">
        <v>42989</v>
      </c>
      <c r="M670" s="116">
        <v>206.68102321019899</v>
      </c>
      <c r="N670" s="116">
        <v>208.458924485126</v>
      </c>
      <c r="O670" s="116">
        <v>204.75496349569599</v>
      </c>
      <c r="P670" s="116">
        <v>206.63163706367399</v>
      </c>
      <c r="Q670" s="116">
        <v>209.25</v>
      </c>
      <c r="R670">
        <v>3393087</v>
      </c>
    </row>
    <row r="671" spans="1:18" x14ac:dyDescent="0.25">
      <c r="A671" s="170">
        <v>42990</v>
      </c>
      <c r="B671" s="116">
        <v>210.779857469532</v>
      </c>
      <c r="C671" s="116">
        <v>209.347660687288</v>
      </c>
      <c r="D671" s="116">
        <v>207.76730561722599</v>
      </c>
      <c r="E671" s="116">
        <v>208.40932486443899</v>
      </c>
      <c r="F671" s="116">
        <v>211.95</v>
      </c>
      <c r="G671">
        <v>542881</v>
      </c>
      <c r="H671" s="116"/>
      <c r="I671" s="116"/>
      <c r="L671" s="170">
        <v>42990</v>
      </c>
      <c r="M671" s="116">
        <v>209.446647415641</v>
      </c>
      <c r="N671" s="116">
        <v>211.027004104464</v>
      </c>
      <c r="O671" s="116">
        <v>207.56997384766299</v>
      </c>
      <c r="P671" s="116">
        <v>209.39726126911501</v>
      </c>
      <c r="Q671" s="116">
        <v>212.05</v>
      </c>
      <c r="R671">
        <v>4884083</v>
      </c>
    </row>
    <row r="672" spans="1:18" x14ac:dyDescent="0.25">
      <c r="A672" s="170">
        <v>42991</v>
      </c>
      <c r="B672" s="116">
        <v>213.34793445838301</v>
      </c>
      <c r="C672" s="116">
        <v>204.45843718928299</v>
      </c>
      <c r="D672" s="116">
        <v>203.47071527049499</v>
      </c>
      <c r="E672" s="116">
        <v>213.24916226650399</v>
      </c>
      <c r="F672" s="116">
        <v>207</v>
      </c>
      <c r="G672">
        <v>680685</v>
      </c>
      <c r="H672" s="116"/>
      <c r="I672" s="116"/>
      <c r="L672" s="170">
        <v>42991</v>
      </c>
      <c r="M672" s="116">
        <v>204.75496349569599</v>
      </c>
      <c r="N672" s="116">
        <v>212.31104391413299</v>
      </c>
      <c r="O672" s="116">
        <v>203.66846827213001</v>
      </c>
      <c r="P672" s="116">
        <v>212.01472703497899</v>
      </c>
      <c r="Q672" s="116">
        <v>207.3</v>
      </c>
      <c r="R672">
        <v>4637092</v>
      </c>
    </row>
    <row r="673" spans="1:18" x14ac:dyDescent="0.25">
      <c r="A673" s="170">
        <v>42992</v>
      </c>
      <c r="B673" s="116">
        <v>210.878629661411</v>
      </c>
      <c r="C673" s="116">
        <v>209.24888849540901</v>
      </c>
      <c r="D673" s="116">
        <v>204.85352595679899</v>
      </c>
      <c r="E673" s="116">
        <v>206.33510883498201</v>
      </c>
      <c r="F673" s="116">
        <v>211.85</v>
      </c>
      <c r="G673">
        <v>471254</v>
      </c>
      <c r="H673" s="116"/>
      <c r="I673" s="116"/>
      <c r="L673" s="170">
        <v>42992</v>
      </c>
      <c r="M673" s="116">
        <v>209.446647415641</v>
      </c>
      <c r="N673" s="116">
        <v>211.175162544041</v>
      </c>
      <c r="O673" s="116">
        <v>204.80434964222201</v>
      </c>
      <c r="P673" s="116">
        <v>205.94023101231301</v>
      </c>
      <c r="Q673" s="116">
        <v>212.05</v>
      </c>
      <c r="R673">
        <v>2980684</v>
      </c>
    </row>
    <row r="674" spans="1:18" x14ac:dyDescent="0.25">
      <c r="A674" s="170">
        <v>42993</v>
      </c>
      <c r="B674" s="116">
        <v>211.273718428926</v>
      </c>
      <c r="C674" s="116">
        <v>207.86607780910501</v>
      </c>
      <c r="D674" s="116">
        <v>206.433881026861</v>
      </c>
      <c r="E674" s="116">
        <v>207.569761233468</v>
      </c>
      <c r="F674" s="116">
        <v>210.45</v>
      </c>
      <c r="G674">
        <v>417566</v>
      </c>
      <c r="H674" s="116"/>
      <c r="I674" s="116"/>
      <c r="L674" s="170">
        <v>42993</v>
      </c>
      <c r="M674" s="116">
        <v>207.96506301986901</v>
      </c>
      <c r="N674" s="116">
        <v>211.07639025098999</v>
      </c>
      <c r="O674" s="116">
        <v>206.285934037994</v>
      </c>
      <c r="P674" s="116">
        <v>208.40953833859999</v>
      </c>
      <c r="Q674" s="116">
        <v>210.55</v>
      </c>
      <c r="R674">
        <v>2608124</v>
      </c>
    </row>
    <row r="675" spans="1:18" x14ac:dyDescent="0.25">
      <c r="A675" s="170">
        <v>42996</v>
      </c>
      <c r="B675" s="116">
        <v>212.31082644365401</v>
      </c>
      <c r="C675" s="116">
        <v>210.730471373592</v>
      </c>
      <c r="D675" s="116">
        <v>208.06362219286299</v>
      </c>
      <c r="E675" s="116">
        <v>208.458710960378</v>
      </c>
      <c r="F675" s="116">
        <v>213.35</v>
      </c>
      <c r="G675">
        <v>472174</v>
      </c>
      <c r="H675" s="116"/>
      <c r="I675" s="116"/>
      <c r="L675" s="170">
        <v>42996</v>
      </c>
      <c r="M675" s="116">
        <v>210.681301078784</v>
      </c>
      <c r="N675" s="116">
        <v>212.36043006065901</v>
      </c>
      <c r="O675" s="116">
        <v>208.11322145944601</v>
      </c>
      <c r="P675" s="116">
        <v>210.03928117394901</v>
      </c>
      <c r="Q675" s="116">
        <v>213.3</v>
      </c>
      <c r="R675">
        <v>2491966</v>
      </c>
    </row>
    <row r="676" spans="1:18" x14ac:dyDescent="0.25">
      <c r="A676" s="170">
        <v>42997</v>
      </c>
      <c r="B676" s="116">
        <v>217.54575261323501</v>
      </c>
      <c r="C676" s="116">
        <v>213.34793445838301</v>
      </c>
      <c r="D676" s="116">
        <v>210.384768702016</v>
      </c>
      <c r="E676" s="116">
        <v>210.384768702016</v>
      </c>
      <c r="F676" s="116">
        <v>216</v>
      </c>
      <c r="G676">
        <v>44586717</v>
      </c>
      <c r="H676" s="116"/>
      <c r="I676" s="116"/>
      <c r="L676" s="170">
        <v>42997</v>
      </c>
      <c r="M676" s="116">
        <v>213.545697577277</v>
      </c>
      <c r="N676" s="116">
        <v>217.496589299335</v>
      </c>
      <c r="O676" s="116">
        <v>210.236825760052</v>
      </c>
      <c r="P676" s="116">
        <v>210.38498419963</v>
      </c>
      <c r="Q676" s="116">
        <v>216.2</v>
      </c>
      <c r="R676">
        <v>9580786</v>
      </c>
    </row>
    <row r="677" spans="1:18" x14ac:dyDescent="0.25">
      <c r="A677" s="170">
        <v>42998</v>
      </c>
      <c r="B677" s="116">
        <v>216.26171411881</v>
      </c>
      <c r="C677" s="116">
        <v>211.47126281268399</v>
      </c>
      <c r="D677" s="116">
        <v>210.483540893895</v>
      </c>
      <c r="E677" s="116">
        <v>213.446706650262</v>
      </c>
      <c r="F677" s="116">
        <v>214.1</v>
      </c>
      <c r="G677">
        <v>323759</v>
      </c>
      <c r="H677" s="116"/>
      <c r="I677" s="116"/>
      <c r="L677" s="170">
        <v>42998</v>
      </c>
      <c r="M677" s="116">
        <v>211.07639025098999</v>
      </c>
      <c r="N677" s="116">
        <v>214.187717482111</v>
      </c>
      <c r="O677" s="116">
        <v>210.48375649268101</v>
      </c>
      <c r="P677" s="116">
        <v>213.74324216337899</v>
      </c>
      <c r="Q677" s="116">
        <v>213.7</v>
      </c>
      <c r="R677">
        <v>2906933</v>
      </c>
    </row>
    <row r="678" spans="1:18" x14ac:dyDescent="0.25">
      <c r="A678" s="170">
        <v>42999</v>
      </c>
      <c r="B678" s="116">
        <v>212.11328205989699</v>
      </c>
      <c r="C678" s="116">
        <v>209.594591166985</v>
      </c>
      <c r="D678" s="116">
        <v>204.655981573041</v>
      </c>
      <c r="E678" s="116">
        <v>211.372490620805</v>
      </c>
      <c r="F678" s="116">
        <v>212.2</v>
      </c>
      <c r="G678">
        <v>383899</v>
      </c>
      <c r="H678" s="116"/>
      <c r="I678" s="116"/>
      <c r="L678" s="170">
        <v>42999</v>
      </c>
      <c r="M678" s="116">
        <v>209.594805855218</v>
      </c>
      <c r="N678" s="116">
        <v>212.16288547455599</v>
      </c>
      <c r="O678" s="116">
        <v>204.75496349569599</v>
      </c>
      <c r="P678" s="116">
        <v>211.37270713014399</v>
      </c>
      <c r="Q678" s="116">
        <v>212.2</v>
      </c>
      <c r="R678">
        <v>2914695</v>
      </c>
    </row>
    <row r="679" spans="1:18" x14ac:dyDescent="0.25">
      <c r="A679" s="170">
        <v>43000</v>
      </c>
      <c r="B679" s="116">
        <v>207.91546390504399</v>
      </c>
      <c r="C679" s="116">
        <v>198.927194444066</v>
      </c>
      <c r="D679" s="116">
        <v>197.54438375776201</v>
      </c>
      <c r="E679" s="116">
        <v>207.91546390504399</v>
      </c>
      <c r="F679" s="116">
        <v>201.4</v>
      </c>
      <c r="G679">
        <v>558346</v>
      </c>
      <c r="H679" s="116"/>
      <c r="I679" s="116"/>
      <c r="L679" s="170">
        <v>43000</v>
      </c>
      <c r="M679" s="116">
        <v>198.68046747303001</v>
      </c>
      <c r="N679" s="116">
        <v>208.40953833859999</v>
      </c>
      <c r="O679" s="116">
        <v>197.54458610293901</v>
      </c>
      <c r="P679" s="116">
        <v>208.40953833859999</v>
      </c>
      <c r="Q679" s="116">
        <v>201.15</v>
      </c>
      <c r="R679">
        <v>3851873</v>
      </c>
    </row>
    <row r="680" spans="1:18" x14ac:dyDescent="0.25">
      <c r="A680" s="170">
        <v>43003</v>
      </c>
      <c r="B680" s="116">
        <v>200.063074650673</v>
      </c>
      <c r="C680" s="116">
        <v>194.23551532981901</v>
      </c>
      <c r="D680" s="116">
        <v>190.136469366846</v>
      </c>
      <c r="E680" s="116">
        <v>200.063074650673</v>
      </c>
      <c r="F680" s="116">
        <v>196.65</v>
      </c>
      <c r="G680">
        <v>489054</v>
      </c>
      <c r="H680" s="116"/>
      <c r="I680" s="116"/>
      <c r="L680" s="170">
        <v>43003</v>
      </c>
      <c r="M680" s="116">
        <v>194.23571428571401</v>
      </c>
      <c r="N680" s="116">
        <v>199.52003196396799</v>
      </c>
      <c r="O680" s="116">
        <v>189.93911953797499</v>
      </c>
      <c r="P680" s="116">
        <v>198.97678435218501</v>
      </c>
      <c r="Q680" s="116">
        <v>196.65</v>
      </c>
      <c r="R680">
        <v>4019965</v>
      </c>
    </row>
    <row r="681" spans="1:18" x14ac:dyDescent="0.25">
      <c r="A681" s="170">
        <v>43004</v>
      </c>
      <c r="B681" s="116">
        <v>203.767031846131</v>
      </c>
      <c r="C681" s="116">
        <v>202.18667677606899</v>
      </c>
      <c r="D681" s="116">
        <v>192.85270464351501</v>
      </c>
      <c r="E681" s="116">
        <v>195.76648430394201</v>
      </c>
      <c r="F681" s="116">
        <v>204.7</v>
      </c>
      <c r="G681">
        <v>820026</v>
      </c>
      <c r="H681" s="116"/>
      <c r="I681" s="116"/>
      <c r="L681" s="170">
        <v>43004</v>
      </c>
      <c r="M681" s="116">
        <v>202.13749772983201</v>
      </c>
      <c r="N681" s="116">
        <v>203.915399004758</v>
      </c>
      <c r="O681" s="116">
        <v>192.902288329519</v>
      </c>
      <c r="P681" s="116">
        <v>193.59369438088001</v>
      </c>
      <c r="Q681" s="116">
        <v>204.65</v>
      </c>
      <c r="R681">
        <v>5546594</v>
      </c>
    </row>
    <row r="682" spans="1:18" x14ac:dyDescent="0.25">
      <c r="A682" s="170">
        <v>43005</v>
      </c>
      <c r="B682" s="116">
        <v>205.248614724314</v>
      </c>
      <c r="C682" s="116">
        <v>195.865256495821</v>
      </c>
      <c r="D682" s="116">
        <v>194.48244580951601</v>
      </c>
      <c r="E682" s="116">
        <v>201.49527143291701</v>
      </c>
      <c r="F682" s="116">
        <v>198.3</v>
      </c>
      <c r="G682">
        <v>394591</v>
      </c>
      <c r="H682" s="116"/>
      <c r="I682" s="116"/>
      <c r="L682" s="170">
        <v>43005</v>
      </c>
      <c r="M682" s="116">
        <v>196.161774000218</v>
      </c>
      <c r="N682" s="116">
        <v>204.45864661654099</v>
      </c>
      <c r="O682" s="116">
        <v>194.23571428571401</v>
      </c>
      <c r="P682" s="116">
        <v>203.96478515128399</v>
      </c>
      <c r="Q682" s="116">
        <v>198.6</v>
      </c>
      <c r="R682">
        <v>3331256</v>
      </c>
    </row>
    <row r="683" spans="1:18" x14ac:dyDescent="0.25">
      <c r="A683" s="170">
        <v>43006</v>
      </c>
      <c r="B683" s="116">
        <v>201.69281581667499</v>
      </c>
      <c r="C683" s="116">
        <v>200.556935610068</v>
      </c>
      <c r="D683" s="116">
        <v>196.55666183897301</v>
      </c>
      <c r="E683" s="116">
        <v>197.44561156588301</v>
      </c>
      <c r="F683" s="116">
        <v>203.05</v>
      </c>
      <c r="G683">
        <v>483445</v>
      </c>
      <c r="H683" s="116"/>
      <c r="I683" s="116"/>
      <c r="L683" s="170">
        <v>43006</v>
      </c>
      <c r="M683" s="116">
        <v>200.65591333405999</v>
      </c>
      <c r="N683" s="116">
        <v>201.989339290255</v>
      </c>
      <c r="O683" s="116">
        <v>196.26054629326899</v>
      </c>
      <c r="P683" s="116">
        <v>196.60624931895001</v>
      </c>
      <c r="Q683" s="116">
        <v>203.15</v>
      </c>
      <c r="R683">
        <v>4602566</v>
      </c>
    </row>
    <row r="684" spans="1:18" x14ac:dyDescent="0.25">
      <c r="A684" s="170">
        <v>43007</v>
      </c>
      <c r="B684" s="116">
        <v>207.27344465783199</v>
      </c>
      <c r="C684" s="116">
        <v>203.125012598919</v>
      </c>
      <c r="D684" s="116">
        <v>200.90263828164399</v>
      </c>
      <c r="E684" s="116">
        <v>202.38422115982701</v>
      </c>
      <c r="F684" s="116">
        <v>205.65</v>
      </c>
      <c r="G684">
        <v>695809</v>
      </c>
      <c r="H684" s="116"/>
      <c r="I684" s="116"/>
      <c r="L684" s="170">
        <v>43007</v>
      </c>
      <c r="M684" s="116">
        <v>203.273379099924</v>
      </c>
      <c r="N684" s="116">
        <v>207.32304311503401</v>
      </c>
      <c r="O684" s="116">
        <v>200.902844066688</v>
      </c>
      <c r="P684" s="116">
        <v>201.989339290255</v>
      </c>
      <c r="Q684" s="116">
        <v>205.8</v>
      </c>
      <c r="R684">
        <v>3721338</v>
      </c>
    </row>
    <row r="685" spans="1:18" x14ac:dyDescent="0.25">
      <c r="A685" s="170">
        <v>43011</v>
      </c>
      <c r="B685" s="116">
        <v>207.47098904158901</v>
      </c>
      <c r="C685" s="116">
        <v>203.96457622988899</v>
      </c>
      <c r="D685" s="116">
        <v>202.53237944764501</v>
      </c>
      <c r="E685" s="116">
        <v>204.95229814867801</v>
      </c>
      <c r="F685" s="116">
        <v>206.5</v>
      </c>
      <c r="G685">
        <v>287915</v>
      </c>
      <c r="H685" s="116"/>
      <c r="I685" s="116"/>
      <c r="L685" s="170">
        <v>43011</v>
      </c>
      <c r="M685" s="116">
        <v>203.915399004758</v>
      </c>
      <c r="N685" s="116">
        <v>207.96506301986901</v>
      </c>
      <c r="O685" s="116">
        <v>202.483200755512</v>
      </c>
      <c r="P685" s="116">
        <v>204.70557734917</v>
      </c>
      <c r="Q685" s="116">
        <v>206.45</v>
      </c>
      <c r="R685">
        <v>1985873</v>
      </c>
    </row>
    <row r="686" spans="1:18" x14ac:dyDescent="0.25">
      <c r="A686" s="170">
        <v>43012</v>
      </c>
      <c r="B686" s="116">
        <v>204.95229814867801</v>
      </c>
      <c r="C686" s="116">
        <v>202.63115163952401</v>
      </c>
      <c r="D686" s="116">
        <v>200.60632170600701</v>
      </c>
      <c r="E686" s="116">
        <v>202.58176554358499</v>
      </c>
      <c r="F686" s="116">
        <v>205.15</v>
      </c>
      <c r="G686">
        <v>196453</v>
      </c>
      <c r="H686" s="116"/>
      <c r="I686" s="116"/>
      <c r="L686" s="170">
        <v>43012</v>
      </c>
      <c r="M686" s="116">
        <v>202.43381460898601</v>
      </c>
      <c r="N686" s="116">
        <v>205.150052667902</v>
      </c>
      <c r="O686" s="116">
        <v>200.65591333405999</v>
      </c>
      <c r="P686" s="116">
        <v>204.75496349569599</v>
      </c>
      <c r="Q686" s="116">
        <v>204.95</v>
      </c>
      <c r="R686">
        <v>1964885</v>
      </c>
    </row>
    <row r="687" spans="1:18" x14ac:dyDescent="0.25">
      <c r="A687" s="170">
        <v>43013</v>
      </c>
      <c r="B687" s="116">
        <v>207.71791952128601</v>
      </c>
      <c r="C687" s="116">
        <v>206.680811506558</v>
      </c>
      <c r="D687" s="116">
        <v>202.236062872009</v>
      </c>
      <c r="E687" s="116">
        <v>204.16212061364701</v>
      </c>
      <c r="F687" s="116">
        <v>209.25</v>
      </c>
      <c r="G687">
        <v>218736</v>
      </c>
      <c r="H687" s="116"/>
      <c r="I687" s="116"/>
      <c r="L687" s="170">
        <v>43013</v>
      </c>
      <c r="M687" s="116">
        <v>206.87856779630201</v>
      </c>
      <c r="N687" s="116">
        <v>207.96506301986901</v>
      </c>
      <c r="O687" s="116">
        <v>202.03872543678</v>
      </c>
      <c r="P687" s="116">
        <v>202.43381460898601</v>
      </c>
      <c r="Q687" s="116">
        <v>209.45</v>
      </c>
      <c r="R687">
        <v>2228532</v>
      </c>
    </row>
    <row r="688" spans="1:18" x14ac:dyDescent="0.25">
      <c r="A688" s="170">
        <v>43014</v>
      </c>
      <c r="B688" s="116">
        <v>209.39704678322701</v>
      </c>
      <c r="C688" s="116">
        <v>207.02651417813399</v>
      </c>
      <c r="D688" s="116">
        <v>206.23633664310299</v>
      </c>
      <c r="E688" s="116">
        <v>207.42160294564999</v>
      </c>
      <c r="F688" s="116">
        <v>209.6</v>
      </c>
      <c r="G688">
        <v>240697</v>
      </c>
      <c r="H688" s="116"/>
      <c r="I688" s="116"/>
      <c r="L688" s="170">
        <v>43014</v>
      </c>
      <c r="M688" s="116">
        <v>207.02672623588001</v>
      </c>
      <c r="N688" s="116">
        <v>209.64419200174299</v>
      </c>
      <c r="O688" s="116">
        <v>206.088389451891</v>
      </c>
      <c r="P688" s="116">
        <v>207.421815408085</v>
      </c>
      <c r="Q688" s="116">
        <v>209.6</v>
      </c>
      <c r="R688">
        <v>2534607</v>
      </c>
    </row>
    <row r="689" spans="1:18" x14ac:dyDescent="0.25">
      <c r="A689" s="170">
        <v>43017</v>
      </c>
      <c r="B689" s="116">
        <v>208.853799727894</v>
      </c>
      <c r="C689" s="116">
        <v>205.59431739589101</v>
      </c>
      <c r="D689" s="116">
        <v>205.149842532436</v>
      </c>
      <c r="E689" s="116">
        <v>205.44615910807201</v>
      </c>
      <c r="F689" s="116">
        <v>208.15</v>
      </c>
      <c r="G689">
        <v>199623</v>
      </c>
      <c r="H689" s="116"/>
      <c r="I689" s="116"/>
      <c r="L689" s="170">
        <v>43017</v>
      </c>
      <c r="M689" s="116">
        <v>205.74268642621001</v>
      </c>
      <c r="N689" s="116">
        <v>208.75524136428001</v>
      </c>
      <c r="O689" s="116">
        <v>205.10066652137601</v>
      </c>
      <c r="P689" s="116">
        <v>207.076112382405</v>
      </c>
      <c r="Q689" s="116">
        <v>208.3</v>
      </c>
      <c r="R689">
        <v>1653094</v>
      </c>
    </row>
    <row r="690" spans="1:18" x14ac:dyDescent="0.25">
      <c r="A690" s="170">
        <v>43018</v>
      </c>
      <c r="B690" s="116">
        <v>208.40932486443899</v>
      </c>
      <c r="C690" s="116">
        <v>205.84124787558801</v>
      </c>
      <c r="D690" s="116">
        <v>205.248614724314</v>
      </c>
      <c r="E690" s="116">
        <v>206.433881026861</v>
      </c>
      <c r="F690" s="116">
        <v>208.4</v>
      </c>
      <c r="G690">
        <v>157765</v>
      </c>
      <c r="H690" s="116"/>
      <c r="I690" s="116"/>
      <c r="L690" s="170">
        <v>43018</v>
      </c>
      <c r="M690" s="116">
        <v>205.89084486578801</v>
      </c>
      <c r="N690" s="116">
        <v>208.55769677817699</v>
      </c>
      <c r="O690" s="116">
        <v>205.150052667902</v>
      </c>
      <c r="P690" s="116">
        <v>206.927953942828</v>
      </c>
      <c r="Q690" s="116">
        <v>208.45</v>
      </c>
      <c r="R690">
        <v>2125747</v>
      </c>
    </row>
    <row r="691" spans="1:18" x14ac:dyDescent="0.25">
      <c r="A691" s="170">
        <v>43019</v>
      </c>
      <c r="B691" s="116">
        <v>213.446706650262</v>
      </c>
      <c r="C691" s="116">
        <v>206.87835589031599</v>
      </c>
      <c r="D691" s="116">
        <v>203.42132917455501</v>
      </c>
      <c r="E691" s="116">
        <v>207.22405856189201</v>
      </c>
      <c r="F691" s="116">
        <v>209.45</v>
      </c>
      <c r="G691">
        <v>1038914</v>
      </c>
      <c r="H691" s="116"/>
      <c r="I691" s="116"/>
      <c r="L691" s="170">
        <v>43019</v>
      </c>
      <c r="M691" s="116">
        <v>206.82918164977701</v>
      </c>
      <c r="N691" s="116">
        <v>213.348152991174</v>
      </c>
      <c r="O691" s="116">
        <v>203.07583451382101</v>
      </c>
      <c r="P691" s="116">
        <v>206.87856779630201</v>
      </c>
      <c r="Q691" s="116">
        <v>209.4</v>
      </c>
      <c r="R691">
        <v>6891689</v>
      </c>
    </row>
    <row r="692" spans="1:18" x14ac:dyDescent="0.25">
      <c r="A692" s="170">
        <v>43020</v>
      </c>
      <c r="B692" s="116">
        <v>209.989679934501</v>
      </c>
      <c r="C692" s="116">
        <v>209.24888849540901</v>
      </c>
      <c r="D692" s="116">
        <v>205.544931299951</v>
      </c>
      <c r="E692" s="116">
        <v>208.80441363195399</v>
      </c>
      <c r="F692" s="116">
        <v>211.85</v>
      </c>
      <c r="G692">
        <v>822412</v>
      </c>
      <c r="H692" s="116"/>
      <c r="I692" s="116"/>
      <c r="L692" s="170">
        <v>43020</v>
      </c>
      <c r="M692" s="116">
        <v>209.39726126911501</v>
      </c>
      <c r="N692" s="116">
        <v>210.28621190657799</v>
      </c>
      <c r="O692" s="116">
        <v>205.44636954705601</v>
      </c>
      <c r="P692" s="116">
        <v>208.40953833859999</v>
      </c>
      <c r="Q692" s="116">
        <v>212</v>
      </c>
      <c r="R692">
        <v>3902627</v>
      </c>
    </row>
    <row r="693" spans="1:18" x14ac:dyDescent="0.25">
      <c r="A693" s="170">
        <v>43021</v>
      </c>
      <c r="B693" s="116">
        <v>211.372490620805</v>
      </c>
      <c r="C693" s="116">
        <v>207.569761233468</v>
      </c>
      <c r="D693" s="116">
        <v>206.927741986255</v>
      </c>
      <c r="E693" s="116">
        <v>210.33538260607699</v>
      </c>
      <c r="F693" s="116">
        <v>210.15</v>
      </c>
      <c r="G693">
        <v>528197</v>
      </c>
      <c r="H693" s="116"/>
      <c r="I693" s="116"/>
      <c r="L693" s="170">
        <v>43021</v>
      </c>
      <c r="M693" s="116">
        <v>207.66874614071401</v>
      </c>
      <c r="N693" s="116">
        <v>211.57025171624699</v>
      </c>
      <c r="O693" s="116">
        <v>206.68102321019899</v>
      </c>
      <c r="P693" s="116">
        <v>208.40953833859999</v>
      </c>
      <c r="Q693" s="116">
        <v>210.25</v>
      </c>
      <c r="R693">
        <v>3171251</v>
      </c>
    </row>
    <row r="694" spans="1:18" x14ac:dyDescent="0.25">
      <c r="A694" s="170">
        <v>43024</v>
      </c>
      <c r="B694" s="116">
        <v>209.24888849540901</v>
      </c>
      <c r="C694" s="116">
        <v>206.927741986255</v>
      </c>
      <c r="D694" s="116">
        <v>204.70536766898101</v>
      </c>
      <c r="E694" s="116">
        <v>205.940020067467</v>
      </c>
      <c r="F694" s="116">
        <v>209.5</v>
      </c>
      <c r="G694">
        <v>676960</v>
      </c>
      <c r="H694" s="116"/>
      <c r="I694" s="116"/>
      <c r="L694" s="170">
        <v>43024</v>
      </c>
      <c r="M694" s="116">
        <v>207.02672623588001</v>
      </c>
      <c r="N694" s="116">
        <v>209.249102829538</v>
      </c>
      <c r="O694" s="116">
        <v>204.557418909593</v>
      </c>
      <c r="P694" s="116">
        <v>207.71813228724</v>
      </c>
      <c r="Q694" s="116">
        <v>209.6</v>
      </c>
      <c r="R694">
        <v>2658347</v>
      </c>
    </row>
    <row r="695" spans="1:18" x14ac:dyDescent="0.25">
      <c r="A695" s="170">
        <v>43025</v>
      </c>
      <c r="B695" s="116">
        <v>210.68108527765301</v>
      </c>
      <c r="C695" s="116">
        <v>207.52037513752899</v>
      </c>
      <c r="D695" s="116">
        <v>206.48326712279999</v>
      </c>
      <c r="E695" s="116">
        <v>207.47098904158901</v>
      </c>
      <c r="F695" s="116">
        <v>210.1</v>
      </c>
      <c r="G695">
        <v>891454</v>
      </c>
      <c r="H695" s="116"/>
      <c r="I695" s="116"/>
      <c r="L695" s="170">
        <v>43025</v>
      </c>
      <c r="M695" s="116">
        <v>207.71813228724</v>
      </c>
      <c r="N695" s="116">
        <v>210.73068722530999</v>
      </c>
      <c r="O695" s="116">
        <v>206.48347862409599</v>
      </c>
      <c r="P695" s="116">
        <v>207.81690458029101</v>
      </c>
      <c r="Q695" s="116">
        <v>210.3</v>
      </c>
      <c r="R695">
        <v>3269191</v>
      </c>
    </row>
    <row r="696" spans="1:18" x14ac:dyDescent="0.25">
      <c r="A696" s="170">
        <v>43026</v>
      </c>
      <c r="B696" s="116">
        <v>210.08845212637999</v>
      </c>
      <c r="C696" s="116">
        <v>204.16212061364701</v>
      </c>
      <c r="D696" s="116">
        <v>203.47071527049499</v>
      </c>
      <c r="E696" s="116">
        <v>210.08845212637999</v>
      </c>
      <c r="F696" s="116">
        <v>206.7</v>
      </c>
      <c r="G696">
        <v>344756</v>
      </c>
      <c r="H696" s="116"/>
      <c r="I696" s="116"/>
      <c r="L696" s="170">
        <v>43026</v>
      </c>
      <c r="M696" s="116">
        <v>204.261102030438</v>
      </c>
      <c r="N696" s="116">
        <v>208.85401365733199</v>
      </c>
      <c r="O696" s="116">
        <v>203.07583451382101</v>
      </c>
      <c r="P696" s="116">
        <v>208.85401365733199</v>
      </c>
      <c r="Q696" s="116">
        <v>206.8</v>
      </c>
      <c r="R696">
        <v>4687271</v>
      </c>
    </row>
    <row r="697" spans="1:18" x14ac:dyDescent="0.25">
      <c r="A697" s="170">
        <v>43027</v>
      </c>
      <c r="B697" s="116">
        <v>205.44615910807201</v>
      </c>
      <c r="C697" s="116">
        <v>202.53237944764501</v>
      </c>
      <c r="D697" s="116">
        <v>201.29772704915899</v>
      </c>
      <c r="E697" s="116">
        <v>205.44615910807201</v>
      </c>
      <c r="F697" s="116">
        <v>205.05</v>
      </c>
      <c r="G697">
        <v>71459</v>
      </c>
      <c r="H697" s="116"/>
      <c r="I697" s="116"/>
      <c r="L697" s="170">
        <v>43027</v>
      </c>
      <c r="M697" s="116">
        <v>202.08811158330599</v>
      </c>
      <c r="N697" s="116">
        <v>205.39698340052999</v>
      </c>
      <c r="O697" s="116">
        <v>201.199160945843</v>
      </c>
      <c r="P697" s="116">
        <v>205.347597254005</v>
      </c>
      <c r="Q697" s="116">
        <v>204.6</v>
      </c>
      <c r="R697">
        <v>532661</v>
      </c>
    </row>
    <row r="698" spans="1:18" x14ac:dyDescent="0.25">
      <c r="A698" s="170">
        <v>43031</v>
      </c>
      <c r="B698" s="116">
        <v>205.051070340557</v>
      </c>
      <c r="C698" s="116">
        <v>200.50754951412799</v>
      </c>
      <c r="D698" s="116">
        <v>199.914916362855</v>
      </c>
      <c r="E698" s="116">
        <v>202.482993351706</v>
      </c>
      <c r="F698" s="116">
        <v>203</v>
      </c>
      <c r="G698">
        <v>714648</v>
      </c>
      <c r="H698" s="116"/>
      <c r="I698" s="116"/>
      <c r="L698" s="170">
        <v>43031</v>
      </c>
      <c r="M698" s="116">
        <v>200.606527187534</v>
      </c>
      <c r="N698" s="116">
        <v>204.90312193527299</v>
      </c>
      <c r="O698" s="116">
        <v>200.112665722277</v>
      </c>
      <c r="P698" s="116">
        <v>202.977062220769</v>
      </c>
      <c r="Q698" s="116">
        <v>203.1</v>
      </c>
      <c r="R698">
        <v>2952899</v>
      </c>
    </row>
    <row r="699" spans="1:18" x14ac:dyDescent="0.25">
      <c r="A699" s="170">
        <v>43032</v>
      </c>
      <c r="B699" s="116">
        <v>207.02651417813399</v>
      </c>
      <c r="C699" s="116">
        <v>206.63142541061899</v>
      </c>
      <c r="D699" s="116">
        <v>201.10018266540101</v>
      </c>
      <c r="E699" s="116">
        <v>201.49527143291701</v>
      </c>
      <c r="F699" s="116">
        <v>209.2</v>
      </c>
      <c r="G699">
        <v>524689</v>
      </c>
      <c r="H699" s="116"/>
      <c r="I699" s="116"/>
      <c r="L699" s="170">
        <v>43032</v>
      </c>
      <c r="M699" s="116">
        <v>207.076112382405</v>
      </c>
      <c r="N699" s="116">
        <v>207.66874614071401</v>
      </c>
      <c r="O699" s="116">
        <v>201.051002506266</v>
      </c>
      <c r="P699" s="116">
        <v>201.49547782499701</v>
      </c>
      <c r="Q699" s="116">
        <v>209.65</v>
      </c>
      <c r="R699">
        <v>3568231</v>
      </c>
    </row>
    <row r="700" spans="1:18" x14ac:dyDescent="0.25">
      <c r="A700" s="170">
        <v>43033</v>
      </c>
      <c r="B700" s="116">
        <v>208.65625534413601</v>
      </c>
      <c r="C700" s="116">
        <v>202.68053773546399</v>
      </c>
      <c r="D700" s="116">
        <v>200.60632170600701</v>
      </c>
      <c r="E700" s="116">
        <v>208.31055267255999</v>
      </c>
      <c r="F700" s="116">
        <v>205.2</v>
      </c>
      <c r="G700">
        <v>203157</v>
      </c>
      <c r="H700" s="116"/>
      <c r="I700" s="116"/>
      <c r="L700" s="170">
        <v>43033</v>
      </c>
      <c r="M700" s="116">
        <v>202.77951763466601</v>
      </c>
      <c r="N700" s="116">
        <v>208.90339980385701</v>
      </c>
      <c r="O700" s="116">
        <v>200.50775489448301</v>
      </c>
      <c r="P700" s="116">
        <v>208.40953833859999</v>
      </c>
      <c r="Q700" s="116">
        <v>205.3</v>
      </c>
      <c r="R700">
        <v>2640192</v>
      </c>
    </row>
    <row r="701" spans="1:18" x14ac:dyDescent="0.25">
      <c r="A701" s="170">
        <v>43034</v>
      </c>
      <c r="B701" s="116">
        <v>208.40932486443899</v>
      </c>
      <c r="C701" s="116">
        <v>207.17467246595299</v>
      </c>
      <c r="D701" s="116">
        <v>200.90263828164399</v>
      </c>
      <c r="E701" s="116">
        <v>203.47071527049499</v>
      </c>
      <c r="F701" s="116">
        <v>209.75</v>
      </c>
      <c r="G701">
        <v>315888</v>
      </c>
      <c r="H701" s="116"/>
      <c r="I701" s="116"/>
      <c r="L701" s="170">
        <v>43034</v>
      </c>
      <c r="M701" s="116">
        <v>207.224270821983</v>
      </c>
      <c r="N701" s="116">
        <v>208.26137989902301</v>
      </c>
      <c r="O701" s="116">
        <v>200.902844066688</v>
      </c>
      <c r="P701" s="116">
        <v>202.43381460898601</v>
      </c>
      <c r="Q701" s="116">
        <v>209.8</v>
      </c>
      <c r="R701">
        <v>4964383</v>
      </c>
    </row>
    <row r="702" spans="1:18" x14ac:dyDescent="0.25">
      <c r="A702" s="170">
        <v>43035</v>
      </c>
      <c r="B702" s="116">
        <v>218.87917720359999</v>
      </c>
      <c r="C702" s="116">
        <v>217.59513870917499</v>
      </c>
      <c r="D702" s="116">
        <v>206.73019760249801</v>
      </c>
      <c r="E702" s="116">
        <v>207.42160294564999</v>
      </c>
      <c r="F702" s="116">
        <v>220.3</v>
      </c>
      <c r="G702">
        <v>1324552</v>
      </c>
      <c r="H702" s="116"/>
      <c r="I702" s="116"/>
      <c r="L702" s="170">
        <v>43035</v>
      </c>
      <c r="M702" s="116">
        <v>217.79290617849</v>
      </c>
      <c r="N702" s="116">
        <v>219.076945988159</v>
      </c>
      <c r="O702" s="116">
        <v>207.17488467545701</v>
      </c>
      <c r="P702" s="116">
        <v>208.70585521775499</v>
      </c>
      <c r="Q702" s="116">
        <v>220.5</v>
      </c>
      <c r="R702">
        <v>8891566</v>
      </c>
    </row>
    <row r="703" spans="1:18" x14ac:dyDescent="0.25">
      <c r="A703" s="170">
        <v>43038</v>
      </c>
      <c r="B703" s="116">
        <v>226.87972474578899</v>
      </c>
      <c r="C703" s="116">
        <v>223.17576755033099</v>
      </c>
      <c r="D703" s="116">
        <v>220.01505741020699</v>
      </c>
      <c r="E703" s="116">
        <v>222.237431727482</v>
      </c>
      <c r="F703" s="116">
        <v>225.95</v>
      </c>
      <c r="G703">
        <v>1218322</v>
      </c>
      <c r="H703" s="116"/>
      <c r="I703" s="116"/>
      <c r="L703" s="170">
        <v>43038</v>
      </c>
      <c r="M703" s="116">
        <v>224.01556064073199</v>
      </c>
      <c r="N703" s="116">
        <v>227.423204751008</v>
      </c>
      <c r="O703" s="116">
        <v>219.76835203951899</v>
      </c>
      <c r="P703" s="116">
        <v>222.237659365806</v>
      </c>
      <c r="Q703" s="116">
        <v>226.8</v>
      </c>
      <c r="R703">
        <v>13953152</v>
      </c>
    </row>
    <row r="704" spans="1:18" x14ac:dyDescent="0.25">
      <c r="A704" s="170">
        <v>43039</v>
      </c>
      <c r="B704" s="116">
        <v>225.34875577166699</v>
      </c>
      <c r="C704" s="116">
        <v>223.81778679754399</v>
      </c>
      <c r="D704" s="116">
        <v>220.65707665741999</v>
      </c>
      <c r="E704" s="116">
        <v>224.95366700415099</v>
      </c>
      <c r="F704" s="116">
        <v>226.6</v>
      </c>
      <c r="G704">
        <v>322036</v>
      </c>
      <c r="H704" s="116"/>
      <c r="I704" s="116"/>
      <c r="L704" s="170">
        <v>43039</v>
      </c>
      <c r="M704" s="116">
        <v>224.16371908030899</v>
      </c>
      <c r="N704" s="116">
        <v>225.44775888997901</v>
      </c>
      <c r="O704" s="116">
        <v>220.41037194435401</v>
      </c>
      <c r="P704" s="116">
        <v>224.16371908030899</v>
      </c>
      <c r="Q704" s="116">
        <v>226.95</v>
      </c>
      <c r="R704">
        <v>5175219</v>
      </c>
    </row>
    <row r="705" spans="1:18" x14ac:dyDescent="0.25">
      <c r="A705" s="170">
        <v>43040</v>
      </c>
      <c r="B705" s="116">
        <v>228.60823810367</v>
      </c>
      <c r="C705" s="116">
        <v>224.756122620393</v>
      </c>
      <c r="D705" s="116">
        <v>223.620242413786</v>
      </c>
      <c r="E705" s="116">
        <v>225.793230635122</v>
      </c>
      <c r="F705" s="116">
        <v>227.55</v>
      </c>
      <c r="G705">
        <v>464205</v>
      </c>
      <c r="H705" s="116"/>
      <c r="I705" s="116"/>
      <c r="L705" s="170">
        <v>43040</v>
      </c>
      <c r="M705" s="116">
        <v>225.00328357124701</v>
      </c>
      <c r="N705" s="116">
        <v>228.55908612109999</v>
      </c>
      <c r="O705" s="116">
        <v>223.57108532200101</v>
      </c>
      <c r="P705" s="116">
        <v>224.16371908030899</v>
      </c>
      <c r="Q705" s="116">
        <v>227.8</v>
      </c>
      <c r="R705">
        <v>3608627</v>
      </c>
    </row>
    <row r="706" spans="1:18" x14ac:dyDescent="0.25">
      <c r="A706" s="170">
        <v>43041</v>
      </c>
      <c r="B706" s="116">
        <v>228.11437714427501</v>
      </c>
      <c r="C706" s="116">
        <v>223.42269803002901</v>
      </c>
      <c r="D706" s="116">
        <v>221.052165424935</v>
      </c>
      <c r="E706" s="116">
        <v>225.59568625136399</v>
      </c>
      <c r="F706" s="116">
        <v>226.2</v>
      </c>
      <c r="G706">
        <v>828030</v>
      </c>
      <c r="H706" s="116"/>
      <c r="I706" s="116"/>
      <c r="L706" s="170">
        <v>43041</v>
      </c>
      <c r="M706" s="116">
        <v>223.57108532200101</v>
      </c>
      <c r="N706" s="116">
        <v>228.41092768152299</v>
      </c>
      <c r="O706" s="116">
        <v>220.657302676982</v>
      </c>
      <c r="P706" s="116">
        <v>225.10205586429799</v>
      </c>
      <c r="Q706" s="116">
        <v>226.35</v>
      </c>
      <c r="R706">
        <v>7866167</v>
      </c>
    </row>
    <row r="707" spans="1:18" x14ac:dyDescent="0.25">
      <c r="A707" s="170">
        <v>43042</v>
      </c>
      <c r="B707" s="116">
        <v>225.00305310009099</v>
      </c>
      <c r="C707" s="116">
        <v>222.43497611123999</v>
      </c>
      <c r="D707" s="116">
        <v>221.694184672148</v>
      </c>
      <c r="E707" s="116">
        <v>224.70673652445399</v>
      </c>
      <c r="F707" s="116">
        <v>225.2</v>
      </c>
      <c r="G707">
        <v>150821</v>
      </c>
      <c r="H707" s="116"/>
      <c r="I707" s="116"/>
      <c r="L707" s="170">
        <v>43042</v>
      </c>
      <c r="M707" s="116">
        <v>222.53397624496</v>
      </c>
      <c r="N707" s="116">
        <v>225.10205586429799</v>
      </c>
      <c r="O707" s="116">
        <v>221.595639460971</v>
      </c>
      <c r="P707" s="116">
        <v>224.21310522683501</v>
      </c>
      <c r="Q707" s="116">
        <v>225.3</v>
      </c>
      <c r="R707">
        <v>1920643</v>
      </c>
    </row>
    <row r="708" spans="1:18" x14ac:dyDescent="0.25">
      <c r="A708" s="170">
        <v>43045</v>
      </c>
      <c r="B708" s="116">
        <v>233.49746160167399</v>
      </c>
      <c r="C708" s="116">
        <v>231.22570118845999</v>
      </c>
      <c r="D708" s="116">
        <v>221.15093761681399</v>
      </c>
      <c r="E708" s="116">
        <v>222.92883707063399</v>
      </c>
      <c r="F708" s="116">
        <v>234.1</v>
      </c>
      <c r="G708">
        <v>644666</v>
      </c>
      <c r="H708" s="116"/>
      <c r="I708" s="116"/>
      <c r="L708" s="170">
        <v>43045</v>
      </c>
      <c r="M708" s="116">
        <v>231.81857179179801</v>
      </c>
      <c r="N708" s="116">
        <v>233.99156223893101</v>
      </c>
      <c r="O708" s="116">
        <v>221.249936435291</v>
      </c>
      <c r="P708" s="116">
        <v>222.13888707275399</v>
      </c>
      <c r="Q708" s="116">
        <v>234.7</v>
      </c>
      <c r="R708">
        <v>6994467</v>
      </c>
    </row>
    <row r="709" spans="1:18" x14ac:dyDescent="0.25">
      <c r="A709" s="170">
        <v>43046</v>
      </c>
      <c r="B709" s="116">
        <v>233.052986738219</v>
      </c>
      <c r="C709" s="116">
        <v>222.28681782342099</v>
      </c>
      <c r="D709" s="116">
        <v>218.82979110766101</v>
      </c>
      <c r="E709" s="116">
        <v>232.11465091536999</v>
      </c>
      <c r="F709" s="116">
        <v>225.05</v>
      </c>
      <c r="G709">
        <v>478054</v>
      </c>
      <c r="H709" s="116"/>
      <c r="I709" s="116"/>
      <c r="L709" s="170">
        <v>43046</v>
      </c>
      <c r="M709" s="116">
        <v>222.237659365806</v>
      </c>
      <c r="N709" s="116">
        <v>232.60875013621001</v>
      </c>
      <c r="O709" s="116">
        <v>218.583084522901</v>
      </c>
      <c r="P709" s="116">
        <v>232.11488867095301</v>
      </c>
      <c r="Q709" s="116">
        <v>225</v>
      </c>
      <c r="R709">
        <v>5306883</v>
      </c>
    </row>
    <row r="710" spans="1:18" x14ac:dyDescent="0.25">
      <c r="A710" s="170">
        <v>43047</v>
      </c>
      <c r="B710" s="116">
        <v>225.05243919603001</v>
      </c>
      <c r="C710" s="116">
        <v>221.595412480269</v>
      </c>
      <c r="D710" s="116">
        <v>220.11382960208601</v>
      </c>
      <c r="E710" s="116">
        <v>224.45980604475699</v>
      </c>
      <c r="F710" s="116">
        <v>224.35</v>
      </c>
      <c r="G710">
        <v>219164</v>
      </c>
      <c r="H710" s="116"/>
      <c r="I710" s="116"/>
      <c r="L710" s="170">
        <v>43047</v>
      </c>
      <c r="M710" s="116">
        <v>221.743797900548</v>
      </c>
      <c r="N710" s="116">
        <v>225.20082815735</v>
      </c>
      <c r="O710" s="116">
        <v>219.81773818604501</v>
      </c>
      <c r="P710" s="116">
        <v>223.22538229632099</v>
      </c>
      <c r="Q710" s="116">
        <v>224.5</v>
      </c>
      <c r="R710">
        <v>3299527</v>
      </c>
    </row>
    <row r="711" spans="1:18" x14ac:dyDescent="0.25">
      <c r="A711" s="170">
        <v>43048</v>
      </c>
      <c r="B711" s="116">
        <v>238.04098242810301</v>
      </c>
      <c r="C711" s="116">
        <v>237.05326050931399</v>
      </c>
      <c r="D711" s="116">
        <v>222.237431727482</v>
      </c>
      <c r="E711" s="116">
        <v>222.237431727482</v>
      </c>
      <c r="F711" s="116">
        <v>240</v>
      </c>
      <c r="G711">
        <v>1165295</v>
      </c>
      <c r="H711" s="116"/>
      <c r="I711" s="116"/>
      <c r="L711" s="170">
        <v>43048</v>
      </c>
      <c r="M711" s="116">
        <v>237.497978642258</v>
      </c>
      <c r="N711" s="116">
        <v>238.63386001235</v>
      </c>
      <c r="O711" s="116">
        <v>222.53397624496</v>
      </c>
      <c r="P711" s="116">
        <v>223.02783771021799</v>
      </c>
      <c r="Q711" s="116">
        <v>240.45</v>
      </c>
      <c r="R711">
        <v>11299727</v>
      </c>
    </row>
    <row r="712" spans="1:18" x14ac:dyDescent="0.25">
      <c r="A712" s="170">
        <v>43049</v>
      </c>
      <c r="B712" s="116">
        <v>241.00414818446899</v>
      </c>
      <c r="C712" s="116">
        <v>233.59623379355301</v>
      </c>
      <c r="D712" s="116">
        <v>232.11465091536999</v>
      </c>
      <c r="E712" s="116">
        <v>236.95448831743499</v>
      </c>
      <c r="F712" s="116">
        <v>236.5</v>
      </c>
      <c r="G712">
        <v>848226</v>
      </c>
      <c r="H712" s="116"/>
      <c r="I712" s="116"/>
      <c r="L712" s="170">
        <v>43049</v>
      </c>
      <c r="M712" s="116">
        <v>233.250770041045</v>
      </c>
      <c r="N712" s="116">
        <v>241.004395045585</v>
      </c>
      <c r="O712" s="116">
        <v>231.76918564527301</v>
      </c>
      <c r="P712" s="116">
        <v>237.74490937488599</v>
      </c>
      <c r="Q712" s="116">
        <v>236.15</v>
      </c>
      <c r="R712">
        <v>7726311</v>
      </c>
    </row>
    <row r="713" spans="1:18" x14ac:dyDescent="0.25">
      <c r="A713" s="170">
        <v>43052</v>
      </c>
      <c r="B713" s="116">
        <v>236.855716125556</v>
      </c>
      <c r="C713" s="116">
        <v>231.67017605191501</v>
      </c>
      <c r="D713" s="116">
        <v>230.13920707779201</v>
      </c>
      <c r="E713" s="116">
        <v>233.34930331385601</v>
      </c>
      <c r="F713" s="116">
        <v>234.55</v>
      </c>
      <c r="G713">
        <v>380201</v>
      </c>
      <c r="H713" s="116"/>
      <c r="I713" s="116"/>
      <c r="L713" s="170">
        <v>43052</v>
      </c>
      <c r="M713" s="116">
        <v>231.522254912644</v>
      </c>
      <c r="N713" s="116">
        <v>236.85595873742301</v>
      </c>
      <c r="O713" s="116">
        <v>229.99128437034599</v>
      </c>
      <c r="P713" s="116">
        <v>233.398928480622</v>
      </c>
      <c r="Q713" s="116">
        <v>234.4</v>
      </c>
      <c r="R713">
        <v>2923051</v>
      </c>
    </row>
    <row r="714" spans="1:18" x14ac:dyDescent="0.25">
      <c r="A714" s="170">
        <v>43053</v>
      </c>
      <c r="B714" s="116">
        <v>244.80687757180601</v>
      </c>
      <c r="C714" s="116">
        <v>243.62161126926</v>
      </c>
      <c r="D714" s="116">
        <v>225.793230635122</v>
      </c>
      <c r="E714" s="116">
        <v>232.60851187476399</v>
      </c>
      <c r="F714" s="116">
        <v>246.65</v>
      </c>
      <c r="G714">
        <v>1934012</v>
      </c>
      <c r="H714" s="116"/>
      <c r="I714" s="116"/>
      <c r="L714" s="170">
        <v>43053</v>
      </c>
      <c r="M714" s="116">
        <v>243.671246957975</v>
      </c>
      <c r="N714" s="116">
        <v>244.955286767644</v>
      </c>
      <c r="O714" s="116">
        <v>225.59591732955599</v>
      </c>
      <c r="P714" s="116">
        <v>231.81857179179801</v>
      </c>
      <c r="Q714" s="116">
        <v>246.7</v>
      </c>
      <c r="R714">
        <v>15847309</v>
      </c>
    </row>
    <row r="715" spans="1:18" x14ac:dyDescent="0.25">
      <c r="A715" s="170">
        <v>43054</v>
      </c>
      <c r="B715" s="116">
        <v>249.79487326168999</v>
      </c>
      <c r="C715" s="116">
        <v>247.424340656597</v>
      </c>
      <c r="D715" s="116">
        <v>238.04098242810301</v>
      </c>
      <c r="E715" s="116">
        <v>240.01642626568099</v>
      </c>
      <c r="F715" s="116">
        <v>250.5</v>
      </c>
      <c r="G715">
        <v>1711087</v>
      </c>
      <c r="H715" s="116"/>
      <c r="I715" s="116"/>
      <c r="L715" s="170">
        <v>43054</v>
      </c>
      <c r="M715" s="116">
        <v>247.819683266136</v>
      </c>
      <c r="N715" s="116">
        <v>250.23960444589699</v>
      </c>
      <c r="O715" s="116">
        <v>234.97928516944501</v>
      </c>
      <c r="P715" s="116">
        <v>234.97928516944501</v>
      </c>
      <c r="Q715" s="116">
        <v>250.9</v>
      </c>
      <c r="R715">
        <v>17805319</v>
      </c>
    </row>
    <row r="716" spans="1:18" x14ac:dyDescent="0.25">
      <c r="A716" s="170">
        <v>43055</v>
      </c>
      <c r="B716" s="116">
        <v>251.57277271551001</v>
      </c>
      <c r="C716" s="116">
        <v>248.85653743884001</v>
      </c>
      <c r="D716" s="116">
        <v>244.21424442053299</v>
      </c>
      <c r="E716" s="116">
        <v>248.41206257538499</v>
      </c>
      <c r="F716" s="116">
        <v>251.95</v>
      </c>
      <c r="G716">
        <v>487002</v>
      </c>
      <c r="H716" s="116"/>
      <c r="I716" s="116"/>
      <c r="L716" s="170">
        <v>43055</v>
      </c>
      <c r="M716" s="116">
        <v>248.85679234317701</v>
      </c>
      <c r="N716" s="116">
        <v>251.52364425556601</v>
      </c>
      <c r="O716" s="116">
        <v>244.165108423232</v>
      </c>
      <c r="P716" s="116">
        <v>250.88162435073201</v>
      </c>
      <c r="Q716" s="116">
        <v>251.95</v>
      </c>
      <c r="R716">
        <v>6292626</v>
      </c>
    </row>
    <row r="717" spans="1:18" x14ac:dyDescent="0.25">
      <c r="A717" s="170">
        <v>43056</v>
      </c>
      <c r="B717" s="116">
        <v>257.25217374854498</v>
      </c>
      <c r="C717" s="116">
        <v>256.31383792569602</v>
      </c>
      <c r="D717" s="116">
        <v>247.72065723223301</v>
      </c>
      <c r="E717" s="116">
        <v>249.00469572665901</v>
      </c>
      <c r="F717" s="116">
        <v>259.5</v>
      </c>
      <c r="G717">
        <v>794739</v>
      </c>
      <c r="H717" s="116"/>
      <c r="I717" s="116"/>
      <c r="L717" s="170">
        <v>43056</v>
      </c>
      <c r="M717" s="116">
        <v>256.70918964076901</v>
      </c>
      <c r="N717" s="116">
        <v>257.59814027823199</v>
      </c>
      <c r="O717" s="116">
        <v>247.72091097308501</v>
      </c>
      <c r="P717" s="116">
        <v>249.15310922233101</v>
      </c>
      <c r="Q717" s="116">
        <v>259.89999999999998</v>
      </c>
      <c r="R717">
        <v>6857865</v>
      </c>
    </row>
    <row r="718" spans="1:18" x14ac:dyDescent="0.25">
      <c r="A718" s="170">
        <v>43059</v>
      </c>
      <c r="B718" s="116">
        <v>272.71002177758999</v>
      </c>
      <c r="C718" s="116">
        <v>271.475369379104</v>
      </c>
      <c r="D718" s="116">
        <v>256.21506573381703</v>
      </c>
      <c r="E718" s="116">
        <v>257.74603470794</v>
      </c>
      <c r="F718" s="116">
        <v>274.85000000000002</v>
      </c>
      <c r="G718">
        <v>2585657</v>
      </c>
      <c r="H718" s="116"/>
      <c r="I718" s="116"/>
      <c r="L718" s="170">
        <v>43059</v>
      </c>
      <c r="M718" s="116">
        <v>271.52503359848902</v>
      </c>
      <c r="N718" s="116">
        <v>272.85845955468398</v>
      </c>
      <c r="O718" s="116">
        <v>256.06716973593399</v>
      </c>
      <c r="P718" s="116">
        <v>257.94384330391199</v>
      </c>
      <c r="Q718" s="116">
        <v>274.89999999999998</v>
      </c>
      <c r="R718">
        <v>13458563</v>
      </c>
    </row>
    <row r="719" spans="1:18" x14ac:dyDescent="0.25">
      <c r="A719" s="170">
        <v>43060</v>
      </c>
      <c r="B719" s="116">
        <v>277.45108698777602</v>
      </c>
      <c r="C719" s="116">
        <v>270.14194478873901</v>
      </c>
      <c r="D719" s="116">
        <v>268.16650095116199</v>
      </c>
      <c r="E719" s="116">
        <v>273.54958540856097</v>
      </c>
      <c r="F719" s="116">
        <v>273.5</v>
      </c>
      <c r="G719">
        <v>1015033</v>
      </c>
      <c r="H719" s="116"/>
      <c r="I719" s="116"/>
      <c r="L719" s="170">
        <v>43060</v>
      </c>
      <c r="M719" s="116">
        <v>269.79651847008802</v>
      </c>
      <c r="N719" s="116">
        <v>277.30321274200003</v>
      </c>
      <c r="O719" s="116">
        <v>267.821072609059</v>
      </c>
      <c r="P719" s="116">
        <v>272.51275652900398</v>
      </c>
      <c r="Q719" s="116">
        <v>273.14999999999998</v>
      </c>
      <c r="R719">
        <v>12063135</v>
      </c>
    </row>
    <row r="720" spans="1:18" x14ac:dyDescent="0.25">
      <c r="A720" s="170">
        <v>43061</v>
      </c>
      <c r="B720" s="116">
        <v>272.61124958571099</v>
      </c>
      <c r="C720" s="116">
        <v>270.240716980618</v>
      </c>
      <c r="D720" s="116">
        <v>264.610702043522</v>
      </c>
      <c r="E720" s="116">
        <v>266.783690264857</v>
      </c>
      <c r="F720" s="116">
        <v>273.60000000000002</v>
      </c>
      <c r="G720">
        <v>632766</v>
      </c>
      <c r="H720" s="116"/>
      <c r="I720" s="116"/>
      <c r="L720" s="170">
        <v>43061</v>
      </c>
      <c r="M720" s="116">
        <v>270.68546910755202</v>
      </c>
      <c r="N720" s="116">
        <v>272.46337038247799</v>
      </c>
      <c r="O720" s="116">
        <v>264.46281464530898</v>
      </c>
      <c r="P720" s="116">
        <v>270.14222149576801</v>
      </c>
      <c r="Q720" s="116">
        <v>274.05</v>
      </c>
      <c r="R720">
        <v>5015906</v>
      </c>
    </row>
    <row r="721" spans="1:18" x14ac:dyDescent="0.25">
      <c r="A721" s="170">
        <v>43062</v>
      </c>
      <c r="B721" s="116">
        <v>273.59897150450001</v>
      </c>
      <c r="C721" s="116">
        <v>271.12966670752797</v>
      </c>
      <c r="D721" s="116">
        <v>267.67263999176703</v>
      </c>
      <c r="E721" s="116">
        <v>271.62352766692197</v>
      </c>
      <c r="F721" s="116">
        <v>274.5</v>
      </c>
      <c r="G721">
        <v>327808</v>
      </c>
      <c r="H721" s="116"/>
      <c r="I721" s="116"/>
      <c r="L721" s="170">
        <v>43062</v>
      </c>
      <c r="M721" s="116">
        <v>271.42626130543698</v>
      </c>
      <c r="N721" s="116">
        <v>273.54986560604402</v>
      </c>
      <c r="O721" s="116">
        <v>267.17905270422398</v>
      </c>
      <c r="P721" s="116">
        <v>269.79651847008802</v>
      </c>
      <c r="Q721" s="116">
        <v>274.8</v>
      </c>
      <c r="R721">
        <v>3371088</v>
      </c>
    </row>
    <row r="722" spans="1:18" x14ac:dyDescent="0.25">
      <c r="A722" s="170">
        <v>43063</v>
      </c>
      <c r="B722" s="116">
        <v>276.562137260866</v>
      </c>
      <c r="C722" s="116">
        <v>275.17932657456203</v>
      </c>
      <c r="D722" s="116">
        <v>271.12966670752797</v>
      </c>
      <c r="E722" s="116">
        <v>271.12966670752797</v>
      </c>
      <c r="F722" s="116">
        <v>278.60000000000002</v>
      </c>
      <c r="G722">
        <v>447834</v>
      </c>
      <c r="H722" s="116"/>
      <c r="I722" s="116"/>
      <c r="L722" s="170">
        <v>43063</v>
      </c>
      <c r="M722" s="116">
        <v>275.27838073444502</v>
      </c>
      <c r="N722" s="116">
        <v>276.56242054411399</v>
      </c>
      <c r="O722" s="116">
        <v>271.67319203806602</v>
      </c>
      <c r="P722" s="116">
        <v>271.67319203806602</v>
      </c>
      <c r="Q722" s="116">
        <v>278.7</v>
      </c>
      <c r="R722">
        <v>3855810</v>
      </c>
    </row>
    <row r="723" spans="1:18" x14ac:dyDescent="0.25">
      <c r="A723" s="170">
        <v>43066</v>
      </c>
      <c r="B723" s="116">
        <v>274.88300999892601</v>
      </c>
      <c r="C723" s="116">
        <v>273.796515888258</v>
      </c>
      <c r="D723" s="116">
        <v>271.08028061158899</v>
      </c>
      <c r="E723" s="116">
        <v>272.61124958571099</v>
      </c>
      <c r="F723" s="116">
        <v>277.2</v>
      </c>
      <c r="G723">
        <v>227100</v>
      </c>
      <c r="H723" s="116"/>
      <c r="I723" s="116"/>
      <c r="L723" s="170">
        <v>43066</v>
      </c>
      <c r="M723" s="116">
        <v>274.04372707130102</v>
      </c>
      <c r="N723" s="116">
        <v>274.98206385528999</v>
      </c>
      <c r="O723" s="116">
        <v>270.93239984017998</v>
      </c>
      <c r="P723" s="116">
        <v>274.09311321782701</v>
      </c>
      <c r="Q723" s="116">
        <v>277.45</v>
      </c>
      <c r="R723">
        <v>2208868</v>
      </c>
    </row>
    <row r="724" spans="1:18" x14ac:dyDescent="0.25">
      <c r="A724" s="170">
        <v>43067</v>
      </c>
      <c r="B724" s="116">
        <v>286.24181206499702</v>
      </c>
      <c r="C724" s="116">
        <v>284.41452651523701</v>
      </c>
      <c r="D724" s="116">
        <v>272.95695225728701</v>
      </c>
      <c r="E724" s="116">
        <v>275.27809876644102</v>
      </c>
      <c r="F724" s="116">
        <v>287.95</v>
      </c>
      <c r="G724">
        <v>895781</v>
      </c>
      <c r="H724" s="116"/>
      <c r="I724" s="116"/>
      <c r="L724" s="170">
        <v>43067</v>
      </c>
      <c r="M724" s="116">
        <v>284.217273255603</v>
      </c>
      <c r="N724" s="116">
        <v>286.24210526315801</v>
      </c>
      <c r="O724" s="116">
        <v>273.10539028731301</v>
      </c>
      <c r="P724" s="116">
        <v>273.59925175257001</v>
      </c>
      <c r="Q724" s="116">
        <v>287.75</v>
      </c>
      <c r="R724">
        <v>11258640</v>
      </c>
    </row>
    <row r="725" spans="1:18" x14ac:dyDescent="0.25">
      <c r="A725" s="170">
        <v>43068</v>
      </c>
      <c r="B725" s="116">
        <v>287.22953398378598</v>
      </c>
      <c r="C725" s="116">
        <v>276.66090945274499</v>
      </c>
      <c r="D725" s="116">
        <v>274.88300999892601</v>
      </c>
      <c r="E725" s="116">
        <v>284.46391261117702</v>
      </c>
      <c r="F725" s="116">
        <v>280.10000000000002</v>
      </c>
      <c r="G725">
        <v>454271</v>
      </c>
      <c r="H725" s="116"/>
      <c r="I725" s="116"/>
      <c r="L725" s="170">
        <v>43068</v>
      </c>
      <c r="M725" s="116">
        <v>276.75996513021698</v>
      </c>
      <c r="N725" s="116">
        <v>287.081669754095</v>
      </c>
      <c r="O725" s="116">
        <v>274.88329156223898</v>
      </c>
      <c r="P725" s="116">
        <v>283.77279793687097</v>
      </c>
      <c r="Q725" s="116">
        <v>280.2</v>
      </c>
      <c r="R725">
        <v>6464166</v>
      </c>
    </row>
    <row r="726" spans="1:18" x14ac:dyDescent="0.25">
      <c r="A726" s="170">
        <v>43069</v>
      </c>
      <c r="B726" s="116">
        <v>288.167869806635</v>
      </c>
      <c r="C726" s="116">
        <v>283.37741850050901</v>
      </c>
      <c r="D726" s="116">
        <v>273.99406027201599</v>
      </c>
      <c r="E726" s="116">
        <v>276.01889020553301</v>
      </c>
      <c r="F726" s="116">
        <v>286.89999999999998</v>
      </c>
      <c r="G726">
        <v>753726</v>
      </c>
      <c r="H726" s="116"/>
      <c r="I726" s="116"/>
      <c r="L726" s="170">
        <v>43069</v>
      </c>
      <c r="M726" s="116">
        <v>283.57525335076798</v>
      </c>
      <c r="N726" s="116">
        <v>288.61264029639301</v>
      </c>
      <c r="O726" s="116">
        <v>274.142499364353</v>
      </c>
      <c r="P726" s="116">
        <v>275.47592532054801</v>
      </c>
      <c r="Q726" s="116">
        <v>287.10000000000002</v>
      </c>
      <c r="R726">
        <v>9944314</v>
      </c>
    </row>
    <row r="727" spans="1:18" x14ac:dyDescent="0.25">
      <c r="A727" s="170">
        <v>43070</v>
      </c>
      <c r="B727" s="116">
        <v>290.09392754827297</v>
      </c>
      <c r="C727" s="116">
        <v>279.96977788068801</v>
      </c>
      <c r="D727" s="116">
        <v>279.03144205783798</v>
      </c>
      <c r="E727" s="116">
        <v>285.84672329748099</v>
      </c>
      <c r="F727" s="116">
        <v>283.45</v>
      </c>
      <c r="G727">
        <v>647048</v>
      </c>
      <c r="H727" s="116"/>
      <c r="I727" s="116"/>
      <c r="L727" s="170">
        <v>43070</v>
      </c>
      <c r="M727" s="116">
        <v>280.06883694744101</v>
      </c>
      <c r="N727" s="116">
        <v>289.99545239911401</v>
      </c>
      <c r="O727" s="116">
        <v>279.13050016345198</v>
      </c>
      <c r="P727" s="116">
        <v>284.90867930696299</v>
      </c>
      <c r="Q727" s="116">
        <v>283.55</v>
      </c>
      <c r="R727">
        <v>7150041</v>
      </c>
    </row>
    <row r="728" spans="1:18" x14ac:dyDescent="0.25">
      <c r="A728" s="170">
        <v>43073</v>
      </c>
      <c r="B728" s="116">
        <v>282.88355754111501</v>
      </c>
      <c r="C728" s="116">
        <v>276.01889020553301</v>
      </c>
      <c r="D728" s="116">
        <v>273.30265492886298</v>
      </c>
      <c r="E728" s="116">
        <v>282.88355754111501</v>
      </c>
      <c r="F728" s="116">
        <v>279.45</v>
      </c>
      <c r="G728">
        <v>368113</v>
      </c>
      <c r="H728" s="116"/>
      <c r="I728" s="116"/>
      <c r="L728" s="170">
        <v>43073</v>
      </c>
      <c r="M728" s="116">
        <v>275.62408376012502</v>
      </c>
      <c r="N728" s="116">
        <v>282.982619592459</v>
      </c>
      <c r="O728" s="116">
        <v>273.00661799426098</v>
      </c>
      <c r="P728" s="116">
        <v>281.50103519668698</v>
      </c>
      <c r="Q728" s="116">
        <v>279.05</v>
      </c>
      <c r="R728">
        <v>5784862</v>
      </c>
    </row>
    <row r="729" spans="1:18" x14ac:dyDescent="0.25">
      <c r="A729" s="170">
        <v>43074</v>
      </c>
      <c r="B729" s="116">
        <v>280.41425274414303</v>
      </c>
      <c r="C729" s="116">
        <v>276.51275116492701</v>
      </c>
      <c r="D729" s="116">
        <v>274.88300999892601</v>
      </c>
      <c r="E729" s="116">
        <v>276.51275116492701</v>
      </c>
      <c r="F729" s="116">
        <v>279.95</v>
      </c>
      <c r="G729">
        <v>367809</v>
      </c>
      <c r="H729" s="116"/>
      <c r="I729" s="116"/>
      <c r="L729" s="170">
        <v>43074</v>
      </c>
      <c r="M729" s="116">
        <v>276.513034397588</v>
      </c>
      <c r="N729" s="116">
        <v>280.26638153354401</v>
      </c>
      <c r="O729" s="116">
        <v>274.73513312266198</v>
      </c>
      <c r="P729" s="116">
        <v>275.96978678580501</v>
      </c>
      <c r="Q729" s="116">
        <v>279.95</v>
      </c>
      <c r="R729">
        <v>4876970</v>
      </c>
    </row>
    <row r="730" spans="1:18" x14ac:dyDescent="0.25">
      <c r="A730" s="170">
        <v>43075</v>
      </c>
      <c r="B730" s="116">
        <v>279.525303017233</v>
      </c>
      <c r="C730" s="116">
        <v>271.52475547504298</v>
      </c>
      <c r="D730" s="116">
        <v>270.38887526843598</v>
      </c>
      <c r="E730" s="116">
        <v>276.46336506898803</v>
      </c>
      <c r="F730" s="116">
        <v>274.89999999999998</v>
      </c>
      <c r="G730">
        <v>260451</v>
      </c>
      <c r="H730" s="116"/>
      <c r="I730" s="116"/>
      <c r="L730" s="170">
        <v>43075</v>
      </c>
      <c r="M730" s="116">
        <v>271.57441974501501</v>
      </c>
      <c r="N730" s="116">
        <v>279.47620318913198</v>
      </c>
      <c r="O730" s="116">
        <v>270.24099378881999</v>
      </c>
      <c r="P730" s="116">
        <v>275.47592532054801</v>
      </c>
      <c r="Q730" s="116">
        <v>274.95</v>
      </c>
      <c r="R730">
        <v>4358618</v>
      </c>
    </row>
    <row r="731" spans="1:18" x14ac:dyDescent="0.25">
      <c r="A731" s="170">
        <v>43076</v>
      </c>
      <c r="B731" s="116">
        <v>281.35258856699198</v>
      </c>
      <c r="C731" s="116">
        <v>280.51302493602202</v>
      </c>
      <c r="D731" s="116">
        <v>271.52475547504298</v>
      </c>
      <c r="E731" s="116">
        <v>271.52475547504298</v>
      </c>
      <c r="F731" s="116">
        <v>284</v>
      </c>
      <c r="G731">
        <v>364282</v>
      </c>
      <c r="H731" s="116"/>
      <c r="I731" s="116"/>
      <c r="L731" s="170">
        <v>43076</v>
      </c>
      <c r="M731" s="116">
        <v>280.51331226617299</v>
      </c>
      <c r="N731" s="116">
        <v>281.35287675710998</v>
      </c>
      <c r="O731" s="116">
        <v>272.265825796375</v>
      </c>
      <c r="P731" s="116">
        <v>272.61152882205499</v>
      </c>
      <c r="Q731" s="116">
        <v>284</v>
      </c>
      <c r="R731">
        <v>3820082</v>
      </c>
    </row>
    <row r="732" spans="1:18" x14ac:dyDescent="0.25">
      <c r="A732" s="170">
        <v>43077</v>
      </c>
      <c r="B732" s="116">
        <v>286.04426768123898</v>
      </c>
      <c r="C732" s="116">
        <v>284.71084309087399</v>
      </c>
      <c r="D732" s="116">
        <v>281.64890514262902</v>
      </c>
      <c r="E732" s="116">
        <v>283.17987411675102</v>
      </c>
      <c r="F732" s="116">
        <v>288.25</v>
      </c>
      <c r="G732">
        <v>362311</v>
      </c>
      <c r="H732" s="116"/>
      <c r="I732" s="116"/>
      <c r="L732" s="170">
        <v>43077</v>
      </c>
      <c r="M732" s="116">
        <v>284.90867930696299</v>
      </c>
      <c r="N732" s="116">
        <v>286.34087755620902</v>
      </c>
      <c r="O732" s="116">
        <v>281.55042134321297</v>
      </c>
      <c r="P732" s="116">
        <v>284.01972866950001</v>
      </c>
      <c r="Q732" s="116">
        <v>288.45</v>
      </c>
      <c r="R732">
        <v>4297335</v>
      </c>
    </row>
    <row r="733" spans="1:18" x14ac:dyDescent="0.25">
      <c r="A733" s="170">
        <v>43080</v>
      </c>
      <c r="B733" s="116">
        <v>295.72394248536898</v>
      </c>
      <c r="C733" s="116">
        <v>294.63744837470199</v>
      </c>
      <c r="D733" s="116">
        <v>282.48846877359898</v>
      </c>
      <c r="E733" s="116">
        <v>286.34058425687601</v>
      </c>
      <c r="F733" s="116">
        <v>298.3</v>
      </c>
      <c r="G733">
        <v>702417</v>
      </c>
      <c r="H733" s="116"/>
      <c r="I733" s="116"/>
      <c r="L733" s="170">
        <v>43080</v>
      </c>
      <c r="M733" s="116">
        <v>294.68713631905899</v>
      </c>
      <c r="N733" s="116">
        <v>295.87240383567598</v>
      </c>
      <c r="O733" s="116">
        <v>282.38998583415099</v>
      </c>
      <c r="P733" s="116">
        <v>286.439649849261</v>
      </c>
      <c r="Q733" s="116">
        <v>298.35000000000002</v>
      </c>
      <c r="R733">
        <v>8045275</v>
      </c>
    </row>
    <row r="734" spans="1:18" x14ac:dyDescent="0.25">
      <c r="A734" s="170">
        <v>43081</v>
      </c>
      <c r="B734" s="116">
        <v>295.23008152597498</v>
      </c>
      <c r="C734" s="116">
        <v>284.36514041929797</v>
      </c>
      <c r="D734" s="116">
        <v>282.834171445175</v>
      </c>
      <c r="E734" s="116">
        <v>295.23008152597498</v>
      </c>
      <c r="F734" s="116">
        <v>287.89999999999998</v>
      </c>
      <c r="G734">
        <v>468318</v>
      </c>
      <c r="H734" s="116"/>
      <c r="I734" s="116"/>
      <c r="L734" s="170">
        <v>43081</v>
      </c>
      <c r="M734" s="116">
        <v>284.26665940212899</v>
      </c>
      <c r="N734" s="116">
        <v>294.93406705168701</v>
      </c>
      <c r="O734" s="116">
        <v>283.13077803203697</v>
      </c>
      <c r="P734" s="116">
        <v>294.93406705168701</v>
      </c>
      <c r="Q734" s="116">
        <v>287.8</v>
      </c>
      <c r="R734">
        <v>6874578</v>
      </c>
    </row>
    <row r="735" spans="1:18" x14ac:dyDescent="0.25">
      <c r="A735" s="170">
        <v>43082</v>
      </c>
      <c r="B735" s="116">
        <v>288.76050295790799</v>
      </c>
      <c r="C735" s="116">
        <v>280.85872760759798</v>
      </c>
      <c r="D735" s="116">
        <v>278.83389767408102</v>
      </c>
      <c r="E735" s="116">
        <v>285.35286233808699</v>
      </c>
      <c r="F735" s="116">
        <v>284.35000000000002</v>
      </c>
      <c r="G735">
        <v>565176</v>
      </c>
      <c r="H735" s="116"/>
      <c r="I735" s="116"/>
      <c r="L735" s="170">
        <v>43082</v>
      </c>
      <c r="M735" s="116">
        <v>280.957787584904</v>
      </c>
      <c r="N735" s="116">
        <v>288.90895717554798</v>
      </c>
      <c r="O735" s="116">
        <v>278.735410991246</v>
      </c>
      <c r="P735" s="116">
        <v>286.439649849261</v>
      </c>
      <c r="Q735" s="116">
        <v>284.45</v>
      </c>
      <c r="R735">
        <v>6799578</v>
      </c>
    </row>
    <row r="736" spans="1:18" x14ac:dyDescent="0.25">
      <c r="A736" s="170">
        <v>43083</v>
      </c>
      <c r="B736" s="116">
        <v>284.16759603553999</v>
      </c>
      <c r="C736" s="116">
        <v>280.80934151165798</v>
      </c>
      <c r="D736" s="116">
        <v>276.01889020553301</v>
      </c>
      <c r="E736" s="116">
        <v>282.48846877359898</v>
      </c>
      <c r="F736" s="116">
        <v>284.3</v>
      </c>
      <c r="G736">
        <v>267522</v>
      </c>
      <c r="H736" s="116"/>
      <c r="I736" s="116"/>
      <c r="L736" s="170">
        <v>43083</v>
      </c>
      <c r="M736" s="116">
        <v>280.80962914532699</v>
      </c>
      <c r="N736" s="116">
        <v>284.71113472086</v>
      </c>
      <c r="O736" s="116">
        <v>275.77224219970202</v>
      </c>
      <c r="P736" s="116">
        <v>284.46420398823102</v>
      </c>
      <c r="Q736" s="116">
        <v>284.3</v>
      </c>
      <c r="R736">
        <v>5575066</v>
      </c>
    </row>
    <row r="737" spans="1:18" x14ac:dyDescent="0.25">
      <c r="A737" s="170">
        <v>43084</v>
      </c>
      <c r="B737" s="116">
        <v>286.04426768123898</v>
      </c>
      <c r="C737" s="116">
        <v>283.37741850050901</v>
      </c>
      <c r="D737" s="116">
        <v>282.58724096547797</v>
      </c>
      <c r="E737" s="116">
        <v>284.16759603553999</v>
      </c>
      <c r="F737" s="116">
        <v>286.89999999999998</v>
      </c>
      <c r="G737">
        <v>153635</v>
      </c>
      <c r="H737" s="116"/>
      <c r="I737" s="116"/>
      <c r="L737" s="170">
        <v>43084</v>
      </c>
      <c r="M737" s="116">
        <v>283.32832261814002</v>
      </c>
      <c r="N737" s="116">
        <v>286.39026370273501</v>
      </c>
      <c r="O737" s="116">
        <v>282.63691656677901</v>
      </c>
      <c r="P737" s="116">
        <v>285.45192691874598</v>
      </c>
      <c r="Q737" s="116">
        <v>286.85000000000002</v>
      </c>
      <c r="R737">
        <v>3036814</v>
      </c>
    </row>
    <row r="738" spans="1:18" x14ac:dyDescent="0.25">
      <c r="A738" s="170">
        <v>43087</v>
      </c>
      <c r="B738" s="116">
        <v>290.19269974015202</v>
      </c>
      <c r="C738" s="116">
        <v>287.031989600028</v>
      </c>
      <c r="D738" s="116">
        <v>272.018616434438</v>
      </c>
      <c r="E738" s="116">
        <v>283.37741850050901</v>
      </c>
      <c r="F738" s="116">
        <v>290.60000000000002</v>
      </c>
      <c r="G738">
        <v>568334</v>
      </c>
      <c r="H738" s="116"/>
      <c r="I738" s="116"/>
      <c r="L738" s="170">
        <v>43087</v>
      </c>
      <c r="M738" s="116">
        <v>287.279214340198</v>
      </c>
      <c r="N738" s="116">
        <v>290.34115542479401</v>
      </c>
      <c r="O738" s="116">
        <v>271.72257818459201</v>
      </c>
      <c r="P738" s="116">
        <v>276.56242054411399</v>
      </c>
      <c r="Q738" s="116">
        <v>290.85000000000002</v>
      </c>
      <c r="R738">
        <v>5912782</v>
      </c>
    </row>
    <row r="739" spans="1:18" x14ac:dyDescent="0.25">
      <c r="A739" s="170">
        <v>43088</v>
      </c>
      <c r="B739" s="116">
        <v>297.25491145949201</v>
      </c>
      <c r="C739" s="116">
        <v>296.46473392446097</v>
      </c>
      <c r="D739" s="116">
        <v>287.62462275130099</v>
      </c>
      <c r="E739" s="116">
        <v>287.62462275130099</v>
      </c>
      <c r="F739" s="116">
        <v>300.14999999999998</v>
      </c>
      <c r="G739">
        <v>672878</v>
      </c>
      <c r="H739" s="116"/>
      <c r="I739" s="116"/>
      <c r="L739" s="170">
        <v>43088</v>
      </c>
      <c r="M739" s="116">
        <v>296.95889905924201</v>
      </c>
      <c r="N739" s="116">
        <v>297.74907740365398</v>
      </c>
      <c r="O739" s="116">
        <v>288.11877883113601</v>
      </c>
      <c r="P739" s="116">
        <v>288.41509571029002</v>
      </c>
      <c r="Q739" s="116">
        <v>300.64999999999998</v>
      </c>
      <c r="R739">
        <v>8383608</v>
      </c>
    </row>
    <row r="740" spans="1:18" x14ac:dyDescent="0.25">
      <c r="A740" s="170">
        <v>43089</v>
      </c>
      <c r="B740" s="116">
        <v>300.267463311798</v>
      </c>
      <c r="C740" s="116">
        <v>297.10675317167397</v>
      </c>
      <c r="D740" s="116">
        <v>294.48929008688299</v>
      </c>
      <c r="E740" s="116">
        <v>298.19324728234102</v>
      </c>
      <c r="F740" s="116">
        <v>300.8</v>
      </c>
      <c r="G740">
        <v>408222</v>
      </c>
      <c r="H740" s="116"/>
      <c r="I740" s="116"/>
      <c r="L740" s="170">
        <v>43089</v>
      </c>
      <c r="M740" s="116">
        <v>297.15644364534501</v>
      </c>
      <c r="N740" s="116">
        <v>300.07022629036402</v>
      </c>
      <c r="O740" s="116">
        <v>294.09450256075002</v>
      </c>
      <c r="P740" s="116">
        <v>297.30460208492201</v>
      </c>
      <c r="Q740" s="116">
        <v>300.85000000000002</v>
      </c>
      <c r="R740">
        <v>4692403</v>
      </c>
    </row>
    <row r="741" spans="1:18" x14ac:dyDescent="0.25">
      <c r="A741" s="170">
        <v>43090</v>
      </c>
      <c r="B741" s="116">
        <v>299.23035529706999</v>
      </c>
      <c r="C741" s="116">
        <v>296.90920878791599</v>
      </c>
      <c r="D741" s="116">
        <v>294.58806227876198</v>
      </c>
      <c r="E741" s="116">
        <v>297.40306974730998</v>
      </c>
      <c r="F741" s="116">
        <v>300.60000000000002</v>
      </c>
      <c r="G741">
        <v>196887</v>
      </c>
      <c r="H741" s="116"/>
      <c r="I741" s="116"/>
      <c r="L741" s="170">
        <v>43090</v>
      </c>
      <c r="M741" s="116">
        <v>296.46503759398502</v>
      </c>
      <c r="N741" s="116">
        <v>299.28004794595199</v>
      </c>
      <c r="O741" s="116">
        <v>294.489591732956</v>
      </c>
      <c r="P741" s="116">
        <v>298.53925574806601</v>
      </c>
      <c r="Q741" s="116">
        <v>300.14999999999998</v>
      </c>
      <c r="R741">
        <v>2280137</v>
      </c>
    </row>
    <row r="742" spans="1:18" x14ac:dyDescent="0.25">
      <c r="A742" s="170">
        <v>43091</v>
      </c>
      <c r="B742" s="116">
        <v>302.39106543719402</v>
      </c>
      <c r="C742" s="116">
        <v>298.68710824173598</v>
      </c>
      <c r="D742" s="116">
        <v>296.11903125288501</v>
      </c>
      <c r="E742" s="116">
        <v>298.29201947422001</v>
      </c>
      <c r="F742" s="116">
        <v>302.39999999999998</v>
      </c>
      <c r="G742">
        <v>305455</v>
      </c>
      <c r="H742" s="116"/>
      <c r="I742" s="116"/>
      <c r="L742" s="170">
        <v>43091</v>
      </c>
      <c r="M742" s="116">
        <v>299.03311721332301</v>
      </c>
      <c r="N742" s="116">
        <v>302.58891976317602</v>
      </c>
      <c r="O742" s="116">
        <v>296.02056227525298</v>
      </c>
      <c r="P742" s="116">
        <v>297.30460208492201</v>
      </c>
      <c r="Q742" s="116">
        <v>302.75</v>
      </c>
      <c r="R742">
        <v>4703911</v>
      </c>
    </row>
    <row r="743" spans="1:18" x14ac:dyDescent="0.25">
      <c r="A743" s="170">
        <v>43095</v>
      </c>
      <c r="B743" s="116">
        <v>303.67510393161899</v>
      </c>
      <c r="C743" s="116">
        <v>301.89720447779899</v>
      </c>
      <c r="D743" s="116">
        <v>296.95859488385503</v>
      </c>
      <c r="E743" s="116">
        <v>300.21807721585799</v>
      </c>
      <c r="F743" s="116">
        <v>305.64999999999998</v>
      </c>
      <c r="G743">
        <v>295431</v>
      </c>
      <c r="H743" s="116"/>
      <c r="I743" s="116"/>
      <c r="L743" s="170">
        <v>43095</v>
      </c>
      <c r="M743" s="116">
        <v>302.19383059096998</v>
      </c>
      <c r="N743" s="116">
        <v>303.92234571937098</v>
      </c>
      <c r="O743" s="116">
        <v>296.860126766191</v>
      </c>
      <c r="P743" s="116">
        <v>299.97145399731198</v>
      </c>
      <c r="Q743" s="116">
        <v>305.95</v>
      </c>
      <c r="R743">
        <v>3956481</v>
      </c>
    </row>
    <row r="744" spans="1:18" x14ac:dyDescent="0.25">
      <c r="A744" s="170">
        <v>43096</v>
      </c>
      <c r="B744" s="116">
        <v>304.81098413822599</v>
      </c>
      <c r="C744" s="116">
        <v>301.25518523058702</v>
      </c>
      <c r="D744" s="116">
        <v>298.489563857978</v>
      </c>
      <c r="E744" s="116">
        <v>302.24290714937501</v>
      </c>
      <c r="F744" s="116">
        <v>305</v>
      </c>
      <c r="G744">
        <v>197380</v>
      </c>
      <c r="H744" s="116"/>
      <c r="I744" s="116"/>
      <c r="L744" s="170">
        <v>43096</v>
      </c>
      <c r="M744" s="116">
        <v>301.798741418764</v>
      </c>
      <c r="N744" s="116">
        <v>305.00884094293701</v>
      </c>
      <c r="O744" s="116">
        <v>298.78618648069403</v>
      </c>
      <c r="P744" s="116">
        <v>301.74935527223897</v>
      </c>
      <c r="Q744" s="116">
        <v>305.55</v>
      </c>
      <c r="R744">
        <v>3315278</v>
      </c>
    </row>
    <row r="745" spans="1:18" x14ac:dyDescent="0.25">
      <c r="A745" s="170">
        <v>43097</v>
      </c>
      <c r="B745" s="116">
        <v>305.20607290574202</v>
      </c>
      <c r="C745" s="116">
        <v>302.83554030064897</v>
      </c>
      <c r="D745" s="116">
        <v>300.21807721585799</v>
      </c>
      <c r="E745" s="116">
        <v>303.97142050725603</v>
      </c>
      <c r="F745" s="116">
        <v>306.60000000000002</v>
      </c>
      <c r="G745">
        <v>258778</v>
      </c>
      <c r="H745" s="116"/>
      <c r="I745" s="116"/>
      <c r="L745" s="170">
        <v>43097</v>
      </c>
      <c r="M745" s="116">
        <v>302.835850495805</v>
      </c>
      <c r="N745" s="116">
        <v>305.50270240819401</v>
      </c>
      <c r="O745" s="116">
        <v>299.82329555773498</v>
      </c>
      <c r="P745" s="116">
        <v>302.73707820275303</v>
      </c>
      <c r="Q745" s="116">
        <v>306.60000000000002</v>
      </c>
      <c r="R745">
        <v>4620000</v>
      </c>
    </row>
    <row r="746" spans="1:18" x14ac:dyDescent="0.25">
      <c r="A746" s="170">
        <v>43098</v>
      </c>
      <c r="B746" s="116">
        <v>312.61398729665802</v>
      </c>
      <c r="C746" s="116">
        <v>311.67565147380901</v>
      </c>
      <c r="D746" s="116">
        <v>303.52694564380101</v>
      </c>
      <c r="E746" s="116">
        <v>305.10730071386303</v>
      </c>
      <c r="F746" s="116">
        <v>315.55</v>
      </c>
      <c r="G746">
        <v>415255</v>
      </c>
      <c r="H746" s="116"/>
      <c r="I746" s="116"/>
      <c r="L746" s="170">
        <v>43098</v>
      </c>
      <c r="M746" s="116">
        <v>312.51553521484902</v>
      </c>
      <c r="N746" s="116">
        <v>314.095891903672</v>
      </c>
      <c r="O746" s="116">
        <v>302.58891976317602</v>
      </c>
      <c r="P746" s="116">
        <v>304.26804874505098</v>
      </c>
      <c r="Q746" s="116">
        <v>316.39999999999998</v>
      </c>
      <c r="R746">
        <v>6874520</v>
      </c>
    </row>
    <row r="747" spans="1:18" x14ac:dyDescent="0.25">
      <c r="A747" s="170">
        <v>43101</v>
      </c>
      <c r="B747" s="116">
        <v>313.898025791083</v>
      </c>
      <c r="C747" s="116">
        <v>309.40389106059399</v>
      </c>
      <c r="D747" s="116">
        <v>307.62599160677399</v>
      </c>
      <c r="E747" s="116">
        <v>313.10784825605202</v>
      </c>
      <c r="F747" s="116">
        <v>313.25</v>
      </c>
      <c r="G747">
        <v>125682</v>
      </c>
      <c r="H747" s="116"/>
      <c r="I747" s="116"/>
      <c r="L747" s="170">
        <v>43101</v>
      </c>
      <c r="M747" s="116">
        <v>309.05850495804702</v>
      </c>
      <c r="N747" s="116">
        <v>313.89834731756901</v>
      </c>
      <c r="O747" s="116">
        <v>307.97200973448099</v>
      </c>
      <c r="P747" s="116">
        <v>313.84896117104398</v>
      </c>
      <c r="Q747" s="116">
        <v>312.89999999999998</v>
      </c>
      <c r="R747">
        <v>1602814</v>
      </c>
    </row>
    <row r="748" spans="1:18" x14ac:dyDescent="0.25">
      <c r="A748" s="170">
        <v>43102</v>
      </c>
      <c r="B748" s="116">
        <v>311.13240441847501</v>
      </c>
      <c r="C748" s="116">
        <v>307.28028893519797</v>
      </c>
      <c r="D748" s="116">
        <v>304.31712317883199</v>
      </c>
      <c r="E748" s="116">
        <v>309.40389106059399</v>
      </c>
      <c r="F748" s="116">
        <v>311.10000000000002</v>
      </c>
      <c r="G748">
        <v>279055</v>
      </c>
      <c r="H748" s="116"/>
      <c r="I748" s="116"/>
      <c r="L748" s="170">
        <v>43102</v>
      </c>
      <c r="M748" s="116">
        <v>307.32998982964699</v>
      </c>
      <c r="N748" s="116">
        <v>311.08333696560197</v>
      </c>
      <c r="O748" s="116">
        <v>303.77418727979398</v>
      </c>
      <c r="P748" s="116">
        <v>310.44131706076797</v>
      </c>
      <c r="Q748" s="116">
        <v>311.14999999999998</v>
      </c>
      <c r="R748">
        <v>2014415</v>
      </c>
    </row>
    <row r="749" spans="1:18" x14ac:dyDescent="0.25">
      <c r="A749" s="170">
        <v>43103</v>
      </c>
      <c r="B749" s="116">
        <v>311.13240441847501</v>
      </c>
      <c r="C749" s="116">
        <v>307.37906112707702</v>
      </c>
      <c r="D749" s="116">
        <v>306.539497496107</v>
      </c>
      <c r="E749" s="116">
        <v>307.18151674332</v>
      </c>
      <c r="F749" s="116">
        <v>311.2</v>
      </c>
      <c r="G749">
        <v>101576</v>
      </c>
      <c r="H749" s="116"/>
      <c r="I749" s="116"/>
      <c r="L749" s="170">
        <v>43103</v>
      </c>
      <c r="M749" s="116">
        <v>307.37937597617201</v>
      </c>
      <c r="N749" s="116">
        <v>311.28088155170502</v>
      </c>
      <c r="O749" s="116">
        <v>306.34226689913203</v>
      </c>
      <c r="P749" s="116">
        <v>308.07078202753303</v>
      </c>
      <c r="Q749" s="116">
        <v>311.2</v>
      </c>
      <c r="R749">
        <v>2073353</v>
      </c>
    </row>
    <row r="750" spans="1:18" x14ac:dyDescent="0.25">
      <c r="A750" s="170">
        <v>43104</v>
      </c>
      <c r="B750" s="116">
        <v>310.14468249968598</v>
      </c>
      <c r="C750" s="116">
        <v>308.317396949927</v>
      </c>
      <c r="D750" s="116">
        <v>303.77387612349798</v>
      </c>
      <c r="E750" s="116">
        <v>305.30484509762101</v>
      </c>
      <c r="F750" s="116">
        <v>312.14999999999998</v>
      </c>
      <c r="G750">
        <v>216837</v>
      </c>
      <c r="H750" s="116"/>
      <c r="I750" s="116"/>
      <c r="L750" s="170">
        <v>43104</v>
      </c>
      <c r="M750" s="116">
        <v>308.41648505321302</v>
      </c>
      <c r="N750" s="116">
        <v>309.651138716356</v>
      </c>
      <c r="O750" s="116">
        <v>303.47787040063901</v>
      </c>
      <c r="P750" s="116">
        <v>308.16955432058398</v>
      </c>
      <c r="Q750" s="116">
        <v>312.25</v>
      </c>
      <c r="R750">
        <v>2703849</v>
      </c>
    </row>
    <row r="751" spans="1:18" x14ac:dyDescent="0.25">
      <c r="A751" s="170">
        <v>43105</v>
      </c>
      <c r="B751" s="116">
        <v>312.367056816961</v>
      </c>
      <c r="C751" s="116">
        <v>309.74959373217001</v>
      </c>
      <c r="D751" s="116">
        <v>306.93458626362201</v>
      </c>
      <c r="E751" s="116">
        <v>311.13240441847501</v>
      </c>
      <c r="F751" s="116">
        <v>313.60000000000002</v>
      </c>
      <c r="G751">
        <v>200753</v>
      </c>
      <c r="H751" s="116"/>
      <c r="I751" s="116"/>
      <c r="L751" s="170">
        <v>43105</v>
      </c>
      <c r="M751" s="116">
        <v>309.10789110457301</v>
      </c>
      <c r="N751" s="116">
        <v>311.97228760306598</v>
      </c>
      <c r="O751" s="116">
        <v>306.53981148523502</v>
      </c>
      <c r="P751" s="116">
        <v>308.46587119973901</v>
      </c>
      <c r="Q751" s="116">
        <v>312.95</v>
      </c>
      <c r="R751">
        <v>1896601</v>
      </c>
    </row>
    <row r="752" spans="1:18" x14ac:dyDescent="0.25">
      <c r="A752" s="170">
        <v>43108</v>
      </c>
      <c r="B752" s="116">
        <v>315.13267818956899</v>
      </c>
      <c r="C752" s="116">
        <v>313.70048140732598</v>
      </c>
      <c r="D752" s="116">
        <v>308.56432742962397</v>
      </c>
      <c r="E752" s="116">
        <v>311.18179051441399</v>
      </c>
      <c r="F752" s="116">
        <v>317.60000000000002</v>
      </c>
      <c r="G752">
        <v>228393</v>
      </c>
      <c r="H752" s="116"/>
      <c r="I752" s="116"/>
      <c r="L752" s="170">
        <v>43108</v>
      </c>
      <c r="M752" s="116">
        <v>313.70080273146601</v>
      </c>
      <c r="N752" s="116">
        <v>315.28115942029001</v>
      </c>
      <c r="O752" s="116">
        <v>308.36709890668698</v>
      </c>
      <c r="P752" s="116">
        <v>310.78702008644802</v>
      </c>
      <c r="Q752" s="116">
        <v>317.60000000000002</v>
      </c>
      <c r="R752">
        <v>2171903</v>
      </c>
    </row>
    <row r="753" spans="1:18" x14ac:dyDescent="0.25">
      <c r="A753" s="170">
        <v>43109</v>
      </c>
      <c r="B753" s="116">
        <v>315.57715305302401</v>
      </c>
      <c r="C753" s="116">
        <v>311.67565147380901</v>
      </c>
      <c r="D753" s="116">
        <v>310.49038517126201</v>
      </c>
      <c r="E753" s="116">
        <v>313.60170921544699</v>
      </c>
      <c r="F753" s="116">
        <v>315.55</v>
      </c>
      <c r="G753">
        <v>242162</v>
      </c>
      <c r="H753" s="116"/>
      <c r="I753" s="116"/>
      <c r="L753" s="170">
        <v>43109</v>
      </c>
      <c r="M753" s="116">
        <v>311.42903999128299</v>
      </c>
      <c r="N753" s="116">
        <v>315.72563473902102</v>
      </c>
      <c r="O753" s="116">
        <v>310.145000181613</v>
      </c>
      <c r="P753" s="116">
        <v>313.70080273146601</v>
      </c>
      <c r="Q753" s="116">
        <v>315.3</v>
      </c>
      <c r="R753">
        <v>2411068</v>
      </c>
    </row>
    <row r="754" spans="1:18" x14ac:dyDescent="0.25">
      <c r="A754" s="170">
        <v>43110</v>
      </c>
      <c r="B754" s="116">
        <v>315.08329209363001</v>
      </c>
      <c r="C754" s="116">
        <v>310.63854345907998</v>
      </c>
      <c r="D754" s="116">
        <v>309.00880229307899</v>
      </c>
      <c r="E754" s="116">
        <v>309.305118868715</v>
      </c>
      <c r="F754" s="116">
        <v>314.5</v>
      </c>
      <c r="G754">
        <v>209655</v>
      </c>
      <c r="H754" s="116"/>
      <c r="I754" s="116"/>
      <c r="L754" s="170">
        <v>43110</v>
      </c>
      <c r="M754" s="116">
        <v>310.24377247466498</v>
      </c>
      <c r="N754" s="116">
        <v>315.18238712723797</v>
      </c>
      <c r="O754" s="116">
        <v>308.71280193236697</v>
      </c>
      <c r="P754" s="116">
        <v>311.13272311212802</v>
      </c>
      <c r="Q754" s="116">
        <v>314.10000000000002</v>
      </c>
      <c r="R754">
        <v>2517494</v>
      </c>
    </row>
    <row r="755" spans="1:18" x14ac:dyDescent="0.25">
      <c r="A755" s="170">
        <v>43111</v>
      </c>
      <c r="B755" s="116">
        <v>313.00907606417297</v>
      </c>
      <c r="C755" s="116">
        <v>309.79897982811002</v>
      </c>
      <c r="D755" s="116">
        <v>308.26801085398699</v>
      </c>
      <c r="E755" s="116">
        <v>310.14468249968598</v>
      </c>
      <c r="F755" s="116">
        <v>313.64999999999998</v>
      </c>
      <c r="G755">
        <v>216351</v>
      </c>
      <c r="H755" s="116"/>
      <c r="I755" s="116"/>
      <c r="L755" s="170">
        <v>43111</v>
      </c>
      <c r="M755" s="116">
        <v>309.45359413025301</v>
      </c>
      <c r="N755" s="116">
        <v>312.81185209400297</v>
      </c>
      <c r="O755" s="116">
        <v>307.97200973448099</v>
      </c>
      <c r="P755" s="116">
        <v>310.145000181613</v>
      </c>
      <c r="Q755" s="116">
        <v>313.3</v>
      </c>
      <c r="R755">
        <v>3481728</v>
      </c>
    </row>
    <row r="756" spans="1:18" x14ac:dyDescent="0.25">
      <c r="A756" s="170">
        <v>43112</v>
      </c>
      <c r="B756" s="116">
        <v>323.67647278709302</v>
      </c>
      <c r="C756" s="116">
        <v>320.66392093478697</v>
      </c>
      <c r="D756" s="116">
        <v>310.68792955501999</v>
      </c>
      <c r="E756" s="116">
        <v>310.68792955501999</v>
      </c>
      <c r="F756" s="116">
        <v>324.64999999999998</v>
      </c>
      <c r="G756">
        <v>670762</v>
      </c>
      <c r="H756" s="116"/>
      <c r="I756" s="116"/>
      <c r="L756" s="170">
        <v>43112</v>
      </c>
      <c r="M756" s="116">
        <v>321.75074461516101</v>
      </c>
      <c r="N756" s="116">
        <v>324.318824234499</v>
      </c>
      <c r="O756" s="116">
        <v>311.13272311212802</v>
      </c>
      <c r="P756" s="116">
        <v>311.18210925865401</v>
      </c>
      <c r="Q756" s="116">
        <v>325.75</v>
      </c>
      <c r="R756">
        <v>14484043</v>
      </c>
    </row>
    <row r="757" spans="1:18" x14ac:dyDescent="0.25">
      <c r="A757" s="170">
        <v>43115</v>
      </c>
      <c r="B757" s="116">
        <v>324.76296689776001</v>
      </c>
      <c r="C757" s="116">
        <v>319.87374339975599</v>
      </c>
      <c r="D757" s="116">
        <v>318.83663538502702</v>
      </c>
      <c r="E757" s="116">
        <v>322.98506744394001</v>
      </c>
      <c r="F757" s="116">
        <v>323.85000000000002</v>
      </c>
      <c r="G757">
        <v>282092</v>
      </c>
      <c r="H757" s="116"/>
      <c r="I757" s="116"/>
      <c r="L757" s="170">
        <v>43115</v>
      </c>
      <c r="M757" s="116">
        <v>319.03450655624601</v>
      </c>
      <c r="N757" s="116">
        <v>324.71391340670499</v>
      </c>
      <c r="O757" s="116">
        <v>317.701080600051</v>
      </c>
      <c r="P757" s="116">
        <v>323.676804329665</v>
      </c>
      <c r="Q757" s="116">
        <v>323</v>
      </c>
      <c r="R757">
        <v>4519030</v>
      </c>
    </row>
    <row r="758" spans="1:18" x14ac:dyDescent="0.25">
      <c r="A758" s="170">
        <v>43116</v>
      </c>
      <c r="B758" s="116">
        <v>322.88629525206198</v>
      </c>
      <c r="C758" s="116">
        <v>312.41644291289998</v>
      </c>
      <c r="D758" s="116">
        <v>308.71248571744201</v>
      </c>
      <c r="E758" s="116">
        <v>320.910851414484</v>
      </c>
      <c r="F758" s="116">
        <v>316.3</v>
      </c>
      <c r="G758">
        <v>330333</v>
      </c>
      <c r="H758" s="116"/>
      <c r="I758" s="116"/>
      <c r="L758" s="170">
        <v>43116</v>
      </c>
      <c r="M758" s="116">
        <v>312.51553521484902</v>
      </c>
      <c r="N758" s="116">
        <v>322.88662598525298</v>
      </c>
      <c r="O758" s="116">
        <v>307.626306708801</v>
      </c>
      <c r="P758" s="116">
        <v>319.03450655624601</v>
      </c>
      <c r="Q758" s="116">
        <v>316.39999999999998</v>
      </c>
      <c r="R758">
        <v>4683847</v>
      </c>
    </row>
    <row r="759" spans="1:18" x14ac:dyDescent="0.25">
      <c r="A759" s="170">
        <v>43117</v>
      </c>
      <c r="B759" s="116">
        <v>313.15723435199197</v>
      </c>
      <c r="C759" s="116">
        <v>309.89775201998901</v>
      </c>
      <c r="D759" s="116">
        <v>303.92203441131602</v>
      </c>
      <c r="E759" s="116">
        <v>311.083018322535</v>
      </c>
      <c r="F759" s="116">
        <v>313.75</v>
      </c>
      <c r="G759">
        <v>401374</v>
      </c>
      <c r="H759" s="116"/>
      <c r="I759" s="116"/>
      <c r="L759" s="170">
        <v>43117</v>
      </c>
      <c r="M759" s="116">
        <v>309.70052486288199</v>
      </c>
      <c r="N759" s="116">
        <v>313.108168973158</v>
      </c>
      <c r="O759" s="116">
        <v>303.77418727979398</v>
      </c>
      <c r="P759" s="116">
        <v>309.996841742036</v>
      </c>
      <c r="Q759" s="116">
        <v>313.55</v>
      </c>
      <c r="R759">
        <v>3742677</v>
      </c>
    </row>
    <row r="760" spans="1:18" x14ac:dyDescent="0.25">
      <c r="A760" s="170">
        <v>43118</v>
      </c>
      <c r="B760" s="116">
        <v>312.218898529142</v>
      </c>
      <c r="C760" s="116">
        <v>301.25518523058702</v>
      </c>
      <c r="D760" s="116">
        <v>297.60061413106803</v>
      </c>
      <c r="E760" s="116">
        <v>311.87319585756597</v>
      </c>
      <c r="F760" s="116">
        <v>305</v>
      </c>
      <c r="G760">
        <v>337616</v>
      </c>
      <c r="H760" s="116"/>
      <c r="I760" s="116"/>
      <c r="L760" s="170">
        <v>43118</v>
      </c>
      <c r="M760" s="116">
        <v>301.69996912571298</v>
      </c>
      <c r="N760" s="116">
        <v>311.873515310014</v>
      </c>
      <c r="O760" s="116">
        <v>297.69969125712799</v>
      </c>
      <c r="P760" s="116">
        <v>311.18210925865401</v>
      </c>
      <c r="Q760" s="116">
        <v>305.45</v>
      </c>
      <c r="R760">
        <v>3408593</v>
      </c>
    </row>
    <row r="761" spans="1:18" x14ac:dyDescent="0.25">
      <c r="A761" s="170">
        <v>43119</v>
      </c>
      <c r="B761" s="116">
        <v>305.65054776919698</v>
      </c>
      <c r="C761" s="116">
        <v>304.46528146665003</v>
      </c>
      <c r="D761" s="116">
        <v>297.55122803512899</v>
      </c>
      <c r="E761" s="116">
        <v>302.73676810876998</v>
      </c>
      <c r="F761" s="116">
        <v>308.25</v>
      </c>
      <c r="G761">
        <v>178006</v>
      </c>
      <c r="H761" s="116"/>
      <c r="I761" s="116"/>
      <c r="L761" s="170">
        <v>43119</v>
      </c>
      <c r="M761" s="116">
        <v>304.56436562420498</v>
      </c>
      <c r="N761" s="116">
        <v>306.19410845955503</v>
      </c>
      <c r="O761" s="116">
        <v>297.25521593839699</v>
      </c>
      <c r="P761" s="116">
        <v>302.24321673749603</v>
      </c>
      <c r="Q761" s="116">
        <v>308.35000000000002</v>
      </c>
      <c r="R761">
        <v>3653286</v>
      </c>
    </row>
    <row r="762" spans="1:18" x14ac:dyDescent="0.25">
      <c r="A762" s="170">
        <v>43122</v>
      </c>
      <c r="B762" s="116">
        <v>311.13240441847501</v>
      </c>
      <c r="C762" s="116">
        <v>305.4036172895</v>
      </c>
      <c r="D762" s="116">
        <v>303.37878735598298</v>
      </c>
      <c r="E762" s="116">
        <v>305.20607290574202</v>
      </c>
      <c r="F762" s="116">
        <v>309.2</v>
      </c>
      <c r="G762">
        <v>305388</v>
      </c>
      <c r="H762" s="116"/>
      <c r="I762" s="116"/>
      <c r="L762" s="170">
        <v>43122</v>
      </c>
      <c r="M762" s="116">
        <v>305.058227089463</v>
      </c>
      <c r="N762" s="116">
        <v>311.08333696560197</v>
      </c>
      <c r="O762" s="116">
        <v>302.835850495805</v>
      </c>
      <c r="P762" s="116">
        <v>303.28032581453601</v>
      </c>
      <c r="Q762" s="116">
        <v>308.85000000000002</v>
      </c>
      <c r="R762">
        <v>3278437</v>
      </c>
    </row>
    <row r="763" spans="1:18" x14ac:dyDescent="0.25">
      <c r="A763" s="170">
        <v>43123</v>
      </c>
      <c r="B763" s="116">
        <v>306.58888359204599</v>
      </c>
      <c r="C763" s="116">
        <v>303.42817345192202</v>
      </c>
      <c r="D763" s="116">
        <v>300.86009646307099</v>
      </c>
      <c r="E763" s="116">
        <v>306.19379482453098</v>
      </c>
      <c r="F763" s="116">
        <v>307.2</v>
      </c>
      <c r="G763">
        <v>217009</v>
      </c>
      <c r="H763" s="116"/>
      <c r="I763" s="116"/>
      <c r="L763" s="170">
        <v>43123</v>
      </c>
      <c r="M763" s="116">
        <v>303.42848425411398</v>
      </c>
      <c r="N763" s="116">
        <v>306.88551451091502</v>
      </c>
      <c r="O763" s="116">
        <v>300.31715702299198</v>
      </c>
      <c r="P763" s="116">
        <v>306.88551451091502</v>
      </c>
      <c r="Q763" s="116">
        <v>307.2</v>
      </c>
      <c r="R763">
        <v>4416130</v>
      </c>
    </row>
    <row r="764" spans="1:18" x14ac:dyDescent="0.25">
      <c r="A764" s="170">
        <v>43124</v>
      </c>
      <c r="B764" s="116">
        <v>306.58888359204599</v>
      </c>
      <c r="C764" s="116">
        <v>300.11930502398002</v>
      </c>
      <c r="D764" s="116">
        <v>298.93403872143301</v>
      </c>
      <c r="E764" s="116">
        <v>303.23062906816398</v>
      </c>
      <c r="F764" s="116">
        <v>303.85000000000002</v>
      </c>
      <c r="G764">
        <v>145244</v>
      </c>
      <c r="H764" s="116"/>
      <c r="I764" s="116"/>
      <c r="L764" s="170">
        <v>43124</v>
      </c>
      <c r="M764" s="116">
        <v>300.51470160909503</v>
      </c>
      <c r="N764" s="116">
        <v>306.88551451091502</v>
      </c>
      <c r="O764" s="116">
        <v>299.082503359849</v>
      </c>
      <c r="P764" s="116">
        <v>302.24321673749603</v>
      </c>
      <c r="Q764" s="116">
        <v>304.25</v>
      </c>
      <c r="R764">
        <v>2154759</v>
      </c>
    </row>
    <row r="765" spans="1:18" x14ac:dyDescent="0.25">
      <c r="A765" s="170">
        <v>43125</v>
      </c>
      <c r="B765" s="116">
        <v>307.18151674332</v>
      </c>
      <c r="C765" s="116">
        <v>300.36623550367699</v>
      </c>
      <c r="D765" s="116">
        <v>297.30429755543099</v>
      </c>
      <c r="E765" s="116">
        <v>297.30429755543099</v>
      </c>
      <c r="F765" s="116">
        <v>304.10000000000002</v>
      </c>
      <c r="G765">
        <v>257163</v>
      </c>
      <c r="H765" s="116"/>
      <c r="I765" s="116"/>
      <c r="L765" s="170">
        <v>43125</v>
      </c>
      <c r="M765" s="116">
        <v>300.51470160909503</v>
      </c>
      <c r="N765" s="116">
        <v>307.428762122698</v>
      </c>
      <c r="O765" s="116">
        <v>297.94662198975698</v>
      </c>
      <c r="P765" s="116">
        <v>300.26777087646701</v>
      </c>
      <c r="Q765" s="116">
        <v>304.25</v>
      </c>
      <c r="R765">
        <v>3631793</v>
      </c>
    </row>
    <row r="766" spans="1:18" x14ac:dyDescent="0.25">
      <c r="A766" s="170">
        <v>43129</v>
      </c>
      <c r="B766" s="116">
        <v>302.88492639658801</v>
      </c>
      <c r="C766" s="116">
        <v>297.79815851482601</v>
      </c>
      <c r="D766" s="116">
        <v>296.41534782852199</v>
      </c>
      <c r="E766" s="116">
        <v>299.87237454428202</v>
      </c>
      <c r="F766" s="116">
        <v>301.5</v>
      </c>
      <c r="G766">
        <v>161517</v>
      </c>
      <c r="H766" s="116"/>
      <c r="I766" s="116"/>
      <c r="L766" s="170">
        <v>43129</v>
      </c>
      <c r="M766" s="116">
        <v>298.09478042933398</v>
      </c>
      <c r="N766" s="116">
        <v>303.033395081908</v>
      </c>
      <c r="O766" s="116">
        <v>297.008285205768</v>
      </c>
      <c r="P766" s="116">
        <v>301.50242453960999</v>
      </c>
      <c r="Q766" s="116">
        <v>301.8</v>
      </c>
      <c r="R766">
        <v>1806919</v>
      </c>
    </row>
    <row r="767" spans="1:18" x14ac:dyDescent="0.25">
      <c r="A767" s="170">
        <v>43130</v>
      </c>
      <c r="B767" s="116">
        <v>303.42817345192202</v>
      </c>
      <c r="C767" s="116">
        <v>300.11930502398002</v>
      </c>
      <c r="D767" s="116">
        <v>295.92148686912702</v>
      </c>
      <c r="E767" s="116">
        <v>296.31657563664299</v>
      </c>
      <c r="F767" s="116">
        <v>303.85000000000002</v>
      </c>
      <c r="G767">
        <v>1222872</v>
      </c>
      <c r="H767" s="116"/>
      <c r="I767" s="116"/>
      <c r="L767" s="170">
        <v>43130</v>
      </c>
      <c r="M767" s="116">
        <v>300.26777087646701</v>
      </c>
      <c r="N767" s="116">
        <v>303.527256547165</v>
      </c>
      <c r="O767" s="116">
        <v>295.77363154262503</v>
      </c>
      <c r="P767" s="116">
        <v>297.25521593839699</v>
      </c>
      <c r="Q767" s="116">
        <v>304</v>
      </c>
      <c r="R767">
        <v>2590100</v>
      </c>
    </row>
    <row r="768" spans="1:18" x14ac:dyDescent="0.25">
      <c r="A768" s="170">
        <v>43131</v>
      </c>
      <c r="B768" s="116">
        <v>299.92176064022198</v>
      </c>
      <c r="C768" s="116">
        <v>287.031989600028</v>
      </c>
      <c r="D768" s="116">
        <v>282.58724096547797</v>
      </c>
      <c r="E768" s="116">
        <v>299.27974139300898</v>
      </c>
      <c r="F768" s="116">
        <v>290.60000000000002</v>
      </c>
      <c r="G768">
        <v>411152</v>
      </c>
      <c r="H768" s="116"/>
      <c r="I768" s="116"/>
      <c r="L768" s="170">
        <v>43131</v>
      </c>
      <c r="M768" s="116">
        <v>287.081669754095</v>
      </c>
      <c r="N768" s="116">
        <v>299.97145399731198</v>
      </c>
      <c r="O768" s="116">
        <v>282.58753042025398</v>
      </c>
      <c r="P768" s="116">
        <v>299.18127565290001</v>
      </c>
      <c r="Q768" s="116">
        <v>290.64999999999998</v>
      </c>
      <c r="R768">
        <v>5397599</v>
      </c>
    </row>
    <row r="769" spans="1:18" x14ac:dyDescent="0.25">
      <c r="A769" s="170">
        <v>43132</v>
      </c>
      <c r="B769" s="116">
        <v>290.24208583609101</v>
      </c>
      <c r="C769" s="116">
        <v>284.26636822741898</v>
      </c>
      <c r="D769" s="116">
        <v>275.17932657456203</v>
      </c>
      <c r="E769" s="116">
        <v>284.51329870711601</v>
      </c>
      <c r="F769" s="116">
        <v>287.8</v>
      </c>
      <c r="G769">
        <v>545885</v>
      </c>
      <c r="H769" s="116"/>
      <c r="I769" s="116"/>
      <c r="L769" s="170">
        <v>43132</v>
      </c>
      <c r="M769" s="116">
        <v>284.80990701391198</v>
      </c>
      <c r="N769" s="116">
        <v>291.27949220878298</v>
      </c>
      <c r="O769" s="116">
        <v>275.17960844139299</v>
      </c>
      <c r="P769" s="116">
        <v>286.68658058188998</v>
      </c>
      <c r="Q769" s="116">
        <v>288.35000000000002</v>
      </c>
      <c r="R769">
        <v>4593306</v>
      </c>
    </row>
    <row r="770" spans="1:18" x14ac:dyDescent="0.25">
      <c r="A770" s="170">
        <v>43133</v>
      </c>
      <c r="B770" s="116">
        <v>281.50074685481002</v>
      </c>
      <c r="C770" s="116">
        <v>271.32721109128602</v>
      </c>
      <c r="D770" s="116">
        <v>257.30155984448498</v>
      </c>
      <c r="E770" s="116">
        <v>281.50074685481002</v>
      </c>
      <c r="F770" s="116">
        <v>274.7</v>
      </c>
      <c r="G770">
        <v>673361</v>
      </c>
      <c r="H770" s="116"/>
      <c r="I770" s="116"/>
      <c r="L770" s="170">
        <v>43133</v>
      </c>
      <c r="M770" s="116">
        <v>271.47564745196303</v>
      </c>
      <c r="N770" s="116">
        <v>281.50103519668698</v>
      </c>
      <c r="O770" s="116">
        <v>257.05489266644901</v>
      </c>
      <c r="P770" s="116">
        <v>280.51331226617299</v>
      </c>
      <c r="Q770" s="116">
        <v>274.85000000000002</v>
      </c>
      <c r="R770">
        <v>6697007</v>
      </c>
    </row>
    <row r="771" spans="1:18" x14ac:dyDescent="0.25">
      <c r="A771" s="170">
        <v>43136</v>
      </c>
      <c r="B771" s="116">
        <v>274.58669342328898</v>
      </c>
      <c r="C771" s="116">
        <v>270.04317259686002</v>
      </c>
      <c r="D771" s="116">
        <v>251.869089291146</v>
      </c>
      <c r="E771" s="116">
        <v>262.43771382218603</v>
      </c>
      <c r="F771" s="116">
        <v>273.39999999999998</v>
      </c>
      <c r="G771">
        <v>762251</v>
      </c>
      <c r="H771" s="116"/>
      <c r="I771" s="116"/>
      <c r="L771" s="170">
        <v>43136</v>
      </c>
      <c r="M771" s="116">
        <v>269.74713232356299</v>
      </c>
      <c r="N771" s="116">
        <v>273.50047945951798</v>
      </c>
      <c r="O771" s="116">
        <v>252.017505720824</v>
      </c>
      <c r="P771" s="116">
        <v>261.845348879445</v>
      </c>
      <c r="Q771" s="116">
        <v>273.10000000000002</v>
      </c>
      <c r="R771">
        <v>6833906</v>
      </c>
    </row>
    <row r="772" spans="1:18" x14ac:dyDescent="0.25">
      <c r="A772" s="170">
        <v>43137</v>
      </c>
      <c r="B772" s="116">
        <v>266.83307636079701</v>
      </c>
      <c r="C772" s="116">
        <v>263.57359402879399</v>
      </c>
      <c r="D772" s="116">
        <v>246.88109360126299</v>
      </c>
      <c r="E772" s="116">
        <v>258.783142722668</v>
      </c>
      <c r="F772" s="116">
        <v>266.85000000000002</v>
      </c>
      <c r="G772">
        <v>813485</v>
      </c>
      <c r="H772" s="116"/>
      <c r="I772" s="116"/>
      <c r="L772" s="170">
        <v>43137</v>
      </c>
      <c r="M772" s="116">
        <v>263.42570556826797</v>
      </c>
      <c r="N772" s="116">
        <v>266.98150811812098</v>
      </c>
      <c r="O772" s="116">
        <v>250.140832152846</v>
      </c>
      <c r="P772" s="116">
        <v>255.82023900330501</v>
      </c>
      <c r="Q772" s="116">
        <v>266.7</v>
      </c>
      <c r="R772">
        <v>7044561</v>
      </c>
    </row>
    <row r="773" spans="1:18" x14ac:dyDescent="0.25">
      <c r="A773" s="170">
        <v>43138</v>
      </c>
      <c r="B773" s="116">
        <v>280.75995541571899</v>
      </c>
      <c r="C773" s="116">
        <v>276.66090945274499</v>
      </c>
      <c r="D773" s="116">
        <v>264.70947423540099</v>
      </c>
      <c r="E773" s="116">
        <v>264.70947423540099</v>
      </c>
      <c r="F773" s="116">
        <v>280.10000000000002</v>
      </c>
      <c r="G773">
        <v>791036</v>
      </c>
      <c r="H773" s="116"/>
      <c r="I773" s="116"/>
      <c r="L773" s="170">
        <v>43138</v>
      </c>
      <c r="M773" s="116">
        <v>276.71057898369099</v>
      </c>
      <c r="N773" s="116">
        <v>280.90840143837897</v>
      </c>
      <c r="O773" s="116">
        <v>266.68519123896698</v>
      </c>
      <c r="P773" s="116">
        <v>266.68519123896698</v>
      </c>
      <c r="Q773" s="116">
        <v>280.14999999999998</v>
      </c>
      <c r="R773">
        <v>8055761</v>
      </c>
    </row>
    <row r="774" spans="1:18" x14ac:dyDescent="0.25">
      <c r="A774" s="170">
        <v>43139</v>
      </c>
      <c r="B774" s="116">
        <v>282.932943637054</v>
      </c>
      <c r="C774" s="116">
        <v>277.747403563413</v>
      </c>
      <c r="D774" s="116">
        <v>273.20388273698501</v>
      </c>
      <c r="E774" s="116">
        <v>278.04372013904998</v>
      </c>
      <c r="F774" s="116">
        <v>281.2</v>
      </c>
      <c r="G774">
        <v>402278</v>
      </c>
      <c r="H774" s="116"/>
      <c r="I774" s="116"/>
      <c r="L774" s="170">
        <v>43139</v>
      </c>
      <c r="M774" s="116">
        <v>277.00689586284602</v>
      </c>
      <c r="N774" s="116">
        <v>282.982619592459</v>
      </c>
      <c r="O774" s="116">
        <v>272.71030111510697</v>
      </c>
      <c r="P774" s="116">
        <v>278.53786640514301</v>
      </c>
      <c r="Q774" s="116">
        <v>280.45</v>
      </c>
      <c r="R774">
        <v>5863983</v>
      </c>
    </row>
    <row r="775" spans="1:18" x14ac:dyDescent="0.25">
      <c r="A775" s="170">
        <v>43140</v>
      </c>
      <c r="B775" s="116">
        <v>276.26582068522998</v>
      </c>
      <c r="C775" s="116">
        <v>274.68546561516803</v>
      </c>
      <c r="D775" s="116">
        <v>269.15422286994999</v>
      </c>
      <c r="E775" s="116">
        <v>272.85818006540802</v>
      </c>
      <c r="F775" s="116">
        <v>278.10000000000002</v>
      </c>
      <c r="G775">
        <v>157144</v>
      </c>
      <c r="H775" s="116"/>
      <c r="I775" s="116"/>
      <c r="L775" s="170">
        <v>43140</v>
      </c>
      <c r="M775" s="116">
        <v>274.83390541571299</v>
      </c>
      <c r="N775" s="116">
        <v>276.364875958011</v>
      </c>
      <c r="O775" s="116">
        <v>267.77168646253301</v>
      </c>
      <c r="P775" s="116">
        <v>267.77168646253301</v>
      </c>
      <c r="Q775" s="116">
        <v>278.25</v>
      </c>
      <c r="R775">
        <v>3121544</v>
      </c>
    </row>
    <row r="776" spans="1:18" x14ac:dyDescent="0.25">
      <c r="A776" s="170">
        <v>43143</v>
      </c>
      <c r="B776" s="116">
        <v>285.896109393421</v>
      </c>
      <c r="C776" s="116">
        <v>281.303202471053</v>
      </c>
      <c r="D776" s="116">
        <v>277.64863137153401</v>
      </c>
      <c r="E776" s="116">
        <v>282.982329732994</v>
      </c>
      <c r="F776" s="116">
        <v>284.8</v>
      </c>
      <c r="G776">
        <v>559128</v>
      </c>
      <c r="H776" s="116"/>
      <c r="I776" s="116"/>
      <c r="L776" s="170">
        <v>43143</v>
      </c>
      <c r="M776" s="116">
        <v>281.59980748973902</v>
      </c>
      <c r="N776" s="116">
        <v>286.04456067705502</v>
      </c>
      <c r="O776" s="116">
        <v>276.26610366495902</v>
      </c>
      <c r="P776" s="116">
        <v>278.93295557734899</v>
      </c>
      <c r="Q776" s="116">
        <v>285.10000000000002</v>
      </c>
      <c r="R776">
        <v>4583181</v>
      </c>
    </row>
    <row r="777" spans="1:18" x14ac:dyDescent="0.25">
      <c r="A777" s="170">
        <v>43145</v>
      </c>
      <c r="B777" s="116">
        <v>285.254090146208</v>
      </c>
      <c r="C777" s="116">
        <v>278.58696719438399</v>
      </c>
      <c r="D777" s="116">
        <v>277.35231479589697</v>
      </c>
      <c r="E777" s="116">
        <v>281.698291238568</v>
      </c>
      <c r="F777" s="116">
        <v>282.05</v>
      </c>
      <c r="G777">
        <v>153085</v>
      </c>
      <c r="H777" s="116"/>
      <c r="I777" s="116"/>
      <c r="L777" s="170">
        <v>43145</v>
      </c>
      <c r="M777" s="116">
        <v>278.48848025861798</v>
      </c>
      <c r="N777" s="116">
        <v>285.45192691874598</v>
      </c>
      <c r="O777" s="116">
        <v>277.45137118157697</v>
      </c>
      <c r="P777" s="116">
        <v>284.414817841706</v>
      </c>
      <c r="Q777" s="116">
        <v>281.95</v>
      </c>
      <c r="R777">
        <v>2455660</v>
      </c>
    </row>
    <row r="778" spans="1:18" x14ac:dyDescent="0.25">
      <c r="A778" s="170">
        <v>43146</v>
      </c>
      <c r="B778" s="116">
        <v>281.59951904668901</v>
      </c>
      <c r="C778" s="116">
        <v>275.77195972583502</v>
      </c>
      <c r="D778" s="116">
        <v>272.41370520195301</v>
      </c>
      <c r="E778" s="116">
        <v>276.75968164462398</v>
      </c>
      <c r="F778" s="116">
        <v>279.2</v>
      </c>
      <c r="G778">
        <v>241576</v>
      </c>
      <c r="H778" s="116"/>
      <c r="I778" s="116"/>
      <c r="L778" s="170">
        <v>43146</v>
      </c>
      <c r="M778" s="116">
        <v>275.62408376012502</v>
      </c>
      <c r="N778" s="116">
        <v>281.74796592931602</v>
      </c>
      <c r="O778" s="116">
        <v>272.61152882205499</v>
      </c>
      <c r="P778" s="116">
        <v>280.85901529185298</v>
      </c>
      <c r="Q778" s="116">
        <v>279.05</v>
      </c>
      <c r="R778">
        <v>1807307</v>
      </c>
    </row>
    <row r="779" spans="1:18" x14ac:dyDescent="0.25">
      <c r="A779" s="170">
        <v>43147</v>
      </c>
      <c r="B779" s="116">
        <v>279.03144205783798</v>
      </c>
      <c r="C779" s="116">
        <v>272.06800253037699</v>
      </c>
      <c r="D779" s="116">
        <v>270.833350131891</v>
      </c>
      <c r="E779" s="116">
        <v>275.77195972583502</v>
      </c>
      <c r="F779" s="116">
        <v>275.45</v>
      </c>
      <c r="G779">
        <v>147361</v>
      </c>
      <c r="H779" s="116"/>
      <c r="I779" s="116"/>
      <c r="L779" s="170">
        <v>43147</v>
      </c>
      <c r="M779" s="116">
        <v>272.21643964984901</v>
      </c>
      <c r="N779" s="116">
        <v>279.27865860302899</v>
      </c>
      <c r="O779" s="116">
        <v>270.83362754712903</v>
      </c>
      <c r="P779" s="116">
        <v>276.80935127674297</v>
      </c>
      <c r="Q779" s="116">
        <v>275.60000000000002</v>
      </c>
      <c r="R779">
        <v>1925414</v>
      </c>
    </row>
    <row r="780" spans="1:18" x14ac:dyDescent="0.25">
      <c r="A780" s="170">
        <v>43150</v>
      </c>
      <c r="B780" s="116">
        <v>272.80879396946898</v>
      </c>
      <c r="C780" s="116">
        <v>264.56131594758199</v>
      </c>
      <c r="D780" s="116">
        <v>260.06718121709298</v>
      </c>
      <c r="E780" s="116">
        <v>269.746856021224</v>
      </c>
      <c r="F780" s="116">
        <v>267.85000000000002</v>
      </c>
      <c r="G780">
        <v>207150</v>
      </c>
      <c r="H780" s="116"/>
      <c r="I780" s="116"/>
      <c r="L780" s="170">
        <v>43150</v>
      </c>
      <c r="M780" s="116">
        <v>264.66035923141197</v>
      </c>
      <c r="N780" s="116">
        <v>273.648637899096</v>
      </c>
      <c r="O780" s="116">
        <v>259.771130725364</v>
      </c>
      <c r="P780" s="116">
        <v>273.59925175257001</v>
      </c>
      <c r="Q780" s="116">
        <v>267.95</v>
      </c>
      <c r="R780">
        <v>2620461</v>
      </c>
    </row>
    <row r="781" spans="1:18" x14ac:dyDescent="0.25">
      <c r="A781" s="170">
        <v>43151</v>
      </c>
      <c r="B781" s="116">
        <v>270.48764746031497</v>
      </c>
      <c r="C781" s="116">
        <v>259.72147854551702</v>
      </c>
      <c r="D781" s="116">
        <v>258.63498443485003</v>
      </c>
      <c r="E781" s="116">
        <v>261.79569457497399</v>
      </c>
      <c r="F781" s="116">
        <v>262.95</v>
      </c>
      <c r="G781">
        <v>311522</v>
      </c>
      <c r="H781" s="116"/>
      <c r="I781" s="116"/>
      <c r="L781" s="170">
        <v>43151</v>
      </c>
      <c r="M781" s="116">
        <v>259.622972285787</v>
      </c>
      <c r="N781" s="116">
        <v>270.83362754712903</v>
      </c>
      <c r="O781" s="116">
        <v>258.43770476916899</v>
      </c>
      <c r="P781" s="116">
        <v>265.40115142929801</v>
      </c>
      <c r="Q781" s="116">
        <v>262.85000000000002</v>
      </c>
      <c r="R781">
        <v>5120799</v>
      </c>
    </row>
    <row r="782" spans="1:18" x14ac:dyDescent="0.25">
      <c r="A782" s="170">
        <v>43152</v>
      </c>
      <c r="B782" s="116">
        <v>265.30210738667398</v>
      </c>
      <c r="C782" s="116">
        <v>263.52420793285398</v>
      </c>
      <c r="D782" s="116">
        <v>259.07945929830498</v>
      </c>
      <c r="E782" s="116">
        <v>262.63525820594401</v>
      </c>
      <c r="F782" s="116">
        <v>266.8</v>
      </c>
      <c r="G782">
        <v>229212</v>
      </c>
      <c r="H782" s="116"/>
      <c r="I782" s="116"/>
      <c r="L782" s="170">
        <v>43152</v>
      </c>
      <c r="M782" s="116">
        <v>263.32693327521702</v>
      </c>
      <c r="N782" s="116">
        <v>265.54930986887501</v>
      </c>
      <c r="O782" s="116">
        <v>258.98095238095198</v>
      </c>
      <c r="P782" s="116">
        <v>261.74657658639399</v>
      </c>
      <c r="Q782" s="116">
        <v>266.60000000000002</v>
      </c>
      <c r="R782">
        <v>3638163</v>
      </c>
    </row>
    <row r="783" spans="1:18" x14ac:dyDescent="0.25">
      <c r="A783" s="170">
        <v>43153</v>
      </c>
      <c r="B783" s="116">
        <v>264.66008813946098</v>
      </c>
      <c r="C783" s="116">
        <v>259.12884539424402</v>
      </c>
      <c r="D783" s="116">
        <v>258.141123475455</v>
      </c>
      <c r="E783" s="116">
        <v>263.67236622067202</v>
      </c>
      <c r="F783" s="116">
        <v>262.35000000000002</v>
      </c>
      <c r="G783">
        <v>813627</v>
      </c>
      <c r="H783" s="116"/>
      <c r="I783" s="116"/>
      <c r="L783" s="170">
        <v>43153</v>
      </c>
      <c r="M783" s="116">
        <v>258.93156623442701</v>
      </c>
      <c r="N783" s="116">
        <v>266.58641894591602</v>
      </c>
      <c r="O783" s="116">
        <v>257.894457157386</v>
      </c>
      <c r="P783" s="116">
        <v>262.68491337038199</v>
      </c>
      <c r="Q783" s="116">
        <v>262.14999999999998</v>
      </c>
      <c r="R783">
        <v>5466484</v>
      </c>
    </row>
    <row r="784" spans="1:18" x14ac:dyDescent="0.25">
      <c r="A784" s="170">
        <v>43154</v>
      </c>
      <c r="B784" s="116">
        <v>268.61097581461701</v>
      </c>
      <c r="C784" s="116">
        <v>267.47509560800898</v>
      </c>
      <c r="D784" s="116">
        <v>261.15367532776099</v>
      </c>
      <c r="E784" s="116">
        <v>261.15367532776099</v>
      </c>
      <c r="F784" s="116">
        <v>270.8</v>
      </c>
      <c r="G784">
        <v>316386</v>
      </c>
      <c r="H784" s="116"/>
      <c r="I784" s="116"/>
      <c r="L784" s="170">
        <v>43154</v>
      </c>
      <c r="M784" s="116">
        <v>267.37659729032703</v>
      </c>
      <c r="N784" s="116">
        <v>268.56186480694498</v>
      </c>
      <c r="O784" s="116">
        <v>259.771130725364</v>
      </c>
      <c r="P784" s="116">
        <v>260.95639824198201</v>
      </c>
      <c r="Q784" s="116">
        <v>270.7</v>
      </c>
      <c r="R784">
        <v>3895920</v>
      </c>
    </row>
    <row r="785" spans="1:18" x14ac:dyDescent="0.25">
      <c r="A785" s="170">
        <v>43157</v>
      </c>
      <c r="B785" s="116">
        <v>271.42598328316501</v>
      </c>
      <c r="C785" s="116">
        <v>270.29010307655801</v>
      </c>
      <c r="D785" s="116">
        <v>268.26527314304002</v>
      </c>
      <c r="E785" s="116">
        <v>269.05545067807202</v>
      </c>
      <c r="F785" s="116">
        <v>273.64999999999998</v>
      </c>
      <c r="G785">
        <v>150548</v>
      </c>
      <c r="H785" s="116"/>
      <c r="I785" s="116"/>
      <c r="L785" s="170">
        <v>43157</v>
      </c>
      <c r="M785" s="116">
        <v>270.14222149576801</v>
      </c>
      <c r="N785" s="116">
        <v>271.42626130543698</v>
      </c>
      <c r="O785" s="116">
        <v>268.21616178126499</v>
      </c>
      <c r="P785" s="116">
        <v>270.191607642294</v>
      </c>
      <c r="Q785" s="116">
        <v>273.5</v>
      </c>
      <c r="R785">
        <v>3672359</v>
      </c>
    </row>
    <row r="786" spans="1:18" x14ac:dyDescent="0.25">
      <c r="A786" s="170">
        <v>43158</v>
      </c>
      <c r="B786" s="116">
        <v>276.36459287710898</v>
      </c>
      <c r="C786" s="116">
        <v>271.32721109128602</v>
      </c>
      <c r="D786" s="116">
        <v>270.38887526843598</v>
      </c>
      <c r="E786" s="116">
        <v>274.33976294359201</v>
      </c>
      <c r="F786" s="116">
        <v>274.7</v>
      </c>
      <c r="G786">
        <v>297583</v>
      </c>
      <c r="H786" s="116"/>
      <c r="I786" s="116"/>
      <c r="L786" s="170">
        <v>43158</v>
      </c>
      <c r="M786" s="116">
        <v>271.62380589153997</v>
      </c>
      <c r="N786" s="116">
        <v>276.26610366495902</v>
      </c>
      <c r="O786" s="116">
        <v>269.74713232356299</v>
      </c>
      <c r="P786" s="116">
        <v>271.62380589153997</v>
      </c>
      <c r="Q786" s="116">
        <v>275</v>
      </c>
      <c r="R786">
        <v>4778178</v>
      </c>
    </row>
    <row r="787" spans="1:18" x14ac:dyDescent="0.25">
      <c r="A787" s="170">
        <v>43159</v>
      </c>
      <c r="B787" s="116">
        <v>273.59897150450001</v>
      </c>
      <c r="C787" s="116">
        <v>272.21616081819599</v>
      </c>
      <c r="D787" s="116">
        <v>266.68491807297801</v>
      </c>
      <c r="E787" s="116">
        <v>270.14194478873901</v>
      </c>
      <c r="F787" s="116">
        <v>275.60000000000002</v>
      </c>
      <c r="G787">
        <v>128162</v>
      </c>
      <c r="H787" s="116"/>
      <c r="I787" s="116"/>
      <c r="L787" s="170">
        <v>43159</v>
      </c>
      <c r="M787" s="116">
        <v>272.11766735679799</v>
      </c>
      <c r="N787" s="116">
        <v>273.59925175257001</v>
      </c>
      <c r="O787" s="116">
        <v>268.66063709999599</v>
      </c>
      <c r="P787" s="116">
        <v>269.64836003051101</v>
      </c>
      <c r="Q787" s="116">
        <v>275.5</v>
      </c>
      <c r="R787">
        <v>2808234</v>
      </c>
    </row>
    <row r="788" spans="1:18" x14ac:dyDescent="0.25">
      <c r="A788" s="170">
        <v>43160</v>
      </c>
      <c r="B788" s="116">
        <v>274.19160465577301</v>
      </c>
      <c r="C788" s="116">
        <v>271.67291376286198</v>
      </c>
      <c r="D788" s="116">
        <v>271.08028061158899</v>
      </c>
      <c r="E788" s="116">
        <v>271.62352766692197</v>
      </c>
      <c r="F788" s="116">
        <v>275.05</v>
      </c>
      <c r="G788">
        <v>311556</v>
      </c>
      <c r="H788" s="116"/>
      <c r="I788" s="116"/>
      <c r="L788" s="170">
        <v>43160</v>
      </c>
      <c r="M788" s="116">
        <v>271.47564745196303</v>
      </c>
      <c r="N788" s="116">
        <v>273.94495477825001</v>
      </c>
      <c r="O788" s="116">
        <v>270.73485525407699</v>
      </c>
      <c r="P788" s="116">
        <v>271.62380589153997</v>
      </c>
      <c r="Q788" s="116">
        <v>274.85000000000002</v>
      </c>
      <c r="R788">
        <v>2322191</v>
      </c>
    </row>
    <row r="789" spans="1:18" x14ac:dyDescent="0.25">
      <c r="A789" s="170">
        <v>43164</v>
      </c>
      <c r="B789" s="116">
        <v>273.74712979231799</v>
      </c>
      <c r="C789" s="116">
        <v>272.11738862631699</v>
      </c>
      <c r="D789" s="116">
        <v>266.98123464861499</v>
      </c>
      <c r="E789" s="116">
        <v>271.62352766692197</v>
      </c>
      <c r="F789" s="116">
        <v>275.5</v>
      </c>
      <c r="G789">
        <v>443393</v>
      </c>
      <c r="H789" s="116"/>
      <c r="I789" s="116"/>
      <c r="L789" s="170">
        <v>43164</v>
      </c>
      <c r="M789" s="116">
        <v>272.265825796375</v>
      </c>
      <c r="N789" s="116">
        <v>273.54986560604402</v>
      </c>
      <c r="O789" s="116">
        <v>267.22843885075002</v>
      </c>
      <c r="P789" s="116">
        <v>271.42626130543698</v>
      </c>
      <c r="Q789" s="116">
        <v>275.64999999999998</v>
      </c>
      <c r="R789">
        <v>4680138</v>
      </c>
    </row>
    <row r="790" spans="1:18" x14ac:dyDescent="0.25">
      <c r="A790" s="170">
        <v>43165</v>
      </c>
      <c r="B790" s="116">
        <v>279.37714472941502</v>
      </c>
      <c r="C790" s="116">
        <v>269.35176725370798</v>
      </c>
      <c r="D790" s="116">
        <v>266.931848552676</v>
      </c>
      <c r="E790" s="116">
        <v>273.59897150450001</v>
      </c>
      <c r="F790" s="116">
        <v>272.7</v>
      </c>
      <c r="G790">
        <v>622555</v>
      </c>
      <c r="H790" s="116"/>
      <c r="I790" s="116"/>
      <c r="L790" s="170">
        <v>43165</v>
      </c>
      <c r="M790" s="116">
        <v>270.78424140060298</v>
      </c>
      <c r="N790" s="116">
        <v>279.62436162870898</v>
      </c>
      <c r="O790" s="116">
        <v>268.11738948821301</v>
      </c>
      <c r="P790" s="116">
        <v>273.30293487341498</v>
      </c>
      <c r="Q790" s="116">
        <v>274.14999999999998</v>
      </c>
      <c r="R790">
        <v>6601857</v>
      </c>
    </row>
    <row r="791" spans="1:18" x14ac:dyDescent="0.25">
      <c r="A791" s="170">
        <v>43166</v>
      </c>
      <c r="B791" s="116">
        <v>270.833350131891</v>
      </c>
      <c r="C791" s="116">
        <v>264.85763252321902</v>
      </c>
      <c r="D791" s="116">
        <v>262.190783342489</v>
      </c>
      <c r="E791" s="116">
        <v>267.03062074455403</v>
      </c>
      <c r="F791" s="116">
        <v>268.14999999999998</v>
      </c>
      <c r="G791">
        <v>343091</v>
      </c>
      <c r="H791" s="116"/>
      <c r="I791" s="116"/>
      <c r="L791" s="170">
        <v>43166</v>
      </c>
      <c r="M791" s="116">
        <v>265.598696015401</v>
      </c>
      <c r="N791" s="116">
        <v>271.08055827975699</v>
      </c>
      <c r="O791" s="116">
        <v>261.89473502597099</v>
      </c>
      <c r="P791" s="116">
        <v>268.66063709999599</v>
      </c>
      <c r="Q791" s="116">
        <v>268.89999999999998</v>
      </c>
      <c r="R791">
        <v>4847214</v>
      </c>
    </row>
    <row r="792" spans="1:18" x14ac:dyDescent="0.25">
      <c r="A792" s="170">
        <v>43167</v>
      </c>
      <c r="B792" s="116">
        <v>270.09255869280003</v>
      </c>
      <c r="C792" s="116">
        <v>269.30238115776899</v>
      </c>
      <c r="D792" s="116">
        <v>261.54876409527702</v>
      </c>
      <c r="E792" s="116">
        <v>266.68491807297801</v>
      </c>
      <c r="F792" s="116">
        <v>272.64999999999998</v>
      </c>
      <c r="G792">
        <v>288372</v>
      </c>
      <c r="H792" s="116"/>
      <c r="I792" s="116"/>
      <c r="L792" s="170">
        <v>43167</v>
      </c>
      <c r="M792" s="116">
        <v>270.043449202717</v>
      </c>
      <c r="N792" s="116">
        <v>270.83362754712903</v>
      </c>
      <c r="O792" s="116">
        <v>261.74657658639399</v>
      </c>
      <c r="P792" s="116">
        <v>267.17905270422398</v>
      </c>
      <c r="Q792" s="116">
        <v>273.39999999999998</v>
      </c>
      <c r="R792">
        <v>2246589</v>
      </c>
    </row>
    <row r="793" spans="1:18" x14ac:dyDescent="0.25">
      <c r="A793" s="170">
        <v>43168</v>
      </c>
      <c r="B793" s="116">
        <v>271.87045814662002</v>
      </c>
      <c r="C793" s="116">
        <v>265.05517690697701</v>
      </c>
      <c r="D793" s="116">
        <v>262.73403039782301</v>
      </c>
      <c r="E793" s="116">
        <v>270.63580574813398</v>
      </c>
      <c r="F793" s="116">
        <v>268.35000000000002</v>
      </c>
      <c r="G793">
        <v>146325</v>
      </c>
      <c r="H793" s="116"/>
      <c r="I793" s="116"/>
      <c r="L793" s="170">
        <v>43168</v>
      </c>
      <c r="M793" s="116">
        <v>265.05544840361802</v>
      </c>
      <c r="N793" s="116">
        <v>272.51275652900398</v>
      </c>
      <c r="O793" s="116">
        <v>263.32693327521702</v>
      </c>
      <c r="P793" s="116">
        <v>272.51275652900398</v>
      </c>
      <c r="Q793" s="116">
        <v>268.35000000000002</v>
      </c>
      <c r="R793">
        <v>1614381</v>
      </c>
    </row>
    <row r="794" spans="1:18" x14ac:dyDescent="0.25">
      <c r="A794" s="170">
        <v>43171</v>
      </c>
      <c r="B794" s="116">
        <v>273.20388273698501</v>
      </c>
      <c r="C794" s="116">
        <v>272.018616434438</v>
      </c>
      <c r="D794" s="116">
        <v>265.99351272982602</v>
      </c>
      <c r="E794" s="116">
        <v>265.99351272982602</v>
      </c>
      <c r="F794" s="116">
        <v>275.39999999999998</v>
      </c>
      <c r="G794">
        <v>156696</v>
      </c>
      <c r="H794" s="116"/>
      <c r="I794" s="116"/>
      <c r="L794" s="170">
        <v>43171</v>
      </c>
      <c r="M794" s="116">
        <v>272.66091496858098</v>
      </c>
      <c r="N794" s="116">
        <v>273.25354872689002</v>
      </c>
      <c r="O794" s="116">
        <v>266.38887435981297</v>
      </c>
      <c r="P794" s="116">
        <v>266.68519123896698</v>
      </c>
      <c r="Q794" s="116">
        <v>276.05</v>
      </c>
      <c r="R794">
        <v>2583575</v>
      </c>
    </row>
    <row r="795" spans="1:18" x14ac:dyDescent="0.25">
      <c r="A795" s="170">
        <v>43172</v>
      </c>
      <c r="B795" s="116">
        <v>277.253542604019</v>
      </c>
      <c r="C795" s="116">
        <v>274.19160465577301</v>
      </c>
      <c r="D795" s="116">
        <v>271.08028061158899</v>
      </c>
      <c r="E795" s="116">
        <v>274.58669342328898</v>
      </c>
      <c r="F795" s="116">
        <v>277.60000000000002</v>
      </c>
      <c r="G795">
        <v>194207</v>
      </c>
      <c r="H795" s="116"/>
      <c r="I795" s="116"/>
      <c r="L795" s="170">
        <v>43172</v>
      </c>
      <c r="M795" s="116">
        <v>274.784519269187</v>
      </c>
      <c r="N795" s="116">
        <v>277.84646035378302</v>
      </c>
      <c r="O795" s="116">
        <v>269.84590461661401</v>
      </c>
      <c r="P795" s="116">
        <v>274.63636082961</v>
      </c>
      <c r="Q795" s="116">
        <v>278.2</v>
      </c>
      <c r="R795">
        <v>3095190</v>
      </c>
    </row>
    <row r="796" spans="1:18" x14ac:dyDescent="0.25">
      <c r="A796" s="170">
        <v>43173</v>
      </c>
      <c r="B796" s="116">
        <v>277.54985917965502</v>
      </c>
      <c r="C796" s="116">
        <v>274.98178219080398</v>
      </c>
      <c r="D796" s="116">
        <v>272.61124958571099</v>
      </c>
      <c r="E796" s="116">
        <v>273.59897150450001</v>
      </c>
      <c r="F796" s="116">
        <v>278.39999999999998</v>
      </c>
      <c r="G796">
        <v>150923</v>
      </c>
      <c r="H796" s="116"/>
      <c r="I796" s="116"/>
      <c r="L796" s="170">
        <v>43173</v>
      </c>
      <c r="M796" s="116">
        <v>275.08083614834197</v>
      </c>
      <c r="N796" s="116">
        <v>277.79707420725703</v>
      </c>
      <c r="O796" s="116">
        <v>271.87073662416901</v>
      </c>
      <c r="P796" s="116">
        <v>271.87073662416901</v>
      </c>
      <c r="Q796" s="116">
        <v>278.5</v>
      </c>
      <c r="R796">
        <v>2056369</v>
      </c>
    </row>
    <row r="797" spans="1:18" x14ac:dyDescent="0.25">
      <c r="A797" s="170">
        <v>43174</v>
      </c>
      <c r="B797" s="116">
        <v>280.90811370353703</v>
      </c>
      <c r="C797" s="116">
        <v>276.36459287710898</v>
      </c>
      <c r="D797" s="116">
        <v>273.40142712074203</v>
      </c>
      <c r="E797" s="116">
        <v>273.40142712074203</v>
      </c>
      <c r="F797" s="116">
        <v>279.8</v>
      </c>
      <c r="G797">
        <v>185707</v>
      </c>
      <c r="H797" s="116"/>
      <c r="I797" s="116"/>
      <c r="L797" s="170">
        <v>43174</v>
      </c>
      <c r="M797" s="116">
        <v>276.16733137190801</v>
      </c>
      <c r="N797" s="116">
        <v>280.90840143837897</v>
      </c>
      <c r="O797" s="116">
        <v>273.84618248519803</v>
      </c>
      <c r="P797" s="116">
        <v>274.58697468308497</v>
      </c>
      <c r="Q797" s="116">
        <v>279.60000000000002</v>
      </c>
      <c r="R797">
        <v>2877987</v>
      </c>
    </row>
    <row r="798" spans="1:18" x14ac:dyDescent="0.25">
      <c r="A798" s="170">
        <v>43175</v>
      </c>
      <c r="B798" s="116">
        <v>279.03144205783798</v>
      </c>
      <c r="C798" s="116">
        <v>269.746856021224</v>
      </c>
      <c r="D798" s="116">
        <v>267.87018437552501</v>
      </c>
      <c r="E798" s="116">
        <v>278.48819500250499</v>
      </c>
      <c r="F798" s="116">
        <v>273.10000000000002</v>
      </c>
      <c r="G798">
        <v>174379</v>
      </c>
      <c r="H798" s="116"/>
      <c r="I798" s="116"/>
      <c r="L798" s="170">
        <v>43175</v>
      </c>
      <c r="M798" s="116">
        <v>269.05572627220198</v>
      </c>
      <c r="N798" s="116">
        <v>279.22927245650402</v>
      </c>
      <c r="O798" s="116">
        <v>267.72230031600702</v>
      </c>
      <c r="P798" s="116">
        <v>277.35259888852602</v>
      </c>
      <c r="Q798" s="116">
        <v>272.39999999999998</v>
      </c>
      <c r="R798">
        <v>2762357</v>
      </c>
    </row>
    <row r="799" spans="1:18" x14ac:dyDescent="0.25">
      <c r="A799" s="170">
        <v>43178</v>
      </c>
      <c r="B799" s="116">
        <v>269.99378650092098</v>
      </c>
      <c r="C799" s="116">
        <v>257.84480689981899</v>
      </c>
      <c r="D799" s="116">
        <v>255.07918552721</v>
      </c>
      <c r="E799" s="116">
        <v>269.35176725370798</v>
      </c>
      <c r="F799" s="116">
        <v>261.05</v>
      </c>
      <c r="G799">
        <v>370866</v>
      </c>
      <c r="H799" s="116"/>
      <c r="I799" s="116"/>
      <c r="L799" s="170">
        <v>43178</v>
      </c>
      <c r="M799" s="116">
        <v>257.400595692129</v>
      </c>
      <c r="N799" s="116">
        <v>269.64836003051101</v>
      </c>
      <c r="O799" s="116">
        <v>255.178219098471</v>
      </c>
      <c r="P799" s="116">
        <v>269.25327085830497</v>
      </c>
      <c r="Q799" s="116">
        <v>260.60000000000002</v>
      </c>
      <c r="R799">
        <v>3665423</v>
      </c>
    </row>
    <row r="800" spans="1:18" x14ac:dyDescent="0.25">
      <c r="A800" s="170">
        <v>43179</v>
      </c>
      <c r="B800" s="116">
        <v>260.26472560085102</v>
      </c>
      <c r="C800" s="116">
        <v>258.733756626728</v>
      </c>
      <c r="D800" s="116">
        <v>252.264178058662</v>
      </c>
      <c r="E800" s="116">
        <v>253.84453312872401</v>
      </c>
      <c r="F800" s="116">
        <v>261.95</v>
      </c>
      <c r="G800">
        <v>194388</v>
      </c>
      <c r="H800" s="116"/>
      <c r="I800" s="116"/>
      <c r="L800" s="170">
        <v>43179</v>
      </c>
      <c r="M800" s="116">
        <v>258.83279394137497</v>
      </c>
      <c r="N800" s="116">
        <v>260.41315063019903</v>
      </c>
      <c r="O800" s="116">
        <v>251.96811957429799</v>
      </c>
      <c r="P800" s="116">
        <v>256.51164505466602</v>
      </c>
      <c r="Q800" s="116">
        <v>262.05</v>
      </c>
      <c r="R800">
        <v>2855717</v>
      </c>
    </row>
    <row r="801" spans="1:18" x14ac:dyDescent="0.25">
      <c r="A801" s="170">
        <v>43180</v>
      </c>
      <c r="B801" s="116">
        <v>262.93157478158099</v>
      </c>
      <c r="C801" s="116">
        <v>260.11656731303299</v>
      </c>
      <c r="D801" s="116">
        <v>259.12884539424402</v>
      </c>
      <c r="E801" s="116">
        <v>260.75858656024599</v>
      </c>
      <c r="F801" s="116">
        <v>263.35000000000002</v>
      </c>
      <c r="G801">
        <v>153038</v>
      </c>
      <c r="H801" s="116"/>
      <c r="I801" s="116"/>
      <c r="L801" s="170">
        <v>43180</v>
      </c>
      <c r="M801" s="116">
        <v>259.968675311467</v>
      </c>
      <c r="N801" s="116">
        <v>263.03061639606301</v>
      </c>
      <c r="O801" s="116">
        <v>258.93156623442701</v>
      </c>
      <c r="P801" s="116">
        <v>262.04289346554799</v>
      </c>
      <c r="Q801" s="116">
        <v>263.2</v>
      </c>
      <c r="R801">
        <v>1477158</v>
      </c>
    </row>
    <row r="802" spans="1:18" x14ac:dyDescent="0.25">
      <c r="A802" s="170">
        <v>43181</v>
      </c>
      <c r="B802" s="116">
        <v>261.74630847903398</v>
      </c>
      <c r="C802" s="116">
        <v>255.326116006907</v>
      </c>
      <c r="D802" s="116">
        <v>254.48655237593701</v>
      </c>
      <c r="E802" s="116">
        <v>261.74630847903398</v>
      </c>
      <c r="F802" s="116">
        <v>258.5</v>
      </c>
      <c r="G802">
        <v>125602</v>
      </c>
      <c r="H802" s="116"/>
      <c r="I802" s="116"/>
      <c r="L802" s="170">
        <v>43181</v>
      </c>
      <c r="M802" s="116">
        <v>255.672080563728</v>
      </c>
      <c r="N802" s="116">
        <v>261.40087356071302</v>
      </c>
      <c r="O802" s="116">
        <v>254.437426900585</v>
      </c>
      <c r="P802" s="116">
        <v>261.40087356071302</v>
      </c>
      <c r="Q802" s="116">
        <v>258.85000000000002</v>
      </c>
      <c r="R802">
        <v>1681596</v>
      </c>
    </row>
    <row r="803" spans="1:18" x14ac:dyDescent="0.25">
      <c r="A803" s="170">
        <v>43182</v>
      </c>
      <c r="B803" s="116">
        <v>255.42488819878599</v>
      </c>
      <c r="C803" s="116">
        <v>254.78286895157299</v>
      </c>
      <c r="D803" s="116">
        <v>248.01697380786999</v>
      </c>
      <c r="E803" s="116">
        <v>252.85681120993499</v>
      </c>
      <c r="F803" s="116">
        <v>257.95</v>
      </c>
      <c r="G803">
        <v>168807</v>
      </c>
      <c r="H803" s="116"/>
      <c r="I803" s="116"/>
      <c r="L803" s="170">
        <v>43182</v>
      </c>
      <c r="M803" s="116">
        <v>254.733743779739</v>
      </c>
      <c r="N803" s="116">
        <v>255.72146671025399</v>
      </c>
      <c r="O803" s="116">
        <v>246.93073262867301</v>
      </c>
      <c r="P803" s="116">
        <v>247.96784170571399</v>
      </c>
      <c r="Q803" s="116">
        <v>257.89999999999998</v>
      </c>
      <c r="R803">
        <v>2297852</v>
      </c>
    </row>
    <row r="804" spans="1:18" x14ac:dyDescent="0.25">
      <c r="A804" s="170">
        <v>43185</v>
      </c>
      <c r="B804" s="116">
        <v>260.75858656024599</v>
      </c>
      <c r="C804" s="116">
        <v>259.07945929830498</v>
      </c>
      <c r="D804" s="116">
        <v>250.733209084539</v>
      </c>
      <c r="E804" s="116">
        <v>256.80769888509002</v>
      </c>
      <c r="F804" s="116">
        <v>262.3</v>
      </c>
      <c r="G804">
        <v>2581114</v>
      </c>
      <c r="H804" s="116"/>
      <c r="I804" s="116"/>
      <c r="L804" s="170">
        <v>43185</v>
      </c>
      <c r="M804" s="116">
        <v>258.98095238095198</v>
      </c>
      <c r="N804" s="116">
        <v>260.264992190621</v>
      </c>
      <c r="O804" s="116">
        <v>250.58530747157701</v>
      </c>
      <c r="P804" s="116">
        <v>254.881902219316</v>
      </c>
      <c r="Q804" s="116">
        <v>262.2</v>
      </c>
      <c r="R804">
        <v>2440719</v>
      </c>
    </row>
    <row r="805" spans="1:18" x14ac:dyDescent="0.25">
      <c r="A805" s="170">
        <v>43186</v>
      </c>
      <c r="B805" s="116">
        <v>262.190783342489</v>
      </c>
      <c r="C805" s="116">
        <v>260.11656731303299</v>
      </c>
      <c r="D805" s="116">
        <v>257.69664861199999</v>
      </c>
      <c r="E805" s="116">
        <v>260.75858656024599</v>
      </c>
      <c r="F805" s="116">
        <v>263.35000000000002</v>
      </c>
      <c r="G805">
        <v>136248</v>
      </c>
      <c r="H805" s="116"/>
      <c r="I805" s="116"/>
      <c r="L805" s="170">
        <v>43186</v>
      </c>
      <c r="M805" s="116">
        <v>260.56130906977597</v>
      </c>
      <c r="N805" s="116">
        <v>262.48736878428002</v>
      </c>
      <c r="O805" s="116">
        <v>257.548754131706</v>
      </c>
      <c r="P805" s="116">
        <v>260.75885365587902</v>
      </c>
      <c r="Q805" s="116">
        <v>263.8</v>
      </c>
      <c r="R805">
        <v>3071911</v>
      </c>
    </row>
    <row r="806" spans="1:18" x14ac:dyDescent="0.25">
      <c r="A806" s="170">
        <v>43187</v>
      </c>
      <c r="B806" s="116">
        <v>260.26472560085102</v>
      </c>
      <c r="C806" s="116">
        <v>255.27672991096799</v>
      </c>
      <c r="D806" s="116">
        <v>253.84453312872401</v>
      </c>
      <c r="E806" s="116">
        <v>258.733756626728</v>
      </c>
      <c r="F806" s="116">
        <v>258.45</v>
      </c>
      <c r="G806">
        <v>138243</v>
      </c>
      <c r="H806" s="116"/>
      <c r="I806" s="116"/>
      <c r="L806" s="170">
        <v>43187</v>
      </c>
      <c r="M806" s="116">
        <v>255.57330827067699</v>
      </c>
      <c r="N806" s="116">
        <v>260.75885365587902</v>
      </c>
      <c r="O806" s="116">
        <v>254.33865460753299</v>
      </c>
      <c r="P806" s="116">
        <v>258.042615596963</v>
      </c>
      <c r="Q806" s="116">
        <v>258.75</v>
      </c>
      <c r="R806">
        <v>2283408</v>
      </c>
    </row>
    <row r="807" spans="1:18" x14ac:dyDescent="0.25">
      <c r="A807" s="170">
        <v>43192</v>
      </c>
      <c r="B807" s="116">
        <v>273.89528808013699</v>
      </c>
      <c r="C807" s="116">
        <v>272.75940787352999</v>
      </c>
      <c r="D807" s="116">
        <v>256.80769888509002</v>
      </c>
      <c r="E807" s="116">
        <v>256.80769888509002</v>
      </c>
      <c r="F807" s="116">
        <v>276.14999999999998</v>
      </c>
      <c r="G807">
        <v>330180</v>
      </c>
      <c r="H807" s="116"/>
      <c r="I807" s="116"/>
      <c r="L807" s="170">
        <v>43192</v>
      </c>
      <c r="M807" s="116">
        <v>273.54986560604402</v>
      </c>
      <c r="N807" s="116">
        <v>274.98206385528999</v>
      </c>
      <c r="O807" s="116">
        <v>256.16594202898602</v>
      </c>
      <c r="P807" s="116">
        <v>256.16594202898602</v>
      </c>
      <c r="Q807" s="116">
        <v>276.95</v>
      </c>
      <c r="R807">
        <v>6610831</v>
      </c>
    </row>
    <row r="808" spans="1:18" x14ac:dyDescent="0.25">
      <c r="A808" s="170">
        <v>43193</v>
      </c>
      <c r="B808" s="116">
        <v>274.04344636795503</v>
      </c>
      <c r="C808" s="116">
        <v>271.08028061158899</v>
      </c>
      <c r="D808" s="116">
        <v>268.46281752679801</v>
      </c>
      <c r="E808" s="116">
        <v>272.75940787352999</v>
      </c>
      <c r="F808" s="116">
        <v>274.45</v>
      </c>
      <c r="G808">
        <v>295387</v>
      </c>
      <c r="H808" s="116"/>
      <c r="I808" s="116"/>
      <c r="L808" s="170">
        <v>43193</v>
      </c>
      <c r="M808" s="116">
        <v>271.42626130543698</v>
      </c>
      <c r="N808" s="116">
        <v>274.142499364353</v>
      </c>
      <c r="O808" s="116">
        <v>268.36432022084199</v>
      </c>
      <c r="P808" s="116">
        <v>272.61152882205499</v>
      </c>
      <c r="Q808" s="116">
        <v>274.8</v>
      </c>
      <c r="R808">
        <v>2613360</v>
      </c>
    </row>
    <row r="809" spans="1:18" x14ac:dyDescent="0.25">
      <c r="A809" s="170">
        <v>43194</v>
      </c>
      <c r="B809" s="116">
        <v>275.426257054259</v>
      </c>
      <c r="C809" s="116">
        <v>266.19105711358401</v>
      </c>
      <c r="D809" s="116">
        <v>264.95640471509802</v>
      </c>
      <c r="E809" s="116">
        <v>274.438535135471</v>
      </c>
      <c r="F809" s="116">
        <v>269.5</v>
      </c>
      <c r="G809">
        <v>394835</v>
      </c>
      <c r="H809" s="116"/>
      <c r="I809" s="116"/>
      <c r="L809" s="170">
        <v>43194</v>
      </c>
      <c r="M809" s="116">
        <v>266.93212197159602</v>
      </c>
      <c r="N809" s="116">
        <v>275.62408376012502</v>
      </c>
      <c r="O809" s="116">
        <v>266.240715920235</v>
      </c>
      <c r="P809" s="116">
        <v>273.30293487341498</v>
      </c>
      <c r="Q809" s="116">
        <v>270.25</v>
      </c>
      <c r="R809">
        <v>3283985</v>
      </c>
    </row>
    <row r="810" spans="1:18" x14ac:dyDescent="0.25">
      <c r="A810" s="170">
        <v>43195</v>
      </c>
      <c r="B810" s="116">
        <v>273.648357600439</v>
      </c>
      <c r="C810" s="116">
        <v>269.598697733405</v>
      </c>
      <c r="D810" s="116">
        <v>268.36404533491901</v>
      </c>
      <c r="E810" s="116">
        <v>268.90729239025302</v>
      </c>
      <c r="F810" s="116">
        <v>272.95</v>
      </c>
      <c r="G810">
        <v>132522</v>
      </c>
      <c r="H810" s="116"/>
      <c r="I810" s="116"/>
      <c r="L810" s="170">
        <v>43195</v>
      </c>
      <c r="M810" s="116">
        <v>269.64836003051101</v>
      </c>
      <c r="N810" s="116">
        <v>273.59925175257001</v>
      </c>
      <c r="O810" s="116">
        <v>268.166775634739</v>
      </c>
      <c r="P810" s="116">
        <v>271.17933057280902</v>
      </c>
      <c r="Q810" s="116">
        <v>273</v>
      </c>
      <c r="R810">
        <v>2658707</v>
      </c>
    </row>
    <row r="811" spans="1:18" x14ac:dyDescent="0.25">
      <c r="A811" s="170">
        <v>43196</v>
      </c>
      <c r="B811" s="116">
        <v>272.61124958571099</v>
      </c>
      <c r="C811" s="116">
        <v>269.20360896589</v>
      </c>
      <c r="D811" s="116">
        <v>267.87018437552501</v>
      </c>
      <c r="E811" s="116">
        <v>272.61124958571099</v>
      </c>
      <c r="F811" s="116">
        <v>272.55</v>
      </c>
      <c r="G811">
        <v>151724</v>
      </c>
      <c r="H811" s="116"/>
      <c r="I811" s="116"/>
      <c r="L811" s="170">
        <v>43196</v>
      </c>
      <c r="M811" s="116">
        <v>269.35204315135701</v>
      </c>
      <c r="N811" s="116">
        <v>272.265825796375</v>
      </c>
      <c r="O811" s="116">
        <v>267.672914169482</v>
      </c>
      <c r="P811" s="116">
        <v>271.42626130543698</v>
      </c>
      <c r="Q811" s="116">
        <v>272.7</v>
      </c>
      <c r="R811">
        <v>1852060</v>
      </c>
    </row>
    <row r="812" spans="1:18" x14ac:dyDescent="0.25">
      <c r="A812" s="170">
        <v>43199</v>
      </c>
      <c r="B812" s="116">
        <v>277.94494794717099</v>
      </c>
      <c r="C812" s="116">
        <v>274.58669342328898</v>
      </c>
      <c r="D812" s="116">
        <v>270.29010307655801</v>
      </c>
      <c r="E812" s="116">
        <v>270.73457794001303</v>
      </c>
      <c r="F812" s="116">
        <v>278</v>
      </c>
      <c r="G812">
        <v>250062</v>
      </c>
      <c r="H812" s="116"/>
      <c r="I812" s="116"/>
      <c r="L812" s="170">
        <v>43199</v>
      </c>
      <c r="M812" s="116">
        <v>274.38943009698198</v>
      </c>
      <c r="N812" s="116">
        <v>278.19216337946301</v>
      </c>
      <c r="O812" s="116">
        <v>269.64836003051101</v>
      </c>
      <c r="P812" s="116">
        <v>271.62380589153997</v>
      </c>
      <c r="Q812" s="116">
        <v>277.8</v>
      </c>
      <c r="R812">
        <v>4623765</v>
      </c>
    </row>
    <row r="813" spans="1:18" x14ac:dyDescent="0.25">
      <c r="A813" s="170">
        <v>43200</v>
      </c>
      <c r="B813" s="116">
        <v>278.53758109844398</v>
      </c>
      <c r="C813" s="116">
        <v>271.82107205068002</v>
      </c>
      <c r="D813" s="116">
        <v>270.38887526843598</v>
      </c>
      <c r="E813" s="116">
        <v>278.43880890656499</v>
      </c>
      <c r="F813" s="116">
        <v>275.2</v>
      </c>
      <c r="G813">
        <v>259197</v>
      </c>
      <c r="H813" s="116"/>
      <c r="I813" s="116"/>
      <c r="L813" s="170">
        <v>43200</v>
      </c>
      <c r="M813" s="116">
        <v>272.11766735679799</v>
      </c>
      <c r="N813" s="116">
        <v>277.25382659547398</v>
      </c>
      <c r="O813" s="116">
        <v>270.73485525407699</v>
      </c>
      <c r="P813" s="116">
        <v>276.75996513021698</v>
      </c>
      <c r="Q813" s="116">
        <v>275.5</v>
      </c>
      <c r="R813">
        <v>2190930</v>
      </c>
    </row>
    <row r="814" spans="1:18" x14ac:dyDescent="0.25">
      <c r="A814" s="170">
        <v>43201</v>
      </c>
      <c r="B814" s="116">
        <v>273.00633835322702</v>
      </c>
      <c r="C814" s="116">
        <v>270.93212232376999</v>
      </c>
      <c r="D814" s="116">
        <v>268.16650095116199</v>
      </c>
      <c r="E814" s="116">
        <v>270.833350131891</v>
      </c>
      <c r="F814" s="116">
        <v>274.3</v>
      </c>
      <c r="G814">
        <v>118699</v>
      </c>
      <c r="H814" s="116"/>
      <c r="I814" s="116"/>
      <c r="L814" s="170">
        <v>43201</v>
      </c>
      <c r="M814" s="116">
        <v>270.48792452144897</v>
      </c>
      <c r="N814" s="116">
        <v>272.95723184773499</v>
      </c>
      <c r="O814" s="116">
        <v>268.166775634739</v>
      </c>
      <c r="P814" s="116">
        <v>272.71030111510697</v>
      </c>
      <c r="Q814" s="116">
        <v>273.85000000000002</v>
      </c>
      <c r="R814">
        <v>1996390</v>
      </c>
    </row>
    <row r="815" spans="1:18" x14ac:dyDescent="0.25">
      <c r="A815" s="170">
        <v>43202</v>
      </c>
      <c r="B815" s="116">
        <v>274.290376847652</v>
      </c>
      <c r="C815" s="116">
        <v>269.94440040498102</v>
      </c>
      <c r="D815" s="116">
        <v>267.67263999176703</v>
      </c>
      <c r="E815" s="116">
        <v>273.54958540856097</v>
      </c>
      <c r="F815" s="116">
        <v>273.3</v>
      </c>
      <c r="G815">
        <v>154306</v>
      </c>
      <c r="H815" s="116"/>
      <c r="I815" s="116"/>
      <c r="L815" s="170">
        <v>43202</v>
      </c>
      <c r="M815" s="116">
        <v>270.48792452144897</v>
      </c>
      <c r="N815" s="116">
        <v>274.38943009698198</v>
      </c>
      <c r="O815" s="116">
        <v>268.314934074316</v>
      </c>
      <c r="P815" s="116">
        <v>270.537310667974</v>
      </c>
      <c r="Q815" s="116">
        <v>273.85000000000002</v>
      </c>
      <c r="R815">
        <v>2149205</v>
      </c>
    </row>
    <row r="816" spans="1:18" x14ac:dyDescent="0.25">
      <c r="A816" s="170">
        <v>43203</v>
      </c>
      <c r="B816" s="116">
        <v>273.59897150450001</v>
      </c>
      <c r="C816" s="116">
        <v>271.67291376286198</v>
      </c>
      <c r="D816" s="116">
        <v>268.66036191055599</v>
      </c>
      <c r="E816" s="116">
        <v>271.42598328316501</v>
      </c>
      <c r="F816" s="116">
        <v>275.05</v>
      </c>
      <c r="G816">
        <v>240360</v>
      </c>
      <c r="H816" s="116"/>
      <c r="I816" s="116"/>
      <c r="L816" s="170">
        <v>43203</v>
      </c>
      <c r="M816" s="116">
        <v>272.11766735679799</v>
      </c>
      <c r="N816" s="116">
        <v>273.94495477825001</v>
      </c>
      <c r="O816" s="116">
        <v>268.41370636736798</v>
      </c>
      <c r="P816" s="116">
        <v>270.63608296102598</v>
      </c>
      <c r="Q816" s="116">
        <v>275.5</v>
      </c>
      <c r="R816">
        <v>2196800</v>
      </c>
    </row>
    <row r="817" spans="1:18" x14ac:dyDescent="0.25">
      <c r="A817" s="170">
        <v>43206</v>
      </c>
      <c r="B817" s="116">
        <v>276.51275116492701</v>
      </c>
      <c r="C817" s="116">
        <v>275.969504109593</v>
      </c>
      <c r="D817" s="116">
        <v>269.25299506182898</v>
      </c>
      <c r="E817" s="116">
        <v>271.57414157098299</v>
      </c>
      <c r="F817" s="116">
        <v>279.39999999999998</v>
      </c>
      <c r="G817">
        <v>167076</v>
      </c>
      <c r="H817" s="116"/>
      <c r="I817" s="116"/>
      <c r="L817" s="170">
        <v>43206</v>
      </c>
      <c r="M817" s="116">
        <v>276.216717518434</v>
      </c>
      <c r="N817" s="116">
        <v>276.75996513021698</v>
      </c>
      <c r="O817" s="116">
        <v>269.20388471177898</v>
      </c>
      <c r="P817" s="116">
        <v>270.63608296102598</v>
      </c>
      <c r="Q817" s="116">
        <v>279.64999999999998</v>
      </c>
      <c r="R817">
        <v>3030999</v>
      </c>
    </row>
    <row r="818" spans="1:18" x14ac:dyDescent="0.25">
      <c r="A818" s="170">
        <v>43207</v>
      </c>
      <c r="B818" s="116">
        <v>281.797063430447</v>
      </c>
      <c r="C818" s="116">
        <v>276.66090945274499</v>
      </c>
      <c r="D818" s="116">
        <v>274.33976294359201</v>
      </c>
      <c r="E818" s="116">
        <v>277.64863137153401</v>
      </c>
      <c r="F818" s="116">
        <v>280.10000000000002</v>
      </c>
      <c r="G818">
        <v>650091</v>
      </c>
      <c r="H818" s="116"/>
      <c r="I818" s="116"/>
      <c r="L818" s="170">
        <v>43207</v>
      </c>
      <c r="M818" s="116">
        <v>277.50075732810302</v>
      </c>
      <c r="N818" s="116">
        <v>281.74796592931602</v>
      </c>
      <c r="O818" s="116">
        <v>274.09311321782701</v>
      </c>
      <c r="P818" s="116">
        <v>278.53786640514301</v>
      </c>
      <c r="Q818" s="116">
        <v>280.95</v>
      </c>
      <c r="R818">
        <v>5799262</v>
      </c>
    </row>
    <row r="819" spans="1:18" x14ac:dyDescent="0.25">
      <c r="A819" s="170">
        <v>43208</v>
      </c>
      <c r="B819" s="116">
        <v>283.87127945990397</v>
      </c>
      <c r="C819" s="116">
        <v>280.41425274414303</v>
      </c>
      <c r="D819" s="116">
        <v>276.068276301472</v>
      </c>
      <c r="E819" s="116">
        <v>278.53758109844398</v>
      </c>
      <c r="F819" s="116">
        <v>283.89999999999998</v>
      </c>
      <c r="G819">
        <v>404529</v>
      </c>
      <c r="H819" s="116"/>
      <c r="I819" s="116"/>
      <c r="L819" s="170">
        <v>43208</v>
      </c>
      <c r="M819" s="116">
        <v>280.612084559224</v>
      </c>
      <c r="N819" s="116">
        <v>283.92095637644798</v>
      </c>
      <c r="O819" s="116">
        <v>275.82162834622801</v>
      </c>
      <c r="P819" s="116">
        <v>278.83418328429798</v>
      </c>
      <c r="Q819" s="116">
        <v>284.10000000000002</v>
      </c>
      <c r="R819">
        <v>4719061</v>
      </c>
    </row>
    <row r="820" spans="1:18" x14ac:dyDescent="0.25">
      <c r="A820" s="170">
        <v>43209</v>
      </c>
      <c r="B820" s="116">
        <v>284.95777357057102</v>
      </c>
      <c r="C820" s="116">
        <v>282.58724096547797</v>
      </c>
      <c r="D820" s="116">
        <v>280.31548055226398</v>
      </c>
      <c r="E820" s="116">
        <v>282.982329732994</v>
      </c>
      <c r="F820" s="116">
        <v>286.10000000000002</v>
      </c>
      <c r="G820">
        <v>164098</v>
      </c>
      <c r="H820" s="116"/>
      <c r="I820" s="116"/>
      <c r="L820" s="170">
        <v>43209</v>
      </c>
      <c r="M820" s="116">
        <v>282.686302713305</v>
      </c>
      <c r="N820" s="116">
        <v>285.10622389306599</v>
      </c>
      <c r="O820" s="116">
        <v>280.118223093967</v>
      </c>
      <c r="P820" s="116">
        <v>282.488758127202</v>
      </c>
      <c r="Q820" s="116">
        <v>286.2</v>
      </c>
      <c r="R820">
        <v>2434183</v>
      </c>
    </row>
    <row r="821" spans="1:18" x14ac:dyDescent="0.25">
      <c r="A821" s="170">
        <v>43210</v>
      </c>
      <c r="B821" s="116">
        <v>285.15531795432901</v>
      </c>
      <c r="C821" s="116">
        <v>282.53785486953899</v>
      </c>
      <c r="D821" s="116">
        <v>280.56241103196101</v>
      </c>
      <c r="E821" s="116">
        <v>284.16759603553999</v>
      </c>
      <c r="F821" s="116">
        <v>286.05</v>
      </c>
      <c r="G821">
        <v>166923</v>
      </c>
      <c r="H821" s="116"/>
      <c r="I821" s="116"/>
      <c r="L821" s="170">
        <v>43210</v>
      </c>
      <c r="M821" s="116">
        <v>282.78507500635601</v>
      </c>
      <c r="N821" s="116">
        <v>285.25438233264299</v>
      </c>
      <c r="O821" s="116">
        <v>280.16760924049299</v>
      </c>
      <c r="P821" s="116">
        <v>282.43937198067601</v>
      </c>
      <c r="Q821" s="116">
        <v>286.3</v>
      </c>
      <c r="R821">
        <v>2523492</v>
      </c>
    </row>
    <row r="822" spans="1:18" x14ac:dyDescent="0.25">
      <c r="A822" s="170">
        <v>43213</v>
      </c>
      <c r="B822" s="116">
        <v>283.476190692388</v>
      </c>
      <c r="C822" s="116">
        <v>279.525303017233</v>
      </c>
      <c r="D822" s="116">
        <v>278.73512548220202</v>
      </c>
      <c r="E822" s="116">
        <v>282.43908267766</v>
      </c>
      <c r="F822" s="116">
        <v>283</v>
      </c>
      <c r="G822">
        <v>153116</v>
      </c>
      <c r="H822" s="116"/>
      <c r="I822" s="116"/>
      <c r="L822" s="170">
        <v>43213</v>
      </c>
      <c r="M822" s="116">
        <v>280.118223093967</v>
      </c>
      <c r="N822" s="116">
        <v>284.26665940212899</v>
      </c>
      <c r="O822" s="116">
        <v>279.17988630997797</v>
      </c>
      <c r="P822" s="116">
        <v>284.16788710907701</v>
      </c>
      <c r="Q822" s="116">
        <v>283.60000000000002</v>
      </c>
      <c r="R822">
        <v>1687369</v>
      </c>
    </row>
    <row r="823" spans="1:18" x14ac:dyDescent="0.25">
      <c r="A823" s="170">
        <v>43214</v>
      </c>
      <c r="B823" s="116">
        <v>284.16759603553999</v>
      </c>
      <c r="C823" s="116">
        <v>279.525303017233</v>
      </c>
      <c r="D823" s="116">
        <v>278.53758109844398</v>
      </c>
      <c r="E823" s="116">
        <v>280.80934151165798</v>
      </c>
      <c r="F823" s="116">
        <v>283</v>
      </c>
      <c r="G823">
        <v>123795</v>
      </c>
      <c r="H823" s="116"/>
      <c r="I823" s="116"/>
      <c r="L823" s="170">
        <v>43214</v>
      </c>
      <c r="M823" s="116">
        <v>279.67374777523497</v>
      </c>
      <c r="N823" s="116">
        <v>284.46420398823102</v>
      </c>
      <c r="O823" s="116">
        <v>278.34032181904001</v>
      </c>
      <c r="P823" s="116">
        <v>279.52558933565803</v>
      </c>
      <c r="Q823" s="116">
        <v>283.14999999999998</v>
      </c>
      <c r="R823">
        <v>2131466</v>
      </c>
    </row>
    <row r="824" spans="1:18" x14ac:dyDescent="0.25">
      <c r="A824" s="170">
        <v>43215</v>
      </c>
      <c r="B824" s="116">
        <v>287.08137569596698</v>
      </c>
      <c r="C824" s="116">
        <v>285.64917891372301</v>
      </c>
      <c r="D824" s="116">
        <v>278.73512548220202</v>
      </c>
      <c r="E824" s="116">
        <v>279.525303017233</v>
      </c>
      <c r="F824" s="116">
        <v>289.2</v>
      </c>
      <c r="G824">
        <v>266812</v>
      </c>
      <c r="H824" s="116"/>
      <c r="I824" s="116"/>
      <c r="L824" s="170">
        <v>43215</v>
      </c>
      <c r="M824" s="116">
        <v>285.55069921179802</v>
      </c>
      <c r="N824" s="116">
        <v>287.67430351240398</v>
      </c>
      <c r="O824" s="116">
        <v>278.587252551669</v>
      </c>
      <c r="P824" s="116">
        <v>279.57497548218402</v>
      </c>
      <c r="Q824" s="116">
        <v>289.10000000000002</v>
      </c>
      <c r="R824">
        <v>4804882</v>
      </c>
    </row>
    <row r="825" spans="1:18" x14ac:dyDescent="0.25">
      <c r="A825" s="170">
        <v>43216</v>
      </c>
      <c r="B825" s="116">
        <v>289.89638316451499</v>
      </c>
      <c r="C825" s="116">
        <v>287.32830617566401</v>
      </c>
      <c r="D825" s="116">
        <v>285.69856500966301</v>
      </c>
      <c r="E825" s="116">
        <v>289.204977821363</v>
      </c>
      <c r="F825" s="116">
        <v>290.89999999999998</v>
      </c>
      <c r="G825">
        <v>225750</v>
      </c>
      <c r="H825" s="116"/>
      <c r="I825" s="116"/>
      <c r="L825" s="170">
        <v>43216</v>
      </c>
      <c r="M825" s="116">
        <v>287.62491736587799</v>
      </c>
      <c r="N825" s="116">
        <v>290.04483854563898</v>
      </c>
      <c r="O825" s="116">
        <v>285.204996186117</v>
      </c>
      <c r="P825" s="116">
        <v>288.90895717554798</v>
      </c>
      <c r="Q825" s="116">
        <v>291.2</v>
      </c>
      <c r="R825">
        <v>4942803</v>
      </c>
    </row>
    <row r="826" spans="1:18" x14ac:dyDescent="0.25">
      <c r="A826" s="170">
        <v>43217</v>
      </c>
      <c r="B826" s="116">
        <v>290.43963021984899</v>
      </c>
      <c r="C826" s="116">
        <v>288.01971151881702</v>
      </c>
      <c r="D826" s="116">
        <v>286.98260350408799</v>
      </c>
      <c r="E826" s="116">
        <v>290.34085802797</v>
      </c>
      <c r="F826" s="116">
        <v>291.60000000000002</v>
      </c>
      <c r="G826">
        <v>235747</v>
      </c>
      <c r="H826" s="116"/>
      <c r="I826" s="116"/>
      <c r="L826" s="170">
        <v>43217</v>
      </c>
      <c r="M826" s="116">
        <v>288.513868003342</v>
      </c>
      <c r="N826" s="116">
        <v>290.78563074352502</v>
      </c>
      <c r="O826" s="116">
        <v>287.47675892630099</v>
      </c>
      <c r="P826" s="116">
        <v>289.84729395953701</v>
      </c>
      <c r="Q826" s="116">
        <v>292.10000000000002</v>
      </c>
      <c r="R826">
        <v>1858644</v>
      </c>
    </row>
    <row r="827" spans="1:18" x14ac:dyDescent="0.25">
      <c r="A827" s="170">
        <v>43220</v>
      </c>
      <c r="B827" s="116">
        <v>295.23008152597498</v>
      </c>
      <c r="C827" s="116">
        <v>293.94604303154898</v>
      </c>
      <c r="D827" s="116">
        <v>288.41480028633202</v>
      </c>
      <c r="E827" s="116">
        <v>290.88410508330401</v>
      </c>
      <c r="F827" s="116">
        <v>297.60000000000002</v>
      </c>
      <c r="G827">
        <v>295801</v>
      </c>
      <c r="H827" s="116"/>
      <c r="I827" s="116"/>
      <c r="L827" s="170">
        <v>43220</v>
      </c>
      <c r="M827" s="116">
        <v>293.89695797464702</v>
      </c>
      <c r="N827" s="116">
        <v>294.835294758636</v>
      </c>
      <c r="O827" s="116">
        <v>288.46448185681601</v>
      </c>
      <c r="P827" s="116">
        <v>290.29176927826802</v>
      </c>
      <c r="Q827" s="116">
        <v>297.55</v>
      </c>
      <c r="R827">
        <v>3046154</v>
      </c>
    </row>
    <row r="828" spans="1:18" x14ac:dyDescent="0.25">
      <c r="A828" s="170">
        <v>43222</v>
      </c>
      <c r="B828" s="116">
        <v>296.11903125288501</v>
      </c>
      <c r="C828" s="116">
        <v>288.661730766029</v>
      </c>
      <c r="D828" s="116">
        <v>285.896109393421</v>
      </c>
      <c r="E828" s="116">
        <v>292.85954892088199</v>
      </c>
      <c r="F828" s="116">
        <v>292.25</v>
      </c>
      <c r="G828">
        <v>197124</v>
      </c>
      <c r="H828" s="116"/>
      <c r="I828" s="116"/>
      <c r="L828" s="170">
        <v>43222</v>
      </c>
      <c r="M828" s="116">
        <v>289.155887908176</v>
      </c>
      <c r="N828" s="116">
        <v>296.31687915440801</v>
      </c>
      <c r="O828" s="116">
        <v>285.84701609095202</v>
      </c>
      <c r="P828" s="116">
        <v>293.74879953507002</v>
      </c>
      <c r="Q828" s="116">
        <v>292.75</v>
      </c>
      <c r="R828">
        <v>1857277</v>
      </c>
    </row>
    <row r="829" spans="1:18" x14ac:dyDescent="0.25">
      <c r="A829" s="170">
        <v>43223</v>
      </c>
      <c r="B829" s="116">
        <v>289.40252220512099</v>
      </c>
      <c r="C829" s="116">
        <v>283.62434898020598</v>
      </c>
      <c r="D829" s="116">
        <v>279.96977788068801</v>
      </c>
      <c r="E829" s="116">
        <v>289.40252220512099</v>
      </c>
      <c r="F829" s="116">
        <v>287.14999999999998</v>
      </c>
      <c r="G829">
        <v>237035</v>
      </c>
      <c r="H829" s="116"/>
      <c r="I829" s="116"/>
      <c r="L829" s="170">
        <v>43223</v>
      </c>
      <c r="M829" s="116">
        <v>283.13077803203697</v>
      </c>
      <c r="N829" s="116">
        <v>289.155887908176</v>
      </c>
      <c r="O829" s="116">
        <v>279.62436162870898</v>
      </c>
      <c r="P829" s="116">
        <v>289.155887908176</v>
      </c>
      <c r="Q829" s="116">
        <v>286.64999999999998</v>
      </c>
      <c r="R829">
        <v>2561225</v>
      </c>
    </row>
    <row r="830" spans="1:18" x14ac:dyDescent="0.25">
      <c r="A830" s="170">
        <v>43224</v>
      </c>
      <c r="B830" s="116">
        <v>287.427078367543</v>
      </c>
      <c r="C830" s="116">
        <v>284.26636822741898</v>
      </c>
      <c r="D830" s="116">
        <v>279.13021424971703</v>
      </c>
      <c r="E830" s="116">
        <v>284.16759603553999</v>
      </c>
      <c r="F830" s="116">
        <v>287.8</v>
      </c>
      <c r="G830">
        <v>123673</v>
      </c>
      <c r="H830" s="116"/>
      <c r="I830" s="116"/>
      <c r="L830" s="170">
        <v>43224</v>
      </c>
      <c r="M830" s="116">
        <v>284.26665940212899</v>
      </c>
      <c r="N830" s="116">
        <v>287.92123424503302</v>
      </c>
      <c r="O830" s="116">
        <v>278.83418328429798</v>
      </c>
      <c r="P830" s="116">
        <v>283.52586720424301</v>
      </c>
      <c r="Q830" s="116">
        <v>287.8</v>
      </c>
      <c r="R830">
        <v>1399442</v>
      </c>
    </row>
    <row r="831" spans="1:18" x14ac:dyDescent="0.25">
      <c r="A831" s="170">
        <v>43227</v>
      </c>
      <c r="B831" s="116">
        <v>292.71139063306401</v>
      </c>
      <c r="C831" s="116">
        <v>290.88410508330401</v>
      </c>
      <c r="D831" s="116">
        <v>283.77250726802498</v>
      </c>
      <c r="E831" s="116">
        <v>285.10593185839002</v>
      </c>
      <c r="F831" s="116">
        <v>294.5</v>
      </c>
      <c r="G831">
        <v>168153</v>
      </c>
      <c r="H831" s="116"/>
      <c r="I831" s="116"/>
      <c r="L831" s="170">
        <v>43227</v>
      </c>
      <c r="M831" s="116">
        <v>290.58808615742299</v>
      </c>
      <c r="N831" s="116">
        <v>291.87212596709202</v>
      </c>
      <c r="O831" s="116">
        <v>283.47648105771702</v>
      </c>
      <c r="P831" s="116">
        <v>285.25438233264299</v>
      </c>
      <c r="Q831" s="116">
        <v>294.2</v>
      </c>
      <c r="R831">
        <v>1848551</v>
      </c>
    </row>
    <row r="832" spans="1:18" x14ac:dyDescent="0.25">
      <c r="A832" s="170">
        <v>43228</v>
      </c>
      <c r="B832" s="116">
        <v>292.36568796148703</v>
      </c>
      <c r="C832" s="116">
        <v>286.53812864063298</v>
      </c>
      <c r="D832" s="116">
        <v>283.92066555584302</v>
      </c>
      <c r="E832" s="116">
        <v>292.36568796148703</v>
      </c>
      <c r="F832" s="116">
        <v>290.10000000000002</v>
      </c>
      <c r="G832">
        <v>162272</v>
      </c>
      <c r="H832" s="116"/>
      <c r="I832" s="116"/>
      <c r="L832" s="170">
        <v>43228</v>
      </c>
      <c r="M832" s="116">
        <v>286.14333297010597</v>
      </c>
      <c r="N832" s="116">
        <v>292.56353201845201</v>
      </c>
      <c r="O832" s="116">
        <v>283.72341179034498</v>
      </c>
      <c r="P832" s="116">
        <v>292.36598743234902</v>
      </c>
      <c r="Q832" s="116">
        <v>289.7</v>
      </c>
      <c r="R832">
        <v>1720983</v>
      </c>
    </row>
    <row r="833" spans="1:18" x14ac:dyDescent="0.25">
      <c r="A833" s="170">
        <v>43229</v>
      </c>
      <c r="B833" s="116">
        <v>290.78533289142501</v>
      </c>
      <c r="C833" s="116">
        <v>288.41480028633202</v>
      </c>
      <c r="D833" s="116">
        <v>283.476190692388</v>
      </c>
      <c r="E833" s="116">
        <v>286.53812864063298</v>
      </c>
      <c r="F833" s="116">
        <v>292</v>
      </c>
      <c r="G833">
        <v>191530</v>
      </c>
      <c r="H833" s="116"/>
      <c r="I833" s="116"/>
      <c r="L833" s="170">
        <v>43229</v>
      </c>
      <c r="M833" s="116">
        <v>288.41509571029002</v>
      </c>
      <c r="N833" s="116">
        <v>290.736244597</v>
      </c>
      <c r="O833" s="116">
        <v>285.05683774654</v>
      </c>
      <c r="P833" s="116">
        <v>286.04456067705502</v>
      </c>
      <c r="Q833" s="116">
        <v>292</v>
      </c>
      <c r="R833">
        <v>1820409</v>
      </c>
    </row>
    <row r="834" spans="1:18" x14ac:dyDescent="0.25">
      <c r="A834" s="170">
        <v>43230</v>
      </c>
      <c r="B834" s="116">
        <v>289.10620562948401</v>
      </c>
      <c r="C834" s="116">
        <v>281.99460781420498</v>
      </c>
      <c r="D834" s="116">
        <v>280.85872760759798</v>
      </c>
      <c r="E834" s="116">
        <v>288.61234467009001</v>
      </c>
      <c r="F834" s="116">
        <v>285.5</v>
      </c>
      <c r="G834">
        <v>137904</v>
      </c>
      <c r="H834" s="116"/>
      <c r="I834" s="116"/>
      <c r="L834" s="170">
        <v>43230</v>
      </c>
      <c r="M834" s="116">
        <v>281.74796592931602</v>
      </c>
      <c r="N834" s="116">
        <v>289.40281864080498</v>
      </c>
      <c r="O834" s="116">
        <v>279.97006465439</v>
      </c>
      <c r="P834" s="116">
        <v>289.35343249427899</v>
      </c>
      <c r="Q834" s="116">
        <v>285.25</v>
      </c>
      <c r="R834">
        <v>1446384</v>
      </c>
    </row>
    <row r="835" spans="1:18" x14ac:dyDescent="0.25">
      <c r="A835" s="170">
        <v>43231</v>
      </c>
      <c r="B835" s="116">
        <v>286.58751473657298</v>
      </c>
      <c r="C835" s="116">
        <v>283.77250726802498</v>
      </c>
      <c r="D835" s="116">
        <v>281.50074685481002</v>
      </c>
      <c r="E835" s="116">
        <v>281.59951904668901</v>
      </c>
      <c r="F835" s="116">
        <v>287.3</v>
      </c>
      <c r="G835">
        <v>161301</v>
      </c>
      <c r="H835" s="116"/>
      <c r="I835" s="116"/>
      <c r="L835" s="170">
        <v>43231</v>
      </c>
      <c r="M835" s="116">
        <v>283.97034252297402</v>
      </c>
      <c r="N835" s="116">
        <v>286.933511314518</v>
      </c>
      <c r="O835" s="116">
        <v>280.90840143837897</v>
      </c>
      <c r="P835" s="116">
        <v>280.90840143837897</v>
      </c>
      <c r="Q835" s="116">
        <v>287.5</v>
      </c>
      <c r="R835">
        <v>1974327</v>
      </c>
    </row>
    <row r="836" spans="1:18" x14ac:dyDescent="0.25">
      <c r="A836" s="170">
        <v>43234</v>
      </c>
      <c r="B836" s="116">
        <v>283.42680459644902</v>
      </c>
      <c r="C836" s="116">
        <v>252.165405866783</v>
      </c>
      <c r="D836" s="116">
        <v>248.65899305508299</v>
      </c>
      <c r="E836" s="116">
        <v>283.42680459644902</v>
      </c>
      <c r="F836" s="116">
        <v>255.3</v>
      </c>
      <c r="G836">
        <v>1470490</v>
      </c>
      <c r="H836" s="116"/>
      <c r="I836" s="116"/>
      <c r="L836" s="170">
        <v>43234</v>
      </c>
      <c r="M836" s="116">
        <v>252.75829791871001</v>
      </c>
      <c r="N836" s="116">
        <v>277.89584650030901</v>
      </c>
      <c r="O836" s="116">
        <v>248.758020050125</v>
      </c>
      <c r="P836" s="116">
        <v>276.56242054411399</v>
      </c>
      <c r="Q836" s="116">
        <v>255.9</v>
      </c>
      <c r="R836">
        <v>16822847</v>
      </c>
    </row>
    <row r="837" spans="1:18" x14ac:dyDescent="0.25">
      <c r="A837" s="170">
        <v>43235</v>
      </c>
      <c r="B837" s="116">
        <v>256.31383792569602</v>
      </c>
      <c r="C837" s="116">
        <v>239.47317921034701</v>
      </c>
      <c r="D837" s="116">
        <v>238.04098242810301</v>
      </c>
      <c r="E837" s="116">
        <v>254.58532456781501</v>
      </c>
      <c r="F837" s="116">
        <v>242.45</v>
      </c>
      <c r="G837">
        <v>929587</v>
      </c>
      <c r="H837" s="116"/>
      <c r="I837" s="116"/>
      <c r="L837" s="170">
        <v>43235</v>
      </c>
      <c r="M837" s="116">
        <v>239.67096908939001</v>
      </c>
      <c r="N837" s="116">
        <v>256.31410046856303</v>
      </c>
      <c r="O837" s="116">
        <v>237.79429552141201</v>
      </c>
      <c r="P837" s="116">
        <v>253.301545530493</v>
      </c>
      <c r="Q837" s="116">
        <v>242.65</v>
      </c>
      <c r="R837">
        <v>9298329</v>
      </c>
    </row>
    <row r="838" spans="1:18" x14ac:dyDescent="0.25">
      <c r="A838" s="170">
        <v>43236</v>
      </c>
      <c r="B838" s="116">
        <v>242.78204763828899</v>
      </c>
      <c r="C838" s="116">
        <v>238.386685099679</v>
      </c>
      <c r="D838" s="116">
        <v>234.78150009609999</v>
      </c>
      <c r="E838" s="116">
        <v>237.05326050931399</v>
      </c>
      <c r="F838" s="116">
        <v>241.35</v>
      </c>
      <c r="G838">
        <v>492352</v>
      </c>
      <c r="H838" s="116"/>
      <c r="I838" s="116"/>
      <c r="L838" s="170">
        <v>43236</v>
      </c>
      <c r="M838" s="116">
        <v>238.13999854709201</v>
      </c>
      <c r="N838" s="116">
        <v>242.584751734408</v>
      </c>
      <c r="O838" s="116">
        <v>234.33726526461101</v>
      </c>
      <c r="P838" s="116">
        <v>237.053503323526</v>
      </c>
      <c r="Q838" s="116">
        <v>241.1</v>
      </c>
      <c r="R838">
        <v>6328483</v>
      </c>
    </row>
    <row r="839" spans="1:18" x14ac:dyDescent="0.25">
      <c r="A839" s="170">
        <v>43237</v>
      </c>
      <c r="B839" s="116">
        <v>246.140302162171</v>
      </c>
      <c r="C839" s="116">
        <v>243.91792784489601</v>
      </c>
      <c r="D839" s="116">
        <v>240.164584553499</v>
      </c>
      <c r="E839" s="116">
        <v>241.99187010325801</v>
      </c>
      <c r="F839" s="116">
        <v>246.95</v>
      </c>
      <c r="G839">
        <v>410123</v>
      </c>
      <c r="H839" s="116"/>
      <c r="I839" s="116"/>
      <c r="L839" s="170">
        <v>43237</v>
      </c>
      <c r="M839" s="116">
        <v>244.461425302386</v>
      </c>
      <c r="N839" s="116">
        <v>246.23932657731299</v>
      </c>
      <c r="O839" s="116">
        <v>239.52281064981301</v>
      </c>
      <c r="P839" s="116">
        <v>240.510533580328</v>
      </c>
      <c r="Q839" s="116">
        <v>247.5</v>
      </c>
      <c r="R839">
        <v>7108750</v>
      </c>
    </row>
    <row r="840" spans="1:18" x14ac:dyDescent="0.25">
      <c r="A840" s="170">
        <v>43238</v>
      </c>
      <c r="B840" s="116">
        <v>245.94275777841301</v>
      </c>
      <c r="C840" s="116">
        <v>241.84371181544</v>
      </c>
      <c r="D840" s="116">
        <v>240.11519845755899</v>
      </c>
      <c r="E840" s="116">
        <v>245.94275777841301</v>
      </c>
      <c r="F840" s="116">
        <v>244.85</v>
      </c>
      <c r="G840">
        <v>155716</v>
      </c>
      <c r="H840" s="116"/>
      <c r="I840" s="116"/>
      <c r="L840" s="170">
        <v>43238</v>
      </c>
      <c r="M840" s="116">
        <v>241.69580109694499</v>
      </c>
      <c r="N840" s="116">
        <v>245.893623551633</v>
      </c>
      <c r="O840" s="116">
        <v>240.36237514075</v>
      </c>
      <c r="P840" s="116">
        <v>245.251603646798</v>
      </c>
      <c r="Q840" s="116">
        <v>244.7</v>
      </c>
      <c r="R840">
        <v>3297714</v>
      </c>
    </row>
    <row r="841" spans="1:18" x14ac:dyDescent="0.25">
      <c r="A841" s="170">
        <v>43241</v>
      </c>
      <c r="B841" s="116">
        <v>244.95503585962501</v>
      </c>
      <c r="C841" s="116">
        <v>240.01642626568099</v>
      </c>
      <c r="D841" s="116">
        <v>237.20141879713199</v>
      </c>
      <c r="E841" s="116">
        <v>242.23880058295501</v>
      </c>
      <c r="F841" s="116">
        <v>243</v>
      </c>
      <c r="G841">
        <v>208834</v>
      </c>
      <c r="H841" s="116"/>
      <c r="I841" s="116"/>
      <c r="L841" s="170">
        <v>43241</v>
      </c>
      <c r="M841" s="116">
        <v>240.559919726853</v>
      </c>
      <c r="N841" s="116">
        <v>245.30098979332399</v>
      </c>
      <c r="O841" s="116">
        <v>237.59675093530899</v>
      </c>
      <c r="P841" s="116">
        <v>241.10316733863601</v>
      </c>
      <c r="Q841" s="116">
        <v>243.55</v>
      </c>
      <c r="R841">
        <v>3180360</v>
      </c>
    </row>
    <row r="842" spans="1:18" x14ac:dyDescent="0.25">
      <c r="A842" s="170">
        <v>43242</v>
      </c>
      <c r="B842" s="116">
        <v>247.572498944415</v>
      </c>
      <c r="C842" s="116">
        <v>243.27590859768401</v>
      </c>
      <c r="D842" s="116">
        <v>240.559673321014</v>
      </c>
      <c r="E842" s="116">
        <v>240.559673321014</v>
      </c>
      <c r="F842" s="116">
        <v>246.3</v>
      </c>
      <c r="G842">
        <v>255317</v>
      </c>
      <c r="H842" s="116"/>
      <c r="I842" s="116"/>
      <c r="L842" s="170">
        <v>43242</v>
      </c>
      <c r="M842" s="116">
        <v>244.11572227670601</v>
      </c>
      <c r="N842" s="116">
        <v>248.01722785223899</v>
      </c>
      <c r="O842" s="116">
        <v>241.004395045585</v>
      </c>
      <c r="P842" s="116">
        <v>241.004395045585</v>
      </c>
      <c r="Q842" s="116">
        <v>247.15</v>
      </c>
      <c r="R842">
        <v>3175432</v>
      </c>
    </row>
    <row r="843" spans="1:18" x14ac:dyDescent="0.25">
      <c r="A843" s="170">
        <v>43243</v>
      </c>
      <c r="B843" s="116">
        <v>248.80715134290099</v>
      </c>
      <c r="C843" s="116">
        <v>246.09091606623201</v>
      </c>
      <c r="D843" s="116">
        <v>241.79432571949999</v>
      </c>
      <c r="E843" s="116">
        <v>241.79432571949999</v>
      </c>
      <c r="F843" s="116">
        <v>249.15</v>
      </c>
      <c r="G843">
        <v>185447</v>
      </c>
      <c r="H843" s="116"/>
      <c r="I843" s="116"/>
      <c r="L843" s="170">
        <v>43243</v>
      </c>
      <c r="M843" s="116">
        <v>247.12827721477601</v>
      </c>
      <c r="N843" s="116">
        <v>249.25188151538299</v>
      </c>
      <c r="O843" s="116">
        <v>242.53536558788301</v>
      </c>
      <c r="P843" s="116">
        <v>243.47370237187201</v>
      </c>
      <c r="Q843" s="116">
        <v>250.2</v>
      </c>
      <c r="R843">
        <v>4295785</v>
      </c>
    </row>
    <row r="844" spans="1:18" x14ac:dyDescent="0.25">
      <c r="A844" s="170">
        <v>43244</v>
      </c>
      <c r="B844" s="116">
        <v>251.57277271551001</v>
      </c>
      <c r="C844" s="116">
        <v>250.58505079672099</v>
      </c>
      <c r="D844" s="116">
        <v>244.41178880429101</v>
      </c>
      <c r="E844" s="116">
        <v>246.930479697202</v>
      </c>
      <c r="F844" s="116">
        <v>253.7</v>
      </c>
      <c r="G844">
        <v>176310</v>
      </c>
      <c r="H844" s="116"/>
      <c r="I844" s="116"/>
      <c r="L844" s="170">
        <v>43244</v>
      </c>
      <c r="M844" s="116">
        <v>251.37548581598901</v>
      </c>
      <c r="N844" s="116">
        <v>252.363208746504</v>
      </c>
      <c r="O844" s="116">
        <v>244.26388071628301</v>
      </c>
      <c r="P844" s="116">
        <v>247.918455559188</v>
      </c>
      <c r="Q844" s="116">
        <v>254.5</v>
      </c>
      <c r="R844">
        <v>2921253</v>
      </c>
    </row>
    <row r="845" spans="1:18" x14ac:dyDescent="0.25">
      <c r="A845" s="170">
        <v>43245</v>
      </c>
      <c r="B845" s="116">
        <v>255.573046486604</v>
      </c>
      <c r="C845" s="116">
        <v>253.84453312872401</v>
      </c>
      <c r="D845" s="116">
        <v>249.64671497387101</v>
      </c>
      <c r="E845" s="116">
        <v>250.58505079672099</v>
      </c>
      <c r="F845" s="116">
        <v>257</v>
      </c>
      <c r="G845">
        <v>149494</v>
      </c>
      <c r="H845" s="116"/>
      <c r="I845" s="116"/>
      <c r="L845" s="170">
        <v>43245</v>
      </c>
      <c r="M845" s="116">
        <v>254.68435763321301</v>
      </c>
      <c r="N845" s="116">
        <v>256.21532817551099</v>
      </c>
      <c r="O845" s="116">
        <v>249.10372307580499</v>
      </c>
      <c r="P845" s="116">
        <v>249.10372307580499</v>
      </c>
      <c r="Q845" s="116">
        <v>257.85000000000002</v>
      </c>
      <c r="R845">
        <v>2071496</v>
      </c>
    </row>
    <row r="846" spans="1:18" x14ac:dyDescent="0.25">
      <c r="A846" s="170">
        <v>43248</v>
      </c>
      <c r="B846" s="116">
        <v>258.783142722668</v>
      </c>
      <c r="C846" s="116">
        <v>257.15340155666598</v>
      </c>
      <c r="D846" s="116">
        <v>252.21479196272199</v>
      </c>
      <c r="E846" s="116">
        <v>253.795147032784</v>
      </c>
      <c r="F846" s="116">
        <v>260.35000000000002</v>
      </c>
      <c r="G846">
        <v>183484</v>
      </c>
      <c r="H846" s="116"/>
      <c r="I846" s="116"/>
      <c r="L846" s="170">
        <v>43248</v>
      </c>
      <c r="M846" s="116">
        <v>257.44998183865499</v>
      </c>
      <c r="N846" s="116">
        <v>258.98095238095198</v>
      </c>
      <c r="O846" s="116">
        <v>251.52364425556601</v>
      </c>
      <c r="P846" s="116">
        <v>251.573030402092</v>
      </c>
      <c r="Q846" s="116">
        <v>260.64999999999998</v>
      </c>
      <c r="R846">
        <v>2649349</v>
      </c>
    </row>
    <row r="847" spans="1:18" x14ac:dyDescent="0.25">
      <c r="A847" s="170">
        <v>43249</v>
      </c>
      <c r="B847" s="116">
        <v>259.277003682062</v>
      </c>
      <c r="C847" s="116">
        <v>253.943305320603</v>
      </c>
      <c r="D847" s="116">
        <v>253.400058265269</v>
      </c>
      <c r="E847" s="116">
        <v>256.11629354193798</v>
      </c>
      <c r="F847" s="116">
        <v>257.10000000000002</v>
      </c>
      <c r="G847">
        <v>167055</v>
      </c>
      <c r="H847" s="116"/>
      <c r="I847" s="116"/>
      <c r="L847" s="170">
        <v>43249</v>
      </c>
      <c r="M847" s="116">
        <v>254.33865460753299</v>
      </c>
      <c r="N847" s="116">
        <v>259.47481384621</v>
      </c>
      <c r="O847" s="116">
        <v>253.84479314227599</v>
      </c>
      <c r="P847" s="116">
        <v>254.239882314482</v>
      </c>
      <c r="Q847" s="116">
        <v>257.5</v>
      </c>
      <c r="R847">
        <v>2235734</v>
      </c>
    </row>
    <row r="848" spans="1:18" x14ac:dyDescent="0.25">
      <c r="A848" s="170">
        <v>43250</v>
      </c>
      <c r="B848" s="116">
        <v>262.58587211000503</v>
      </c>
      <c r="C848" s="116">
        <v>261.30183361557903</v>
      </c>
      <c r="D848" s="116">
        <v>251.375228331752</v>
      </c>
      <c r="E848" s="116">
        <v>252.85681120993499</v>
      </c>
      <c r="F848" s="116">
        <v>264.55</v>
      </c>
      <c r="G848">
        <v>254425</v>
      </c>
      <c r="H848" s="116"/>
      <c r="I848" s="116"/>
      <c r="L848" s="170">
        <v>43250</v>
      </c>
      <c r="M848" s="116">
        <v>261.25271512113602</v>
      </c>
      <c r="N848" s="116">
        <v>262.73429951690798</v>
      </c>
      <c r="O848" s="116">
        <v>250.09144600632001</v>
      </c>
      <c r="P848" s="116">
        <v>250.88162435073201</v>
      </c>
      <c r="Q848" s="116">
        <v>264.5</v>
      </c>
      <c r="R848">
        <v>4154146</v>
      </c>
    </row>
    <row r="849" spans="1:18" x14ac:dyDescent="0.25">
      <c r="A849" s="170">
        <v>43251</v>
      </c>
      <c r="B849" s="116">
        <v>266.68491807297801</v>
      </c>
      <c r="C849" s="116">
        <v>264.80824642727998</v>
      </c>
      <c r="D849" s="116">
        <v>257.79542080387898</v>
      </c>
      <c r="E849" s="116">
        <v>262.98096087751998</v>
      </c>
      <c r="F849" s="116">
        <v>268.10000000000002</v>
      </c>
      <c r="G849">
        <v>206652</v>
      </c>
      <c r="H849" s="116"/>
      <c r="I849" s="116"/>
      <c r="L849" s="170">
        <v>43251</v>
      </c>
      <c r="M849" s="116">
        <v>265.89501289455501</v>
      </c>
      <c r="N849" s="116">
        <v>268.66063709999599</v>
      </c>
      <c r="O849" s="116">
        <v>257.49936798518002</v>
      </c>
      <c r="P849" s="116">
        <v>263.722022447423</v>
      </c>
      <c r="Q849" s="116">
        <v>269.2</v>
      </c>
      <c r="R849">
        <v>3469905</v>
      </c>
    </row>
    <row r="850" spans="1:18" x14ac:dyDescent="0.25">
      <c r="A850" s="170">
        <v>43252</v>
      </c>
      <c r="B850" s="116">
        <v>266.68491807297801</v>
      </c>
      <c r="C850" s="116">
        <v>260.11656731303299</v>
      </c>
      <c r="D850" s="116">
        <v>255.819976966301</v>
      </c>
      <c r="E850" s="116">
        <v>266.68491807297801</v>
      </c>
      <c r="F850" s="116">
        <v>263.35000000000002</v>
      </c>
      <c r="G850">
        <v>130090</v>
      </c>
      <c r="H850" s="116"/>
      <c r="I850" s="116"/>
      <c r="L850" s="170">
        <v>43252</v>
      </c>
      <c r="M850" s="116">
        <v>260.01806145799299</v>
      </c>
      <c r="N850" s="116">
        <v>266.38887435981297</v>
      </c>
      <c r="O850" s="116">
        <v>255.375763684574</v>
      </c>
      <c r="P850" s="116">
        <v>266.38887435981297</v>
      </c>
      <c r="Q850" s="116">
        <v>263.25</v>
      </c>
      <c r="R850">
        <v>2622839</v>
      </c>
    </row>
    <row r="851" spans="1:18" x14ac:dyDescent="0.25">
      <c r="A851" s="170">
        <v>43255</v>
      </c>
      <c r="B851" s="116">
        <v>261.84508067091298</v>
      </c>
      <c r="C851" s="116">
        <v>252.46172244242001</v>
      </c>
      <c r="D851" s="116">
        <v>250.68382298860001</v>
      </c>
      <c r="E851" s="116">
        <v>260.412883888669</v>
      </c>
      <c r="F851" s="116">
        <v>255.6</v>
      </c>
      <c r="G851">
        <v>138669</v>
      </c>
      <c r="H851" s="116"/>
      <c r="I851" s="116"/>
      <c r="L851" s="170">
        <v>43255</v>
      </c>
      <c r="M851" s="116">
        <v>252.11627801387499</v>
      </c>
      <c r="N851" s="116">
        <v>262.141665758599</v>
      </c>
      <c r="O851" s="116">
        <v>250.38776288547501</v>
      </c>
      <c r="P851" s="116">
        <v>261.74657658639399</v>
      </c>
      <c r="Q851" s="116">
        <v>255.25</v>
      </c>
      <c r="R851">
        <v>1819147</v>
      </c>
    </row>
    <row r="852" spans="1:18" x14ac:dyDescent="0.25">
      <c r="A852" s="170">
        <v>43256</v>
      </c>
      <c r="B852" s="116">
        <v>260.80797265618497</v>
      </c>
      <c r="C852" s="116">
        <v>259.86963683333602</v>
      </c>
      <c r="D852" s="116">
        <v>251.869089291146</v>
      </c>
      <c r="E852" s="116">
        <v>252.36295025054099</v>
      </c>
      <c r="F852" s="116">
        <v>263.10000000000002</v>
      </c>
      <c r="G852">
        <v>224985</v>
      </c>
      <c r="H852" s="116"/>
      <c r="I852" s="116"/>
      <c r="L852" s="170">
        <v>43256</v>
      </c>
      <c r="M852" s="116">
        <v>260.51192292324998</v>
      </c>
      <c r="N852" s="116">
        <v>261.45025970723901</v>
      </c>
      <c r="O852" s="116">
        <v>251.67180269514401</v>
      </c>
      <c r="P852" s="116">
        <v>252.363208746504</v>
      </c>
      <c r="Q852" s="116">
        <v>263.75</v>
      </c>
      <c r="R852">
        <v>4208120</v>
      </c>
    </row>
    <row r="853" spans="1:18" x14ac:dyDescent="0.25">
      <c r="A853" s="170">
        <v>43257</v>
      </c>
      <c r="B853" s="116">
        <v>262.73403039782301</v>
      </c>
      <c r="C853" s="116">
        <v>261.696922383095</v>
      </c>
      <c r="D853" s="116">
        <v>257.35094594042403</v>
      </c>
      <c r="E853" s="116">
        <v>260.31411169679097</v>
      </c>
      <c r="F853" s="116">
        <v>264.95</v>
      </c>
      <c r="G853">
        <v>137482</v>
      </c>
      <c r="H853" s="116"/>
      <c r="I853" s="116"/>
      <c r="L853" s="170">
        <v>43257</v>
      </c>
      <c r="M853" s="116">
        <v>262.48736878428002</v>
      </c>
      <c r="N853" s="116">
        <v>263.42570556826797</v>
      </c>
      <c r="O853" s="116">
        <v>257.15366495950002</v>
      </c>
      <c r="P853" s="116">
        <v>259.52419999273502</v>
      </c>
      <c r="Q853" s="116">
        <v>265.75</v>
      </c>
      <c r="R853">
        <v>2052017</v>
      </c>
    </row>
    <row r="854" spans="1:18" x14ac:dyDescent="0.25">
      <c r="A854" s="170">
        <v>43258</v>
      </c>
      <c r="B854" s="116">
        <v>265.89474053794697</v>
      </c>
      <c r="C854" s="116">
        <v>263.82052450849102</v>
      </c>
      <c r="D854" s="116">
        <v>260.11656731303299</v>
      </c>
      <c r="E854" s="116">
        <v>262.190783342489</v>
      </c>
      <c r="F854" s="116">
        <v>267.10000000000002</v>
      </c>
      <c r="G854">
        <v>81931</v>
      </c>
      <c r="H854" s="116"/>
      <c r="I854" s="116"/>
      <c r="L854" s="170">
        <v>43258</v>
      </c>
      <c r="M854" s="116">
        <v>263.82079474047401</v>
      </c>
      <c r="N854" s="116">
        <v>266.38887435981297</v>
      </c>
      <c r="O854" s="116">
        <v>260.06744760451897</v>
      </c>
      <c r="P854" s="116">
        <v>263.62325015437102</v>
      </c>
      <c r="Q854" s="116">
        <v>267.10000000000002</v>
      </c>
      <c r="R854">
        <v>1527128</v>
      </c>
    </row>
    <row r="855" spans="1:18" x14ac:dyDescent="0.25">
      <c r="A855" s="170">
        <v>43259</v>
      </c>
      <c r="B855" s="116">
        <v>265.99351272982602</v>
      </c>
      <c r="C855" s="116">
        <v>264.018068892249</v>
      </c>
      <c r="D855" s="116">
        <v>258.98068710642599</v>
      </c>
      <c r="E855" s="116">
        <v>258.98068710642599</v>
      </c>
      <c r="F855" s="116">
        <v>267.3</v>
      </c>
      <c r="G855">
        <v>74333</v>
      </c>
      <c r="H855" s="116"/>
      <c r="I855" s="116"/>
      <c r="L855" s="170">
        <v>43259</v>
      </c>
      <c r="M855" s="116">
        <v>263.67263630089701</v>
      </c>
      <c r="N855" s="116">
        <v>266.04317133413201</v>
      </c>
      <c r="O855" s="116">
        <v>260.31437833714699</v>
      </c>
      <c r="P855" s="116">
        <v>260.46253677672399</v>
      </c>
      <c r="Q855" s="116">
        <v>266.95</v>
      </c>
      <c r="R855">
        <v>1104173</v>
      </c>
    </row>
    <row r="856" spans="1:18" x14ac:dyDescent="0.25">
      <c r="A856" s="170">
        <v>43262</v>
      </c>
      <c r="B856" s="116">
        <v>267.96895656740401</v>
      </c>
      <c r="C856" s="116">
        <v>260.75858656024599</v>
      </c>
      <c r="D856" s="116">
        <v>258.783142722668</v>
      </c>
      <c r="E856" s="116">
        <v>263.72175231661203</v>
      </c>
      <c r="F856" s="116">
        <v>264</v>
      </c>
      <c r="G856">
        <v>185705</v>
      </c>
      <c r="H856" s="116"/>
      <c r="I856" s="116"/>
      <c r="L856" s="170">
        <v>43262</v>
      </c>
      <c r="M856" s="116">
        <v>260.46253677672399</v>
      </c>
      <c r="N856" s="116">
        <v>267.91984490211001</v>
      </c>
      <c r="O856" s="116">
        <v>259.47481384621</v>
      </c>
      <c r="P856" s="116">
        <v>262.339210344702</v>
      </c>
      <c r="Q856" s="116">
        <v>263.7</v>
      </c>
      <c r="R856">
        <v>3538690</v>
      </c>
    </row>
    <row r="857" spans="1:18" x14ac:dyDescent="0.25">
      <c r="A857" s="170">
        <v>43263</v>
      </c>
      <c r="B857" s="116">
        <v>264.90701861915898</v>
      </c>
      <c r="C857" s="116">
        <v>264.21561327600602</v>
      </c>
      <c r="D857" s="116">
        <v>259.96840902521399</v>
      </c>
      <c r="E857" s="116">
        <v>260.80797265618497</v>
      </c>
      <c r="F857" s="116">
        <v>267.5</v>
      </c>
      <c r="G857">
        <v>80125</v>
      </c>
      <c r="H857" s="116"/>
      <c r="I857" s="116"/>
      <c r="L857" s="170">
        <v>43263</v>
      </c>
      <c r="M857" s="116">
        <v>264.31465620573198</v>
      </c>
      <c r="N857" s="116">
        <v>265.10483455014298</v>
      </c>
      <c r="O857" s="116">
        <v>259.52419999273502</v>
      </c>
      <c r="P857" s="116">
        <v>259.52419999273502</v>
      </c>
      <c r="Q857" s="116">
        <v>267.60000000000002</v>
      </c>
      <c r="R857">
        <v>1206633</v>
      </c>
    </row>
    <row r="858" spans="1:18" x14ac:dyDescent="0.25">
      <c r="A858" s="170">
        <v>43264</v>
      </c>
      <c r="B858" s="116">
        <v>267.22816512831201</v>
      </c>
      <c r="C858" s="116">
        <v>266.04289882576597</v>
      </c>
      <c r="D858" s="116">
        <v>262.24016943842901</v>
      </c>
      <c r="E858" s="116">
        <v>263.72175231661203</v>
      </c>
      <c r="F858" s="116">
        <v>269.35000000000002</v>
      </c>
      <c r="G858">
        <v>89940</v>
      </c>
      <c r="H858" s="116"/>
      <c r="I858" s="116"/>
      <c r="L858" s="170">
        <v>43264</v>
      </c>
      <c r="M858" s="116">
        <v>266.29010206676099</v>
      </c>
      <c r="N858" s="116">
        <v>267.17905270422398</v>
      </c>
      <c r="O858" s="116">
        <v>262.09227961207398</v>
      </c>
      <c r="P858" s="116">
        <v>263.722022447423</v>
      </c>
      <c r="Q858" s="116">
        <v>269.60000000000002</v>
      </c>
      <c r="R858">
        <v>1232644</v>
      </c>
    </row>
    <row r="859" spans="1:18" x14ac:dyDescent="0.25">
      <c r="A859" s="170">
        <v>43265</v>
      </c>
      <c r="B859" s="116">
        <v>275.77195972583502</v>
      </c>
      <c r="C859" s="116">
        <v>274.53730732734903</v>
      </c>
      <c r="D859" s="116">
        <v>264.610702043522</v>
      </c>
      <c r="E859" s="116">
        <v>264.70947423540099</v>
      </c>
      <c r="F859" s="116">
        <v>277.95</v>
      </c>
      <c r="G859">
        <v>241863</v>
      </c>
      <c r="H859" s="116"/>
      <c r="I859" s="116"/>
      <c r="L859" s="170">
        <v>43265</v>
      </c>
      <c r="M859" s="116">
        <v>274.38943009698198</v>
      </c>
      <c r="N859" s="116">
        <v>275.32776688097101</v>
      </c>
      <c r="O859" s="116">
        <v>264.90728996404101</v>
      </c>
      <c r="P859" s="116">
        <v>266.48764665286399</v>
      </c>
      <c r="Q859" s="116">
        <v>277.8</v>
      </c>
      <c r="R859">
        <v>3646744</v>
      </c>
    </row>
    <row r="860" spans="1:18" x14ac:dyDescent="0.25">
      <c r="A860" s="170">
        <v>43266</v>
      </c>
      <c r="B860" s="116">
        <v>277.50047308371597</v>
      </c>
      <c r="C860" s="116">
        <v>269.45053944558703</v>
      </c>
      <c r="D860" s="116">
        <v>268.66036191055599</v>
      </c>
      <c r="E860" s="116">
        <v>276.51275116492701</v>
      </c>
      <c r="F860" s="116">
        <v>272.8</v>
      </c>
      <c r="G860">
        <v>134333</v>
      </c>
      <c r="H860" s="116"/>
      <c r="I860" s="116"/>
      <c r="L860" s="170">
        <v>43266</v>
      </c>
      <c r="M860" s="116">
        <v>268.80879553957402</v>
      </c>
      <c r="N860" s="116">
        <v>277.55014347462901</v>
      </c>
      <c r="O860" s="116">
        <v>268.11738948821301</v>
      </c>
      <c r="P860" s="116">
        <v>275.72285605317597</v>
      </c>
      <c r="Q860" s="116">
        <v>272.14999999999998</v>
      </c>
      <c r="R860">
        <v>3133233</v>
      </c>
    </row>
    <row r="861" spans="1:18" x14ac:dyDescent="0.25">
      <c r="A861" s="170">
        <v>43269</v>
      </c>
      <c r="B861" s="116">
        <v>273.50019931262102</v>
      </c>
      <c r="C861" s="116">
        <v>271.42598328316501</v>
      </c>
      <c r="D861" s="116">
        <v>266.09228492170502</v>
      </c>
      <c r="E861" s="116">
        <v>272.46309129789302</v>
      </c>
      <c r="F861" s="116">
        <v>274.8</v>
      </c>
      <c r="G861">
        <v>83258</v>
      </c>
      <c r="H861" s="116"/>
      <c r="I861" s="116"/>
      <c r="L861" s="170">
        <v>43269</v>
      </c>
      <c r="M861" s="116">
        <v>271.96950891722099</v>
      </c>
      <c r="N861" s="116">
        <v>273.45109331299301</v>
      </c>
      <c r="O861" s="116">
        <v>265.84562674802902</v>
      </c>
      <c r="P861" s="116">
        <v>268.21616178126499</v>
      </c>
      <c r="Q861" s="116">
        <v>275.35000000000002</v>
      </c>
      <c r="R861">
        <v>1541522</v>
      </c>
    </row>
    <row r="862" spans="1:18" x14ac:dyDescent="0.25">
      <c r="A862" s="170">
        <v>43270</v>
      </c>
      <c r="B862" s="116">
        <v>271.42598328316501</v>
      </c>
      <c r="C862" s="116">
        <v>263.17850526127802</v>
      </c>
      <c r="D862" s="116">
        <v>262.63525820594401</v>
      </c>
      <c r="E862" s="116">
        <v>271.42598328316501</v>
      </c>
      <c r="F862" s="116">
        <v>266.45</v>
      </c>
      <c r="G862">
        <v>3359932</v>
      </c>
      <c r="H862" s="116"/>
      <c r="I862" s="116"/>
      <c r="L862" s="170">
        <v>43270</v>
      </c>
      <c r="M862" s="116">
        <v>263.77140859394899</v>
      </c>
      <c r="N862" s="116">
        <v>271.27810286585998</v>
      </c>
      <c r="O862" s="116">
        <v>262.78368566343403</v>
      </c>
      <c r="P862" s="116">
        <v>271.27810286585998</v>
      </c>
      <c r="Q862" s="116">
        <v>267.05</v>
      </c>
      <c r="R862">
        <v>6224725</v>
      </c>
    </row>
    <row r="863" spans="1:18" x14ac:dyDescent="0.25">
      <c r="A863" s="170">
        <v>43271</v>
      </c>
      <c r="B863" s="116">
        <v>262.14139724655001</v>
      </c>
      <c r="C863" s="116">
        <v>257.89419299575798</v>
      </c>
      <c r="D863" s="116">
        <v>253.99269141654199</v>
      </c>
      <c r="E863" s="116">
        <v>262.14139724655001</v>
      </c>
      <c r="F863" s="116">
        <v>261.10000000000002</v>
      </c>
      <c r="G863">
        <v>232399</v>
      </c>
      <c r="H863" s="116"/>
      <c r="I863" s="116"/>
      <c r="L863" s="170">
        <v>43271</v>
      </c>
      <c r="M863" s="116">
        <v>257.64752642475798</v>
      </c>
      <c r="N863" s="116">
        <v>261.499645853765</v>
      </c>
      <c r="O863" s="116">
        <v>253.84479314227599</v>
      </c>
      <c r="P863" s="116">
        <v>260.46253677672399</v>
      </c>
      <c r="Q863" s="116">
        <v>260.85000000000002</v>
      </c>
      <c r="R863">
        <v>3367252</v>
      </c>
    </row>
    <row r="864" spans="1:18" x14ac:dyDescent="0.25">
      <c r="A864" s="170">
        <v>43272</v>
      </c>
      <c r="B864" s="116">
        <v>258.783142722668</v>
      </c>
      <c r="C864" s="116">
        <v>254.58532456781501</v>
      </c>
      <c r="D864" s="116">
        <v>252.264178058662</v>
      </c>
      <c r="E864" s="116">
        <v>256.75831278915098</v>
      </c>
      <c r="F864" s="116">
        <v>257.75</v>
      </c>
      <c r="G864">
        <v>125670</v>
      </c>
      <c r="H864" s="116"/>
      <c r="I864" s="116"/>
      <c r="L864" s="170">
        <v>43272</v>
      </c>
      <c r="M864" s="116">
        <v>255.030060658894</v>
      </c>
      <c r="N864" s="116">
        <v>259.12911082053</v>
      </c>
      <c r="O864" s="116">
        <v>252.363208746504</v>
      </c>
      <c r="P864" s="116">
        <v>254.881902219316</v>
      </c>
      <c r="Q864" s="116">
        <v>258.2</v>
      </c>
      <c r="R864">
        <v>3020580</v>
      </c>
    </row>
    <row r="865" spans="1:18" x14ac:dyDescent="0.25">
      <c r="A865" s="170">
        <v>43273</v>
      </c>
      <c r="B865" s="116">
        <v>260.36349779273002</v>
      </c>
      <c r="C865" s="116">
        <v>258.83252881860699</v>
      </c>
      <c r="D865" s="116">
        <v>253.44944436120801</v>
      </c>
      <c r="E865" s="116">
        <v>254.38778018405799</v>
      </c>
      <c r="F865" s="116">
        <v>262.05</v>
      </c>
      <c r="G865">
        <v>110221</v>
      </c>
      <c r="H865" s="116"/>
      <c r="I865" s="116"/>
      <c r="L865" s="170">
        <v>43273</v>
      </c>
      <c r="M865" s="116">
        <v>258.88218008790102</v>
      </c>
      <c r="N865" s="116">
        <v>260.31437833714699</v>
      </c>
      <c r="O865" s="116">
        <v>253.301545530493</v>
      </c>
      <c r="P865" s="116">
        <v>254.733743779739</v>
      </c>
      <c r="Q865" s="116">
        <v>262.10000000000002</v>
      </c>
      <c r="R865">
        <v>2459832</v>
      </c>
    </row>
    <row r="866" spans="1:18" x14ac:dyDescent="0.25">
      <c r="A866" s="170">
        <v>43276</v>
      </c>
      <c r="B866" s="116">
        <v>263.42543574097499</v>
      </c>
      <c r="C866" s="116">
        <v>260.46226998460901</v>
      </c>
      <c r="D866" s="116">
        <v>258.28928176327298</v>
      </c>
      <c r="E866" s="116">
        <v>258.83252881860699</v>
      </c>
      <c r="F866" s="116">
        <v>263.7</v>
      </c>
      <c r="G866">
        <v>125475</v>
      </c>
      <c r="H866" s="116"/>
      <c r="I866" s="116"/>
      <c r="L866" s="170">
        <v>43276</v>
      </c>
      <c r="M866" s="116">
        <v>261.25271512113602</v>
      </c>
      <c r="N866" s="116">
        <v>263.67263630089701</v>
      </c>
      <c r="O866" s="116">
        <v>256.906734226872</v>
      </c>
      <c r="P866" s="116">
        <v>256.906734226872</v>
      </c>
      <c r="Q866" s="116">
        <v>264.5</v>
      </c>
      <c r="R866">
        <v>2103452</v>
      </c>
    </row>
    <row r="867" spans="1:18" x14ac:dyDescent="0.25">
      <c r="A867" s="170">
        <v>43277</v>
      </c>
      <c r="B867" s="116">
        <v>266.04289882576597</v>
      </c>
      <c r="C867" s="116">
        <v>263.42543574097499</v>
      </c>
      <c r="D867" s="116">
        <v>260.412883888669</v>
      </c>
      <c r="E867" s="116">
        <v>260.75858656024599</v>
      </c>
      <c r="F867" s="116">
        <v>266.7</v>
      </c>
      <c r="G867">
        <v>139113</v>
      </c>
      <c r="H867" s="116"/>
      <c r="I867" s="116"/>
      <c r="L867" s="170">
        <v>43277</v>
      </c>
      <c r="M867" s="116">
        <v>264.067725473103</v>
      </c>
      <c r="N867" s="116">
        <v>266.38887435981297</v>
      </c>
      <c r="O867" s="116">
        <v>260.06744760451897</v>
      </c>
      <c r="P867" s="116">
        <v>261.54903200029099</v>
      </c>
      <c r="Q867" s="116">
        <v>267.35000000000002</v>
      </c>
      <c r="R867">
        <v>2208389</v>
      </c>
    </row>
    <row r="868" spans="1:18" x14ac:dyDescent="0.25">
      <c r="A868" s="170">
        <v>43278</v>
      </c>
      <c r="B868" s="116">
        <v>264.56131594758199</v>
      </c>
      <c r="C868" s="116">
        <v>261.59815019121601</v>
      </c>
      <c r="D868" s="116">
        <v>258.53621224297098</v>
      </c>
      <c r="E868" s="116">
        <v>263.42543574097499</v>
      </c>
      <c r="F868" s="116">
        <v>264.85000000000002</v>
      </c>
      <c r="G868">
        <v>123059</v>
      </c>
      <c r="H868" s="116"/>
      <c r="I868" s="116"/>
      <c r="L868" s="170">
        <v>43278</v>
      </c>
      <c r="M868" s="116">
        <v>262.339210344702</v>
      </c>
      <c r="N868" s="116">
        <v>265.10483455014298</v>
      </c>
      <c r="O868" s="116">
        <v>257.99322945043798</v>
      </c>
      <c r="P868" s="116">
        <v>261.845348879445</v>
      </c>
      <c r="Q868" s="116">
        <v>265.60000000000002</v>
      </c>
      <c r="R868">
        <v>2234204</v>
      </c>
    </row>
    <row r="869" spans="1:18" x14ac:dyDescent="0.25">
      <c r="A869" s="170">
        <v>43279</v>
      </c>
      <c r="B869" s="116">
        <v>264.610702043522</v>
      </c>
      <c r="C869" s="116">
        <v>260.412883888669</v>
      </c>
      <c r="D869" s="116">
        <v>258.239895667334</v>
      </c>
      <c r="E869" s="116">
        <v>258.63498443485003</v>
      </c>
      <c r="F869" s="116">
        <v>263.64999999999998</v>
      </c>
      <c r="G869">
        <v>146352</v>
      </c>
      <c r="H869" s="116"/>
      <c r="I869" s="116"/>
      <c r="L869" s="170">
        <v>43279</v>
      </c>
      <c r="M869" s="116">
        <v>260.70946750935298</v>
      </c>
      <c r="N869" s="116">
        <v>264.95667611056598</v>
      </c>
      <c r="O869" s="116">
        <v>258.240160183066</v>
      </c>
      <c r="P869" s="116">
        <v>259.771130725364</v>
      </c>
      <c r="Q869" s="116">
        <v>263.95</v>
      </c>
      <c r="R869">
        <v>4511203</v>
      </c>
    </row>
    <row r="870" spans="1:18" x14ac:dyDescent="0.25">
      <c r="A870" s="170">
        <v>43280</v>
      </c>
      <c r="B870" s="116">
        <v>267.47509560800898</v>
      </c>
      <c r="C870" s="116">
        <v>266.14167101764502</v>
      </c>
      <c r="D870" s="116">
        <v>259.82025073739601</v>
      </c>
      <c r="E870" s="116">
        <v>260.51165608054799</v>
      </c>
      <c r="F870" s="116">
        <v>269.45</v>
      </c>
      <c r="G870">
        <v>109717</v>
      </c>
      <c r="H870" s="116"/>
      <c r="I870" s="116"/>
      <c r="L870" s="170">
        <v>43280</v>
      </c>
      <c r="M870" s="116">
        <v>266.04317133413201</v>
      </c>
      <c r="N870" s="116">
        <v>266.83334967854398</v>
      </c>
      <c r="O870" s="116">
        <v>259.47481384621</v>
      </c>
      <c r="P870" s="116">
        <v>259.47481384621</v>
      </c>
      <c r="Q870" s="116">
        <v>269.35000000000002</v>
      </c>
      <c r="R870">
        <v>2077927</v>
      </c>
    </row>
    <row r="871" spans="1:18" x14ac:dyDescent="0.25">
      <c r="A871" s="170">
        <v>43283</v>
      </c>
      <c r="B871" s="116">
        <v>269.49992554152601</v>
      </c>
      <c r="C871" s="116">
        <v>260.85735875212401</v>
      </c>
      <c r="D871" s="116">
        <v>260.11656731303299</v>
      </c>
      <c r="E871" s="116">
        <v>266.33921540140199</v>
      </c>
      <c r="F871" s="116">
        <v>264.10000000000002</v>
      </c>
      <c r="G871">
        <v>98126</v>
      </c>
      <c r="H871" s="116"/>
      <c r="I871" s="116"/>
      <c r="L871" s="170">
        <v>43283</v>
      </c>
      <c r="M871" s="116">
        <v>261.20332897460997</v>
      </c>
      <c r="N871" s="116">
        <v>269.74713232356299</v>
      </c>
      <c r="O871" s="116">
        <v>260.01806145799299</v>
      </c>
      <c r="P871" s="116">
        <v>267.672914169482</v>
      </c>
      <c r="Q871" s="116">
        <v>264.45</v>
      </c>
      <c r="R871">
        <v>3661633</v>
      </c>
    </row>
    <row r="872" spans="1:18" x14ac:dyDescent="0.25">
      <c r="A872" s="170">
        <v>43284</v>
      </c>
      <c r="B872" s="116">
        <v>281.20443027917401</v>
      </c>
      <c r="C872" s="116">
        <v>277.50047308371597</v>
      </c>
      <c r="D872" s="116">
        <v>259.96840902521399</v>
      </c>
      <c r="E872" s="116">
        <v>260.95613094400301</v>
      </c>
      <c r="F872" s="116">
        <v>280.95</v>
      </c>
      <c r="G872">
        <v>519003</v>
      </c>
      <c r="H872" s="116"/>
      <c r="I872" s="116"/>
      <c r="L872" s="170">
        <v>43284</v>
      </c>
      <c r="M872" s="116">
        <v>277.55014347462901</v>
      </c>
      <c r="N872" s="116">
        <v>281.00717373142999</v>
      </c>
      <c r="O872" s="116">
        <v>259.47481384621</v>
      </c>
      <c r="P872" s="116">
        <v>261.25271512113602</v>
      </c>
      <c r="Q872" s="116">
        <v>281</v>
      </c>
      <c r="R872">
        <v>6676660</v>
      </c>
    </row>
    <row r="873" spans="1:18" x14ac:dyDescent="0.25">
      <c r="A873" s="170">
        <v>43285</v>
      </c>
      <c r="B873" s="116">
        <v>278.53758109844398</v>
      </c>
      <c r="C873" s="116">
        <v>274.83362390298601</v>
      </c>
      <c r="D873" s="116">
        <v>272.36431910601402</v>
      </c>
      <c r="E873" s="116">
        <v>277.50047308371597</v>
      </c>
      <c r="F873" s="116">
        <v>278.25</v>
      </c>
      <c r="G873">
        <v>306165</v>
      </c>
      <c r="H873" s="116"/>
      <c r="I873" s="116"/>
      <c r="L873" s="170">
        <v>43285</v>
      </c>
      <c r="M873" s="116">
        <v>273.89556863172402</v>
      </c>
      <c r="N873" s="116">
        <v>277.55014347462901</v>
      </c>
      <c r="O873" s="116">
        <v>271.96950891722099</v>
      </c>
      <c r="P873" s="116">
        <v>277.55014347462901</v>
      </c>
      <c r="Q873" s="116">
        <v>277.3</v>
      </c>
      <c r="R873">
        <v>3598212</v>
      </c>
    </row>
    <row r="874" spans="1:18" x14ac:dyDescent="0.25">
      <c r="A874" s="170">
        <v>43286</v>
      </c>
      <c r="B874" s="116">
        <v>278.73512548220202</v>
      </c>
      <c r="C874" s="116">
        <v>267.96895656740401</v>
      </c>
      <c r="D874" s="116">
        <v>266.68491807297801</v>
      </c>
      <c r="E874" s="116">
        <v>273.648357600439</v>
      </c>
      <c r="F874" s="116">
        <v>271.3</v>
      </c>
      <c r="G874">
        <v>146702</v>
      </c>
      <c r="H874" s="116"/>
      <c r="I874" s="116"/>
      <c r="L874" s="170">
        <v>43286</v>
      </c>
      <c r="M874" s="116">
        <v>267.91984490211001</v>
      </c>
      <c r="N874" s="116">
        <v>278.93295557734899</v>
      </c>
      <c r="O874" s="116">
        <v>266.68519123896698</v>
      </c>
      <c r="P874" s="116">
        <v>274.04372707130102</v>
      </c>
      <c r="Q874" s="116">
        <v>271.25</v>
      </c>
      <c r="R874">
        <v>2338411</v>
      </c>
    </row>
    <row r="875" spans="1:18" x14ac:dyDescent="0.25">
      <c r="A875" s="170">
        <v>43287</v>
      </c>
      <c r="B875" s="116">
        <v>269.64808382934501</v>
      </c>
      <c r="C875" s="116">
        <v>263.57359402879399</v>
      </c>
      <c r="D875" s="116">
        <v>262.78341649376301</v>
      </c>
      <c r="E875" s="116">
        <v>267.17877903237297</v>
      </c>
      <c r="F875" s="116">
        <v>266.85000000000002</v>
      </c>
      <c r="G875">
        <v>125441</v>
      </c>
      <c r="H875" s="116"/>
      <c r="I875" s="116"/>
      <c r="L875" s="170">
        <v>43287</v>
      </c>
      <c r="M875" s="116">
        <v>263.03061639606301</v>
      </c>
      <c r="N875" s="116">
        <v>269.89529076314</v>
      </c>
      <c r="O875" s="116">
        <v>262.43798263775398</v>
      </c>
      <c r="P875" s="116">
        <v>266.48764665286399</v>
      </c>
      <c r="Q875" s="116">
        <v>266.3</v>
      </c>
      <c r="R875">
        <v>2022333</v>
      </c>
    </row>
    <row r="876" spans="1:18" x14ac:dyDescent="0.25">
      <c r="A876" s="170">
        <v>43290</v>
      </c>
      <c r="B876" s="116">
        <v>272.56186348977201</v>
      </c>
      <c r="C876" s="116">
        <v>271.67291376286198</v>
      </c>
      <c r="D876" s="116">
        <v>263.77113841255101</v>
      </c>
      <c r="E876" s="116">
        <v>266.19105711358401</v>
      </c>
      <c r="F876" s="116">
        <v>275.05</v>
      </c>
      <c r="G876">
        <v>101719</v>
      </c>
      <c r="H876" s="116"/>
      <c r="I876" s="116"/>
      <c r="L876" s="170">
        <v>43290</v>
      </c>
      <c r="M876" s="116">
        <v>271.87073662416901</v>
      </c>
      <c r="N876" s="116">
        <v>272.80907340815799</v>
      </c>
      <c r="O876" s="116">
        <v>263.722022447423</v>
      </c>
      <c r="P876" s="116">
        <v>264.95667611056598</v>
      </c>
      <c r="Q876" s="116">
        <v>275.25</v>
      </c>
      <c r="R876">
        <v>2267486</v>
      </c>
    </row>
    <row r="877" spans="1:18" x14ac:dyDescent="0.25">
      <c r="A877" s="170">
        <v>43291</v>
      </c>
      <c r="B877" s="116">
        <v>274.58669342328898</v>
      </c>
      <c r="C877" s="116">
        <v>272.06800253037699</v>
      </c>
      <c r="D877" s="116">
        <v>269.54931163746602</v>
      </c>
      <c r="E877" s="116">
        <v>274.58669342328898</v>
      </c>
      <c r="F877" s="116">
        <v>275.45</v>
      </c>
      <c r="G877">
        <v>124548</v>
      </c>
      <c r="H877" s="116"/>
      <c r="I877" s="116"/>
      <c r="L877" s="170">
        <v>43291</v>
      </c>
      <c r="M877" s="116">
        <v>271.37687515891201</v>
      </c>
      <c r="N877" s="116">
        <v>274.38943009698198</v>
      </c>
      <c r="O877" s="116">
        <v>269.20388471177898</v>
      </c>
      <c r="P877" s="116">
        <v>272.51275652900398</v>
      </c>
      <c r="Q877" s="116">
        <v>274.75</v>
      </c>
      <c r="R877">
        <v>1284523</v>
      </c>
    </row>
    <row r="878" spans="1:18" x14ac:dyDescent="0.25">
      <c r="A878" s="170">
        <v>43292</v>
      </c>
      <c r="B878" s="116">
        <v>272.11738862631699</v>
      </c>
      <c r="C878" s="116">
        <v>266.68491807297801</v>
      </c>
      <c r="D878" s="116">
        <v>264.21561327600602</v>
      </c>
      <c r="E878" s="116">
        <v>271.17905280346702</v>
      </c>
      <c r="F878" s="116">
        <v>270</v>
      </c>
      <c r="G878">
        <v>98261</v>
      </c>
      <c r="H878" s="116"/>
      <c r="I878" s="116"/>
      <c r="L878" s="170">
        <v>43292</v>
      </c>
      <c r="M878" s="116">
        <v>266.48764665286399</v>
      </c>
      <c r="N878" s="116">
        <v>272.068281210272</v>
      </c>
      <c r="O878" s="116">
        <v>264.16649776615498</v>
      </c>
      <c r="P878" s="116">
        <v>271.42626130543698</v>
      </c>
      <c r="Q878" s="116">
        <v>269.8</v>
      </c>
      <c r="R878">
        <v>1407688</v>
      </c>
    </row>
    <row r="879" spans="1:18" x14ac:dyDescent="0.25">
      <c r="A879" s="170">
        <v>43293</v>
      </c>
      <c r="B879" s="116">
        <v>268.85790629431398</v>
      </c>
      <c r="C879" s="116">
        <v>262.58587211000503</v>
      </c>
      <c r="D879" s="116">
        <v>261.59815019121601</v>
      </c>
      <c r="E879" s="116">
        <v>267.12939293643302</v>
      </c>
      <c r="F879" s="116">
        <v>265.85000000000002</v>
      </c>
      <c r="G879">
        <v>181337</v>
      </c>
      <c r="H879" s="116"/>
      <c r="I879" s="116"/>
      <c r="L879" s="170">
        <v>43293</v>
      </c>
      <c r="M879" s="116">
        <v>261.94412117249601</v>
      </c>
      <c r="N879" s="116">
        <v>269.10511241872803</v>
      </c>
      <c r="O879" s="116">
        <v>261.10455668155902</v>
      </c>
      <c r="P879" s="116">
        <v>267.08028041117302</v>
      </c>
      <c r="Q879" s="116">
        <v>265.2</v>
      </c>
      <c r="R879">
        <v>2250217</v>
      </c>
    </row>
    <row r="880" spans="1:18" x14ac:dyDescent="0.25">
      <c r="A880" s="170">
        <v>43294</v>
      </c>
      <c r="B880" s="116">
        <v>262.73403039782301</v>
      </c>
      <c r="C880" s="116">
        <v>255.67181867848299</v>
      </c>
      <c r="D880" s="116">
        <v>254.38778018405799</v>
      </c>
      <c r="E880" s="116">
        <v>262.73403039782301</v>
      </c>
      <c r="F880" s="116">
        <v>258.85000000000002</v>
      </c>
      <c r="G880">
        <v>123604</v>
      </c>
      <c r="H880" s="116"/>
      <c r="I880" s="116"/>
      <c r="L880" s="170">
        <v>43294</v>
      </c>
      <c r="M880" s="116">
        <v>255.72146671025399</v>
      </c>
      <c r="N880" s="116">
        <v>262.48736878428002</v>
      </c>
      <c r="O880" s="116">
        <v>254.38804075405901</v>
      </c>
      <c r="P880" s="116">
        <v>261.74657658639399</v>
      </c>
      <c r="Q880" s="116">
        <v>258.89999999999998</v>
      </c>
      <c r="R880">
        <v>3357333</v>
      </c>
    </row>
    <row r="881" spans="1:18" x14ac:dyDescent="0.25">
      <c r="A881" s="170">
        <v>43297</v>
      </c>
      <c r="B881" s="116">
        <v>259.67209244957797</v>
      </c>
      <c r="C881" s="116">
        <v>240.01642626568099</v>
      </c>
      <c r="D881" s="116">
        <v>238.880546059073</v>
      </c>
      <c r="E881" s="116">
        <v>259.67209244957797</v>
      </c>
      <c r="F881" s="116">
        <v>243</v>
      </c>
      <c r="G881">
        <v>395648</v>
      </c>
      <c r="H881" s="116"/>
      <c r="I881" s="116"/>
      <c r="L881" s="170">
        <v>43297</v>
      </c>
      <c r="M881" s="116">
        <v>240.26360284769899</v>
      </c>
      <c r="N881" s="116">
        <v>254.733743779739</v>
      </c>
      <c r="O881" s="116">
        <v>239.127721477607</v>
      </c>
      <c r="P881" s="116">
        <v>254.733743779739</v>
      </c>
      <c r="Q881" s="116">
        <v>243.25</v>
      </c>
      <c r="R881">
        <v>3454849</v>
      </c>
    </row>
    <row r="882" spans="1:18" x14ac:dyDescent="0.25">
      <c r="A882" s="170">
        <v>43298</v>
      </c>
      <c r="B882" s="116">
        <v>248.708379151022</v>
      </c>
      <c r="C882" s="116">
        <v>244.70810537992699</v>
      </c>
      <c r="D882" s="116">
        <v>237.250804893072</v>
      </c>
      <c r="E882" s="116">
        <v>240.01642626568099</v>
      </c>
      <c r="F882" s="116">
        <v>247.75</v>
      </c>
      <c r="G882">
        <v>256871</v>
      </c>
      <c r="H882" s="116"/>
      <c r="I882" s="116"/>
      <c r="L882" s="170">
        <v>43298</v>
      </c>
      <c r="M882" s="116">
        <v>244.85651447459199</v>
      </c>
      <c r="N882" s="116">
        <v>248.758020050125</v>
      </c>
      <c r="O882" s="116">
        <v>237.349820202681</v>
      </c>
      <c r="P882" s="116">
        <v>238.58447386582401</v>
      </c>
      <c r="Q882" s="116">
        <v>247.9</v>
      </c>
      <c r="R882">
        <v>3158004</v>
      </c>
    </row>
    <row r="883" spans="1:18" x14ac:dyDescent="0.25">
      <c r="A883" s="170">
        <v>43299</v>
      </c>
      <c r="B883" s="116">
        <v>246.48600483374699</v>
      </c>
      <c r="C883" s="116">
        <v>235.76922201488901</v>
      </c>
      <c r="D883" s="116">
        <v>229.991048789974</v>
      </c>
      <c r="E883" s="116">
        <v>245.10319414744299</v>
      </c>
      <c r="F883" s="116">
        <v>238.7</v>
      </c>
      <c r="G883">
        <v>161106</v>
      </c>
      <c r="H883" s="116"/>
      <c r="I883" s="116"/>
      <c r="L883" s="170">
        <v>43299</v>
      </c>
      <c r="M883" s="116">
        <v>235.72007736733099</v>
      </c>
      <c r="N883" s="116">
        <v>246.535643456467</v>
      </c>
      <c r="O883" s="116">
        <v>229.84312593076899</v>
      </c>
      <c r="P883" s="116">
        <v>245.35037593985001</v>
      </c>
      <c r="Q883" s="116">
        <v>238.65</v>
      </c>
      <c r="R883">
        <v>3343525</v>
      </c>
    </row>
    <row r="884" spans="1:18" x14ac:dyDescent="0.25">
      <c r="A884" s="170">
        <v>43300</v>
      </c>
      <c r="B884" s="116">
        <v>240.01642626568099</v>
      </c>
      <c r="C884" s="116">
        <v>230.83061242094499</v>
      </c>
      <c r="D884" s="116">
        <v>225.793230635122</v>
      </c>
      <c r="E884" s="116">
        <v>234.53456961640299</v>
      </c>
      <c r="F884" s="116">
        <v>233.7</v>
      </c>
      <c r="G884">
        <v>350086</v>
      </c>
      <c r="H884" s="116"/>
      <c r="I884" s="116"/>
      <c r="L884" s="170">
        <v>43300</v>
      </c>
      <c r="M884" s="116">
        <v>230.238215102975</v>
      </c>
      <c r="N884" s="116">
        <v>240.31298899422501</v>
      </c>
      <c r="O884" s="116">
        <v>225.79346191565901</v>
      </c>
      <c r="P884" s="116">
        <v>236.757186444372</v>
      </c>
      <c r="Q884" s="116">
        <v>233.1</v>
      </c>
      <c r="R884">
        <v>4223216</v>
      </c>
    </row>
    <row r="885" spans="1:18" x14ac:dyDescent="0.25">
      <c r="A885" s="170">
        <v>43301</v>
      </c>
      <c r="B885" s="116">
        <v>237.94221023622401</v>
      </c>
      <c r="C885" s="116">
        <v>235.62106372707001</v>
      </c>
      <c r="D885" s="116">
        <v>228.213149336154</v>
      </c>
      <c r="E885" s="116">
        <v>228.311921528033</v>
      </c>
      <c r="F885" s="116">
        <v>238.55</v>
      </c>
      <c r="G885">
        <v>216125</v>
      </c>
      <c r="H885" s="116"/>
      <c r="I885" s="116"/>
      <c r="L885" s="170">
        <v>43301</v>
      </c>
      <c r="M885" s="116">
        <v>235.67069122080599</v>
      </c>
      <c r="N885" s="116">
        <v>237.991840107515</v>
      </c>
      <c r="O885" s="116">
        <v>228.41092768152299</v>
      </c>
      <c r="P885" s="116">
        <v>228.41092768152299</v>
      </c>
      <c r="Q885" s="116">
        <v>238.6</v>
      </c>
      <c r="R885">
        <v>3003282</v>
      </c>
    </row>
    <row r="886" spans="1:18" x14ac:dyDescent="0.25">
      <c r="A886" s="170">
        <v>43304</v>
      </c>
      <c r="B886" s="116">
        <v>241.00414818446899</v>
      </c>
      <c r="C886" s="116">
        <v>240.01642626568099</v>
      </c>
      <c r="D886" s="116">
        <v>232.50973968288599</v>
      </c>
      <c r="E886" s="116">
        <v>239.028704346892</v>
      </c>
      <c r="F886" s="116">
        <v>243</v>
      </c>
      <c r="G886">
        <v>126990</v>
      </c>
      <c r="H886" s="116"/>
      <c r="I886" s="116"/>
      <c r="L886" s="170">
        <v>43304</v>
      </c>
      <c r="M886" s="116">
        <v>240.31298899422501</v>
      </c>
      <c r="N886" s="116">
        <v>241.25132577821401</v>
      </c>
      <c r="O886" s="116">
        <v>232.36181940358099</v>
      </c>
      <c r="P886" s="116">
        <v>235.96700809996</v>
      </c>
      <c r="Q886" s="116">
        <v>243.3</v>
      </c>
      <c r="R886">
        <v>2351769</v>
      </c>
    </row>
    <row r="887" spans="1:18" x14ac:dyDescent="0.25">
      <c r="A887" s="170">
        <v>43305</v>
      </c>
      <c r="B887" s="116">
        <v>245.94275777841301</v>
      </c>
      <c r="C887" s="116">
        <v>242.88081983016801</v>
      </c>
      <c r="D887" s="116">
        <v>238.781773867195</v>
      </c>
      <c r="E887" s="116">
        <v>241.00414818446899</v>
      </c>
      <c r="F887" s="116">
        <v>245.9</v>
      </c>
      <c r="G887">
        <v>266883</v>
      </c>
      <c r="H887" s="116"/>
      <c r="I887" s="116"/>
      <c r="L887" s="170">
        <v>43305</v>
      </c>
      <c r="M887" s="116">
        <v>243.27615778576899</v>
      </c>
      <c r="N887" s="116">
        <v>246.14055428426099</v>
      </c>
      <c r="O887" s="116">
        <v>238.930176891504</v>
      </c>
      <c r="P887" s="116">
        <v>241.004395045585</v>
      </c>
      <c r="Q887" s="116">
        <v>246.3</v>
      </c>
      <c r="R887">
        <v>2278457</v>
      </c>
    </row>
    <row r="888" spans="1:18" x14ac:dyDescent="0.25">
      <c r="A888" s="170">
        <v>43306</v>
      </c>
      <c r="B888" s="116">
        <v>245.30073853120101</v>
      </c>
      <c r="C888" s="116">
        <v>234.38641132858399</v>
      </c>
      <c r="D888" s="116">
        <v>233.10237283415901</v>
      </c>
      <c r="E888" s="116">
        <v>244.80687757180601</v>
      </c>
      <c r="F888" s="116">
        <v>237.3</v>
      </c>
      <c r="G888">
        <v>105553</v>
      </c>
      <c r="H888" s="116"/>
      <c r="I888" s="116"/>
      <c r="L888" s="170">
        <v>43306</v>
      </c>
      <c r="M888" s="116">
        <v>233.99156223893101</v>
      </c>
      <c r="N888" s="116">
        <v>245.449148232901</v>
      </c>
      <c r="O888" s="116">
        <v>232.90506701536501</v>
      </c>
      <c r="P888" s="116">
        <v>245.449148232901</v>
      </c>
      <c r="Q888" s="116">
        <v>236.9</v>
      </c>
      <c r="R888">
        <v>2310430</v>
      </c>
    </row>
    <row r="889" spans="1:18" x14ac:dyDescent="0.25">
      <c r="A889" s="170">
        <v>43307</v>
      </c>
      <c r="B889" s="116">
        <v>239.72010969004401</v>
      </c>
      <c r="C889" s="116">
        <v>236.41124126210099</v>
      </c>
      <c r="D889" s="116">
        <v>231.67017605191501</v>
      </c>
      <c r="E889" s="116">
        <v>233.941936465129</v>
      </c>
      <c r="F889" s="116">
        <v>239.35</v>
      </c>
      <c r="G889">
        <v>134174</v>
      </c>
      <c r="H889" s="116"/>
      <c r="I889" s="116"/>
      <c r="L889" s="170">
        <v>43307</v>
      </c>
      <c r="M889" s="116">
        <v>236.16455268606299</v>
      </c>
      <c r="N889" s="116">
        <v>239.96728596854501</v>
      </c>
      <c r="O889" s="116">
        <v>231.62102720569499</v>
      </c>
      <c r="P889" s="116">
        <v>233.00383930841599</v>
      </c>
      <c r="Q889" s="116">
        <v>239.1</v>
      </c>
      <c r="R889">
        <v>3996921</v>
      </c>
    </row>
    <row r="890" spans="1:18" x14ac:dyDescent="0.25">
      <c r="A890" s="170">
        <v>43308</v>
      </c>
      <c r="B890" s="116">
        <v>240.658445512893</v>
      </c>
      <c r="C890" s="116">
        <v>239.47317921034701</v>
      </c>
      <c r="D890" s="116">
        <v>236.114924686465</v>
      </c>
      <c r="E890" s="116">
        <v>236.114924686465</v>
      </c>
      <c r="F890" s="116">
        <v>242.45</v>
      </c>
      <c r="G890">
        <v>85557</v>
      </c>
      <c r="H890" s="116"/>
      <c r="I890" s="116"/>
      <c r="L890" s="170">
        <v>43308</v>
      </c>
      <c r="M890" s="116">
        <v>239.275879917184</v>
      </c>
      <c r="N890" s="116">
        <v>240.95500889905901</v>
      </c>
      <c r="O890" s="116">
        <v>236.21393883258901</v>
      </c>
      <c r="P890" s="116">
        <v>238.04122625404099</v>
      </c>
      <c r="Q890" s="116">
        <v>242.25</v>
      </c>
      <c r="R890">
        <v>1581985</v>
      </c>
    </row>
    <row r="891" spans="1:18" x14ac:dyDescent="0.25">
      <c r="A891" s="170">
        <v>43311</v>
      </c>
      <c r="B891" s="116">
        <v>243.868541748957</v>
      </c>
      <c r="C891" s="116">
        <v>239.22624873064899</v>
      </c>
      <c r="D891" s="116">
        <v>237.744665852466</v>
      </c>
      <c r="E891" s="116">
        <v>239.57195140222601</v>
      </c>
      <c r="F891" s="116">
        <v>242.2</v>
      </c>
      <c r="G891">
        <v>131700</v>
      </c>
      <c r="H891" s="116"/>
      <c r="I891" s="116"/>
      <c r="L891" s="170">
        <v>43311</v>
      </c>
      <c r="M891" s="116">
        <v>239.226493770659</v>
      </c>
      <c r="N891" s="116">
        <v>243.96756383712901</v>
      </c>
      <c r="O891" s="116">
        <v>237.94245396098901</v>
      </c>
      <c r="P891" s="116">
        <v>240.70807816643099</v>
      </c>
      <c r="Q891" s="116">
        <v>242.2</v>
      </c>
      <c r="R891">
        <v>1867720</v>
      </c>
    </row>
    <row r="892" spans="1:18" x14ac:dyDescent="0.25">
      <c r="A892" s="170">
        <v>43312</v>
      </c>
      <c r="B892" s="116">
        <v>246.782321409384</v>
      </c>
      <c r="C892" s="116">
        <v>243.96731394083599</v>
      </c>
      <c r="D892" s="116">
        <v>239.22624873064899</v>
      </c>
      <c r="E892" s="116">
        <v>239.22624873064899</v>
      </c>
      <c r="F892" s="116">
        <v>247</v>
      </c>
      <c r="G892">
        <v>166985</v>
      </c>
      <c r="H892" s="116"/>
      <c r="I892" s="116"/>
      <c r="L892" s="170">
        <v>43312</v>
      </c>
      <c r="M892" s="116">
        <v>243.86879154407799</v>
      </c>
      <c r="N892" s="116">
        <v>246.58502960299299</v>
      </c>
      <c r="O892" s="116">
        <v>238.53508771929799</v>
      </c>
      <c r="P892" s="116">
        <v>240.41176128727599</v>
      </c>
      <c r="Q892" s="116">
        <v>246.9</v>
      </c>
      <c r="R892">
        <v>4422342</v>
      </c>
    </row>
    <row r="893" spans="1:18" x14ac:dyDescent="0.25">
      <c r="A893" s="170">
        <v>43313</v>
      </c>
      <c r="B893" s="116">
        <v>251.72093100332799</v>
      </c>
      <c r="C893" s="116">
        <v>233.00360064227999</v>
      </c>
      <c r="D893" s="116">
        <v>231.126928996581</v>
      </c>
      <c r="E893" s="116">
        <v>245.44889681901901</v>
      </c>
      <c r="F893" s="116">
        <v>235.9</v>
      </c>
      <c r="G893">
        <v>1047852</v>
      </c>
      <c r="H893" s="116"/>
      <c r="I893" s="116"/>
      <c r="L893" s="170">
        <v>43313</v>
      </c>
      <c r="M893" s="116">
        <v>232.75690857578701</v>
      </c>
      <c r="N893" s="116">
        <v>251.81996113472101</v>
      </c>
      <c r="O893" s="116">
        <v>231.47286876611801</v>
      </c>
      <c r="P893" s="116">
        <v>245.64669281900399</v>
      </c>
      <c r="Q893" s="116">
        <v>235.65</v>
      </c>
      <c r="R893">
        <v>13272609</v>
      </c>
    </row>
    <row r="894" spans="1:18" x14ac:dyDescent="0.25">
      <c r="A894" s="170">
        <v>43314</v>
      </c>
      <c r="B894" s="116">
        <v>235.27536105549399</v>
      </c>
      <c r="C894" s="116">
        <v>233.052986738219</v>
      </c>
      <c r="D894" s="116">
        <v>227.62051618488101</v>
      </c>
      <c r="E894" s="116">
        <v>229.15148515900401</v>
      </c>
      <c r="F894" s="116">
        <v>235.95</v>
      </c>
      <c r="G894">
        <v>342131</v>
      </c>
      <c r="H894" s="116"/>
      <c r="I894" s="116"/>
      <c r="L894" s="170">
        <v>43314</v>
      </c>
      <c r="M894" s="116">
        <v>232.55936398968399</v>
      </c>
      <c r="N894" s="116">
        <v>235.127443609023</v>
      </c>
      <c r="O894" s="116">
        <v>227.571363190585</v>
      </c>
      <c r="P894" s="116">
        <v>229.645581344666</v>
      </c>
      <c r="Q894" s="116">
        <v>235.45</v>
      </c>
      <c r="R894">
        <v>5700851</v>
      </c>
    </row>
    <row r="895" spans="1:18" x14ac:dyDescent="0.25">
      <c r="A895" s="170">
        <v>43315</v>
      </c>
      <c r="B895" s="116">
        <v>236.01615249458601</v>
      </c>
      <c r="C895" s="116">
        <v>231.768948243794</v>
      </c>
      <c r="D895" s="116">
        <v>229.44780173464</v>
      </c>
      <c r="E895" s="116">
        <v>233.34930331385601</v>
      </c>
      <c r="F895" s="116">
        <v>234.65</v>
      </c>
      <c r="G895">
        <v>156980</v>
      </c>
      <c r="H895" s="116"/>
      <c r="I895" s="116"/>
      <c r="L895" s="170">
        <v>43315</v>
      </c>
      <c r="M895" s="116">
        <v>231.76918564527301</v>
      </c>
      <c r="N895" s="116">
        <v>236.06578039301201</v>
      </c>
      <c r="O895" s="116">
        <v>229.151719879409</v>
      </c>
      <c r="P895" s="116">
        <v>233.102611601467</v>
      </c>
      <c r="Q895" s="116">
        <v>234.65</v>
      </c>
      <c r="R895">
        <v>3357945</v>
      </c>
    </row>
    <row r="896" spans="1:18" x14ac:dyDescent="0.25">
      <c r="A896" s="170">
        <v>43318</v>
      </c>
      <c r="B896" s="116">
        <v>237.54712146870901</v>
      </c>
      <c r="C896" s="116">
        <v>236.51001345398001</v>
      </c>
      <c r="D896" s="116">
        <v>231.62078995597599</v>
      </c>
      <c r="E896" s="116">
        <v>233.546847697614</v>
      </c>
      <c r="F896" s="116">
        <v>239.45</v>
      </c>
      <c r="G896">
        <v>144595</v>
      </c>
      <c r="H896" s="116"/>
      <c r="I896" s="116"/>
      <c r="L896" s="170">
        <v>43318</v>
      </c>
      <c r="M896" s="116">
        <v>236.559641858269</v>
      </c>
      <c r="N896" s="116">
        <v>237.497978642258</v>
      </c>
      <c r="O896" s="116">
        <v>231.27532418001499</v>
      </c>
      <c r="P896" s="116">
        <v>232.26304711053001</v>
      </c>
      <c r="Q896" s="116">
        <v>239.5</v>
      </c>
      <c r="R896">
        <v>2560616</v>
      </c>
    </row>
    <row r="897" spans="1:18" x14ac:dyDescent="0.25">
      <c r="A897" s="170">
        <v>43319</v>
      </c>
      <c r="B897" s="116">
        <v>238.53484338749701</v>
      </c>
      <c r="C897" s="116">
        <v>234.682727904221</v>
      </c>
      <c r="D897" s="116">
        <v>232.60851187476399</v>
      </c>
      <c r="E897" s="116">
        <v>237.10264660525399</v>
      </c>
      <c r="F897" s="116">
        <v>237.6</v>
      </c>
      <c r="G897">
        <v>97083</v>
      </c>
      <c r="H897" s="116"/>
      <c r="I897" s="116"/>
      <c r="L897" s="170">
        <v>43319</v>
      </c>
      <c r="M897" s="116">
        <v>234.682968290291</v>
      </c>
      <c r="N897" s="116">
        <v>238.58447386582401</v>
      </c>
      <c r="O897" s="116">
        <v>232.41120555010701</v>
      </c>
      <c r="P897" s="116">
        <v>238.04122625404099</v>
      </c>
      <c r="Q897" s="116">
        <v>237.6</v>
      </c>
      <c r="R897">
        <v>1963538</v>
      </c>
    </row>
    <row r="898" spans="1:18" x14ac:dyDescent="0.25">
      <c r="A898" s="170">
        <v>43320</v>
      </c>
      <c r="B898" s="116">
        <v>237.250804893072</v>
      </c>
      <c r="C898" s="116">
        <v>233.20114502603801</v>
      </c>
      <c r="D898" s="116">
        <v>232.11465091536999</v>
      </c>
      <c r="E898" s="116">
        <v>234.090094752948</v>
      </c>
      <c r="F898" s="116">
        <v>236.1</v>
      </c>
      <c r="G898">
        <v>126282</v>
      </c>
      <c r="H898" s="116"/>
      <c r="I898" s="116"/>
      <c r="L898" s="170">
        <v>43320</v>
      </c>
      <c r="M898" s="116">
        <v>233.44831462714799</v>
      </c>
      <c r="N898" s="116">
        <v>237.54736478878399</v>
      </c>
      <c r="O898" s="116">
        <v>232.164274817478</v>
      </c>
      <c r="P898" s="116">
        <v>234.33726526461101</v>
      </c>
      <c r="Q898" s="116">
        <v>236.35</v>
      </c>
      <c r="R898">
        <v>1807313</v>
      </c>
    </row>
    <row r="899" spans="1:18" x14ac:dyDescent="0.25">
      <c r="A899" s="170">
        <v>43321</v>
      </c>
      <c r="B899" s="116">
        <v>236.80633002961699</v>
      </c>
      <c r="C899" s="116">
        <v>234.287639136705</v>
      </c>
      <c r="D899" s="116">
        <v>232.21342310724901</v>
      </c>
      <c r="E899" s="116">
        <v>235.67044982300999</v>
      </c>
      <c r="F899" s="116">
        <v>237.2</v>
      </c>
      <c r="G899">
        <v>85134</v>
      </c>
      <c r="H899" s="116"/>
      <c r="I899" s="116"/>
      <c r="L899" s="170">
        <v>43321</v>
      </c>
      <c r="M899" s="116">
        <v>234.386651411137</v>
      </c>
      <c r="N899" s="116">
        <v>236.905344883949</v>
      </c>
      <c r="O899" s="116">
        <v>232.41120555010701</v>
      </c>
      <c r="P899" s="116">
        <v>233.744631506302</v>
      </c>
      <c r="Q899" s="116">
        <v>237.3</v>
      </c>
      <c r="R899">
        <v>1127248</v>
      </c>
    </row>
    <row r="900" spans="1:18" x14ac:dyDescent="0.25">
      <c r="A900" s="170">
        <v>43322</v>
      </c>
      <c r="B900" s="116">
        <v>235.176588863615</v>
      </c>
      <c r="C900" s="116">
        <v>230.237979269671</v>
      </c>
      <c r="D900" s="116">
        <v>228.65762419960899</v>
      </c>
      <c r="E900" s="116">
        <v>234.090094752948</v>
      </c>
      <c r="F900" s="116">
        <v>233.1</v>
      </c>
      <c r="G900">
        <v>83410</v>
      </c>
      <c r="H900" s="116"/>
      <c r="I900" s="116"/>
      <c r="L900" s="170">
        <v>43322</v>
      </c>
      <c r="M900" s="116">
        <v>230.68269042170601</v>
      </c>
      <c r="N900" s="116">
        <v>235.028671315971</v>
      </c>
      <c r="O900" s="116">
        <v>228.26276924194499</v>
      </c>
      <c r="P900" s="116">
        <v>234.386651411137</v>
      </c>
      <c r="Q900" s="116">
        <v>233.55</v>
      </c>
      <c r="R900">
        <v>2035594</v>
      </c>
    </row>
    <row r="901" spans="1:18" x14ac:dyDescent="0.25">
      <c r="A901" s="170">
        <v>43325</v>
      </c>
      <c r="B901" s="116">
        <v>233.299917217917</v>
      </c>
      <c r="C901" s="116">
        <v>231.67017605191501</v>
      </c>
      <c r="D901" s="116">
        <v>229.15148515900401</v>
      </c>
      <c r="E901" s="116">
        <v>230.13920707779201</v>
      </c>
      <c r="F901" s="116">
        <v>234.55</v>
      </c>
      <c r="G901">
        <v>83953</v>
      </c>
      <c r="H901" s="116"/>
      <c r="I901" s="116"/>
      <c r="L901" s="170">
        <v>43325</v>
      </c>
      <c r="M901" s="116">
        <v>231.670413352221</v>
      </c>
      <c r="N901" s="116">
        <v>233.54708692019901</v>
      </c>
      <c r="O901" s="116">
        <v>229.39865061203699</v>
      </c>
      <c r="P901" s="116">
        <v>230.139442809923</v>
      </c>
      <c r="Q901" s="116">
        <v>234.55</v>
      </c>
      <c r="R901">
        <v>1948583</v>
      </c>
    </row>
    <row r="902" spans="1:18" x14ac:dyDescent="0.25">
      <c r="A902" s="170">
        <v>43326</v>
      </c>
      <c r="B902" s="116">
        <v>235.324747151434</v>
      </c>
      <c r="C902" s="116">
        <v>234.63334180828201</v>
      </c>
      <c r="D902" s="116">
        <v>231.126928996581</v>
      </c>
      <c r="E902" s="116">
        <v>231.126928996581</v>
      </c>
      <c r="F902" s="116">
        <v>237.55</v>
      </c>
      <c r="G902">
        <v>53535</v>
      </c>
      <c r="H902" s="116"/>
      <c r="I902" s="116"/>
      <c r="L902" s="170">
        <v>43326</v>
      </c>
      <c r="M902" s="116">
        <v>234.63358214376501</v>
      </c>
      <c r="N902" s="116">
        <v>235.57191892775401</v>
      </c>
      <c r="O902" s="116">
        <v>232.11488867095301</v>
      </c>
      <c r="P902" s="116">
        <v>232.11488867095301</v>
      </c>
      <c r="Q902" s="116">
        <v>237.55</v>
      </c>
      <c r="R902">
        <v>1885288</v>
      </c>
    </row>
    <row r="903" spans="1:18" x14ac:dyDescent="0.25">
      <c r="A903" s="170">
        <v>43328</v>
      </c>
      <c r="B903" s="116">
        <v>238.880546059073</v>
      </c>
      <c r="C903" s="116">
        <v>236.16431078240399</v>
      </c>
      <c r="D903" s="116">
        <v>233.39868940979599</v>
      </c>
      <c r="E903" s="116">
        <v>234.090094752948</v>
      </c>
      <c r="F903" s="116">
        <v>239.1</v>
      </c>
      <c r="G903">
        <v>118242</v>
      </c>
      <c r="H903" s="116"/>
      <c r="I903" s="116"/>
      <c r="L903" s="170">
        <v>43328</v>
      </c>
      <c r="M903" s="116">
        <v>236.411483418692</v>
      </c>
      <c r="N903" s="116">
        <v>239.02894918455601</v>
      </c>
      <c r="O903" s="116">
        <v>233.05322545494201</v>
      </c>
      <c r="P903" s="116">
        <v>233.15199774799299</v>
      </c>
      <c r="Q903" s="116">
        <v>239.35</v>
      </c>
      <c r="R903">
        <v>2551480</v>
      </c>
    </row>
    <row r="904" spans="1:18" x14ac:dyDescent="0.25">
      <c r="A904" s="170">
        <v>43329</v>
      </c>
      <c r="B904" s="116">
        <v>241.39923695198499</v>
      </c>
      <c r="C904" s="116">
        <v>239.17686263471001</v>
      </c>
      <c r="D904" s="116">
        <v>237.10264660525399</v>
      </c>
      <c r="E904" s="116">
        <v>237.10264660525399</v>
      </c>
      <c r="F904" s="116">
        <v>242.15</v>
      </c>
      <c r="G904">
        <v>122112</v>
      </c>
      <c r="H904" s="116"/>
      <c r="I904" s="116"/>
      <c r="L904" s="170">
        <v>43329</v>
      </c>
      <c r="M904" s="116">
        <v>240.01667211507001</v>
      </c>
      <c r="N904" s="116">
        <v>241.498256510842</v>
      </c>
      <c r="O904" s="116">
        <v>236.263324979114</v>
      </c>
      <c r="P904" s="116">
        <v>237.843681667938</v>
      </c>
      <c r="Q904" s="116">
        <v>243</v>
      </c>
      <c r="R904">
        <v>2838238</v>
      </c>
    </row>
    <row r="905" spans="1:18" x14ac:dyDescent="0.25">
      <c r="A905" s="170">
        <v>43332</v>
      </c>
      <c r="B905" s="116">
        <v>243.473452981441</v>
      </c>
      <c r="C905" s="116">
        <v>241.942484007319</v>
      </c>
      <c r="D905" s="116">
        <v>240.01642626568099</v>
      </c>
      <c r="E905" s="116">
        <v>240.01642626568099</v>
      </c>
      <c r="F905" s="116">
        <v>244.95</v>
      </c>
      <c r="G905">
        <v>99804</v>
      </c>
      <c r="H905" s="116"/>
      <c r="I905" s="116"/>
      <c r="L905" s="170">
        <v>43332</v>
      </c>
      <c r="M905" s="116">
        <v>242.14027641567699</v>
      </c>
      <c r="N905" s="116">
        <v>243.96756383712901</v>
      </c>
      <c r="O905" s="116">
        <v>240.01667211507001</v>
      </c>
      <c r="P905" s="116">
        <v>241.004395045585</v>
      </c>
      <c r="Q905" s="116">
        <v>245.15</v>
      </c>
      <c r="R905">
        <v>1690225</v>
      </c>
    </row>
    <row r="906" spans="1:18" x14ac:dyDescent="0.25">
      <c r="A906" s="170">
        <v>43333</v>
      </c>
      <c r="B906" s="116">
        <v>243.42406688550199</v>
      </c>
      <c r="C906" s="116">
        <v>237.64589366058701</v>
      </c>
      <c r="D906" s="116">
        <v>236.95448831743499</v>
      </c>
      <c r="E906" s="116">
        <v>242.78204763828899</v>
      </c>
      <c r="F906" s="116">
        <v>240.6</v>
      </c>
      <c r="G906">
        <v>115677</v>
      </c>
      <c r="H906" s="116"/>
      <c r="I906" s="116"/>
      <c r="L906" s="170">
        <v>43333</v>
      </c>
      <c r="M906" s="116">
        <v>237.59675093530899</v>
      </c>
      <c r="N906" s="116">
        <v>243.86879154407799</v>
      </c>
      <c r="O906" s="116">
        <v>236.31271112563999</v>
      </c>
      <c r="P906" s="116">
        <v>243.86879154407799</v>
      </c>
      <c r="Q906" s="116">
        <v>240.55</v>
      </c>
      <c r="R906">
        <v>3272005</v>
      </c>
    </row>
    <row r="907" spans="1:18" x14ac:dyDescent="0.25">
      <c r="A907" s="170">
        <v>43335</v>
      </c>
      <c r="B907" s="116">
        <v>237.991596332163</v>
      </c>
      <c r="C907" s="116">
        <v>232.31219529912801</v>
      </c>
      <c r="D907" s="116">
        <v>230.43552365342899</v>
      </c>
      <c r="E907" s="116">
        <v>237.64589366058701</v>
      </c>
      <c r="F907" s="116">
        <v>235.2</v>
      </c>
      <c r="G907">
        <v>142578</v>
      </c>
      <c r="H907" s="116"/>
      <c r="I907" s="116"/>
      <c r="L907" s="170">
        <v>43335</v>
      </c>
      <c r="M907" s="116">
        <v>232.55936398968399</v>
      </c>
      <c r="N907" s="116">
        <v>237.64613708183501</v>
      </c>
      <c r="O907" s="116">
        <v>230.238215102975</v>
      </c>
      <c r="P907" s="116">
        <v>237.349820202681</v>
      </c>
      <c r="Q907" s="116">
        <v>235.45</v>
      </c>
      <c r="R907">
        <v>1553953</v>
      </c>
    </row>
    <row r="908" spans="1:18" x14ac:dyDescent="0.25">
      <c r="A908" s="170">
        <v>43336</v>
      </c>
      <c r="B908" s="116">
        <v>233.89255036918999</v>
      </c>
      <c r="C908" s="116">
        <v>228.60823810367</v>
      </c>
      <c r="D908" s="116">
        <v>227.966218856457</v>
      </c>
      <c r="E908" s="116">
        <v>230.43552365342899</v>
      </c>
      <c r="F908" s="116">
        <v>231.45</v>
      </c>
      <c r="G908">
        <v>133567</v>
      </c>
      <c r="H908" s="116"/>
      <c r="I908" s="116"/>
      <c r="L908" s="170">
        <v>43336</v>
      </c>
      <c r="M908" s="116">
        <v>228.16399694889401</v>
      </c>
      <c r="N908" s="116">
        <v>234.28787911808499</v>
      </c>
      <c r="O908" s="116">
        <v>227.37381860448201</v>
      </c>
      <c r="P908" s="116">
        <v>231.62102720569499</v>
      </c>
      <c r="Q908" s="116">
        <v>231</v>
      </c>
      <c r="R908">
        <v>1838417</v>
      </c>
    </row>
    <row r="909" spans="1:18" x14ac:dyDescent="0.25">
      <c r="A909" s="170">
        <v>43339</v>
      </c>
      <c r="B909" s="116">
        <v>236.16431078240399</v>
      </c>
      <c r="C909" s="116">
        <v>233.74439208137201</v>
      </c>
      <c r="D909" s="116">
        <v>228.65762419960899</v>
      </c>
      <c r="E909" s="116">
        <v>229.44780173464</v>
      </c>
      <c r="F909" s="116">
        <v>236.65</v>
      </c>
      <c r="G909">
        <v>128067</v>
      </c>
      <c r="H909" s="116"/>
      <c r="I909" s="116"/>
      <c r="L909" s="170">
        <v>43339</v>
      </c>
      <c r="M909" s="116">
        <v>234.13972067850801</v>
      </c>
      <c r="N909" s="116">
        <v>236.411483418692</v>
      </c>
      <c r="O909" s="116">
        <v>228.21338309542</v>
      </c>
      <c r="P909" s="116">
        <v>228.95417529330601</v>
      </c>
      <c r="Q909" s="116">
        <v>237.05</v>
      </c>
      <c r="R909">
        <v>1990020</v>
      </c>
    </row>
    <row r="910" spans="1:18" x14ac:dyDescent="0.25">
      <c r="A910" s="170">
        <v>43340</v>
      </c>
      <c r="B910" s="116">
        <v>236.361855166162</v>
      </c>
      <c r="C910" s="116">
        <v>230.97877070876299</v>
      </c>
      <c r="D910" s="116">
        <v>229.15148515900401</v>
      </c>
      <c r="E910" s="116">
        <v>235.02843057579699</v>
      </c>
      <c r="F910" s="116">
        <v>233.85</v>
      </c>
      <c r="G910">
        <v>147523</v>
      </c>
      <c r="H910" s="116"/>
      <c r="I910" s="116"/>
      <c r="L910" s="170">
        <v>43340</v>
      </c>
      <c r="M910" s="116">
        <v>230.48514583560399</v>
      </c>
      <c r="N910" s="116">
        <v>236.36209727216601</v>
      </c>
      <c r="O910" s="116">
        <v>228.46031382804799</v>
      </c>
      <c r="P910" s="116">
        <v>234.09033453198199</v>
      </c>
      <c r="Q910" s="116">
        <v>233.35</v>
      </c>
      <c r="R910">
        <v>2374782</v>
      </c>
    </row>
    <row r="911" spans="1:18" x14ac:dyDescent="0.25">
      <c r="A911" s="170">
        <v>43341</v>
      </c>
      <c r="B911" s="116">
        <v>234.682727904221</v>
      </c>
      <c r="C911" s="116">
        <v>231.86772043567299</v>
      </c>
      <c r="D911" s="116">
        <v>230.18859317373199</v>
      </c>
      <c r="E911" s="116">
        <v>230.18859317373199</v>
      </c>
      <c r="F911" s="116">
        <v>234.75</v>
      </c>
      <c r="G911">
        <v>107255</v>
      </c>
      <c r="H911" s="116"/>
      <c r="I911" s="116"/>
      <c r="L911" s="170">
        <v>43341</v>
      </c>
      <c r="M911" s="116">
        <v>231.670413352221</v>
      </c>
      <c r="N911" s="116">
        <v>234.78174058334201</v>
      </c>
      <c r="O911" s="116">
        <v>229.84312593076899</v>
      </c>
      <c r="P911" s="116">
        <v>230.97900730086101</v>
      </c>
      <c r="Q911" s="116">
        <v>234.55</v>
      </c>
      <c r="R911">
        <v>1394661</v>
      </c>
    </row>
    <row r="912" spans="1:18" x14ac:dyDescent="0.25">
      <c r="A912" s="170">
        <v>43342</v>
      </c>
      <c r="B912" s="116">
        <v>234.979044479858</v>
      </c>
      <c r="C912" s="116">
        <v>233.299917217917</v>
      </c>
      <c r="D912" s="116">
        <v>229.44780173464</v>
      </c>
      <c r="E912" s="116">
        <v>230.13920707779201</v>
      </c>
      <c r="F912" s="116">
        <v>236.2</v>
      </c>
      <c r="G912">
        <v>141166</v>
      </c>
      <c r="H912" s="116"/>
      <c r="I912" s="116"/>
      <c r="L912" s="170">
        <v>43342</v>
      </c>
      <c r="M912" s="116">
        <v>233.102611601467</v>
      </c>
      <c r="N912" s="116">
        <v>234.386651411137</v>
      </c>
      <c r="O912" s="116">
        <v>229.25049217246001</v>
      </c>
      <c r="P912" s="116">
        <v>232.460591696633</v>
      </c>
      <c r="Q912" s="116">
        <v>236</v>
      </c>
      <c r="R912">
        <v>1921327</v>
      </c>
    </row>
    <row r="913" spans="1:18" x14ac:dyDescent="0.25">
      <c r="A913" s="170">
        <v>43343</v>
      </c>
      <c r="B913" s="116">
        <v>236.608785645859</v>
      </c>
      <c r="C913" s="116">
        <v>232.015878723491</v>
      </c>
      <c r="D913" s="116">
        <v>230.53429584530801</v>
      </c>
      <c r="E913" s="116">
        <v>234.929658383918</v>
      </c>
      <c r="F913" s="116">
        <v>234.9</v>
      </c>
      <c r="G913">
        <v>169722</v>
      </c>
      <c r="H913" s="116"/>
      <c r="I913" s="116"/>
      <c r="L913" s="170">
        <v>43343</v>
      </c>
      <c r="M913" s="116">
        <v>231.42348261959199</v>
      </c>
      <c r="N913" s="116">
        <v>236.80657259089801</v>
      </c>
      <c r="O913" s="116">
        <v>230.090056663398</v>
      </c>
      <c r="P913" s="116">
        <v>234.09033453198199</v>
      </c>
      <c r="Q913" s="116">
        <v>234.3</v>
      </c>
      <c r="R913">
        <v>3353833</v>
      </c>
    </row>
    <row r="914" spans="1:18" x14ac:dyDescent="0.25">
      <c r="A914" s="170">
        <v>43346</v>
      </c>
      <c r="B914" s="116">
        <v>240.51028722507499</v>
      </c>
      <c r="C914" s="116">
        <v>233.89255036918999</v>
      </c>
      <c r="D914" s="116">
        <v>231.126928996581</v>
      </c>
      <c r="E914" s="116">
        <v>231.126928996581</v>
      </c>
      <c r="F914" s="116">
        <v>236.8</v>
      </c>
      <c r="G914">
        <v>298684</v>
      </c>
      <c r="H914" s="116"/>
      <c r="I914" s="116"/>
      <c r="L914" s="170">
        <v>43346</v>
      </c>
      <c r="M914" s="116">
        <v>233.79401765282799</v>
      </c>
      <c r="N914" s="116">
        <v>240.559919726853</v>
      </c>
      <c r="O914" s="116">
        <v>232.164274817478</v>
      </c>
      <c r="P914" s="116">
        <v>233.102611601467</v>
      </c>
      <c r="Q914" s="116">
        <v>236.7</v>
      </c>
      <c r="R914">
        <v>5242852</v>
      </c>
    </row>
    <row r="915" spans="1:18" x14ac:dyDescent="0.25">
      <c r="A915" s="170">
        <v>43347</v>
      </c>
      <c r="B915" s="116">
        <v>236.855716125556</v>
      </c>
      <c r="C915" s="116">
        <v>221.15093761681399</v>
      </c>
      <c r="D915" s="116">
        <v>220.26198788990399</v>
      </c>
      <c r="E915" s="116">
        <v>236.855716125556</v>
      </c>
      <c r="F915" s="116">
        <v>223.9</v>
      </c>
      <c r="G915">
        <v>291716</v>
      </c>
      <c r="H915" s="116"/>
      <c r="I915" s="116"/>
      <c r="L915" s="170">
        <v>43347</v>
      </c>
      <c r="M915" s="116">
        <v>220.953619556137</v>
      </c>
      <c r="N915" s="116">
        <v>235.27560204860001</v>
      </c>
      <c r="O915" s="116">
        <v>219.867124332571</v>
      </c>
      <c r="P915" s="116">
        <v>235.27560204860001</v>
      </c>
      <c r="Q915" s="116">
        <v>223.7</v>
      </c>
      <c r="R915">
        <v>3554859</v>
      </c>
    </row>
    <row r="916" spans="1:18" x14ac:dyDescent="0.25">
      <c r="A916" s="170">
        <v>43348</v>
      </c>
      <c r="B916" s="116">
        <v>221.842342959966</v>
      </c>
      <c r="C916" s="116">
        <v>219.12610768329699</v>
      </c>
      <c r="D916" s="116">
        <v>212.90345959492799</v>
      </c>
      <c r="E916" s="116">
        <v>220.21260179396501</v>
      </c>
      <c r="F916" s="116">
        <v>221.85</v>
      </c>
      <c r="G916">
        <v>247575</v>
      </c>
      <c r="H916" s="116"/>
      <c r="I916" s="116"/>
      <c r="L916" s="170">
        <v>43348</v>
      </c>
      <c r="M916" s="116">
        <v>219.669579746468</v>
      </c>
      <c r="N916" s="116">
        <v>221.84257019360001</v>
      </c>
      <c r="O916" s="116">
        <v>212.55797464676201</v>
      </c>
      <c r="P916" s="116">
        <v>219.27449057426199</v>
      </c>
      <c r="Q916" s="116">
        <v>222.4</v>
      </c>
      <c r="R916">
        <v>3023097</v>
      </c>
    </row>
    <row r="917" spans="1:18" x14ac:dyDescent="0.25">
      <c r="A917" s="170">
        <v>43349</v>
      </c>
      <c r="B917" s="116">
        <v>222.18804563154299</v>
      </c>
      <c r="C917" s="116">
        <v>217.94084138075101</v>
      </c>
      <c r="D917" s="116">
        <v>215.81723925535499</v>
      </c>
      <c r="E917" s="116">
        <v>222.13865953560301</v>
      </c>
      <c r="F917" s="116">
        <v>220.65</v>
      </c>
      <c r="G917">
        <v>136803</v>
      </c>
      <c r="H917" s="116"/>
      <c r="I917" s="116"/>
      <c r="L917" s="170">
        <v>43349</v>
      </c>
      <c r="M917" s="116">
        <v>218.33615379027299</v>
      </c>
      <c r="N917" s="116">
        <v>222.237659365806</v>
      </c>
      <c r="O917" s="116">
        <v>215.52114343830601</v>
      </c>
      <c r="P917" s="116">
        <v>221.249936435291</v>
      </c>
      <c r="Q917" s="116">
        <v>221.05</v>
      </c>
      <c r="R917">
        <v>1738824</v>
      </c>
    </row>
    <row r="918" spans="1:18" x14ac:dyDescent="0.25">
      <c r="A918" s="170">
        <v>43350</v>
      </c>
      <c r="B918" s="116">
        <v>221.89172905590601</v>
      </c>
      <c r="C918" s="116">
        <v>220.50891836960199</v>
      </c>
      <c r="D918" s="116">
        <v>216.607416790386</v>
      </c>
      <c r="E918" s="116">
        <v>218.33593014826599</v>
      </c>
      <c r="F918" s="116">
        <v>223.25</v>
      </c>
      <c r="G918">
        <v>112055</v>
      </c>
      <c r="H918" s="116"/>
      <c r="I918" s="116"/>
      <c r="L918" s="170">
        <v>43350</v>
      </c>
      <c r="M918" s="116">
        <v>220.21282735825099</v>
      </c>
      <c r="N918" s="116">
        <v>221.743797900548</v>
      </c>
      <c r="O918" s="116">
        <v>216.410094075769</v>
      </c>
      <c r="P918" s="116">
        <v>218.286767643747</v>
      </c>
      <c r="Q918" s="116">
        <v>222.95</v>
      </c>
      <c r="R918">
        <v>1232507</v>
      </c>
    </row>
    <row r="919" spans="1:18" x14ac:dyDescent="0.25">
      <c r="A919" s="170">
        <v>43353</v>
      </c>
      <c r="B919" s="116">
        <v>232.31219529912801</v>
      </c>
      <c r="C919" s="116">
        <v>220.01505741020699</v>
      </c>
      <c r="D919" s="116">
        <v>218.286544052327</v>
      </c>
      <c r="E919" s="116">
        <v>221.24970980869301</v>
      </c>
      <c r="F919" s="116">
        <v>222.75</v>
      </c>
      <c r="G919">
        <v>692748</v>
      </c>
      <c r="H919" s="116"/>
      <c r="I919" s="116"/>
      <c r="L919" s="170">
        <v>43353</v>
      </c>
      <c r="M919" s="116">
        <v>219.27449057426199</v>
      </c>
      <c r="N919" s="116">
        <v>232.26304711053001</v>
      </c>
      <c r="O919" s="116">
        <v>217.941064618067</v>
      </c>
      <c r="P919" s="116">
        <v>219.76835203951899</v>
      </c>
      <c r="Q919" s="116">
        <v>222</v>
      </c>
      <c r="R919">
        <v>7514106</v>
      </c>
    </row>
    <row r="920" spans="1:18" x14ac:dyDescent="0.25">
      <c r="A920" s="170">
        <v>43354</v>
      </c>
      <c r="B920" s="116">
        <v>222.53374830311901</v>
      </c>
      <c r="C920" s="116">
        <v>213.693637129959</v>
      </c>
      <c r="D920" s="116">
        <v>212.50837082741199</v>
      </c>
      <c r="E920" s="116">
        <v>220.26198788990399</v>
      </c>
      <c r="F920" s="116">
        <v>216.35</v>
      </c>
      <c r="G920">
        <v>306437</v>
      </c>
      <c r="H920" s="116"/>
      <c r="I920" s="116"/>
      <c r="L920" s="170">
        <v>43354</v>
      </c>
      <c r="M920" s="116">
        <v>213.348152991174</v>
      </c>
      <c r="N920" s="116">
        <v>222.63274853801201</v>
      </c>
      <c r="O920" s="116">
        <v>212.21227162108201</v>
      </c>
      <c r="P920" s="116">
        <v>219.76835203951899</v>
      </c>
      <c r="Q920" s="116">
        <v>216</v>
      </c>
      <c r="R920">
        <v>3508990</v>
      </c>
    </row>
    <row r="921" spans="1:18" x14ac:dyDescent="0.25">
      <c r="A921" s="170">
        <v>43355</v>
      </c>
      <c r="B921" s="116">
        <v>221.24970980869301</v>
      </c>
      <c r="C921" s="116">
        <v>219.61996864269199</v>
      </c>
      <c r="D921" s="116">
        <v>210.137838222319</v>
      </c>
      <c r="E921" s="116">
        <v>216.360486310689</v>
      </c>
      <c r="F921" s="116">
        <v>222.35</v>
      </c>
      <c r="G921">
        <v>356555</v>
      </c>
      <c r="H921" s="116"/>
      <c r="I921" s="116"/>
      <c r="L921" s="170">
        <v>43355</v>
      </c>
      <c r="M921" s="116">
        <v>219.91651047909599</v>
      </c>
      <c r="N921" s="116">
        <v>220.953619556137</v>
      </c>
      <c r="O921" s="116">
        <v>210.03928117394901</v>
      </c>
      <c r="P921" s="116">
        <v>213.693856016854</v>
      </c>
      <c r="Q921" s="116">
        <v>222.65</v>
      </c>
      <c r="R921">
        <v>4570939</v>
      </c>
    </row>
    <row r="922" spans="1:18" x14ac:dyDescent="0.25">
      <c r="A922" s="170">
        <v>43357</v>
      </c>
      <c r="B922" s="116">
        <v>232.85544235446201</v>
      </c>
      <c r="C922" s="116">
        <v>230.28736536561101</v>
      </c>
      <c r="D922" s="116">
        <v>221.00277932899601</v>
      </c>
      <c r="E922" s="116">
        <v>221.24970980869301</v>
      </c>
      <c r="F922" s="116">
        <v>233.15</v>
      </c>
      <c r="G922">
        <v>408374</v>
      </c>
      <c r="H922" s="116"/>
      <c r="I922" s="116"/>
      <c r="L922" s="170">
        <v>43357</v>
      </c>
      <c r="M922" s="116">
        <v>231.077779593912</v>
      </c>
      <c r="N922" s="116">
        <v>233.79401765282799</v>
      </c>
      <c r="O922" s="116">
        <v>220.55853038393099</v>
      </c>
      <c r="P922" s="116">
        <v>220.70668882350799</v>
      </c>
      <c r="Q922" s="116">
        <v>233.95</v>
      </c>
      <c r="R922">
        <v>6377909</v>
      </c>
    </row>
    <row r="923" spans="1:18" x14ac:dyDescent="0.25">
      <c r="A923" s="170">
        <v>43360</v>
      </c>
      <c r="B923" s="116">
        <v>234.188866944827</v>
      </c>
      <c r="C923" s="116">
        <v>233.052986738219</v>
      </c>
      <c r="D923" s="116">
        <v>228.01560495239701</v>
      </c>
      <c r="E923" s="116">
        <v>232.015878723491</v>
      </c>
      <c r="F923" s="116">
        <v>235.95</v>
      </c>
      <c r="G923">
        <v>139989</v>
      </c>
      <c r="H923" s="116"/>
      <c r="I923" s="116"/>
      <c r="L923" s="170">
        <v>43360</v>
      </c>
      <c r="M923" s="116">
        <v>233.69524535977601</v>
      </c>
      <c r="N923" s="116">
        <v>235.07805746249699</v>
      </c>
      <c r="O923" s="116">
        <v>227.423204751008</v>
      </c>
      <c r="P923" s="116">
        <v>230.28760124950099</v>
      </c>
      <c r="Q923" s="116">
        <v>236.6</v>
      </c>
      <c r="R923">
        <v>3170894</v>
      </c>
    </row>
    <row r="924" spans="1:18" x14ac:dyDescent="0.25">
      <c r="A924" s="170">
        <v>43361</v>
      </c>
      <c r="B924" s="116">
        <v>236.06553859052499</v>
      </c>
      <c r="C924" s="116">
        <v>231.768948243794</v>
      </c>
      <c r="D924" s="116">
        <v>230.484909749369</v>
      </c>
      <c r="E924" s="116">
        <v>234.979044479858</v>
      </c>
      <c r="F924" s="116">
        <v>234.65</v>
      </c>
      <c r="G924">
        <v>182478</v>
      </c>
      <c r="H924" s="116"/>
      <c r="I924" s="116"/>
      <c r="L924" s="170">
        <v>43361</v>
      </c>
      <c r="M924" s="116">
        <v>232.164274817478</v>
      </c>
      <c r="N924" s="116">
        <v>236.31271112563999</v>
      </c>
      <c r="O924" s="116">
        <v>230.63330427518099</v>
      </c>
      <c r="P924" s="116">
        <v>234.97928516944501</v>
      </c>
      <c r="Q924" s="116">
        <v>235.05</v>
      </c>
      <c r="R924">
        <v>2614794</v>
      </c>
    </row>
    <row r="925" spans="1:18" x14ac:dyDescent="0.25">
      <c r="A925" s="170">
        <v>43362</v>
      </c>
      <c r="B925" s="116">
        <v>234.38641132858399</v>
      </c>
      <c r="C925" s="116">
        <v>231.57140386003601</v>
      </c>
      <c r="D925" s="116">
        <v>230.633068037187</v>
      </c>
      <c r="E925" s="116">
        <v>233.20114502603801</v>
      </c>
      <c r="F925" s="116">
        <v>234.45</v>
      </c>
      <c r="G925">
        <v>113160</v>
      </c>
      <c r="H925" s="116"/>
      <c r="I925" s="116"/>
      <c r="L925" s="170">
        <v>43362</v>
      </c>
      <c r="M925" s="116">
        <v>232.016116377901</v>
      </c>
      <c r="N925" s="116">
        <v>234.28787911808499</v>
      </c>
      <c r="O925" s="116">
        <v>230.583918128655</v>
      </c>
      <c r="P925" s="116">
        <v>233.05322545494201</v>
      </c>
      <c r="Q925" s="116">
        <v>234.9</v>
      </c>
      <c r="R925">
        <v>1362058</v>
      </c>
    </row>
    <row r="926" spans="1:18" x14ac:dyDescent="0.25">
      <c r="A926" s="170">
        <v>43364</v>
      </c>
      <c r="B926" s="116">
        <v>234.090094752948</v>
      </c>
      <c r="C926" s="116">
        <v>231.17631509252101</v>
      </c>
      <c r="D926" s="116">
        <v>225.29936967572701</v>
      </c>
      <c r="E926" s="116">
        <v>233.151758930098</v>
      </c>
      <c r="F926" s="116">
        <v>234.05</v>
      </c>
      <c r="G926">
        <v>280222</v>
      </c>
      <c r="H926" s="116"/>
      <c r="I926" s="116"/>
      <c r="L926" s="170">
        <v>43364</v>
      </c>
      <c r="M926" s="116">
        <v>231.71979949874699</v>
      </c>
      <c r="N926" s="116">
        <v>234.09033453198199</v>
      </c>
      <c r="O926" s="116">
        <v>225.15144201082401</v>
      </c>
      <c r="P926" s="116">
        <v>232.11488867095301</v>
      </c>
      <c r="Q926" s="116">
        <v>234.6</v>
      </c>
      <c r="R926">
        <v>5395319</v>
      </c>
    </row>
    <row r="927" spans="1:18" x14ac:dyDescent="0.25">
      <c r="A927" s="170">
        <v>43367</v>
      </c>
      <c r="B927" s="116">
        <v>236.31246907022299</v>
      </c>
      <c r="C927" s="116">
        <v>229.44780173464</v>
      </c>
      <c r="D927" s="116">
        <v>227.66990228082</v>
      </c>
      <c r="E927" s="116">
        <v>229.29964344682199</v>
      </c>
      <c r="F927" s="116">
        <v>232.3</v>
      </c>
      <c r="G927">
        <v>255860</v>
      </c>
      <c r="H927" s="116"/>
      <c r="I927" s="116"/>
      <c r="L927" s="170">
        <v>43367</v>
      </c>
      <c r="M927" s="116">
        <v>230.435759689078</v>
      </c>
      <c r="N927" s="116">
        <v>236.263324979114</v>
      </c>
      <c r="O927" s="116">
        <v>227.917066216265</v>
      </c>
      <c r="P927" s="116">
        <v>230.68269042170601</v>
      </c>
      <c r="Q927" s="116">
        <v>233.3</v>
      </c>
      <c r="R927">
        <v>3423509</v>
      </c>
    </row>
    <row r="928" spans="1:18" x14ac:dyDescent="0.25">
      <c r="A928" s="170">
        <v>43368</v>
      </c>
      <c r="B928" s="116">
        <v>233.546847697614</v>
      </c>
      <c r="C928" s="116">
        <v>232.70728406664301</v>
      </c>
      <c r="D928" s="116">
        <v>229.05271296712499</v>
      </c>
      <c r="E928" s="116">
        <v>230.43552365342899</v>
      </c>
      <c r="F928" s="116">
        <v>235.6</v>
      </c>
      <c r="G928">
        <v>217227</v>
      </c>
      <c r="H928" s="116"/>
      <c r="I928" s="116"/>
      <c r="L928" s="170">
        <v>43368</v>
      </c>
      <c r="M928" s="116">
        <v>233.20138389451901</v>
      </c>
      <c r="N928" s="116">
        <v>233.84340379935301</v>
      </c>
      <c r="O928" s="116">
        <v>229.151719879409</v>
      </c>
      <c r="P928" s="116">
        <v>230.435759689078</v>
      </c>
      <c r="Q928" s="116">
        <v>236.1</v>
      </c>
      <c r="R928">
        <v>2349368</v>
      </c>
    </row>
    <row r="929" spans="1:18" x14ac:dyDescent="0.25">
      <c r="A929" s="170">
        <v>43369</v>
      </c>
      <c r="B929" s="116">
        <v>237.05326050931399</v>
      </c>
      <c r="C929" s="116">
        <v>231.62078995597599</v>
      </c>
      <c r="D929" s="116">
        <v>229.64534611839801</v>
      </c>
      <c r="E929" s="116">
        <v>234.583955712342</v>
      </c>
      <c r="F929" s="116">
        <v>234.5</v>
      </c>
      <c r="G929">
        <v>138088</v>
      </c>
      <c r="H929" s="116"/>
      <c r="I929" s="116"/>
      <c r="L929" s="170">
        <v>43369</v>
      </c>
      <c r="M929" s="116">
        <v>231.374096473067</v>
      </c>
      <c r="N929" s="116">
        <v>237.053503323526</v>
      </c>
      <c r="O929" s="116">
        <v>229.645581344666</v>
      </c>
      <c r="P929" s="116">
        <v>237.053503323526</v>
      </c>
      <c r="Q929" s="116">
        <v>234.25</v>
      </c>
      <c r="R929">
        <v>2240909</v>
      </c>
    </row>
    <row r="930" spans="1:18" x14ac:dyDescent="0.25">
      <c r="A930" s="170">
        <v>43370</v>
      </c>
      <c r="B930" s="116">
        <v>233.10237283415901</v>
      </c>
      <c r="C930" s="116">
        <v>229.250257350883</v>
      </c>
      <c r="D930" s="116">
        <v>227.86744666457801</v>
      </c>
      <c r="E930" s="116">
        <v>230.633068037187</v>
      </c>
      <c r="F930" s="116">
        <v>232.1</v>
      </c>
      <c r="G930">
        <v>555018</v>
      </c>
      <c r="H930" s="116"/>
      <c r="I930" s="116"/>
      <c r="L930" s="170">
        <v>43370</v>
      </c>
      <c r="M930" s="116">
        <v>230.38637354255201</v>
      </c>
      <c r="N930" s="116">
        <v>233.892789945879</v>
      </c>
      <c r="O930" s="116">
        <v>228.26276924194499</v>
      </c>
      <c r="P930" s="116">
        <v>231.670413352221</v>
      </c>
      <c r="Q930" s="116">
        <v>233.25</v>
      </c>
      <c r="R930">
        <v>5082859</v>
      </c>
    </row>
    <row r="931" spans="1:18" x14ac:dyDescent="0.25">
      <c r="A931" s="170">
        <v>43371</v>
      </c>
      <c r="B931" s="116">
        <v>232.55912577882501</v>
      </c>
      <c r="C931" s="116">
        <v>230.33675146154999</v>
      </c>
      <c r="D931" s="116">
        <v>227.571130088942</v>
      </c>
      <c r="E931" s="116">
        <v>230.78122632500501</v>
      </c>
      <c r="F931" s="116">
        <v>233.2</v>
      </c>
      <c r="G931">
        <v>158832</v>
      </c>
      <c r="H931" s="116"/>
      <c r="I931" s="116"/>
      <c r="L931" s="170">
        <v>43371</v>
      </c>
      <c r="M931" s="116">
        <v>230.88023500780901</v>
      </c>
      <c r="N931" s="116">
        <v>233.05322545494201</v>
      </c>
      <c r="O931" s="116">
        <v>227.37381860448201</v>
      </c>
      <c r="P931" s="116">
        <v>231.17655188696401</v>
      </c>
      <c r="Q931" s="116">
        <v>233.75</v>
      </c>
      <c r="R931">
        <v>3069914</v>
      </c>
    </row>
    <row r="932" spans="1:18" x14ac:dyDescent="0.25">
      <c r="A932" s="170">
        <v>43374</v>
      </c>
      <c r="B932" s="116">
        <v>232.11465091536999</v>
      </c>
      <c r="C932" s="116">
        <v>227.66990228082</v>
      </c>
      <c r="D932" s="116">
        <v>218.92856329953901</v>
      </c>
      <c r="E932" s="116">
        <v>232.015878723491</v>
      </c>
      <c r="F932" s="116">
        <v>230.5</v>
      </c>
      <c r="G932">
        <v>110715</v>
      </c>
      <c r="H932" s="116"/>
      <c r="I932" s="116"/>
      <c r="L932" s="170">
        <v>43374</v>
      </c>
      <c r="M932" s="116">
        <v>228.065224655843</v>
      </c>
      <c r="N932" s="116">
        <v>231.71979949874699</v>
      </c>
      <c r="O932" s="116">
        <v>218.33615379027299</v>
      </c>
      <c r="P932" s="116">
        <v>231.670413352221</v>
      </c>
      <c r="Q932" s="116">
        <v>230.9</v>
      </c>
      <c r="R932">
        <v>1534749</v>
      </c>
    </row>
    <row r="933" spans="1:18" x14ac:dyDescent="0.25">
      <c r="A933" s="170">
        <v>43376</v>
      </c>
      <c r="B933" s="116">
        <v>234.48518352046301</v>
      </c>
      <c r="C933" s="116">
        <v>224.80550871633301</v>
      </c>
      <c r="D933" s="116">
        <v>222.68190659093699</v>
      </c>
      <c r="E933" s="116">
        <v>228.855168583367</v>
      </c>
      <c r="F933" s="116">
        <v>227.6</v>
      </c>
      <c r="G933">
        <v>106738</v>
      </c>
      <c r="H933" s="116"/>
      <c r="I933" s="116"/>
      <c r="L933" s="170">
        <v>43376</v>
      </c>
      <c r="M933" s="116">
        <v>224.80573898514399</v>
      </c>
      <c r="N933" s="116">
        <v>234.58419599723899</v>
      </c>
      <c r="O933" s="116">
        <v>222.978451563692</v>
      </c>
      <c r="P933" s="116">
        <v>227.17627401837899</v>
      </c>
      <c r="Q933" s="116">
        <v>227.6</v>
      </c>
      <c r="R933">
        <v>1708590</v>
      </c>
    </row>
    <row r="934" spans="1:18" x14ac:dyDescent="0.25">
      <c r="A934" s="170">
        <v>43377</v>
      </c>
      <c r="B934" s="116">
        <v>225.00305310009099</v>
      </c>
      <c r="C934" s="116">
        <v>215.471536583779</v>
      </c>
      <c r="D934" s="116">
        <v>213.34793445838301</v>
      </c>
      <c r="E934" s="116">
        <v>219.27426597111599</v>
      </c>
      <c r="F934" s="116">
        <v>218.15</v>
      </c>
      <c r="G934">
        <v>131644</v>
      </c>
      <c r="H934" s="116"/>
      <c r="I934" s="116"/>
      <c r="L934" s="170">
        <v>43377</v>
      </c>
      <c r="M934" s="116">
        <v>215.52114343830601</v>
      </c>
      <c r="N934" s="116">
        <v>225.00328357124701</v>
      </c>
      <c r="O934" s="116">
        <v>213.49631143075101</v>
      </c>
      <c r="P934" s="116">
        <v>220.75607497003401</v>
      </c>
      <c r="Q934" s="116">
        <v>218.2</v>
      </c>
      <c r="R934">
        <v>1728786</v>
      </c>
    </row>
    <row r="935" spans="1:18" x14ac:dyDescent="0.25">
      <c r="A935" s="170">
        <v>43378</v>
      </c>
      <c r="B935" s="116">
        <v>216.113555830991</v>
      </c>
      <c r="C935" s="116">
        <v>206.828969794377</v>
      </c>
      <c r="D935" s="116">
        <v>203.371943078616</v>
      </c>
      <c r="E935" s="116">
        <v>215.81723925535499</v>
      </c>
      <c r="F935" s="116">
        <v>209.4</v>
      </c>
      <c r="G935">
        <v>203127</v>
      </c>
      <c r="H935" s="116"/>
      <c r="I935" s="116"/>
      <c r="L935" s="170">
        <v>43378</v>
      </c>
      <c r="M935" s="116">
        <v>206.63163706367399</v>
      </c>
      <c r="N935" s="116">
        <v>215.916232610512</v>
      </c>
      <c r="O935" s="116">
        <v>203.37215139297501</v>
      </c>
      <c r="P935" s="116">
        <v>214.335875921688</v>
      </c>
      <c r="Q935" s="116">
        <v>209.2</v>
      </c>
      <c r="R935">
        <v>3519515</v>
      </c>
    </row>
    <row r="936" spans="1:18" x14ac:dyDescent="0.25">
      <c r="A936" s="170">
        <v>43381</v>
      </c>
      <c r="B936" s="116">
        <v>218.68163281984201</v>
      </c>
      <c r="C936" s="116">
        <v>211.81696548426001</v>
      </c>
      <c r="D936" s="116">
        <v>204.507823285223</v>
      </c>
      <c r="E936" s="116">
        <v>205.34738691619299</v>
      </c>
      <c r="F936" s="116">
        <v>214.45</v>
      </c>
      <c r="G936">
        <v>265176</v>
      </c>
      <c r="H936" s="116"/>
      <c r="I936" s="116"/>
      <c r="L936" s="170">
        <v>43381</v>
      </c>
      <c r="M936" s="116">
        <v>212.50858850023599</v>
      </c>
      <c r="N936" s="116">
        <v>219.52142130689001</v>
      </c>
      <c r="O936" s="116">
        <v>204.31048817696399</v>
      </c>
      <c r="P936" s="116">
        <v>205.44636954705601</v>
      </c>
      <c r="Q936" s="116">
        <v>215.15</v>
      </c>
      <c r="R936">
        <v>4642146</v>
      </c>
    </row>
    <row r="937" spans="1:18" x14ac:dyDescent="0.25">
      <c r="A937" s="170">
        <v>43382</v>
      </c>
      <c r="B937" s="116">
        <v>216.26171411881</v>
      </c>
      <c r="C937" s="116">
        <v>213.446706650262</v>
      </c>
      <c r="D937" s="116">
        <v>206.63142541061899</v>
      </c>
      <c r="E937" s="116">
        <v>216.26171411881</v>
      </c>
      <c r="F937" s="116">
        <v>216.1</v>
      </c>
      <c r="G937">
        <v>137318</v>
      </c>
      <c r="H937" s="116"/>
      <c r="I937" s="116"/>
      <c r="L937" s="170">
        <v>43382</v>
      </c>
      <c r="M937" s="116">
        <v>213.842014456431</v>
      </c>
      <c r="N937" s="116">
        <v>216.45948022229501</v>
      </c>
      <c r="O937" s="116">
        <v>207.02672623588001</v>
      </c>
      <c r="P937" s="116">
        <v>212.85429152591601</v>
      </c>
      <c r="Q937" s="116">
        <v>216.5</v>
      </c>
      <c r="R937">
        <v>1844462</v>
      </c>
    </row>
    <row r="938" spans="1:18" x14ac:dyDescent="0.25">
      <c r="A938" s="170">
        <v>43383</v>
      </c>
      <c r="B938" s="116">
        <v>226.97849693766801</v>
      </c>
      <c r="C938" s="116">
        <v>225.29936967572701</v>
      </c>
      <c r="D938" s="116">
        <v>213.15039007462499</v>
      </c>
      <c r="E938" s="116">
        <v>213.19977617056401</v>
      </c>
      <c r="F938" s="116">
        <v>228.1</v>
      </c>
      <c r="G938">
        <v>193306</v>
      </c>
      <c r="H938" s="116"/>
      <c r="I938" s="116"/>
      <c r="L938" s="170">
        <v>43383</v>
      </c>
      <c r="M938" s="116">
        <v>225.59591732955599</v>
      </c>
      <c r="N938" s="116">
        <v>226.83057099269899</v>
      </c>
      <c r="O938" s="116">
        <v>212.36043006065901</v>
      </c>
      <c r="P938" s="116">
        <v>212.36043006065901</v>
      </c>
      <c r="Q938" s="116">
        <v>228.4</v>
      </c>
      <c r="R938">
        <v>2919278</v>
      </c>
    </row>
    <row r="939" spans="1:18" x14ac:dyDescent="0.25">
      <c r="A939" s="170">
        <v>43384</v>
      </c>
      <c r="B939" s="116">
        <v>227.02788303360799</v>
      </c>
      <c r="C939" s="116">
        <v>221.595412480269</v>
      </c>
      <c r="D939" s="116">
        <v>214.73074514468701</v>
      </c>
      <c r="E939" s="116">
        <v>219.27426597111599</v>
      </c>
      <c r="F939" s="116">
        <v>224.35</v>
      </c>
      <c r="G939">
        <v>162494</v>
      </c>
      <c r="H939" s="116"/>
      <c r="I939" s="116"/>
      <c r="L939" s="170">
        <v>43384</v>
      </c>
      <c r="M939" s="116">
        <v>221.84257019360001</v>
      </c>
      <c r="N939" s="116">
        <v>226.87995713922501</v>
      </c>
      <c r="O939" s="116">
        <v>212.36043006065901</v>
      </c>
      <c r="P939" s="116">
        <v>212.36043006065901</v>
      </c>
      <c r="Q939" s="116">
        <v>224.6</v>
      </c>
      <c r="R939">
        <v>1293881</v>
      </c>
    </row>
    <row r="940" spans="1:18" x14ac:dyDescent="0.25">
      <c r="A940" s="170">
        <v>43385</v>
      </c>
      <c r="B940" s="116">
        <v>229.250257350883</v>
      </c>
      <c r="C940" s="116">
        <v>225.89200282700099</v>
      </c>
      <c r="D940" s="116">
        <v>221.89172905590601</v>
      </c>
      <c r="E940" s="116">
        <v>221.941115151845</v>
      </c>
      <c r="F940" s="116">
        <v>228.7</v>
      </c>
      <c r="G940">
        <v>83885</v>
      </c>
      <c r="H940" s="116"/>
      <c r="I940" s="116"/>
      <c r="L940" s="170">
        <v>43385</v>
      </c>
      <c r="M940" s="116">
        <v>226.28732338091601</v>
      </c>
      <c r="N940" s="116">
        <v>229.497422905089</v>
      </c>
      <c r="O940" s="116">
        <v>222.73152083106299</v>
      </c>
      <c r="P940" s="116">
        <v>223.472313028949</v>
      </c>
      <c r="Q940" s="116">
        <v>229.1</v>
      </c>
      <c r="R940">
        <v>1165527</v>
      </c>
    </row>
    <row r="941" spans="1:18" x14ac:dyDescent="0.25">
      <c r="A941" s="170">
        <v>43388</v>
      </c>
      <c r="B941" s="116">
        <v>233.793778177311</v>
      </c>
      <c r="C941" s="116">
        <v>231.17631509252101</v>
      </c>
      <c r="D941" s="116">
        <v>223.96594508536199</v>
      </c>
      <c r="E941" s="116">
        <v>229.15148515900401</v>
      </c>
      <c r="F941" s="116">
        <v>234.05</v>
      </c>
      <c r="G941">
        <v>154538</v>
      </c>
      <c r="H941" s="116"/>
      <c r="I941" s="116"/>
      <c r="L941" s="170">
        <v>43388</v>
      </c>
      <c r="M941" s="116">
        <v>232.016116377901</v>
      </c>
      <c r="N941" s="116">
        <v>234.09033453198199</v>
      </c>
      <c r="O941" s="116">
        <v>224.01556064073199</v>
      </c>
      <c r="P941" s="116">
        <v>226.87995713922501</v>
      </c>
      <c r="Q941" s="116">
        <v>234.9</v>
      </c>
      <c r="R941">
        <v>1224339</v>
      </c>
    </row>
    <row r="942" spans="1:18" x14ac:dyDescent="0.25">
      <c r="A942" s="170">
        <v>43389</v>
      </c>
      <c r="B942" s="116">
        <v>234.73211400016001</v>
      </c>
      <c r="C942" s="116">
        <v>231.62078995597599</v>
      </c>
      <c r="D942" s="116">
        <v>229.842890502156</v>
      </c>
      <c r="E942" s="116">
        <v>234.188866944827</v>
      </c>
      <c r="F942" s="116">
        <v>234.5</v>
      </c>
      <c r="G942">
        <v>105604</v>
      </c>
      <c r="H942" s="116"/>
      <c r="I942" s="116"/>
      <c r="L942" s="170">
        <v>43389</v>
      </c>
      <c r="M942" s="116">
        <v>232.55936398968399</v>
      </c>
      <c r="N942" s="116">
        <v>234.78174058334201</v>
      </c>
      <c r="O942" s="116">
        <v>230.18882895644899</v>
      </c>
      <c r="P942" s="116">
        <v>234.189106825034</v>
      </c>
      <c r="Q942" s="116">
        <v>235.45</v>
      </c>
      <c r="R942">
        <v>1723113</v>
      </c>
    </row>
    <row r="943" spans="1:18" x14ac:dyDescent="0.25">
      <c r="A943" s="170">
        <v>43390</v>
      </c>
      <c r="B943" s="116">
        <v>237.54712146870901</v>
      </c>
      <c r="C943" s="116">
        <v>228.26253543209401</v>
      </c>
      <c r="D943" s="116">
        <v>227.02788303360799</v>
      </c>
      <c r="E943" s="116">
        <v>235.176588863615</v>
      </c>
      <c r="F943" s="116">
        <v>231.1</v>
      </c>
      <c r="G943">
        <v>204304</v>
      </c>
      <c r="H943" s="116"/>
      <c r="I943" s="116"/>
      <c r="L943" s="170">
        <v>43390</v>
      </c>
      <c r="M943" s="116">
        <v>228.26276924194499</v>
      </c>
      <c r="N943" s="116">
        <v>237.843681667938</v>
      </c>
      <c r="O943" s="116">
        <v>226.633026406596</v>
      </c>
      <c r="P943" s="116">
        <v>234.78174058334201</v>
      </c>
      <c r="Q943" s="116">
        <v>231.1</v>
      </c>
      <c r="R943">
        <v>2945914</v>
      </c>
    </row>
    <row r="944" spans="1:18" x14ac:dyDescent="0.25">
      <c r="A944" s="170">
        <v>43392</v>
      </c>
      <c r="B944" s="116">
        <v>229.69473221433699</v>
      </c>
      <c r="C944" s="116">
        <v>224.85489481227199</v>
      </c>
      <c r="D944" s="116">
        <v>223.225153646271</v>
      </c>
      <c r="E944" s="116">
        <v>227.176041321426</v>
      </c>
      <c r="F944" s="116">
        <v>227.65</v>
      </c>
      <c r="G944">
        <v>104719</v>
      </c>
      <c r="H944" s="116"/>
      <c r="I944" s="116"/>
      <c r="L944" s="170">
        <v>43392</v>
      </c>
      <c r="M944" s="116">
        <v>224.410649812938</v>
      </c>
      <c r="N944" s="116">
        <v>229.84312593076899</v>
      </c>
      <c r="O944" s="116">
        <v>222.73152083106299</v>
      </c>
      <c r="P944" s="116">
        <v>227.47259089753399</v>
      </c>
      <c r="Q944" s="116">
        <v>227.2</v>
      </c>
      <c r="R944">
        <v>1527904</v>
      </c>
    </row>
    <row r="945" spans="1:18" x14ac:dyDescent="0.25">
      <c r="A945" s="170">
        <v>43395</v>
      </c>
      <c r="B945" s="116">
        <v>228.65762419960899</v>
      </c>
      <c r="C945" s="116">
        <v>220.75584884929901</v>
      </c>
      <c r="D945" s="116">
        <v>219.76812693050999</v>
      </c>
      <c r="E945" s="116">
        <v>225.69445844324301</v>
      </c>
      <c r="F945" s="116">
        <v>223.5</v>
      </c>
      <c r="G945">
        <v>105227</v>
      </c>
      <c r="H945" s="116"/>
      <c r="I945" s="116"/>
      <c r="L945" s="170">
        <v>43395</v>
      </c>
      <c r="M945" s="116">
        <v>220.509144237405</v>
      </c>
      <c r="N945" s="116">
        <v>228.75663070720299</v>
      </c>
      <c r="O945" s="116">
        <v>219.27449057426199</v>
      </c>
      <c r="P945" s="116">
        <v>226.633026406596</v>
      </c>
      <c r="Q945" s="116">
        <v>223.25</v>
      </c>
      <c r="R945">
        <v>3529711</v>
      </c>
    </row>
    <row r="946" spans="1:18" x14ac:dyDescent="0.25">
      <c r="A946" s="170">
        <v>43396</v>
      </c>
      <c r="B946" s="116">
        <v>219.27426597111599</v>
      </c>
      <c r="C946" s="116">
        <v>216.21232802287</v>
      </c>
      <c r="D946" s="116">
        <v>212.45898473147301</v>
      </c>
      <c r="E946" s="116">
        <v>212.557756923352</v>
      </c>
      <c r="F946" s="116">
        <v>218.9</v>
      </c>
      <c r="G946">
        <v>67232</v>
      </c>
      <c r="H946" s="116"/>
      <c r="I946" s="116"/>
      <c r="L946" s="170">
        <v>43396</v>
      </c>
      <c r="M946" s="116">
        <v>215.619915731357</v>
      </c>
      <c r="N946" s="116">
        <v>219.47203516036501</v>
      </c>
      <c r="O946" s="116">
        <v>212.11349932803</v>
      </c>
      <c r="P946" s="116">
        <v>218.38553993679901</v>
      </c>
      <c r="Q946" s="116">
        <v>218.3</v>
      </c>
      <c r="R946">
        <v>1416279</v>
      </c>
    </row>
    <row r="947" spans="1:18" x14ac:dyDescent="0.25">
      <c r="A947" s="170">
        <v>43397</v>
      </c>
      <c r="B947" s="116">
        <v>218.58286062796299</v>
      </c>
      <c r="C947" s="116">
        <v>217.397594325417</v>
      </c>
      <c r="D947" s="116">
        <v>215.076447816263</v>
      </c>
      <c r="E947" s="116">
        <v>217.348208229477</v>
      </c>
      <c r="F947" s="116">
        <v>220.1</v>
      </c>
      <c r="G947">
        <v>53974</v>
      </c>
      <c r="H947" s="116"/>
      <c r="I947" s="116"/>
      <c r="L947" s="170">
        <v>43397</v>
      </c>
      <c r="M947" s="116">
        <v>217.10150012712899</v>
      </c>
      <c r="N947" s="116">
        <v>218.53369837637601</v>
      </c>
      <c r="O947" s="116">
        <v>214.38526206821399</v>
      </c>
      <c r="P947" s="116">
        <v>217.39781700628399</v>
      </c>
      <c r="Q947" s="116">
        <v>219.8</v>
      </c>
      <c r="R947">
        <v>2171956</v>
      </c>
    </row>
    <row r="948" spans="1:18" x14ac:dyDescent="0.25">
      <c r="A948" s="170">
        <v>43398</v>
      </c>
      <c r="B948" s="116">
        <v>221.89172905590601</v>
      </c>
      <c r="C948" s="116">
        <v>219.57058254675201</v>
      </c>
      <c r="D948" s="116">
        <v>213.49609274620099</v>
      </c>
      <c r="E948" s="116">
        <v>215.32337829596</v>
      </c>
      <c r="F948" s="116">
        <v>222.3</v>
      </c>
      <c r="G948">
        <v>79392</v>
      </c>
      <c r="H948" s="116"/>
      <c r="I948" s="116"/>
      <c r="L948" s="170">
        <v>43398</v>
      </c>
      <c r="M948" s="116">
        <v>219.373262867313</v>
      </c>
      <c r="N948" s="116">
        <v>221.941342486651</v>
      </c>
      <c r="O948" s="116">
        <v>213.348152991174</v>
      </c>
      <c r="P948" s="116">
        <v>215.22482655915201</v>
      </c>
      <c r="Q948" s="116">
        <v>222.1</v>
      </c>
      <c r="R948">
        <v>3288126</v>
      </c>
    </row>
    <row r="949" spans="1:18" x14ac:dyDescent="0.25">
      <c r="A949" s="170">
        <v>43399</v>
      </c>
      <c r="B949" s="116">
        <v>219.71874083457101</v>
      </c>
      <c r="C949" s="116">
        <v>215.32337829596</v>
      </c>
      <c r="D949" s="116">
        <v>213.34793445838301</v>
      </c>
      <c r="E949" s="116">
        <v>219.37303816299399</v>
      </c>
      <c r="F949" s="116">
        <v>218</v>
      </c>
      <c r="G949">
        <v>109862</v>
      </c>
      <c r="H949" s="116"/>
      <c r="I949" s="116"/>
      <c r="L949" s="170">
        <v>43399</v>
      </c>
      <c r="M949" s="116">
        <v>214.92850967999701</v>
      </c>
      <c r="N949" s="116">
        <v>220.26221350477601</v>
      </c>
      <c r="O949" s="116">
        <v>213.10122225854499</v>
      </c>
      <c r="P949" s="116">
        <v>220.26221350477601</v>
      </c>
      <c r="Q949" s="116">
        <v>217.6</v>
      </c>
      <c r="R949">
        <v>1254856</v>
      </c>
    </row>
    <row r="950" spans="1:18" x14ac:dyDescent="0.25">
      <c r="A950" s="170">
        <v>43402</v>
      </c>
      <c r="B950" s="116">
        <v>218.48408843608399</v>
      </c>
      <c r="C950" s="116">
        <v>216.90373336602201</v>
      </c>
      <c r="D950" s="116">
        <v>214.38504247311101</v>
      </c>
      <c r="E950" s="116">
        <v>216.360486310689</v>
      </c>
      <c r="F950" s="116">
        <v>219.6</v>
      </c>
      <c r="G950">
        <v>220558</v>
      </c>
      <c r="H950" s="116"/>
      <c r="I950" s="116"/>
      <c r="L950" s="170">
        <v>43402</v>
      </c>
      <c r="M950" s="116">
        <v>217.29904471323201</v>
      </c>
      <c r="N950" s="116">
        <v>218.731242962479</v>
      </c>
      <c r="O950" s="116">
        <v>214.335875921688</v>
      </c>
      <c r="P950" s="116">
        <v>214.335875921688</v>
      </c>
      <c r="Q950" s="116">
        <v>220</v>
      </c>
      <c r="R950">
        <v>966687</v>
      </c>
    </row>
    <row r="951" spans="1:18" x14ac:dyDescent="0.25">
      <c r="A951" s="170">
        <v>43403</v>
      </c>
      <c r="B951" s="116">
        <v>225.645072347303</v>
      </c>
      <c r="C951" s="116">
        <v>224.114103373181</v>
      </c>
      <c r="D951" s="116">
        <v>216.90373336602201</v>
      </c>
      <c r="E951" s="116">
        <v>216.90373336602201</v>
      </c>
      <c r="F951" s="116">
        <v>226.9</v>
      </c>
      <c r="G951">
        <v>153525</v>
      </c>
      <c r="H951" s="116"/>
      <c r="I951" s="116"/>
      <c r="L951" s="170">
        <v>43403</v>
      </c>
      <c r="M951" s="116">
        <v>224.50942210599001</v>
      </c>
      <c r="N951" s="116">
        <v>225.991006501762</v>
      </c>
      <c r="O951" s="116">
        <v>216.706410954924</v>
      </c>
      <c r="P951" s="116">
        <v>218.18799535069601</v>
      </c>
      <c r="Q951" s="116">
        <v>227.3</v>
      </c>
      <c r="R951">
        <v>2230812</v>
      </c>
    </row>
    <row r="952" spans="1:18" x14ac:dyDescent="0.25">
      <c r="A952" s="170">
        <v>43404</v>
      </c>
      <c r="B952" s="116">
        <v>218.138385764508</v>
      </c>
      <c r="C952" s="116">
        <v>215.37276439190001</v>
      </c>
      <c r="D952" s="116">
        <v>203.223784790797</v>
      </c>
      <c r="E952" s="116">
        <v>217.29882213353801</v>
      </c>
      <c r="F952" s="116">
        <v>218.05</v>
      </c>
      <c r="G952">
        <v>635100</v>
      </c>
      <c r="H952" s="116"/>
      <c r="I952" s="116"/>
      <c r="L952" s="170">
        <v>43404</v>
      </c>
      <c r="M952" s="116">
        <v>215.17544041262599</v>
      </c>
      <c r="N952" s="116">
        <v>218.18799535069601</v>
      </c>
      <c r="O952" s="116">
        <v>202.483200755512</v>
      </c>
      <c r="P952" s="116">
        <v>215.52114343830601</v>
      </c>
      <c r="Q952" s="116">
        <v>217.85</v>
      </c>
      <c r="R952">
        <v>9609975</v>
      </c>
    </row>
    <row r="953" spans="1:18" x14ac:dyDescent="0.25">
      <c r="A953" s="170">
        <v>43405</v>
      </c>
      <c r="B953" s="116">
        <v>217.94084138075101</v>
      </c>
      <c r="C953" s="116">
        <v>214.92828952844499</v>
      </c>
      <c r="D953" s="116">
        <v>213.64425103401899</v>
      </c>
      <c r="E953" s="116">
        <v>214.33565637717101</v>
      </c>
      <c r="F953" s="116">
        <v>217.6</v>
      </c>
      <c r="G953">
        <v>118051</v>
      </c>
      <c r="H953" s="116"/>
      <c r="I953" s="116"/>
      <c r="L953" s="170">
        <v>43405</v>
      </c>
      <c r="M953" s="116">
        <v>215.07666811957401</v>
      </c>
      <c r="N953" s="116">
        <v>217.79290617849</v>
      </c>
      <c r="O953" s="116">
        <v>213.74324216337899</v>
      </c>
      <c r="P953" s="116">
        <v>215.32359885220299</v>
      </c>
      <c r="Q953" s="116">
        <v>217.75</v>
      </c>
      <c r="R953">
        <v>2117862</v>
      </c>
    </row>
    <row r="954" spans="1:18" x14ac:dyDescent="0.25">
      <c r="A954" s="170">
        <v>43406</v>
      </c>
      <c r="B954" s="116">
        <v>220.60769056148001</v>
      </c>
      <c r="C954" s="116">
        <v>214.78013124062599</v>
      </c>
      <c r="D954" s="116">
        <v>213.74302322589801</v>
      </c>
      <c r="E954" s="116">
        <v>214.33565637717101</v>
      </c>
      <c r="F954" s="116">
        <v>217.45</v>
      </c>
      <c r="G954">
        <v>123733</v>
      </c>
      <c r="H954" s="116"/>
      <c r="I954" s="116"/>
      <c r="L954" s="170">
        <v>43406</v>
      </c>
      <c r="M954" s="116">
        <v>214.977895826523</v>
      </c>
      <c r="N954" s="116">
        <v>220.75607497003401</v>
      </c>
      <c r="O954" s="116">
        <v>214.23710362863699</v>
      </c>
      <c r="P954" s="116">
        <v>217.29904471323201</v>
      </c>
      <c r="Q954" s="116">
        <v>217.65</v>
      </c>
      <c r="R954">
        <v>1701852</v>
      </c>
    </row>
    <row r="955" spans="1:18" x14ac:dyDescent="0.25">
      <c r="A955" s="170">
        <v>43409</v>
      </c>
      <c r="B955" s="116">
        <v>218.18777186044801</v>
      </c>
      <c r="C955" s="116">
        <v>216.31110021474899</v>
      </c>
      <c r="D955" s="116">
        <v>214.33565637717101</v>
      </c>
      <c r="E955" s="116">
        <v>214.33565637717101</v>
      </c>
      <c r="F955" s="116">
        <v>219</v>
      </c>
      <c r="G955">
        <v>76081</v>
      </c>
      <c r="H955" s="116"/>
      <c r="I955" s="116"/>
      <c r="L955" s="170">
        <v>43409</v>
      </c>
      <c r="M955" s="116">
        <v>217.150886273655</v>
      </c>
      <c r="N955" s="116">
        <v>218.63247066942699</v>
      </c>
      <c r="O955" s="116">
        <v>214.38526206821399</v>
      </c>
      <c r="P955" s="116">
        <v>214.82973738694599</v>
      </c>
      <c r="Q955" s="116">
        <v>219.85</v>
      </c>
      <c r="R955">
        <v>977010</v>
      </c>
    </row>
    <row r="956" spans="1:18" x14ac:dyDescent="0.25">
      <c r="A956" s="170">
        <v>43410</v>
      </c>
      <c r="B956" s="116">
        <v>219.027335491418</v>
      </c>
      <c r="C956" s="116">
        <v>211.71819329238099</v>
      </c>
      <c r="D956" s="116">
        <v>210.92801575735001</v>
      </c>
      <c r="E956" s="116">
        <v>218.92856329953901</v>
      </c>
      <c r="F956" s="116">
        <v>214.35</v>
      </c>
      <c r="G956">
        <v>137845</v>
      </c>
      <c r="H956" s="116"/>
      <c r="I956" s="116"/>
      <c r="L956" s="170">
        <v>43410</v>
      </c>
      <c r="M956" s="116">
        <v>211.175162544041</v>
      </c>
      <c r="N956" s="116">
        <v>219.02755984163301</v>
      </c>
      <c r="O956" s="116">
        <v>210.533142639207</v>
      </c>
      <c r="P956" s="116">
        <v>218.03983691111799</v>
      </c>
      <c r="Q956" s="116">
        <v>213.8</v>
      </c>
      <c r="R956">
        <v>1114288</v>
      </c>
    </row>
    <row r="957" spans="1:18" x14ac:dyDescent="0.25">
      <c r="A957" s="170">
        <v>43411</v>
      </c>
      <c r="B957" s="116">
        <v>216.21232802287</v>
      </c>
      <c r="C957" s="116">
        <v>212.90345959492799</v>
      </c>
      <c r="D957" s="116">
        <v>212.31082644365401</v>
      </c>
      <c r="E957" s="116">
        <v>216.21232802287</v>
      </c>
      <c r="F957" s="116">
        <v>215.55</v>
      </c>
      <c r="G957">
        <v>14660</v>
      </c>
      <c r="H957" s="116"/>
      <c r="I957" s="116"/>
      <c r="L957" s="170">
        <v>43411</v>
      </c>
      <c r="M957" s="116">
        <v>212.55797464676201</v>
      </c>
      <c r="N957" s="116">
        <v>213.89140060295699</v>
      </c>
      <c r="O957" s="116">
        <v>212.16288547455599</v>
      </c>
      <c r="P957" s="116">
        <v>212.36043006065901</v>
      </c>
      <c r="Q957" s="116">
        <v>215.2</v>
      </c>
      <c r="R957">
        <v>180558</v>
      </c>
    </row>
    <row r="958" spans="1:18" x14ac:dyDescent="0.25">
      <c r="A958" s="170">
        <v>43413</v>
      </c>
      <c r="B958" s="116">
        <v>217.29882213353801</v>
      </c>
      <c r="C958" s="116">
        <v>207.47098904158901</v>
      </c>
      <c r="D958" s="116">
        <v>206.433881026861</v>
      </c>
      <c r="E958" s="116">
        <v>216.21232802287</v>
      </c>
      <c r="F958" s="116">
        <v>210.05</v>
      </c>
      <c r="G958">
        <v>173333</v>
      </c>
      <c r="H958" s="116"/>
      <c r="I958" s="116"/>
      <c r="L958" s="170">
        <v>43413</v>
      </c>
      <c r="M958" s="116">
        <v>206.927953942828</v>
      </c>
      <c r="N958" s="116">
        <v>212.95306381896799</v>
      </c>
      <c r="O958" s="116">
        <v>205.989617158839</v>
      </c>
      <c r="P958" s="116">
        <v>212.36043006065901</v>
      </c>
      <c r="Q958" s="116">
        <v>209.5</v>
      </c>
      <c r="R958">
        <v>3291284</v>
      </c>
    </row>
    <row r="959" spans="1:18" x14ac:dyDescent="0.25">
      <c r="A959" s="170">
        <v>43416</v>
      </c>
      <c r="B959" s="116">
        <v>214.13811199341399</v>
      </c>
      <c r="C959" s="116">
        <v>211.767579388321</v>
      </c>
      <c r="D959" s="116">
        <v>207.42160294564999</v>
      </c>
      <c r="E959" s="116">
        <v>207.42160294564999</v>
      </c>
      <c r="F959" s="116">
        <v>214.4</v>
      </c>
      <c r="G959">
        <v>213950</v>
      </c>
      <c r="H959" s="116"/>
      <c r="I959" s="116"/>
      <c r="L959" s="170">
        <v>43416</v>
      </c>
      <c r="M959" s="116">
        <v>212.06411318150401</v>
      </c>
      <c r="N959" s="116">
        <v>214.335875921688</v>
      </c>
      <c r="O959" s="116">
        <v>207.61935999418799</v>
      </c>
      <c r="P959" s="116">
        <v>208.40953833859999</v>
      </c>
      <c r="Q959" s="116">
        <v>214.7</v>
      </c>
      <c r="R959">
        <v>2554231</v>
      </c>
    </row>
    <row r="960" spans="1:18" x14ac:dyDescent="0.25">
      <c r="A960" s="170">
        <v>43417</v>
      </c>
      <c r="B960" s="116">
        <v>218.780405011721</v>
      </c>
      <c r="C960" s="116">
        <v>217.20004994165899</v>
      </c>
      <c r="D960" s="116">
        <v>209.39704678322701</v>
      </c>
      <c r="E960" s="116">
        <v>212.85407349898799</v>
      </c>
      <c r="F960" s="116">
        <v>219.9</v>
      </c>
      <c r="G960">
        <v>153517</v>
      </c>
      <c r="H960" s="116"/>
      <c r="I960" s="116"/>
      <c r="L960" s="170">
        <v>43417</v>
      </c>
      <c r="M960" s="116">
        <v>217.24965856670701</v>
      </c>
      <c r="N960" s="116">
        <v>218.48431222984999</v>
      </c>
      <c r="O960" s="116">
        <v>209.19971668301201</v>
      </c>
      <c r="P960" s="116">
        <v>211.37270713014399</v>
      </c>
      <c r="Q960" s="116">
        <v>219.95</v>
      </c>
      <c r="R960">
        <v>1773622</v>
      </c>
    </row>
    <row r="961" spans="1:18" x14ac:dyDescent="0.25">
      <c r="A961" s="170">
        <v>43418</v>
      </c>
      <c r="B961" s="116">
        <v>218.286544052327</v>
      </c>
      <c r="C961" s="116">
        <v>215.27399220002101</v>
      </c>
      <c r="D961" s="116">
        <v>214.08872589747401</v>
      </c>
      <c r="E961" s="116">
        <v>217.29882213353801</v>
      </c>
      <c r="F961" s="116">
        <v>217.95</v>
      </c>
      <c r="G961">
        <v>125708</v>
      </c>
      <c r="H961" s="116"/>
      <c r="I961" s="116"/>
      <c r="L961" s="170">
        <v>43418</v>
      </c>
      <c r="M961" s="116">
        <v>214.73096509389401</v>
      </c>
      <c r="N961" s="116">
        <v>218.731242962479</v>
      </c>
      <c r="O961" s="116">
        <v>213.842014456431</v>
      </c>
      <c r="P961" s="116">
        <v>217.84229232501499</v>
      </c>
      <c r="Q961" s="116">
        <v>217.4</v>
      </c>
      <c r="R961">
        <v>1316163</v>
      </c>
    </row>
    <row r="962" spans="1:18" x14ac:dyDescent="0.25">
      <c r="A962" s="170">
        <v>43419</v>
      </c>
      <c r="B962" s="116">
        <v>219.52119645081299</v>
      </c>
      <c r="C962" s="116">
        <v>218.68163281984201</v>
      </c>
      <c r="D962" s="116">
        <v>214.13811199341399</v>
      </c>
      <c r="E962" s="116">
        <v>214.43442856905</v>
      </c>
      <c r="F962" s="116">
        <v>221.4</v>
      </c>
      <c r="G962">
        <v>84374</v>
      </c>
      <c r="H962" s="116"/>
      <c r="I962" s="116"/>
      <c r="L962" s="170">
        <v>43419</v>
      </c>
      <c r="M962" s="116">
        <v>218.731242962479</v>
      </c>
      <c r="N962" s="116">
        <v>219.76835203951899</v>
      </c>
      <c r="O962" s="116">
        <v>214.03955904253399</v>
      </c>
      <c r="P962" s="116">
        <v>215.274212705677</v>
      </c>
      <c r="Q962" s="116">
        <v>221.45</v>
      </c>
      <c r="R962">
        <v>1146455</v>
      </c>
    </row>
    <row r="963" spans="1:18" x14ac:dyDescent="0.25">
      <c r="A963" s="170">
        <v>43420</v>
      </c>
      <c r="B963" s="116">
        <v>221.39786809651201</v>
      </c>
      <c r="C963" s="116">
        <v>219.27426597111599</v>
      </c>
      <c r="D963" s="116">
        <v>216.113555830991</v>
      </c>
      <c r="E963" s="116">
        <v>218.385316244206</v>
      </c>
      <c r="F963" s="116">
        <v>222</v>
      </c>
      <c r="G963">
        <v>151014</v>
      </c>
      <c r="H963" s="116"/>
      <c r="I963" s="116"/>
      <c r="L963" s="170">
        <v>43420</v>
      </c>
      <c r="M963" s="116">
        <v>219.076945988159</v>
      </c>
      <c r="N963" s="116">
        <v>221.49686716791999</v>
      </c>
      <c r="O963" s="116">
        <v>215.86684646398601</v>
      </c>
      <c r="P963" s="116">
        <v>218.780629109004</v>
      </c>
      <c r="Q963" s="116">
        <v>221.8</v>
      </c>
      <c r="R963">
        <v>817962</v>
      </c>
    </row>
    <row r="964" spans="1:18" x14ac:dyDescent="0.25">
      <c r="A964" s="170">
        <v>43423</v>
      </c>
      <c r="B964" s="116">
        <v>222.43497611123999</v>
      </c>
      <c r="C964" s="116">
        <v>221.24970980869301</v>
      </c>
      <c r="D964" s="116">
        <v>218.82979110766101</v>
      </c>
      <c r="E964" s="116">
        <v>221.052165424935</v>
      </c>
      <c r="F964" s="116">
        <v>224</v>
      </c>
      <c r="G964">
        <v>79320</v>
      </c>
      <c r="H964" s="116"/>
      <c r="I964" s="116"/>
      <c r="L964" s="170">
        <v>43423</v>
      </c>
      <c r="M964" s="116">
        <v>221.39809487486801</v>
      </c>
      <c r="N964" s="116">
        <v>222.73152083106299</v>
      </c>
      <c r="O964" s="116">
        <v>218.780629109004</v>
      </c>
      <c r="P964" s="116">
        <v>219.27449057426199</v>
      </c>
      <c r="Q964" s="116">
        <v>224.15</v>
      </c>
      <c r="R964">
        <v>904579</v>
      </c>
    </row>
    <row r="965" spans="1:18" x14ac:dyDescent="0.25">
      <c r="A965" s="170">
        <v>43424</v>
      </c>
      <c r="B965" s="116">
        <v>221.89172905590601</v>
      </c>
      <c r="C965" s="116">
        <v>213.446706650262</v>
      </c>
      <c r="D965" s="116">
        <v>212.45898473147301</v>
      </c>
      <c r="E965" s="116">
        <v>219.81751302644901</v>
      </c>
      <c r="F965" s="116">
        <v>216.1</v>
      </c>
      <c r="G965">
        <v>98892</v>
      </c>
      <c r="H965" s="116"/>
      <c r="I965" s="116"/>
      <c r="L965" s="170">
        <v>43424</v>
      </c>
      <c r="M965" s="116">
        <v>213.29876684464799</v>
      </c>
      <c r="N965" s="116">
        <v>222.08950092622899</v>
      </c>
      <c r="O965" s="116">
        <v>212.36043006065901</v>
      </c>
      <c r="P965" s="116">
        <v>220.26221350477601</v>
      </c>
      <c r="Q965" s="116">
        <v>215.95</v>
      </c>
      <c r="R965">
        <v>913551</v>
      </c>
    </row>
    <row r="966" spans="1:18" x14ac:dyDescent="0.25">
      <c r="A966" s="170">
        <v>43425</v>
      </c>
      <c r="B966" s="116">
        <v>217.644524805114</v>
      </c>
      <c r="C966" s="116">
        <v>216.40987240662801</v>
      </c>
      <c r="D966" s="116">
        <v>211.86635158019899</v>
      </c>
      <c r="E966" s="116">
        <v>212.36021253959399</v>
      </c>
      <c r="F966" s="116">
        <v>219.1</v>
      </c>
      <c r="G966">
        <v>219300</v>
      </c>
      <c r="H966" s="116"/>
      <c r="I966" s="116"/>
      <c r="L966" s="170">
        <v>43425</v>
      </c>
      <c r="M966" s="116">
        <v>216.31132178271801</v>
      </c>
      <c r="N966" s="116">
        <v>217.74352003196401</v>
      </c>
      <c r="O966" s="116">
        <v>212.36043006065901</v>
      </c>
      <c r="P966" s="116">
        <v>212.36043006065901</v>
      </c>
      <c r="Q966" s="116">
        <v>219</v>
      </c>
      <c r="R966">
        <v>1168853</v>
      </c>
    </row>
    <row r="967" spans="1:18" x14ac:dyDescent="0.25">
      <c r="A967" s="170">
        <v>43426</v>
      </c>
      <c r="B967" s="116">
        <v>216.95311946196199</v>
      </c>
      <c r="C967" s="116">
        <v>213.19977617056401</v>
      </c>
      <c r="D967" s="116">
        <v>212.162668155836</v>
      </c>
      <c r="E967" s="116">
        <v>216.80496117414401</v>
      </c>
      <c r="F967" s="116">
        <v>215.85</v>
      </c>
      <c r="G967">
        <v>82336</v>
      </c>
      <c r="H967" s="116"/>
      <c r="I967" s="116"/>
      <c r="L967" s="170">
        <v>43426</v>
      </c>
      <c r="M967" s="116">
        <v>213.249380698122</v>
      </c>
      <c r="N967" s="116">
        <v>217.002727834078</v>
      </c>
      <c r="O967" s="116">
        <v>212.16288547455599</v>
      </c>
      <c r="P967" s="116">
        <v>216.31132178271801</v>
      </c>
      <c r="Q967" s="116">
        <v>215.9</v>
      </c>
      <c r="R967">
        <v>967411</v>
      </c>
    </row>
    <row r="968" spans="1:18" x14ac:dyDescent="0.25">
      <c r="A968" s="170">
        <v>43430</v>
      </c>
      <c r="B968" s="116">
        <v>216.31110021474899</v>
      </c>
      <c r="C968" s="116">
        <v>215.02706172032401</v>
      </c>
      <c r="D968" s="116">
        <v>210.236610414198</v>
      </c>
      <c r="E968" s="116">
        <v>214.78013124062599</v>
      </c>
      <c r="F968" s="116">
        <v>217.7</v>
      </c>
      <c r="G968">
        <v>111732</v>
      </c>
      <c r="H968" s="116"/>
      <c r="I968" s="116"/>
      <c r="L968" s="170">
        <v>43430</v>
      </c>
      <c r="M968" s="116">
        <v>214.977895826523</v>
      </c>
      <c r="N968" s="116">
        <v>216.212549489666</v>
      </c>
      <c r="O968" s="116">
        <v>210.38498419963</v>
      </c>
      <c r="P968" s="116">
        <v>214.78035124042</v>
      </c>
      <c r="Q968" s="116">
        <v>217.65</v>
      </c>
      <c r="R968">
        <v>1452206</v>
      </c>
    </row>
    <row r="969" spans="1:18" x14ac:dyDescent="0.25">
      <c r="A969" s="170">
        <v>43431</v>
      </c>
      <c r="B969" s="116">
        <v>217.10127774978</v>
      </c>
      <c r="C969" s="116">
        <v>214.97767562438401</v>
      </c>
      <c r="D969" s="116">
        <v>211.767579388321</v>
      </c>
      <c r="E969" s="116">
        <v>215.57030877565799</v>
      </c>
      <c r="F969" s="116">
        <v>217.65</v>
      </c>
      <c r="G969">
        <v>76377</v>
      </c>
      <c r="H969" s="116"/>
      <c r="I969" s="116"/>
      <c r="L969" s="170">
        <v>43431</v>
      </c>
      <c r="M969" s="116">
        <v>215.07666811957401</v>
      </c>
      <c r="N969" s="116">
        <v>217.24965856670701</v>
      </c>
      <c r="O969" s="116">
        <v>211.37270713014399</v>
      </c>
      <c r="P969" s="116">
        <v>216.26193563619199</v>
      </c>
      <c r="Q969" s="116">
        <v>217.75</v>
      </c>
      <c r="R969">
        <v>1863491</v>
      </c>
    </row>
    <row r="970" spans="1:18" x14ac:dyDescent="0.25">
      <c r="A970" s="170">
        <v>43432</v>
      </c>
      <c r="B970" s="116">
        <v>218.58286062796299</v>
      </c>
      <c r="C970" s="116">
        <v>212.804687403049</v>
      </c>
      <c r="D970" s="116">
        <v>211.372490620805</v>
      </c>
      <c r="E970" s="116">
        <v>215.076447816263</v>
      </c>
      <c r="F970" s="116">
        <v>215.45</v>
      </c>
      <c r="G970">
        <v>107020</v>
      </c>
      <c r="H970" s="116"/>
      <c r="I970" s="116"/>
      <c r="L970" s="170">
        <v>43432</v>
      </c>
      <c r="M970" s="116">
        <v>213.348152991174</v>
      </c>
      <c r="N970" s="116">
        <v>218.731242962479</v>
      </c>
      <c r="O970" s="116">
        <v>212.55797464676201</v>
      </c>
      <c r="P970" s="116">
        <v>214.73096509389401</v>
      </c>
      <c r="Q970" s="116">
        <v>216</v>
      </c>
      <c r="R970">
        <v>977424</v>
      </c>
    </row>
    <row r="971" spans="1:18" x14ac:dyDescent="0.25">
      <c r="A971" s="170">
        <v>43433</v>
      </c>
      <c r="B971" s="116">
        <v>217.20004994165899</v>
      </c>
      <c r="C971" s="116">
        <v>216.31110021474899</v>
      </c>
      <c r="D971" s="116">
        <v>211.668807196442</v>
      </c>
      <c r="E971" s="116">
        <v>213.34793445838301</v>
      </c>
      <c r="F971" s="116">
        <v>219</v>
      </c>
      <c r="G971">
        <v>134417</v>
      </c>
      <c r="H971" s="116"/>
      <c r="I971" s="116"/>
      <c r="L971" s="170">
        <v>43433</v>
      </c>
      <c r="M971" s="116">
        <v>216.064391050089</v>
      </c>
      <c r="N971" s="116">
        <v>217.941064618067</v>
      </c>
      <c r="O971" s="116">
        <v>211.27393483709301</v>
      </c>
      <c r="P971" s="116">
        <v>214.335875921688</v>
      </c>
      <c r="Q971" s="116">
        <v>218.75</v>
      </c>
      <c r="R971">
        <v>2173966</v>
      </c>
    </row>
    <row r="972" spans="1:18" x14ac:dyDescent="0.25">
      <c r="A972" s="170">
        <v>43434</v>
      </c>
      <c r="B972" s="116">
        <v>217.79268309293201</v>
      </c>
      <c r="C972" s="116">
        <v>216.31110021474899</v>
      </c>
      <c r="D972" s="116">
        <v>214.187498089353</v>
      </c>
      <c r="E972" s="116">
        <v>214.582586856869</v>
      </c>
      <c r="F972" s="116">
        <v>219</v>
      </c>
      <c r="G972">
        <v>92366</v>
      </c>
      <c r="H972" s="116"/>
      <c r="I972" s="116"/>
      <c r="L972" s="170">
        <v>43434</v>
      </c>
      <c r="M972" s="116">
        <v>215.96561875703799</v>
      </c>
      <c r="N972" s="116">
        <v>217.89167847154101</v>
      </c>
      <c r="O972" s="116">
        <v>213.59508372380199</v>
      </c>
      <c r="P972" s="116">
        <v>213.59508372380199</v>
      </c>
      <c r="Q972" s="116">
        <v>218.65</v>
      </c>
      <c r="R972">
        <v>1044674</v>
      </c>
    </row>
    <row r="973" spans="1:18" x14ac:dyDescent="0.25">
      <c r="A973" s="170">
        <v>43437</v>
      </c>
      <c r="B973" s="116">
        <v>216.70618898226499</v>
      </c>
      <c r="C973" s="116">
        <v>212.804687403049</v>
      </c>
      <c r="D973" s="116">
        <v>212.36021253959399</v>
      </c>
      <c r="E973" s="116">
        <v>214.38504247311101</v>
      </c>
      <c r="F973" s="116">
        <v>215.45</v>
      </c>
      <c r="G973">
        <v>67912</v>
      </c>
      <c r="H973" s="116"/>
      <c r="I973" s="116"/>
      <c r="L973" s="170">
        <v>43437</v>
      </c>
      <c r="M973" s="116">
        <v>212.11349932803</v>
      </c>
      <c r="N973" s="116">
        <v>216.508866368821</v>
      </c>
      <c r="O973" s="116">
        <v>211.66902400929899</v>
      </c>
      <c r="P973" s="116">
        <v>215.81746031745999</v>
      </c>
      <c r="Q973" s="116">
        <v>214.75</v>
      </c>
      <c r="R973">
        <v>1099033</v>
      </c>
    </row>
    <row r="974" spans="1:18" x14ac:dyDescent="0.25">
      <c r="A974" s="170">
        <v>43438</v>
      </c>
      <c r="B974" s="116">
        <v>213.84179541777701</v>
      </c>
      <c r="C974" s="116">
        <v>207.02651417813399</v>
      </c>
      <c r="D974" s="116">
        <v>206.433881026861</v>
      </c>
      <c r="E974" s="116">
        <v>212.804687403049</v>
      </c>
      <c r="F974" s="116">
        <v>209.6</v>
      </c>
      <c r="G974">
        <v>137310</v>
      </c>
      <c r="H974" s="116"/>
      <c r="I974" s="116"/>
      <c r="L974" s="170">
        <v>43438</v>
      </c>
      <c r="M974" s="116">
        <v>206.927953942828</v>
      </c>
      <c r="N974" s="116">
        <v>214.08894518906001</v>
      </c>
      <c r="O974" s="116">
        <v>206.23654789146801</v>
      </c>
      <c r="P974" s="116">
        <v>212.11349932803</v>
      </c>
      <c r="Q974" s="116">
        <v>209.5</v>
      </c>
      <c r="R974">
        <v>1908684</v>
      </c>
    </row>
    <row r="975" spans="1:18" x14ac:dyDescent="0.25">
      <c r="A975" s="170">
        <v>43439</v>
      </c>
      <c r="B975" s="116">
        <v>209.742749454804</v>
      </c>
      <c r="C975" s="116">
        <v>208.90318582383301</v>
      </c>
      <c r="D975" s="116">
        <v>203.125012598919</v>
      </c>
      <c r="E975" s="116">
        <v>205.544931299951</v>
      </c>
      <c r="F975" s="116">
        <v>211.5</v>
      </c>
      <c r="G975">
        <v>120951</v>
      </c>
      <c r="H975" s="116"/>
      <c r="I975" s="116"/>
      <c r="L975" s="170">
        <v>43439</v>
      </c>
      <c r="M975" s="116">
        <v>209.10094438996001</v>
      </c>
      <c r="N975" s="116">
        <v>209.891122734372</v>
      </c>
      <c r="O975" s="116">
        <v>202.87828992771799</v>
      </c>
      <c r="P975" s="116">
        <v>206.434092477571</v>
      </c>
      <c r="Q975" s="116">
        <v>211.7</v>
      </c>
      <c r="R975">
        <v>3055629</v>
      </c>
    </row>
    <row r="976" spans="1:18" x14ac:dyDescent="0.25">
      <c r="A976" s="170">
        <v>43440</v>
      </c>
      <c r="B976" s="116">
        <v>209.89090774262201</v>
      </c>
      <c r="C976" s="116">
        <v>205.396773012133</v>
      </c>
      <c r="D976" s="116">
        <v>204.55720938116201</v>
      </c>
      <c r="E976" s="116">
        <v>209.89090774262201</v>
      </c>
      <c r="F976" s="116">
        <v>207.95</v>
      </c>
      <c r="G976">
        <v>82263</v>
      </c>
      <c r="H976" s="116"/>
      <c r="I976" s="116"/>
      <c r="L976" s="170">
        <v>43440</v>
      </c>
      <c r="M976" s="116">
        <v>205.59452798663301</v>
      </c>
      <c r="N976" s="116">
        <v>209.05155824343501</v>
      </c>
      <c r="O976" s="116">
        <v>204.45864661654099</v>
      </c>
      <c r="P976" s="116">
        <v>207.91567687334299</v>
      </c>
      <c r="Q976" s="116">
        <v>208.15</v>
      </c>
      <c r="R976">
        <v>1270790</v>
      </c>
    </row>
    <row r="977" spans="1:18" x14ac:dyDescent="0.25">
      <c r="A977" s="170">
        <v>43441</v>
      </c>
      <c r="B977" s="116">
        <v>206.927741986255</v>
      </c>
      <c r="C977" s="116">
        <v>203.86580403801</v>
      </c>
      <c r="D977" s="116">
        <v>201.00141047352301</v>
      </c>
      <c r="E977" s="116">
        <v>205.890633971527</v>
      </c>
      <c r="F977" s="116">
        <v>206.4</v>
      </c>
      <c r="G977">
        <v>112388</v>
      </c>
      <c r="H977" s="116"/>
      <c r="I977" s="116"/>
      <c r="L977" s="170">
        <v>43441</v>
      </c>
      <c r="M977" s="116">
        <v>204.01417129781001</v>
      </c>
      <c r="N977" s="116">
        <v>206.927953942828</v>
      </c>
      <c r="O977" s="116">
        <v>200.80407177363699</v>
      </c>
      <c r="P977" s="116">
        <v>205.989617158839</v>
      </c>
      <c r="Q977" s="116">
        <v>206.55</v>
      </c>
      <c r="R977">
        <v>1422582</v>
      </c>
    </row>
    <row r="978" spans="1:18" x14ac:dyDescent="0.25">
      <c r="A978" s="170">
        <v>43444</v>
      </c>
      <c r="B978" s="116">
        <v>206.97712808219501</v>
      </c>
      <c r="C978" s="116">
        <v>196.112186975518</v>
      </c>
      <c r="D978" s="116">
        <v>194.77876238515299</v>
      </c>
      <c r="E978" s="116">
        <v>201.594043624796</v>
      </c>
      <c r="F978" s="116">
        <v>198.55</v>
      </c>
      <c r="G978">
        <v>167551</v>
      </c>
      <c r="H978" s="116"/>
      <c r="I978" s="116"/>
      <c r="L978" s="170">
        <v>43444</v>
      </c>
      <c r="M978" s="116">
        <v>195.76668482801199</v>
      </c>
      <c r="N978" s="116">
        <v>207.02672623588001</v>
      </c>
      <c r="O978" s="116">
        <v>194.63080345792</v>
      </c>
      <c r="P978" s="116">
        <v>200.50775489448301</v>
      </c>
      <c r="Q978" s="116">
        <v>198.2</v>
      </c>
      <c r="R978">
        <v>2514120</v>
      </c>
    </row>
    <row r="979" spans="1:18" x14ac:dyDescent="0.25">
      <c r="A979" s="170">
        <v>43445</v>
      </c>
      <c r="B979" s="116">
        <v>201.10018266540101</v>
      </c>
      <c r="C979" s="116">
        <v>200.16184684255199</v>
      </c>
      <c r="D979" s="116">
        <v>192.60577416381801</v>
      </c>
      <c r="E979" s="116">
        <v>197.05052279836701</v>
      </c>
      <c r="F979" s="116">
        <v>202.65</v>
      </c>
      <c r="G979">
        <v>88080</v>
      </c>
      <c r="H979" s="116"/>
      <c r="I979" s="116"/>
      <c r="L979" s="170">
        <v>43445</v>
      </c>
      <c r="M979" s="116">
        <v>200.35959645490499</v>
      </c>
      <c r="N979" s="116">
        <v>201.29793323889399</v>
      </c>
      <c r="O979" s="116">
        <v>192.60597145036499</v>
      </c>
      <c r="P979" s="116">
        <v>192.60597145036499</v>
      </c>
      <c r="Q979" s="116">
        <v>202.85</v>
      </c>
      <c r="R979">
        <v>1818568</v>
      </c>
    </row>
    <row r="980" spans="1:18" x14ac:dyDescent="0.25">
      <c r="A980" s="170">
        <v>43446</v>
      </c>
      <c r="B980" s="116">
        <v>210.878629661411</v>
      </c>
      <c r="C980" s="116">
        <v>209.594591166985</v>
      </c>
      <c r="D980" s="116">
        <v>200.65570780194699</v>
      </c>
      <c r="E980" s="116">
        <v>201.24834095322001</v>
      </c>
      <c r="F980" s="116">
        <v>212.2</v>
      </c>
      <c r="G980">
        <v>113986</v>
      </c>
      <c r="H980" s="116"/>
      <c r="I980" s="116"/>
      <c r="L980" s="170">
        <v>43446</v>
      </c>
      <c r="M980" s="116">
        <v>210.33559805310401</v>
      </c>
      <c r="N980" s="116">
        <v>211.27393483709301</v>
      </c>
      <c r="O980" s="116">
        <v>200.50775489448301</v>
      </c>
      <c r="P980" s="116">
        <v>200.65591333405999</v>
      </c>
      <c r="Q980" s="116">
        <v>212.95</v>
      </c>
      <c r="R980">
        <v>1755046</v>
      </c>
    </row>
    <row r="981" spans="1:18" x14ac:dyDescent="0.25">
      <c r="A981" s="170">
        <v>43447</v>
      </c>
      <c r="B981" s="116">
        <v>212.75530130710899</v>
      </c>
      <c r="C981" s="116">
        <v>209.44643287916699</v>
      </c>
      <c r="D981" s="116">
        <v>207.91546390504399</v>
      </c>
      <c r="E981" s="116">
        <v>212.21205425177601</v>
      </c>
      <c r="F981" s="116">
        <v>212.05</v>
      </c>
      <c r="G981">
        <v>73416</v>
      </c>
      <c r="H981" s="116"/>
      <c r="I981" s="116"/>
      <c r="L981" s="170">
        <v>43447</v>
      </c>
      <c r="M981" s="116">
        <v>209.79235044132099</v>
      </c>
      <c r="N981" s="116">
        <v>213.051836112019</v>
      </c>
      <c r="O981" s="116">
        <v>207.66874614071401</v>
      </c>
      <c r="P981" s="116">
        <v>210.73068722530999</v>
      </c>
      <c r="Q981" s="116">
        <v>212.4</v>
      </c>
      <c r="R981">
        <v>1196911</v>
      </c>
    </row>
    <row r="982" spans="1:18" x14ac:dyDescent="0.25">
      <c r="A982" s="170">
        <v>43448</v>
      </c>
      <c r="B982" s="116">
        <v>210.779857469532</v>
      </c>
      <c r="C982" s="116">
        <v>209.69336335886399</v>
      </c>
      <c r="D982" s="116">
        <v>207.322830753771</v>
      </c>
      <c r="E982" s="116">
        <v>208.06362219286299</v>
      </c>
      <c r="F982" s="116">
        <v>212.3</v>
      </c>
      <c r="G982">
        <v>63197</v>
      </c>
      <c r="H982" s="116"/>
      <c r="I982" s="116"/>
      <c r="L982" s="170">
        <v>43448</v>
      </c>
      <c r="M982" s="116">
        <v>209.742964294795</v>
      </c>
      <c r="N982" s="116">
        <v>210.73068722530999</v>
      </c>
      <c r="O982" s="116">
        <v>207.421815408085</v>
      </c>
      <c r="P982" s="116">
        <v>209.39726126911501</v>
      </c>
      <c r="Q982" s="116">
        <v>212.35</v>
      </c>
      <c r="R982">
        <v>860565</v>
      </c>
    </row>
    <row r="983" spans="1:18" x14ac:dyDescent="0.25">
      <c r="A983" s="170">
        <v>43451</v>
      </c>
      <c r="B983" s="116">
        <v>210.779857469532</v>
      </c>
      <c r="C983" s="116">
        <v>207.86607780910501</v>
      </c>
      <c r="D983" s="116">
        <v>207.322830753771</v>
      </c>
      <c r="E983" s="116">
        <v>210.18722431825901</v>
      </c>
      <c r="F983" s="116">
        <v>210.45</v>
      </c>
      <c r="G983">
        <v>41414</v>
      </c>
      <c r="H983" s="116"/>
      <c r="I983" s="116"/>
      <c r="L983" s="170">
        <v>43451</v>
      </c>
      <c r="M983" s="116">
        <v>207.47120155461101</v>
      </c>
      <c r="N983" s="116">
        <v>210.78007337183499</v>
      </c>
      <c r="O983" s="116">
        <v>206.927953942828</v>
      </c>
      <c r="P983" s="116">
        <v>210.187439613527</v>
      </c>
      <c r="Q983" s="116">
        <v>210.05</v>
      </c>
      <c r="R983">
        <v>1303397</v>
      </c>
    </row>
    <row r="984" spans="1:18" x14ac:dyDescent="0.25">
      <c r="A984" s="170">
        <v>43452</v>
      </c>
      <c r="B984" s="116">
        <v>210.82924356547099</v>
      </c>
      <c r="C984" s="116">
        <v>207.22405856189201</v>
      </c>
      <c r="D984" s="116">
        <v>206.23633664310299</v>
      </c>
      <c r="E984" s="116">
        <v>207.42160294564999</v>
      </c>
      <c r="F984" s="116">
        <v>209.8</v>
      </c>
      <c r="G984">
        <v>91282</v>
      </c>
      <c r="H984" s="116"/>
      <c r="I984" s="116"/>
      <c r="L984" s="170">
        <v>43452</v>
      </c>
      <c r="M984" s="116">
        <v>207.520587701137</v>
      </c>
      <c r="N984" s="116">
        <v>210.878845664887</v>
      </c>
      <c r="O984" s="116">
        <v>206.38470633104501</v>
      </c>
      <c r="P984" s="116">
        <v>207.224270821983</v>
      </c>
      <c r="Q984" s="116">
        <v>210.1</v>
      </c>
      <c r="R984">
        <v>1395195</v>
      </c>
    </row>
    <row r="985" spans="1:18" x14ac:dyDescent="0.25">
      <c r="A985" s="170">
        <v>43453</v>
      </c>
      <c r="B985" s="116">
        <v>211.81696548426001</v>
      </c>
      <c r="C985" s="116">
        <v>208.11300828880201</v>
      </c>
      <c r="D985" s="116">
        <v>207.12528637001299</v>
      </c>
      <c r="E985" s="116">
        <v>208.06362219286299</v>
      </c>
      <c r="F985" s="116">
        <v>210.7</v>
      </c>
      <c r="G985">
        <v>108360</v>
      </c>
      <c r="H985" s="116"/>
      <c r="I985" s="116"/>
      <c r="L985" s="170">
        <v>43453</v>
      </c>
      <c r="M985" s="116">
        <v>207.56997384766299</v>
      </c>
      <c r="N985" s="116">
        <v>212.01472703497899</v>
      </c>
      <c r="O985" s="116">
        <v>206.97734008935399</v>
      </c>
      <c r="P985" s="116">
        <v>208.014449166394</v>
      </c>
      <c r="Q985" s="116">
        <v>210.15</v>
      </c>
      <c r="R985">
        <v>2459567</v>
      </c>
    </row>
    <row r="986" spans="1:18" x14ac:dyDescent="0.25">
      <c r="A986" s="170">
        <v>43454</v>
      </c>
      <c r="B986" s="116">
        <v>210.68108527765301</v>
      </c>
      <c r="C986" s="116">
        <v>208.211780480681</v>
      </c>
      <c r="D986" s="116">
        <v>206.433881026861</v>
      </c>
      <c r="E986" s="116">
        <v>207.47098904158901</v>
      </c>
      <c r="F986" s="116">
        <v>210.8</v>
      </c>
      <c r="G986">
        <v>48393</v>
      </c>
      <c r="H986" s="116"/>
      <c r="I986" s="116"/>
      <c r="L986" s="170">
        <v>43454</v>
      </c>
      <c r="M986" s="116">
        <v>207.61935999418799</v>
      </c>
      <c r="N986" s="116">
        <v>210.48375649268101</v>
      </c>
      <c r="O986" s="116">
        <v>206.03900330536499</v>
      </c>
      <c r="P986" s="116">
        <v>206.927953942828</v>
      </c>
      <c r="Q986" s="116">
        <v>210.2</v>
      </c>
      <c r="R986">
        <v>1263237</v>
      </c>
    </row>
    <row r="987" spans="1:18" x14ac:dyDescent="0.25">
      <c r="A987" s="170">
        <v>43455</v>
      </c>
      <c r="B987" s="116">
        <v>218.286544052327</v>
      </c>
      <c r="C987" s="116">
        <v>212.95284569086701</v>
      </c>
      <c r="D987" s="116">
        <v>208.50809705631801</v>
      </c>
      <c r="E987" s="116">
        <v>208.55748315225699</v>
      </c>
      <c r="F987" s="116">
        <v>215.6</v>
      </c>
      <c r="G987">
        <v>386661</v>
      </c>
      <c r="H987" s="116"/>
      <c r="I987" s="116"/>
      <c r="L987" s="170">
        <v>43455</v>
      </c>
      <c r="M987" s="116">
        <v>212.755519232865</v>
      </c>
      <c r="N987" s="116">
        <v>216.90395554102599</v>
      </c>
      <c r="O987" s="116">
        <v>208.21199375249699</v>
      </c>
      <c r="P987" s="116">
        <v>208.40953833859999</v>
      </c>
      <c r="Q987" s="116">
        <v>215.4</v>
      </c>
      <c r="R987">
        <v>5654362</v>
      </c>
    </row>
    <row r="988" spans="1:18" x14ac:dyDescent="0.25">
      <c r="A988" s="170">
        <v>43458</v>
      </c>
      <c r="B988" s="116">
        <v>220.953393233057</v>
      </c>
      <c r="C988" s="116">
        <v>216.508644598507</v>
      </c>
      <c r="D988" s="116">
        <v>213.10100397868601</v>
      </c>
      <c r="E988" s="116">
        <v>213.64425103401899</v>
      </c>
      <c r="F988" s="116">
        <v>219.2</v>
      </c>
      <c r="G988">
        <v>285849</v>
      </c>
      <c r="H988" s="116"/>
      <c r="I988" s="116"/>
      <c r="L988" s="170">
        <v>43458</v>
      </c>
      <c r="M988" s="116">
        <v>216.36070792924301</v>
      </c>
      <c r="N988" s="116">
        <v>221.249936435291</v>
      </c>
      <c r="O988" s="116">
        <v>212.755519232865</v>
      </c>
      <c r="P988" s="116">
        <v>212.903677672442</v>
      </c>
      <c r="Q988" s="116">
        <v>219.05</v>
      </c>
      <c r="R988">
        <v>5808490</v>
      </c>
    </row>
    <row r="989" spans="1:18" x14ac:dyDescent="0.25">
      <c r="A989" s="170">
        <v>43460</v>
      </c>
      <c r="B989" s="116">
        <v>217.249436037598</v>
      </c>
      <c r="C989" s="116">
        <v>216.01478363911201</v>
      </c>
      <c r="D989" s="116">
        <v>209.989679934501</v>
      </c>
      <c r="E989" s="116">
        <v>217.249436037598</v>
      </c>
      <c r="F989" s="116">
        <v>218.7</v>
      </c>
      <c r="G989">
        <v>108333</v>
      </c>
      <c r="H989" s="116"/>
      <c r="I989" s="116"/>
      <c r="L989" s="170">
        <v>43460</v>
      </c>
      <c r="M989" s="116">
        <v>215.86684646398601</v>
      </c>
      <c r="N989" s="116">
        <v>217.69413388543799</v>
      </c>
      <c r="O989" s="116">
        <v>209.79235044132099</v>
      </c>
      <c r="P989" s="116">
        <v>217.69413388543799</v>
      </c>
      <c r="Q989" s="116">
        <v>218.55</v>
      </c>
      <c r="R989">
        <v>1598566</v>
      </c>
    </row>
    <row r="990" spans="1:18" x14ac:dyDescent="0.25">
      <c r="A990" s="170">
        <v>43461</v>
      </c>
      <c r="B990" s="116">
        <v>221.74357076808801</v>
      </c>
      <c r="C990" s="116">
        <v>218.18777186044801</v>
      </c>
      <c r="D990" s="116">
        <v>213.15039007462499</v>
      </c>
      <c r="E990" s="116">
        <v>218.385316244206</v>
      </c>
      <c r="F990" s="116">
        <v>220.9</v>
      </c>
      <c r="G990">
        <v>224079</v>
      </c>
      <c r="H990" s="116"/>
      <c r="I990" s="116"/>
      <c r="L990" s="170">
        <v>43461</v>
      </c>
      <c r="M990" s="116">
        <v>217.348430859758</v>
      </c>
      <c r="N990" s="116">
        <v>222.13888707275399</v>
      </c>
      <c r="O990" s="116">
        <v>212.55797464676201</v>
      </c>
      <c r="P990" s="116">
        <v>219.076945988159</v>
      </c>
      <c r="Q990" s="116">
        <v>220.05</v>
      </c>
      <c r="R990">
        <v>9509683</v>
      </c>
    </row>
    <row r="991" spans="1:18" x14ac:dyDescent="0.25">
      <c r="A991" s="170">
        <v>43462</v>
      </c>
      <c r="B991" s="116">
        <v>220.36076008178301</v>
      </c>
      <c r="C991" s="116">
        <v>217.84206918887199</v>
      </c>
      <c r="D991" s="116">
        <v>216.95311946196199</v>
      </c>
      <c r="E991" s="116">
        <v>219.175493779237</v>
      </c>
      <c r="F991" s="116">
        <v>220.55</v>
      </c>
      <c r="G991">
        <v>121664</v>
      </c>
      <c r="H991" s="116"/>
      <c r="I991" s="116"/>
      <c r="L991" s="170">
        <v>43462</v>
      </c>
      <c r="M991" s="116">
        <v>218.08922305764401</v>
      </c>
      <c r="N991" s="116">
        <v>220.55853038393099</v>
      </c>
      <c r="O991" s="116">
        <v>216.854569394501</v>
      </c>
      <c r="P991" s="116">
        <v>219.02755984163301</v>
      </c>
      <c r="Q991" s="116">
        <v>220.8</v>
      </c>
      <c r="R991">
        <v>2263147</v>
      </c>
    </row>
    <row r="992" spans="1:18" x14ac:dyDescent="0.25">
      <c r="A992" s="170">
        <v>43465</v>
      </c>
      <c r="B992" s="116">
        <v>220.75584884929901</v>
      </c>
      <c r="C992" s="116">
        <v>216.70618898226499</v>
      </c>
      <c r="D992" s="116">
        <v>216.113555830991</v>
      </c>
      <c r="E992" s="116">
        <v>220.26198788990399</v>
      </c>
      <c r="F992" s="116">
        <v>219.4</v>
      </c>
      <c r="G992">
        <v>58561</v>
      </c>
      <c r="H992" s="116"/>
      <c r="I992" s="116"/>
      <c r="L992" s="170">
        <v>43465</v>
      </c>
      <c r="M992" s="116">
        <v>216.706410954924</v>
      </c>
      <c r="N992" s="116">
        <v>220.90423340961101</v>
      </c>
      <c r="O992" s="116">
        <v>216.16316334314001</v>
      </c>
      <c r="P992" s="116">
        <v>219.27449057426199</v>
      </c>
      <c r="Q992" s="116">
        <v>219.4</v>
      </c>
      <c r="R992">
        <v>965858</v>
      </c>
    </row>
    <row r="993" spans="1:18" x14ac:dyDescent="0.25">
      <c r="A993" s="170">
        <v>43466</v>
      </c>
      <c r="B993" s="116">
        <v>217.644524805114</v>
      </c>
      <c r="C993" s="116">
        <v>216.40987240662801</v>
      </c>
      <c r="D993" s="116">
        <v>215.57030877565799</v>
      </c>
      <c r="E993" s="116">
        <v>216.854347270083</v>
      </c>
      <c r="F993" s="116">
        <v>219.1</v>
      </c>
      <c r="G993">
        <v>51711</v>
      </c>
      <c r="H993" s="116"/>
      <c r="I993" s="116"/>
      <c r="L993" s="170">
        <v>43466</v>
      </c>
      <c r="M993" s="116">
        <v>216.410094075769</v>
      </c>
      <c r="N993" s="116">
        <v>218.33615379027299</v>
      </c>
      <c r="O993" s="116">
        <v>215.37298499872901</v>
      </c>
      <c r="P993" s="116">
        <v>217.24965856670701</v>
      </c>
      <c r="Q993" s="116">
        <v>219.1</v>
      </c>
      <c r="R993">
        <v>716275</v>
      </c>
    </row>
    <row r="994" spans="1:18" x14ac:dyDescent="0.25">
      <c r="A994" s="170">
        <v>43467</v>
      </c>
      <c r="B994" s="116">
        <v>217.644524805114</v>
      </c>
      <c r="C994" s="116">
        <v>212.162668155836</v>
      </c>
      <c r="D994" s="116">
        <v>210.97740185328999</v>
      </c>
      <c r="E994" s="116">
        <v>215.81723925535499</v>
      </c>
      <c r="F994" s="116">
        <v>214.8</v>
      </c>
      <c r="G994">
        <v>57102</v>
      </c>
      <c r="H994" s="116"/>
      <c r="I994" s="116"/>
      <c r="L994" s="170">
        <v>43467</v>
      </c>
      <c r="M994" s="116">
        <v>211.965340888453</v>
      </c>
      <c r="N994" s="116">
        <v>217.644747738912</v>
      </c>
      <c r="O994" s="116">
        <v>210.97761795793801</v>
      </c>
      <c r="P994" s="116">
        <v>216.31132178271801</v>
      </c>
      <c r="Q994" s="116">
        <v>214.6</v>
      </c>
      <c r="R994">
        <v>1081778</v>
      </c>
    </row>
    <row r="995" spans="1:18" x14ac:dyDescent="0.25">
      <c r="A995" s="170">
        <v>43468</v>
      </c>
      <c r="B995" s="116">
        <v>212.60714301929099</v>
      </c>
      <c r="C995" s="116">
        <v>207.76730561722599</v>
      </c>
      <c r="D995" s="116">
        <v>207.52037513752899</v>
      </c>
      <c r="E995" s="116">
        <v>211.57003500456301</v>
      </c>
      <c r="F995" s="116">
        <v>210.35</v>
      </c>
      <c r="G995">
        <v>79125</v>
      </c>
      <c r="H995" s="116"/>
      <c r="I995" s="116"/>
      <c r="L995" s="170">
        <v>43468</v>
      </c>
      <c r="M995" s="116">
        <v>207.47120155461101</v>
      </c>
      <c r="N995" s="116">
        <v>212.70613308633901</v>
      </c>
      <c r="O995" s="116">
        <v>207.32304311503401</v>
      </c>
      <c r="P995" s="116">
        <v>212.31104391413299</v>
      </c>
      <c r="Q995" s="116">
        <v>210.05</v>
      </c>
      <c r="R995">
        <v>2096553</v>
      </c>
    </row>
    <row r="996" spans="1:18" x14ac:dyDescent="0.25">
      <c r="A996" s="170">
        <v>43469</v>
      </c>
      <c r="B996" s="116">
        <v>212.11328205989699</v>
      </c>
      <c r="C996" s="116">
        <v>211.372490620805</v>
      </c>
      <c r="D996" s="116">
        <v>207.47098904158901</v>
      </c>
      <c r="E996" s="116">
        <v>209.39704678322701</v>
      </c>
      <c r="F996" s="116">
        <v>214</v>
      </c>
      <c r="G996">
        <v>119459</v>
      </c>
      <c r="H996" s="116"/>
      <c r="I996" s="116"/>
      <c r="L996" s="170">
        <v>43469</v>
      </c>
      <c r="M996" s="116">
        <v>211.175162544041</v>
      </c>
      <c r="N996" s="116">
        <v>212.26165776760701</v>
      </c>
      <c r="O996" s="116">
        <v>207.421815408085</v>
      </c>
      <c r="P996" s="116">
        <v>208.014449166394</v>
      </c>
      <c r="Q996" s="116">
        <v>213.8</v>
      </c>
      <c r="R996">
        <v>1213181</v>
      </c>
    </row>
    <row r="997" spans="1:18" x14ac:dyDescent="0.25">
      <c r="A997" s="170">
        <v>43472</v>
      </c>
      <c r="B997" s="116">
        <v>214.13811199341399</v>
      </c>
      <c r="C997" s="116">
        <v>212.26144034771499</v>
      </c>
      <c r="D997" s="116">
        <v>210.483540893895</v>
      </c>
      <c r="E997" s="116">
        <v>213.15039007462499</v>
      </c>
      <c r="F997" s="116">
        <v>214.9</v>
      </c>
      <c r="G997">
        <v>68414</v>
      </c>
      <c r="H997" s="116"/>
      <c r="I997" s="116"/>
      <c r="L997" s="170">
        <v>43472</v>
      </c>
      <c r="M997" s="116">
        <v>212.31104391413299</v>
      </c>
      <c r="N997" s="116">
        <v>214.28648977516301</v>
      </c>
      <c r="O997" s="116">
        <v>211.37270713014399</v>
      </c>
      <c r="P997" s="116">
        <v>211.965340888453</v>
      </c>
      <c r="Q997" s="116">
        <v>214.95</v>
      </c>
      <c r="R997">
        <v>871903</v>
      </c>
    </row>
    <row r="998" spans="1:18" x14ac:dyDescent="0.25">
      <c r="A998" s="170">
        <v>43473</v>
      </c>
      <c r="B998" s="116">
        <v>213.15039007462499</v>
      </c>
      <c r="C998" s="116">
        <v>212.21205425177601</v>
      </c>
      <c r="D998" s="116">
        <v>210.18722431825901</v>
      </c>
      <c r="E998" s="116">
        <v>212.014509868018</v>
      </c>
      <c r="F998" s="116">
        <v>214.85</v>
      </c>
      <c r="G998">
        <v>126786</v>
      </c>
      <c r="H998" s="116"/>
      <c r="I998" s="116"/>
      <c r="L998" s="170">
        <v>43473</v>
      </c>
      <c r="M998" s="116">
        <v>212.50858850023599</v>
      </c>
      <c r="N998" s="116">
        <v>213.49631143075101</v>
      </c>
      <c r="O998" s="116">
        <v>210.088667320475</v>
      </c>
      <c r="P998" s="116">
        <v>211.965340888453</v>
      </c>
      <c r="Q998" s="116">
        <v>215.15</v>
      </c>
      <c r="R998">
        <v>590293</v>
      </c>
    </row>
    <row r="999" spans="1:18" x14ac:dyDescent="0.25">
      <c r="A999" s="170">
        <v>43474</v>
      </c>
      <c r="B999" s="116">
        <v>213.84179541777701</v>
      </c>
      <c r="C999" s="116">
        <v>209.989679934501</v>
      </c>
      <c r="D999" s="116">
        <v>208.11300828880201</v>
      </c>
      <c r="E999" s="116">
        <v>212.36021253959399</v>
      </c>
      <c r="F999" s="116">
        <v>212.6</v>
      </c>
      <c r="G999">
        <v>89905</v>
      </c>
      <c r="H999" s="116"/>
      <c r="I999" s="116"/>
      <c r="L999" s="170">
        <v>43474</v>
      </c>
      <c r="M999" s="116">
        <v>209.98989502742401</v>
      </c>
      <c r="N999" s="116">
        <v>214.03955904253399</v>
      </c>
      <c r="O999" s="116">
        <v>208.06383531291999</v>
      </c>
      <c r="P999" s="116">
        <v>213.348152991174</v>
      </c>
      <c r="Q999" s="116">
        <v>212.6</v>
      </c>
      <c r="R999">
        <v>908322</v>
      </c>
    </row>
    <row r="1000" spans="1:18" x14ac:dyDescent="0.25">
      <c r="A1000" s="170">
        <v>43475</v>
      </c>
      <c r="B1000" s="116">
        <v>212.21205425177601</v>
      </c>
      <c r="C1000" s="116">
        <v>211.22433233298699</v>
      </c>
      <c r="D1000" s="116">
        <v>209.89090774262201</v>
      </c>
      <c r="E1000" s="116">
        <v>211.372490620805</v>
      </c>
      <c r="F1000" s="116">
        <v>213.85</v>
      </c>
      <c r="G1000">
        <v>51656</v>
      </c>
      <c r="H1000" s="116"/>
      <c r="I1000" s="116"/>
      <c r="L1000" s="170">
        <v>43475</v>
      </c>
      <c r="M1000" s="116">
        <v>211.520865569721</v>
      </c>
      <c r="N1000" s="116">
        <v>212.55797464676201</v>
      </c>
      <c r="O1000" s="116">
        <v>209.446647415641</v>
      </c>
      <c r="P1000" s="116">
        <v>209.446647415641</v>
      </c>
      <c r="Q1000" s="116">
        <v>214.15</v>
      </c>
      <c r="R1000">
        <v>715378</v>
      </c>
    </row>
    <row r="1001" spans="1:18" x14ac:dyDescent="0.25">
      <c r="A1001" s="170">
        <v>43476</v>
      </c>
      <c r="B1001" s="116">
        <v>212.557756923352</v>
      </c>
      <c r="C1001" s="116">
        <v>209.594591166985</v>
      </c>
      <c r="D1001" s="116">
        <v>208.80441363195399</v>
      </c>
      <c r="E1001" s="116">
        <v>211.22433233298699</v>
      </c>
      <c r="F1001" s="116">
        <v>212.2</v>
      </c>
      <c r="G1001">
        <v>54416</v>
      </c>
      <c r="H1001" s="116"/>
      <c r="I1001" s="116"/>
      <c r="L1001" s="170">
        <v>43476</v>
      </c>
      <c r="M1001" s="116">
        <v>209.298488976063</v>
      </c>
      <c r="N1001" s="116">
        <v>212.607360793288</v>
      </c>
      <c r="O1001" s="116">
        <v>208.70585521775499</v>
      </c>
      <c r="P1001" s="116">
        <v>211.37270713014399</v>
      </c>
      <c r="Q1001" s="116">
        <v>211.9</v>
      </c>
      <c r="R1001">
        <v>698106</v>
      </c>
    </row>
    <row r="1002" spans="1:18" x14ac:dyDescent="0.25">
      <c r="A1002" s="170">
        <v>43479</v>
      </c>
      <c r="B1002" s="116">
        <v>211.57003500456301</v>
      </c>
      <c r="C1002" s="116">
        <v>210.483540893895</v>
      </c>
      <c r="D1002" s="116">
        <v>206.927741986255</v>
      </c>
      <c r="E1002" s="116">
        <v>209.39704678322701</v>
      </c>
      <c r="F1002" s="116">
        <v>213.1</v>
      </c>
      <c r="G1002">
        <v>120271</v>
      </c>
      <c r="H1002" s="116"/>
      <c r="I1002" s="116"/>
      <c r="L1002" s="170">
        <v>43479</v>
      </c>
      <c r="M1002" s="116">
        <v>210.878845664887</v>
      </c>
      <c r="N1002" s="116">
        <v>211.619637862773</v>
      </c>
      <c r="O1002" s="116">
        <v>207.076112382405</v>
      </c>
      <c r="P1002" s="116">
        <v>209.150330536486</v>
      </c>
      <c r="Q1002" s="116">
        <v>213.5</v>
      </c>
      <c r="R1002">
        <v>1036107</v>
      </c>
    </row>
    <row r="1003" spans="1:18" x14ac:dyDescent="0.25">
      <c r="A1003" s="170">
        <v>43480</v>
      </c>
      <c r="B1003" s="116">
        <v>212.557756923352</v>
      </c>
      <c r="C1003" s="116">
        <v>211.767579388321</v>
      </c>
      <c r="D1003" s="116">
        <v>210.384768702016</v>
      </c>
      <c r="E1003" s="116">
        <v>210.384768702016</v>
      </c>
      <c r="F1003" s="116">
        <v>214.4</v>
      </c>
      <c r="G1003">
        <v>63774</v>
      </c>
      <c r="H1003" s="116"/>
      <c r="I1003" s="116"/>
      <c r="L1003" s="170">
        <v>43480</v>
      </c>
      <c r="M1003" s="116">
        <v>211.66902400929899</v>
      </c>
      <c r="N1003" s="116">
        <v>212.607360793288</v>
      </c>
      <c r="O1003" s="116">
        <v>209.98989502742401</v>
      </c>
      <c r="P1003" s="116">
        <v>210.48375649268101</v>
      </c>
      <c r="Q1003" s="116">
        <v>214.3</v>
      </c>
      <c r="R1003">
        <v>649313</v>
      </c>
    </row>
    <row r="1004" spans="1:18" x14ac:dyDescent="0.25">
      <c r="A1004" s="170">
        <v>43481</v>
      </c>
      <c r="B1004" s="116">
        <v>216.26171411881</v>
      </c>
      <c r="C1004" s="116">
        <v>213.59486493808001</v>
      </c>
      <c r="D1004" s="116">
        <v>211.47126281268399</v>
      </c>
      <c r="E1004" s="116">
        <v>211.47126281268399</v>
      </c>
      <c r="F1004" s="116">
        <v>216.25</v>
      </c>
      <c r="G1004">
        <v>87668</v>
      </c>
      <c r="H1004" s="116"/>
      <c r="I1004" s="116"/>
      <c r="L1004" s="170">
        <v>43481</v>
      </c>
      <c r="M1004" s="116">
        <v>213.79262830990501</v>
      </c>
      <c r="N1004" s="116">
        <v>216.508866368821</v>
      </c>
      <c r="O1004" s="116">
        <v>211.22454869056699</v>
      </c>
      <c r="P1004" s="116">
        <v>211.76779630235001</v>
      </c>
      <c r="Q1004" s="116">
        <v>216.45</v>
      </c>
      <c r="R1004">
        <v>1088457</v>
      </c>
    </row>
    <row r="1005" spans="1:18" x14ac:dyDescent="0.25">
      <c r="A1005" s="170">
        <v>43482</v>
      </c>
      <c r="B1005" s="116">
        <v>216.31110021474899</v>
      </c>
      <c r="C1005" s="116">
        <v>216.113555830991</v>
      </c>
      <c r="D1005" s="116">
        <v>212.60714301929099</v>
      </c>
      <c r="E1005" s="116">
        <v>213.79240932183799</v>
      </c>
      <c r="F1005" s="116">
        <v>218.8</v>
      </c>
      <c r="G1005">
        <v>334918</v>
      </c>
      <c r="H1005" s="116"/>
      <c r="I1005" s="116"/>
      <c r="L1005" s="170">
        <v>43482</v>
      </c>
      <c r="M1005" s="116">
        <v>215.47175729177999</v>
      </c>
      <c r="N1005" s="116">
        <v>216.064391050089</v>
      </c>
      <c r="O1005" s="116">
        <v>212.409816207185</v>
      </c>
      <c r="P1005" s="116">
        <v>213.842014456431</v>
      </c>
      <c r="Q1005" s="116">
        <v>218.15</v>
      </c>
      <c r="R1005">
        <v>1267904</v>
      </c>
    </row>
    <row r="1006" spans="1:18" x14ac:dyDescent="0.25">
      <c r="A1006" s="170">
        <v>43483</v>
      </c>
      <c r="B1006" s="116">
        <v>216.113555830991</v>
      </c>
      <c r="C1006" s="116">
        <v>213.298548362443</v>
      </c>
      <c r="D1006" s="116">
        <v>210.878629661411</v>
      </c>
      <c r="E1006" s="116">
        <v>215.76785315941501</v>
      </c>
      <c r="F1006" s="116">
        <v>215.95</v>
      </c>
      <c r="G1006">
        <v>88731</v>
      </c>
      <c r="H1006" s="116"/>
      <c r="I1006" s="116"/>
      <c r="L1006" s="170">
        <v>43483</v>
      </c>
      <c r="M1006" s="116">
        <v>213.59508372380199</v>
      </c>
      <c r="N1006" s="116">
        <v>215.81746031745999</v>
      </c>
      <c r="O1006" s="116">
        <v>211.07639025098999</v>
      </c>
      <c r="P1006" s="116">
        <v>215.718688024409</v>
      </c>
      <c r="Q1006" s="116">
        <v>216.25</v>
      </c>
      <c r="R1006">
        <v>771653</v>
      </c>
    </row>
    <row r="1007" spans="1:18" x14ac:dyDescent="0.25">
      <c r="A1007" s="170">
        <v>43486</v>
      </c>
      <c r="B1007" s="116">
        <v>214.43442856905</v>
      </c>
      <c r="C1007" s="116">
        <v>207.52037513752899</v>
      </c>
      <c r="D1007" s="116">
        <v>207.02651417813399</v>
      </c>
      <c r="E1007" s="116">
        <v>213.446706650262</v>
      </c>
      <c r="F1007" s="116">
        <v>210.1</v>
      </c>
      <c r="G1007">
        <v>97576</v>
      </c>
      <c r="H1007" s="116"/>
      <c r="I1007" s="116"/>
      <c r="L1007" s="170">
        <v>43486</v>
      </c>
      <c r="M1007" s="116">
        <v>207.91567687334299</v>
      </c>
      <c r="N1007" s="116">
        <v>214.28648977516301</v>
      </c>
      <c r="O1007" s="116">
        <v>207.421815408085</v>
      </c>
      <c r="P1007" s="116">
        <v>213.545697577277</v>
      </c>
      <c r="Q1007" s="116">
        <v>210.5</v>
      </c>
      <c r="R1007">
        <v>1005521</v>
      </c>
    </row>
    <row r="1008" spans="1:18" x14ac:dyDescent="0.25">
      <c r="A1008" s="170">
        <v>43487</v>
      </c>
      <c r="B1008" s="116">
        <v>210.03906603044001</v>
      </c>
      <c r="C1008" s="116">
        <v>209.00195801571201</v>
      </c>
      <c r="D1008" s="116">
        <v>205.98940616340599</v>
      </c>
      <c r="E1008" s="116">
        <v>205.98940616340599</v>
      </c>
      <c r="F1008" s="116">
        <v>211.6</v>
      </c>
      <c r="G1008">
        <v>59237</v>
      </c>
      <c r="H1008" s="116"/>
      <c r="I1008" s="116"/>
      <c r="L1008" s="170">
        <v>43487</v>
      </c>
      <c r="M1008" s="116">
        <v>209.49603356216599</v>
      </c>
      <c r="N1008" s="116">
        <v>209.94050888089799</v>
      </c>
      <c r="O1008" s="116">
        <v>206.63163706367399</v>
      </c>
      <c r="P1008" s="116">
        <v>207.12549852893099</v>
      </c>
      <c r="Q1008" s="116">
        <v>212.1</v>
      </c>
      <c r="R1008">
        <v>682384</v>
      </c>
    </row>
    <row r="1009" spans="1:18" x14ac:dyDescent="0.25">
      <c r="A1009" s="170">
        <v>43488</v>
      </c>
      <c r="B1009" s="116">
        <v>211.47126281268399</v>
      </c>
      <c r="C1009" s="116">
        <v>207.86607780910501</v>
      </c>
      <c r="D1009" s="116">
        <v>207.42160294564999</v>
      </c>
      <c r="E1009" s="116">
        <v>207.71791952128601</v>
      </c>
      <c r="F1009" s="116">
        <v>210.45</v>
      </c>
      <c r="G1009">
        <v>57523</v>
      </c>
      <c r="H1009" s="116"/>
      <c r="I1009" s="116"/>
      <c r="L1009" s="170">
        <v>43488</v>
      </c>
      <c r="M1009" s="116">
        <v>208.014449166394</v>
      </c>
      <c r="N1009" s="116">
        <v>212.16288547455599</v>
      </c>
      <c r="O1009" s="116">
        <v>207.421815408085</v>
      </c>
      <c r="P1009" s="116">
        <v>208.90339980385701</v>
      </c>
      <c r="Q1009" s="116">
        <v>210.6</v>
      </c>
      <c r="R1009">
        <v>937183</v>
      </c>
    </row>
    <row r="1010" spans="1:18" x14ac:dyDescent="0.25">
      <c r="A1010" s="170">
        <v>43489</v>
      </c>
      <c r="B1010" s="116">
        <v>209.89090774262201</v>
      </c>
      <c r="C1010" s="116">
        <v>207.964850000984</v>
      </c>
      <c r="D1010" s="116">
        <v>206.927741986255</v>
      </c>
      <c r="E1010" s="116">
        <v>209.39704678322701</v>
      </c>
      <c r="F1010" s="116">
        <v>210.55</v>
      </c>
      <c r="G1010">
        <v>83645</v>
      </c>
      <c r="H1010" s="116"/>
      <c r="I1010" s="116"/>
      <c r="L1010" s="170">
        <v>43489</v>
      </c>
      <c r="M1010" s="116">
        <v>208.21199375249699</v>
      </c>
      <c r="N1010" s="116">
        <v>210.03928117394901</v>
      </c>
      <c r="O1010" s="116">
        <v>206.87856779630201</v>
      </c>
      <c r="P1010" s="116">
        <v>209.49603356216599</v>
      </c>
      <c r="Q1010" s="116">
        <v>210.8</v>
      </c>
      <c r="R1010">
        <v>1059068</v>
      </c>
    </row>
    <row r="1011" spans="1:18" x14ac:dyDescent="0.25">
      <c r="A1011" s="170">
        <v>43490</v>
      </c>
      <c r="B1011" s="116">
        <v>209.39704678322701</v>
      </c>
      <c r="C1011" s="116">
        <v>204.35966499740499</v>
      </c>
      <c r="D1011" s="116">
        <v>203.56948746237299</v>
      </c>
      <c r="E1011" s="116">
        <v>208.31055267255999</v>
      </c>
      <c r="F1011" s="116">
        <v>206.9</v>
      </c>
      <c r="G1011">
        <v>62215</v>
      </c>
      <c r="H1011" s="116"/>
      <c r="I1011" s="116"/>
      <c r="L1011" s="170">
        <v>43490</v>
      </c>
      <c r="M1011" s="116">
        <v>204.50803276306701</v>
      </c>
      <c r="N1011" s="116">
        <v>209.446647415641</v>
      </c>
      <c r="O1011" s="116">
        <v>203.52030983255199</v>
      </c>
      <c r="P1011" s="116">
        <v>208.40953833859999</v>
      </c>
      <c r="Q1011" s="116">
        <v>207.05</v>
      </c>
      <c r="R1011">
        <v>1723705</v>
      </c>
    </row>
    <row r="1012" spans="1:18" x14ac:dyDescent="0.25">
      <c r="A1012" s="170">
        <v>43493</v>
      </c>
      <c r="B1012" s="116">
        <v>207.42160294564999</v>
      </c>
      <c r="C1012" s="116">
        <v>205.98940616340599</v>
      </c>
      <c r="D1012" s="116">
        <v>199.025966635945</v>
      </c>
      <c r="E1012" s="116">
        <v>204.45843718928299</v>
      </c>
      <c r="F1012" s="116">
        <v>208.55</v>
      </c>
      <c r="G1012">
        <v>123525</v>
      </c>
      <c r="H1012" s="116"/>
      <c r="I1012" s="116"/>
      <c r="L1012" s="170">
        <v>43493</v>
      </c>
      <c r="M1012" s="116">
        <v>206.68102321019899</v>
      </c>
      <c r="N1012" s="116">
        <v>207.71813228724</v>
      </c>
      <c r="O1012" s="116">
        <v>198.878012059133</v>
      </c>
      <c r="P1012" s="116">
        <v>204.45864661654099</v>
      </c>
      <c r="Q1012" s="116">
        <v>209.25</v>
      </c>
      <c r="R1012">
        <v>1629992</v>
      </c>
    </row>
    <row r="1013" spans="1:18" x14ac:dyDescent="0.25">
      <c r="A1013" s="170">
        <v>43494</v>
      </c>
      <c r="B1013" s="116">
        <v>207.71791952128601</v>
      </c>
      <c r="C1013" s="116">
        <v>203.27317088673701</v>
      </c>
      <c r="D1013" s="116">
        <v>200.40877732224899</v>
      </c>
      <c r="E1013" s="116">
        <v>206.285722739043</v>
      </c>
      <c r="F1013" s="116">
        <v>205.8</v>
      </c>
      <c r="G1013">
        <v>139802</v>
      </c>
      <c r="H1013" s="116"/>
      <c r="I1013" s="116"/>
      <c r="L1013" s="170">
        <v>43494</v>
      </c>
      <c r="M1013" s="116">
        <v>202.335042315935</v>
      </c>
      <c r="N1013" s="116">
        <v>207.81690458029101</v>
      </c>
      <c r="O1013" s="116">
        <v>199.71757655007099</v>
      </c>
      <c r="P1013" s="116">
        <v>207.421815408085</v>
      </c>
      <c r="Q1013" s="116">
        <v>204.85</v>
      </c>
      <c r="R1013">
        <v>1325502</v>
      </c>
    </row>
    <row r="1014" spans="1:18" x14ac:dyDescent="0.25">
      <c r="A1014" s="170">
        <v>43495</v>
      </c>
      <c r="B1014" s="116">
        <v>203.86580403801</v>
      </c>
      <c r="C1014" s="116">
        <v>201.64342972073501</v>
      </c>
      <c r="D1014" s="116">
        <v>199.519827595339</v>
      </c>
      <c r="E1014" s="116">
        <v>201.98913239231101</v>
      </c>
      <c r="F1014" s="116">
        <v>204.15</v>
      </c>
      <c r="G1014">
        <v>93430</v>
      </c>
      <c r="H1014" s="116"/>
      <c r="I1014" s="116"/>
      <c r="L1014" s="170">
        <v>43495</v>
      </c>
      <c r="M1014" s="116">
        <v>201.989339290255</v>
      </c>
      <c r="N1014" s="116">
        <v>204.01417129781001</v>
      </c>
      <c r="O1014" s="116">
        <v>199.42125967091599</v>
      </c>
      <c r="P1014" s="116">
        <v>201.24854709236899</v>
      </c>
      <c r="Q1014" s="116">
        <v>204.5</v>
      </c>
      <c r="R1014">
        <v>1407845</v>
      </c>
    </row>
    <row r="1015" spans="1:18" x14ac:dyDescent="0.25">
      <c r="A1015" s="170">
        <v>43496</v>
      </c>
      <c r="B1015" s="116">
        <v>203.56948746237299</v>
      </c>
      <c r="C1015" s="116">
        <v>202.08790458419</v>
      </c>
      <c r="D1015" s="116">
        <v>198.532105676551</v>
      </c>
      <c r="E1015" s="116">
        <v>201.98913239231101</v>
      </c>
      <c r="F1015" s="116">
        <v>204.6</v>
      </c>
      <c r="G1015">
        <v>120306</v>
      </c>
      <c r="H1015" s="116"/>
      <c r="I1015" s="116"/>
      <c r="L1015" s="170">
        <v>43496</v>
      </c>
      <c r="M1015" s="116">
        <v>201.29793323889399</v>
      </c>
      <c r="N1015" s="116">
        <v>203.47092368602699</v>
      </c>
      <c r="O1015" s="116">
        <v>198.33476444735001</v>
      </c>
      <c r="P1015" s="116">
        <v>203.273379099924</v>
      </c>
      <c r="Q1015" s="116">
        <v>203.8</v>
      </c>
      <c r="R1015">
        <v>2584783</v>
      </c>
    </row>
    <row r="1016" spans="1:18" x14ac:dyDescent="0.25">
      <c r="A1016" s="170">
        <v>43497</v>
      </c>
      <c r="B1016" s="116">
        <v>205.149842532436</v>
      </c>
      <c r="C1016" s="116">
        <v>201.74220191261401</v>
      </c>
      <c r="D1016" s="116">
        <v>199.42105540346</v>
      </c>
      <c r="E1016" s="116">
        <v>200.50754951412799</v>
      </c>
      <c r="F1016" s="116">
        <v>204.25</v>
      </c>
      <c r="G1016">
        <v>68864</v>
      </c>
      <c r="H1016" s="116"/>
      <c r="I1016" s="116"/>
      <c r="L1016" s="170">
        <v>43497</v>
      </c>
      <c r="M1016" s="116">
        <v>201.59425011804899</v>
      </c>
      <c r="N1016" s="116">
        <v>205.24882496095299</v>
      </c>
      <c r="O1016" s="116">
        <v>199.174328938288</v>
      </c>
      <c r="P1016" s="116">
        <v>201.29793323889399</v>
      </c>
      <c r="Q1016" s="116">
        <v>204.1</v>
      </c>
      <c r="R1016">
        <v>948332</v>
      </c>
    </row>
    <row r="1017" spans="1:18" x14ac:dyDescent="0.25">
      <c r="A1017" s="170">
        <v>43500</v>
      </c>
      <c r="B1017" s="116">
        <v>202.482993351706</v>
      </c>
      <c r="C1017" s="116">
        <v>197.84070033339799</v>
      </c>
      <c r="D1017" s="116">
        <v>195.91464259176001</v>
      </c>
      <c r="E1017" s="116">
        <v>202.482993351706</v>
      </c>
      <c r="F1017" s="116">
        <v>200.3</v>
      </c>
      <c r="G1017">
        <v>108072</v>
      </c>
      <c r="H1017" s="116"/>
      <c r="I1017" s="116"/>
      <c r="L1017" s="170">
        <v>43500</v>
      </c>
      <c r="M1017" s="116">
        <v>197.39642766336101</v>
      </c>
      <c r="N1017" s="116">
        <v>201.93995314372901</v>
      </c>
      <c r="O1017" s="116">
        <v>195.569140241909</v>
      </c>
      <c r="P1017" s="116">
        <v>201.00161635974001</v>
      </c>
      <c r="Q1017" s="116">
        <v>199.85</v>
      </c>
      <c r="R1017">
        <v>1115503</v>
      </c>
    </row>
    <row r="1018" spans="1:18" x14ac:dyDescent="0.25">
      <c r="A1018" s="170">
        <v>43501</v>
      </c>
      <c r="B1018" s="116">
        <v>197.54438375776201</v>
      </c>
      <c r="C1018" s="116">
        <v>183.56811860689999</v>
      </c>
      <c r="D1018" s="116">
        <v>178.08626195762201</v>
      </c>
      <c r="E1018" s="116">
        <v>195.56893992018399</v>
      </c>
      <c r="F1018" s="116">
        <v>185.85</v>
      </c>
      <c r="G1018">
        <v>1060337</v>
      </c>
      <c r="H1018" s="116"/>
      <c r="I1018" s="116"/>
      <c r="L1018" s="170">
        <v>43501</v>
      </c>
      <c r="M1018" s="116">
        <v>183.66707892920701</v>
      </c>
      <c r="N1018" s="116">
        <v>197.593972249464</v>
      </c>
      <c r="O1018" s="116">
        <v>177.098721441284</v>
      </c>
      <c r="P1018" s="116">
        <v>196.06300170716599</v>
      </c>
      <c r="Q1018" s="116">
        <v>185.95</v>
      </c>
      <c r="R1018">
        <v>8331711</v>
      </c>
    </row>
    <row r="1019" spans="1:18" x14ac:dyDescent="0.25">
      <c r="A1019" s="170">
        <v>43502</v>
      </c>
      <c r="B1019" s="116">
        <v>187.173303610479</v>
      </c>
      <c r="C1019" s="116">
        <v>186.037423403872</v>
      </c>
      <c r="D1019" s="116">
        <v>175.81450154440799</v>
      </c>
      <c r="E1019" s="116">
        <v>182.72855497593</v>
      </c>
      <c r="F1019" s="116">
        <v>188.35</v>
      </c>
      <c r="G1019">
        <v>382115</v>
      </c>
      <c r="H1019" s="116"/>
      <c r="I1019" s="116"/>
      <c r="L1019" s="170">
        <v>43502</v>
      </c>
      <c r="M1019" s="116">
        <v>186.13638625549399</v>
      </c>
      <c r="N1019" s="116">
        <v>187.42042606516301</v>
      </c>
      <c r="O1019" s="116">
        <v>175.91345392466701</v>
      </c>
      <c r="P1019" s="116">
        <v>181.74101921470299</v>
      </c>
      <c r="Q1019" s="116">
        <v>188.45</v>
      </c>
      <c r="R1019">
        <v>3459646</v>
      </c>
    </row>
    <row r="1020" spans="1:18" x14ac:dyDescent="0.25">
      <c r="A1020" s="170">
        <v>43503</v>
      </c>
      <c r="B1020" s="116">
        <v>189.93892498308799</v>
      </c>
      <c r="C1020" s="116">
        <v>187.815322857692</v>
      </c>
      <c r="D1020" s="116">
        <v>184.506454429749</v>
      </c>
      <c r="E1020" s="116">
        <v>186.679442651085</v>
      </c>
      <c r="F1020" s="116">
        <v>190.15</v>
      </c>
      <c r="G1020">
        <v>164604</v>
      </c>
      <c r="H1020" s="116"/>
      <c r="I1020" s="116"/>
      <c r="L1020" s="170">
        <v>43503</v>
      </c>
      <c r="M1020" s="116">
        <v>188.753852021358</v>
      </c>
      <c r="N1020" s="116">
        <v>190.08727797755299</v>
      </c>
      <c r="O1020" s="116">
        <v>184.358484980567</v>
      </c>
      <c r="P1020" s="116">
        <v>185.98822781591701</v>
      </c>
      <c r="Q1020" s="116">
        <v>191.1</v>
      </c>
      <c r="R1020">
        <v>1968302</v>
      </c>
    </row>
    <row r="1021" spans="1:18" x14ac:dyDescent="0.25">
      <c r="A1021" s="170">
        <v>43504</v>
      </c>
      <c r="B1021" s="116">
        <v>188.95120306429899</v>
      </c>
      <c r="C1021" s="116">
        <v>183.27180203126301</v>
      </c>
      <c r="D1021" s="116">
        <v>182.382852304354</v>
      </c>
      <c r="E1021" s="116">
        <v>187.66716456987399</v>
      </c>
      <c r="F1021" s="116">
        <v>185.55</v>
      </c>
      <c r="G1021">
        <v>146050</v>
      </c>
      <c r="H1021" s="116"/>
      <c r="I1021" s="116"/>
      <c r="L1021" s="170">
        <v>43504</v>
      </c>
      <c r="M1021" s="116">
        <v>183.420148196578</v>
      </c>
      <c r="N1021" s="116">
        <v>189.14894119356401</v>
      </c>
      <c r="O1021" s="116">
        <v>182.136108386909</v>
      </c>
      <c r="P1021" s="116">
        <v>187.667356797792</v>
      </c>
      <c r="Q1021" s="116">
        <v>185.7</v>
      </c>
      <c r="R1021">
        <v>1280248</v>
      </c>
    </row>
    <row r="1022" spans="1:18" x14ac:dyDescent="0.25">
      <c r="A1022" s="170">
        <v>43507</v>
      </c>
      <c r="B1022" s="116">
        <v>183.96320737441599</v>
      </c>
      <c r="C1022" s="116">
        <v>177.54301490228801</v>
      </c>
      <c r="D1022" s="116">
        <v>175.32064058501399</v>
      </c>
      <c r="E1022" s="116">
        <v>183.41996031908201</v>
      </c>
      <c r="F1022" s="116">
        <v>179.75</v>
      </c>
      <c r="G1022">
        <v>333648</v>
      </c>
      <c r="H1022" s="116"/>
      <c r="I1022" s="116"/>
      <c r="L1022" s="170">
        <v>43507</v>
      </c>
      <c r="M1022" s="116">
        <v>177.543196760016</v>
      </c>
      <c r="N1022" s="116">
        <v>183.716465075733</v>
      </c>
      <c r="O1022" s="116">
        <v>174.876344847626</v>
      </c>
      <c r="P1022" s="116">
        <v>183.61769278268099</v>
      </c>
      <c r="Q1022" s="116">
        <v>179.75</v>
      </c>
      <c r="R1022">
        <v>3460117</v>
      </c>
    </row>
    <row r="1023" spans="1:18" x14ac:dyDescent="0.25">
      <c r="A1023" s="170">
        <v>43508</v>
      </c>
      <c r="B1023" s="116">
        <v>186.580670459206</v>
      </c>
      <c r="C1023" s="116">
        <v>183.765662990658</v>
      </c>
      <c r="D1023" s="116">
        <v>176.16020421598401</v>
      </c>
      <c r="E1023" s="116">
        <v>176.60467907943899</v>
      </c>
      <c r="F1023" s="116">
        <v>186.05</v>
      </c>
      <c r="G1023">
        <v>250437</v>
      </c>
      <c r="H1023" s="116"/>
      <c r="I1023" s="116"/>
      <c r="L1023" s="170">
        <v>43508</v>
      </c>
      <c r="M1023" s="116">
        <v>184.25971268751599</v>
      </c>
      <c r="N1023" s="116">
        <v>186.679633867277</v>
      </c>
      <c r="O1023" s="116">
        <v>176.40731538992401</v>
      </c>
      <c r="P1023" s="116">
        <v>176.85179070865601</v>
      </c>
      <c r="Q1023" s="116">
        <v>186.55</v>
      </c>
      <c r="R1023">
        <v>2805228</v>
      </c>
    </row>
    <row r="1024" spans="1:18" x14ac:dyDescent="0.25">
      <c r="A1024" s="170">
        <v>43509</v>
      </c>
      <c r="B1024" s="116">
        <v>185.59294854041701</v>
      </c>
      <c r="C1024" s="116">
        <v>182.43223840029299</v>
      </c>
      <c r="D1024" s="116">
        <v>180.75311113835201</v>
      </c>
      <c r="E1024" s="116">
        <v>184.60522662162799</v>
      </c>
      <c r="F1024" s="116">
        <v>184.7</v>
      </c>
      <c r="G1024">
        <v>144989</v>
      </c>
      <c r="H1024" s="116"/>
      <c r="I1024" s="116"/>
      <c r="L1024" s="170">
        <v>43509</v>
      </c>
      <c r="M1024" s="116">
        <v>182.72874214521801</v>
      </c>
      <c r="N1024" s="116">
        <v>185.39559405760801</v>
      </c>
      <c r="O1024" s="116">
        <v>180.60513784461199</v>
      </c>
      <c r="P1024" s="116">
        <v>184.70418800624799</v>
      </c>
      <c r="Q1024" s="116">
        <v>185</v>
      </c>
      <c r="R1024">
        <v>1618836</v>
      </c>
    </row>
    <row r="1025" spans="1:18" x14ac:dyDescent="0.25">
      <c r="A1025" s="170">
        <v>43510</v>
      </c>
      <c r="B1025" s="116">
        <v>187.51900628205499</v>
      </c>
      <c r="C1025" s="116">
        <v>186.18558169169</v>
      </c>
      <c r="D1025" s="116">
        <v>179.86416141144201</v>
      </c>
      <c r="E1025" s="116">
        <v>179.86416141144201</v>
      </c>
      <c r="F1025" s="116">
        <v>188.5</v>
      </c>
      <c r="G1025">
        <v>74079</v>
      </c>
      <c r="H1025" s="116"/>
      <c r="I1025" s="116"/>
      <c r="L1025" s="170">
        <v>43510</v>
      </c>
      <c r="M1025" s="116">
        <v>186.580861574225</v>
      </c>
      <c r="N1025" s="116">
        <v>188.06244596999699</v>
      </c>
      <c r="O1025" s="116">
        <v>180.703910137663</v>
      </c>
      <c r="P1025" s="116">
        <v>180.90145472376599</v>
      </c>
      <c r="Q1025" s="116">
        <v>188.9</v>
      </c>
      <c r="R1025">
        <v>997833</v>
      </c>
    </row>
    <row r="1026" spans="1:18" x14ac:dyDescent="0.25">
      <c r="A1026" s="170">
        <v>43511</v>
      </c>
      <c r="B1026" s="116">
        <v>189.64260840745101</v>
      </c>
      <c r="C1026" s="116">
        <v>183.32118812720299</v>
      </c>
      <c r="D1026" s="116">
        <v>181.79021915307999</v>
      </c>
      <c r="E1026" s="116">
        <v>189.64260840745101</v>
      </c>
      <c r="F1026" s="116">
        <v>185.6</v>
      </c>
      <c r="G1026">
        <v>87467</v>
      </c>
      <c r="H1026" s="116"/>
      <c r="I1026" s="116"/>
      <c r="L1026" s="170">
        <v>43511</v>
      </c>
      <c r="M1026" s="116">
        <v>183.86462351531</v>
      </c>
      <c r="N1026" s="116">
        <v>188.65507972830599</v>
      </c>
      <c r="O1026" s="116">
        <v>181.93856380080601</v>
      </c>
      <c r="P1026" s="116">
        <v>188.65507972830599</v>
      </c>
      <c r="Q1026" s="116">
        <v>186.15</v>
      </c>
      <c r="R1026">
        <v>1624523</v>
      </c>
    </row>
    <row r="1027" spans="1:18" x14ac:dyDescent="0.25">
      <c r="A1027" s="170">
        <v>43514</v>
      </c>
      <c r="B1027" s="116">
        <v>184.06197956629501</v>
      </c>
      <c r="C1027" s="116">
        <v>180.308636274897</v>
      </c>
      <c r="D1027" s="116">
        <v>179.27152826016899</v>
      </c>
      <c r="E1027" s="116">
        <v>183.86443518253699</v>
      </c>
      <c r="F1027" s="116">
        <v>182.55</v>
      </c>
      <c r="G1027">
        <v>67669</v>
      </c>
      <c r="H1027" s="116"/>
      <c r="I1027" s="116"/>
      <c r="L1027" s="170">
        <v>43514</v>
      </c>
      <c r="M1027" s="116">
        <v>180.50636555156001</v>
      </c>
      <c r="N1027" s="116">
        <v>184.21032654099</v>
      </c>
      <c r="O1027" s="116">
        <v>179.271711888417</v>
      </c>
      <c r="P1027" s="116">
        <v>183.86462351531</v>
      </c>
      <c r="Q1027" s="116">
        <v>182.75</v>
      </c>
      <c r="R1027">
        <v>1026852</v>
      </c>
    </row>
    <row r="1028" spans="1:18" x14ac:dyDescent="0.25">
      <c r="A1028" s="170">
        <v>43515</v>
      </c>
      <c r="B1028" s="116">
        <v>186.38312607544799</v>
      </c>
      <c r="C1028" s="116">
        <v>182.481624496232</v>
      </c>
      <c r="D1028" s="116">
        <v>179.567844835805</v>
      </c>
      <c r="E1028" s="116">
        <v>180.01231969925999</v>
      </c>
      <c r="F1028" s="116">
        <v>184.75</v>
      </c>
      <c r="G1028">
        <v>65469</v>
      </c>
      <c r="H1028" s="116"/>
      <c r="I1028" s="116"/>
      <c r="L1028" s="170">
        <v>43515</v>
      </c>
      <c r="M1028" s="116">
        <v>182.23488067996101</v>
      </c>
      <c r="N1028" s="116">
        <v>186.48208928117401</v>
      </c>
      <c r="O1028" s="116">
        <v>180.01250408630301</v>
      </c>
      <c r="P1028" s="116">
        <v>180.35820711198301</v>
      </c>
      <c r="Q1028" s="116">
        <v>184.5</v>
      </c>
      <c r="R1028">
        <v>984628</v>
      </c>
    </row>
    <row r="1029" spans="1:18" x14ac:dyDescent="0.25">
      <c r="A1029" s="170">
        <v>43516</v>
      </c>
      <c r="B1029" s="116">
        <v>186.975759226722</v>
      </c>
      <c r="C1029" s="116">
        <v>186.23496778763001</v>
      </c>
      <c r="D1029" s="116">
        <v>183.22241593532399</v>
      </c>
      <c r="E1029" s="116">
        <v>183.32118812720299</v>
      </c>
      <c r="F1029" s="116">
        <v>188.55</v>
      </c>
      <c r="G1029">
        <v>39783</v>
      </c>
      <c r="H1029" s="116"/>
      <c r="I1029" s="116"/>
      <c r="L1029" s="170">
        <v>43516</v>
      </c>
      <c r="M1029" s="116">
        <v>186.383316988122</v>
      </c>
      <c r="N1029" s="116">
        <v>186.97595074643101</v>
      </c>
      <c r="O1029" s="116">
        <v>182.23488067996101</v>
      </c>
      <c r="P1029" s="116">
        <v>182.23488067996101</v>
      </c>
      <c r="Q1029" s="116">
        <v>188.7</v>
      </c>
      <c r="R1029">
        <v>993170</v>
      </c>
    </row>
    <row r="1030" spans="1:18" x14ac:dyDescent="0.25">
      <c r="A1030" s="170">
        <v>43517</v>
      </c>
      <c r="B1030" s="116">
        <v>192.35884368412101</v>
      </c>
      <c r="C1030" s="116">
        <v>187.61777847393401</v>
      </c>
      <c r="D1030" s="116">
        <v>185.296631964781</v>
      </c>
      <c r="E1030" s="116">
        <v>185.296631964781</v>
      </c>
      <c r="F1030" s="116">
        <v>189.95</v>
      </c>
      <c r="G1030">
        <v>173060</v>
      </c>
      <c r="H1030" s="116"/>
      <c r="I1030" s="116"/>
      <c r="L1030" s="170">
        <v>43517</v>
      </c>
      <c r="M1030" s="116">
        <v>188.309376702626</v>
      </c>
      <c r="N1030" s="116">
        <v>192.50719915731401</v>
      </c>
      <c r="O1030" s="116">
        <v>185.24743561803101</v>
      </c>
      <c r="P1030" s="116">
        <v>185.69191093676201</v>
      </c>
      <c r="Q1030" s="116">
        <v>190.65</v>
      </c>
      <c r="R1030">
        <v>2511829</v>
      </c>
    </row>
    <row r="1031" spans="1:18" x14ac:dyDescent="0.25">
      <c r="A1031" s="170">
        <v>43518</v>
      </c>
      <c r="B1031" s="116">
        <v>189.74138059933</v>
      </c>
      <c r="C1031" s="116">
        <v>187.420234090176</v>
      </c>
      <c r="D1031" s="116">
        <v>186.33373997950901</v>
      </c>
      <c r="E1031" s="116">
        <v>188.457342104905</v>
      </c>
      <c r="F1031" s="116">
        <v>189.75</v>
      </c>
      <c r="G1031">
        <v>76663</v>
      </c>
      <c r="H1031" s="116"/>
      <c r="I1031" s="116"/>
      <c r="L1031" s="170">
        <v>43518</v>
      </c>
      <c r="M1031" s="116">
        <v>186.92656459990599</v>
      </c>
      <c r="N1031" s="116">
        <v>189.692188805347</v>
      </c>
      <c r="O1031" s="116">
        <v>185.741297083288</v>
      </c>
      <c r="P1031" s="116">
        <v>187.667356797792</v>
      </c>
      <c r="Q1031" s="116">
        <v>189.25</v>
      </c>
      <c r="R1031">
        <v>1243941</v>
      </c>
    </row>
    <row r="1032" spans="1:18" x14ac:dyDescent="0.25">
      <c r="A1032" s="170">
        <v>43521</v>
      </c>
      <c r="B1032" s="116">
        <v>190.877260805937</v>
      </c>
      <c r="C1032" s="116">
        <v>188.70427258460199</v>
      </c>
      <c r="D1032" s="116">
        <v>186.284353883569</v>
      </c>
      <c r="E1032" s="116">
        <v>188.605500392723</v>
      </c>
      <c r="F1032" s="116">
        <v>191.05</v>
      </c>
      <c r="G1032">
        <v>84359</v>
      </c>
      <c r="H1032" s="116"/>
      <c r="I1032" s="116"/>
      <c r="L1032" s="170">
        <v>43521</v>
      </c>
      <c r="M1032" s="116">
        <v>188.753852021358</v>
      </c>
      <c r="N1032" s="116">
        <v>190.828070175439</v>
      </c>
      <c r="O1032" s="116">
        <v>186.235158548545</v>
      </c>
      <c r="P1032" s="116">
        <v>187.76612909084301</v>
      </c>
      <c r="Q1032" s="116">
        <v>191.1</v>
      </c>
      <c r="R1032">
        <v>1373833</v>
      </c>
    </row>
    <row r="1033" spans="1:18" x14ac:dyDescent="0.25">
      <c r="A1033" s="170">
        <v>43522</v>
      </c>
      <c r="B1033" s="116">
        <v>189.74138059933</v>
      </c>
      <c r="C1033" s="116">
        <v>189.19813354399599</v>
      </c>
      <c r="D1033" s="116">
        <v>183.22241593532399</v>
      </c>
      <c r="E1033" s="116">
        <v>186.77821484296399</v>
      </c>
      <c r="F1033" s="116">
        <v>191.55</v>
      </c>
      <c r="G1033">
        <v>122918</v>
      </c>
      <c r="H1033" s="116"/>
      <c r="I1033" s="116"/>
      <c r="L1033" s="170">
        <v>43522</v>
      </c>
      <c r="M1033" s="116">
        <v>189.29709963314099</v>
      </c>
      <c r="N1033" s="116">
        <v>189.88973339144999</v>
      </c>
      <c r="O1033" s="116">
        <v>183.074445170898</v>
      </c>
      <c r="P1033" s="116">
        <v>187.42042606516301</v>
      </c>
      <c r="Q1033" s="116">
        <v>191.65</v>
      </c>
      <c r="R1033">
        <v>1271388</v>
      </c>
    </row>
    <row r="1034" spans="1:18" x14ac:dyDescent="0.25">
      <c r="A1034" s="170">
        <v>43523</v>
      </c>
      <c r="B1034" s="116">
        <v>192.556388067878</v>
      </c>
      <c r="C1034" s="116">
        <v>190.82787470999801</v>
      </c>
      <c r="D1034" s="116">
        <v>187.91409504957099</v>
      </c>
      <c r="E1034" s="116">
        <v>190.28462765466401</v>
      </c>
      <c r="F1034" s="116">
        <v>193.2</v>
      </c>
      <c r="G1034">
        <v>151491</v>
      </c>
      <c r="H1034" s="116"/>
      <c r="I1034" s="116"/>
      <c r="L1034" s="170">
        <v>43523</v>
      </c>
      <c r="M1034" s="116">
        <v>190.334208710181</v>
      </c>
      <c r="N1034" s="116">
        <v>192.60597145036499</v>
      </c>
      <c r="O1034" s="116">
        <v>187.76612909084301</v>
      </c>
      <c r="P1034" s="116">
        <v>189.64280265882101</v>
      </c>
      <c r="Q1034" s="116">
        <v>192.7</v>
      </c>
      <c r="R1034">
        <v>1816786</v>
      </c>
    </row>
    <row r="1035" spans="1:18" x14ac:dyDescent="0.25">
      <c r="A1035" s="170">
        <v>43524</v>
      </c>
      <c r="B1035" s="116">
        <v>192.60577416381801</v>
      </c>
      <c r="C1035" s="116">
        <v>191.56866614908901</v>
      </c>
      <c r="D1035" s="116">
        <v>189.44506402369399</v>
      </c>
      <c r="E1035" s="116">
        <v>189.79076669527001</v>
      </c>
      <c r="F1035" s="116">
        <v>193.95</v>
      </c>
      <c r="G1035">
        <v>42434</v>
      </c>
      <c r="H1035" s="116"/>
      <c r="I1035" s="116"/>
      <c r="L1035" s="170">
        <v>43524</v>
      </c>
      <c r="M1035" s="116">
        <v>191.32193164069599</v>
      </c>
      <c r="N1035" s="116">
        <v>192.60597145036499</v>
      </c>
      <c r="O1035" s="116">
        <v>189.19832734008901</v>
      </c>
      <c r="P1035" s="116">
        <v>190.037891831027</v>
      </c>
      <c r="Q1035" s="116">
        <v>193.7</v>
      </c>
      <c r="R1035">
        <v>1090108</v>
      </c>
    </row>
    <row r="1036" spans="1:18" x14ac:dyDescent="0.25">
      <c r="A1036" s="170">
        <v>43525</v>
      </c>
      <c r="B1036" s="116">
        <v>195.618326016124</v>
      </c>
      <c r="C1036" s="116">
        <v>195.17385115266899</v>
      </c>
      <c r="D1036" s="116">
        <v>191.32173566939201</v>
      </c>
      <c r="E1036" s="116">
        <v>191.86498272472599</v>
      </c>
      <c r="F1036" s="116">
        <v>197.6</v>
      </c>
      <c r="G1036">
        <v>60937</v>
      </c>
      <c r="H1036" s="116"/>
      <c r="I1036" s="116"/>
      <c r="L1036" s="170">
        <v>43525</v>
      </c>
      <c r="M1036" s="116">
        <v>194.87773419054901</v>
      </c>
      <c r="N1036" s="116">
        <v>195.42098180233199</v>
      </c>
      <c r="O1036" s="116">
        <v>190.828070175439</v>
      </c>
      <c r="P1036" s="116">
        <v>191.61824851985</v>
      </c>
      <c r="Q1036" s="116">
        <v>197.3</v>
      </c>
      <c r="R1036">
        <v>1292085</v>
      </c>
    </row>
    <row r="1037" spans="1:18" x14ac:dyDescent="0.25">
      <c r="A1037" s="170">
        <v>43529</v>
      </c>
      <c r="B1037" s="116">
        <v>197.44561156588301</v>
      </c>
      <c r="C1037" s="116">
        <v>195.17385115266899</v>
      </c>
      <c r="D1037" s="116">
        <v>194.18612923388</v>
      </c>
      <c r="E1037" s="116">
        <v>195.02569286484999</v>
      </c>
      <c r="F1037" s="116">
        <v>197.6</v>
      </c>
      <c r="G1037">
        <v>90366</v>
      </c>
      <c r="H1037" s="116"/>
      <c r="I1037" s="116"/>
      <c r="L1037" s="170">
        <v>43529</v>
      </c>
      <c r="M1037" s="116">
        <v>195.12466492317799</v>
      </c>
      <c r="N1037" s="116">
        <v>197.445813809887</v>
      </c>
      <c r="O1037" s="116">
        <v>194.18632813918899</v>
      </c>
      <c r="P1037" s="116">
        <v>195.17405106970301</v>
      </c>
      <c r="Q1037" s="116">
        <v>197.55</v>
      </c>
      <c r="R1037">
        <v>1910560</v>
      </c>
    </row>
    <row r="1038" spans="1:18" x14ac:dyDescent="0.25">
      <c r="A1038" s="170">
        <v>43530</v>
      </c>
      <c r="B1038" s="116">
        <v>200.65570780194699</v>
      </c>
      <c r="C1038" s="116">
        <v>195.37139553642601</v>
      </c>
      <c r="D1038" s="116">
        <v>193.692268274485</v>
      </c>
      <c r="E1038" s="116">
        <v>193.74165437042501</v>
      </c>
      <c r="F1038" s="116">
        <v>197.8</v>
      </c>
      <c r="G1038">
        <v>98431</v>
      </c>
      <c r="H1038" s="116"/>
      <c r="I1038" s="116"/>
      <c r="L1038" s="170">
        <v>43530</v>
      </c>
      <c r="M1038" s="116">
        <v>195.51975409538301</v>
      </c>
      <c r="N1038" s="116">
        <v>200.754685627111</v>
      </c>
      <c r="O1038" s="116">
        <v>193.69246667393099</v>
      </c>
      <c r="P1038" s="116">
        <v>196.06300170716599</v>
      </c>
      <c r="Q1038" s="116">
        <v>197.95</v>
      </c>
      <c r="R1038">
        <v>1716592</v>
      </c>
    </row>
    <row r="1039" spans="1:18" x14ac:dyDescent="0.25">
      <c r="A1039" s="170">
        <v>43531</v>
      </c>
      <c r="B1039" s="116">
        <v>197.248067182125</v>
      </c>
      <c r="C1039" s="116">
        <v>194.13674313793999</v>
      </c>
      <c r="D1039" s="116">
        <v>193.791040466364</v>
      </c>
      <c r="E1039" s="116">
        <v>195.81587039988099</v>
      </c>
      <c r="F1039" s="116">
        <v>196.55</v>
      </c>
      <c r="G1039">
        <v>143916</v>
      </c>
      <c r="H1039" s="116"/>
      <c r="I1039" s="116"/>
      <c r="L1039" s="170">
        <v>43531</v>
      </c>
      <c r="M1039" s="116">
        <v>194.18632813918899</v>
      </c>
      <c r="N1039" s="116">
        <v>197.445813809887</v>
      </c>
      <c r="O1039" s="116">
        <v>193.74185282045701</v>
      </c>
      <c r="P1039" s="116">
        <v>196.359318586321</v>
      </c>
      <c r="Q1039" s="116">
        <v>196.6</v>
      </c>
      <c r="R1039">
        <v>933729</v>
      </c>
    </row>
    <row r="1040" spans="1:18" x14ac:dyDescent="0.25">
      <c r="A1040" s="170">
        <v>43532</v>
      </c>
      <c r="B1040" s="116">
        <v>195.27262334454699</v>
      </c>
      <c r="C1040" s="116">
        <v>190.82787470999801</v>
      </c>
      <c r="D1040" s="116">
        <v>190.383399846543</v>
      </c>
      <c r="E1040" s="116">
        <v>194.828148481093</v>
      </c>
      <c r="F1040" s="116">
        <v>193.2</v>
      </c>
      <c r="G1040">
        <v>78465</v>
      </c>
      <c r="H1040" s="116"/>
      <c r="I1040" s="116"/>
      <c r="L1040" s="170">
        <v>43532</v>
      </c>
      <c r="M1040" s="116">
        <v>190.828070175439</v>
      </c>
      <c r="N1040" s="116">
        <v>195.17405106970301</v>
      </c>
      <c r="O1040" s="116">
        <v>190.23543641712999</v>
      </c>
      <c r="P1040" s="116">
        <v>193.59369438088001</v>
      </c>
      <c r="Q1040" s="116">
        <v>193.2</v>
      </c>
      <c r="R1040">
        <v>1542933</v>
      </c>
    </row>
    <row r="1041" spans="1:18" x14ac:dyDescent="0.25">
      <c r="A1041" s="170">
        <v>43535</v>
      </c>
      <c r="B1041" s="116">
        <v>200.40877732224899</v>
      </c>
      <c r="C1041" s="116">
        <v>199.86553026691499</v>
      </c>
      <c r="D1041" s="116">
        <v>190.136469366846</v>
      </c>
      <c r="E1041" s="116">
        <v>190.63033032624</v>
      </c>
      <c r="F1041" s="116">
        <v>202.35</v>
      </c>
      <c r="G1041">
        <v>301793</v>
      </c>
      <c r="H1041" s="116"/>
      <c r="I1041" s="116"/>
      <c r="L1041" s="170">
        <v>43535</v>
      </c>
      <c r="M1041" s="116">
        <v>200.01389342922499</v>
      </c>
      <c r="N1041" s="116">
        <v>200.50775489448301</v>
      </c>
      <c r="O1041" s="116">
        <v>189.692188805347</v>
      </c>
      <c r="P1041" s="116">
        <v>189.692188805347</v>
      </c>
      <c r="Q1041" s="116">
        <v>202.5</v>
      </c>
      <c r="R1041">
        <v>3592265</v>
      </c>
    </row>
    <row r="1042" spans="1:18" x14ac:dyDescent="0.25">
      <c r="A1042" s="170">
        <v>43536</v>
      </c>
      <c r="B1042" s="116">
        <v>203.66825965425201</v>
      </c>
      <c r="C1042" s="116">
        <v>202.43360725576599</v>
      </c>
      <c r="D1042" s="116">
        <v>200.60632170600701</v>
      </c>
      <c r="E1042" s="116">
        <v>201.10018266540101</v>
      </c>
      <c r="F1042" s="116">
        <v>204.95</v>
      </c>
      <c r="G1042">
        <v>133022</v>
      </c>
      <c r="H1042" s="116"/>
      <c r="I1042" s="116"/>
      <c r="L1042" s="170">
        <v>43536</v>
      </c>
      <c r="M1042" s="116">
        <v>202.38442846246099</v>
      </c>
      <c r="N1042" s="116">
        <v>203.66846827213001</v>
      </c>
      <c r="O1042" s="116">
        <v>200.65591333405999</v>
      </c>
      <c r="P1042" s="116">
        <v>201.93995314372901</v>
      </c>
      <c r="Q1042" s="116">
        <v>204.9</v>
      </c>
      <c r="R1042">
        <v>1991333</v>
      </c>
    </row>
    <row r="1043" spans="1:18" x14ac:dyDescent="0.25">
      <c r="A1043" s="170">
        <v>43537</v>
      </c>
      <c r="B1043" s="116">
        <v>206.13756445122399</v>
      </c>
      <c r="C1043" s="116">
        <v>200.50754951412799</v>
      </c>
      <c r="D1043" s="116">
        <v>199.71737197909701</v>
      </c>
      <c r="E1043" s="116">
        <v>203.47071527049499</v>
      </c>
      <c r="F1043" s="116">
        <v>203</v>
      </c>
      <c r="G1043">
        <v>185199</v>
      </c>
      <c r="H1043" s="116"/>
      <c r="I1043" s="116"/>
      <c r="L1043" s="170">
        <v>43537</v>
      </c>
      <c r="M1043" s="116">
        <v>200.35959645490499</v>
      </c>
      <c r="N1043" s="116">
        <v>206.18716174494199</v>
      </c>
      <c r="O1043" s="116">
        <v>199.76696269659701</v>
      </c>
      <c r="P1043" s="116">
        <v>203.421537539501</v>
      </c>
      <c r="Q1043" s="116">
        <v>202.85</v>
      </c>
      <c r="R1043">
        <v>2690181</v>
      </c>
    </row>
    <row r="1044" spans="1:18" x14ac:dyDescent="0.25">
      <c r="A1044" s="170">
        <v>43538</v>
      </c>
      <c r="B1044" s="116">
        <v>209.24888849540901</v>
      </c>
      <c r="C1044" s="116">
        <v>203.86580403801</v>
      </c>
      <c r="D1044" s="116">
        <v>200.85325218570401</v>
      </c>
      <c r="E1044" s="116">
        <v>201.14956876134099</v>
      </c>
      <c r="F1044" s="116">
        <v>206.4</v>
      </c>
      <c r="G1044">
        <v>580284</v>
      </c>
      <c r="H1044" s="116"/>
      <c r="I1044" s="116"/>
      <c r="L1044" s="170">
        <v>43538</v>
      </c>
      <c r="M1044" s="116">
        <v>203.66846827213001</v>
      </c>
      <c r="N1044" s="116">
        <v>209.19971668301201</v>
      </c>
      <c r="O1044" s="116">
        <v>200.50775489448301</v>
      </c>
      <c r="P1044" s="116">
        <v>201.49547782499701</v>
      </c>
      <c r="Q1044" s="116">
        <v>206.2</v>
      </c>
      <c r="R1044">
        <v>6563662</v>
      </c>
    </row>
    <row r="1045" spans="1:18" x14ac:dyDescent="0.25">
      <c r="A1045" s="170">
        <v>43539</v>
      </c>
      <c r="B1045" s="116">
        <v>205.791861779648</v>
      </c>
      <c r="C1045" s="116">
        <v>200.952024377583</v>
      </c>
      <c r="D1045" s="116">
        <v>200.16184684255199</v>
      </c>
      <c r="E1045" s="116">
        <v>205.44615910807201</v>
      </c>
      <c r="F1045" s="116">
        <v>203.45</v>
      </c>
      <c r="G1045">
        <v>154382</v>
      </c>
      <c r="H1045" s="116"/>
      <c r="I1045" s="116"/>
      <c r="L1045" s="170">
        <v>43539</v>
      </c>
      <c r="M1045" s="116">
        <v>200.70529948058601</v>
      </c>
      <c r="N1045" s="116">
        <v>206.03900330536499</v>
      </c>
      <c r="O1045" s="116">
        <v>199.86573498964799</v>
      </c>
      <c r="P1045" s="116">
        <v>204.853735788747</v>
      </c>
      <c r="Q1045" s="116">
        <v>203.2</v>
      </c>
      <c r="R1045">
        <v>2025761</v>
      </c>
    </row>
    <row r="1046" spans="1:18" x14ac:dyDescent="0.25">
      <c r="A1046" s="170">
        <v>43542</v>
      </c>
      <c r="B1046" s="116">
        <v>205.298000820254</v>
      </c>
      <c r="C1046" s="116">
        <v>198.137016909035</v>
      </c>
      <c r="D1046" s="116">
        <v>196.06280087957899</v>
      </c>
      <c r="E1046" s="116">
        <v>205.298000820254</v>
      </c>
      <c r="F1046" s="116">
        <v>200.6</v>
      </c>
      <c r="G1046">
        <v>160326</v>
      </c>
      <c r="H1046" s="116"/>
      <c r="I1046" s="116"/>
      <c r="L1046" s="170">
        <v>43542</v>
      </c>
      <c r="M1046" s="116">
        <v>197.79151683556699</v>
      </c>
      <c r="N1046" s="116">
        <v>202.483200755512</v>
      </c>
      <c r="O1046" s="116">
        <v>196.11238785369201</v>
      </c>
      <c r="P1046" s="116">
        <v>202.38442846246099</v>
      </c>
      <c r="Q1046" s="116">
        <v>200.25</v>
      </c>
      <c r="R1046">
        <v>1608207</v>
      </c>
    </row>
    <row r="1047" spans="1:18" x14ac:dyDescent="0.25">
      <c r="A1047" s="170">
        <v>43543</v>
      </c>
      <c r="B1047" s="116">
        <v>203.07562650297899</v>
      </c>
      <c r="C1047" s="116">
        <v>201.05079656946199</v>
      </c>
      <c r="D1047" s="116">
        <v>197.98885862121699</v>
      </c>
      <c r="E1047" s="116">
        <v>198.58149177249001</v>
      </c>
      <c r="F1047" s="116">
        <v>203.55</v>
      </c>
      <c r="G1047">
        <v>131815</v>
      </c>
      <c r="H1047" s="116"/>
      <c r="I1047" s="116"/>
      <c r="L1047" s="170">
        <v>43543</v>
      </c>
      <c r="M1047" s="116">
        <v>200.80407177363699</v>
      </c>
      <c r="N1047" s="116">
        <v>202.977062220769</v>
      </c>
      <c r="O1047" s="116">
        <v>197.84090298209301</v>
      </c>
      <c r="P1047" s="116">
        <v>198.087833714722</v>
      </c>
      <c r="Q1047" s="116">
        <v>203.3</v>
      </c>
      <c r="R1047">
        <v>1792277</v>
      </c>
    </row>
    <row r="1048" spans="1:18" x14ac:dyDescent="0.25">
      <c r="A1048" s="170">
        <v>43544</v>
      </c>
      <c r="B1048" s="116">
        <v>201.29772704915899</v>
      </c>
      <c r="C1048" s="116">
        <v>195.56893992018399</v>
      </c>
      <c r="D1048" s="116">
        <v>194.92692067297099</v>
      </c>
      <c r="E1048" s="116">
        <v>201.05079656946199</v>
      </c>
      <c r="F1048" s="116">
        <v>198</v>
      </c>
      <c r="G1048">
        <v>119077</v>
      </c>
      <c r="H1048" s="116"/>
      <c r="I1048" s="116"/>
      <c r="L1048" s="170">
        <v>43544</v>
      </c>
      <c r="M1048" s="116">
        <v>195.667912534961</v>
      </c>
      <c r="N1048" s="116">
        <v>201.49547782499701</v>
      </c>
      <c r="O1048" s="116">
        <v>194.729575750972</v>
      </c>
      <c r="P1048" s="116">
        <v>201.34731938542001</v>
      </c>
      <c r="Q1048" s="116">
        <v>198.1</v>
      </c>
      <c r="R1048">
        <v>2158406</v>
      </c>
    </row>
    <row r="1049" spans="1:18" x14ac:dyDescent="0.25">
      <c r="A1049" s="170">
        <v>43546</v>
      </c>
      <c r="B1049" s="116">
        <v>199.42105540346</v>
      </c>
      <c r="C1049" s="116">
        <v>193.39595169884899</v>
      </c>
      <c r="D1049" s="116">
        <v>192.60577416381801</v>
      </c>
      <c r="E1049" s="116">
        <v>196.55666183897301</v>
      </c>
      <c r="F1049" s="116">
        <v>195.8</v>
      </c>
      <c r="G1049">
        <v>114627</v>
      </c>
      <c r="H1049" s="116"/>
      <c r="I1049" s="116"/>
      <c r="L1049" s="170">
        <v>43546</v>
      </c>
      <c r="M1049" s="116">
        <v>193.346763648251</v>
      </c>
      <c r="N1049" s="116">
        <v>199.37187352439099</v>
      </c>
      <c r="O1049" s="116">
        <v>192.80351603646801</v>
      </c>
      <c r="P1049" s="116">
        <v>196.85318005157799</v>
      </c>
      <c r="Q1049" s="116">
        <v>195.75</v>
      </c>
      <c r="R1049">
        <v>1298095</v>
      </c>
    </row>
    <row r="1050" spans="1:18" x14ac:dyDescent="0.25">
      <c r="A1050" s="170">
        <v>43549</v>
      </c>
      <c r="B1050" s="116">
        <v>196.65543403085201</v>
      </c>
      <c r="C1050" s="116">
        <v>193.64288217854599</v>
      </c>
      <c r="D1050" s="116">
        <v>191.42050786127101</v>
      </c>
      <c r="E1050" s="116">
        <v>193.593496082607</v>
      </c>
      <c r="F1050" s="116">
        <v>196.05</v>
      </c>
      <c r="G1050">
        <v>421174</v>
      </c>
      <c r="H1050" s="116"/>
      <c r="I1050" s="116"/>
      <c r="L1050" s="170">
        <v>43549</v>
      </c>
      <c r="M1050" s="116">
        <v>194.23571428571401</v>
      </c>
      <c r="N1050" s="116">
        <v>197.05072463768099</v>
      </c>
      <c r="O1050" s="116">
        <v>191.22315934764401</v>
      </c>
      <c r="P1050" s="116">
        <v>192.60597145036499</v>
      </c>
      <c r="Q1050" s="116">
        <v>196.65</v>
      </c>
      <c r="R1050">
        <v>1658129</v>
      </c>
    </row>
    <row r="1051" spans="1:18" x14ac:dyDescent="0.25">
      <c r="A1051" s="170">
        <v>43550</v>
      </c>
      <c r="B1051" s="116">
        <v>196.50727574303301</v>
      </c>
      <c r="C1051" s="116">
        <v>193.593496082607</v>
      </c>
      <c r="D1051" s="116">
        <v>191.96375491660501</v>
      </c>
      <c r="E1051" s="116">
        <v>196.50727574303301</v>
      </c>
      <c r="F1051" s="116">
        <v>196</v>
      </c>
      <c r="G1051">
        <v>98439</v>
      </c>
      <c r="H1051" s="116"/>
      <c r="I1051" s="116"/>
      <c r="L1051" s="170">
        <v>43550</v>
      </c>
      <c r="M1051" s="116">
        <v>193.643080527405</v>
      </c>
      <c r="N1051" s="116">
        <v>195.075278776652</v>
      </c>
      <c r="O1051" s="116">
        <v>191.66763466637599</v>
      </c>
      <c r="P1051" s="116">
        <v>193.24799135520001</v>
      </c>
      <c r="Q1051" s="116">
        <v>196.05</v>
      </c>
      <c r="R1051">
        <v>1154541</v>
      </c>
    </row>
    <row r="1052" spans="1:18" x14ac:dyDescent="0.25">
      <c r="A1052" s="170">
        <v>43551</v>
      </c>
      <c r="B1052" s="116">
        <v>197.69254204558001</v>
      </c>
      <c r="C1052" s="116">
        <v>194.03797094606099</v>
      </c>
      <c r="D1052" s="116">
        <v>192.951476835394</v>
      </c>
      <c r="E1052" s="116">
        <v>193.64288217854599</v>
      </c>
      <c r="F1052" s="116">
        <v>196.45</v>
      </c>
      <c r="G1052">
        <v>159863</v>
      </c>
      <c r="H1052" s="116"/>
      <c r="I1052" s="116"/>
      <c r="L1052" s="170">
        <v>43551</v>
      </c>
      <c r="M1052" s="116">
        <v>194.18632813918899</v>
      </c>
      <c r="N1052" s="116">
        <v>197.74213068904101</v>
      </c>
      <c r="O1052" s="116">
        <v>192.704743743417</v>
      </c>
      <c r="P1052" s="116">
        <v>194.08755584613701</v>
      </c>
      <c r="Q1052" s="116">
        <v>196.6</v>
      </c>
      <c r="R1052">
        <v>1962815</v>
      </c>
    </row>
    <row r="1053" spans="1:18" x14ac:dyDescent="0.25">
      <c r="A1053" s="170">
        <v>43552</v>
      </c>
      <c r="B1053" s="116">
        <v>197.98885862121699</v>
      </c>
      <c r="C1053" s="116">
        <v>196.80359231867001</v>
      </c>
      <c r="D1053" s="116">
        <v>194.581218001395</v>
      </c>
      <c r="E1053" s="116">
        <v>195.66771211206299</v>
      </c>
      <c r="F1053" s="116">
        <v>199.25</v>
      </c>
      <c r="G1053">
        <v>74604</v>
      </c>
      <c r="H1053" s="116"/>
      <c r="I1053" s="116"/>
      <c r="L1053" s="170">
        <v>43552</v>
      </c>
      <c r="M1053" s="116">
        <v>196.507477025898</v>
      </c>
      <c r="N1053" s="116">
        <v>198.087833714722</v>
      </c>
      <c r="O1053" s="116">
        <v>194.33448657876599</v>
      </c>
      <c r="P1053" s="116">
        <v>195.075278776652</v>
      </c>
      <c r="Q1053" s="116">
        <v>198.95</v>
      </c>
      <c r="R1053">
        <v>1586111</v>
      </c>
    </row>
    <row r="1054" spans="1:18" x14ac:dyDescent="0.25">
      <c r="A1054" s="170">
        <v>43553</v>
      </c>
      <c r="B1054" s="116">
        <v>203.47071527049499</v>
      </c>
      <c r="C1054" s="116">
        <v>200.65570780194699</v>
      </c>
      <c r="D1054" s="116">
        <v>197.09990889430699</v>
      </c>
      <c r="E1054" s="116">
        <v>197.248067182125</v>
      </c>
      <c r="F1054" s="116">
        <v>203.15</v>
      </c>
      <c r="G1054">
        <v>215838</v>
      </c>
      <c r="H1054" s="116"/>
      <c r="I1054" s="116"/>
      <c r="L1054" s="170">
        <v>43553</v>
      </c>
      <c r="M1054" s="116">
        <v>201.44609167847199</v>
      </c>
      <c r="N1054" s="116">
        <v>203.66846827213001</v>
      </c>
      <c r="O1054" s="116">
        <v>196.40870473284701</v>
      </c>
      <c r="P1054" s="116">
        <v>196.55686317242399</v>
      </c>
      <c r="Q1054" s="116">
        <v>203.95</v>
      </c>
      <c r="R1054">
        <v>2889335</v>
      </c>
    </row>
    <row r="1055" spans="1:18" x14ac:dyDescent="0.25">
      <c r="A1055" s="170">
        <v>43556</v>
      </c>
      <c r="B1055" s="116">
        <v>206.33510883498201</v>
      </c>
      <c r="C1055" s="116">
        <v>205.44615910807201</v>
      </c>
      <c r="D1055" s="116">
        <v>201.840974104493</v>
      </c>
      <c r="E1055" s="116">
        <v>202.482993351706</v>
      </c>
      <c r="F1055" s="116">
        <v>208</v>
      </c>
      <c r="G1055">
        <v>187231</v>
      </c>
      <c r="H1055" s="116"/>
      <c r="I1055" s="116"/>
      <c r="L1055" s="170">
        <v>43556</v>
      </c>
      <c r="M1055" s="116">
        <v>205.54514184010799</v>
      </c>
      <c r="N1055" s="116">
        <v>206.730409356725</v>
      </c>
      <c r="O1055" s="116">
        <v>201.6930224111</v>
      </c>
      <c r="P1055" s="116">
        <v>202.03872543678</v>
      </c>
      <c r="Q1055" s="116">
        <v>208.1</v>
      </c>
      <c r="R1055">
        <v>1915582</v>
      </c>
    </row>
    <row r="1056" spans="1:18" x14ac:dyDescent="0.25">
      <c r="A1056" s="170">
        <v>43557</v>
      </c>
      <c r="B1056" s="116">
        <v>211.668807196442</v>
      </c>
      <c r="C1056" s="116">
        <v>208.705641440075</v>
      </c>
      <c r="D1056" s="116">
        <v>205.001684244617</v>
      </c>
      <c r="E1056" s="116">
        <v>205.74247568370899</v>
      </c>
      <c r="F1056" s="116">
        <v>211.3</v>
      </c>
      <c r="G1056">
        <v>364650</v>
      </c>
      <c r="H1056" s="116"/>
      <c r="I1056" s="116"/>
      <c r="L1056" s="170">
        <v>43557</v>
      </c>
      <c r="M1056" s="116">
        <v>209.298488976063</v>
      </c>
      <c r="N1056" s="116">
        <v>212.06411318150401</v>
      </c>
      <c r="O1056" s="116">
        <v>205.00189422832401</v>
      </c>
      <c r="P1056" s="116">
        <v>205.44636954705601</v>
      </c>
      <c r="Q1056" s="116">
        <v>211.9</v>
      </c>
      <c r="R1056">
        <v>3913611</v>
      </c>
    </row>
    <row r="1057" spans="1:18" x14ac:dyDescent="0.25">
      <c r="A1057" s="170">
        <v>43558</v>
      </c>
      <c r="B1057" s="116">
        <v>212.36021253959399</v>
      </c>
      <c r="C1057" s="116">
        <v>205.49554520401199</v>
      </c>
      <c r="D1057" s="116">
        <v>204.507823285223</v>
      </c>
      <c r="E1057" s="116">
        <v>212.06389596395701</v>
      </c>
      <c r="F1057" s="116">
        <v>208.05</v>
      </c>
      <c r="G1057">
        <v>250835</v>
      </c>
      <c r="H1057" s="116"/>
      <c r="I1057" s="116"/>
      <c r="L1057" s="170">
        <v>43558</v>
      </c>
      <c r="M1057" s="116">
        <v>205.792072572736</v>
      </c>
      <c r="N1057" s="116">
        <v>210.58252878573199</v>
      </c>
      <c r="O1057" s="116">
        <v>204.80434964222201</v>
      </c>
      <c r="P1057" s="116">
        <v>210.03928117394901</v>
      </c>
      <c r="Q1057" s="116">
        <v>208.35</v>
      </c>
      <c r="R1057">
        <v>2330970</v>
      </c>
    </row>
    <row r="1058" spans="1:18" x14ac:dyDescent="0.25">
      <c r="A1058" s="170">
        <v>43559</v>
      </c>
      <c r="B1058" s="116">
        <v>209.347660687288</v>
      </c>
      <c r="C1058" s="116">
        <v>208.26116657662001</v>
      </c>
      <c r="D1058" s="116">
        <v>203.125012598919</v>
      </c>
      <c r="E1058" s="116">
        <v>203.56948746237299</v>
      </c>
      <c r="F1058" s="116">
        <v>210.85</v>
      </c>
      <c r="G1058">
        <v>259714</v>
      </c>
      <c r="H1058" s="116"/>
      <c r="I1058" s="116"/>
      <c r="L1058" s="170">
        <v>43559</v>
      </c>
      <c r="M1058" s="116">
        <v>208.75524136428001</v>
      </c>
      <c r="N1058" s="116">
        <v>209.79235044132099</v>
      </c>
      <c r="O1058" s="116">
        <v>203.125220660347</v>
      </c>
      <c r="P1058" s="116">
        <v>205.84145871926199</v>
      </c>
      <c r="Q1058" s="116">
        <v>211.35</v>
      </c>
      <c r="R1058">
        <v>2089235</v>
      </c>
    </row>
    <row r="1059" spans="1:18" x14ac:dyDescent="0.25">
      <c r="A1059" s="170">
        <v>43560</v>
      </c>
      <c r="B1059" s="116">
        <v>212.70591521117001</v>
      </c>
      <c r="C1059" s="116">
        <v>208.95257191977299</v>
      </c>
      <c r="D1059" s="116">
        <v>207.71791952128601</v>
      </c>
      <c r="E1059" s="116">
        <v>208.55748315225699</v>
      </c>
      <c r="F1059" s="116">
        <v>211.55</v>
      </c>
      <c r="G1059">
        <v>261884</v>
      </c>
      <c r="H1059" s="116"/>
      <c r="I1059" s="116"/>
      <c r="L1059" s="170">
        <v>43560</v>
      </c>
      <c r="M1059" s="116">
        <v>208.70585521775499</v>
      </c>
      <c r="N1059" s="116">
        <v>212.85429152591601</v>
      </c>
      <c r="O1059" s="116">
        <v>207.47120155461101</v>
      </c>
      <c r="P1059" s="116">
        <v>208.804627510806</v>
      </c>
      <c r="Q1059" s="116">
        <v>211.3</v>
      </c>
      <c r="R1059">
        <v>2761691</v>
      </c>
    </row>
    <row r="1060" spans="1:18" x14ac:dyDescent="0.25">
      <c r="A1060" s="170">
        <v>43563</v>
      </c>
      <c r="B1060" s="116">
        <v>211.86635158019899</v>
      </c>
      <c r="C1060" s="116">
        <v>209.19950239946999</v>
      </c>
      <c r="D1060" s="116">
        <v>207.816691713165</v>
      </c>
      <c r="E1060" s="116">
        <v>208.40932486443899</v>
      </c>
      <c r="F1060" s="116">
        <v>211.8</v>
      </c>
      <c r="G1060">
        <v>107879</v>
      </c>
      <c r="H1060" s="116"/>
      <c r="I1060" s="116"/>
      <c r="L1060" s="170">
        <v>43563</v>
      </c>
      <c r="M1060" s="116">
        <v>209.10094438996001</v>
      </c>
      <c r="N1060" s="116">
        <v>212.06411318150401</v>
      </c>
      <c r="O1060" s="116">
        <v>207.421815408085</v>
      </c>
      <c r="P1060" s="116">
        <v>209.39726126911501</v>
      </c>
      <c r="Q1060" s="116">
        <v>211.7</v>
      </c>
      <c r="R1060">
        <v>1557504</v>
      </c>
    </row>
    <row r="1061" spans="1:18" x14ac:dyDescent="0.25">
      <c r="A1061" s="170">
        <v>43564</v>
      </c>
      <c r="B1061" s="116">
        <v>209.19950239946999</v>
      </c>
      <c r="C1061" s="116">
        <v>208.01423609692301</v>
      </c>
      <c r="D1061" s="116">
        <v>205.544931299951</v>
      </c>
      <c r="E1061" s="116">
        <v>209.19950239946999</v>
      </c>
      <c r="F1061" s="116">
        <v>210.6</v>
      </c>
      <c r="G1061">
        <v>46515</v>
      </c>
      <c r="H1061" s="116"/>
      <c r="I1061" s="116"/>
      <c r="L1061" s="170">
        <v>43564</v>
      </c>
      <c r="M1061" s="116">
        <v>207.66874614071401</v>
      </c>
      <c r="N1061" s="116">
        <v>209.298488976063</v>
      </c>
      <c r="O1061" s="116">
        <v>205.39698340052999</v>
      </c>
      <c r="P1061" s="116">
        <v>209.298488976063</v>
      </c>
      <c r="Q1061" s="116">
        <v>210.25</v>
      </c>
      <c r="R1061">
        <v>827540</v>
      </c>
    </row>
    <row r="1062" spans="1:18" x14ac:dyDescent="0.25">
      <c r="A1062" s="170">
        <v>43565</v>
      </c>
      <c r="B1062" s="116">
        <v>209.39704678322701</v>
      </c>
      <c r="C1062" s="116">
        <v>205.84124787558801</v>
      </c>
      <c r="D1062" s="116">
        <v>204.45843718928299</v>
      </c>
      <c r="E1062" s="116">
        <v>209.39704678322701</v>
      </c>
      <c r="F1062" s="116">
        <v>208.4</v>
      </c>
      <c r="G1062">
        <v>42154</v>
      </c>
      <c r="H1062" s="116"/>
      <c r="I1062" s="116"/>
      <c r="L1062" s="170">
        <v>43565</v>
      </c>
      <c r="M1062" s="116">
        <v>206.23654789146801</v>
      </c>
      <c r="N1062" s="116">
        <v>209.298488976063</v>
      </c>
      <c r="O1062" s="116">
        <v>205.199438814427</v>
      </c>
      <c r="P1062" s="116">
        <v>205.54514184010799</v>
      </c>
      <c r="Q1062" s="116">
        <v>208.8</v>
      </c>
      <c r="R1062">
        <v>1142036</v>
      </c>
    </row>
    <row r="1063" spans="1:18" x14ac:dyDescent="0.25">
      <c r="A1063" s="170">
        <v>43566</v>
      </c>
      <c r="B1063" s="116">
        <v>212.36021253959399</v>
      </c>
      <c r="C1063" s="116">
        <v>211.96512377207799</v>
      </c>
      <c r="D1063" s="116">
        <v>204.507823285223</v>
      </c>
      <c r="E1063" s="116">
        <v>204.507823285223</v>
      </c>
      <c r="F1063" s="116">
        <v>214.6</v>
      </c>
      <c r="G1063">
        <v>388928</v>
      </c>
      <c r="H1063" s="116"/>
      <c r="I1063" s="116"/>
      <c r="L1063" s="170">
        <v>43566</v>
      </c>
      <c r="M1063" s="116">
        <v>211.965340888453</v>
      </c>
      <c r="N1063" s="116">
        <v>212.607360793288</v>
      </c>
      <c r="O1063" s="116">
        <v>206.03900330536499</v>
      </c>
      <c r="P1063" s="116">
        <v>206.137775598416</v>
      </c>
      <c r="Q1063" s="116">
        <v>214.6</v>
      </c>
      <c r="R1063">
        <v>2439649</v>
      </c>
    </row>
    <row r="1064" spans="1:18" x14ac:dyDescent="0.25">
      <c r="A1064" s="170">
        <v>43567</v>
      </c>
      <c r="B1064" s="116">
        <v>214.63197295280801</v>
      </c>
      <c r="C1064" s="116">
        <v>212.31082644365401</v>
      </c>
      <c r="D1064" s="116">
        <v>210.58231308577399</v>
      </c>
      <c r="E1064" s="116">
        <v>212.409598635533</v>
      </c>
      <c r="F1064" s="116">
        <v>214.95</v>
      </c>
      <c r="G1064">
        <v>181112</v>
      </c>
      <c r="H1064" s="116"/>
      <c r="I1064" s="116"/>
      <c r="L1064" s="170">
        <v>43567</v>
      </c>
      <c r="M1064" s="116">
        <v>212.50858850023599</v>
      </c>
      <c r="N1064" s="116">
        <v>214.58280665431701</v>
      </c>
      <c r="O1064" s="116">
        <v>210.43437034615499</v>
      </c>
      <c r="P1064" s="116">
        <v>213.29876684464799</v>
      </c>
      <c r="Q1064" s="116">
        <v>215.15</v>
      </c>
      <c r="R1064">
        <v>2620746</v>
      </c>
    </row>
    <row r="1065" spans="1:18" x14ac:dyDescent="0.25">
      <c r="A1065" s="170">
        <v>43570</v>
      </c>
      <c r="B1065" s="116">
        <v>215.76785315941501</v>
      </c>
      <c r="C1065" s="116">
        <v>213.79240932183799</v>
      </c>
      <c r="D1065" s="116">
        <v>210.97740185328999</v>
      </c>
      <c r="E1065" s="116">
        <v>210.97740185328999</v>
      </c>
      <c r="F1065" s="116">
        <v>216.45</v>
      </c>
      <c r="G1065">
        <v>138760</v>
      </c>
      <c r="H1065" s="116"/>
      <c r="I1065" s="116"/>
      <c r="L1065" s="170">
        <v>43570</v>
      </c>
      <c r="M1065" s="116">
        <v>213.990172896008</v>
      </c>
      <c r="N1065" s="116">
        <v>216.01500490356301</v>
      </c>
      <c r="O1065" s="116">
        <v>211.27393483709301</v>
      </c>
      <c r="P1065" s="116">
        <v>213.79262830990501</v>
      </c>
      <c r="Q1065" s="116">
        <v>216.65</v>
      </c>
      <c r="R1065">
        <v>2673514</v>
      </c>
    </row>
    <row r="1066" spans="1:18" x14ac:dyDescent="0.25">
      <c r="A1066" s="170">
        <v>43571</v>
      </c>
      <c r="B1066" s="116">
        <v>216.95311946196199</v>
      </c>
      <c r="C1066" s="116">
        <v>212.656529115231</v>
      </c>
      <c r="D1066" s="116">
        <v>211.81696548426001</v>
      </c>
      <c r="E1066" s="116">
        <v>216.95311946196199</v>
      </c>
      <c r="F1066" s="116">
        <v>215.3</v>
      </c>
      <c r="G1066">
        <v>96465</v>
      </c>
      <c r="H1066" s="116"/>
      <c r="I1066" s="116"/>
      <c r="L1066" s="170">
        <v>43571</v>
      </c>
      <c r="M1066" s="116">
        <v>213.051836112019</v>
      </c>
      <c r="N1066" s="116">
        <v>214.73096509389401</v>
      </c>
      <c r="O1066" s="116">
        <v>211.91595474192701</v>
      </c>
      <c r="P1066" s="116">
        <v>214.73096509389401</v>
      </c>
      <c r="Q1066" s="116">
        <v>215.7</v>
      </c>
      <c r="R1066">
        <v>1143488</v>
      </c>
    </row>
    <row r="1067" spans="1:18" x14ac:dyDescent="0.25">
      <c r="A1067" s="170">
        <v>43573</v>
      </c>
      <c r="B1067" s="116">
        <v>213.79240932183799</v>
      </c>
      <c r="C1067" s="116">
        <v>205.791861779648</v>
      </c>
      <c r="D1067" s="116">
        <v>204.60659547710199</v>
      </c>
      <c r="E1067" s="116">
        <v>212.557756923352</v>
      </c>
      <c r="F1067" s="116">
        <v>208.35</v>
      </c>
      <c r="G1067">
        <v>101570</v>
      </c>
      <c r="H1067" s="116"/>
      <c r="I1067" s="116"/>
      <c r="L1067" s="170">
        <v>43573</v>
      </c>
      <c r="M1067" s="116">
        <v>206.285934037994</v>
      </c>
      <c r="N1067" s="116">
        <v>214.13833133558501</v>
      </c>
      <c r="O1067" s="116">
        <v>204.75496349569599</v>
      </c>
      <c r="P1067" s="116">
        <v>213.051836112019</v>
      </c>
      <c r="Q1067" s="116">
        <v>208.85</v>
      </c>
      <c r="R1067">
        <v>2818804</v>
      </c>
    </row>
    <row r="1068" spans="1:18" x14ac:dyDescent="0.25">
      <c r="A1068" s="170">
        <v>43577</v>
      </c>
      <c r="B1068" s="116">
        <v>210.68108527765301</v>
      </c>
      <c r="C1068" s="116">
        <v>206.48326712279999</v>
      </c>
      <c r="D1068" s="116">
        <v>205.298000820254</v>
      </c>
      <c r="E1068" s="116">
        <v>207.12528637001299</v>
      </c>
      <c r="F1068" s="116">
        <v>209.05</v>
      </c>
      <c r="G1068">
        <v>113890</v>
      </c>
      <c r="H1068" s="116"/>
      <c r="I1068" s="116"/>
      <c r="L1068" s="170">
        <v>43577</v>
      </c>
      <c r="M1068" s="116">
        <v>206.77979550325099</v>
      </c>
      <c r="N1068" s="116">
        <v>210.82945951836101</v>
      </c>
      <c r="O1068" s="116">
        <v>205.44636954705601</v>
      </c>
      <c r="P1068" s="116">
        <v>205.59452798663301</v>
      </c>
      <c r="Q1068" s="116">
        <v>209.35</v>
      </c>
      <c r="R1068">
        <v>2003793</v>
      </c>
    </row>
    <row r="1069" spans="1:18" x14ac:dyDescent="0.25">
      <c r="A1069" s="170">
        <v>43578</v>
      </c>
      <c r="B1069" s="116">
        <v>208.458710960378</v>
      </c>
      <c r="C1069" s="116">
        <v>206.97712808219501</v>
      </c>
      <c r="D1069" s="116">
        <v>201.44588533697799</v>
      </c>
      <c r="E1069" s="116">
        <v>208.31055267255999</v>
      </c>
      <c r="F1069" s="116">
        <v>209.55</v>
      </c>
      <c r="G1069">
        <v>179626</v>
      </c>
      <c r="H1069" s="116"/>
      <c r="I1069" s="116"/>
      <c r="L1069" s="170">
        <v>43578</v>
      </c>
      <c r="M1069" s="116">
        <v>207.02672623588001</v>
      </c>
      <c r="N1069" s="116">
        <v>208.26137989902301</v>
      </c>
      <c r="O1069" s="116">
        <v>201.49547782499701</v>
      </c>
      <c r="P1069" s="116">
        <v>207.224270821983</v>
      </c>
      <c r="Q1069" s="116">
        <v>209.6</v>
      </c>
      <c r="R1069">
        <v>3217791</v>
      </c>
    </row>
    <row r="1070" spans="1:18" x14ac:dyDescent="0.25">
      <c r="A1070" s="170">
        <v>43579</v>
      </c>
      <c r="B1070" s="116">
        <v>208.95257191977299</v>
      </c>
      <c r="C1070" s="116">
        <v>206.33510883498201</v>
      </c>
      <c r="D1070" s="116">
        <v>198.038244717156</v>
      </c>
      <c r="E1070" s="116">
        <v>201.49527143291701</v>
      </c>
      <c r="F1070" s="116">
        <v>208.9</v>
      </c>
      <c r="G1070">
        <v>510210</v>
      </c>
      <c r="H1070" s="116"/>
      <c r="I1070" s="116"/>
      <c r="L1070" s="170">
        <v>43579</v>
      </c>
      <c r="M1070" s="116">
        <v>206.33532018451899</v>
      </c>
      <c r="N1070" s="116">
        <v>209.34787512258899</v>
      </c>
      <c r="O1070" s="116">
        <v>198.18660600777301</v>
      </c>
      <c r="P1070" s="116">
        <v>201.49547782499701</v>
      </c>
      <c r="Q1070" s="116">
        <v>208.9</v>
      </c>
      <c r="R1070">
        <v>9668429</v>
      </c>
    </row>
    <row r="1071" spans="1:18" x14ac:dyDescent="0.25">
      <c r="A1071" s="170">
        <v>43580</v>
      </c>
      <c r="B1071" s="116">
        <v>209.89090774262201</v>
      </c>
      <c r="C1071" s="116">
        <v>208.458710960378</v>
      </c>
      <c r="D1071" s="116">
        <v>204.45843718928299</v>
      </c>
      <c r="E1071" s="116">
        <v>206.433881026861</v>
      </c>
      <c r="F1071" s="116">
        <v>211.05</v>
      </c>
      <c r="G1071">
        <v>226063</v>
      </c>
      <c r="H1071" s="116"/>
      <c r="I1071" s="116"/>
      <c r="L1071" s="170">
        <v>43580</v>
      </c>
      <c r="M1071" s="116">
        <v>208.60708292470301</v>
      </c>
      <c r="N1071" s="116">
        <v>210.236825760052</v>
      </c>
      <c r="O1071" s="116">
        <v>204.75496349569599</v>
      </c>
      <c r="P1071" s="116">
        <v>206.82918164977701</v>
      </c>
      <c r="Q1071" s="116">
        <v>211.2</v>
      </c>
      <c r="R1071">
        <v>3228599</v>
      </c>
    </row>
    <row r="1072" spans="1:18" x14ac:dyDescent="0.25">
      <c r="A1072" s="170">
        <v>43581</v>
      </c>
      <c r="B1072" s="116">
        <v>214.13811199341399</v>
      </c>
      <c r="C1072" s="116">
        <v>210.58231308577399</v>
      </c>
      <c r="D1072" s="116">
        <v>207.17467246595299</v>
      </c>
      <c r="E1072" s="116">
        <v>209.44643287916699</v>
      </c>
      <c r="F1072" s="116">
        <v>213.2</v>
      </c>
      <c r="G1072">
        <v>193113</v>
      </c>
      <c r="H1072" s="116"/>
      <c r="I1072" s="116"/>
      <c r="L1072" s="170">
        <v>43581</v>
      </c>
      <c r="M1072" s="116">
        <v>210.58252878573199</v>
      </c>
      <c r="N1072" s="116">
        <v>214.23710362863699</v>
      </c>
      <c r="O1072" s="116">
        <v>207.12549852893099</v>
      </c>
      <c r="P1072" s="116">
        <v>210.38498419963</v>
      </c>
      <c r="Q1072" s="116">
        <v>213.2</v>
      </c>
      <c r="R1072">
        <v>2510185</v>
      </c>
    </row>
    <row r="1073" spans="1:18" x14ac:dyDescent="0.25">
      <c r="A1073" s="170">
        <v>43585</v>
      </c>
      <c r="B1073" s="116">
        <v>210.384768702016</v>
      </c>
      <c r="C1073" s="116">
        <v>206.53265321873999</v>
      </c>
      <c r="D1073" s="116">
        <v>204.655981573041</v>
      </c>
      <c r="E1073" s="116">
        <v>208.40932486443899</v>
      </c>
      <c r="F1073" s="116">
        <v>209.1</v>
      </c>
      <c r="G1073">
        <v>149315</v>
      </c>
      <c r="H1073" s="116"/>
      <c r="I1073" s="116"/>
      <c r="L1073" s="170">
        <v>43585</v>
      </c>
      <c r="M1073" s="116">
        <v>206.63163706367399</v>
      </c>
      <c r="N1073" s="116">
        <v>210.43437034615499</v>
      </c>
      <c r="O1073" s="116">
        <v>204.75496349569599</v>
      </c>
      <c r="P1073" s="116">
        <v>208.40953833859999</v>
      </c>
      <c r="Q1073" s="116">
        <v>209.2</v>
      </c>
      <c r="R1073">
        <v>2370602</v>
      </c>
    </row>
    <row r="1074" spans="1:18" x14ac:dyDescent="0.25">
      <c r="A1074" s="170">
        <v>43587</v>
      </c>
      <c r="B1074" s="116">
        <v>207.42160294564999</v>
      </c>
      <c r="C1074" s="116">
        <v>203.81641794207101</v>
      </c>
      <c r="D1074" s="116">
        <v>202.482993351706</v>
      </c>
      <c r="E1074" s="116">
        <v>206.680811506558</v>
      </c>
      <c r="F1074" s="116">
        <v>206.35</v>
      </c>
      <c r="G1074">
        <v>93018</v>
      </c>
      <c r="H1074" s="116"/>
      <c r="I1074" s="116"/>
      <c r="L1074" s="170">
        <v>43587</v>
      </c>
      <c r="M1074" s="116">
        <v>203.767240565181</v>
      </c>
      <c r="N1074" s="116">
        <v>207.47120155461101</v>
      </c>
      <c r="O1074" s="116">
        <v>202.53258690203799</v>
      </c>
      <c r="P1074" s="116">
        <v>205.54514184010799</v>
      </c>
      <c r="Q1074" s="116">
        <v>206.3</v>
      </c>
      <c r="R1074">
        <v>2271545</v>
      </c>
    </row>
    <row r="1075" spans="1:18" x14ac:dyDescent="0.25">
      <c r="A1075" s="170">
        <v>43588</v>
      </c>
      <c r="B1075" s="116">
        <v>204.55720938116201</v>
      </c>
      <c r="C1075" s="116">
        <v>201.49527143291701</v>
      </c>
      <c r="D1075" s="116">
        <v>200.65570780194699</v>
      </c>
      <c r="E1075" s="116">
        <v>203.86580403801</v>
      </c>
      <c r="F1075" s="116">
        <v>204</v>
      </c>
      <c r="G1075">
        <v>66456</v>
      </c>
      <c r="H1075" s="116"/>
      <c r="I1075" s="116"/>
      <c r="L1075" s="170">
        <v>43588</v>
      </c>
      <c r="M1075" s="116">
        <v>201.49547782499701</v>
      </c>
      <c r="N1075" s="116">
        <v>204.90312193527299</v>
      </c>
      <c r="O1075" s="116">
        <v>200.85345792016301</v>
      </c>
      <c r="P1075" s="116">
        <v>203.37215139297501</v>
      </c>
      <c r="Q1075" s="116">
        <v>204</v>
      </c>
      <c r="R1075">
        <v>1639544</v>
      </c>
    </row>
    <row r="1076" spans="1:18" x14ac:dyDescent="0.25">
      <c r="A1076" s="170">
        <v>43591</v>
      </c>
      <c r="B1076" s="116">
        <v>203.42132917455501</v>
      </c>
      <c r="C1076" s="116">
        <v>200.458163418189</v>
      </c>
      <c r="D1076" s="116">
        <v>199.42105540346</v>
      </c>
      <c r="E1076" s="116">
        <v>199.42105540346</v>
      </c>
      <c r="F1076" s="116">
        <v>202.95</v>
      </c>
      <c r="G1076">
        <v>43458</v>
      </c>
      <c r="H1076" s="116"/>
      <c r="I1076" s="116"/>
      <c r="L1076" s="170">
        <v>43591</v>
      </c>
      <c r="M1076" s="116">
        <v>200.162051868802</v>
      </c>
      <c r="N1076" s="116">
        <v>203.47092368602699</v>
      </c>
      <c r="O1076" s="116">
        <v>199.56941811049401</v>
      </c>
      <c r="P1076" s="116">
        <v>200.40898260143101</v>
      </c>
      <c r="Q1076" s="116">
        <v>202.65</v>
      </c>
      <c r="R1076">
        <v>1068557</v>
      </c>
    </row>
    <row r="1077" spans="1:18" x14ac:dyDescent="0.25">
      <c r="A1077" s="170">
        <v>43592</v>
      </c>
      <c r="B1077" s="116">
        <v>203.371943078616</v>
      </c>
      <c r="C1077" s="116">
        <v>197.396225469943</v>
      </c>
      <c r="D1077" s="116">
        <v>196.359117455215</v>
      </c>
      <c r="E1077" s="116">
        <v>200.35939122631001</v>
      </c>
      <c r="F1077" s="116">
        <v>199.85</v>
      </c>
      <c r="G1077">
        <v>68872</v>
      </c>
      <c r="H1077" s="116"/>
      <c r="I1077" s="116"/>
      <c r="L1077" s="170">
        <v>43592</v>
      </c>
      <c r="M1077" s="116">
        <v>197.29765537031</v>
      </c>
      <c r="N1077" s="116">
        <v>203.47092368602699</v>
      </c>
      <c r="O1077" s="116">
        <v>196.359318586321</v>
      </c>
      <c r="P1077" s="116">
        <v>200.606527187534</v>
      </c>
      <c r="Q1077" s="116">
        <v>199.75</v>
      </c>
      <c r="R1077">
        <v>1453964</v>
      </c>
    </row>
    <row r="1078" spans="1:18" x14ac:dyDescent="0.25">
      <c r="A1078" s="170">
        <v>43593</v>
      </c>
      <c r="B1078" s="116">
        <v>200.50754951412799</v>
      </c>
      <c r="C1078" s="116">
        <v>197.05052279836701</v>
      </c>
      <c r="D1078" s="116">
        <v>195.56893992018399</v>
      </c>
      <c r="E1078" s="116">
        <v>200.50754951412799</v>
      </c>
      <c r="F1078" s="116">
        <v>199.5</v>
      </c>
      <c r="G1078">
        <v>85113</v>
      </c>
      <c r="H1078" s="116"/>
      <c r="I1078" s="116"/>
      <c r="L1078" s="170">
        <v>43593</v>
      </c>
      <c r="M1078" s="116">
        <v>197.001338491155</v>
      </c>
      <c r="N1078" s="116">
        <v>199.76696269659701</v>
      </c>
      <c r="O1078" s="116">
        <v>195.81607097453801</v>
      </c>
      <c r="P1078" s="116">
        <v>197.54458610293901</v>
      </c>
      <c r="Q1078" s="116">
        <v>199.45</v>
      </c>
      <c r="R1078">
        <v>1452184</v>
      </c>
    </row>
    <row r="1079" spans="1:18" x14ac:dyDescent="0.25">
      <c r="A1079" s="170">
        <v>43594</v>
      </c>
      <c r="B1079" s="116">
        <v>199.519827595339</v>
      </c>
      <c r="C1079" s="116">
        <v>196.16157307145701</v>
      </c>
      <c r="D1079" s="116">
        <v>192.60577416381801</v>
      </c>
      <c r="E1079" s="116">
        <v>199.519827595339</v>
      </c>
      <c r="F1079" s="116">
        <v>198.6</v>
      </c>
      <c r="G1079">
        <v>105876</v>
      </c>
      <c r="H1079" s="116"/>
      <c r="I1079" s="116"/>
      <c r="L1079" s="170">
        <v>43594</v>
      </c>
      <c r="M1079" s="116">
        <v>196.161774000218</v>
      </c>
      <c r="N1079" s="116">
        <v>198.48292288692701</v>
      </c>
      <c r="O1079" s="116">
        <v>192.704743743417</v>
      </c>
      <c r="P1079" s="116">
        <v>196.85318005157799</v>
      </c>
      <c r="Q1079" s="116">
        <v>198.6</v>
      </c>
      <c r="R1079">
        <v>1365985</v>
      </c>
    </row>
    <row r="1080" spans="1:18" x14ac:dyDescent="0.25">
      <c r="A1080" s="170">
        <v>43595</v>
      </c>
      <c r="B1080" s="116">
        <v>198.72965006030799</v>
      </c>
      <c r="C1080" s="116">
        <v>196.01341478363901</v>
      </c>
      <c r="D1080" s="116">
        <v>195.56893992018399</v>
      </c>
      <c r="E1080" s="116">
        <v>197.93947252527701</v>
      </c>
      <c r="F1080" s="116">
        <v>198.45</v>
      </c>
      <c r="G1080">
        <v>44503</v>
      </c>
      <c r="H1080" s="116"/>
      <c r="I1080" s="116"/>
      <c r="L1080" s="170">
        <v>43595</v>
      </c>
      <c r="M1080" s="116">
        <v>196.06300170716599</v>
      </c>
      <c r="N1080" s="116">
        <v>198.92739820565899</v>
      </c>
      <c r="O1080" s="116">
        <v>195.12466492317799</v>
      </c>
      <c r="P1080" s="116">
        <v>196.161774000218</v>
      </c>
      <c r="Q1080" s="116">
        <v>198.5</v>
      </c>
      <c r="R1080">
        <v>1246805</v>
      </c>
    </row>
    <row r="1081" spans="1:18" x14ac:dyDescent="0.25">
      <c r="A1081" s="170">
        <v>43598</v>
      </c>
      <c r="B1081" s="116">
        <v>201.69281581667499</v>
      </c>
      <c r="C1081" s="116">
        <v>197.05052279836701</v>
      </c>
      <c r="D1081" s="116">
        <v>194.92692067297099</v>
      </c>
      <c r="E1081" s="116">
        <v>195.27262334454699</v>
      </c>
      <c r="F1081" s="116">
        <v>199.5</v>
      </c>
      <c r="G1081">
        <v>189405</v>
      </c>
      <c r="H1081" s="116"/>
      <c r="I1081" s="116"/>
      <c r="L1081" s="170">
        <v>43598</v>
      </c>
      <c r="M1081" s="116">
        <v>197.39642766336101</v>
      </c>
      <c r="N1081" s="116">
        <v>201.79179470415201</v>
      </c>
      <c r="O1081" s="116">
        <v>194.58141731139401</v>
      </c>
      <c r="P1081" s="116">
        <v>194.82834804402299</v>
      </c>
      <c r="Q1081" s="116">
        <v>199.85</v>
      </c>
      <c r="R1081">
        <v>2827684</v>
      </c>
    </row>
    <row r="1082" spans="1:18" x14ac:dyDescent="0.25">
      <c r="A1082" s="170">
        <v>43599</v>
      </c>
      <c r="B1082" s="116">
        <v>202.18667677606899</v>
      </c>
      <c r="C1082" s="116">
        <v>197.890086429338</v>
      </c>
      <c r="D1082" s="116">
        <v>195.07507896078999</v>
      </c>
      <c r="E1082" s="116">
        <v>199.667985883158</v>
      </c>
      <c r="F1082" s="116">
        <v>200.35</v>
      </c>
      <c r="G1082">
        <v>357674</v>
      </c>
      <c r="H1082" s="116"/>
      <c r="I1082" s="116"/>
      <c r="L1082" s="170">
        <v>43599</v>
      </c>
      <c r="M1082" s="116">
        <v>197.79151683556699</v>
      </c>
      <c r="N1082" s="116">
        <v>202.38442846246099</v>
      </c>
      <c r="O1082" s="116">
        <v>194.82834804402299</v>
      </c>
      <c r="P1082" s="116">
        <v>199.52003196396799</v>
      </c>
      <c r="Q1082" s="116">
        <v>200.25</v>
      </c>
      <c r="R1082">
        <v>4190535</v>
      </c>
    </row>
    <row r="1083" spans="1:18" x14ac:dyDescent="0.25">
      <c r="A1083" s="170">
        <v>43600</v>
      </c>
      <c r="B1083" s="116">
        <v>202.236062872009</v>
      </c>
      <c r="C1083" s="116">
        <v>196.30973135927599</v>
      </c>
      <c r="D1083" s="116">
        <v>195.17385115266899</v>
      </c>
      <c r="E1083" s="116">
        <v>200.50754951412799</v>
      </c>
      <c r="F1083" s="116">
        <v>198.75</v>
      </c>
      <c r="G1083">
        <v>148316</v>
      </c>
      <c r="H1083" s="116"/>
      <c r="I1083" s="116"/>
      <c r="L1083" s="170">
        <v>43600</v>
      </c>
      <c r="M1083" s="116">
        <v>196.803793905052</v>
      </c>
      <c r="N1083" s="116">
        <v>202.38442846246099</v>
      </c>
      <c r="O1083" s="116">
        <v>195.667912534961</v>
      </c>
      <c r="P1083" s="116">
        <v>199.816348843122</v>
      </c>
      <c r="Q1083" s="116">
        <v>199.25</v>
      </c>
      <c r="R1083">
        <v>2581825</v>
      </c>
    </row>
    <row r="1084" spans="1:18" x14ac:dyDescent="0.25">
      <c r="A1084" s="170">
        <v>43601</v>
      </c>
      <c r="B1084" s="116">
        <v>219.27426597111599</v>
      </c>
      <c r="C1084" s="116">
        <v>217.891455284811</v>
      </c>
      <c r="D1084" s="116">
        <v>194.92692067297099</v>
      </c>
      <c r="E1084" s="116">
        <v>203.86580403801</v>
      </c>
      <c r="F1084" s="116">
        <v>220.6</v>
      </c>
      <c r="G1084">
        <v>3469438</v>
      </c>
      <c r="H1084" s="116"/>
      <c r="I1084" s="116"/>
      <c r="L1084" s="170">
        <v>43601</v>
      </c>
      <c r="M1084" s="116">
        <v>218.08922305764401</v>
      </c>
      <c r="N1084" s="116">
        <v>220.26221350477601</v>
      </c>
      <c r="O1084" s="116">
        <v>194.729575750972</v>
      </c>
      <c r="P1084" s="116">
        <v>204.45864661654099</v>
      </c>
      <c r="Q1084" s="116">
        <v>220.8</v>
      </c>
      <c r="R1084">
        <v>27398307</v>
      </c>
    </row>
    <row r="1085" spans="1:18" x14ac:dyDescent="0.25">
      <c r="A1085" s="170">
        <v>43602</v>
      </c>
      <c r="B1085" s="116">
        <v>234.979044479858</v>
      </c>
      <c r="C1085" s="116">
        <v>232.410967491007</v>
      </c>
      <c r="D1085" s="116">
        <v>215.91601144723401</v>
      </c>
      <c r="E1085" s="116">
        <v>217.29882213353801</v>
      </c>
      <c r="F1085" s="116">
        <v>235.3</v>
      </c>
      <c r="G1085">
        <v>1556504</v>
      </c>
      <c r="H1085" s="116"/>
      <c r="I1085" s="116"/>
      <c r="L1085" s="170">
        <v>43602</v>
      </c>
      <c r="M1085" s="116">
        <v>232.50997784315899</v>
      </c>
      <c r="N1085" s="116">
        <v>235.37437434165099</v>
      </c>
      <c r="O1085" s="116">
        <v>215.916232610512</v>
      </c>
      <c r="P1085" s="116">
        <v>217.29904471323201</v>
      </c>
      <c r="Q1085" s="116">
        <v>235.4</v>
      </c>
      <c r="R1085">
        <v>17955568</v>
      </c>
    </row>
    <row r="1086" spans="1:18" x14ac:dyDescent="0.25">
      <c r="A1086" s="170">
        <v>43605</v>
      </c>
      <c r="B1086" s="116">
        <v>238.92993215501301</v>
      </c>
      <c r="C1086" s="116">
        <v>232.85544235446201</v>
      </c>
      <c r="D1086" s="116">
        <v>228.80578248742799</v>
      </c>
      <c r="E1086" s="116">
        <v>236.90510222149601</v>
      </c>
      <c r="F1086" s="116">
        <v>235.75</v>
      </c>
      <c r="G1086">
        <v>549238</v>
      </c>
      <c r="H1086" s="116"/>
      <c r="I1086" s="116"/>
      <c r="L1086" s="170">
        <v>43605</v>
      </c>
      <c r="M1086" s="116">
        <v>232.95445316189</v>
      </c>
      <c r="N1086" s="116">
        <v>238.97956303802999</v>
      </c>
      <c r="O1086" s="116">
        <v>228.65785841415101</v>
      </c>
      <c r="P1086" s="116">
        <v>236.85595873742301</v>
      </c>
      <c r="Q1086" s="116">
        <v>235.85</v>
      </c>
      <c r="R1086">
        <v>7507001</v>
      </c>
    </row>
    <row r="1087" spans="1:18" x14ac:dyDescent="0.25">
      <c r="A1087" s="170">
        <v>43606</v>
      </c>
      <c r="B1087" s="116">
        <v>234.23825304076601</v>
      </c>
      <c r="C1087" s="116">
        <v>229.29964344682199</v>
      </c>
      <c r="D1087" s="116">
        <v>226.97849693766801</v>
      </c>
      <c r="E1087" s="116">
        <v>233.052986738219</v>
      </c>
      <c r="F1087" s="116">
        <v>232.15</v>
      </c>
      <c r="G1087">
        <v>298615</v>
      </c>
      <c r="H1087" s="116"/>
      <c r="I1087" s="116"/>
      <c r="L1087" s="170">
        <v>43606</v>
      </c>
      <c r="M1087" s="116">
        <v>229.645581344666</v>
      </c>
      <c r="N1087" s="116">
        <v>234.09033453198199</v>
      </c>
      <c r="O1087" s="116">
        <v>226.87995713922501</v>
      </c>
      <c r="P1087" s="116">
        <v>232.11488867095301</v>
      </c>
      <c r="Q1087" s="116">
        <v>232.5</v>
      </c>
      <c r="R1087">
        <v>4396346</v>
      </c>
    </row>
    <row r="1088" spans="1:18" x14ac:dyDescent="0.25">
      <c r="A1088" s="170">
        <v>43607</v>
      </c>
      <c r="B1088" s="116">
        <v>233.10237283415901</v>
      </c>
      <c r="C1088" s="116">
        <v>231.126928996581</v>
      </c>
      <c r="D1088" s="116">
        <v>227.422971801123</v>
      </c>
      <c r="E1088" s="116">
        <v>231.126928996581</v>
      </c>
      <c r="F1088" s="116">
        <v>234</v>
      </c>
      <c r="G1088">
        <v>181497</v>
      </c>
      <c r="H1088" s="116"/>
      <c r="I1088" s="116"/>
      <c r="L1088" s="170">
        <v>43607</v>
      </c>
      <c r="M1088" s="116">
        <v>231.17655188696401</v>
      </c>
      <c r="N1088" s="116">
        <v>233.102611601467</v>
      </c>
      <c r="O1088" s="116">
        <v>227.32443245795699</v>
      </c>
      <c r="P1088" s="116">
        <v>230.139442809923</v>
      </c>
      <c r="Q1088" s="116">
        <v>234.05</v>
      </c>
      <c r="R1088">
        <v>3274093</v>
      </c>
    </row>
    <row r="1089" spans="1:18" x14ac:dyDescent="0.25">
      <c r="A1089" s="170">
        <v>43608</v>
      </c>
      <c r="B1089" s="116">
        <v>234.53456961640299</v>
      </c>
      <c r="C1089" s="116">
        <v>227.47235789706301</v>
      </c>
      <c r="D1089" s="116">
        <v>226.18831940263701</v>
      </c>
      <c r="E1089" s="116">
        <v>234.090094752948</v>
      </c>
      <c r="F1089" s="116">
        <v>230.3</v>
      </c>
      <c r="G1089">
        <v>233088</v>
      </c>
      <c r="H1089" s="116"/>
      <c r="I1089" s="116"/>
      <c r="L1089" s="170">
        <v>43608</v>
      </c>
      <c r="M1089" s="116">
        <v>227.47259089753399</v>
      </c>
      <c r="N1089" s="116">
        <v>235.07805746249699</v>
      </c>
      <c r="O1089" s="116">
        <v>226.38609567396799</v>
      </c>
      <c r="P1089" s="116">
        <v>235.07805746249699</v>
      </c>
      <c r="Q1089" s="116">
        <v>230.3</v>
      </c>
      <c r="R1089">
        <v>3287277</v>
      </c>
    </row>
    <row r="1090" spans="1:18" x14ac:dyDescent="0.25">
      <c r="A1090" s="170">
        <v>43609</v>
      </c>
      <c r="B1090" s="116">
        <v>233.44807550573501</v>
      </c>
      <c r="C1090" s="116">
        <v>231.67017605191501</v>
      </c>
      <c r="D1090" s="116">
        <v>225.398141867606</v>
      </c>
      <c r="E1090" s="116">
        <v>228.11437714427501</v>
      </c>
      <c r="F1090" s="116">
        <v>234.55</v>
      </c>
      <c r="G1090">
        <v>168307</v>
      </c>
      <c r="H1090" s="116"/>
      <c r="I1090" s="116"/>
      <c r="L1090" s="170">
        <v>43609</v>
      </c>
      <c r="M1090" s="116">
        <v>232.016116377901</v>
      </c>
      <c r="N1090" s="116">
        <v>233.49770077367299</v>
      </c>
      <c r="O1090" s="116">
        <v>225.10205586429799</v>
      </c>
      <c r="P1090" s="116">
        <v>227.86768006974</v>
      </c>
      <c r="Q1090" s="116">
        <v>234.9</v>
      </c>
      <c r="R1090">
        <v>2395433</v>
      </c>
    </row>
    <row r="1091" spans="1:18" x14ac:dyDescent="0.25">
      <c r="A1091" s="170">
        <v>43612</v>
      </c>
      <c r="B1091" s="116">
        <v>235.077816671736</v>
      </c>
      <c r="C1091" s="116">
        <v>230.53429584530801</v>
      </c>
      <c r="D1091" s="116">
        <v>229.349029542761</v>
      </c>
      <c r="E1091" s="116">
        <v>235.077816671736</v>
      </c>
      <c r="F1091" s="116">
        <v>233.4</v>
      </c>
      <c r="G1091">
        <v>125817</v>
      </c>
      <c r="H1091" s="116"/>
      <c r="I1091" s="116"/>
      <c r="L1091" s="170">
        <v>43612</v>
      </c>
      <c r="M1091" s="116">
        <v>230.53453198212901</v>
      </c>
      <c r="N1091" s="116">
        <v>234.58419599723899</v>
      </c>
      <c r="O1091" s="116">
        <v>229.39865061203699</v>
      </c>
      <c r="P1091" s="116">
        <v>234.28787911808499</v>
      </c>
      <c r="Q1091" s="116">
        <v>233.4</v>
      </c>
      <c r="R1091">
        <v>1832951</v>
      </c>
    </row>
    <row r="1092" spans="1:18" x14ac:dyDescent="0.25">
      <c r="A1092" s="170">
        <v>43613</v>
      </c>
      <c r="B1092" s="116">
        <v>240.658445512893</v>
      </c>
      <c r="C1092" s="116">
        <v>234.337025232645</v>
      </c>
      <c r="D1092" s="116">
        <v>230.97877070876299</v>
      </c>
      <c r="E1092" s="116">
        <v>233.84316427325001</v>
      </c>
      <c r="F1092" s="116">
        <v>237.25</v>
      </c>
      <c r="G1092">
        <v>322907</v>
      </c>
      <c r="H1092" s="116"/>
      <c r="I1092" s="116"/>
      <c r="L1092" s="170">
        <v>43613</v>
      </c>
      <c r="M1092" s="116">
        <v>234.386651411137</v>
      </c>
      <c r="N1092" s="116">
        <v>240.75746431295599</v>
      </c>
      <c r="O1092" s="116">
        <v>230.88023500780901</v>
      </c>
      <c r="P1092" s="116">
        <v>232.50997784315899</v>
      </c>
      <c r="Q1092" s="116">
        <v>237.3</v>
      </c>
      <c r="R1092">
        <v>4121336</v>
      </c>
    </row>
    <row r="1093" spans="1:18" x14ac:dyDescent="0.25">
      <c r="A1093" s="170">
        <v>43614</v>
      </c>
      <c r="B1093" s="116">
        <v>237.003874413375</v>
      </c>
      <c r="C1093" s="116">
        <v>231.373859476278</v>
      </c>
      <c r="D1093" s="116">
        <v>229.64534611839801</v>
      </c>
      <c r="E1093" s="116">
        <v>235.76922201488901</v>
      </c>
      <c r="F1093" s="116">
        <v>234.25</v>
      </c>
      <c r="G1093">
        <v>203723</v>
      </c>
      <c r="H1093" s="116"/>
      <c r="I1093" s="116"/>
      <c r="L1093" s="170">
        <v>43614</v>
      </c>
      <c r="M1093" s="116">
        <v>231.47286876611801</v>
      </c>
      <c r="N1093" s="116">
        <v>236.95473103047499</v>
      </c>
      <c r="O1093" s="116">
        <v>229.54680905161501</v>
      </c>
      <c r="P1093" s="116">
        <v>233.99156223893101</v>
      </c>
      <c r="Q1093" s="116">
        <v>234.35</v>
      </c>
      <c r="R1093">
        <v>2445735</v>
      </c>
    </row>
    <row r="1094" spans="1:18" x14ac:dyDescent="0.25">
      <c r="A1094" s="170">
        <v>43615</v>
      </c>
      <c r="B1094" s="116">
        <v>235.077816671736</v>
      </c>
      <c r="C1094" s="116">
        <v>233.84316427325001</v>
      </c>
      <c r="D1094" s="116">
        <v>230.237979269671</v>
      </c>
      <c r="E1094" s="116">
        <v>231.42324557221801</v>
      </c>
      <c r="F1094" s="116">
        <v>236.75</v>
      </c>
      <c r="G1094">
        <v>104595</v>
      </c>
      <c r="H1094" s="116"/>
      <c r="I1094" s="116"/>
      <c r="L1094" s="170">
        <v>43615</v>
      </c>
      <c r="M1094" s="116">
        <v>233.94217609240499</v>
      </c>
      <c r="N1094" s="116">
        <v>235.22621590207399</v>
      </c>
      <c r="O1094" s="116">
        <v>230.139442809923</v>
      </c>
      <c r="P1094" s="116">
        <v>231.22593803349</v>
      </c>
      <c r="Q1094" s="116">
        <v>236.85</v>
      </c>
      <c r="R1094">
        <v>1442935</v>
      </c>
    </row>
    <row r="1095" spans="1:18" x14ac:dyDescent="0.25">
      <c r="A1095" s="170">
        <v>43616</v>
      </c>
      <c r="B1095" s="116">
        <v>243.02897811798599</v>
      </c>
      <c r="C1095" s="116">
        <v>240.06581236162</v>
      </c>
      <c r="D1095" s="116">
        <v>232.70728406664301</v>
      </c>
      <c r="E1095" s="116">
        <v>242.979592022047</v>
      </c>
      <c r="F1095" s="116">
        <v>243.05</v>
      </c>
      <c r="G1095">
        <v>488797</v>
      </c>
      <c r="H1095" s="116"/>
      <c r="I1095" s="116"/>
      <c r="L1095" s="170">
        <v>43616</v>
      </c>
      <c r="M1095" s="116">
        <v>241.004395045585</v>
      </c>
      <c r="N1095" s="116">
        <v>243.226771639243</v>
      </c>
      <c r="O1095" s="116">
        <v>232.460591696633</v>
      </c>
      <c r="P1095" s="116">
        <v>234.09033453198199</v>
      </c>
      <c r="Q1095" s="116">
        <v>244</v>
      </c>
      <c r="R1095">
        <v>6568324</v>
      </c>
    </row>
    <row r="1096" spans="1:18" x14ac:dyDescent="0.25">
      <c r="A1096" s="170">
        <v>43619</v>
      </c>
      <c r="B1096" s="116">
        <v>244.65871928398801</v>
      </c>
      <c r="C1096" s="116">
        <v>241.448623047924</v>
      </c>
      <c r="D1096" s="116">
        <v>239.47317921034701</v>
      </c>
      <c r="E1096" s="116">
        <v>241.300464760106</v>
      </c>
      <c r="F1096" s="116">
        <v>244.45</v>
      </c>
      <c r="G1096">
        <v>233791</v>
      </c>
      <c r="H1096" s="116"/>
      <c r="I1096" s="116"/>
      <c r="L1096" s="170">
        <v>43619</v>
      </c>
      <c r="M1096" s="116">
        <v>241.942731829574</v>
      </c>
      <c r="N1096" s="116">
        <v>244.36265300933499</v>
      </c>
      <c r="O1096" s="116">
        <v>239.32526606370999</v>
      </c>
      <c r="P1096" s="116">
        <v>241.99211797609999</v>
      </c>
      <c r="Q1096" s="116">
        <v>244.95</v>
      </c>
      <c r="R1096">
        <v>3279574</v>
      </c>
    </row>
    <row r="1097" spans="1:18" x14ac:dyDescent="0.25">
      <c r="A1097" s="170">
        <v>43620</v>
      </c>
      <c r="B1097" s="116">
        <v>255.37550210284701</v>
      </c>
      <c r="C1097" s="116">
        <v>250.239348125145</v>
      </c>
      <c r="D1097" s="116">
        <v>241.64616743168199</v>
      </c>
      <c r="E1097" s="116">
        <v>241.89309791137899</v>
      </c>
      <c r="F1097" s="116">
        <v>253.35</v>
      </c>
      <c r="G1097">
        <v>882989</v>
      </c>
      <c r="H1097" s="116"/>
      <c r="I1097" s="116"/>
      <c r="L1097" s="170">
        <v>43620</v>
      </c>
      <c r="M1097" s="116">
        <v>250.33837673894899</v>
      </c>
      <c r="N1097" s="116">
        <v>255.523922124151</v>
      </c>
      <c r="O1097" s="116">
        <v>241.004395045585</v>
      </c>
      <c r="P1097" s="116">
        <v>241.59702880389401</v>
      </c>
      <c r="Q1097" s="116">
        <v>253.45</v>
      </c>
      <c r="R1097">
        <v>10943654</v>
      </c>
    </row>
    <row r="1098" spans="1:18" x14ac:dyDescent="0.25">
      <c r="A1098" s="170">
        <v>43622</v>
      </c>
      <c r="B1098" s="116">
        <v>254.09146360842101</v>
      </c>
      <c r="C1098" s="116">
        <v>249.05408182259799</v>
      </c>
      <c r="D1098" s="116">
        <v>243.868541748957</v>
      </c>
      <c r="E1098" s="116">
        <v>252.807425113996</v>
      </c>
      <c r="F1098" s="116">
        <v>252.15</v>
      </c>
      <c r="G1098">
        <v>356193</v>
      </c>
      <c r="H1098" s="116"/>
      <c r="I1098" s="116"/>
      <c r="L1098" s="170">
        <v>43622</v>
      </c>
      <c r="M1098" s="116">
        <v>249.40003995495999</v>
      </c>
      <c r="N1098" s="116">
        <v>254.239882314482</v>
      </c>
      <c r="O1098" s="116">
        <v>243.7206331045</v>
      </c>
      <c r="P1098" s="116">
        <v>249.89390142021699</v>
      </c>
      <c r="Q1098" s="116">
        <v>252.5</v>
      </c>
      <c r="R1098">
        <v>5822991</v>
      </c>
    </row>
    <row r="1099" spans="1:18" x14ac:dyDescent="0.25">
      <c r="A1099" s="170">
        <v>43623</v>
      </c>
      <c r="B1099" s="116">
        <v>256.51138230945401</v>
      </c>
      <c r="C1099" s="116">
        <v>253.25189997745099</v>
      </c>
      <c r="D1099" s="116">
        <v>244.65871928398801</v>
      </c>
      <c r="E1099" s="116">
        <v>250.78259518047901</v>
      </c>
      <c r="F1099" s="116">
        <v>256.39999999999998</v>
      </c>
      <c r="G1099">
        <v>394478</v>
      </c>
      <c r="H1099" s="116"/>
      <c r="I1099" s="116"/>
      <c r="L1099" s="170">
        <v>43623</v>
      </c>
      <c r="M1099" s="116">
        <v>253.84479314227599</v>
      </c>
      <c r="N1099" s="116">
        <v>256.65980349424302</v>
      </c>
      <c r="O1099" s="116">
        <v>244.609583741964</v>
      </c>
      <c r="P1099" s="116">
        <v>248.412317024445</v>
      </c>
      <c r="Q1099" s="116">
        <v>257</v>
      </c>
      <c r="R1099">
        <v>6012221</v>
      </c>
    </row>
    <row r="1100" spans="1:18" x14ac:dyDescent="0.25">
      <c r="A1100" s="170">
        <v>43626</v>
      </c>
      <c r="B1100" s="116">
        <v>256.461996213514</v>
      </c>
      <c r="C1100" s="116">
        <v>249.64671497387101</v>
      </c>
      <c r="D1100" s="116">
        <v>247.22679627283901</v>
      </c>
      <c r="E1100" s="116">
        <v>256.461996213514</v>
      </c>
      <c r="F1100" s="116">
        <v>252.75</v>
      </c>
      <c r="G1100">
        <v>182107</v>
      </c>
      <c r="H1100" s="116"/>
      <c r="I1100" s="116"/>
      <c r="L1100" s="170">
        <v>43626</v>
      </c>
      <c r="M1100" s="116">
        <v>249.59758454106299</v>
      </c>
      <c r="N1100" s="116">
        <v>255.86962514983099</v>
      </c>
      <c r="O1100" s="116">
        <v>247.57275253350801</v>
      </c>
      <c r="P1100" s="116">
        <v>253.84479314227599</v>
      </c>
      <c r="Q1100" s="116">
        <v>252.7</v>
      </c>
      <c r="R1100">
        <v>3098985</v>
      </c>
    </row>
    <row r="1101" spans="1:18" x14ac:dyDescent="0.25">
      <c r="A1101" s="170">
        <v>43627</v>
      </c>
      <c r="B1101" s="116">
        <v>253.25189997745099</v>
      </c>
      <c r="C1101" s="116">
        <v>252.31356415460101</v>
      </c>
      <c r="D1101" s="116">
        <v>247.424340656597</v>
      </c>
      <c r="E1101" s="116">
        <v>249.89364545356901</v>
      </c>
      <c r="F1101" s="116">
        <v>255.45</v>
      </c>
      <c r="G1101">
        <v>221602</v>
      </c>
      <c r="H1101" s="116"/>
      <c r="I1101" s="116"/>
      <c r="L1101" s="170">
        <v>43627</v>
      </c>
      <c r="M1101" s="116">
        <v>252.215050306927</v>
      </c>
      <c r="N1101" s="116">
        <v>253.54847626312201</v>
      </c>
      <c r="O1101" s="116">
        <v>247.52336638698199</v>
      </c>
      <c r="P1101" s="116">
        <v>250.33837673894899</v>
      </c>
      <c r="Q1101" s="116">
        <v>255.35</v>
      </c>
      <c r="R1101">
        <v>2440220</v>
      </c>
    </row>
    <row r="1102" spans="1:18" x14ac:dyDescent="0.25">
      <c r="A1102" s="170">
        <v>43628</v>
      </c>
      <c r="B1102" s="116">
        <v>254.1902358003</v>
      </c>
      <c r="C1102" s="116">
        <v>251.52338661957</v>
      </c>
      <c r="D1102" s="116">
        <v>250.239348125145</v>
      </c>
      <c r="E1102" s="116">
        <v>251.81970319520701</v>
      </c>
      <c r="F1102" s="116">
        <v>254.65</v>
      </c>
      <c r="G1102">
        <v>98442</v>
      </c>
      <c r="H1102" s="116"/>
      <c r="I1102" s="116"/>
      <c r="L1102" s="170">
        <v>43628</v>
      </c>
      <c r="M1102" s="116">
        <v>252.017505720824</v>
      </c>
      <c r="N1102" s="116">
        <v>254.28926846100799</v>
      </c>
      <c r="O1102" s="116">
        <v>250.140832152846</v>
      </c>
      <c r="P1102" s="116">
        <v>251.67180269514401</v>
      </c>
      <c r="Q1102" s="116">
        <v>255.15</v>
      </c>
      <c r="R1102">
        <v>2028664</v>
      </c>
    </row>
    <row r="1103" spans="1:18" x14ac:dyDescent="0.25">
      <c r="A1103" s="170">
        <v>43629</v>
      </c>
      <c r="B1103" s="116">
        <v>253.74576093684499</v>
      </c>
      <c r="C1103" s="116">
        <v>250.68382298860001</v>
      </c>
      <c r="D1103" s="116">
        <v>248.16513209568799</v>
      </c>
      <c r="E1103" s="116">
        <v>253.74576093684499</v>
      </c>
      <c r="F1103" s="116">
        <v>253.8</v>
      </c>
      <c r="G1103">
        <v>82452</v>
      </c>
      <c r="H1103" s="116"/>
      <c r="I1103" s="116"/>
      <c r="L1103" s="170">
        <v>43629</v>
      </c>
      <c r="M1103" s="116">
        <v>250.73346591115501</v>
      </c>
      <c r="N1103" s="116">
        <v>252.75829791871001</v>
      </c>
      <c r="O1103" s="116">
        <v>248.06661399876501</v>
      </c>
      <c r="P1103" s="116">
        <v>252.06689186734999</v>
      </c>
      <c r="Q1103" s="116">
        <v>253.85</v>
      </c>
      <c r="R1103">
        <v>1232935</v>
      </c>
    </row>
    <row r="1104" spans="1:18" x14ac:dyDescent="0.25">
      <c r="A1104" s="170">
        <v>43630</v>
      </c>
      <c r="B1104" s="116">
        <v>251.67154490738801</v>
      </c>
      <c r="C1104" s="116">
        <v>244.06608613271499</v>
      </c>
      <c r="D1104" s="116">
        <v>242.04125619919799</v>
      </c>
      <c r="E1104" s="116">
        <v>250.78259518047901</v>
      </c>
      <c r="F1104" s="116">
        <v>247.1</v>
      </c>
      <c r="G1104">
        <v>124224</v>
      </c>
      <c r="H1104" s="116"/>
      <c r="I1104" s="116"/>
      <c r="L1104" s="170">
        <v>43630</v>
      </c>
      <c r="M1104" s="116">
        <v>244.016949983655</v>
      </c>
      <c r="N1104" s="116">
        <v>251.721188841669</v>
      </c>
      <c r="O1104" s="116">
        <v>243.07861319966599</v>
      </c>
      <c r="P1104" s="116">
        <v>249.89390142021699</v>
      </c>
      <c r="Q1104" s="116">
        <v>247.05</v>
      </c>
      <c r="R1104">
        <v>1914763</v>
      </c>
    </row>
    <row r="1105" spans="1:18" x14ac:dyDescent="0.25">
      <c r="A1105" s="170">
        <v>43633</v>
      </c>
      <c r="B1105" s="116">
        <v>248.26390428756699</v>
      </c>
      <c r="C1105" s="116">
        <v>242.485731062653</v>
      </c>
      <c r="D1105" s="116">
        <v>240.36212893725701</v>
      </c>
      <c r="E1105" s="116">
        <v>243.868541748957</v>
      </c>
      <c r="F1105" s="116">
        <v>245.5</v>
      </c>
      <c r="G1105">
        <v>146829</v>
      </c>
      <c r="H1105" s="116"/>
      <c r="I1105" s="116"/>
      <c r="L1105" s="170">
        <v>43633</v>
      </c>
      <c r="M1105" s="116">
        <v>242.68352402746001</v>
      </c>
      <c r="N1105" s="116">
        <v>248.7086339036</v>
      </c>
      <c r="O1105" s="116">
        <v>240.36237514075</v>
      </c>
      <c r="P1105" s="116">
        <v>243.47370237187201</v>
      </c>
      <c r="Q1105" s="116">
        <v>245.7</v>
      </c>
      <c r="R1105">
        <v>1818946</v>
      </c>
    </row>
    <row r="1106" spans="1:18" x14ac:dyDescent="0.25">
      <c r="A1106" s="170">
        <v>43634</v>
      </c>
      <c r="B1106" s="116">
        <v>245.69582729871601</v>
      </c>
      <c r="C1106" s="116">
        <v>244.51056099617</v>
      </c>
      <c r="D1106" s="116">
        <v>241.942484007319</v>
      </c>
      <c r="E1106" s="116">
        <v>243.76976955707801</v>
      </c>
      <c r="F1106" s="116">
        <v>247.55</v>
      </c>
      <c r="G1106">
        <v>154167</v>
      </c>
      <c r="H1106" s="116"/>
      <c r="I1106" s="116"/>
      <c r="L1106" s="170">
        <v>43634</v>
      </c>
      <c r="M1106" s="116">
        <v>244.757742181541</v>
      </c>
      <c r="N1106" s="116">
        <v>245.597306672478</v>
      </c>
      <c r="O1106" s="116">
        <v>242.04150412262501</v>
      </c>
      <c r="P1106" s="116">
        <v>243.226771639243</v>
      </c>
      <c r="Q1106" s="116">
        <v>247.8</v>
      </c>
      <c r="R1106">
        <v>1752118</v>
      </c>
    </row>
    <row r="1107" spans="1:18" x14ac:dyDescent="0.25">
      <c r="A1107" s="170">
        <v>43635</v>
      </c>
      <c r="B1107" s="116">
        <v>246.930479697202</v>
      </c>
      <c r="C1107" s="116">
        <v>242.18941448701599</v>
      </c>
      <c r="D1107" s="116">
        <v>240.51028722507499</v>
      </c>
      <c r="E1107" s="116">
        <v>245.69582729871601</v>
      </c>
      <c r="F1107" s="116">
        <v>245.2</v>
      </c>
      <c r="G1107">
        <v>84978</v>
      </c>
      <c r="H1107" s="116"/>
      <c r="I1107" s="116"/>
      <c r="L1107" s="170">
        <v>43635</v>
      </c>
      <c r="M1107" s="116">
        <v>242.288434855254</v>
      </c>
      <c r="N1107" s="116">
        <v>247.12827721477601</v>
      </c>
      <c r="O1107" s="116">
        <v>240.16483055464701</v>
      </c>
      <c r="P1107" s="116">
        <v>245.547920525953</v>
      </c>
      <c r="Q1107" s="116">
        <v>245.3</v>
      </c>
      <c r="R1107">
        <v>2503805</v>
      </c>
    </row>
    <row r="1108" spans="1:18" x14ac:dyDescent="0.25">
      <c r="A1108" s="170">
        <v>43636</v>
      </c>
      <c r="B1108" s="116">
        <v>253.74576093684499</v>
      </c>
      <c r="C1108" s="116">
        <v>252.85681120993499</v>
      </c>
      <c r="D1108" s="116">
        <v>242.090642295137</v>
      </c>
      <c r="E1108" s="116">
        <v>242.38695887077401</v>
      </c>
      <c r="F1108" s="116">
        <v>256</v>
      </c>
      <c r="G1108">
        <v>180761</v>
      </c>
      <c r="H1108" s="116"/>
      <c r="I1108" s="116"/>
      <c r="L1108" s="170">
        <v>43636</v>
      </c>
      <c r="M1108" s="116">
        <v>252.708911772184</v>
      </c>
      <c r="N1108" s="116">
        <v>253.647248556173</v>
      </c>
      <c r="O1108" s="116">
        <v>241.69580109694499</v>
      </c>
      <c r="P1108" s="116">
        <v>241.84395953652199</v>
      </c>
      <c r="Q1108" s="116">
        <v>255.85</v>
      </c>
      <c r="R1108">
        <v>4602715</v>
      </c>
    </row>
    <row r="1109" spans="1:18" x14ac:dyDescent="0.25">
      <c r="A1109" s="170">
        <v>43637</v>
      </c>
      <c r="B1109" s="116">
        <v>260.80797265618497</v>
      </c>
      <c r="C1109" s="116">
        <v>258.33866785921299</v>
      </c>
      <c r="D1109" s="116">
        <v>250.486278604842</v>
      </c>
      <c r="E1109" s="116">
        <v>253.49883045714799</v>
      </c>
      <c r="F1109" s="116">
        <v>261.55</v>
      </c>
      <c r="G1109">
        <v>244968</v>
      </c>
      <c r="H1109" s="116"/>
      <c r="I1109" s="116"/>
      <c r="L1109" s="170">
        <v>43637</v>
      </c>
      <c r="M1109" s="116">
        <v>258.58586320874701</v>
      </c>
      <c r="N1109" s="116">
        <v>260.75885365587902</v>
      </c>
      <c r="O1109" s="116">
        <v>250.38776288547501</v>
      </c>
      <c r="P1109" s="116">
        <v>252.708911772184</v>
      </c>
      <c r="Q1109" s="116">
        <v>261.8</v>
      </c>
      <c r="R1109">
        <v>3760383</v>
      </c>
    </row>
    <row r="1110" spans="1:18" x14ac:dyDescent="0.25">
      <c r="A1110" s="170">
        <v>43640</v>
      </c>
      <c r="B1110" s="116">
        <v>259.77086464145702</v>
      </c>
      <c r="C1110" s="116">
        <v>256.16567963787799</v>
      </c>
      <c r="D1110" s="116">
        <v>253.59760264902701</v>
      </c>
      <c r="E1110" s="116">
        <v>259.77086464145702</v>
      </c>
      <c r="F1110" s="116">
        <v>259.35000000000002</v>
      </c>
      <c r="G1110">
        <v>109443</v>
      </c>
      <c r="H1110" s="116"/>
      <c r="I1110" s="116"/>
      <c r="L1110" s="170">
        <v>43640</v>
      </c>
      <c r="M1110" s="116">
        <v>256.75857578729398</v>
      </c>
      <c r="N1110" s="116">
        <v>259.771130725364</v>
      </c>
      <c r="O1110" s="116">
        <v>253.59786240964701</v>
      </c>
      <c r="P1110" s="116">
        <v>257.79568486433499</v>
      </c>
      <c r="Q1110" s="116">
        <v>259.95</v>
      </c>
      <c r="R1110">
        <v>2281154</v>
      </c>
    </row>
    <row r="1111" spans="1:18" x14ac:dyDescent="0.25">
      <c r="A1111" s="170">
        <v>43641</v>
      </c>
      <c r="B1111" s="116">
        <v>257.44971813230302</v>
      </c>
      <c r="C1111" s="116">
        <v>256.06690744599899</v>
      </c>
      <c r="D1111" s="116">
        <v>253.84453312872401</v>
      </c>
      <c r="E1111" s="116">
        <v>256.16567963787799</v>
      </c>
      <c r="F1111" s="116">
        <v>259.25</v>
      </c>
      <c r="G1111">
        <v>84985</v>
      </c>
      <c r="H1111" s="116"/>
      <c r="I1111" s="116"/>
      <c r="L1111" s="170">
        <v>43641</v>
      </c>
      <c r="M1111" s="116">
        <v>255.968397442883</v>
      </c>
      <c r="N1111" s="116">
        <v>257.49936798518002</v>
      </c>
      <c r="O1111" s="116">
        <v>253.69663470269899</v>
      </c>
      <c r="P1111" s="116">
        <v>256.80796193382002</v>
      </c>
      <c r="Q1111" s="116">
        <v>259.14999999999998</v>
      </c>
      <c r="R1111">
        <v>1699986</v>
      </c>
    </row>
    <row r="1112" spans="1:18" x14ac:dyDescent="0.25">
      <c r="A1112" s="170">
        <v>43642</v>
      </c>
      <c r="B1112" s="116">
        <v>271.57414157098299</v>
      </c>
      <c r="C1112" s="116">
        <v>268.90729239025302</v>
      </c>
      <c r="D1112" s="116">
        <v>255.07918552721</v>
      </c>
      <c r="E1112" s="116">
        <v>255.07918552721</v>
      </c>
      <c r="F1112" s="116">
        <v>272.25</v>
      </c>
      <c r="G1112">
        <v>531274</v>
      </c>
      <c r="H1112" s="116"/>
      <c r="I1112" s="116"/>
      <c r="L1112" s="170">
        <v>43642</v>
      </c>
      <c r="M1112" s="116">
        <v>269.30265700483102</v>
      </c>
      <c r="N1112" s="116">
        <v>271.62380589153997</v>
      </c>
      <c r="O1112" s="116">
        <v>255.12883295194499</v>
      </c>
      <c r="P1112" s="116">
        <v>256.80796193382002</v>
      </c>
      <c r="Q1112" s="116">
        <v>272.64999999999998</v>
      </c>
      <c r="R1112">
        <v>8391203</v>
      </c>
    </row>
    <row r="1113" spans="1:18" x14ac:dyDescent="0.25">
      <c r="A1113" s="170">
        <v>43643</v>
      </c>
      <c r="B1113" s="116">
        <v>274.09283246389401</v>
      </c>
      <c r="C1113" s="116">
        <v>270.58641965219402</v>
      </c>
      <c r="D1113" s="116">
        <v>266.14167101764502</v>
      </c>
      <c r="E1113" s="116">
        <v>269.697469925284</v>
      </c>
      <c r="F1113" s="116">
        <v>273.95</v>
      </c>
      <c r="G1113">
        <v>306478</v>
      </c>
      <c r="H1113" s="116"/>
      <c r="I1113" s="116"/>
      <c r="L1113" s="170">
        <v>43643</v>
      </c>
      <c r="M1113" s="116">
        <v>270.43853837492298</v>
      </c>
      <c r="N1113" s="116">
        <v>273.994340924776</v>
      </c>
      <c r="O1113" s="116">
        <v>265.99378518760699</v>
      </c>
      <c r="P1113" s="116">
        <v>270.63608296102598</v>
      </c>
      <c r="Q1113" s="116">
        <v>273.8</v>
      </c>
      <c r="R1113">
        <v>3685617</v>
      </c>
    </row>
    <row r="1114" spans="1:18" x14ac:dyDescent="0.25">
      <c r="A1114" s="170">
        <v>43644</v>
      </c>
      <c r="B1114" s="116">
        <v>272.61124958571099</v>
      </c>
      <c r="C1114" s="116">
        <v>266.38860149734199</v>
      </c>
      <c r="D1114" s="116">
        <v>264.31438546788502</v>
      </c>
      <c r="E1114" s="116">
        <v>272.61124958571099</v>
      </c>
      <c r="F1114" s="116">
        <v>269.7</v>
      </c>
      <c r="G1114">
        <v>111785</v>
      </c>
      <c r="H1114" s="116"/>
      <c r="I1114" s="116"/>
      <c r="L1114" s="170">
        <v>43644</v>
      </c>
      <c r="M1114" s="116">
        <v>266.38887435981297</v>
      </c>
      <c r="N1114" s="116">
        <v>270.43853837492298</v>
      </c>
      <c r="O1114" s="116">
        <v>264.21588391268</v>
      </c>
      <c r="P1114" s="116">
        <v>270.43853837492298</v>
      </c>
      <c r="Q1114" s="116">
        <v>269.7</v>
      </c>
      <c r="R1114">
        <v>2322676</v>
      </c>
    </row>
    <row r="1115" spans="1:18" x14ac:dyDescent="0.25">
      <c r="A1115" s="170">
        <v>43647</v>
      </c>
      <c r="B1115" s="116">
        <v>270.58641965219402</v>
      </c>
      <c r="C1115" s="116">
        <v>268.01834266334299</v>
      </c>
      <c r="D1115" s="116">
        <v>265.40087957855297</v>
      </c>
      <c r="E1115" s="116">
        <v>270.58641965219402</v>
      </c>
      <c r="F1115" s="116">
        <v>271.35000000000002</v>
      </c>
      <c r="G1115">
        <v>90572</v>
      </c>
      <c r="H1115" s="116"/>
      <c r="I1115" s="116"/>
      <c r="L1115" s="170">
        <v>43647</v>
      </c>
      <c r="M1115" s="116">
        <v>268.21616178126499</v>
      </c>
      <c r="N1115" s="116">
        <v>269.35204315135701</v>
      </c>
      <c r="O1115" s="116">
        <v>265.20360684319502</v>
      </c>
      <c r="P1115" s="116">
        <v>266.78396353201902</v>
      </c>
      <c r="Q1115" s="116">
        <v>271.55</v>
      </c>
      <c r="R1115">
        <v>1425361</v>
      </c>
    </row>
    <row r="1116" spans="1:18" x14ac:dyDescent="0.25">
      <c r="A1116" s="170">
        <v>43648</v>
      </c>
      <c r="B1116" s="116">
        <v>271.62352766692197</v>
      </c>
      <c r="C1116" s="116">
        <v>268.46281752679801</v>
      </c>
      <c r="D1116" s="116">
        <v>266.38860149734199</v>
      </c>
      <c r="E1116" s="116">
        <v>271.62352766692197</v>
      </c>
      <c r="F1116" s="116">
        <v>271.8</v>
      </c>
      <c r="G1116">
        <v>89531</v>
      </c>
      <c r="H1116" s="116"/>
      <c r="I1116" s="116"/>
      <c r="L1116" s="170">
        <v>43648</v>
      </c>
      <c r="M1116" s="116">
        <v>268.463092513893</v>
      </c>
      <c r="N1116" s="116">
        <v>271.62380589153997</v>
      </c>
      <c r="O1116" s="116">
        <v>266.19132977370998</v>
      </c>
      <c r="P1116" s="116">
        <v>269.94467690966502</v>
      </c>
      <c r="Q1116" s="116">
        <v>271.8</v>
      </c>
      <c r="R1116">
        <v>1702477</v>
      </c>
    </row>
    <row r="1117" spans="1:18" x14ac:dyDescent="0.25">
      <c r="A1117" s="170">
        <v>43649</v>
      </c>
      <c r="B1117" s="116">
        <v>271.52475547504298</v>
      </c>
      <c r="C1117" s="116">
        <v>268.26527314304002</v>
      </c>
      <c r="D1117" s="116">
        <v>266.33921540140199</v>
      </c>
      <c r="E1117" s="116">
        <v>271.52475547504298</v>
      </c>
      <c r="F1117" s="116">
        <v>271.60000000000002</v>
      </c>
      <c r="G1117">
        <v>75955</v>
      </c>
      <c r="H1117" s="116"/>
      <c r="I1117" s="116"/>
      <c r="L1117" s="170">
        <v>43649</v>
      </c>
      <c r="M1117" s="116">
        <v>268.314934074316</v>
      </c>
      <c r="N1117" s="116">
        <v>270.537310667974</v>
      </c>
      <c r="O1117" s="116">
        <v>266.63580509244099</v>
      </c>
      <c r="P1117" s="116">
        <v>267.672914169482</v>
      </c>
      <c r="Q1117" s="116">
        <v>271.64999999999998</v>
      </c>
      <c r="R1117">
        <v>1027844</v>
      </c>
    </row>
    <row r="1118" spans="1:18" x14ac:dyDescent="0.25">
      <c r="A1118" s="170">
        <v>43650</v>
      </c>
      <c r="B1118" s="116">
        <v>269.54931163746602</v>
      </c>
      <c r="C1118" s="116">
        <v>266.38860149734199</v>
      </c>
      <c r="D1118" s="116">
        <v>265.35149348261302</v>
      </c>
      <c r="E1118" s="116">
        <v>269.20360896589</v>
      </c>
      <c r="F1118" s="116">
        <v>269.7</v>
      </c>
      <c r="G1118">
        <v>87197</v>
      </c>
      <c r="H1118" s="116"/>
      <c r="I1118" s="116"/>
      <c r="L1118" s="170">
        <v>43650</v>
      </c>
      <c r="M1118" s="116">
        <v>266.33948821328698</v>
      </c>
      <c r="N1118" s="116">
        <v>269.64836003051101</v>
      </c>
      <c r="O1118" s="116">
        <v>265.30237913624597</v>
      </c>
      <c r="P1118" s="116">
        <v>268.85818168609899</v>
      </c>
      <c r="Q1118" s="116">
        <v>269.64999999999998</v>
      </c>
      <c r="R1118">
        <v>2067702</v>
      </c>
    </row>
    <row r="1119" spans="1:18" x14ac:dyDescent="0.25">
      <c r="A1119" s="170">
        <v>43651</v>
      </c>
      <c r="B1119" s="116">
        <v>268.85790629431398</v>
      </c>
      <c r="C1119" s="116">
        <v>263.37604964503601</v>
      </c>
      <c r="D1119" s="116">
        <v>260.26472560085102</v>
      </c>
      <c r="E1119" s="116">
        <v>266.38860149734199</v>
      </c>
      <c r="F1119" s="116">
        <v>266.64999999999998</v>
      </c>
      <c r="G1119">
        <v>153832</v>
      </c>
      <c r="H1119" s="116"/>
      <c r="I1119" s="116"/>
      <c r="L1119" s="170">
        <v>43651</v>
      </c>
      <c r="M1119" s="116">
        <v>263.32693327521702</v>
      </c>
      <c r="N1119" s="116">
        <v>268.85818168609899</v>
      </c>
      <c r="O1119" s="116">
        <v>260.01806145799299</v>
      </c>
      <c r="P1119" s="116">
        <v>266.68519123896698</v>
      </c>
      <c r="Q1119" s="116">
        <v>266.60000000000002</v>
      </c>
      <c r="R1119">
        <v>1804483</v>
      </c>
    </row>
    <row r="1120" spans="1:18" x14ac:dyDescent="0.25">
      <c r="A1120" s="170">
        <v>43654</v>
      </c>
      <c r="B1120" s="116">
        <v>263.42543574097499</v>
      </c>
      <c r="C1120" s="116">
        <v>260.21533950491198</v>
      </c>
      <c r="D1120" s="116">
        <v>257.499104228242</v>
      </c>
      <c r="E1120" s="116">
        <v>261.74630847903398</v>
      </c>
      <c r="F1120" s="116">
        <v>263.45</v>
      </c>
      <c r="G1120">
        <v>105806</v>
      </c>
      <c r="H1120" s="116"/>
      <c r="I1120" s="116"/>
      <c r="L1120" s="170">
        <v>43654</v>
      </c>
      <c r="M1120" s="116">
        <v>260.31437833714699</v>
      </c>
      <c r="N1120" s="116">
        <v>263.67263630089701</v>
      </c>
      <c r="O1120" s="116">
        <v>257.35120954560301</v>
      </c>
      <c r="P1120" s="116">
        <v>261.74657658639399</v>
      </c>
      <c r="Q1120" s="116">
        <v>263.55</v>
      </c>
      <c r="R1120">
        <v>1429701</v>
      </c>
    </row>
    <row r="1121" spans="1:18" x14ac:dyDescent="0.25">
      <c r="A1121" s="170">
        <v>43655</v>
      </c>
      <c r="B1121" s="116">
        <v>263.62298012473298</v>
      </c>
      <c r="C1121" s="116">
        <v>260.26472560085102</v>
      </c>
      <c r="D1121" s="116">
        <v>258.239895667334</v>
      </c>
      <c r="E1121" s="116">
        <v>263.62298012473298</v>
      </c>
      <c r="F1121" s="116">
        <v>263.5</v>
      </c>
      <c r="G1121">
        <v>84882</v>
      </c>
      <c r="H1121" s="116"/>
      <c r="I1121" s="116"/>
      <c r="L1121" s="170">
        <v>43655</v>
      </c>
      <c r="M1121" s="116">
        <v>260.31437833714699</v>
      </c>
      <c r="N1121" s="116">
        <v>262.98123024953702</v>
      </c>
      <c r="O1121" s="116">
        <v>258.240160183066</v>
      </c>
      <c r="P1121" s="116">
        <v>259.86990301841598</v>
      </c>
      <c r="Q1121" s="116">
        <v>263.55</v>
      </c>
      <c r="R1121">
        <v>1723027</v>
      </c>
    </row>
    <row r="1122" spans="1:18" x14ac:dyDescent="0.25">
      <c r="A1122" s="170">
        <v>43656</v>
      </c>
      <c r="B1122" s="116">
        <v>261.40060580745802</v>
      </c>
      <c r="C1122" s="116">
        <v>248.51083476726399</v>
      </c>
      <c r="D1122" s="116">
        <v>247.47372675253601</v>
      </c>
      <c r="E1122" s="116">
        <v>260.412883888669</v>
      </c>
      <c r="F1122" s="116">
        <v>251.6</v>
      </c>
      <c r="G1122">
        <v>132023</v>
      </c>
      <c r="H1122" s="116"/>
      <c r="I1122" s="116"/>
      <c r="L1122" s="170">
        <v>43656</v>
      </c>
      <c r="M1122" s="116">
        <v>248.56047546402201</v>
      </c>
      <c r="N1122" s="116">
        <v>261.45025970723901</v>
      </c>
      <c r="O1122" s="116">
        <v>247.22704950782801</v>
      </c>
      <c r="P1122" s="116">
        <v>260.06744760451897</v>
      </c>
      <c r="Q1122" s="116">
        <v>251.65</v>
      </c>
      <c r="R1122">
        <v>2861877</v>
      </c>
    </row>
    <row r="1123" spans="1:18" x14ac:dyDescent="0.25">
      <c r="A1123" s="170">
        <v>43657</v>
      </c>
      <c r="B1123" s="116">
        <v>256.11629354193798</v>
      </c>
      <c r="C1123" s="116">
        <v>252.906197305874</v>
      </c>
      <c r="D1123" s="116">
        <v>248.51083476726399</v>
      </c>
      <c r="E1123" s="116">
        <v>248.51083476726399</v>
      </c>
      <c r="F1123" s="116">
        <v>256.05</v>
      </c>
      <c r="G1123">
        <v>153386</v>
      </c>
      <c r="H1123" s="116"/>
      <c r="I1123" s="116"/>
      <c r="L1123" s="170">
        <v>43657</v>
      </c>
      <c r="M1123" s="116">
        <v>252.807684065236</v>
      </c>
      <c r="N1123" s="116">
        <v>256.36348661508799</v>
      </c>
      <c r="O1123" s="116">
        <v>249.05433692928</v>
      </c>
      <c r="P1123" s="116">
        <v>249.89390142021699</v>
      </c>
      <c r="Q1123" s="116">
        <v>255.95</v>
      </c>
      <c r="R1123">
        <v>2071153</v>
      </c>
    </row>
    <row r="1124" spans="1:18" x14ac:dyDescent="0.25">
      <c r="A1124" s="170">
        <v>43658</v>
      </c>
      <c r="B1124" s="116">
        <v>257.00524326884801</v>
      </c>
      <c r="C1124" s="116">
        <v>254.78286895157299</v>
      </c>
      <c r="D1124" s="116">
        <v>250.04180374138701</v>
      </c>
      <c r="E1124" s="116">
        <v>251.869089291146</v>
      </c>
      <c r="F1124" s="116">
        <v>257.95</v>
      </c>
      <c r="G1124">
        <v>88423</v>
      </c>
      <c r="H1124" s="116"/>
      <c r="I1124" s="116"/>
      <c r="L1124" s="170">
        <v>43658</v>
      </c>
      <c r="M1124" s="116">
        <v>254.78312992626499</v>
      </c>
      <c r="N1124" s="116">
        <v>257.00550651992302</v>
      </c>
      <c r="O1124" s="116">
        <v>250.04205985979399</v>
      </c>
      <c r="P1124" s="116">
        <v>251.869347281247</v>
      </c>
      <c r="Q1124" s="116">
        <v>257.95</v>
      </c>
      <c r="R1124">
        <v>1087977</v>
      </c>
    </row>
    <row r="1125" spans="1:18" x14ac:dyDescent="0.25">
      <c r="A1125" s="170">
        <v>43661</v>
      </c>
      <c r="B1125" s="116">
        <v>255.573046486604</v>
      </c>
      <c r="C1125" s="116">
        <v>251.17768394799401</v>
      </c>
      <c r="D1125" s="116">
        <v>250.43689250890199</v>
      </c>
      <c r="E1125" s="116">
        <v>254.53593847187599</v>
      </c>
      <c r="F1125" s="116">
        <v>254.3</v>
      </c>
      <c r="G1125">
        <v>42529</v>
      </c>
      <c r="H1125" s="116"/>
      <c r="I1125" s="116"/>
      <c r="L1125" s="170">
        <v>43661</v>
      </c>
      <c r="M1125" s="116">
        <v>251.17794122988599</v>
      </c>
      <c r="N1125" s="116">
        <v>256.80796193382002</v>
      </c>
      <c r="O1125" s="116">
        <v>250.38776288547501</v>
      </c>
      <c r="P1125" s="116">
        <v>256.80796193382002</v>
      </c>
      <c r="Q1125" s="116">
        <v>254.3</v>
      </c>
      <c r="R1125">
        <v>1832470</v>
      </c>
    </row>
    <row r="1126" spans="1:18" x14ac:dyDescent="0.25">
      <c r="A1126" s="170">
        <v>43662</v>
      </c>
      <c r="B1126" s="116">
        <v>257.74603470794</v>
      </c>
      <c r="C1126" s="116">
        <v>256.461996213514</v>
      </c>
      <c r="D1126" s="116">
        <v>251.02952566017601</v>
      </c>
      <c r="E1126" s="116">
        <v>251.72093100332799</v>
      </c>
      <c r="F1126" s="116">
        <v>259.64999999999998</v>
      </c>
      <c r="G1126">
        <v>74541</v>
      </c>
      <c r="H1126" s="116"/>
      <c r="I1126" s="116"/>
      <c r="L1126" s="170">
        <v>43662</v>
      </c>
      <c r="M1126" s="116">
        <v>256.36348661508799</v>
      </c>
      <c r="N1126" s="116">
        <v>257.79568486433499</v>
      </c>
      <c r="O1126" s="116">
        <v>250.88162435073201</v>
      </c>
      <c r="P1126" s="116">
        <v>251.17794122988599</v>
      </c>
      <c r="Q1126" s="116">
        <v>259.55</v>
      </c>
      <c r="R1126">
        <v>1245709</v>
      </c>
    </row>
    <row r="1127" spans="1:18" x14ac:dyDescent="0.25">
      <c r="A1127" s="170">
        <v>43663</v>
      </c>
      <c r="B1127" s="116">
        <v>260.11656731303299</v>
      </c>
      <c r="C1127" s="116">
        <v>253.84453312872401</v>
      </c>
      <c r="D1127" s="116">
        <v>252.807425113996</v>
      </c>
      <c r="E1127" s="116">
        <v>256.41261011757501</v>
      </c>
      <c r="F1127" s="116">
        <v>257</v>
      </c>
      <c r="G1127">
        <v>109542</v>
      </c>
      <c r="H1127" s="116"/>
      <c r="I1127" s="116"/>
      <c r="L1127" s="170">
        <v>43663</v>
      </c>
      <c r="M1127" s="116">
        <v>253.84479314227599</v>
      </c>
      <c r="N1127" s="116">
        <v>260.264992190621</v>
      </c>
      <c r="O1127" s="116">
        <v>252.807684065236</v>
      </c>
      <c r="P1127" s="116">
        <v>255.47453597762501</v>
      </c>
      <c r="Q1127" s="116">
        <v>257</v>
      </c>
      <c r="R1127">
        <v>2631378</v>
      </c>
    </row>
    <row r="1128" spans="1:18" x14ac:dyDescent="0.25">
      <c r="A1128" s="170">
        <v>43664</v>
      </c>
      <c r="B1128" s="116">
        <v>255.819976966301</v>
      </c>
      <c r="C1128" s="116">
        <v>251.81970319520701</v>
      </c>
      <c r="D1128" s="116">
        <v>251.17768394799401</v>
      </c>
      <c r="E1128" s="116">
        <v>255.819976966301</v>
      </c>
      <c r="F1128" s="116">
        <v>254.95</v>
      </c>
      <c r="G1128">
        <v>54538</v>
      </c>
      <c r="H1128" s="116"/>
      <c r="I1128" s="116"/>
      <c r="L1128" s="170">
        <v>43664</v>
      </c>
      <c r="M1128" s="116">
        <v>251.96811957429799</v>
      </c>
      <c r="N1128" s="116">
        <v>255.57330827067699</v>
      </c>
      <c r="O1128" s="116">
        <v>251.12855508336099</v>
      </c>
      <c r="P1128" s="116">
        <v>253.54847626312201</v>
      </c>
      <c r="Q1128" s="116">
        <v>255.1</v>
      </c>
      <c r="R1128">
        <v>1082809</v>
      </c>
    </row>
    <row r="1129" spans="1:18" x14ac:dyDescent="0.25">
      <c r="A1129" s="170">
        <v>43665</v>
      </c>
      <c r="B1129" s="116">
        <v>253.795147032784</v>
      </c>
      <c r="C1129" s="116">
        <v>245.69582729871601</v>
      </c>
      <c r="D1129" s="116">
        <v>242.584503254531</v>
      </c>
      <c r="E1129" s="116">
        <v>253.795147032784</v>
      </c>
      <c r="F1129" s="116">
        <v>248.75</v>
      </c>
      <c r="G1129">
        <v>208100</v>
      </c>
      <c r="H1129" s="116"/>
      <c r="I1129" s="116"/>
      <c r="L1129" s="170">
        <v>43665</v>
      </c>
      <c r="M1129" s="116">
        <v>245.79485125858099</v>
      </c>
      <c r="N1129" s="116">
        <v>253.20277323744099</v>
      </c>
      <c r="O1129" s="116">
        <v>242.584751734408</v>
      </c>
      <c r="P1129" s="116">
        <v>252.857070211761</v>
      </c>
      <c r="Q1129" s="116">
        <v>248.85</v>
      </c>
      <c r="R1129">
        <v>2750857</v>
      </c>
    </row>
    <row r="1130" spans="1:18" x14ac:dyDescent="0.25">
      <c r="A1130" s="170">
        <v>43668</v>
      </c>
      <c r="B1130" s="116">
        <v>252.21479196272199</v>
      </c>
      <c r="C1130" s="116">
        <v>248.955309630719</v>
      </c>
      <c r="D1130" s="116">
        <v>244.362402708351</v>
      </c>
      <c r="E1130" s="116">
        <v>244.95503585962501</v>
      </c>
      <c r="F1130" s="116">
        <v>252.05</v>
      </c>
      <c r="G1130">
        <v>119434</v>
      </c>
      <c r="H1130" s="116"/>
      <c r="I1130" s="116"/>
      <c r="L1130" s="170">
        <v>43668</v>
      </c>
      <c r="M1130" s="116">
        <v>248.51108931749701</v>
      </c>
      <c r="N1130" s="116">
        <v>252.363208746504</v>
      </c>
      <c r="O1130" s="116">
        <v>244.06633613018101</v>
      </c>
      <c r="P1130" s="116">
        <v>245.94300969815799</v>
      </c>
      <c r="Q1130" s="116">
        <v>251.6</v>
      </c>
      <c r="R1130">
        <v>1740529</v>
      </c>
    </row>
    <row r="1131" spans="1:18" x14ac:dyDescent="0.25">
      <c r="A1131" s="170">
        <v>43669</v>
      </c>
      <c r="B1131" s="116">
        <v>250.091189837326</v>
      </c>
      <c r="C1131" s="116">
        <v>247.325568464718</v>
      </c>
      <c r="D1131" s="116">
        <v>246.09091606623201</v>
      </c>
      <c r="E1131" s="116">
        <v>250.091189837326</v>
      </c>
      <c r="F1131" s="116">
        <v>250.4</v>
      </c>
      <c r="G1131">
        <v>45247</v>
      </c>
      <c r="H1131" s="116"/>
      <c r="I1131" s="116"/>
      <c r="L1131" s="170">
        <v>43669</v>
      </c>
      <c r="M1131" s="116">
        <v>247.325821800879</v>
      </c>
      <c r="N1131" s="116">
        <v>250.140832152846</v>
      </c>
      <c r="O1131" s="116">
        <v>245.94300969815799</v>
      </c>
      <c r="P1131" s="116">
        <v>246.93073262867301</v>
      </c>
      <c r="Q1131" s="116">
        <v>250.4</v>
      </c>
      <c r="R1131">
        <v>1441755</v>
      </c>
    </row>
    <row r="1132" spans="1:18" x14ac:dyDescent="0.25">
      <c r="A1132" s="170">
        <v>43670</v>
      </c>
      <c r="B1132" s="116">
        <v>248.80715134290099</v>
      </c>
      <c r="C1132" s="116">
        <v>246.63416312156599</v>
      </c>
      <c r="D1132" s="116">
        <v>244.95503585962501</v>
      </c>
      <c r="E1132" s="116">
        <v>246.63416312156599</v>
      </c>
      <c r="F1132" s="116">
        <v>249.7</v>
      </c>
      <c r="G1132">
        <v>65612</v>
      </c>
      <c r="H1132" s="116"/>
      <c r="I1132" s="116"/>
      <c r="L1132" s="170">
        <v>43670</v>
      </c>
      <c r="M1132" s="116">
        <v>246.831960335622</v>
      </c>
      <c r="N1132" s="116">
        <v>249.00495078275401</v>
      </c>
      <c r="O1132" s="116">
        <v>244.955286767644</v>
      </c>
      <c r="P1132" s="116">
        <v>246.93073262867301</v>
      </c>
      <c r="Q1132" s="116">
        <v>249.9</v>
      </c>
      <c r="R1132">
        <v>1761267</v>
      </c>
    </row>
    <row r="1133" spans="1:18" x14ac:dyDescent="0.25">
      <c r="A1133" s="170">
        <v>43671</v>
      </c>
      <c r="B1133" s="116">
        <v>251.42461442769101</v>
      </c>
      <c r="C1133" s="116">
        <v>248.01697380786999</v>
      </c>
      <c r="D1133" s="116">
        <v>246.73293531344399</v>
      </c>
      <c r="E1133" s="116">
        <v>246.73293531344399</v>
      </c>
      <c r="F1133" s="116">
        <v>251.1</v>
      </c>
      <c r="G1133">
        <v>53872</v>
      </c>
      <c r="H1133" s="116"/>
      <c r="I1133" s="116"/>
      <c r="L1133" s="170">
        <v>43671</v>
      </c>
      <c r="M1133" s="116">
        <v>248.51108931749701</v>
      </c>
      <c r="N1133" s="116">
        <v>251.47425810904099</v>
      </c>
      <c r="O1133" s="116">
        <v>246.23932657731299</v>
      </c>
      <c r="P1133" s="116">
        <v>246.73318804256999</v>
      </c>
      <c r="Q1133" s="116">
        <v>251.6</v>
      </c>
      <c r="R1133">
        <v>1509879</v>
      </c>
    </row>
    <row r="1134" spans="1:18" x14ac:dyDescent="0.25">
      <c r="A1134" s="170">
        <v>43672</v>
      </c>
      <c r="B1134" s="116">
        <v>257.30155984448498</v>
      </c>
      <c r="C1134" s="116">
        <v>254.88164114345199</v>
      </c>
      <c r="D1134" s="116">
        <v>247.325568464718</v>
      </c>
      <c r="E1134" s="116">
        <v>247.91820161599099</v>
      </c>
      <c r="F1134" s="116">
        <v>258.05</v>
      </c>
      <c r="G1134">
        <v>120736</v>
      </c>
      <c r="H1134" s="116"/>
      <c r="I1134" s="116"/>
      <c r="L1134" s="170">
        <v>43672</v>
      </c>
      <c r="M1134" s="116">
        <v>255.178219098471</v>
      </c>
      <c r="N1134" s="116">
        <v>257.30182339907702</v>
      </c>
      <c r="O1134" s="116">
        <v>247.325821800879</v>
      </c>
      <c r="P1134" s="116">
        <v>248.85679234317701</v>
      </c>
      <c r="Q1134" s="116">
        <v>258.35000000000002</v>
      </c>
      <c r="R1134">
        <v>2006636</v>
      </c>
    </row>
    <row r="1135" spans="1:18" x14ac:dyDescent="0.25">
      <c r="A1135" s="170">
        <v>43675</v>
      </c>
      <c r="B1135" s="116">
        <v>256.75831278915098</v>
      </c>
      <c r="C1135" s="116">
        <v>252.906197305874</v>
      </c>
      <c r="D1135" s="116">
        <v>249.49855668605301</v>
      </c>
      <c r="E1135" s="116">
        <v>256.75831278915098</v>
      </c>
      <c r="F1135" s="116">
        <v>256.05</v>
      </c>
      <c r="G1135">
        <v>64072</v>
      </c>
      <c r="H1135" s="116"/>
      <c r="I1135" s="116"/>
      <c r="L1135" s="170">
        <v>43675</v>
      </c>
      <c r="M1135" s="116">
        <v>252.857070211761</v>
      </c>
      <c r="N1135" s="116">
        <v>256.75857578729398</v>
      </c>
      <c r="O1135" s="116">
        <v>249.49881224801101</v>
      </c>
      <c r="P1135" s="116">
        <v>255.32637753804801</v>
      </c>
      <c r="Q1135" s="116">
        <v>256</v>
      </c>
      <c r="R1135">
        <v>1208093</v>
      </c>
    </row>
    <row r="1136" spans="1:18" x14ac:dyDescent="0.25">
      <c r="A1136" s="170">
        <v>43676</v>
      </c>
      <c r="B1136" s="116">
        <v>255.819976966301</v>
      </c>
      <c r="C1136" s="116">
        <v>246.436618737808</v>
      </c>
      <c r="D1136" s="116">
        <v>244.80687757180601</v>
      </c>
      <c r="E1136" s="116">
        <v>253.10374168963199</v>
      </c>
      <c r="F1136" s="116">
        <v>249.5</v>
      </c>
      <c r="G1136">
        <v>105592</v>
      </c>
      <c r="H1136" s="116"/>
      <c r="I1136" s="116"/>
      <c r="L1136" s="170">
        <v>43676</v>
      </c>
      <c r="M1136" s="116">
        <v>246.63441574951901</v>
      </c>
      <c r="N1136" s="116">
        <v>256.017783589408</v>
      </c>
      <c r="O1136" s="116">
        <v>244.658969888489</v>
      </c>
      <c r="P1136" s="116">
        <v>253.84479314227599</v>
      </c>
      <c r="Q1136" s="116">
        <v>249.7</v>
      </c>
      <c r="R1136">
        <v>1577476</v>
      </c>
    </row>
    <row r="1137" spans="1:18" x14ac:dyDescent="0.25">
      <c r="A1137" s="170">
        <v>43677</v>
      </c>
      <c r="B1137" s="116">
        <v>250.980139564236</v>
      </c>
      <c r="C1137" s="116">
        <v>249.15285401447699</v>
      </c>
      <c r="D1137" s="116">
        <v>242.68327544640999</v>
      </c>
      <c r="E1137" s="116">
        <v>243.42406688550199</v>
      </c>
      <c r="F1137" s="116">
        <v>252.25</v>
      </c>
      <c r="G1137">
        <v>136972</v>
      </c>
      <c r="H1137" s="116"/>
      <c r="I1137" s="116"/>
      <c r="L1137" s="170">
        <v>43677</v>
      </c>
      <c r="M1137" s="116">
        <v>248.51108931749701</v>
      </c>
      <c r="N1137" s="116">
        <v>251.32609966946401</v>
      </c>
      <c r="O1137" s="116">
        <v>242.68352402746001</v>
      </c>
      <c r="P1137" s="116">
        <v>243.96756383712901</v>
      </c>
      <c r="Q1137" s="116">
        <v>251.6</v>
      </c>
      <c r="R1137">
        <v>1479989</v>
      </c>
    </row>
    <row r="1138" spans="1:18" x14ac:dyDescent="0.25">
      <c r="A1138" s="170">
        <v>43678</v>
      </c>
      <c r="B1138" s="116">
        <v>259.12884539424402</v>
      </c>
      <c r="C1138" s="116">
        <v>255.86936306224101</v>
      </c>
      <c r="D1138" s="116">
        <v>247.12802408095999</v>
      </c>
      <c r="E1138" s="116">
        <v>248.16513209568799</v>
      </c>
      <c r="F1138" s="116">
        <v>259.05</v>
      </c>
      <c r="G1138">
        <v>340463</v>
      </c>
      <c r="H1138" s="116"/>
      <c r="I1138" s="116"/>
      <c r="L1138" s="170">
        <v>43678</v>
      </c>
      <c r="M1138" s="116">
        <v>255.57330827067699</v>
      </c>
      <c r="N1138" s="116">
        <v>259.277269260107</v>
      </c>
      <c r="O1138" s="116">
        <v>247.42459409393001</v>
      </c>
      <c r="P1138" s="116">
        <v>248.906178489703</v>
      </c>
      <c r="Q1138" s="116">
        <v>258.75</v>
      </c>
      <c r="R1138">
        <v>5362278</v>
      </c>
    </row>
    <row r="1139" spans="1:18" x14ac:dyDescent="0.25">
      <c r="A1139" s="170">
        <v>43679</v>
      </c>
      <c r="B1139" s="116">
        <v>266.09228492170502</v>
      </c>
      <c r="C1139" s="116">
        <v>262.190783342489</v>
      </c>
      <c r="D1139" s="116">
        <v>251.42461442769101</v>
      </c>
      <c r="E1139" s="116">
        <v>257.79542080387898</v>
      </c>
      <c r="F1139" s="116">
        <v>265.45</v>
      </c>
      <c r="G1139">
        <v>293613</v>
      </c>
      <c r="H1139" s="116"/>
      <c r="I1139" s="116"/>
      <c r="L1139" s="170">
        <v>43679</v>
      </c>
      <c r="M1139" s="116">
        <v>262.339210344702</v>
      </c>
      <c r="N1139" s="116">
        <v>266.438260506338</v>
      </c>
      <c r="O1139" s="116">
        <v>251.276713522938</v>
      </c>
      <c r="P1139" s="116">
        <v>255.523922124151</v>
      </c>
      <c r="Q1139" s="116">
        <v>265.60000000000002</v>
      </c>
      <c r="R1139">
        <v>3587924</v>
      </c>
    </row>
    <row r="1140" spans="1:18" x14ac:dyDescent="0.25">
      <c r="A1140" s="170">
        <v>43682</v>
      </c>
      <c r="B1140" s="116">
        <v>264.70947423540099</v>
      </c>
      <c r="C1140" s="116">
        <v>257.64726251606101</v>
      </c>
      <c r="D1140" s="116">
        <v>256.75831278915098</v>
      </c>
      <c r="E1140" s="116">
        <v>264.70947423540099</v>
      </c>
      <c r="F1140" s="116">
        <v>260.85000000000002</v>
      </c>
      <c r="G1140">
        <v>118547</v>
      </c>
      <c r="H1140" s="116"/>
      <c r="I1140" s="116"/>
      <c r="L1140" s="170">
        <v>43682</v>
      </c>
      <c r="M1140" s="116">
        <v>257.69691257128301</v>
      </c>
      <c r="N1140" s="116">
        <v>263.12938868911402</v>
      </c>
      <c r="O1140" s="116">
        <v>256.51164505466602</v>
      </c>
      <c r="P1140" s="116">
        <v>261.10455668155902</v>
      </c>
      <c r="Q1140" s="116">
        <v>260.89999999999998</v>
      </c>
      <c r="R1140">
        <v>2298112</v>
      </c>
    </row>
    <row r="1141" spans="1:18" x14ac:dyDescent="0.25">
      <c r="A1141" s="170">
        <v>43683</v>
      </c>
      <c r="B1141" s="116">
        <v>269.845628213103</v>
      </c>
      <c r="C1141" s="116">
        <v>267.27755122425202</v>
      </c>
      <c r="D1141" s="116">
        <v>258.881914914547</v>
      </c>
      <c r="E1141" s="116">
        <v>262.73403039782301</v>
      </c>
      <c r="F1141" s="116">
        <v>270.60000000000002</v>
      </c>
      <c r="G1141">
        <v>171461</v>
      </c>
      <c r="H1141" s="116"/>
      <c r="I1141" s="116"/>
      <c r="L1141" s="170">
        <v>43683</v>
      </c>
      <c r="M1141" s="116">
        <v>267.22843885075002</v>
      </c>
      <c r="N1141" s="116">
        <v>269.84590461661401</v>
      </c>
      <c r="O1141" s="116">
        <v>258.73402164832402</v>
      </c>
      <c r="P1141" s="116">
        <v>258.78340779484898</v>
      </c>
      <c r="Q1141" s="116">
        <v>270.55</v>
      </c>
      <c r="R1141">
        <v>2899938</v>
      </c>
    </row>
    <row r="1142" spans="1:18" x14ac:dyDescent="0.25">
      <c r="A1142" s="170">
        <v>43684</v>
      </c>
      <c r="B1142" s="116">
        <v>270.73457794001303</v>
      </c>
      <c r="C1142" s="116">
        <v>265.99351272982602</v>
      </c>
      <c r="D1142" s="116">
        <v>265.05517690697701</v>
      </c>
      <c r="E1142" s="116">
        <v>267.27755122425202</v>
      </c>
      <c r="F1142" s="116">
        <v>269.3</v>
      </c>
      <c r="G1142">
        <v>110048</v>
      </c>
      <c r="H1142" s="116"/>
      <c r="I1142" s="116"/>
      <c r="L1142" s="170">
        <v>43684</v>
      </c>
      <c r="M1142" s="116">
        <v>266.092557480658</v>
      </c>
      <c r="N1142" s="116">
        <v>270.98178598670597</v>
      </c>
      <c r="O1142" s="116">
        <v>265.05544840361802</v>
      </c>
      <c r="P1142" s="116">
        <v>267.91984490211001</v>
      </c>
      <c r="Q1142" s="116">
        <v>269.39999999999998</v>
      </c>
      <c r="R1142">
        <v>1761095</v>
      </c>
    </row>
    <row r="1143" spans="1:18" x14ac:dyDescent="0.25">
      <c r="A1143" s="170">
        <v>43685</v>
      </c>
      <c r="B1143" s="116">
        <v>269.05545067807202</v>
      </c>
      <c r="C1143" s="116">
        <v>267.52448170394899</v>
      </c>
      <c r="D1143" s="116">
        <v>263.62298012473298</v>
      </c>
      <c r="E1143" s="116">
        <v>266.83307636079701</v>
      </c>
      <c r="F1143" s="116">
        <v>270.85000000000002</v>
      </c>
      <c r="G1143">
        <v>190644</v>
      </c>
      <c r="H1143" s="116"/>
      <c r="I1143" s="116"/>
      <c r="L1143" s="170">
        <v>43685</v>
      </c>
      <c r="M1143" s="116">
        <v>267.57414187643002</v>
      </c>
      <c r="N1143" s="116">
        <v>269.35204315135701</v>
      </c>
      <c r="O1143" s="116">
        <v>263.573864007846</v>
      </c>
      <c r="P1143" s="116">
        <v>268.166775634739</v>
      </c>
      <c r="Q1143" s="116">
        <v>270.89999999999998</v>
      </c>
      <c r="R1143">
        <v>1823157</v>
      </c>
    </row>
    <row r="1144" spans="1:18" x14ac:dyDescent="0.25">
      <c r="A1144" s="170">
        <v>43686</v>
      </c>
      <c r="B1144" s="116">
        <v>270.339489172497</v>
      </c>
      <c r="C1144" s="116">
        <v>262.24016943842901</v>
      </c>
      <c r="D1144" s="116">
        <v>261.40060580745802</v>
      </c>
      <c r="E1144" s="116">
        <v>268.66036191055599</v>
      </c>
      <c r="F1144" s="116">
        <v>265.5</v>
      </c>
      <c r="G1144">
        <v>143030</v>
      </c>
      <c r="H1144" s="116"/>
      <c r="I1144" s="116"/>
      <c r="L1144" s="170">
        <v>43686</v>
      </c>
      <c r="M1144" s="116">
        <v>262.24043805165098</v>
      </c>
      <c r="N1144" s="116">
        <v>270.537310667974</v>
      </c>
      <c r="O1144" s="116">
        <v>261.499645853765</v>
      </c>
      <c r="P1144" s="116">
        <v>268.66063709999599</v>
      </c>
      <c r="Q1144" s="116">
        <v>265.5</v>
      </c>
      <c r="R1144">
        <v>2192096</v>
      </c>
    </row>
    <row r="1145" spans="1:18" x14ac:dyDescent="0.25">
      <c r="A1145" s="170">
        <v>43690</v>
      </c>
      <c r="B1145" s="116">
        <v>264.70947423540099</v>
      </c>
      <c r="C1145" s="116">
        <v>260.412883888669</v>
      </c>
      <c r="D1145" s="116">
        <v>258.783142722668</v>
      </c>
      <c r="E1145" s="116">
        <v>262.73403039782301</v>
      </c>
      <c r="F1145" s="116">
        <v>263.64999999999998</v>
      </c>
      <c r="G1145">
        <v>70948</v>
      </c>
      <c r="H1145" s="116"/>
      <c r="I1145" s="116"/>
      <c r="L1145" s="170">
        <v>43690</v>
      </c>
      <c r="M1145" s="116">
        <v>260.36376448367298</v>
      </c>
      <c r="N1145" s="116">
        <v>264.80851767098898</v>
      </c>
      <c r="O1145" s="116">
        <v>258.58586320874701</v>
      </c>
      <c r="P1145" s="116">
        <v>261.25271512113602</v>
      </c>
      <c r="Q1145" s="116">
        <v>263.60000000000002</v>
      </c>
      <c r="R1145">
        <v>1060200</v>
      </c>
    </row>
    <row r="1146" spans="1:18" x14ac:dyDescent="0.25">
      <c r="A1146" s="170">
        <v>43691</v>
      </c>
      <c r="B1146" s="116">
        <v>266.289829305463</v>
      </c>
      <c r="C1146" s="116">
        <v>263.62298012473298</v>
      </c>
      <c r="D1146" s="116">
        <v>258.783142722668</v>
      </c>
      <c r="E1146" s="116">
        <v>260.90674484806402</v>
      </c>
      <c r="F1146" s="116">
        <v>266.89999999999998</v>
      </c>
      <c r="G1146">
        <v>131573</v>
      </c>
      <c r="H1146" s="116"/>
      <c r="I1146" s="116"/>
      <c r="L1146" s="170">
        <v>43691</v>
      </c>
      <c r="M1146" s="116">
        <v>263.722022447423</v>
      </c>
      <c r="N1146" s="116">
        <v>266.38887435981297</v>
      </c>
      <c r="O1146" s="116">
        <v>257.99322945043798</v>
      </c>
      <c r="P1146" s="116">
        <v>260.85762594892998</v>
      </c>
      <c r="Q1146" s="116">
        <v>267</v>
      </c>
      <c r="R1146">
        <v>1331862</v>
      </c>
    </row>
    <row r="1147" spans="1:18" x14ac:dyDescent="0.25">
      <c r="A1147" s="170">
        <v>43693</v>
      </c>
      <c r="B1147" s="116">
        <v>266.19105711358401</v>
      </c>
      <c r="C1147" s="116">
        <v>263.57359402879399</v>
      </c>
      <c r="D1147" s="116">
        <v>260.26472560085102</v>
      </c>
      <c r="E1147" s="116">
        <v>260.26472560085102</v>
      </c>
      <c r="F1147" s="116">
        <v>266.85000000000002</v>
      </c>
      <c r="G1147">
        <v>52372</v>
      </c>
      <c r="H1147" s="116"/>
      <c r="I1147" s="116"/>
      <c r="L1147" s="170">
        <v>43693</v>
      </c>
      <c r="M1147" s="116">
        <v>263.573864007846</v>
      </c>
      <c r="N1147" s="116">
        <v>266.19132977370998</v>
      </c>
      <c r="O1147" s="116">
        <v>260.56130906977597</v>
      </c>
      <c r="P1147" s="116">
        <v>262.58614107733098</v>
      </c>
      <c r="Q1147" s="116">
        <v>266.85000000000002</v>
      </c>
      <c r="R1147">
        <v>823258</v>
      </c>
    </row>
    <row r="1148" spans="1:18" x14ac:dyDescent="0.25">
      <c r="A1148" s="170">
        <v>43696</v>
      </c>
      <c r="B1148" s="116">
        <v>267.57386779988798</v>
      </c>
      <c r="C1148" s="116">
        <v>264.85763252321902</v>
      </c>
      <c r="D1148" s="116">
        <v>262.98096087751998</v>
      </c>
      <c r="E1148" s="116">
        <v>264.70947423540099</v>
      </c>
      <c r="F1148" s="116">
        <v>268.14999999999998</v>
      </c>
      <c r="G1148">
        <v>89470</v>
      </c>
      <c r="H1148" s="116"/>
      <c r="I1148" s="116"/>
      <c r="L1148" s="170">
        <v>43696</v>
      </c>
      <c r="M1148" s="116">
        <v>264.90728996404101</v>
      </c>
      <c r="N1148" s="116">
        <v>267.672914169482</v>
      </c>
      <c r="O1148" s="116">
        <v>262.93184410301097</v>
      </c>
      <c r="P1148" s="116">
        <v>264.11711161962899</v>
      </c>
      <c r="Q1148" s="116">
        <v>268.2</v>
      </c>
      <c r="R1148">
        <v>1332431</v>
      </c>
    </row>
    <row r="1149" spans="1:18" x14ac:dyDescent="0.25">
      <c r="A1149" s="170">
        <v>43697</v>
      </c>
      <c r="B1149" s="116">
        <v>267.03062074455403</v>
      </c>
      <c r="C1149" s="116">
        <v>262.63525820594401</v>
      </c>
      <c r="D1149" s="116">
        <v>260.70920046430598</v>
      </c>
      <c r="E1149" s="116">
        <v>265.69719615419001</v>
      </c>
      <c r="F1149" s="116">
        <v>265.89999999999998</v>
      </c>
      <c r="G1149">
        <v>52135</v>
      </c>
      <c r="H1149" s="116"/>
      <c r="I1149" s="116"/>
      <c r="L1149" s="170">
        <v>43697</v>
      </c>
      <c r="M1149" s="116">
        <v>262.63552722385703</v>
      </c>
      <c r="N1149" s="116">
        <v>267.03089426464697</v>
      </c>
      <c r="O1149" s="116">
        <v>260.41315063019903</v>
      </c>
      <c r="P1149" s="116">
        <v>265.64808216192699</v>
      </c>
      <c r="Q1149" s="116">
        <v>265.89999999999998</v>
      </c>
      <c r="R1149">
        <v>600434</v>
      </c>
    </row>
    <row r="1150" spans="1:18" x14ac:dyDescent="0.25">
      <c r="A1150" s="170">
        <v>43698</v>
      </c>
      <c r="B1150" s="116">
        <v>262.832802589702</v>
      </c>
      <c r="C1150" s="116">
        <v>257.44971813230302</v>
      </c>
      <c r="D1150" s="116">
        <v>255.91874915817999</v>
      </c>
      <c r="E1150" s="116">
        <v>262.73403039782301</v>
      </c>
      <c r="F1150" s="116">
        <v>260.64999999999998</v>
      </c>
      <c r="G1150">
        <v>93561</v>
      </c>
      <c r="H1150" s="116"/>
      <c r="I1150" s="116"/>
      <c r="L1150" s="170">
        <v>43698</v>
      </c>
      <c r="M1150" s="116">
        <v>258.240160183066</v>
      </c>
      <c r="N1150" s="116">
        <v>262.73429951690798</v>
      </c>
      <c r="O1150" s="116">
        <v>256.41287276161398</v>
      </c>
      <c r="P1150" s="116">
        <v>262.73429951690798</v>
      </c>
      <c r="Q1150" s="116">
        <v>261.45</v>
      </c>
      <c r="R1150">
        <v>1222492</v>
      </c>
    </row>
    <row r="1151" spans="1:18" x14ac:dyDescent="0.25">
      <c r="A1151" s="170">
        <v>43699</v>
      </c>
      <c r="B1151" s="116">
        <v>261.74630847903398</v>
      </c>
      <c r="C1151" s="116">
        <v>255.42488819878599</v>
      </c>
      <c r="D1151" s="116">
        <v>253.20251388151101</v>
      </c>
      <c r="E1151" s="116">
        <v>261.74630847903398</v>
      </c>
      <c r="F1151" s="116">
        <v>258.60000000000002</v>
      </c>
      <c r="G1151">
        <v>82183</v>
      </c>
      <c r="H1151" s="116"/>
      <c r="I1151" s="116"/>
      <c r="L1151" s="170">
        <v>43699</v>
      </c>
      <c r="M1151" s="116">
        <v>255.523922124151</v>
      </c>
      <c r="N1151" s="116">
        <v>259.622972285787</v>
      </c>
      <c r="O1151" s="116">
        <v>253.49909011659599</v>
      </c>
      <c r="P1151" s="116">
        <v>257.79568486433499</v>
      </c>
      <c r="Q1151" s="116">
        <v>258.7</v>
      </c>
      <c r="R1151">
        <v>864809</v>
      </c>
    </row>
    <row r="1152" spans="1:18" x14ac:dyDescent="0.25">
      <c r="A1152" s="170">
        <v>43700</v>
      </c>
      <c r="B1152" s="116">
        <v>263.968682796309</v>
      </c>
      <c r="C1152" s="116">
        <v>262.48709991812598</v>
      </c>
      <c r="D1152" s="116">
        <v>253.84453312872401</v>
      </c>
      <c r="E1152" s="116">
        <v>255.573046486604</v>
      </c>
      <c r="F1152" s="116">
        <v>265.75</v>
      </c>
      <c r="G1152">
        <v>106589</v>
      </c>
      <c r="H1152" s="116"/>
      <c r="I1152" s="116"/>
      <c r="L1152" s="170">
        <v>43700</v>
      </c>
      <c r="M1152" s="116">
        <v>262.68491337038199</v>
      </c>
      <c r="N1152" s="116">
        <v>263.96895318005198</v>
      </c>
      <c r="O1152" s="116">
        <v>253.69663470269899</v>
      </c>
      <c r="P1152" s="116">
        <v>256.36348661508799</v>
      </c>
      <c r="Q1152" s="116">
        <v>265.95</v>
      </c>
      <c r="R1152">
        <v>1376595</v>
      </c>
    </row>
    <row r="1153" spans="1:18" x14ac:dyDescent="0.25">
      <c r="A1153" s="170">
        <v>43703</v>
      </c>
      <c r="B1153" s="116">
        <v>270.09255869280003</v>
      </c>
      <c r="C1153" s="116">
        <v>265.94412663388698</v>
      </c>
      <c r="D1153" s="116">
        <v>262.53648601406502</v>
      </c>
      <c r="E1153" s="116">
        <v>264.610702043522</v>
      </c>
      <c r="F1153" s="116">
        <v>269.25</v>
      </c>
      <c r="G1153">
        <v>81310</v>
      </c>
      <c r="H1153" s="116"/>
      <c r="I1153" s="116"/>
      <c r="L1153" s="170">
        <v>43703</v>
      </c>
      <c r="M1153" s="116">
        <v>265.74685445497801</v>
      </c>
      <c r="N1153" s="116">
        <v>270.537310667974</v>
      </c>
      <c r="O1153" s="116">
        <v>262.53675493080499</v>
      </c>
      <c r="P1153" s="116">
        <v>265.944399041081</v>
      </c>
      <c r="Q1153" s="116">
        <v>269.05</v>
      </c>
      <c r="R1153">
        <v>1791288</v>
      </c>
    </row>
    <row r="1154" spans="1:18" x14ac:dyDescent="0.25">
      <c r="A1154" s="170">
        <v>43704</v>
      </c>
      <c r="B1154" s="116">
        <v>268.31465923898003</v>
      </c>
      <c r="C1154" s="116">
        <v>263.07973306939903</v>
      </c>
      <c r="D1154" s="116">
        <v>261.59815019121601</v>
      </c>
      <c r="E1154" s="116">
        <v>268.31465923898003</v>
      </c>
      <c r="F1154" s="116">
        <v>266.35000000000002</v>
      </c>
      <c r="G1154">
        <v>245065</v>
      </c>
      <c r="H1154" s="116"/>
      <c r="I1154" s="116"/>
      <c r="L1154" s="170">
        <v>43704</v>
      </c>
      <c r="M1154" s="116">
        <v>263.12938868911402</v>
      </c>
      <c r="N1154" s="116">
        <v>267.969231048636</v>
      </c>
      <c r="O1154" s="116">
        <v>261.59841814681602</v>
      </c>
      <c r="P1154" s="116">
        <v>266.68519123896698</v>
      </c>
      <c r="Q1154" s="116">
        <v>266.39999999999998</v>
      </c>
      <c r="R1154">
        <v>1420227</v>
      </c>
    </row>
    <row r="1155" spans="1:18" x14ac:dyDescent="0.25">
      <c r="A1155" s="170">
        <v>43705</v>
      </c>
      <c r="B1155" s="116">
        <v>277.54985917965502</v>
      </c>
      <c r="C1155" s="116">
        <v>276.562137260866</v>
      </c>
      <c r="D1155" s="116">
        <v>264.56131594758199</v>
      </c>
      <c r="E1155" s="116">
        <v>269.45053944558703</v>
      </c>
      <c r="F1155" s="116">
        <v>280</v>
      </c>
      <c r="G1155">
        <v>474795</v>
      </c>
      <c r="H1155" s="116"/>
      <c r="I1155" s="116"/>
      <c r="L1155" s="170">
        <v>43705</v>
      </c>
      <c r="M1155" s="116">
        <v>276.61180669063998</v>
      </c>
      <c r="N1155" s="116">
        <v>277.84646035378302</v>
      </c>
      <c r="O1155" s="116">
        <v>264.31465620573198</v>
      </c>
      <c r="P1155" s="116">
        <v>266.68519123896698</v>
      </c>
      <c r="Q1155" s="116">
        <v>280.05</v>
      </c>
      <c r="R1155">
        <v>7632634</v>
      </c>
    </row>
    <row r="1156" spans="1:18" x14ac:dyDescent="0.25">
      <c r="A1156" s="170">
        <v>43706</v>
      </c>
      <c r="B1156" s="116">
        <v>279.42653082535401</v>
      </c>
      <c r="C1156" s="116">
        <v>271.03089451564898</v>
      </c>
      <c r="D1156" s="116">
        <v>268.26527314304002</v>
      </c>
      <c r="E1156" s="116">
        <v>279.42653082535401</v>
      </c>
      <c r="F1156" s="116">
        <v>274.39999999999998</v>
      </c>
      <c r="G1156">
        <v>247549</v>
      </c>
      <c r="H1156" s="116"/>
      <c r="I1156" s="116"/>
      <c r="L1156" s="170">
        <v>43706</v>
      </c>
      <c r="M1156" s="116">
        <v>271.17933057280902</v>
      </c>
      <c r="N1156" s="116">
        <v>278.53786640514301</v>
      </c>
      <c r="O1156" s="116">
        <v>268.11738948821301</v>
      </c>
      <c r="P1156" s="116">
        <v>277.55014347462901</v>
      </c>
      <c r="Q1156" s="116">
        <v>274.55</v>
      </c>
      <c r="R1156">
        <v>4231503</v>
      </c>
    </row>
    <row r="1157" spans="1:18" x14ac:dyDescent="0.25">
      <c r="A1157" s="170">
        <v>43707</v>
      </c>
      <c r="B1157" s="116">
        <v>277.1053843162</v>
      </c>
      <c r="C1157" s="116">
        <v>275.12994047862298</v>
      </c>
      <c r="D1157" s="116">
        <v>271.57414157098299</v>
      </c>
      <c r="E1157" s="116">
        <v>272.56186348977201</v>
      </c>
      <c r="F1157" s="116">
        <v>278.55</v>
      </c>
      <c r="G1157">
        <v>130684</v>
      </c>
      <c r="H1157" s="116"/>
      <c r="I1157" s="116"/>
      <c r="L1157" s="170">
        <v>43707</v>
      </c>
      <c r="M1157" s="116">
        <v>275.08083614834197</v>
      </c>
      <c r="N1157" s="116">
        <v>277.00689586284602</v>
      </c>
      <c r="O1157" s="116">
        <v>271.52503359848902</v>
      </c>
      <c r="P1157" s="116">
        <v>272.11766735679799</v>
      </c>
      <c r="Q1157" s="116">
        <v>278.5</v>
      </c>
      <c r="R1157">
        <v>2714305</v>
      </c>
    </row>
    <row r="1158" spans="1:18" x14ac:dyDescent="0.25">
      <c r="A1158" s="170">
        <v>43711</v>
      </c>
      <c r="B1158" s="116">
        <v>276.26582068522998</v>
      </c>
      <c r="C1158" s="116">
        <v>267.87018437552501</v>
      </c>
      <c r="D1158" s="116">
        <v>266.88246245673599</v>
      </c>
      <c r="E1158" s="116">
        <v>275.08055438268298</v>
      </c>
      <c r="F1158" s="116">
        <v>271.2</v>
      </c>
      <c r="G1158">
        <v>102277</v>
      </c>
      <c r="H1158" s="116"/>
      <c r="I1158" s="116"/>
      <c r="L1158" s="170">
        <v>43711</v>
      </c>
      <c r="M1158" s="116">
        <v>267.87045875558499</v>
      </c>
      <c r="N1158" s="116">
        <v>276.16733137190801</v>
      </c>
      <c r="O1158" s="116">
        <v>266.88273582506997</v>
      </c>
      <c r="P1158" s="116">
        <v>273.59925175257001</v>
      </c>
      <c r="Q1158" s="116">
        <v>271.2</v>
      </c>
      <c r="R1158">
        <v>1619484</v>
      </c>
    </row>
    <row r="1159" spans="1:18" x14ac:dyDescent="0.25">
      <c r="A1159" s="170">
        <v>43712</v>
      </c>
      <c r="B1159" s="116">
        <v>273.10511054510602</v>
      </c>
      <c r="C1159" s="116">
        <v>263.67236622067202</v>
      </c>
      <c r="D1159" s="116">
        <v>259.32638977800201</v>
      </c>
      <c r="E1159" s="116">
        <v>273.10511054510602</v>
      </c>
      <c r="F1159" s="116">
        <v>266.95</v>
      </c>
      <c r="G1159">
        <v>130288</v>
      </c>
      <c r="H1159" s="116"/>
      <c r="I1159" s="116"/>
      <c r="L1159" s="170">
        <v>43712</v>
      </c>
      <c r="M1159" s="116">
        <v>263.722022447423</v>
      </c>
      <c r="N1159" s="116">
        <v>269.54958773746</v>
      </c>
      <c r="O1159" s="116">
        <v>259.12911082053</v>
      </c>
      <c r="P1159" s="116">
        <v>268.61125095347097</v>
      </c>
      <c r="Q1159" s="116">
        <v>267</v>
      </c>
      <c r="R1159">
        <v>2261160</v>
      </c>
    </row>
    <row r="1160" spans="1:18" x14ac:dyDescent="0.25">
      <c r="A1160" s="170">
        <v>43713</v>
      </c>
      <c r="B1160" s="116">
        <v>265.79596834606798</v>
      </c>
      <c r="C1160" s="116">
        <v>261.30183361557903</v>
      </c>
      <c r="D1160" s="116">
        <v>260.412883888669</v>
      </c>
      <c r="E1160" s="116">
        <v>265.05517690697701</v>
      </c>
      <c r="F1160" s="116">
        <v>264.55</v>
      </c>
      <c r="G1160">
        <v>64038</v>
      </c>
      <c r="H1160" s="116"/>
      <c r="I1160" s="116"/>
      <c r="L1160" s="170">
        <v>43713</v>
      </c>
      <c r="M1160" s="116">
        <v>261.20332897460997</v>
      </c>
      <c r="N1160" s="116">
        <v>265.944399041081</v>
      </c>
      <c r="O1160" s="116">
        <v>260.21560604409598</v>
      </c>
      <c r="P1160" s="116">
        <v>264.70974537793802</v>
      </c>
      <c r="Q1160" s="116">
        <v>264.45</v>
      </c>
      <c r="R1160">
        <v>1401218</v>
      </c>
    </row>
    <row r="1161" spans="1:18" x14ac:dyDescent="0.25">
      <c r="A1161" s="170">
        <v>43714</v>
      </c>
      <c r="B1161" s="116">
        <v>266.68491807297801</v>
      </c>
      <c r="C1161" s="116">
        <v>259.32638977800201</v>
      </c>
      <c r="D1161" s="116">
        <v>256.461996213514</v>
      </c>
      <c r="E1161" s="116">
        <v>266.68491807297801</v>
      </c>
      <c r="F1161" s="116">
        <v>262.55</v>
      </c>
      <c r="G1161">
        <v>111928</v>
      </c>
      <c r="H1161" s="116"/>
      <c r="I1161" s="116"/>
      <c r="L1161" s="170">
        <v>43714</v>
      </c>
      <c r="M1161" s="116">
        <v>259.52419999273502</v>
      </c>
      <c r="N1161" s="116">
        <v>263.03061639606301</v>
      </c>
      <c r="O1161" s="116">
        <v>256.36348661508799</v>
      </c>
      <c r="P1161" s="116">
        <v>261.74657658639399</v>
      </c>
      <c r="Q1161" s="116">
        <v>262.75</v>
      </c>
      <c r="R1161">
        <v>1255736</v>
      </c>
    </row>
    <row r="1162" spans="1:18" x14ac:dyDescent="0.25">
      <c r="A1162" s="170">
        <v>43717</v>
      </c>
      <c r="B1162" s="116">
        <v>263.91929670037001</v>
      </c>
      <c r="C1162" s="116">
        <v>260.561042176488</v>
      </c>
      <c r="D1162" s="116">
        <v>258.63498443485003</v>
      </c>
      <c r="E1162" s="116">
        <v>259.52393416175897</v>
      </c>
      <c r="F1162" s="116">
        <v>263.8</v>
      </c>
      <c r="G1162">
        <v>90860</v>
      </c>
      <c r="H1162" s="116"/>
      <c r="I1162" s="116"/>
      <c r="L1162" s="170">
        <v>43717</v>
      </c>
      <c r="M1162" s="116">
        <v>260.56130906977597</v>
      </c>
      <c r="N1162" s="116">
        <v>264.067725473103</v>
      </c>
      <c r="O1162" s="116">
        <v>258.48709091569498</v>
      </c>
      <c r="P1162" s="116">
        <v>260.264992190621</v>
      </c>
      <c r="Q1162" s="116">
        <v>263.8</v>
      </c>
      <c r="R1162">
        <v>2640504</v>
      </c>
    </row>
    <row r="1163" spans="1:18" x14ac:dyDescent="0.25">
      <c r="A1163" s="170">
        <v>43719</v>
      </c>
      <c r="B1163" s="116">
        <v>264.36377156382503</v>
      </c>
      <c r="C1163" s="116">
        <v>256.01752135005898</v>
      </c>
      <c r="D1163" s="116">
        <v>254.14084970436099</v>
      </c>
      <c r="E1163" s="116">
        <v>260.80797265618497</v>
      </c>
      <c r="F1163" s="116">
        <v>259.2</v>
      </c>
      <c r="G1163">
        <v>102300</v>
      </c>
      <c r="H1163" s="116"/>
      <c r="I1163" s="116"/>
      <c r="L1163" s="170">
        <v>43719</v>
      </c>
      <c r="M1163" s="116">
        <v>256.16594202898602</v>
      </c>
      <c r="N1163" s="116">
        <v>264.51220079183503</v>
      </c>
      <c r="O1163" s="116">
        <v>254.04233772837901</v>
      </c>
      <c r="P1163" s="116">
        <v>262.68491337038199</v>
      </c>
      <c r="Q1163" s="116">
        <v>259.35000000000002</v>
      </c>
      <c r="R1163">
        <v>2667978</v>
      </c>
    </row>
    <row r="1164" spans="1:18" x14ac:dyDescent="0.25">
      <c r="A1164" s="170">
        <v>43720</v>
      </c>
      <c r="B1164" s="116">
        <v>260.561042176488</v>
      </c>
      <c r="C1164" s="116">
        <v>259.07945929830498</v>
      </c>
      <c r="D1164" s="116">
        <v>255.22734381502801</v>
      </c>
      <c r="E1164" s="116">
        <v>256.461996213514</v>
      </c>
      <c r="F1164" s="116">
        <v>262.3</v>
      </c>
      <c r="G1164">
        <v>140027</v>
      </c>
      <c r="H1164" s="116"/>
      <c r="I1164" s="116"/>
      <c r="L1164" s="170">
        <v>43720</v>
      </c>
      <c r="M1164" s="116">
        <v>259.07972467400401</v>
      </c>
      <c r="N1164" s="116">
        <v>260.66008136282699</v>
      </c>
      <c r="O1164" s="116">
        <v>255.030060658894</v>
      </c>
      <c r="P1164" s="116">
        <v>256.61041734771698</v>
      </c>
      <c r="Q1164" s="116">
        <v>262.3</v>
      </c>
      <c r="R1164">
        <v>2744024</v>
      </c>
    </row>
    <row r="1165" spans="1:18" x14ac:dyDescent="0.25">
      <c r="A1165" s="170">
        <v>43721</v>
      </c>
      <c r="B1165" s="116">
        <v>261.15367532776099</v>
      </c>
      <c r="C1165" s="116">
        <v>255.86936306224101</v>
      </c>
      <c r="D1165" s="116">
        <v>252.906197305874</v>
      </c>
      <c r="E1165" s="116">
        <v>260.36349779273002</v>
      </c>
      <c r="F1165" s="116">
        <v>259.05</v>
      </c>
      <c r="G1165">
        <v>174717</v>
      </c>
      <c r="H1165" s="116"/>
      <c r="I1165" s="116"/>
      <c r="L1165" s="170">
        <v>43721</v>
      </c>
      <c r="M1165" s="116">
        <v>255.82023900330501</v>
      </c>
      <c r="N1165" s="116">
        <v>261.25271512113602</v>
      </c>
      <c r="O1165" s="116">
        <v>252.857070211761</v>
      </c>
      <c r="P1165" s="116">
        <v>260.66008136282699</v>
      </c>
      <c r="Q1165" s="116">
        <v>259</v>
      </c>
      <c r="R1165">
        <v>3050128</v>
      </c>
    </row>
    <row r="1166" spans="1:18" x14ac:dyDescent="0.25">
      <c r="A1166" s="170">
        <v>43724</v>
      </c>
      <c r="B1166" s="116">
        <v>256.01752135005898</v>
      </c>
      <c r="C1166" s="116">
        <v>254.38778018405799</v>
      </c>
      <c r="D1166" s="116">
        <v>252.807425113996</v>
      </c>
      <c r="E1166" s="116">
        <v>255.42488819878599</v>
      </c>
      <c r="F1166" s="116">
        <v>257.55</v>
      </c>
      <c r="G1166">
        <v>63584</v>
      </c>
      <c r="H1166" s="116"/>
      <c r="I1166" s="116"/>
      <c r="L1166" s="170">
        <v>43724</v>
      </c>
      <c r="M1166" s="116">
        <v>254.33865460753299</v>
      </c>
      <c r="N1166" s="116">
        <v>256.21532817551099</v>
      </c>
      <c r="O1166" s="116">
        <v>252.56075333260699</v>
      </c>
      <c r="P1166" s="116">
        <v>253.35093167701899</v>
      </c>
      <c r="Q1166" s="116">
        <v>257.5</v>
      </c>
      <c r="R1166">
        <v>1044609</v>
      </c>
    </row>
    <row r="1167" spans="1:18" x14ac:dyDescent="0.25">
      <c r="A1167" s="170">
        <v>43725</v>
      </c>
      <c r="B1167" s="116">
        <v>257.54849032418201</v>
      </c>
      <c r="C1167" s="116">
        <v>252.758039018056</v>
      </c>
      <c r="D1167" s="116">
        <v>251.96786148302499</v>
      </c>
      <c r="E1167" s="116">
        <v>254.38778018405799</v>
      </c>
      <c r="F1167" s="116">
        <v>255.9</v>
      </c>
      <c r="G1167">
        <v>111127</v>
      </c>
      <c r="H1167" s="116"/>
      <c r="I1167" s="116"/>
      <c r="L1167" s="170">
        <v>43725</v>
      </c>
      <c r="M1167" s="116">
        <v>253.10400094439001</v>
      </c>
      <c r="N1167" s="116">
        <v>257.59814027823199</v>
      </c>
      <c r="O1167" s="116">
        <v>251.869347281247</v>
      </c>
      <c r="P1167" s="116">
        <v>254.83251607279101</v>
      </c>
      <c r="Q1167" s="116">
        <v>256.25</v>
      </c>
      <c r="R1167">
        <v>2237086</v>
      </c>
    </row>
    <row r="1168" spans="1:18" x14ac:dyDescent="0.25">
      <c r="A1168" s="170">
        <v>43726</v>
      </c>
      <c r="B1168" s="116">
        <v>258.141123475455</v>
      </c>
      <c r="C1168" s="116">
        <v>256.51138230945401</v>
      </c>
      <c r="D1168" s="116">
        <v>250.239348125145</v>
      </c>
      <c r="E1168" s="116">
        <v>254.042077512482</v>
      </c>
      <c r="F1168" s="116">
        <v>259.7</v>
      </c>
      <c r="G1168">
        <v>116230</v>
      </c>
      <c r="H1168" s="116"/>
      <c r="I1168" s="116"/>
      <c r="L1168" s="170">
        <v>43726</v>
      </c>
      <c r="M1168" s="116">
        <v>256.56103120119099</v>
      </c>
      <c r="N1168" s="116">
        <v>258.14138789001498</v>
      </c>
      <c r="O1168" s="116">
        <v>250.38776288547501</v>
      </c>
      <c r="P1168" s="116">
        <v>254.83251607279101</v>
      </c>
      <c r="Q1168" s="116">
        <v>259.75</v>
      </c>
      <c r="R1168">
        <v>2360120</v>
      </c>
    </row>
    <row r="1169" spans="1:18" x14ac:dyDescent="0.25">
      <c r="A1169" s="170">
        <v>43727</v>
      </c>
      <c r="B1169" s="116">
        <v>256.06690744599899</v>
      </c>
      <c r="C1169" s="116">
        <v>251.622158811449</v>
      </c>
      <c r="D1169" s="116">
        <v>247.671271136294</v>
      </c>
      <c r="E1169" s="116">
        <v>255.326116006907</v>
      </c>
      <c r="F1169" s="116">
        <v>254.75</v>
      </c>
      <c r="G1169">
        <v>236255</v>
      </c>
      <c r="H1169" s="116"/>
      <c r="I1169" s="116"/>
      <c r="L1169" s="170">
        <v>43727</v>
      </c>
      <c r="M1169" s="116">
        <v>251.32609966946401</v>
      </c>
      <c r="N1169" s="116">
        <v>256.51164505466602</v>
      </c>
      <c r="O1169" s="116">
        <v>247.57275253350801</v>
      </c>
      <c r="P1169" s="116">
        <v>256.51164505466602</v>
      </c>
      <c r="Q1169" s="116">
        <v>254.45</v>
      </c>
      <c r="R1169">
        <v>3546569</v>
      </c>
    </row>
    <row r="1170" spans="1:18" x14ac:dyDescent="0.25">
      <c r="A1170" s="170">
        <v>43728</v>
      </c>
      <c r="B1170" s="116">
        <v>267.17877903237297</v>
      </c>
      <c r="C1170" s="116">
        <v>264.16622718006698</v>
      </c>
      <c r="D1170" s="116">
        <v>246.83170750532301</v>
      </c>
      <c r="E1170" s="116">
        <v>250.38750641296301</v>
      </c>
      <c r="F1170" s="116">
        <v>267.45</v>
      </c>
      <c r="G1170">
        <v>1019358</v>
      </c>
      <c r="H1170" s="116"/>
      <c r="I1170" s="116"/>
      <c r="L1170" s="170">
        <v>43728</v>
      </c>
      <c r="M1170" s="116">
        <v>264.067725473103</v>
      </c>
      <c r="N1170" s="116">
        <v>267.32721114380098</v>
      </c>
      <c r="O1170" s="116">
        <v>246.88134648214699</v>
      </c>
      <c r="P1170" s="116">
        <v>250.980396643783</v>
      </c>
      <c r="Q1170" s="116">
        <v>267.35000000000002</v>
      </c>
      <c r="R1170">
        <v>4803062</v>
      </c>
    </row>
    <row r="1171" spans="1:18" x14ac:dyDescent="0.25">
      <c r="A1171" s="170">
        <v>43731</v>
      </c>
      <c r="B1171" s="116">
        <v>273.40142712074203</v>
      </c>
      <c r="C1171" s="116">
        <v>269.05545067807202</v>
      </c>
      <c r="D1171" s="116">
        <v>260.75858656024599</v>
      </c>
      <c r="E1171" s="116">
        <v>260.75858656024599</v>
      </c>
      <c r="F1171" s="116">
        <v>272.39999999999998</v>
      </c>
      <c r="G1171">
        <v>457285</v>
      </c>
      <c r="H1171" s="116"/>
      <c r="I1171" s="116"/>
      <c r="L1171" s="170">
        <v>43731</v>
      </c>
      <c r="M1171" s="116">
        <v>270.29037993534598</v>
      </c>
      <c r="N1171" s="116">
        <v>273.59925175257001</v>
      </c>
      <c r="O1171" s="116">
        <v>261.94412117249601</v>
      </c>
      <c r="P1171" s="116">
        <v>262.73429951690798</v>
      </c>
      <c r="Q1171" s="116">
        <v>273.64999999999998</v>
      </c>
      <c r="R1171">
        <v>9811055</v>
      </c>
    </row>
    <row r="1172" spans="1:18" x14ac:dyDescent="0.25">
      <c r="A1172" s="170">
        <v>43732</v>
      </c>
      <c r="B1172" s="116">
        <v>273.94467417607598</v>
      </c>
      <c r="C1172" s="116">
        <v>271.52475547504298</v>
      </c>
      <c r="D1172" s="116">
        <v>268.75913410243498</v>
      </c>
      <c r="E1172" s="116">
        <v>269.64808382934501</v>
      </c>
      <c r="F1172" s="116">
        <v>274.89999999999998</v>
      </c>
      <c r="G1172">
        <v>131542</v>
      </c>
      <c r="H1172" s="116"/>
      <c r="I1172" s="116"/>
      <c r="L1172" s="170">
        <v>43732</v>
      </c>
      <c r="M1172" s="116">
        <v>271.62380589153997</v>
      </c>
      <c r="N1172" s="116">
        <v>274.09311321782701</v>
      </c>
      <c r="O1172" s="116">
        <v>268.61125095347097</v>
      </c>
      <c r="P1172" s="116">
        <v>270.63608296102598</v>
      </c>
      <c r="Q1172" s="116">
        <v>275</v>
      </c>
      <c r="R1172">
        <v>2160946</v>
      </c>
    </row>
    <row r="1173" spans="1:18" x14ac:dyDescent="0.25">
      <c r="A1173" s="170">
        <v>43733</v>
      </c>
      <c r="B1173" s="116">
        <v>277.99433404310997</v>
      </c>
      <c r="C1173" s="116">
        <v>276.068276301472</v>
      </c>
      <c r="D1173" s="116">
        <v>268.16650095116199</v>
      </c>
      <c r="E1173" s="116">
        <v>274.48792123140998</v>
      </c>
      <c r="F1173" s="116">
        <v>279.5</v>
      </c>
      <c r="G1173">
        <v>194053</v>
      </c>
      <c r="H1173" s="116"/>
      <c r="I1173" s="116"/>
      <c r="L1173" s="170">
        <v>43733</v>
      </c>
      <c r="M1173" s="116">
        <v>276.019172932331</v>
      </c>
      <c r="N1173" s="116">
        <v>277.79707420725703</v>
      </c>
      <c r="O1173" s="116">
        <v>267.969231048636</v>
      </c>
      <c r="P1173" s="116">
        <v>271.12994442628298</v>
      </c>
      <c r="Q1173" s="116">
        <v>279.45</v>
      </c>
      <c r="R1173">
        <v>3273970</v>
      </c>
    </row>
    <row r="1174" spans="1:18" x14ac:dyDescent="0.25">
      <c r="A1174" s="170">
        <v>43734</v>
      </c>
      <c r="B1174" s="116">
        <v>281.20443027917401</v>
      </c>
      <c r="C1174" s="116">
        <v>276.26582068522998</v>
      </c>
      <c r="D1174" s="116">
        <v>273.74712979231799</v>
      </c>
      <c r="E1174" s="116">
        <v>279.92039178474801</v>
      </c>
      <c r="F1174" s="116">
        <v>279.7</v>
      </c>
      <c r="G1174">
        <v>356547</v>
      </c>
      <c r="H1174" s="116"/>
      <c r="I1174" s="116"/>
      <c r="L1174" s="170">
        <v>43734</v>
      </c>
      <c r="M1174" s="116">
        <v>276.46364825106201</v>
      </c>
      <c r="N1174" s="116">
        <v>281.35287675710998</v>
      </c>
      <c r="O1174" s="116">
        <v>273.74741019214702</v>
      </c>
      <c r="P1174" s="116">
        <v>278.43909411209199</v>
      </c>
      <c r="Q1174" s="116">
        <v>279.89999999999998</v>
      </c>
      <c r="R1174">
        <v>4937972</v>
      </c>
    </row>
    <row r="1175" spans="1:18" x14ac:dyDescent="0.25">
      <c r="A1175" s="170">
        <v>43735</v>
      </c>
      <c r="B1175" s="116">
        <v>284.06882384366099</v>
      </c>
      <c r="C1175" s="116">
        <v>278.48819500250499</v>
      </c>
      <c r="D1175" s="116">
        <v>275.17932657456203</v>
      </c>
      <c r="E1175" s="116">
        <v>276.41397897304802</v>
      </c>
      <c r="F1175" s="116">
        <v>281.95</v>
      </c>
      <c r="G1175">
        <v>276225</v>
      </c>
      <c r="H1175" s="116"/>
      <c r="I1175" s="116"/>
      <c r="L1175" s="170">
        <v>43735</v>
      </c>
      <c r="M1175" s="116">
        <v>278.48848025861798</v>
      </c>
      <c r="N1175" s="116">
        <v>284.16788710907701</v>
      </c>
      <c r="O1175" s="116">
        <v>275.17960844139299</v>
      </c>
      <c r="P1175" s="116">
        <v>276.46364825106201</v>
      </c>
      <c r="Q1175" s="116">
        <v>281.95</v>
      </c>
      <c r="R1175">
        <v>4289026</v>
      </c>
    </row>
    <row r="1176" spans="1:18" x14ac:dyDescent="0.25">
      <c r="A1176" s="170">
        <v>43738</v>
      </c>
      <c r="B1176" s="116">
        <v>279.13021424971703</v>
      </c>
      <c r="C1176" s="116">
        <v>272.660635681651</v>
      </c>
      <c r="D1176" s="116">
        <v>272.16677472225598</v>
      </c>
      <c r="E1176" s="116">
        <v>278.48819500250499</v>
      </c>
      <c r="F1176" s="116">
        <v>276.05</v>
      </c>
      <c r="G1176">
        <v>104524</v>
      </c>
      <c r="H1176" s="116"/>
      <c r="I1176" s="116"/>
      <c r="L1176" s="170">
        <v>43738</v>
      </c>
      <c r="M1176" s="116">
        <v>272.61152882205499</v>
      </c>
      <c r="N1176" s="116">
        <v>278.48848025861798</v>
      </c>
      <c r="O1176" s="116">
        <v>271.96950891722099</v>
      </c>
      <c r="P1176" s="116">
        <v>278.48848025861798</v>
      </c>
      <c r="Q1176" s="116">
        <v>276</v>
      </c>
      <c r="R1176">
        <v>2057195</v>
      </c>
    </row>
    <row r="1177" spans="1:18" x14ac:dyDescent="0.25">
      <c r="A1177" s="170">
        <v>43739</v>
      </c>
      <c r="B1177" s="116">
        <v>277.54985917965502</v>
      </c>
      <c r="C1177" s="116">
        <v>267.47509560800898</v>
      </c>
      <c r="D1177" s="116">
        <v>264.06745498818799</v>
      </c>
      <c r="E1177" s="116">
        <v>277.54985917965502</v>
      </c>
      <c r="F1177" s="116">
        <v>270.8</v>
      </c>
      <c r="G1177">
        <v>129920</v>
      </c>
      <c r="H1177" s="116"/>
      <c r="I1177" s="116"/>
      <c r="L1177" s="170">
        <v>43739</v>
      </c>
      <c r="M1177" s="116">
        <v>267.32721114380098</v>
      </c>
      <c r="N1177" s="116">
        <v>273.45109331299301</v>
      </c>
      <c r="O1177" s="116">
        <v>264.067725473103</v>
      </c>
      <c r="P1177" s="116">
        <v>272.61152882205499</v>
      </c>
      <c r="Q1177" s="116">
        <v>270.64999999999998</v>
      </c>
      <c r="R1177">
        <v>3532083</v>
      </c>
    </row>
    <row r="1178" spans="1:18" x14ac:dyDescent="0.25">
      <c r="A1178" s="170">
        <v>43741</v>
      </c>
      <c r="B1178" s="116">
        <v>270.833350131891</v>
      </c>
      <c r="C1178" s="116">
        <v>269.05545067807202</v>
      </c>
      <c r="D1178" s="116">
        <v>265.94412663388698</v>
      </c>
      <c r="E1178" s="116">
        <v>267.47509560800898</v>
      </c>
      <c r="F1178" s="116">
        <v>272.39999999999998</v>
      </c>
      <c r="G1178">
        <v>37042</v>
      </c>
      <c r="H1178" s="116"/>
      <c r="I1178" s="116"/>
      <c r="L1178" s="170">
        <v>43741</v>
      </c>
      <c r="M1178" s="116">
        <v>269.40142929788198</v>
      </c>
      <c r="N1178" s="116">
        <v>270.98178598670597</v>
      </c>
      <c r="O1178" s="116">
        <v>265.20360684319502</v>
      </c>
      <c r="P1178" s="116">
        <v>266.68519123896698</v>
      </c>
      <c r="Q1178" s="116">
        <v>272.75</v>
      </c>
      <c r="R1178">
        <v>1509727</v>
      </c>
    </row>
    <row r="1179" spans="1:18" x14ac:dyDescent="0.25">
      <c r="A1179" s="170">
        <v>43742</v>
      </c>
      <c r="B1179" s="116">
        <v>274.58669342328898</v>
      </c>
      <c r="C1179" s="116">
        <v>262.88218868564098</v>
      </c>
      <c r="D1179" s="116">
        <v>259.425161969881</v>
      </c>
      <c r="E1179" s="116">
        <v>274.58669342328898</v>
      </c>
      <c r="F1179" s="116">
        <v>266.14999999999998</v>
      </c>
      <c r="G1179">
        <v>113068</v>
      </c>
      <c r="H1179" s="116"/>
      <c r="I1179" s="116"/>
      <c r="L1179" s="170">
        <v>43742</v>
      </c>
      <c r="M1179" s="116">
        <v>262.93184410301097</v>
      </c>
      <c r="N1179" s="116">
        <v>271.52503359848902</v>
      </c>
      <c r="O1179" s="116">
        <v>259.42542769968401</v>
      </c>
      <c r="P1179" s="116">
        <v>270.73485525407699</v>
      </c>
      <c r="Q1179" s="116">
        <v>266.2</v>
      </c>
      <c r="R1179">
        <v>3182068</v>
      </c>
    </row>
    <row r="1180" spans="1:18" x14ac:dyDescent="0.25">
      <c r="A1180" s="170">
        <v>43745</v>
      </c>
      <c r="B1180" s="116">
        <v>267.57386779988798</v>
      </c>
      <c r="C1180" s="116">
        <v>262.338941630308</v>
      </c>
      <c r="D1180" s="116">
        <v>259.919022929275</v>
      </c>
      <c r="E1180" s="116">
        <v>267.57386779988798</v>
      </c>
      <c r="F1180" s="116">
        <v>265.60000000000002</v>
      </c>
      <c r="G1180">
        <v>54430</v>
      </c>
      <c r="H1180" s="116"/>
      <c r="I1180" s="116"/>
      <c r="L1180" s="170">
        <v>43745</v>
      </c>
      <c r="M1180" s="116">
        <v>262.43798263775398</v>
      </c>
      <c r="N1180" s="116">
        <v>265.796240601504</v>
      </c>
      <c r="O1180" s="116">
        <v>259.622972285787</v>
      </c>
      <c r="P1180" s="116">
        <v>264.46281464530898</v>
      </c>
      <c r="Q1180" s="116">
        <v>265.7</v>
      </c>
      <c r="R1180">
        <v>1072461</v>
      </c>
    </row>
    <row r="1181" spans="1:18" x14ac:dyDescent="0.25">
      <c r="A1181" s="170">
        <v>43747</v>
      </c>
      <c r="B1181" s="116">
        <v>270.14194478873901</v>
      </c>
      <c r="C1181" s="116">
        <v>266.53675978515997</v>
      </c>
      <c r="D1181" s="116">
        <v>261.35121971151898</v>
      </c>
      <c r="E1181" s="116">
        <v>270.14194478873901</v>
      </c>
      <c r="F1181" s="116">
        <v>269.85000000000002</v>
      </c>
      <c r="G1181">
        <v>66957</v>
      </c>
      <c r="H1181" s="116"/>
      <c r="I1181" s="116"/>
      <c r="L1181" s="170">
        <v>43747</v>
      </c>
      <c r="M1181" s="116">
        <v>266.63580509244099</v>
      </c>
      <c r="N1181" s="116">
        <v>268.314934074316</v>
      </c>
      <c r="O1181" s="116">
        <v>261.00578438850698</v>
      </c>
      <c r="P1181" s="116">
        <v>262.83307180996002</v>
      </c>
      <c r="Q1181" s="116">
        <v>269.95</v>
      </c>
      <c r="R1181">
        <v>2022400</v>
      </c>
    </row>
    <row r="1182" spans="1:18" x14ac:dyDescent="0.25">
      <c r="A1182" s="170">
        <v>43748</v>
      </c>
      <c r="B1182" s="116">
        <v>268.90729239025302</v>
      </c>
      <c r="C1182" s="116">
        <v>263.22789135721803</v>
      </c>
      <c r="D1182" s="116">
        <v>261.99323895873198</v>
      </c>
      <c r="E1182" s="116">
        <v>266.63553197703902</v>
      </c>
      <c r="F1182" s="116">
        <v>266.5</v>
      </c>
      <c r="G1182">
        <v>41131</v>
      </c>
      <c r="H1182" s="116"/>
      <c r="I1182" s="116"/>
      <c r="L1182" s="170">
        <v>43748</v>
      </c>
      <c r="M1182" s="116">
        <v>263.37631942174301</v>
      </c>
      <c r="N1182" s="116">
        <v>269.10511241872803</v>
      </c>
      <c r="O1182" s="116">
        <v>261.845348879445</v>
      </c>
      <c r="P1182" s="116">
        <v>266.58641894591602</v>
      </c>
      <c r="Q1182" s="116">
        <v>266.64999999999998</v>
      </c>
      <c r="R1182">
        <v>880540</v>
      </c>
    </row>
    <row r="1183" spans="1:18" x14ac:dyDescent="0.25">
      <c r="A1183" s="170">
        <v>43749</v>
      </c>
      <c r="B1183" s="116">
        <v>270.63580574813398</v>
      </c>
      <c r="C1183" s="116">
        <v>269.598697733405</v>
      </c>
      <c r="D1183" s="116">
        <v>263.07973306939903</v>
      </c>
      <c r="E1183" s="116">
        <v>266.63553197703902</v>
      </c>
      <c r="F1183" s="116">
        <v>272.95</v>
      </c>
      <c r="G1183">
        <v>257361</v>
      </c>
      <c r="H1183" s="116"/>
      <c r="I1183" s="116"/>
      <c r="L1183" s="170">
        <v>43749</v>
      </c>
      <c r="M1183" s="116">
        <v>268.71002324652198</v>
      </c>
      <c r="N1183" s="116">
        <v>270.537310667974</v>
      </c>
      <c r="O1183" s="116">
        <v>262.58614107733098</v>
      </c>
      <c r="P1183" s="116">
        <v>264.95667611056598</v>
      </c>
      <c r="Q1183" s="116">
        <v>272.05</v>
      </c>
      <c r="R1183">
        <v>3586098</v>
      </c>
    </row>
    <row r="1184" spans="1:18" x14ac:dyDescent="0.25">
      <c r="A1184" s="170">
        <v>43752</v>
      </c>
      <c r="B1184" s="116">
        <v>274.290376847652</v>
      </c>
      <c r="C1184" s="116">
        <v>272.31493301007498</v>
      </c>
      <c r="D1184" s="116">
        <v>269.64808382934501</v>
      </c>
      <c r="E1184" s="116">
        <v>271.376597187225</v>
      </c>
      <c r="F1184" s="116">
        <v>275.7</v>
      </c>
      <c r="G1184">
        <v>94535</v>
      </c>
      <c r="H1184" s="116"/>
      <c r="I1184" s="116"/>
      <c r="L1184" s="170">
        <v>43752</v>
      </c>
      <c r="M1184" s="116">
        <v>272.36459808942601</v>
      </c>
      <c r="N1184" s="116">
        <v>274.38943009698198</v>
      </c>
      <c r="O1184" s="116">
        <v>269.64836003051101</v>
      </c>
      <c r="P1184" s="116">
        <v>270.63608296102598</v>
      </c>
      <c r="Q1184" s="116">
        <v>275.75</v>
      </c>
      <c r="R1184">
        <v>2040226</v>
      </c>
    </row>
    <row r="1185" spans="1:18" x14ac:dyDescent="0.25">
      <c r="A1185" s="170">
        <v>43753</v>
      </c>
      <c r="B1185" s="116">
        <v>274.932396094865</v>
      </c>
      <c r="C1185" s="116">
        <v>274.38914903953099</v>
      </c>
      <c r="D1185" s="116">
        <v>266.04289882576597</v>
      </c>
      <c r="E1185" s="116">
        <v>271.72229985880102</v>
      </c>
      <c r="F1185" s="116">
        <v>277.8</v>
      </c>
      <c r="G1185">
        <v>104225</v>
      </c>
      <c r="H1185" s="116"/>
      <c r="I1185" s="116"/>
      <c r="L1185" s="170">
        <v>43753</v>
      </c>
      <c r="M1185" s="116">
        <v>274.34004395045599</v>
      </c>
      <c r="N1185" s="116">
        <v>275.03145000181598</v>
      </c>
      <c r="O1185" s="116">
        <v>270.43853837492298</v>
      </c>
      <c r="P1185" s="116">
        <v>274.04372707130102</v>
      </c>
      <c r="Q1185" s="116">
        <v>277.75</v>
      </c>
      <c r="R1185">
        <v>1009890</v>
      </c>
    </row>
    <row r="1186" spans="1:18" x14ac:dyDescent="0.25">
      <c r="A1186" s="170">
        <v>43754</v>
      </c>
      <c r="B1186" s="116">
        <v>275.574415342078</v>
      </c>
      <c r="C1186" s="116">
        <v>272.21616081819599</v>
      </c>
      <c r="D1186" s="116">
        <v>270.63580574813398</v>
      </c>
      <c r="E1186" s="116">
        <v>271.72229985880102</v>
      </c>
      <c r="F1186" s="116">
        <v>275.60000000000002</v>
      </c>
      <c r="G1186">
        <v>44998</v>
      </c>
      <c r="H1186" s="116"/>
      <c r="I1186" s="116"/>
      <c r="L1186" s="170">
        <v>43754</v>
      </c>
      <c r="M1186" s="116">
        <v>272.16705350332398</v>
      </c>
      <c r="N1186" s="116">
        <v>275.57469761359903</v>
      </c>
      <c r="O1186" s="116">
        <v>270.33976608187101</v>
      </c>
      <c r="P1186" s="116">
        <v>274.488202390033</v>
      </c>
      <c r="Q1186" s="116">
        <v>275.55</v>
      </c>
      <c r="R1186">
        <v>814304</v>
      </c>
    </row>
    <row r="1187" spans="1:18" x14ac:dyDescent="0.25">
      <c r="A1187" s="170">
        <v>43755</v>
      </c>
      <c r="B1187" s="116">
        <v>276.562137260866</v>
      </c>
      <c r="C1187" s="116">
        <v>275.87073191771401</v>
      </c>
      <c r="D1187" s="116">
        <v>268.561589718677</v>
      </c>
      <c r="E1187" s="116">
        <v>273.40142712074203</v>
      </c>
      <c r="F1187" s="116">
        <v>279.3</v>
      </c>
      <c r="G1187">
        <v>52304</v>
      </c>
      <c r="H1187" s="116"/>
      <c r="I1187" s="116"/>
      <c r="L1187" s="170">
        <v>43755</v>
      </c>
      <c r="M1187" s="116">
        <v>276.019172932331</v>
      </c>
      <c r="N1187" s="116">
        <v>276.80935127674297</v>
      </c>
      <c r="O1187" s="116">
        <v>268.41370636736798</v>
      </c>
      <c r="P1187" s="116">
        <v>272.95723184773499</v>
      </c>
      <c r="Q1187" s="116">
        <v>279.45</v>
      </c>
      <c r="R1187">
        <v>1981158</v>
      </c>
    </row>
    <row r="1188" spans="1:18" x14ac:dyDescent="0.25">
      <c r="A1188" s="170">
        <v>43756</v>
      </c>
      <c r="B1188" s="116">
        <v>281.74767733450801</v>
      </c>
      <c r="C1188" s="116">
        <v>278.43880890656499</v>
      </c>
      <c r="D1188" s="116">
        <v>272.31493301007498</v>
      </c>
      <c r="E1188" s="116">
        <v>277.05599822026102</v>
      </c>
      <c r="F1188" s="116">
        <v>281.89999999999998</v>
      </c>
      <c r="G1188">
        <v>206094</v>
      </c>
      <c r="H1188" s="116"/>
      <c r="I1188" s="116"/>
      <c r="L1188" s="170">
        <v>43756</v>
      </c>
      <c r="M1188" s="116">
        <v>278.53786640514301</v>
      </c>
      <c r="N1188" s="116">
        <v>281.69857978278998</v>
      </c>
      <c r="O1188" s="116">
        <v>272.413984235952</v>
      </c>
      <c r="P1188" s="116">
        <v>275.96978678580501</v>
      </c>
      <c r="Q1188" s="116">
        <v>282</v>
      </c>
      <c r="R1188">
        <v>3298797</v>
      </c>
    </row>
    <row r="1189" spans="1:18" x14ac:dyDescent="0.25">
      <c r="A1189" s="170">
        <v>43760</v>
      </c>
      <c r="B1189" s="116">
        <v>284.21698213147999</v>
      </c>
      <c r="C1189" s="116">
        <v>278.09310623498902</v>
      </c>
      <c r="D1189" s="116">
        <v>277.253542604019</v>
      </c>
      <c r="E1189" s="116">
        <v>281.50074685481002</v>
      </c>
      <c r="F1189" s="116">
        <v>281.55</v>
      </c>
      <c r="G1189">
        <v>118943</v>
      </c>
      <c r="H1189" s="116"/>
      <c r="I1189" s="116"/>
      <c r="L1189" s="170">
        <v>43760</v>
      </c>
      <c r="M1189" s="116">
        <v>278.29093567251499</v>
      </c>
      <c r="N1189" s="116">
        <v>284.36543169518001</v>
      </c>
      <c r="O1189" s="116">
        <v>277.10566815589698</v>
      </c>
      <c r="P1189" s="116">
        <v>279.87129236133802</v>
      </c>
      <c r="Q1189" s="116">
        <v>281.75</v>
      </c>
      <c r="R1189">
        <v>1998064</v>
      </c>
    </row>
    <row r="1190" spans="1:18" x14ac:dyDescent="0.25">
      <c r="A1190" s="170">
        <v>43761</v>
      </c>
      <c r="B1190" s="116">
        <v>281.35258856699198</v>
      </c>
      <c r="C1190" s="116">
        <v>275.52502924613799</v>
      </c>
      <c r="D1190" s="116">
        <v>274.24099075171301</v>
      </c>
      <c r="E1190" s="116">
        <v>281.35258856699198</v>
      </c>
      <c r="F1190" s="116">
        <v>278.95</v>
      </c>
      <c r="G1190">
        <v>56784</v>
      </c>
      <c r="H1190" s="116"/>
      <c r="I1190" s="116"/>
      <c r="L1190" s="170">
        <v>43761</v>
      </c>
      <c r="M1190" s="116">
        <v>275.42653917402203</v>
      </c>
      <c r="N1190" s="116">
        <v>281.10594602448202</v>
      </c>
      <c r="O1190" s="116">
        <v>273.59925175257001</v>
      </c>
      <c r="P1190" s="116">
        <v>280.51331226617299</v>
      </c>
      <c r="Q1190" s="116">
        <v>278.85000000000002</v>
      </c>
      <c r="R1190">
        <v>1218611</v>
      </c>
    </row>
    <row r="1191" spans="1:18" x14ac:dyDescent="0.25">
      <c r="A1191" s="170">
        <v>43762</v>
      </c>
      <c r="B1191" s="116">
        <v>281.40197466293199</v>
      </c>
      <c r="C1191" s="116">
        <v>277.253542604019</v>
      </c>
      <c r="D1191" s="116">
        <v>274.63607951922802</v>
      </c>
      <c r="E1191" s="116">
        <v>274.63607951922802</v>
      </c>
      <c r="F1191" s="116">
        <v>280.7</v>
      </c>
      <c r="G1191">
        <v>89925</v>
      </c>
      <c r="H1191" s="116"/>
      <c r="I1191" s="116"/>
      <c r="L1191" s="170">
        <v>43762</v>
      </c>
      <c r="M1191" s="116">
        <v>277.64891576768002</v>
      </c>
      <c r="N1191" s="116">
        <v>281.50103519668698</v>
      </c>
      <c r="O1191" s="116">
        <v>274.68574697613599</v>
      </c>
      <c r="P1191" s="116">
        <v>275.57469761359903</v>
      </c>
      <c r="Q1191" s="116">
        <v>281.10000000000002</v>
      </c>
      <c r="R1191">
        <v>1320404</v>
      </c>
    </row>
    <row r="1192" spans="1:18" x14ac:dyDescent="0.25">
      <c r="A1192" s="170">
        <v>43763</v>
      </c>
      <c r="B1192" s="116">
        <v>278.53758109844398</v>
      </c>
      <c r="C1192" s="116">
        <v>275.87073191771401</v>
      </c>
      <c r="D1192" s="116">
        <v>274.09283246389401</v>
      </c>
      <c r="E1192" s="116">
        <v>278.53758109844398</v>
      </c>
      <c r="F1192" s="116">
        <v>279.3</v>
      </c>
      <c r="G1192">
        <v>47543</v>
      </c>
      <c r="H1192" s="116"/>
      <c r="I1192" s="116"/>
      <c r="L1192" s="170">
        <v>43763</v>
      </c>
      <c r="M1192" s="116">
        <v>276.16733137190801</v>
      </c>
      <c r="N1192" s="116">
        <v>278.48848025861798</v>
      </c>
      <c r="O1192" s="116">
        <v>273.94495477825001</v>
      </c>
      <c r="P1192" s="116">
        <v>278.48848025861798</v>
      </c>
      <c r="Q1192" s="116">
        <v>279.60000000000002</v>
      </c>
      <c r="R1192">
        <v>1338263</v>
      </c>
    </row>
    <row r="1193" spans="1:18" x14ac:dyDescent="0.25">
      <c r="A1193" s="170">
        <v>43765</v>
      </c>
      <c r="B1193" s="116">
        <v>277.79678965935199</v>
      </c>
      <c r="C1193" s="116">
        <v>276.31520678116902</v>
      </c>
      <c r="D1193" s="116">
        <v>274.73485171110701</v>
      </c>
      <c r="E1193" s="116">
        <v>276.16704849335099</v>
      </c>
      <c r="F1193" s="116">
        <v>279.75</v>
      </c>
      <c r="G1193">
        <v>24742</v>
      </c>
      <c r="H1193" s="116"/>
      <c r="I1193" s="116"/>
      <c r="L1193" s="170">
        <v>43765</v>
      </c>
      <c r="M1193" s="116">
        <v>276.41426210453699</v>
      </c>
      <c r="N1193" s="116">
        <v>278.19216337946301</v>
      </c>
      <c r="O1193" s="116">
        <v>274.73513312266198</v>
      </c>
      <c r="P1193" s="116">
        <v>276.16733137190801</v>
      </c>
      <c r="Q1193" s="116">
        <v>279.85000000000002</v>
      </c>
      <c r="R1193">
        <v>277674</v>
      </c>
    </row>
    <row r="1194" spans="1:18" x14ac:dyDescent="0.25">
      <c r="A1194" s="170">
        <v>43767</v>
      </c>
      <c r="B1194" s="116">
        <v>284.56268480305602</v>
      </c>
      <c r="C1194" s="116">
        <v>281.40197466293199</v>
      </c>
      <c r="D1194" s="116">
        <v>275.426257054259</v>
      </c>
      <c r="E1194" s="116">
        <v>276.611523356806</v>
      </c>
      <c r="F1194" s="116">
        <v>284.89999999999998</v>
      </c>
      <c r="G1194">
        <v>106751</v>
      </c>
      <c r="H1194" s="116"/>
      <c r="I1194" s="116"/>
      <c r="L1194" s="170">
        <v>43767</v>
      </c>
      <c r="M1194" s="116">
        <v>279.92067850786401</v>
      </c>
      <c r="N1194" s="116">
        <v>284.46420398823102</v>
      </c>
      <c r="O1194" s="116">
        <v>275.27838073444502</v>
      </c>
      <c r="P1194" s="116">
        <v>278.389707965566</v>
      </c>
      <c r="Q1194" s="116">
        <v>283.39999999999998</v>
      </c>
      <c r="R1194">
        <v>2690746</v>
      </c>
    </row>
    <row r="1195" spans="1:18" x14ac:dyDescent="0.25">
      <c r="A1195" s="170">
        <v>43768</v>
      </c>
      <c r="B1195" s="116">
        <v>291.32857994675902</v>
      </c>
      <c r="C1195" s="116">
        <v>288.31602809445297</v>
      </c>
      <c r="D1195" s="116">
        <v>281.40197466293199</v>
      </c>
      <c r="E1195" s="116">
        <v>284.46391261117702</v>
      </c>
      <c r="F1195" s="116">
        <v>291.89999999999998</v>
      </c>
      <c r="G1195">
        <v>370374</v>
      </c>
      <c r="H1195" s="116"/>
      <c r="I1195" s="116"/>
      <c r="L1195" s="170">
        <v>43768</v>
      </c>
      <c r="M1195" s="116">
        <v>288.168164977662</v>
      </c>
      <c r="N1195" s="116">
        <v>291.378264501834</v>
      </c>
      <c r="O1195" s="116">
        <v>281.20471831753298</v>
      </c>
      <c r="P1195" s="116">
        <v>284.46420398823102</v>
      </c>
      <c r="Q1195" s="116">
        <v>291.75</v>
      </c>
      <c r="R1195">
        <v>5628792</v>
      </c>
    </row>
    <row r="1196" spans="1:18" x14ac:dyDescent="0.25">
      <c r="A1196" s="170">
        <v>43769</v>
      </c>
      <c r="B1196" s="116">
        <v>315.824083532722</v>
      </c>
      <c r="C1196" s="116">
        <v>313.404164831689</v>
      </c>
      <c r="D1196" s="116">
        <v>281.50074685481002</v>
      </c>
      <c r="E1196" s="116">
        <v>288.46418638227198</v>
      </c>
      <c r="F1196" s="116">
        <v>317.3</v>
      </c>
      <c r="G1196">
        <v>1089616</v>
      </c>
      <c r="H1196" s="116"/>
      <c r="I1196" s="116"/>
      <c r="L1196" s="170">
        <v>43769</v>
      </c>
      <c r="M1196" s="116">
        <v>313.108168973158</v>
      </c>
      <c r="N1196" s="116">
        <v>315.87379317859899</v>
      </c>
      <c r="O1196" s="116">
        <v>280.21699538701802</v>
      </c>
      <c r="P1196" s="116">
        <v>286.439649849261</v>
      </c>
      <c r="Q1196" s="116">
        <v>317</v>
      </c>
      <c r="R1196">
        <v>21060789</v>
      </c>
    </row>
    <row r="1197" spans="1:18" x14ac:dyDescent="0.25">
      <c r="A1197" s="170">
        <v>43770</v>
      </c>
      <c r="B1197" s="116">
        <v>318.737863193149</v>
      </c>
      <c r="C1197" s="116">
        <v>301.15641303870802</v>
      </c>
      <c r="D1197" s="116">
        <v>300.662552079313</v>
      </c>
      <c r="E1197" s="116">
        <v>313.10784825605202</v>
      </c>
      <c r="F1197" s="116">
        <v>304.89999999999998</v>
      </c>
      <c r="G1197">
        <v>366900</v>
      </c>
      <c r="H1197" s="116"/>
      <c r="I1197" s="116"/>
      <c r="L1197" s="170">
        <v>43770</v>
      </c>
      <c r="M1197" s="116">
        <v>301.20610766045502</v>
      </c>
      <c r="N1197" s="116">
        <v>318.54064509098799</v>
      </c>
      <c r="O1197" s="116">
        <v>300.56408775562102</v>
      </c>
      <c r="P1197" s="116">
        <v>312.91062438705501</v>
      </c>
      <c r="Q1197" s="116">
        <v>304.95</v>
      </c>
      <c r="R1197">
        <v>9141707</v>
      </c>
    </row>
    <row r="1198" spans="1:18" x14ac:dyDescent="0.25">
      <c r="A1198" s="170">
        <v>43773</v>
      </c>
      <c r="B1198" s="116">
        <v>308.46555523774498</v>
      </c>
      <c r="C1198" s="116">
        <v>302.588609820952</v>
      </c>
      <c r="D1198" s="116">
        <v>297.79815851482601</v>
      </c>
      <c r="E1198" s="116">
        <v>301.25518523058702</v>
      </c>
      <c r="F1198" s="116">
        <v>306.35000000000002</v>
      </c>
      <c r="G1198">
        <v>213638</v>
      </c>
      <c r="H1198" s="116"/>
      <c r="I1198" s="116"/>
      <c r="L1198" s="170">
        <v>43773</v>
      </c>
      <c r="M1198" s="116">
        <v>302.835850495805</v>
      </c>
      <c r="N1198" s="116">
        <v>308.41648505321302</v>
      </c>
      <c r="O1198" s="116">
        <v>297.69969125712799</v>
      </c>
      <c r="P1198" s="116">
        <v>301.35426610003299</v>
      </c>
      <c r="Q1198" s="116">
        <v>306.60000000000002</v>
      </c>
      <c r="R1198">
        <v>5879974</v>
      </c>
    </row>
    <row r="1199" spans="1:18" x14ac:dyDescent="0.25">
      <c r="A1199" s="170">
        <v>43774</v>
      </c>
      <c r="B1199" s="116">
        <v>304.218350986953</v>
      </c>
      <c r="C1199" s="116">
        <v>296.81043659603699</v>
      </c>
      <c r="D1199" s="116">
        <v>296.069645156945</v>
      </c>
      <c r="E1199" s="116">
        <v>302.24290714937501</v>
      </c>
      <c r="F1199" s="116">
        <v>300.5</v>
      </c>
      <c r="G1199">
        <v>98255</v>
      </c>
      <c r="H1199" s="116"/>
      <c r="I1199" s="116"/>
      <c r="L1199" s="170">
        <v>43774</v>
      </c>
      <c r="M1199" s="116">
        <v>296.81074061966501</v>
      </c>
      <c r="N1199" s="116">
        <v>304.36682103810301</v>
      </c>
      <c r="O1199" s="116">
        <v>295.87240383567598</v>
      </c>
      <c r="P1199" s="116">
        <v>302.835850495805</v>
      </c>
      <c r="Q1199" s="116">
        <v>300.5</v>
      </c>
      <c r="R1199">
        <v>2621087</v>
      </c>
    </row>
    <row r="1200" spans="1:18" x14ac:dyDescent="0.25">
      <c r="A1200" s="170">
        <v>43775</v>
      </c>
      <c r="B1200" s="116">
        <v>302.09474886155698</v>
      </c>
      <c r="C1200" s="116">
        <v>296.66227830821902</v>
      </c>
      <c r="D1200" s="116">
        <v>293.50156816809402</v>
      </c>
      <c r="E1200" s="116">
        <v>293.50156816809402</v>
      </c>
      <c r="F1200" s="116">
        <v>300.35000000000002</v>
      </c>
      <c r="G1200">
        <v>157864</v>
      </c>
      <c r="H1200" s="116"/>
      <c r="I1200" s="116"/>
      <c r="L1200" s="170">
        <v>43775</v>
      </c>
      <c r="M1200" s="116">
        <v>296.21810686135598</v>
      </c>
      <c r="N1200" s="116">
        <v>302.04567215139298</v>
      </c>
      <c r="O1200" s="116">
        <v>295.32915622389299</v>
      </c>
      <c r="P1200" s="116">
        <v>296.31687915440801</v>
      </c>
      <c r="Q1200" s="116">
        <v>299.89999999999998</v>
      </c>
      <c r="R1200">
        <v>3708046</v>
      </c>
    </row>
    <row r="1201" spans="1:18" x14ac:dyDescent="0.25">
      <c r="A1201" s="170">
        <v>43776</v>
      </c>
      <c r="B1201" s="116">
        <v>298.83526652955402</v>
      </c>
      <c r="C1201" s="116">
        <v>297.25491145949201</v>
      </c>
      <c r="D1201" s="116">
        <v>292.95832111276098</v>
      </c>
      <c r="E1201" s="116">
        <v>296.36596173258198</v>
      </c>
      <c r="F1201" s="116">
        <v>300.95</v>
      </c>
      <c r="G1201">
        <v>98083</v>
      </c>
      <c r="H1201" s="116"/>
      <c r="I1201" s="116"/>
      <c r="L1201" s="170">
        <v>43776</v>
      </c>
      <c r="M1201" s="116">
        <v>297.15644364534501</v>
      </c>
      <c r="N1201" s="116">
        <v>298.78618648069403</v>
      </c>
      <c r="O1201" s="116">
        <v>292.66230431150302</v>
      </c>
      <c r="P1201" s="116">
        <v>296.81074061966501</v>
      </c>
      <c r="Q1201" s="116">
        <v>300.85000000000002</v>
      </c>
      <c r="R1201">
        <v>2003799</v>
      </c>
    </row>
    <row r="1202" spans="1:18" x14ac:dyDescent="0.25">
      <c r="A1202" s="170">
        <v>43777</v>
      </c>
      <c r="B1202" s="116">
        <v>295.32885371785397</v>
      </c>
      <c r="C1202" s="116">
        <v>291.27919385081998</v>
      </c>
      <c r="D1202" s="116">
        <v>290.29147193203102</v>
      </c>
      <c r="E1202" s="116">
        <v>295.32885371785397</v>
      </c>
      <c r="F1202" s="116">
        <v>294.89999999999998</v>
      </c>
      <c r="G1202">
        <v>306466</v>
      </c>
      <c r="H1202" s="116"/>
      <c r="I1202" s="116"/>
      <c r="L1202" s="170">
        <v>43777</v>
      </c>
      <c r="M1202" s="116">
        <v>291.57580908793699</v>
      </c>
      <c r="N1202" s="116">
        <v>295.32915622389299</v>
      </c>
      <c r="O1202" s="116">
        <v>290.39054157132</v>
      </c>
      <c r="P1202" s="116">
        <v>295.32915622389299</v>
      </c>
      <c r="Q1202" s="116">
        <v>295.2</v>
      </c>
      <c r="R1202">
        <v>4689759</v>
      </c>
    </row>
    <row r="1203" spans="1:18" x14ac:dyDescent="0.25">
      <c r="A1203" s="170">
        <v>43780</v>
      </c>
      <c r="B1203" s="116">
        <v>293.84727083967101</v>
      </c>
      <c r="C1203" s="116">
        <v>291.27919385081998</v>
      </c>
      <c r="D1203" s="116">
        <v>288.41480028633202</v>
      </c>
      <c r="E1203" s="116">
        <v>288.90866124572699</v>
      </c>
      <c r="F1203" s="116">
        <v>294.89999999999998</v>
      </c>
      <c r="G1203">
        <v>93863</v>
      </c>
      <c r="H1203" s="116"/>
      <c r="I1203" s="116"/>
      <c r="L1203" s="170">
        <v>43780</v>
      </c>
      <c r="M1203" s="116">
        <v>291.32887835530897</v>
      </c>
      <c r="N1203" s="116">
        <v>293.79818568159499</v>
      </c>
      <c r="O1203" s="116">
        <v>288.41509571029002</v>
      </c>
      <c r="P1203" s="116">
        <v>288.41509571029002</v>
      </c>
      <c r="Q1203" s="116">
        <v>294.95</v>
      </c>
      <c r="R1203">
        <v>3794293</v>
      </c>
    </row>
    <row r="1204" spans="1:18" x14ac:dyDescent="0.25">
      <c r="A1204" s="170">
        <v>43782</v>
      </c>
      <c r="B1204" s="116">
        <v>292.95832111276098</v>
      </c>
      <c r="C1204" s="116">
        <v>285.55040672184498</v>
      </c>
      <c r="D1204" s="116">
        <v>284.01943774772201</v>
      </c>
      <c r="E1204" s="116">
        <v>291.37796604269897</v>
      </c>
      <c r="F1204" s="116">
        <v>289.10000000000002</v>
      </c>
      <c r="G1204">
        <v>138531</v>
      </c>
      <c r="H1204" s="116"/>
      <c r="I1204" s="116"/>
      <c r="L1204" s="170">
        <v>43782</v>
      </c>
      <c r="M1204" s="116">
        <v>285.94578838400298</v>
      </c>
      <c r="N1204" s="116">
        <v>293.05739348370901</v>
      </c>
      <c r="O1204" s="116">
        <v>283.87157022992301</v>
      </c>
      <c r="P1204" s="116">
        <v>292.56353201845201</v>
      </c>
      <c r="Q1204" s="116">
        <v>289.5</v>
      </c>
      <c r="R1204">
        <v>2579434</v>
      </c>
    </row>
    <row r="1205" spans="1:18" x14ac:dyDescent="0.25">
      <c r="A1205" s="170">
        <v>43783</v>
      </c>
      <c r="B1205" s="116">
        <v>293.155865496518</v>
      </c>
      <c r="C1205" s="116">
        <v>291.92121309803201</v>
      </c>
      <c r="D1205" s="116">
        <v>281.698291238568</v>
      </c>
      <c r="E1205" s="116">
        <v>284.46391261117702</v>
      </c>
      <c r="F1205" s="116">
        <v>295.55</v>
      </c>
      <c r="G1205">
        <v>219825</v>
      </c>
      <c r="H1205" s="116"/>
      <c r="I1205" s="116"/>
      <c r="L1205" s="170">
        <v>43783</v>
      </c>
      <c r="M1205" s="116">
        <v>291.87212596709202</v>
      </c>
      <c r="N1205" s="116">
        <v>293.20555192328698</v>
      </c>
      <c r="O1205" s="116">
        <v>281.74796592931602</v>
      </c>
      <c r="P1205" s="116">
        <v>283.47648105771702</v>
      </c>
      <c r="Q1205" s="116">
        <v>295.5</v>
      </c>
      <c r="R1205">
        <v>4984429</v>
      </c>
    </row>
    <row r="1206" spans="1:18" x14ac:dyDescent="0.25">
      <c r="A1206" s="170">
        <v>43784</v>
      </c>
      <c r="B1206" s="116">
        <v>298.78588043361498</v>
      </c>
      <c r="C1206" s="116">
        <v>293.89665693561</v>
      </c>
      <c r="D1206" s="116">
        <v>291.37796604269897</v>
      </c>
      <c r="E1206" s="116">
        <v>291.37796604269897</v>
      </c>
      <c r="F1206" s="116">
        <v>297.55</v>
      </c>
      <c r="G1206">
        <v>328914</v>
      </c>
      <c r="H1206" s="116"/>
      <c r="I1206" s="116"/>
      <c r="L1206" s="170">
        <v>43784</v>
      </c>
      <c r="M1206" s="116">
        <v>294.09450256075002</v>
      </c>
      <c r="N1206" s="116">
        <v>298.78618648069403</v>
      </c>
      <c r="O1206" s="116">
        <v>291.92151211361698</v>
      </c>
      <c r="P1206" s="116">
        <v>291.92151211361698</v>
      </c>
      <c r="Q1206" s="116">
        <v>297.75</v>
      </c>
      <c r="R1206">
        <v>3644187</v>
      </c>
    </row>
    <row r="1207" spans="1:18" x14ac:dyDescent="0.25">
      <c r="A1207" s="170">
        <v>43787</v>
      </c>
      <c r="B1207" s="116">
        <v>303.18124297222499</v>
      </c>
      <c r="C1207" s="116">
        <v>301.55150180622297</v>
      </c>
      <c r="D1207" s="116">
        <v>290.39024412391001</v>
      </c>
      <c r="E1207" s="116">
        <v>291.37796604269897</v>
      </c>
      <c r="F1207" s="116">
        <v>305.3</v>
      </c>
      <c r="G1207">
        <v>200622</v>
      </c>
      <c r="H1207" s="116"/>
      <c r="I1207" s="116"/>
      <c r="L1207" s="170">
        <v>43787</v>
      </c>
      <c r="M1207" s="116">
        <v>301.55181068613598</v>
      </c>
      <c r="N1207" s="116">
        <v>303.23093966801099</v>
      </c>
      <c r="O1207" s="116">
        <v>292.85984889760601</v>
      </c>
      <c r="P1207" s="116">
        <v>292.85984889760601</v>
      </c>
      <c r="Q1207" s="116">
        <v>305.3</v>
      </c>
      <c r="R1207">
        <v>3635065</v>
      </c>
    </row>
    <row r="1208" spans="1:18" x14ac:dyDescent="0.25">
      <c r="A1208" s="170">
        <v>43788</v>
      </c>
      <c r="B1208" s="116">
        <v>304.860370234166</v>
      </c>
      <c r="C1208" s="116">
        <v>298.63772214579598</v>
      </c>
      <c r="D1208" s="116">
        <v>297.20552536355302</v>
      </c>
      <c r="E1208" s="116">
        <v>302.24290714937501</v>
      </c>
      <c r="F1208" s="116">
        <v>302.35000000000002</v>
      </c>
      <c r="G1208">
        <v>109769</v>
      </c>
      <c r="H1208" s="116"/>
      <c r="I1208" s="116"/>
      <c r="L1208" s="170">
        <v>43788</v>
      </c>
      <c r="M1208" s="116">
        <v>298.78618648069403</v>
      </c>
      <c r="N1208" s="116">
        <v>304.61375177073103</v>
      </c>
      <c r="O1208" s="116">
        <v>297.205829791871</v>
      </c>
      <c r="P1208" s="116">
        <v>302.68769205622698</v>
      </c>
      <c r="Q1208" s="116">
        <v>302.5</v>
      </c>
      <c r="R1208">
        <v>1672538</v>
      </c>
    </row>
    <row r="1209" spans="1:18" x14ac:dyDescent="0.25">
      <c r="A1209" s="170">
        <v>43789</v>
      </c>
      <c r="B1209" s="116">
        <v>305.10730071386303</v>
      </c>
      <c r="C1209" s="116">
        <v>302.63799591689099</v>
      </c>
      <c r="D1209" s="116">
        <v>297.45245584324999</v>
      </c>
      <c r="E1209" s="116">
        <v>305.10730071386303</v>
      </c>
      <c r="F1209" s="116">
        <v>306.39999999999998</v>
      </c>
      <c r="G1209">
        <v>147745</v>
      </c>
      <c r="H1209" s="116"/>
      <c r="I1209" s="116"/>
      <c r="L1209" s="170">
        <v>43789</v>
      </c>
      <c r="M1209" s="116">
        <v>303.033395081908</v>
      </c>
      <c r="N1209" s="116">
        <v>304.11989030547397</v>
      </c>
      <c r="O1209" s="116">
        <v>297.30460208492201</v>
      </c>
      <c r="P1209" s="116">
        <v>301.15672151392999</v>
      </c>
      <c r="Q1209" s="116">
        <v>306.8</v>
      </c>
      <c r="R1209">
        <v>2044550</v>
      </c>
    </row>
    <row r="1210" spans="1:18" x14ac:dyDescent="0.25">
      <c r="A1210" s="170">
        <v>43790</v>
      </c>
      <c r="B1210" s="116">
        <v>308.07046647022901</v>
      </c>
      <c r="C1210" s="116">
        <v>298.19324728234102</v>
      </c>
      <c r="D1210" s="116">
        <v>297.50184193918898</v>
      </c>
      <c r="E1210" s="116">
        <v>302.68738201283003</v>
      </c>
      <c r="F1210" s="116">
        <v>301.89999999999998</v>
      </c>
      <c r="G1210">
        <v>174776</v>
      </c>
      <c r="H1210" s="116"/>
      <c r="I1210" s="116"/>
      <c r="L1210" s="170">
        <v>43790</v>
      </c>
      <c r="M1210" s="116">
        <v>298.09478042933398</v>
      </c>
      <c r="N1210" s="116">
        <v>308.12016817405799</v>
      </c>
      <c r="O1210" s="116">
        <v>296.66258218008801</v>
      </c>
      <c r="P1210" s="116">
        <v>303.033395081908</v>
      </c>
      <c r="Q1210" s="116">
        <v>301.8</v>
      </c>
      <c r="R1210">
        <v>2983373</v>
      </c>
    </row>
    <row r="1211" spans="1:18" x14ac:dyDescent="0.25">
      <c r="A1211" s="170">
        <v>43791</v>
      </c>
      <c r="B1211" s="116">
        <v>298.83526652955402</v>
      </c>
      <c r="C1211" s="116">
        <v>295.97087296506697</v>
      </c>
      <c r="D1211" s="116">
        <v>293.155865496518</v>
      </c>
      <c r="E1211" s="116">
        <v>296.46473392446097</v>
      </c>
      <c r="F1211" s="116">
        <v>299.64999999999998</v>
      </c>
      <c r="G1211">
        <v>121136</v>
      </c>
      <c r="H1211" s="116"/>
      <c r="I1211" s="116"/>
      <c r="L1211" s="170">
        <v>43791</v>
      </c>
      <c r="M1211" s="116">
        <v>295.92178998220197</v>
      </c>
      <c r="N1211" s="116">
        <v>299.28004794595199</v>
      </c>
      <c r="O1211" s="116">
        <v>293.05739348370901</v>
      </c>
      <c r="P1211" s="116">
        <v>299.28004794595199</v>
      </c>
      <c r="Q1211" s="116">
        <v>299.60000000000002</v>
      </c>
      <c r="R1211">
        <v>2167799</v>
      </c>
    </row>
    <row r="1212" spans="1:18" x14ac:dyDescent="0.25">
      <c r="A1212" s="170">
        <v>43794</v>
      </c>
      <c r="B1212" s="116">
        <v>301.99597666967799</v>
      </c>
      <c r="C1212" s="116">
        <v>298.83526652955402</v>
      </c>
      <c r="D1212" s="116">
        <v>295.32885371785397</v>
      </c>
      <c r="E1212" s="116">
        <v>295.32885371785397</v>
      </c>
      <c r="F1212" s="116">
        <v>302.55</v>
      </c>
      <c r="G1212">
        <v>104911</v>
      </c>
      <c r="H1212" s="116"/>
      <c r="I1212" s="116"/>
      <c r="L1212" s="170">
        <v>43794</v>
      </c>
      <c r="M1212" s="116">
        <v>298.44048345501398</v>
      </c>
      <c r="N1212" s="116">
        <v>301.89751371181598</v>
      </c>
      <c r="O1212" s="116">
        <v>295.37854237041898</v>
      </c>
      <c r="P1212" s="116">
        <v>296.21810686135598</v>
      </c>
      <c r="Q1212" s="116">
        <v>302.14999999999998</v>
      </c>
      <c r="R1212">
        <v>1483132</v>
      </c>
    </row>
    <row r="1213" spans="1:18" x14ac:dyDescent="0.25">
      <c r="A1213" s="170">
        <v>43795</v>
      </c>
      <c r="B1213" s="116">
        <v>302.24290714937501</v>
      </c>
      <c r="C1213" s="116">
        <v>295.72394248536898</v>
      </c>
      <c r="D1213" s="116">
        <v>294.58806227876198</v>
      </c>
      <c r="E1213" s="116">
        <v>302.24290714937501</v>
      </c>
      <c r="F1213" s="116">
        <v>299.39999999999998</v>
      </c>
      <c r="G1213">
        <v>111146</v>
      </c>
      <c r="H1213" s="116"/>
      <c r="I1213" s="116"/>
      <c r="L1213" s="170">
        <v>43795</v>
      </c>
      <c r="M1213" s="116">
        <v>295.82301768914999</v>
      </c>
      <c r="N1213" s="116">
        <v>301.304879953507</v>
      </c>
      <c r="O1213" s="116">
        <v>294.39081943990402</v>
      </c>
      <c r="P1213" s="116">
        <v>300.07022629036402</v>
      </c>
      <c r="Q1213" s="116">
        <v>299.5</v>
      </c>
      <c r="R1213">
        <v>2171513</v>
      </c>
    </row>
    <row r="1214" spans="1:18" x14ac:dyDescent="0.25">
      <c r="A1214" s="170">
        <v>43796</v>
      </c>
      <c r="B1214" s="116">
        <v>304.76159804228701</v>
      </c>
      <c r="C1214" s="116">
        <v>303.82326221943799</v>
      </c>
      <c r="D1214" s="116">
        <v>295.032537142217</v>
      </c>
      <c r="E1214" s="116">
        <v>299.27974139300898</v>
      </c>
      <c r="F1214" s="116">
        <v>307.60000000000002</v>
      </c>
      <c r="G1214">
        <v>136874</v>
      </c>
      <c r="H1214" s="116"/>
      <c r="I1214" s="116"/>
      <c r="L1214" s="170">
        <v>43796</v>
      </c>
      <c r="M1214" s="116">
        <v>303.57664269369099</v>
      </c>
      <c r="N1214" s="116">
        <v>304.910068649886</v>
      </c>
      <c r="O1214" s="116">
        <v>295.03283934473899</v>
      </c>
      <c r="P1214" s="116">
        <v>297.30460208492201</v>
      </c>
      <c r="Q1214" s="116">
        <v>307.35000000000002</v>
      </c>
      <c r="R1214">
        <v>2647248</v>
      </c>
    </row>
    <row r="1215" spans="1:18" x14ac:dyDescent="0.25">
      <c r="A1215" s="170">
        <v>43797</v>
      </c>
      <c r="B1215" s="116">
        <v>317.70075517842002</v>
      </c>
      <c r="C1215" s="116">
        <v>314.83636161393298</v>
      </c>
      <c r="D1215" s="116">
        <v>303.42817345192202</v>
      </c>
      <c r="E1215" s="116">
        <v>305.20607290574202</v>
      </c>
      <c r="F1215" s="116">
        <v>318.75</v>
      </c>
      <c r="G1215">
        <v>367125</v>
      </c>
      <c r="H1215" s="116"/>
      <c r="I1215" s="116"/>
      <c r="L1215" s="170">
        <v>43797</v>
      </c>
      <c r="M1215" s="116">
        <v>314.78729795503301</v>
      </c>
      <c r="N1215" s="116">
        <v>317.79985289310201</v>
      </c>
      <c r="O1215" s="116">
        <v>303.72480113326799</v>
      </c>
      <c r="P1215" s="116">
        <v>304.31743489157702</v>
      </c>
      <c r="Q1215" s="116">
        <v>318.7</v>
      </c>
      <c r="R1215">
        <v>8388284</v>
      </c>
    </row>
    <row r="1216" spans="1:18" x14ac:dyDescent="0.25">
      <c r="A1216" s="170">
        <v>43798</v>
      </c>
      <c r="B1216" s="116">
        <v>321.00962360636299</v>
      </c>
      <c r="C1216" s="116">
        <v>319.08356586472502</v>
      </c>
      <c r="D1216" s="116">
        <v>310.68792955501999</v>
      </c>
      <c r="E1216" s="116">
        <v>314.98451990175101</v>
      </c>
      <c r="F1216" s="116">
        <v>323.05</v>
      </c>
      <c r="G1216">
        <v>526358</v>
      </c>
      <c r="H1216" s="116"/>
      <c r="I1216" s="116"/>
      <c r="L1216" s="170">
        <v>43798</v>
      </c>
      <c r="M1216" s="116">
        <v>319.18266499582302</v>
      </c>
      <c r="N1216" s="116">
        <v>320.91118012422402</v>
      </c>
      <c r="O1216" s="116">
        <v>310.68824779339701</v>
      </c>
      <c r="P1216" s="116">
        <v>314.095891903672</v>
      </c>
      <c r="Q1216" s="116">
        <v>323.14999999999998</v>
      </c>
      <c r="R1216">
        <v>4891923</v>
      </c>
    </row>
    <row r="1217" spans="1:18" x14ac:dyDescent="0.25">
      <c r="A1217" s="170">
        <v>43801</v>
      </c>
      <c r="B1217" s="116">
        <v>321.89857333327302</v>
      </c>
      <c r="C1217" s="116">
        <v>312.95968996823399</v>
      </c>
      <c r="D1217" s="116">
        <v>312.16951243320301</v>
      </c>
      <c r="E1217" s="116">
        <v>321.89857333327302</v>
      </c>
      <c r="F1217" s="116">
        <v>316.85000000000002</v>
      </c>
      <c r="G1217">
        <v>188155</v>
      </c>
      <c r="H1217" s="116"/>
      <c r="I1217" s="116"/>
      <c r="L1217" s="170">
        <v>43801</v>
      </c>
      <c r="M1217" s="116">
        <v>312.91062438705501</v>
      </c>
      <c r="N1217" s="116">
        <v>321.30626929642898</v>
      </c>
      <c r="O1217" s="116">
        <v>312.12044604264298</v>
      </c>
      <c r="P1217" s="116">
        <v>320.81240783117198</v>
      </c>
      <c r="Q1217" s="116">
        <v>316.8</v>
      </c>
      <c r="R1217">
        <v>2025042</v>
      </c>
    </row>
    <row r="1218" spans="1:18" x14ac:dyDescent="0.25">
      <c r="A1218" s="170">
        <v>43802</v>
      </c>
      <c r="B1218" s="116">
        <v>316.07101401241903</v>
      </c>
      <c r="C1218" s="116">
        <v>310.63854345907998</v>
      </c>
      <c r="D1218" s="116">
        <v>306.58888359204599</v>
      </c>
      <c r="E1218" s="116">
        <v>316.07101401241903</v>
      </c>
      <c r="F1218" s="116">
        <v>314.5</v>
      </c>
      <c r="G1218">
        <v>93235</v>
      </c>
      <c r="H1218" s="116"/>
      <c r="I1218" s="116"/>
      <c r="L1218" s="170">
        <v>43802</v>
      </c>
      <c r="M1218" s="116">
        <v>310.54008935381898</v>
      </c>
      <c r="N1218" s="116">
        <v>312.91062438705501</v>
      </c>
      <c r="O1218" s="116">
        <v>306.39165304565802</v>
      </c>
      <c r="P1218" s="116">
        <v>312.31799062874597</v>
      </c>
      <c r="Q1218" s="116">
        <v>314.39999999999998</v>
      </c>
      <c r="R1218">
        <v>1564692</v>
      </c>
    </row>
    <row r="1219" spans="1:18" x14ac:dyDescent="0.25">
      <c r="A1219" s="170">
        <v>43803</v>
      </c>
      <c r="B1219" s="116">
        <v>316.07101401241903</v>
      </c>
      <c r="C1219" s="116">
        <v>315.23145038144798</v>
      </c>
      <c r="D1219" s="116">
        <v>307.87292208647199</v>
      </c>
      <c r="E1219" s="116">
        <v>309.15696058089702</v>
      </c>
      <c r="F1219" s="116">
        <v>319.14999999999998</v>
      </c>
      <c r="G1219">
        <v>107088</v>
      </c>
      <c r="H1219" s="116"/>
      <c r="I1219" s="116"/>
      <c r="L1219" s="170">
        <v>43803</v>
      </c>
      <c r="M1219" s="116">
        <v>314.98484254113498</v>
      </c>
      <c r="N1219" s="116">
        <v>316.02195161817599</v>
      </c>
      <c r="O1219" s="116">
        <v>307.82385129490399</v>
      </c>
      <c r="P1219" s="116">
        <v>308.36709890668698</v>
      </c>
      <c r="Q1219" s="116">
        <v>318.89999999999998</v>
      </c>
      <c r="R1219">
        <v>1659772</v>
      </c>
    </row>
    <row r="1220" spans="1:18" x14ac:dyDescent="0.25">
      <c r="A1220" s="170">
        <v>43804</v>
      </c>
      <c r="B1220" s="116">
        <v>318.737863193149</v>
      </c>
      <c r="C1220" s="116">
        <v>311.52749318599001</v>
      </c>
      <c r="D1220" s="116">
        <v>308.86064400526101</v>
      </c>
      <c r="E1220" s="116">
        <v>318.54031880939101</v>
      </c>
      <c r="F1220" s="116">
        <v>315.39999999999998</v>
      </c>
      <c r="G1220">
        <v>270104</v>
      </c>
      <c r="H1220" s="116"/>
      <c r="I1220" s="116"/>
      <c r="L1220" s="170">
        <v>43804</v>
      </c>
      <c r="M1220" s="116">
        <v>311.725356870437</v>
      </c>
      <c r="N1220" s="116">
        <v>317.99739747920501</v>
      </c>
      <c r="O1220" s="116">
        <v>308.66341578584098</v>
      </c>
      <c r="P1220" s="116">
        <v>317.355377574371</v>
      </c>
      <c r="Q1220" s="116">
        <v>315.60000000000002</v>
      </c>
      <c r="R1220">
        <v>2887465</v>
      </c>
    </row>
    <row r="1221" spans="1:18" x14ac:dyDescent="0.25">
      <c r="A1221" s="170">
        <v>43805</v>
      </c>
      <c r="B1221" s="116">
        <v>315.87346962866098</v>
      </c>
      <c r="C1221" s="116">
        <v>309.84836592404901</v>
      </c>
      <c r="D1221" s="116">
        <v>308.56432742962397</v>
      </c>
      <c r="E1221" s="116">
        <v>309.65082154029199</v>
      </c>
      <c r="F1221" s="116">
        <v>313.7</v>
      </c>
      <c r="G1221">
        <v>70144</v>
      </c>
      <c r="H1221" s="116"/>
      <c r="I1221" s="116"/>
      <c r="L1221" s="170">
        <v>43805</v>
      </c>
      <c r="M1221" s="116">
        <v>309.89806944898498</v>
      </c>
      <c r="N1221" s="116">
        <v>315.92317932512401</v>
      </c>
      <c r="O1221" s="116">
        <v>308.66341578584098</v>
      </c>
      <c r="P1221" s="116">
        <v>312.12044604264298</v>
      </c>
      <c r="Q1221" s="116">
        <v>313.75</v>
      </c>
      <c r="R1221">
        <v>1692801</v>
      </c>
    </row>
    <row r="1222" spans="1:18" x14ac:dyDescent="0.25">
      <c r="A1222" s="170">
        <v>43808</v>
      </c>
      <c r="B1222" s="116">
        <v>312.95968996823399</v>
      </c>
      <c r="C1222" s="116">
        <v>311.626265377869</v>
      </c>
      <c r="D1222" s="116">
        <v>307.675377702714</v>
      </c>
      <c r="E1222" s="116">
        <v>309.15696058089702</v>
      </c>
      <c r="F1222" s="116">
        <v>315.5</v>
      </c>
      <c r="G1222">
        <v>81768</v>
      </c>
      <c r="H1222" s="116"/>
      <c r="I1222" s="116"/>
      <c r="L1222" s="170">
        <v>43808</v>
      </c>
      <c r="M1222" s="116">
        <v>311.57719843085999</v>
      </c>
      <c r="N1222" s="116">
        <v>313.108168973158</v>
      </c>
      <c r="O1222" s="116">
        <v>307.72507900185201</v>
      </c>
      <c r="P1222" s="116">
        <v>308.26832661363602</v>
      </c>
      <c r="Q1222" s="116">
        <v>315.45</v>
      </c>
      <c r="R1222">
        <v>1118398</v>
      </c>
    </row>
    <row r="1223" spans="1:18" x14ac:dyDescent="0.25">
      <c r="A1223" s="170">
        <v>43809</v>
      </c>
      <c r="B1223" s="116">
        <v>312.12012633726403</v>
      </c>
      <c r="C1223" s="116">
        <v>309.05818838901803</v>
      </c>
      <c r="D1223" s="116">
        <v>307.675377702714</v>
      </c>
      <c r="E1223" s="116">
        <v>312.12012633726403</v>
      </c>
      <c r="F1223" s="116">
        <v>312.89999999999998</v>
      </c>
      <c r="G1223">
        <v>97464</v>
      </c>
      <c r="H1223" s="116"/>
      <c r="I1223" s="116"/>
      <c r="L1223" s="170">
        <v>43809</v>
      </c>
      <c r="M1223" s="116">
        <v>309.009118811522</v>
      </c>
      <c r="N1223" s="116">
        <v>313.108168973158</v>
      </c>
      <c r="O1223" s="116">
        <v>307.52753441574998</v>
      </c>
      <c r="P1223" s="116">
        <v>312.12044604264298</v>
      </c>
      <c r="Q1223" s="116">
        <v>312.85000000000002</v>
      </c>
      <c r="R1223">
        <v>1292439</v>
      </c>
    </row>
    <row r="1224" spans="1:18" x14ac:dyDescent="0.25">
      <c r="A1224" s="170">
        <v>43810</v>
      </c>
      <c r="B1224" s="116">
        <v>311.626265377869</v>
      </c>
      <c r="C1224" s="116">
        <v>310.73731565095898</v>
      </c>
      <c r="D1224" s="116">
        <v>305.69993386513602</v>
      </c>
      <c r="E1224" s="116">
        <v>308.61371352556301</v>
      </c>
      <c r="F1224" s="116">
        <v>314.60000000000002</v>
      </c>
      <c r="G1224">
        <v>120077</v>
      </c>
      <c r="H1224" s="116"/>
      <c r="I1224" s="116"/>
      <c r="L1224" s="170">
        <v>43810</v>
      </c>
      <c r="M1224" s="116">
        <v>310.49070320729402</v>
      </c>
      <c r="N1224" s="116">
        <v>311.62658457738502</v>
      </c>
      <c r="O1224" s="116">
        <v>305.55208855472</v>
      </c>
      <c r="P1224" s="116">
        <v>307.67569285532699</v>
      </c>
      <c r="Q1224" s="116">
        <v>314.35000000000002</v>
      </c>
      <c r="R1224">
        <v>1854516</v>
      </c>
    </row>
    <row r="1225" spans="1:18" x14ac:dyDescent="0.25">
      <c r="A1225" s="170">
        <v>43811</v>
      </c>
      <c r="B1225" s="116">
        <v>323.47892840333498</v>
      </c>
      <c r="C1225" s="116">
        <v>319.62681292005902</v>
      </c>
      <c r="D1225" s="116">
        <v>308.66309962150302</v>
      </c>
      <c r="E1225" s="116">
        <v>308.66309962150302</v>
      </c>
      <c r="F1225" s="116">
        <v>323.60000000000002</v>
      </c>
      <c r="G1225">
        <v>426735</v>
      </c>
      <c r="H1225" s="116"/>
      <c r="I1225" s="116"/>
      <c r="L1225" s="170">
        <v>43811</v>
      </c>
      <c r="M1225" s="116">
        <v>319.577754168029</v>
      </c>
      <c r="N1225" s="116">
        <v>323.528645890088</v>
      </c>
      <c r="O1225" s="116">
        <v>310.49070320729402</v>
      </c>
      <c r="P1225" s="116">
        <v>310.73763393992198</v>
      </c>
      <c r="Q1225" s="116">
        <v>323.55</v>
      </c>
      <c r="R1225">
        <v>5568413</v>
      </c>
    </row>
    <row r="1226" spans="1:18" x14ac:dyDescent="0.25">
      <c r="A1226" s="170">
        <v>43812</v>
      </c>
      <c r="B1226" s="116">
        <v>325.94823320030702</v>
      </c>
      <c r="C1226" s="116">
        <v>323.87401717084998</v>
      </c>
      <c r="D1226" s="116">
        <v>317.84891346623903</v>
      </c>
      <c r="E1226" s="116">
        <v>322.78752306018299</v>
      </c>
      <c r="F1226" s="116">
        <v>327.9</v>
      </c>
      <c r="G1226">
        <v>203041</v>
      </c>
      <c r="H1226" s="116"/>
      <c r="I1226" s="116"/>
      <c r="L1226" s="170">
        <v>43812</v>
      </c>
      <c r="M1226" s="116">
        <v>324.022507355345</v>
      </c>
      <c r="N1226" s="116">
        <v>325.99795321637401</v>
      </c>
      <c r="O1226" s="116">
        <v>317.65169445352501</v>
      </c>
      <c r="P1226" s="116">
        <v>319.923457193709</v>
      </c>
      <c r="Q1226" s="116">
        <v>328.05</v>
      </c>
      <c r="R1226">
        <v>4606412</v>
      </c>
    </row>
    <row r="1227" spans="1:18" x14ac:dyDescent="0.25">
      <c r="A1227" s="170">
        <v>43815</v>
      </c>
      <c r="B1227" s="116">
        <v>325.65191662466998</v>
      </c>
      <c r="C1227" s="116">
        <v>318.14523004187498</v>
      </c>
      <c r="D1227" s="116">
        <v>316.86119154745001</v>
      </c>
      <c r="E1227" s="116">
        <v>325.65191662466998</v>
      </c>
      <c r="F1227" s="116">
        <v>322.10000000000002</v>
      </c>
      <c r="G1227">
        <v>327615</v>
      </c>
      <c r="H1227" s="116"/>
      <c r="I1227" s="116"/>
      <c r="L1227" s="170">
        <v>43815</v>
      </c>
      <c r="M1227" s="116">
        <v>318.29371435835998</v>
      </c>
      <c r="N1227" s="116">
        <v>325.35593331154001</v>
      </c>
      <c r="O1227" s="116">
        <v>316.61458537648502</v>
      </c>
      <c r="P1227" s="116">
        <v>324.96084413933397</v>
      </c>
      <c r="Q1227" s="116">
        <v>322.25</v>
      </c>
      <c r="R1227">
        <v>2144758</v>
      </c>
    </row>
    <row r="1228" spans="1:18" x14ac:dyDescent="0.25">
      <c r="A1228" s="170">
        <v>43816</v>
      </c>
      <c r="B1228" s="116">
        <v>325.75068881654897</v>
      </c>
      <c r="C1228" s="116">
        <v>321.25655408606002</v>
      </c>
      <c r="D1228" s="116">
        <v>318.63909100127</v>
      </c>
      <c r="E1228" s="116">
        <v>322.88629525206198</v>
      </c>
      <c r="F1228" s="116">
        <v>325.25</v>
      </c>
      <c r="G1228">
        <v>148213</v>
      </c>
      <c r="H1228" s="116"/>
      <c r="I1228" s="116"/>
      <c r="L1228" s="170">
        <v>43816</v>
      </c>
      <c r="M1228" s="116">
        <v>321.15811085685198</v>
      </c>
      <c r="N1228" s="116">
        <v>325.84979477679701</v>
      </c>
      <c r="O1228" s="116">
        <v>318.59003123751398</v>
      </c>
      <c r="P1228" s="116">
        <v>319.82468490065702</v>
      </c>
      <c r="Q1228" s="116">
        <v>325.14999999999998</v>
      </c>
      <c r="R1228">
        <v>2918086</v>
      </c>
    </row>
    <row r="1229" spans="1:18" x14ac:dyDescent="0.25">
      <c r="A1229" s="170">
        <v>43817</v>
      </c>
      <c r="B1229" s="116">
        <v>323.38015621145598</v>
      </c>
      <c r="C1229" s="116">
        <v>307.97169427835098</v>
      </c>
      <c r="D1229" s="116">
        <v>301.304571326526</v>
      </c>
      <c r="E1229" s="116">
        <v>323.38015621145598</v>
      </c>
      <c r="F1229" s="116">
        <v>311.8</v>
      </c>
      <c r="G1229">
        <v>261362</v>
      </c>
      <c r="H1229" s="116"/>
      <c r="I1229" s="116"/>
      <c r="L1229" s="170">
        <v>43817</v>
      </c>
      <c r="M1229" s="116">
        <v>308.51525734626398</v>
      </c>
      <c r="N1229" s="116">
        <v>322.442150666521</v>
      </c>
      <c r="O1229" s="116">
        <v>300.86040463477502</v>
      </c>
      <c r="P1229" s="116">
        <v>321.00995241727497</v>
      </c>
      <c r="Q1229" s="116">
        <v>312.35000000000002</v>
      </c>
      <c r="R1229">
        <v>4790723</v>
      </c>
    </row>
    <row r="1230" spans="1:18" x14ac:dyDescent="0.25">
      <c r="A1230" s="170">
        <v>43818</v>
      </c>
      <c r="B1230" s="116">
        <v>312.51521510477897</v>
      </c>
      <c r="C1230" s="116">
        <v>310.04591030780699</v>
      </c>
      <c r="D1230" s="116">
        <v>305.20607290574202</v>
      </c>
      <c r="E1230" s="116">
        <v>307.23090283925899</v>
      </c>
      <c r="F1230" s="116">
        <v>313.89999999999998</v>
      </c>
      <c r="G1230">
        <v>282070</v>
      </c>
      <c r="H1230" s="116"/>
      <c r="I1230" s="116"/>
      <c r="L1230" s="170">
        <v>43818</v>
      </c>
      <c r="M1230" s="116">
        <v>310.09561403508798</v>
      </c>
      <c r="N1230" s="116">
        <v>312.46614906832298</v>
      </c>
      <c r="O1230" s="116">
        <v>305.30515782209102</v>
      </c>
      <c r="P1230" s="116">
        <v>308.56464349279003</v>
      </c>
      <c r="Q1230" s="116">
        <v>313.95</v>
      </c>
      <c r="R1230">
        <v>5360691</v>
      </c>
    </row>
    <row r="1231" spans="1:18" x14ac:dyDescent="0.25">
      <c r="A1231" s="170">
        <v>43819</v>
      </c>
      <c r="B1231" s="116">
        <v>310.93486003471702</v>
      </c>
      <c r="C1231" s="116">
        <v>308.61371352556301</v>
      </c>
      <c r="D1231" s="116">
        <v>307.675377702714</v>
      </c>
      <c r="E1231" s="116">
        <v>310.19406859562503</v>
      </c>
      <c r="F1231" s="116">
        <v>312.45</v>
      </c>
      <c r="G1231">
        <v>121965</v>
      </c>
      <c r="H1231" s="116"/>
      <c r="I1231" s="116"/>
      <c r="L1231" s="170">
        <v>43819</v>
      </c>
      <c r="M1231" s="116">
        <v>308.81157422541901</v>
      </c>
      <c r="N1231" s="116">
        <v>311.13272311212802</v>
      </c>
      <c r="O1231" s="116">
        <v>307.428762122698</v>
      </c>
      <c r="P1231" s="116">
        <v>309.502980276779</v>
      </c>
      <c r="Q1231" s="116">
        <v>312.64999999999998</v>
      </c>
      <c r="R1231">
        <v>1799384</v>
      </c>
    </row>
    <row r="1232" spans="1:18" x14ac:dyDescent="0.25">
      <c r="A1232" s="170">
        <v>43822</v>
      </c>
      <c r="B1232" s="116">
        <v>318.58970490533</v>
      </c>
      <c r="C1232" s="116">
        <v>310.93486003471702</v>
      </c>
      <c r="D1232" s="116">
        <v>309.947138115928</v>
      </c>
      <c r="E1232" s="116">
        <v>315.03390599769102</v>
      </c>
      <c r="F1232" s="116">
        <v>314.8</v>
      </c>
      <c r="G1232">
        <v>183842</v>
      </c>
      <c r="H1232" s="116"/>
      <c r="I1232" s="116"/>
      <c r="L1232" s="170">
        <v>43822</v>
      </c>
      <c r="M1232" s="116">
        <v>311.03395081907701</v>
      </c>
      <c r="N1232" s="116">
        <v>318.93573426319398</v>
      </c>
      <c r="O1232" s="116">
        <v>309.84868330245899</v>
      </c>
      <c r="P1232" s="116">
        <v>314.29343648977499</v>
      </c>
      <c r="Q1232" s="116">
        <v>314.89999999999998</v>
      </c>
      <c r="R1232">
        <v>6065714</v>
      </c>
    </row>
    <row r="1233" spans="1:18" x14ac:dyDescent="0.25">
      <c r="A1233" s="170">
        <v>43823</v>
      </c>
      <c r="B1233" s="116">
        <v>315.08329209363001</v>
      </c>
      <c r="C1233" s="116">
        <v>311.231176610354</v>
      </c>
      <c r="D1233" s="116">
        <v>308.71248571744201</v>
      </c>
      <c r="E1233" s="116">
        <v>315.08329209363001</v>
      </c>
      <c r="F1233" s="116">
        <v>315.10000000000002</v>
      </c>
      <c r="G1233">
        <v>65922</v>
      </c>
      <c r="H1233" s="116"/>
      <c r="I1233" s="116"/>
      <c r="L1233" s="170">
        <v>43823</v>
      </c>
      <c r="M1233" s="116">
        <v>311.47842613780801</v>
      </c>
      <c r="N1233" s="116">
        <v>314.49098107587798</v>
      </c>
      <c r="O1233" s="116">
        <v>308.66341578584098</v>
      </c>
      <c r="P1233" s="116">
        <v>311.18210925865401</v>
      </c>
      <c r="Q1233" s="116">
        <v>315.35000000000002</v>
      </c>
      <c r="R1233">
        <v>1933222</v>
      </c>
    </row>
    <row r="1234" spans="1:18" x14ac:dyDescent="0.25">
      <c r="A1234" s="170">
        <v>43825</v>
      </c>
      <c r="B1234" s="116">
        <v>315.62653914896401</v>
      </c>
      <c r="C1234" s="116">
        <v>308.95941619713898</v>
      </c>
      <c r="D1234" s="116">
        <v>308.26801085398699</v>
      </c>
      <c r="E1234" s="116">
        <v>312.12012633726403</v>
      </c>
      <c r="F1234" s="116">
        <v>312.8</v>
      </c>
      <c r="G1234">
        <v>122343</v>
      </c>
      <c r="H1234" s="116"/>
      <c r="I1234" s="116"/>
      <c r="L1234" s="170">
        <v>43825</v>
      </c>
      <c r="M1234" s="116">
        <v>309.05850495804702</v>
      </c>
      <c r="N1234" s="116">
        <v>315.77502088554701</v>
      </c>
      <c r="O1234" s="116">
        <v>308.21894046710997</v>
      </c>
      <c r="P1234" s="116">
        <v>311.13272311212802</v>
      </c>
      <c r="Q1234" s="116">
        <v>312.89999999999998</v>
      </c>
      <c r="R1234">
        <v>3323173</v>
      </c>
    </row>
    <row r="1235" spans="1:18" x14ac:dyDescent="0.25">
      <c r="A1235" s="170">
        <v>43826</v>
      </c>
      <c r="B1235" s="116">
        <v>315.57715305302401</v>
      </c>
      <c r="C1235" s="116">
        <v>314.58943113423601</v>
      </c>
      <c r="D1235" s="116">
        <v>309.15696058089702</v>
      </c>
      <c r="E1235" s="116">
        <v>309.15696058089702</v>
      </c>
      <c r="F1235" s="116">
        <v>318.5</v>
      </c>
      <c r="G1235">
        <v>284453</v>
      </c>
      <c r="H1235" s="116"/>
      <c r="I1235" s="116"/>
      <c r="L1235" s="170">
        <v>43826</v>
      </c>
      <c r="M1235" s="116">
        <v>314.54036722240397</v>
      </c>
      <c r="N1235" s="116">
        <v>315.57747629944402</v>
      </c>
      <c r="O1235" s="116">
        <v>309.157277251099</v>
      </c>
      <c r="P1235" s="116">
        <v>310.145000181613</v>
      </c>
      <c r="Q1235" s="116">
        <v>318.45</v>
      </c>
      <c r="R1235">
        <v>2357762</v>
      </c>
    </row>
    <row r="1236" spans="1:18" x14ac:dyDescent="0.25">
      <c r="A1236" s="170">
        <v>43829</v>
      </c>
      <c r="B1236" s="116">
        <v>318.737863193149</v>
      </c>
      <c r="C1236" s="116">
        <v>317.40443860278401</v>
      </c>
      <c r="D1236" s="116">
        <v>313.35477873575002</v>
      </c>
      <c r="E1236" s="116">
        <v>314.98451990175101</v>
      </c>
      <c r="F1236" s="116">
        <v>321.35000000000002</v>
      </c>
      <c r="G1236">
        <v>110167</v>
      </c>
      <c r="H1236" s="116"/>
      <c r="I1236" s="116"/>
      <c r="L1236" s="170">
        <v>43829</v>
      </c>
      <c r="M1236" s="116">
        <v>317.45414986742202</v>
      </c>
      <c r="N1236" s="116">
        <v>318.78757582361698</v>
      </c>
      <c r="O1236" s="116">
        <v>313.15755511968302</v>
      </c>
      <c r="P1236" s="116">
        <v>314.54036722240397</v>
      </c>
      <c r="Q1236" s="116">
        <v>321.39999999999998</v>
      </c>
      <c r="R1236">
        <v>2910244</v>
      </c>
    </row>
    <row r="1237" spans="1:18" x14ac:dyDescent="0.25">
      <c r="A1237" s="170">
        <v>43830</v>
      </c>
      <c r="B1237" s="116">
        <v>321.79980114139403</v>
      </c>
      <c r="C1237" s="116">
        <v>317.10812202714698</v>
      </c>
      <c r="D1237" s="116">
        <v>315.824083532722</v>
      </c>
      <c r="E1237" s="116">
        <v>318.04645784999599</v>
      </c>
      <c r="F1237" s="116">
        <v>321.05</v>
      </c>
      <c r="G1237">
        <v>198466</v>
      </c>
      <c r="H1237" s="116"/>
      <c r="I1237" s="116"/>
      <c r="L1237" s="170">
        <v>43830</v>
      </c>
      <c r="M1237" s="116">
        <v>317.40476372089603</v>
      </c>
      <c r="N1237" s="116">
        <v>321.99767534778999</v>
      </c>
      <c r="O1237" s="116">
        <v>315.67624859249599</v>
      </c>
      <c r="P1237" s="116">
        <v>317.45414986742202</v>
      </c>
      <c r="Q1237" s="116">
        <v>321.35000000000002</v>
      </c>
      <c r="R1237">
        <v>2616389</v>
      </c>
    </row>
    <row r="1238" spans="1:18" x14ac:dyDescent="0.25">
      <c r="A1238" s="170">
        <v>43831</v>
      </c>
      <c r="B1238" s="116">
        <v>320.61453483884702</v>
      </c>
      <c r="C1238" s="116">
        <v>320.02190168757397</v>
      </c>
      <c r="D1238" s="116">
        <v>314.93513380581197</v>
      </c>
      <c r="E1238" s="116">
        <v>318.04645784999599</v>
      </c>
      <c r="F1238" s="116">
        <v>324</v>
      </c>
      <c r="G1238">
        <v>85284</v>
      </c>
      <c r="H1238" s="116"/>
      <c r="I1238" s="116"/>
      <c r="L1238" s="170">
        <v>43831</v>
      </c>
      <c r="M1238" s="116">
        <v>319.87407104718301</v>
      </c>
      <c r="N1238" s="116">
        <v>320.76302168464599</v>
      </c>
      <c r="O1238" s="116">
        <v>314.73791180850702</v>
      </c>
      <c r="P1238" s="116">
        <v>317.40476372089603</v>
      </c>
      <c r="Q1238" s="116">
        <v>323.85000000000002</v>
      </c>
      <c r="R1238">
        <v>1514293</v>
      </c>
    </row>
    <row r="1239" spans="1:18" x14ac:dyDescent="0.25">
      <c r="A1239" s="170">
        <v>43832</v>
      </c>
      <c r="B1239" s="116">
        <v>323.38015621145598</v>
      </c>
      <c r="C1239" s="116">
        <v>319.52804072817997</v>
      </c>
      <c r="D1239" s="116">
        <v>317.355052506844</v>
      </c>
      <c r="E1239" s="116">
        <v>320.02190168757397</v>
      </c>
      <c r="F1239" s="116">
        <v>323.5</v>
      </c>
      <c r="G1239">
        <v>182376</v>
      </c>
      <c r="H1239" s="116"/>
      <c r="I1239" s="116"/>
      <c r="L1239" s="170">
        <v>43832</v>
      </c>
      <c r="M1239" s="116">
        <v>319.38020958192601</v>
      </c>
      <c r="N1239" s="116">
        <v>323.42987359703602</v>
      </c>
      <c r="O1239" s="116">
        <v>317.15783298826801</v>
      </c>
      <c r="P1239" s="116">
        <v>319.62714031455499</v>
      </c>
      <c r="Q1239" s="116">
        <v>323.35000000000002</v>
      </c>
      <c r="R1239">
        <v>3091351</v>
      </c>
    </row>
    <row r="1240" spans="1:18" x14ac:dyDescent="0.25">
      <c r="A1240" s="170">
        <v>43833</v>
      </c>
      <c r="B1240" s="116">
        <v>320.07128778351301</v>
      </c>
      <c r="C1240" s="116">
        <v>314.49065894235702</v>
      </c>
      <c r="D1240" s="116">
        <v>313.20662044793102</v>
      </c>
      <c r="E1240" s="116">
        <v>319.03417976878501</v>
      </c>
      <c r="F1240" s="116">
        <v>318.39999999999998</v>
      </c>
      <c r="G1240">
        <v>68853</v>
      </c>
      <c r="H1240" s="116"/>
      <c r="I1240" s="116"/>
      <c r="L1240" s="170">
        <v>43833</v>
      </c>
      <c r="M1240" s="116">
        <v>314.29343648977499</v>
      </c>
      <c r="N1240" s="116">
        <v>319.82468490065702</v>
      </c>
      <c r="O1240" s="116">
        <v>313.108168973158</v>
      </c>
      <c r="P1240" s="116">
        <v>319.82468490065702</v>
      </c>
      <c r="Q1240" s="116">
        <v>318.2</v>
      </c>
      <c r="R1240">
        <v>1718884</v>
      </c>
    </row>
    <row r="1241" spans="1:18" x14ac:dyDescent="0.25">
      <c r="A1241" s="170">
        <v>43836</v>
      </c>
      <c r="B1241" s="116">
        <v>314.09557017484099</v>
      </c>
      <c r="C1241" s="116">
        <v>308.21862475804801</v>
      </c>
      <c r="D1241" s="116">
        <v>306.391339208288</v>
      </c>
      <c r="E1241" s="116">
        <v>311.13240441847501</v>
      </c>
      <c r="F1241" s="116">
        <v>312.05</v>
      </c>
      <c r="G1241">
        <v>123710</v>
      </c>
      <c r="H1241" s="116"/>
      <c r="I1241" s="116"/>
      <c r="L1241" s="170">
        <v>43836</v>
      </c>
      <c r="M1241" s="116">
        <v>308.26832661363602</v>
      </c>
      <c r="N1241" s="116">
        <v>314.244050343249</v>
      </c>
      <c r="O1241" s="116">
        <v>306.58919763176101</v>
      </c>
      <c r="P1241" s="116">
        <v>311.379653844757</v>
      </c>
      <c r="Q1241" s="116">
        <v>312.10000000000002</v>
      </c>
      <c r="R1241">
        <v>1712158</v>
      </c>
    </row>
    <row r="1242" spans="1:18" x14ac:dyDescent="0.25">
      <c r="A1242" s="170">
        <v>43837</v>
      </c>
      <c r="B1242" s="116">
        <v>315.47838086114501</v>
      </c>
      <c r="C1242" s="116">
        <v>310.93486003471702</v>
      </c>
      <c r="D1242" s="116">
        <v>308.11985256616902</v>
      </c>
      <c r="E1242" s="116">
        <v>309.15696058089702</v>
      </c>
      <c r="F1242" s="116">
        <v>314.8</v>
      </c>
      <c r="G1242">
        <v>141198</v>
      </c>
      <c r="H1242" s="116"/>
      <c r="I1242" s="116"/>
      <c r="L1242" s="170">
        <v>43837</v>
      </c>
      <c r="M1242" s="116">
        <v>311.03395081907701</v>
      </c>
      <c r="N1242" s="116">
        <v>315.478704006393</v>
      </c>
      <c r="O1242" s="116">
        <v>308.16955432058398</v>
      </c>
      <c r="P1242" s="116">
        <v>310.145000181613</v>
      </c>
      <c r="Q1242" s="116">
        <v>314.89999999999998</v>
      </c>
      <c r="R1242">
        <v>2146089</v>
      </c>
    </row>
    <row r="1243" spans="1:18" x14ac:dyDescent="0.25">
      <c r="A1243" s="170">
        <v>43838</v>
      </c>
      <c r="B1243" s="116">
        <v>313.30539263981001</v>
      </c>
      <c r="C1243" s="116">
        <v>312.56460120071898</v>
      </c>
      <c r="D1243" s="116">
        <v>307.57660551083501</v>
      </c>
      <c r="E1243" s="116">
        <v>310.63854345907998</v>
      </c>
      <c r="F1243" s="116">
        <v>316.45</v>
      </c>
      <c r="G1243">
        <v>69872</v>
      </c>
      <c r="H1243" s="116"/>
      <c r="I1243" s="116"/>
      <c r="L1243" s="170">
        <v>43838</v>
      </c>
      <c r="M1243" s="116">
        <v>312.36737677527202</v>
      </c>
      <c r="N1243" s="116">
        <v>313.453871998838</v>
      </c>
      <c r="O1243" s="116">
        <v>307.67569285532699</v>
      </c>
      <c r="P1243" s="116">
        <v>308.36709890668698</v>
      </c>
      <c r="Q1243" s="116">
        <v>316.25</v>
      </c>
      <c r="R1243">
        <v>1521535</v>
      </c>
    </row>
    <row r="1244" spans="1:18" x14ac:dyDescent="0.25">
      <c r="A1244" s="170">
        <v>43839</v>
      </c>
      <c r="B1244" s="116">
        <v>325.94823320030702</v>
      </c>
      <c r="C1244" s="116">
        <v>324.466650322124</v>
      </c>
      <c r="D1244" s="116">
        <v>314.39188675047802</v>
      </c>
      <c r="E1244" s="116">
        <v>315.08329209363001</v>
      </c>
      <c r="F1244" s="116">
        <v>328.5</v>
      </c>
      <c r="G1244">
        <v>143383</v>
      </c>
      <c r="H1244" s="116"/>
      <c r="I1244" s="116"/>
      <c r="L1244" s="170">
        <v>43839</v>
      </c>
      <c r="M1244" s="116">
        <v>324.516368820602</v>
      </c>
      <c r="N1244" s="116">
        <v>325.94856706984899</v>
      </c>
      <c r="O1244" s="116">
        <v>313.50325814536302</v>
      </c>
      <c r="P1244" s="116">
        <v>314.14527805019799</v>
      </c>
      <c r="Q1244" s="116">
        <v>328.55</v>
      </c>
      <c r="R1244">
        <v>4302141</v>
      </c>
    </row>
    <row r="1245" spans="1:18" x14ac:dyDescent="0.25">
      <c r="A1245" s="170">
        <v>43840</v>
      </c>
      <c r="B1245" s="116">
        <v>338.98616252831903</v>
      </c>
      <c r="C1245" s="116">
        <v>337.10949088261998</v>
      </c>
      <c r="D1245" s="116">
        <v>325.75068881654897</v>
      </c>
      <c r="E1245" s="116">
        <v>325.94823320030702</v>
      </c>
      <c r="F1245" s="116">
        <v>341.3</v>
      </c>
      <c r="G1245">
        <v>303730</v>
      </c>
      <c r="H1245" s="116"/>
      <c r="I1245" s="116"/>
      <c r="L1245" s="170">
        <v>43840</v>
      </c>
      <c r="M1245" s="116">
        <v>337.15922233118999</v>
      </c>
      <c r="N1245" s="116">
        <v>339.08528204569399</v>
      </c>
      <c r="O1245" s="116">
        <v>325.01023028586002</v>
      </c>
      <c r="P1245" s="116">
        <v>325.84979477679701</v>
      </c>
      <c r="Q1245" s="116">
        <v>341.35</v>
      </c>
      <c r="R1245">
        <v>10109760</v>
      </c>
    </row>
    <row r="1246" spans="1:18" x14ac:dyDescent="0.25">
      <c r="A1246" s="170">
        <v>43843</v>
      </c>
      <c r="B1246" s="116">
        <v>349.11031219590399</v>
      </c>
      <c r="C1246" s="116">
        <v>348.567065140571</v>
      </c>
      <c r="D1246" s="116">
        <v>337.80089622577299</v>
      </c>
      <c r="E1246" s="116">
        <v>340.17142883086598</v>
      </c>
      <c r="F1246" s="116">
        <v>352.9</v>
      </c>
      <c r="G1246">
        <v>276352</v>
      </c>
      <c r="H1246" s="116"/>
      <c r="I1246" s="116"/>
      <c r="L1246" s="170">
        <v>43843</v>
      </c>
      <c r="M1246" s="116">
        <v>348.616808325161</v>
      </c>
      <c r="N1246" s="116">
        <v>349.50575896262399</v>
      </c>
      <c r="O1246" s="116">
        <v>337.85062838255101</v>
      </c>
      <c r="P1246" s="116">
        <v>338.78896516653998</v>
      </c>
      <c r="Q1246" s="116">
        <v>352.95</v>
      </c>
      <c r="R1246">
        <v>7399348</v>
      </c>
    </row>
    <row r="1247" spans="1:18" x14ac:dyDescent="0.25">
      <c r="A1247" s="170">
        <v>43844</v>
      </c>
      <c r="B1247" s="116">
        <v>387.18699216521298</v>
      </c>
      <c r="C1247" s="116">
        <v>384.61891517636201</v>
      </c>
      <c r="D1247" s="116">
        <v>353.70321911827199</v>
      </c>
      <c r="E1247" s="116">
        <v>353.70321911827199</v>
      </c>
      <c r="F1247" s="116">
        <v>389.4</v>
      </c>
      <c r="G1247">
        <v>1764276</v>
      </c>
      <c r="H1247" s="116"/>
      <c r="I1247" s="116"/>
      <c r="L1247" s="170">
        <v>43844</v>
      </c>
      <c r="M1247" s="116">
        <v>384.81685372852399</v>
      </c>
      <c r="N1247" s="116">
        <v>387.187388761759</v>
      </c>
      <c r="O1247" s="116">
        <v>353.60480912425999</v>
      </c>
      <c r="P1247" s="116">
        <v>356.07411645054702</v>
      </c>
      <c r="Q1247" s="116">
        <v>389.6</v>
      </c>
      <c r="R1247">
        <v>44997621</v>
      </c>
    </row>
    <row r="1248" spans="1:18" x14ac:dyDescent="0.25">
      <c r="A1248" s="170">
        <v>43845</v>
      </c>
      <c r="B1248" s="116">
        <v>390.89094936067102</v>
      </c>
      <c r="C1248" s="116">
        <v>386.39681463018201</v>
      </c>
      <c r="D1248" s="116">
        <v>380.32232482963099</v>
      </c>
      <c r="E1248" s="116">
        <v>385.211548327635</v>
      </c>
      <c r="F1248" s="116">
        <v>391.2</v>
      </c>
      <c r="G1248">
        <v>983233</v>
      </c>
      <c r="H1248" s="116"/>
      <c r="I1248" s="116"/>
      <c r="L1248" s="170">
        <v>43845</v>
      </c>
      <c r="M1248" s="116">
        <v>386.64414114997601</v>
      </c>
      <c r="N1248" s="116">
        <v>391.08889433729303</v>
      </c>
      <c r="O1248" s="116">
        <v>380.27332824815699</v>
      </c>
      <c r="P1248" s="116">
        <v>384.71808143547298</v>
      </c>
      <c r="Q1248" s="116">
        <v>391.45</v>
      </c>
      <c r="R1248">
        <v>24437080</v>
      </c>
    </row>
    <row r="1249" spans="1:18" x14ac:dyDescent="0.25">
      <c r="A1249" s="170">
        <v>43846</v>
      </c>
      <c r="B1249" s="116">
        <v>388.17471408400201</v>
      </c>
      <c r="C1249" s="116">
        <v>379.38398900678101</v>
      </c>
      <c r="D1249" s="116">
        <v>377.65547564890102</v>
      </c>
      <c r="E1249" s="116">
        <v>388.17471408400201</v>
      </c>
      <c r="F1249" s="116">
        <v>384.1</v>
      </c>
      <c r="G1249">
        <v>474732</v>
      </c>
      <c r="H1249" s="116"/>
      <c r="I1249" s="116"/>
      <c r="L1249" s="170">
        <v>43846</v>
      </c>
      <c r="M1249" s="116">
        <v>379.53253605027101</v>
      </c>
      <c r="N1249" s="116">
        <v>388.17511169227402</v>
      </c>
      <c r="O1249" s="116">
        <v>377.50770404271498</v>
      </c>
      <c r="P1249" s="116">
        <v>387.68125022701702</v>
      </c>
      <c r="Q1249" s="116">
        <v>384.25</v>
      </c>
      <c r="R1249">
        <v>12118796</v>
      </c>
    </row>
    <row r="1250" spans="1:18" x14ac:dyDescent="0.25">
      <c r="A1250" s="170">
        <v>43847</v>
      </c>
      <c r="B1250" s="116">
        <v>380.17416654181199</v>
      </c>
      <c r="C1250" s="116">
        <v>375.63064571538399</v>
      </c>
      <c r="D1250" s="116">
        <v>372.02546071180501</v>
      </c>
      <c r="E1250" s="116">
        <v>380.17416654181199</v>
      </c>
      <c r="F1250" s="116">
        <v>380.3</v>
      </c>
      <c r="G1250">
        <v>272799</v>
      </c>
      <c r="H1250" s="116"/>
      <c r="I1250" s="116"/>
      <c r="L1250" s="170">
        <v>43847</v>
      </c>
      <c r="M1250" s="116">
        <v>375.631030474738</v>
      </c>
      <c r="N1250" s="116">
        <v>379.28560531764202</v>
      </c>
      <c r="O1250" s="116">
        <v>371.97645563183301</v>
      </c>
      <c r="P1250" s="116">
        <v>378.98928843848802</v>
      </c>
      <c r="Q1250" s="116">
        <v>380.3</v>
      </c>
      <c r="R1250">
        <v>5495593</v>
      </c>
    </row>
    <row r="1251" spans="1:18" x14ac:dyDescent="0.25">
      <c r="A1251" s="170">
        <v>43850</v>
      </c>
      <c r="B1251" s="116">
        <v>380.81618578902498</v>
      </c>
      <c r="C1251" s="116">
        <v>378.19872270423502</v>
      </c>
      <c r="D1251" s="116">
        <v>372.51932167119901</v>
      </c>
      <c r="E1251" s="116">
        <v>377.309772977325</v>
      </c>
      <c r="F1251" s="116">
        <v>382.9</v>
      </c>
      <c r="G1251">
        <v>304866</v>
      </c>
      <c r="H1251" s="116"/>
      <c r="I1251" s="116"/>
      <c r="L1251" s="170">
        <v>43850</v>
      </c>
      <c r="M1251" s="116">
        <v>378.44604082670401</v>
      </c>
      <c r="N1251" s="116">
        <v>380.76718971341398</v>
      </c>
      <c r="O1251" s="116">
        <v>372.47031709709103</v>
      </c>
      <c r="P1251" s="116">
        <v>375.631030474738</v>
      </c>
      <c r="Q1251" s="116">
        <v>383.15</v>
      </c>
      <c r="R1251">
        <v>7618479</v>
      </c>
    </row>
    <row r="1252" spans="1:18" x14ac:dyDescent="0.25">
      <c r="A1252" s="170">
        <v>43851</v>
      </c>
      <c r="B1252" s="116">
        <v>384.81645956011999</v>
      </c>
      <c r="C1252" s="116">
        <v>381.06311626872201</v>
      </c>
      <c r="D1252" s="116">
        <v>374.59353770065599</v>
      </c>
      <c r="E1252" s="116">
        <v>378.19872270423502</v>
      </c>
      <c r="F1252" s="116">
        <v>385.8</v>
      </c>
      <c r="G1252">
        <v>290471</v>
      </c>
      <c r="H1252" s="116"/>
      <c r="I1252" s="116"/>
      <c r="L1252" s="170">
        <v>43851</v>
      </c>
      <c r="M1252" s="116">
        <v>381.06350659256799</v>
      </c>
      <c r="N1252" s="116">
        <v>384.619309142421</v>
      </c>
      <c r="O1252" s="116">
        <v>374.396376811594</v>
      </c>
      <c r="P1252" s="116">
        <v>377.31015945661301</v>
      </c>
      <c r="Q1252" s="116">
        <v>385.8</v>
      </c>
      <c r="R1252">
        <v>5981471</v>
      </c>
    </row>
    <row r="1253" spans="1:18" x14ac:dyDescent="0.25">
      <c r="A1253" s="170">
        <v>43852</v>
      </c>
      <c r="B1253" s="116">
        <v>383.72996544945198</v>
      </c>
      <c r="C1253" s="116">
        <v>380.07539434993402</v>
      </c>
      <c r="D1253" s="116">
        <v>377.70486174484</v>
      </c>
      <c r="E1253" s="116">
        <v>382.34715476314801</v>
      </c>
      <c r="F1253" s="116">
        <v>384.8</v>
      </c>
      <c r="G1253">
        <v>214951</v>
      </c>
      <c r="H1253" s="116"/>
      <c r="I1253" s="116"/>
      <c r="L1253" s="170">
        <v>43852</v>
      </c>
      <c r="M1253" s="116">
        <v>380.32271439468201</v>
      </c>
      <c r="N1253" s="116">
        <v>384.07606153063801</v>
      </c>
      <c r="O1253" s="116">
        <v>377.50770404271498</v>
      </c>
      <c r="P1253" s="116">
        <v>384.07606153063801</v>
      </c>
      <c r="Q1253" s="116">
        <v>385.05</v>
      </c>
      <c r="R1253">
        <v>4148230</v>
      </c>
    </row>
    <row r="1254" spans="1:18" x14ac:dyDescent="0.25">
      <c r="A1254" s="170">
        <v>43853</v>
      </c>
      <c r="B1254" s="116">
        <v>394.49613436425</v>
      </c>
      <c r="C1254" s="116">
        <v>388.17471408400201</v>
      </c>
      <c r="D1254" s="116">
        <v>379.33460291084202</v>
      </c>
      <c r="E1254" s="116">
        <v>380.42109702150998</v>
      </c>
      <c r="F1254" s="116">
        <v>393</v>
      </c>
      <c r="G1254">
        <v>551050</v>
      </c>
      <c r="H1254" s="116"/>
      <c r="I1254" s="116"/>
      <c r="L1254" s="170">
        <v>43853</v>
      </c>
      <c r="M1254" s="116">
        <v>388.422042424903</v>
      </c>
      <c r="N1254" s="116">
        <v>394.545924594094</v>
      </c>
      <c r="O1254" s="116">
        <v>378.69297155933299</v>
      </c>
      <c r="P1254" s="116">
        <v>380.27332824815699</v>
      </c>
      <c r="Q1254" s="116">
        <v>393.25</v>
      </c>
      <c r="R1254">
        <v>11073810</v>
      </c>
    </row>
    <row r="1255" spans="1:18" x14ac:dyDescent="0.25">
      <c r="A1255" s="170">
        <v>43854</v>
      </c>
      <c r="B1255" s="116">
        <v>389.952613537822</v>
      </c>
      <c r="C1255" s="116">
        <v>379.87784996617597</v>
      </c>
      <c r="D1255" s="116">
        <v>379.13705852708398</v>
      </c>
      <c r="E1255" s="116">
        <v>388.273486275881</v>
      </c>
      <c r="F1255" s="116">
        <v>384.6</v>
      </c>
      <c r="G1255">
        <v>193510</v>
      </c>
      <c r="H1255" s="116"/>
      <c r="I1255" s="116"/>
      <c r="L1255" s="170">
        <v>43854</v>
      </c>
      <c r="M1255" s="116">
        <v>379.878239075951</v>
      </c>
      <c r="N1255" s="116">
        <v>389.90362682067502</v>
      </c>
      <c r="O1255" s="116">
        <v>379.03867458501298</v>
      </c>
      <c r="P1255" s="116">
        <v>389.90362682067502</v>
      </c>
      <c r="Q1255" s="116">
        <v>384.6</v>
      </c>
      <c r="R1255">
        <v>6033580</v>
      </c>
    </row>
    <row r="1256" spans="1:18" x14ac:dyDescent="0.25">
      <c r="A1256" s="170">
        <v>43857</v>
      </c>
      <c r="B1256" s="116">
        <v>384.717687368241</v>
      </c>
      <c r="C1256" s="116">
        <v>377.55670345702202</v>
      </c>
      <c r="D1256" s="116">
        <v>375.97634838696001</v>
      </c>
      <c r="E1256" s="116">
        <v>379.23583071896297</v>
      </c>
      <c r="F1256" s="116">
        <v>382.25</v>
      </c>
      <c r="G1256">
        <v>169251</v>
      </c>
      <c r="H1256" s="116"/>
      <c r="I1256" s="116"/>
      <c r="L1256" s="170">
        <v>43857</v>
      </c>
      <c r="M1256" s="116">
        <v>377.70524862881803</v>
      </c>
      <c r="N1256" s="116">
        <v>384.619309142421</v>
      </c>
      <c r="O1256" s="116">
        <v>375.779188914315</v>
      </c>
      <c r="P1256" s="116">
        <v>379.08806073153897</v>
      </c>
      <c r="Q1256" s="116">
        <v>382.4</v>
      </c>
      <c r="R1256">
        <v>3735041</v>
      </c>
    </row>
    <row r="1257" spans="1:18" x14ac:dyDescent="0.25">
      <c r="A1257" s="170">
        <v>43858</v>
      </c>
      <c r="B1257" s="116">
        <v>382.98917401036101</v>
      </c>
      <c r="C1257" s="116">
        <v>376.32205105853598</v>
      </c>
      <c r="D1257" s="116">
        <v>373.85274626156399</v>
      </c>
      <c r="E1257" s="116">
        <v>378.79135585550802</v>
      </c>
      <c r="F1257" s="116">
        <v>381</v>
      </c>
      <c r="G1257">
        <v>129621</v>
      </c>
      <c r="H1257" s="116"/>
      <c r="I1257" s="116"/>
      <c r="L1257" s="170">
        <v>43858</v>
      </c>
      <c r="M1257" s="116">
        <v>376.02611964694302</v>
      </c>
      <c r="N1257" s="116">
        <v>382.84140786749498</v>
      </c>
      <c r="O1257" s="116">
        <v>373.60619846718203</v>
      </c>
      <c r="P1257" s="116">
        <v>378.10033780102401</v>
      </c>
      <c r="Q1257" s="116">
        <v>380.7</v>
      </c>
      <c r="R1257">
        <v>2710063</v>
      </c>
    </row>
    <row r="1258" spans="1:18" x14ac:dyDescent="0.25">
      <c r="A1258" s="170">
        <v>43859</v>
      </c>
      <c r="B1258" s="116">
        <v>388.37225846775999</v>
      </c>
      <c r="C1258" s="116">
        <v>378.93951414332599</v>
      </c>
      <c r="D1258" s="116">
        <v>377.55670345702202</v>
      </c>
      <c r="E1258" s="116">
        <v>378.29749489611402</v>
      </c>
      <c r="F1258" s="116">
        <v>383.65</v>
      </c>
      <c r="G1258">
        <v>281611</v>
      </c>
      <c r="H1258" s="116"/>
      <c r="I1258" s="116"/>
      <c r="L1258" s="170">
        <v>43859</v>
      </c>
      <c r="M1258" s="116">
        <v>378.74235770585898</v>
      </c>
      <c r="N1258" s="116">
        <v>388.47142857142899</v>
      </c>
      <c r="O1258" s="116">
        <v>377.55709018924102</v>
      </c>
      <c r="P1258" s="116">
        <v>380.17455595510501</v>
      </c>
      <c r="Q1258" s="116">
        <v>383.45</v>
      </c>
      <c r="R1258">
        <v>6500722</v>
      </c>
    </row>
    <row r="1259" spans="1:18" x14ac:dyDescent="0.25">
      <c r="A1259" s="170">
        <v>43860</v>
      </c>
      <c r="B1259" s="116">
        <v>381.01373017278303</v>
      </c>
      <c r="C1259" s="116">
        <v>376.27266496259699</v>
      </c>
      <c r="D1259" s="116">
        <v>375.28494304380803</v>
      </c>
      <c r="E1259" s="116">
        <v>380.27293873369098</v>
      </c>
      <c r="F1259" s="116">
        <v>380.95</v>
      </c>
      <c r="G1259">
        <v>208858</v>
      </c>
      <c r="H1259" s="116"/>
      <c r="I1259" s="116"/>
      <c r="L1259" s="170">
        <v>43860</v>
      </c>
      <c r="M1259" s="116">
        <v>376.91507028440702</v>
      </c>
      <c r="N1259" s="116">
        <v>381.06350659256799</v>
      </c>
      <c r="O1259" s="116">
        <v>375.48287203516003</v>
      </c>
      <c r="P1259" s="116">
        <v>380.96473429951698</v>
      </c>
      <c r="Q1259" s="116">
        <v>381.6</v>
      </c>
      <c r="R1259">
        <v>2297423</v>
      </c>
    </row>
    <row r="1260" spans="1:18" x14ac:dyDescent="0.25">
      <c r="A1260" s="170">
        <v>43861</v>
      </c>
      <c r="B1260" s="116">
        <v>382.05083818751098</v>
      </c>
      <c r="C1260" s="116">
        <v>378.69258366362902</v>
      </c>
      <c r="D1260" s="116">
        <v>375.18617085192898</v>
      </c>
      <c r="E1260" s="116">
        <v>378.29749489611402</v>
      </c>
      <c r="F1260" s="116">
        <v>383.4</v>
      </c>
      <c r="G1260">
        <v>397211</v>
      </c>
      <c r="H1260" s="116"/>
      <c r="I1260" s="116"/>
      <c r="L1260" s="170">
        <v>43861</v>
      </c>
      <c r="M1260" s="116">
        <v>378.69297155933299</v>
      </c>
      <c r="N1260" s="116">
        <v>381.90307108350601</v>
      </c>
      <c r="O1260" s="116">
        <v>375.33471359558303</v>
      </c>
      <c r="P1260" s="116">
        <v>377.90279321492102</v>
      </c>
      <c r="Q1260" s="116">
        <v>383.4</v>
      </c>
      <c r="R1260">
        <v>2681230</v>
      </c>
    </row>
    <row r="1261" spans="1:18" x14ac:dyDescent="0.25">
      <c r="A1261" s="170">
        <v>43862</v>
      </c>
      <c r="B1261" s="116">
        <v>383.72996544945198</v>
      </c>
      <c r="C1261" s="116">
        <v>367.82764255695201</v>
      </c>
      <c r="D1261" s="116">
        <v>365.45710995185902</v>
      </c>
      <c r="E1261" s="116">
        <v>379.23583071896297</v>
      </c>
      <c r="F1261" s="116">
        <v>372.4</v>
      </c>
      <c r="G1261">
        <v>343736</v>
      </c>
      <c r="H1261" s="116"/>
      <c r="I1261" s="116"/>
      <c r="L1261" s="170">
        <v>43862</v>
      </c>
      <c r="M1261" s="116">
        <v>368.0749500563</v>
      </c>
      <c r="N1261" s="116">
        <v>383.73035850495802</v>
      </c>
      <c r="O1261" s="116">
        <v>365.45748429043601</v>
      </c>
      <c r="P1261" s="116">
        <v>378.24849624060101</v>
      </c>
      <c r="Q1261" s="116">
        <v>372.65</v>
      </c>
      <c r="R1261">
        <v>2479916</v>
      </c>
    </row>
    <row r="1262" spans="1:18" x14ac:dyDescent="0.25">
      <c r="A1262" s="170">
        <v>43864</v>
      </c>
      <c r="B1262" s="116">
        <v>377.26038688138601</v>
      </c>
      <c r="C1262" s="116">
        <v>374.44537941283699</v>
      </c>
      <c r="D1262" s="116">
        <v>363.03719125082699</v>
      </c>
      <c r="E1262" s="116">
        <v>368.07457303665001</v>
      </c>
      <c r="F1262" s="116">
        <v>379.1</v>
      </c>
      <c r="G1262">
        <v>245983</v>
      </c>
      <c r="H1262" s="116"/>
      <c r="I1262" s="116"/>
      <c r="L1262" s="170">
        <v>43864</v>
      </c>
      <c r="M1262" s="116">
        <v>374.198832225491</v>
      </c>
      <c r="N1262" s="116">
        <v>377.31015945661301</v>
      </c>
      <c r="O1262" s="116">
        <v>362.98817696414898</v>
      </c>
      <c r="P1262" s="116">
        <v>369.16144527986597</v>
      </c>
      <c r="Q1262" s="116">
        <v>378.85</v>
      </c>
      <c r="R1262">
        <v>3318729</v>
      </c>
    </row>
    <row r="1263" spans="1:18" x14ac:dyDescent="0.25">
      <c r="A1263" s="170">
        <v>43865</v>
      </c>
      <c r="B1263" s="116">
        <v>380.27293873369098</v>
      </c>
      <c r="C1263" s="116">
        <v>375.08739866004998</v>
      </c>
      <c r="D1263" s="116">
        <v>371.18589708083402</v>
      </c>
      <c r="E1263" s="116">
        <v>380.27293873369098</v>
      </c>
      <c r="F1263" s="116">
        <v>379.75</v>
      </c>
      <c r="G1263">
        <v>295227</v>
      </c>
      <c r="H1263" s="116"/>
      <c r="I1263" s="116"/>
      <c r="L1263" s="170">
        <v>43865</v>
      </c>
      <c r="M1263" s="116">
        <v>375.23594130253201</v>
      </c>
      <c r="N1263" s="116">
        <v>379.28560531764202</v>
      </c>
      <c r="O1263" s="116">
        <v>370.93934655479302</v>
      </c>
      <c r="P1263" s="116">
        <v>379.28560531764202</v>
      </c>
      <c r="Q1263" s="116">
        <v>379.9</v>
      </c>
      <c r="R1263">
        <v>5327138</v>
      </c>
    </row>
    <row r="1264" spans="1:18" x14ac:dyDescent="0.25">
      <c r="A1264" s="170">
        <v>43866</v>
      </c>
      <c r="B1264" s="116">
        <v>402.94115676989497</v>
      </c>
      <c r="C1264" s="116">
        <v>389.75506915406402</v>
      </c>
      <c r="D1264" s="116">
        <v>376.32205105853598</v>
      </c>
      <c r="E1264" s="116">
        <v>377.803633936719</v>
      </c>
      <c r="F1264" s="116">
        <v>394.6</v>
      </c>
      <c r="G1264">
        <v>926911</v>
      </c>
      <c r="H1264" s="116"/>
      <c r="I1264" s="116"/>
      <c r="L1264" s="170">
        <v>43866</v>
      </c>
      <c r="M1264" s="116">
        <v>389.75546838109801</v>
      </c>
      <c r="N1264" s="116">
        <v>402.99095564999499</v>
      </c>
      <c r="O1264" s="116">
        <v>376.32243652609799</v>
      </c>
      <c r="P1264" s="116">
        <v>377.31015945661301</v>
      </c>
      <c r="Q1264" s="116">
        <v>394.6</v>
      </c>
      <c r="R1264">
        <v>23579395</v>
      </c>
    </row>
    <row r="1265" spans="1:18" x14ac:dyDescent="0.25">
      <c r="A1265" s="170">
        <v>43867</v>
      </c>
      <c r="B1265" s="116">
        <v>393.11332367794603</v>
      </c>
      <c r="C1265" s="116">
        <v>387.33515045303102</v>
      </c>
      <c r="D1265" s="116">
        <v>382.74224353066302</v>
      </c>
      <c r="E1265" s="116">
        <v>393.11332367794603</v>
      </c>
      <c r="F1265" s="116">
        <v>392.15</v>
      </c>
      <c r="G1265">
        <v>199457</v>
      </c>
      <c r="H1265" s="116"/>
      <c r="I1265" s="116"/>
      <c r="L1265" s="170">
        <v>43867</v>
      </c>
      <c r="M1265" s="116">
        <v>387.23677490828499</v>
      </c>
      <c r="N1265" s="116">
        <v>392.47170644001301</v>
      </c>
      <c r="O1265" s="116">
        <v>382.594477134866</v>
      </c>
      <c r="P1265" s="116">
        <v>391.13828048381799</v>
      </c>
      <c r="Q1265" s="116">
        <v>392.05</v>
      </c>
      <c r="R1265">
        <v>4985380</v>
      </c>
    </row>
    <row r="1266" spans="1:18" x14ac:dyDescent="0.25">
      <c r="A1266" s="170">
        <v>43868</v>
      </c>
      <c r="B1266" s="116">
        <v>399.28658567037598</v>
      </c>
      <c r="C1266" s="116">
        <v>391.582354703823</v>
      </c>
      <c r="D1266" s="116">
        <v>385.31032051951399</v>
      </c>
      <c r="E1266" s="116">
        <v>385.31032051951399</v>
      </c>
      <c r="F1266" s="116">
        <v>396.45</v>
      </c>
      <c r="G1266">
        <v>493549</v>
      </c>
      <c r="H1266" s="116"/>
      <c r="I1266" s="116"/>
      <c r="L1266" s="170">
        <v>43868</v>
      </c>
      <c r="M1266" s="116">
        <v>391.82968653517901</v>
      </c>
      <c r="N1266" s="116">
        <v>399.04006392793599</v>
      </c>
      <c r="O1266" s="116">
        <v>385.75519051251302</v>
      </c>
      <c r="P1266" s="116">
        <v>386.29843812429601</v>
      </c>
      <c r="Q1266" s="116">
        <v>396.7</v>
      </c>
      <c r="R1266">
        <v>11308676</v>
      </c>
    </row>
    <row r="1267" spans="1:18" x14ac:dyDescent="0.25">
      <c r="A1267" s="170">
        <v>43871</v>
      </c>
      <c r="B1267" s="116">
        <v>394.19981778861398</v>
      </c>
      <c r="C1267" s="116">
        <v>387.631467028668</v>
      </c>
      <c r="D1267" s="116">
        <v>383.77935154539199</v>
      </c>
      <c r="E1267" s="116">
        <v>394.10104559673499</v>
      </c>
      <c r="F1267" s="116">
        <v>392.45</v>
      </c>
      <c r="G1267">
        <v>209764</v>
      </c>
      <c r="H1267" s="116"/>
      <c r="I1267" s="116"/>
      <c r="L1267" s="170">
        <v>43871</v>
      </c>
      <c r="M1267" s="116">
        <v>387.48370564091402</v>
      </c>
      <c r="N1267" s="116">
        <v>393.55820166357898</v>
      </c>
      <c r="O1267" s="116">
        <v>383.58220006538102</v>
      </c>
      <c r="P1267" s="116">
        <v>393.55820166357898</v>
      </c>
      <c r="Q1267" s="116">
        <v>392.3</v>
      </c>
      <c r="R1267">
        <v>3145276</v>
      </c>
    </row>
    <row r="1268" spans="1:18" x14ac:dyDescent="0.25">
      <c r="A1268" s="170">
        <v>43872</v>
      </c>
      <c r="B1268" s="116">
        <v>394.10104559673499</v>
      </c>
      <c r="C1268" s="116">
        <v>385.70540928703002</v>
      </c>
      <c r="D1268" s="116">
        <v>384.37198469666498</v>
      </c>
      <c r="E1268" s="116">
        <v>393.11332367794603</v>
      </c>
      <c r="F1268" s="116">
        <v>390.5</v>
      </c>
      <c r="G1268">
        <v>179761</v>
      </c>
      <c r="H1268" s="116"/>
      <c r="I1268" s="116"/>
      <c r="L1268" s="170">
        <v>43872</v>
      </c>
      <c r="M1268" s="116">
        <v>385.80457665903901</v>
      </c>
      <c r="N1268" s="116">
        <v>394.10144927536197</v>
      </c>
      <c r="O1268" s="116">
        <v>384.471150702844</v>
      </c>
      <c r="P1268" s="116">
        <v>390.150557553304</v>
      </c>
      <c r="Q1268" s="116">
        <v>390.6</v>
      </c>
      <c r="R1268">
        <v>4171668</v>
      </c>
    </row>
    <row r="1269" spans="1:18" x14ac:dyDescent="0.25">
      <c r="A1269" s="170">
        <v>43873</v>
      </c>
      <c r="B1269" s="116">
        <v>392.07621566321802</v>
      </c>
      <c r="C1269" s="116">
        <v>390.00199963376099</v>
      </c>
      <c r="D1269" s="116">
        <v>386.19927024642402</v>
      </c>
      <c r="E1269" s="116">
        <v>386.19927024642402</v>
      </c>
      <c r="F1269" s="116">
        <v>394.85</v>
      </c>
      <c r="G1269">
        <v>405773</v>
      </c>
      <c r="H1269" s="116"/>
      <c r="I1269" s="116"/>
      <c r="L1269" s="170">
        <v>43873</v>
      </c>
      <c r="M1269" s="116">
        <v>390.298715992881</v>
      </c>
      <c r="N1269" s="116">
        <v>391.87907268170397</v>
      </c>
      <c r="O1269" s="116">
        <v>386.79229958955398</v>
      </c>
      <c r="P1269" s="116">
        <v>386.89107188260499</v>
      </c>
      <c r="Q1269" s="116">
        <v>395.15</v>
      </c>
      <c r="R1269">
        <v>4018932</v>
      </c>
    </row>
    <row r="1270" spans="1:18" x14ac:dyDescent="0.25">
      <c r="A1270" s="170">
        <v>43874</v>
      </c>
      <c r="B1270" s="116">
        <v>392.76762100637001</v>
      </c>
      <c r="C1270" s="116">
        <v>387.53269483678901</v>
      </c>
      <c r="D1270" s="116">
        <v>385.01400394387798</v>
      </c>
      <c r="E1270" s="116">
        <v>391.13787984036799</v>
      </c>
      <c r="F1270" s="116">
        <v>392.35</v>
      </c>
      <c r="G1270">
        <v>145265</v>
      </c>
      <c r="H1270" s="116"/>
      <c r="I1270" s="116"/>
      <c r="L1270" s="170">
        <v>43874</v>
      </c>
      <c r="M1270" s="116">
        <v>387.73063637354301</v>
      </c>
      <c r="N1270" s="116">
        <v>392.96556790527001</v>
      </c>
      <c r="O1270" s="116">
        <v>384.76746758199801</v>
      </c>
      <c r="P1270" s="116">
        <v>389.70608223457202</v>
      </c>
      <c r="Q1270" s="116">
        <v>392.55</v>
      </c>
      <c r="R1270">
        <v>2860031</v>
      </c>
    </row>
    <row r="1271" spans="1:18" x14ac:dyDescent="0.25">
      <c r="A1271" s="170">
        <v>43875</v>
      </c>
      <c r="B1271" s="116">
        <v>395.38508409116002</v>
      </c>
      <c r="C1271" s="116">
        <v>392.02682956727801</v>
      </c>
      <c r="D1271" s="116">
        <v>385.853567574848</v>
      </c>
      <c r="E1271" s="116">
        <v>390.54524668909499</v>
      </c>
      <c r="F1271" s="116">
        <v>396.9</v>
      </c>
      <c r="G1271">
        <v>248974</v>
      </c>
      <c r="H1271" s="116"/>
      <c r="I1271" s="116"/>
      <c r="L1271" s="170">
        <v>43875</v>
      </c>
      <c r="M1271" s="116">
        <v>392.02723112128098</v>
      </c>
      <c r="N1271" s="116">
        <v>395.08917220587699</v>
      </c>
      <c r="O1271" s="116">
        <v>385.70580436598698</v>
      </c>
      <c r="P1271" s="116">
        <v>388.17511169227402</v>
      </c>
      <c r="Q1271" s="116">
        <v>396.9</v>
      </c>
      <c r="R1271">
        <v>4733600</v>
      </c>
    </row>
    <row r="1272" spans="1:18" x14ac:dyDescent="0.25">
      <c r="A1272" s="170">
        <v>43878</v>
      </c>
      <c r="B1272" s="116">
        <v>402.002820947045</v>
      </c>
      <c r="C1272" s="116">
        <v>376.37143715447598</v>
      </c>
      <c r="D1272" s="116">
        <v>371.38344146459201</v>
      </c>
      <c r="E1272" s="116">
        <v>402.002820947045</v>
      </c>
      <c r="F1272" s="116">
        <v>381.05</v>
      </c>
      <c r="G1272">
        <v>455317</v>
      </c>
      <c r="H1272" s="116"/>
      <c r="I1272" s="116"/>
      <c r="L1272" s="170">
        <v>43878</v>
      </c>
      <c r="M1272" s="116">
        <v>376.37182267262398</v>
      </c>
      <c r="N1272" s="116">
        <v>396.96584577385499</v>
      </c>
      <c r="O1272" s="116">
        <v>371.23566343394702</v>
      </c>
      <c r="P1272" s="116">
        <v>392.817409465693</v>
      </c>
      <c r="Q1272" s="116">
        <v>381.05</v>
      </c>
      <c r="R1272">
        <v>9537335</v>
      </c>
    </row>
    <row r="1273" spans="1:18" x14ac:dyDescent="0.25">
      <c r="A1273" s="170">
        <v>43879</v>
      </c>
      <c r="B1273" s="116">
        <v>381.50759113217703</v>
      </c>
      <c r="C1273" s="116">
        <v>377.35915907326398</v>
      </c>
      <c r="D1273" s="116">
        <v>368.81536447574098</v>
      </c>
      <c r="E1273" s="116">
        <v>376.22327886665698</v>
      </c>
      <c r="F1273" s="116">
        <v>382.05</v>
      </c>
      <c r="G1273">
        <v>360528</v>
      </c>
      <c r="H1273" s="116"/>
      <c r="I1273" s="116"/>
      <c r="L1273" s="170">
        <v>43879</v>
      </c>
      <c r="M1273" s="116">
        <v>377.31015945661301</v>
      </c>
      <c r="N1273" s="116">
        <v>381.754912643929</v>
      </c>
      <c r="O1273" s="116">
        <v>368.61819766808298</v>
      </c>
      <c r="P1273" s="116">
        <v>375.33471359558303</v>
      </c>
      <c r="Q1273" s="116">
        <v>382</v>
      </c>
      <c r="R1273">
        <v>7402772</v>
      </c>
    </row>
    <row r="1274" spans="1:18" x14ac:dyDescent="0.25">
      <c r="A1274" s="170">
        <v>43880</v>
      </c>
      <c r="B1274" s="116">
        <v>381.50759113217703</v>
      </c>
      <c r="C1274" s="116">
        <v>378.39626708799301</v>
      </c>
      <c r="D1274" s="116">
        <v>372.46993557526002</v>
      </c>
      <c r="E1274" s="116">
        <v>379.28521681490298</v>
      </c>
      <c r="F1274" s="116">
        <v>383.1</v>
      </c>
      <c r="G1274">
        <v>234934</v>
      </c>
      <c r="H1274" s="116"/>
      <c r="I1274" s="116"/>
      <c r="L1274" s="170">
        <v>43880</v>
      </c>
      <c r="M1274" s="116">
        <v>378.44604082670401</v>
      </c>
      <c r="N1274" s="116">
        <v>381.60675420435098</v>
      </c>
      <c r="O1274" s="116">
        <v>372.96417856234802</v>
      </c>
      <c r="P1274" s="116">
        <v>378.297882387127</v>
      </c>
      <c r="Q1274" s="116">
        <v>383.15</v>
      </c>
      <c r="R1274">
        <v>4326781</v>
      </c>
    </row>
    <row r="1275" spans="1:18" x14ac:dyDescent="0.25">
      <c r="A1275" s="170">
        <v>43881</v>
      </c>
      <c r="B1275" s="116">
        <v>382.74224353066302</v>
      </c>
      <c r="C1275" s="116">
        <v>375.82819009914198</v>
      </c>
      <c r="D1275" s="116">
        <v>374.64292379659503</v>
      </c>
      <c r="E1275" s="116">
        <v>382.74224353066302</v>
      </c>
      <c r="F1275" s="116">
        <v>380.5</v>
      </c>
      <c r="G1275">
        <v>162173</v>
      </c>
      <c r="H1275" s="116"/>
      <c r="I1275" s="116"/>
      <c r="L1275" s="170">
        <v>43881</v>
      </c>
      <c r="M1275" s="116">
        <v>375.82857506084099</v>
      </c>
      <c r="N1275" s="116">
        <v>380.223942101631</v>
      </c>
      <c r="O1275" s="116">
        <v>374.44576295811999</v>
      </c>
      <c r="P1275" s="116">
        <v>378.44604082670401</v>
      </c>
      <c r="Q1275" s="116">
        <v>380.5</v>
      </c>
      <c r="R1275">
        <v>5137245</v>
      </c>
    </row>
    <row r="1276" spans="1:18" x14ac:dyDescent="0.25">
      <c r="A1276" s="170">
        <v>43885</v>
      </c>
      <c r="B1276" s="116">
        <v>375.13678475598999</v>
      </c>
      <c r="C1276" s="116">
        <v>364.81509070464699</v>
      </c>
      <c r="D1276" s="116">
        <v>363.48166611428201</v>
      </c>
      <c r="E1276" s="116">
        <v>374.84046818035301</v>
      </c>
      <c r="F1276" s="116">
        <v>369.35</v>
      </c>
      <c r="G1276">
        <v>129030</v>
      </c>
      <c r="H1276" s="116"/>
      <c r="I1276" s="116"/>
      <c r="L1276" s="170">
        <v>43885</v>
      </c>
      <c r="M1276" s="116">
        <v>364.56853365297297</v>
      </c>
      <c r="N1276" s="116">
        <v>375.18655515600602</v>
      </c>
      <c r="O1276" s="116">
        <v>363.23510769677802</v>
      </c>
      <c r="P1276" s="116">
        <v>374.24821837201699</v>
      </c>
      <c r="Q1276" s="116">
        <v>369.1</v>
      </c>
      <c r="R1276">
        <v>3017687</v>
      </c>
    </row>
    <row r="1277" spans="1:18" x14ac:dyDescent="0.25">
      <c r="A1277" s="170">
        <v>43886</v>
      </c>
      <c r="B1277" s="116">
        <v>371.38344146459201</v>
      </c>
      <c r="C1277" s="116">
        <v>364.96324899246503</v>
      </c>
      <c r="D1277" s="116">
        <v>361.06174741324901</v>
      </c>
      <c r="E1277" s="116">
        <v>371.38344146459201</v>
      </c>
      <c r="F1277" s="116">
        <v>369.5</v>
      </c>
      <c r="G1277">
        <v>175427</v>
      </c>
      <c r="H1277" s="116"/>
      <c r="I1277" s="116"/>
      <c r="L1277" s="170">
        <v>43886</v>
      </c>
      <c r="M1277" s="116">
        <v>364.46976135992202</v>
      </c>
      <c r="N1277" s="116">
        <v>369.40837601249501</v>
      </c>
      <c r="O1277" s="116">
        <v>361.06211724964601</v>
      </c>
      <c r="P1277" s="116">
        <v>365.95134575569398</v>
      </c>
      <c r="Q1277" s="116">
        <v>369</v>
      </c>
      <c r="R1277">
        <v>3659466</v>
      </c>
    </row>
    <row r="1278" spans="1:18" x14ac:dyDescent="0.25">
      <c r="A1278" s="170">
        <v>43887</v>
      </c>
      <c r="B1278" s="116">
        <v>365.45710995185902</v>
      </c>
      <c r="C1278" s="116">
        <v>360.76543083761197</v>
      </c>
      <c r="D1278" s="116">
        <v>356.61699877869899</v>
      </c>
      <c r="E1278" s="116">
        <v>364.46938803307</v>
      </c>
      <c r="F1278" s="116">
        <v>365.25</v>
      </c>
      <c r="G1278">
        <v>121078</v>
      </c>
      <c r="H1278" s="116"/>
      <c r="I1278" s="116"/>
      <c r="L1278" s="170">
        <v>43887</v>
      </c>
      <c r="M1278" s="116">
        <v>361.16088954269702</v>
      </c>
      <c r="N1278" s="116">
        <v>365.60564273001302</v>
      </c>
      <c r="O1278" s="116">
        <v>356.76552250190701</v>
      </c>
      <c r="P1278" s="116">
        <v>363.08694925720101</v>
      </c>
      <c r="Q1278" s="116">
        <v>365.65</v>
      </c>
      <c r="R1278">
        <v>2808589</v>
      </c>
    </row>
    <row r="1279" spans="1:18" x14ac:dyDescent="0.25">
      <c r="A1279" s="170">
        <v>43888</v>
      </c>
      <c r="B1279" s="116">
        <v>363.48166611428201</v>
      </c>
      <c r="C1279" s="116">
        <v>358.93814528785299</v>
      </c>
      <c r="D1279" s="116">
        <v>355.87620733960802</v>
      </c>
      <c r="E1279" s="116">
        <v>363.48166611428201</v>
      </c>
      <c r="F1279" s="116">
        <v>363.4</v>
      </c>
      <c r="G1279">
        <v>70176</v>
      </c>
      <c r="H1279" s="116"/>
      <c r="I1279" s="116"/>
      <c r="L1279" s="170">
        <v>43888</v>
      </c>
      <c r="M1279" s="116">
        <v>358.83974065598801</v>
      </c>
      <c r="N1279" s="116">
        <v>361.16088954269702</v>
      </c>
      <c r="O1279" s="116">
        <v>355.82718571791798</v>
      </c>
      <c r="P1279" s="116">
        <v>359.62991900039998</v>
      </c>
      <c r="Q1279" s="116">
        <v>363.3</v>
      </c>
      <c r="R1279">
        <v>1827751</v>
      </c>
    </row>
    <row r="1280" spans="1:18" x14ac:dyDescent="0.25">
      <c r="A1280" s="170">
        <v>43889</v>
      </c>
      <c r="B1280" s="116">
        <v>357.45656240967003</v>
      </c>
      <c r="C1280" s="116">
        <v>341.653011709049</v>
      </c>
      <c r="D1280" s="116">
        <v>337.70212403389399</v>
      </c>
      <c r="E1280" s="116">
        <v>357.45656240967003</v>
      </c>
      <c r="F1280" s="116">
        <v>345.9</v>
      </c>
      <c r="G1280">
        <v>1685901</v>
      </c>
      <c r="H1280" s="116"/>
      <c r="I1280" s="116"/>
      <c r="L1280" s="170">
        <v>43889</v>
      </c>
      <c r="M1280" s="116">
        <v>341.90029239766102</v>
      </c>
      <c r="N1280" s="116">
        <v>353.555422977734</v>
      </c>
      <c r="O1280" s="116">
        <v>337.35676691729299</v>
      </c>
      <c r="P1280" s="116">
        <v>353.555422977734</v>
      </c>
      <c r="Q1280" s="116">
        <v>346.15</v>
      </c>
      <c r="R1280">
        <v>4494646</v>
      </c>
    </row>
    <row r="1281" spans="1:18" x14ac:dyDescent="0.25">
      <c r="A1281" s="170">
        <v>43892</v>
      </c>
      <c r="B1281" s="116">
        <v>350.69066726596702</v>
      </c>
      <c r="C1281" s="116">
        <v>333.65246416686</v>
      </c>
      <c r="D1281" s="116">
        <v>329.80034868358302</v>
      </c>
      <c r="E1281" s="116">
        <v>342.73950581971701</v>
      </c>
      <c r="F1281" s="116">
        <v>337.8</v>
      </c>
      <c r="G1281">
        <v>179494</v>
      </c>
      <c r="H1281" s="116"/>
      <c r="I1281" s="116"/>
      <c r="L1281" s="170">
        <v>43892</v>
      </c>
      <c r="M1281" s="116">
        <v>334.64052885837799</v>
      </c>
      <c r="N1281" s="116">
        <v>350.88857106534499</v>
      </c>
      <c r="O1281" s="116">
        <v>329.50436961970098</v>
      </c>
      <c r="P1281" s="116">
        <v>346.740134757183</v>
      </c>
      <c r="Q1281" s="116">
        <v>338.8</v>
      </c>
      <c r="R1281">
        <v>3837169</v>
      </c>
    </row>
    <row r="1282" spans="1:18" x14ac:dyDescent="0.25">
      <c r="A1282" s="170">
        <v>43893</v>
      </c>
      <c r="B1282" s="116">
        <v>353.25874425481697</v>
      </c>
      <c r="C1282" s="116">
        <v>350.838825553785</v>
      </c>
      <c r="D1282" s="116">
        <v>339.67756787147101</v>
      </c>
      <c r="E1282" s="116">
        <v>339.67756787147101</v>
      </c>
      <c r="F1282" s="116">
        <v>355.2</v>
      </c>
      <c r="G1282">
        <v>132500</v>
      </c>
      <c r="H1282" s="116"/>
      <c r="I1282" s="116"/>
      <c r="L1282" s="170">
        <v>43893</v>
      </c>
      <c r="M1282" s="116">
        <v>350.93795721187001</v>
      </c>
      <c r="N1282" s="116">
        <v>353.30849224510598</v>
      </c>
      <c r="O1282" s="116">
        <v>336.41843013330401</v>
      </c>
      <c r="P1282" s="116">
        <v>336.41843013330401</v>
      </c>
      <c r="Q1282" s="116">
        <v>355.3</v>
      </c>
      <c r="R1282">
        <v>4204156</v>
      </c>
    </row>
    <row r="1283" spans="1:18" x14ac:dyDescent="0.25">
      <c r="A1283" s="170">
        <v>43894</v>
      </c>
      <c r="B1283" s="116">
        <v>352.86365548730203</v>
      </c>
      <c r="C1283" s="116">
        <v>344.71494965729403</v>
      </c>
      <c r="D1283" s="116">
        <v>334.640186085648</v>
      </c>
      <c r="E1283" s="116">
        <v>351.62900308881598</v>
      </c>
      <c r="F1283" s="116">
        <v>349</v>
      </c>
      <c r="G1283">
        <v>148491</v>
      </c>
      <c r="H1283" s="116"/>
      <c r="I1283" s="116"/>
      <c r="L1283" s="170">
        <v>43894</v>
      </c>
      <c r="M1283" s="116">
        <v>344.91284733573099</v>
      </c>
      <c r="N1283" s="116">
        <v>353.209719952054</v>
      </c>
      <c r="O1283" s="116">
        <v>334.83807344448098</v>
      </c>
      <c r="P1283" s="116">
        <v>351.826907849333</v>
      </c>
      <c r="Q1283" s="116">
        <v>349.2</v>
      </c>
      <c r="R1283">
        <v>2331888</v>
      </c>
    </row>
    <row r="1284" spans="1:18" x14ac:dyDescent="0.25">
      <c r="A1284" s="170">
        <v>43895</v>
      </c>
      <c r="B1284" s="116">
        <v>353.60444692639402</v>
      </c>
      <c r="C1284" s="116">
        <v>343.825999930384</v>
      </c>
      <c r="D1284" s="116">
        <v>342.64073362783802</v>
      </c>
      <c r="E1284" s="116">
        <v>353.60444692639402</v>
      </c>
      <c r="F1284" s="116">
        <v>348.1</v>
      </c>
      <c r="G1284">
        <v>124602</v>
      </c>
      <c r="H1284" s="116"/>
      <c r="I1284" s="116"/>
      <c r="L1284" s="170">
        <v>43895</v>
      </c>
      <c r="M1284" s="116">
        <v>344.22144128436997</v>
      </c>
      <c r="N1284" s="116">
        <v>352.715858486797</v>
      </c>
      <c r="O1284" s="116">
        <v>342.73985688859801</v>
      </c>
      <c r="P1284" s="116">
        <v>349.40698666957201</v>
      </c>
      <c r="Q1284" s="116">
        <v>348.5</v>
      </c>
      <c r="R1284">
        <v>1890082</v>
      </c>
    </row>
    <row r="1285" spans="1:18" x14ac:dyDescent="0.25">
      <c r="A1285" s="170">
        <v>43896</v>
      </c>
      <c r="B1285" s="116">
        <v>342.54196143595902</v>
      </c>
      <c r="C1285" s="116">
        <v>340.17142883086598</v>
      </c>
      <c r="D1285" s="116">
        <v>329.553418203886</v>
      </c>
      <c r="E1285" s="116">
        <v>339.77634006335001</v>
      </c>
      <c r="F1285" s="116">
        <v>344.4</v>
      </c>
      <c r="G1285">
        <v>1340691</v>
      </c>
      <c r="H1285" s="116"/>
      <c r="I1285" s="116"/>
      <c r="L1285" s="170">
        <v>43896</v>
      </c>
      <c r="M1285" s="116">
        <v>340.270549562312</v>
      </c>
      <c r="N1285" s="116">
        <v>342.641084595547</v>
      </c>
      <c r="O1285" s="116">
        <v>330.04761723148403</v>
      </c>
      <c r="P1285" s="116">
        <v>335.82579637499498</v>
      </c>
      <c r="Q1285" s="116">
        <v>344.5</v>
      </c>
      <c r="R1285">
        <v>4469801</v>
      </c>
    </row>
    <row r="1286" spans="1:18" x14ac:dyDescent="0.25">
      <c r="A1286" s="170">
        <v>43899</v>
      </c>
      <c r="B1286" s="116">
        <v>338.59107376080402</v>
      </c>
      <c r="C1286" s="116">
        <v>324.960511281518</v>
      </c>
      <c r="D1286" s="116">
        <v>315.33022257332698</v>
      </c>
      <c r="E1286" s="116">
        <v>338.59107376080402</v>
      </c>
      <c r="F1286" s="116">
        <v>329</v>
      </c>
      <c r="G1286">
        <v>299695</v>
      </c>
      <c r="H1286" s="116"/>
      <c r="I1286" s="116"/>
      <c r="L1286" s="170">
        <v>43899</v>
      </c>
      <c r="M1286" s="116">
        <v>326.0473393629</v>
      </c>
      <c r="N1286" s="116">
        <v>336.665360865933</v>
      </c>
      <c r="O1286" s="116">
        <v>315.23177327376402</v>
      </c>
      <c r="P1286" s="116">
        <v>333.85035051396602</v>
      </c>
      <c r="Q1286" s="116">
        <v>330.1</v>
      </c>
      <c r="R1286">
        <v>5653412</v>
      </c>
    </row>
    <row r="1287" spans="1:18" x14ac:dyDescent="0.25">
      <c r="A1287" s="170">
        <v>43901</v>
      </c>
      <c r="B1287" s="116">
        <v>332.91167272776801</v>
      </c>
      <c r="C1287" s="116">
        <v>324.07156155460802</v>
      </c>
      <c r="D1287" s="116">
        <v>321.60225675763598</v>
      </c>
      <c r="E1287" s="116">
        <v>325.94823320030702</v>
      </c>
      <c r="F1287" s="116">
        <v>328.1</v>
      </c>
      <c r="G1287">
        <v>100990</v>
      </c>
      <c r="H1287" s="116"/>
      <c r="I1287" s="116"/>
      <c r="L1287" s="170">
        <v>43901</v>
      </c>
      <c r="M1287" s="116">
        <v>323.82496276924201</v>
      </c>
      <c r="N1287" s="116">
        <v>333.60341978133698</v>
      </c>
      <c r="O1287" s="116">
        <v>321.00995241727497</v>
      </c>
      <c r="P1287" s="116">
        <v>322.83723983872699</v>
      </c>
      <c r="Q1287" s="116">
        <v>327.85</v>
      </c>
      <c r="R1287">
        <v>3475868</v>
      </c>
    </row>
    <row r="1288" spans="1:18" x14ac:dyDescent="0.25">
      <c r="A1288" s="170">
        <v>43902</v>
      </c>
      <c r="B1288" s="116">
        <v>320.02190168757397</v>
      </c>
      <c r="C1288" s="116">
        <v>300.02053283210103</v>
      </c>
      <c r="D1288" s="116">
        <v>293.74849864779202</v>
      </c>
      <c r="E1288" s="116">
        <v>320.02190168757397</v>
      </c>
      <c r="F1288" s="116">
        <v>303.75</v>
      </c>
      <c r="G1288">
        <v>219426</v>
      </c>
      <c r="H1288" s="116"/>
      <c r="I1288" s="116"/>
      <c r="L1288" s="170">
        <v>43902</v>
      </c>
      <c r="M1288" s="116">
        <v>299.724523264683</v>
      </c>
      <c r="N1288" s="116">
        <v>316.07133776470198</v>
      </c>
      <c r="O1288" s="116">
        <v>293.55125494896703</v>
      </c>
      <c r="P1288" s="116">
        <v>316.07133776470198</v>
      </c>
      <c r="Q1288" s="116">
        <v>303.45</v>
      </c>
      <c r="R1288">
        <v>5405030</v>
      </c>
    </row>
    <row r="1289" spans="1:18" x14ac:dyDescent="0.25">
      <c r="A1289" s="170">
        <v>43903</v>
      </c>
      <c r="B1289" s="116">
        <v>323.28138401957699</v>
      </c>
      <c r="C1289" s="116">
        <v>320.07128778351301</v>
      </c>
      <c r="D1289" s="116">
        <v>266.68491807297801</v>
      </c>
      <c r="E1289" s="116">
        <v>277.747403563413</v>
      </c>
      <c r="F1289" s="116">
        <v>324.05</v>
      </c>
      <c r="G1289">
        <v>357315</v>
      </c>
      <c r="H1289" s="116"/>
      <c r="I1289" s="116"/>
      <c r="L1289" s="170">
        <v>43903</v>
      </c>
      <c r="M1289" s="116">
        <v>320.26916021938899</v>
      </c>
      <c r="N1289" s="116">
        <v>323.77557662271602</v>
      </c>
      <c r="O1289" s="116">
        <v>254.83251607279101</v>
      </c>
      <c r="P1289" s="116">
        <v>270.191607642294</v>
      </c>
      <c r="Q1289" s="116">
        <v>324.25</v>
      </c>
      <c r="R1289">
        <v>7428604</v>
      </c>
    </row>
    <row r="1290" spans="1:18" x14ac:dyDescent="0.25">
      <c r="A1290" s="170">
        <v>43906</v>
      </c>
      <c r="B1290" s="116">
        <v>312.81153168041601</v>
      </c>
      <c r="C1290" s="116">
        <v>296.069645156945</v>
      </c>
      <c r="D1290" s="116">
        <v>292.95832111276098</v>
      </c>
      <c r="E1290" s="116">
        <v>304.218350986953</v>
      </c>
      <c r="F1290" s="116">
        <v>299.75</v>
      </c>
      <c r="G1290">
        <v>180992</v>
      </c>
      <c r="H1290" s="116"/>
      <c r="I1290" s="116"/>
      <c r="L1290" s="170">
        <v>43906</v>
      </c>
      <c r="M1290" s="116">
        <v>296.61319603356202</v>
      </c>
      <c r="N1290" s="116">
        <v>310.44131706076797</v>
      </c>
      <c r="O1290" s="116">
        <v>292.95862119065799</v>
      </c>
      <c r="P1290" s="116">
        <v>301.55181068613598</v>
      </c>
      <c r="Q1290" s="116">
        <v>300.3</v>
      </c>
      <c r="R1290">
        <v>3695163</v>
      </c>
    </row>
    <row r="1291" spans="1:18" x14ac:dyDescent="0.25">
      <c r="A1291" s="170">
        <v>43907</v>
      </c>
      <c r="B1291" s="116">
        <v>305.20607290574202</v>
      </c>
      <c r="C1291" s="116">
        <v>280.56241103196101</v>
      </c>
      <c r="D1291" s="116">
        <v>278.53758109844398</v>
      </c>
      <c r="E1291" s="116">
        <v>301.25518523058702</v>
      </c>
      <c r="F1291" s="116">
        <v>284.05</v>
      </c>
      <c r="G1291">
        <v>150264</v>
      </c>
      <c r="H1291" s="116"/>
      <c r="I1291" s="116"/>
      <c r="L1291" s="170">
        <v>43907</v>
      </c>
      <c r="M1291" s="116">
        <v>280.36515382659502</v>
      </c>
      <c r="N1291" s="116">
        <v>304.910068649886</v>
      </c>
      <c r="O1291" s="116">
        <v>278.53786640514301</v>
      </c>
      <c r="P1291" s="116">
        <v>301.25549380698101</v>
      </c>
      <c r="Q1291" s="116">
        <v>283.85000000000002</v>
      </c>
      <c r="R1291">
        <v>3307865</v>
      </c>
    </row>
    <row r="1292" spans="1:18" x14ac:dyDescent="0.25">
      <c r="A1292" s="170">
        <v>43908</v>
      </c>
      <c r="B1292" s="116">
        <v>285.254090146208</v>
      </c>
      <c r="C1292" s="116">
        <v>262.43771382218603</v>
      </c>
      <c r="D1292" s="116">
        <v>258.83252881860699</v>
      </c>
      <c r="E1292" s="116">
        <v>284.46391261117702</v>
      </c>
      <c r="F1292" s="116">
        <v>265.7</v>
      </c>
      <c r="G1292">
        <v>186880</v>
      </c>
      <c r="H1292" s="116"/>
      <c r="I1292" s="116"/>
      <c r="L1292" s="170">
        <v>43908</v>
      </c>
      <c r="M1292" s="116">
        <v>264.16649776615498</v>
      </c>
      <c r="N1292" s="116">
        <v>285.05683774654</v>
      </c>
      <c r="O1292" s="116">
        <v>258.78340779484898</v>
      </c>
      <c r="P1292" s="116">
        <v>281.50103519668698</v>
      </c>
      <c r="Q1292" s="116">
        <v>267.45</v>
      </c>
      <c r="R1292">
        <v>4038726</v>
      </c>
    </row>
    <row r="1293" spans="1:18" x14ac:dyDescent="0.25">
      <c r="A1293" s="170">
        <v>43909</v>
      </c>
      <c r="B1293" s="116">
        <v>262.28955553436799</v>
      </c>
      <c r="C1293" s="116">
        <v>248.01697380786999</v>
      </c>
      <c r="D1293" s="116">
        <v>228.953940775246</v>
      </c>
      <c r="E1293" s="116">
        <v>254.832255047513</v>
      </c>
      <c r="F1293" s="116">
        <v>251.1</v>
      </c>
      <c r="G1293">
        <v>448668</v>
      </c>
      <c r="H1293" s="116"/>
      <c r="I1293" s="116"/>
      <c r="L1293" s="170">
        <v>43909</v>
      </c>
      <c r="M1293" s="116">
        <v>247.67152482655899</v>
      </c>
      <c r="N1293" s="116">
        <v>262.24043805165098</v>
      </c>
      <c r="O1293" s="116">
        <v>229.39865061203699</v>
      </c>
      <c r="P1293" s="116">
        <v>254.83251607279101</v>
      </c>
      <c r="Q1293" s="116">
        <v>250.75</v>
      </c>
      <c r="R1293">
        <v>6319923</v>
      </c>
    </row>
    <row r="1294" spans="1:18" x14ac:dyDescent="0.25">
      <c r="A1294" s="170">
        <v>43910</v>
      </c>
      <c r="B1294" s="116">
        <v>270.29010307655801</v>
      </c>
      <c r="C1294" s="116">
        <v>260.90674484806402</v>
      </c>
      <c r="D1294" s="116">
        <v>232.70728406664301</v>
      </c>
      <c r="E1294" s="116">
        <v>244.21424442053299</v>
      </c>
      <c r="F1294" s="116">
        <v>264.14999999999998</v>
      </c>
      <c r="G1294">
        <v>219646</v>
      </c>
      <c r="H1294" s="116"/>
      <c r="I1294" s="116"/>
      <c r="L1294" s="170">
        <v>43910</v>
      </c>
      <c r="M1294" s="116">
        <v>260.95639824198201</v>
      </c>
      <c r="N1294" s="116">
        <v>270.043449202717</v>
      </c>
      <c r="O1294" s="116">
        <v>241.498256510842</v>
      </c>
      <c r="P1294" s="116">
        <v>243.96756383712901</v>
      </c>
      <c r="Q1294" s="116">
        <v>264.2</v>
      </c>
      <c r="R1294">
        <v>3907691</v>
      </c>
    </row>
    <row r="1295" spans="1:18" x14ac:dyDescent="0.25">
      <c r="A1295" s="170">
        <v>43913</v>
      </c>
      <c r="B1295" s="116">
        <v>254.33839408811801</v>
      </c>
      <c r="C1295" s="116">
        <v>223.81778679754399</v>
      </c>
      <c r="D1295" s="116">
        <v>222.237431727482</v>
      </c>
      <c r="E1295" s="116">
        <v>254.33839408811801</v>
      </c>
      <c r="F1295" s="116">
        <v>226.6</v>
      </c>
      <c r="G1295">
        <v>151084</v>
      </c>
      <c r="H1295" s="116"/>
      <c r="I1295" s="116"/>
      <c r="L1295" s="170">
        <v>43913</v>
      </c>
      <c r="M1295" s="116">
        <v>223.71924376157801</v>
      </c>
      <c r="N1295" s="116">
        <v>244.85651447459199</v>
      </c>
      <c r="O1295" s="116">
        <v>222.237659365806</v>
      </c>
      <c r="P1295" s="116">
        <v>237.053503323526</v>
      </c>
      <c r="Q1295" s="116">
        <v>226.5</v>
      </c>
      <c r="R1295">
        <v>2922955</v>
      </c>
    </row>
    <row r="1296" spans="1:18" x14ac:dyDescent="0.25">
      <c r="A1296" s="170">
        <v>43914</v>
      </c>
      <c r="B1296" s="116">
        <v>251.869089291146</v>
      </c>
      <c r="C1296" s="116">
        <v>246.33784654592901</v>
      </c>
      <c r="D1296" s="116">
        <v>211.372490620805</v>
      </c>
      <c r="E1296" s="116">
        <v>242.979592022047</v>
      </c>
      <c r="F1296" s="116">
        <v>249.4</v>
      </c>
      <c r="G1296">
        <v>3156417</v>
      </c>
      <c r="H1296" s="116"/>
      <c r="I1296" s="116"/>
      <c r="L1296" s="170">
        <v>43914</v>
      </c>
      <c r="M1296" s="116">
        <v>245.99239584468401</v>
      </c>
      <c r="N1296" s="116">
        <v>252.95584250481301</v>
      </c>
      <c r="O1296" s="116">
        <v>211.07639025098999</v>
      </c>
      <c r="P1296" s="116">
        <v>246.09116813773599</v>
      </c>
      <c r="Q1296" s="116">
        <v>249.05</v>
      </c>
      <c r="R1296">
        <v>6054692</v>
      </c>
    </row>
    <row r="1297" spans="1:18" x14ac:dyDescent="0.25">
      <c r="A1297" s="170">
        <v>43915</v>
      </c>
      <c r="B1297" s="116">
        <v>278.53758109844398</v>
      </c>
      <c r="C1297" s="116">
        <v>273.30265492886298</v>
      </c>
      <c r="D1297" s="116">
        <v>245.99214387435299</v>
      </c>
      <c r="E1297" s="116">
        <v>247.424340656597</v>
      </c>
      <c r="F1297" s="116">
        <v>276.7</v>
      </c>
      <c r="G1297">
        <v>126103</v>
      </c>
      <c r="H1297" s="116"/>
      <c r="I1297" s="116"/>
      <c r="L1297" s="170">
        <v>43915</v>
      </c>
      <c r="M1297" s="116">
        <v>273.74741019214702</v>
      </c>
      <c r="N1297" s="116">
        <v>278.98234172387498</v>
      </c>
      <c r="O1297" s="116">
        <v>243.86879154407799</v>
      </c>
      <c r="P1297" s="116">
        <v>245.05405906069501</v>
      </c>
      <c r="Q1297" s="116">
        <v>277.14999999999998</v>
      </c>
      <c r="R1297">
        <v>3964419</v>
      </c>
    </row>
    <row r="1298" spans="1:18" x14ac:dyDescent="0.25">
      <c r="A1298" s="170">
        <v>43916</v>
      </c>
      <c r="B1298" s="116">
        <v>289.99515535639398</v>
      </c>
      <c r="C1298" s="116">
        <v>276.01889020553301</v>
      </c>
      <c r="D1298" s="116">
        <v>269.54931163746602</v>
      </c>
      <c r="E1298" s="116">
        <v>280.51302493602202</v>
      </c>
      <c r="F1298" s="116">
        <v>279.45</v>
      </c>
      <c r="G1298">
        <v>121110</v>
      </c>
      <c r="H1298" s="116"/>
      <c r="I1298" s="116"/>
      <c r="L1298" s="170">
        <v>43916</v>
      </c>
      <c r="M1298" s="116">
        <v>275.62408376012502</v>
      </c>
      <c r="N1298" s="116">
        <v>289.94606625258803</v>
      </c>
      <c r="O1298" s="116">
        <v>260.21560604409598</v>
      </c>
      <c r="P1298" s="116">
        <v>276.06855907885699</v>
      </c>
      <c r="Q1298" s="116">
        <v>279.05</v>
      </c>
      <c r="R1298">
        <v>3335026</v>
      </c>
    </row>
    <row r="1299" spans="1:18" x14ac:dyDescent="0.25">
      <c r="A1299" s="170">
        <v>43917</v>
      </c>
      <c r="B1299" s="116">
        <v>291.37796604269897</v>
      </c>
      <c r="C1299" s="116">
        <v>281.64890514262902</v>
      </c>
      <c r="D1299" s="116">
        <v>276.068276301472</v>
      </c>
      <c r="E1299" s="116">
        <v>277.54985917965502</v>
      </c>
      <c r="F1299" s="116">
        <v>285.14999999999998</v>
      </c>
      <c r="G1299">
        <v>107721</v>
      </c>
      <c r="H1299" s="116"/>
      <c r="I1299" s="116"/>
      <c r="L1299" s="170">
        <v>43917</v>
      </c>
      <c r="M1299" s="116">
        <v>281.25410446405903</v>
      </c>
      <c r="N1299" s="116">
        <v>291.32887835530897</v>
      </c>
      <c r="O1299" s="116">
        <v>275.82162834622801</v>
      </c>
      <c r="P1299" s="116">
        <v>286.439649849261</v>
      </c>
      <c r="Q1299" s="116">
        <v>284.75</v>
      </c>
      <c r="R1299">
        <v>2980927</v>
      </c>
    </row>
    <row r="1300" spans="1:18" x14ac:dyDescent="0.25">
      <c r="A1300" s="170">
        <v>43920</v>
      </c>
      <c r="B1300" s="116">
        <v>280.41425274414303</v>
      </c>
      <c r="C1300" s="116">
        <v>277.45108698777602</v>
      </c>
      <c r="D1300" s="116">
        <v>269.79624211716299</v>
      </c>
      <c r="E1300" s="116">
        <v>279.525303017233</v>
      </c>
      <c r="F1300" s="116">
        <v>280.89999999999998</v>
      </c>
      <c r="G1300">
        <v>88437</v>
      </c>
      <c r="H1300" s="116"/>
      <c r="I1300" s="116"/>
      <c r="L1300" s="170">
        <v>43920</v>
      </c>
      <c r="M1300" s="116">
        <v>277.94523264683397</v>
      </c>
      <c r="N1300" s="116">
        <v>280.51331226617299</v>
      </c>
      <c r="O1300" s="116">
        <v>269.30265700483102</v>
      </c>
      <c r="P1300" s="116">
        <v>279.03172787040103</v>
      </c>
      <c r="Q1300" s="116">
        <v>281.39999999999998</v>
      </c>
      <c r="R1300">
        <v>2901726</v>
      </c>
    </row>
    <row r="1301" spans="1:18" x14ac:dyDescent="0.25">
      <c r="A1301" s="170">
        <v>43921</v>
      </c>
      <c r="B1301" s="116">
        <v>293.254637688397</v>
      </c>
      <c r="C1301" s="116">
        <v>291.18042165894099</v>
      </c>
      <c r="D1301" s="116">
        <v>281.35258856699198</v>
      </c>
      <c r="E1301" s="116">
        <v>286.43935644875501</v>
      </c>
      <c r="F1301" s="116">
        <v>294.8</v>
      </c>
      <c r="G1301">
        <v>64682</v>
      </c>
      <c r="H1301" s="116"/>
      <c r="I1301" s="116"/>
      <c r="L1301" s="170">
        <v>43921</v>
      </c>
      <c r="M1301" s="116">
        <v>291.23010606225699</v>
      </c>
      <c r="N1301" s="116">
        <v>293.35371036286398</v>
      </c>
      <c r="O1301" s="116">
        <v>281.35287675710998</v>
      </c>
      <c r="P1301" s="116">
        <v>287.92123424503302</v>
      </c>
      <c r="Q1301" s="116">
        <v>294.85000000000002</v>
      </c>
      <c r="R1301">
        <v>3270034</v>
      </c>
    </row>
    <row r="1302" spans="1:18" x14ac:dyDescent="0.25">
      <c r="A1302" s="170">
        <v>43922</v>
      </c>
      <c r="B1302" s="116">
        <v>300.267463311798</v>
      </c>
      <c r="C1302" s="116">
        <v>276.710295548685</v>
      </c>
      <c r="D1302" s="116">
        <v>274.09283246389401</v>
      </c>
      <c r="E1302" s="116">
        <v>295.23008152597498</v>
      </c>
      <c r="F1302" s="116">
        <v>280.14999999999998</v>
      </c>
      <c r="G1302">
        <v>113210</v>
      </c>
      <c r="H1302" s="116"/>
      <c r="I1302" s="116"/>
      <c r="L1302" s="170">
        <v>43922</v>
      </c>
      <c r="M1302" s="116">
        <v>276.56242054411399</v>
      </c>
      <c r="N1302" s="116">
        <v>300.26777087646701</v>
      </c>
      <c r="O1302" s="116">
        <v>273.94495477825001</v>
      </c>
      <c r="P1302" s="116">
        <v>289.25466020122798</v>
      </c>
      <c r="Q1302" s="116">
        <v>280</v>
      </c>
      <c r="R1302">
        <v>5532600</v>
      </c>
    </row>
    <row r="1303" spans="1:18" x14ac:dyDescent="0.25">
      <c r="A1303" s="170">
        <v>43924</v>
      </c>
      <c r="B1303" s="116">
        <v>286.58751473657298</v>
      </c>
      <c r="C1303" s="116">
        <v>263.968682796309</v>
      </c>
      <c r="D1303" s="116">
        <v>260.75858656024599</v>
      </c>
      <c r="E1303" s="116">
        <v>286.58751473657298</v>
      </c>
      <c r="F1303" s="116">
        <v>267.25</v>
      </c>
      <c r="G1303">
        <v>132522</v>
      </c>
      <c r="H1303" s="116"/>
      <c r="I1303" s="116"/>
      <c r="L1303" s="170">
        <v>43924</v>
      </c>
      <c r="M1303" s="116">
        <v>263.870180887</v>
      </c>
      <c r="N1303" s="116">
        <v>282.488758127202</v>
      </c>
      <c r="O1303" s="116">
        <v>260.75885365587902</v>
      </c>
      <c r="P1303" s="116">
        <v>282.488758127202</v>
      </c>
      <c r="Q1303" s="116">
        <v>267.14999999999998</v>
      </c>
      <c r="R1303">
        <v>5990376</v>
      </c>
    </row>
    <row r="1304" spans="1:18" x14ac:dyDescent="0.25">
      <c r="A1304" s="170">
        <v>43928</v>
      </c>
      <c r="B1304" s="116">
        <v>283.22926021269097</v>
      </c>
      <c r="C1304" s="116">
        <v>281.155044183234</v>
      </c>
      <c r="D1304" s="116">
        <v>267.96895656740401</v>
      </c>
      <c r="E1304" s="116">
        <v>271.57414157098299</v>
      </c>
      <c r="F1304" s="116">
        <v>284.64999999999998</v>
      </c>
      <c r="G1304">
        <v>168119</v>
      </c>
      <c r="H1304" s="116"/>
      <c r="I1304" s="116"/>
      <c r="L1304" s="170">
        <v>43928</v>
      </c>
      <c r="M1304" s="116">
        <v>281.05655987795598</v>
      </c>
      <c r="N1304" s="116">
        <v>283.22955032508798</v>
      </c>
      <c r="O1304" s="116">
        <v>267.672914169482</v>
      </c>
      <c r="P1304" s="116">
        <v>276.56242054411399</v>
      </c>
      <c r="Q1304" s="116">
        <v>284.55</v>
      </c>
      <c r="R1304">
        <v>6492026</v>
      </c>
    </row>
    <row r="1305" spans="1:18" x14ac:dyDescent="0.25">
      <c r="A1305" s="170">
        <v>43929</v>
      </c>
      <c r="B1305" s="116">
        <v>292.71139063306401</v>
      </c>
      <c r="C1305" s="116">
        <v>290.93349117924402</v>
      </c>
      <c r="D1305" s="116">
        <v>275.03116828674399</v>
      </c>
      <c r="E1305" s="116">
        <v>283.476190692388</v>
      </c>
      <c r="F1305" s="116">
        <v>294.55</v>
      </c>
      <c r="G1305">
        <v>147016</v>
      </c>
      <c r="H1305" s="116"/>
      <c r="I1305" s="116"/>
      <c r="L1305" s="170">
        <v>43929</v>
      </c>
      <c r="M1305" s="116">
        <v>290.78563074352502</v>
      </c>
      <c r="N1305" s="116">
        <v>292.36598743234902</v>
      </c>
      <c r="O1305" s="116">
        <v>273.30293487341498</v>
      </c>
      <c r="P1305" s="116">
        <v>279.22927245650402</v>
      </c>
      <c r="Q1305" s="116">
        <v>294.39999999999998</v>
      </c>
      <c r="R1305">
        <v>5331494</v>
      </c>
    </row>
    <row r="1306" spans="1:18" x14ac:dyDescent="0.25">
      <c r="A1306" s="170">
        <v>43930</v>
      </c>
      <c r="B1306" s="116">
        <v>315.87346962866098</v>
      </c>
      <c r="C1306" s="116">
        <v>304.90975633010498</v>
      </c>
      <c r="D1306" s="116">
        <v>294.34113179906501</v>
      </c>
      <c r="E1306" s="116">
        <v>294.34113179906501</v>
      </c>
      <c r="F1306" s="116">
        <v>308.7</v>
      </c>
      <c r="G1306">
        <v>289013</v>
      </c>
      <c r="H1306" s="116"/>
      <c r="I1306" s="116"/>
      <c r="L1306" s="170">
        <v>43930</v>
      </c>
      <c r="M1306" s="116">
        <v>305.255771675566</v>
      </c>
      <c r="N1306" s="116">
        <v>315.08361483418702</v>
      </c>
      <c r="O1306" s="116">
        <v>296.51442374051101</v>
      </c>
      <c r="P1306" s="116">
        <v>297.69969125712799</v>
      </c>
      <c r="Q1306" s="116">
        <v>309.05</v>
      </c>
      <c r="R1306">
        <v>7699408</v>
      </c>
    </row>
    <row r="1307" spans="1:18" x14ac:dyDescent="0.25">
      <c r="A1307" s="170">
        <v>43934</v>
      </c>
      <c r="B1307" s="116">
        <v>310.53977126720099</v>
      </c>
      <c r="C1307" s="116">
        <v>301.79843228592102</v>
      </c>
      <c r="D1307" s="116">
        <v>298.19324728234102</v>
      </c>
      <c r="E1307" s="116">
        <v>305.30484509762101</v>
      </c>
      <c r="F1307" s="116">
        <v>305.55</v>
      </c>
      <c r="G1307">
        <v>145905</v>
      </c>
      <c r="H1307" s="116"/>
      <c r="I1307" s="116"/>
      <c r="L1307" s="170">
        <v>43934</v>
      </c>
      <c r="M1307" s="116">
        <v>301.304879953507</v>
      </c>
      <c r="N1307" s="116">
        <v>311.13272311212802</v>
      </c>
      <c r="O1307" s="116">
        <v>297.40337437797399</v>
      </c>
      <c r="P1307" s="116">
        <v>311.13272311212802</v>
      </c>
      <c r="Q1307" s="116">
        <v>305.05</v>
      </c>
      <c r="R1307">
        <v>3699875</v>
      </c>
    </row>
    <row r="1308" spans="1:18" x14ac:dyDescent="0.25">
      <c r="A1308" s="170">
        <v>43936</v>
      </c>
      <c r="B1308" s="116">
        <v>318.68847709720899</v>
      </c>
      <c r="C1308" s="116">
        <v>311.77442366568698</v>
      </c>
      <c r="D1308" s="116">
        <v>301.50211571028399</v>
      </c>
      <c r="E1308" s="116">
        <v>303.32940126004303</v>
      </c>
      <c r="F1308" s="116">
        <v>315.64999999999998</v>
      </c>
      <c r="G1308">
        <v>215214</v>
      </c>
      <c r="H1308" s="116"/>
      <c r="I1308" s="116"/>
      <c r="L1308" s="170">
        <v>43936</v>
      </c>
      <c r="M1308" s="116">
        <v>311.77474301696299</v>
      </c>
      <c r="N1308" s="116">
        <v>318.78757582361698</v>
      </c>
      <c r="O1308" s="116">
        <v>301.25549380698101</v>
      </c>
      <c r="P1308" s="116">
        <v>307.280603683121</v>
      </c>
      <c r="Q1308" s="116">
        <v>315.64999999999998</v>
      </c>
      <c r="R1308">
        <v>5721837</v>
      </c>
    </row>
    <row r="1309" spans="1:18" x14ac:dyDescent="0.25">
      <c r="A1309" s="170">
        <v>43937</v>
      </c>
      <c r="B1309" s="116">
        <v>329.454646012007</v>
      </c>
      <c r="C1309" s="116">
        <v>319.08356586472502</v>
      </c>
      <c r="D1309" s="116">
        <v>311.13240441847501</v>
      </c>
      <c r="E1309" s="116">
        <v>312.12012633726403</v>
      </c>
      <c r="F1309" s="116">
        <v>323.05</v>
      </c>
      <c r="G1309">
        <v>247756</v>
      </c>
      <c r="H1309" s="116"/>
      <c r="I1309" s="116"/>
      <c r="L1309" s="170">
        <v>43937</v>
      </c>
      <c r="M1309" s="116">
        <v>320.071615633286</v>
      </c>
      <c r="N1309" s="116">
        <v>329.60314191275302</v>
      </c>
      <c r="O1309" s="116">
        <v>311.77474301696299</v>
      </c>
      <c r="P1309" s="116">
        <v>313.94773346409499</v>
      </c>
      <c r="Q1309" s="116">
        <v>324.05</v>
      </c>
      <c r="R1309">
        <v>8211111</v>
      </c>
    </row>
    <row r="1310" spans="1:18" x14ac:dyDescent="0.25">
      <c r="A1310" s="170">
        <v>43938</v>
      </c>
      <c r="B1310" s="116">
        <v>332.17088128867601</v>
      </c>
      <c r="C1310" s="116">
        <v>320.31821826321101</v>
      </c>
      <c r="D1310" s="116">
        <v>313.10784825605202</v>
      </c>
      <c r="E1310" s="116">
        <v>331.87456471304</v>
      </c>
      <c r="F1310" s="116">
        <v>324.3</v>
      </c>
      <c r="G1310">
        <v>192905</v>
      </c>
      <c r="H1310" s="116"/>
      <c r="I1310" s="116"/>
      <c r="L1310" s="170">
        <v>43938</v>
      </c>
      <c r="M1310" s="116">
        <v>320.51609095201798</v>
      </c>
      <c r="N1310" s="116">
        <v>332.26999382514299</v>
      </c>
      <c r="O1310" s="116">
        <v>312.96001053357998</v>
      </c>
      <c r="P1310" s="116">
        <v>330.837795575896</v>
      </c>
      <c r="Q1310" s="116">
        <v>324.5</v>
      </c>
      <c r="R1310">
        <v>4845929</v>
      </c>
    </row>
    <row r="1311" spans="1:18" x14ac:dyDescent="0.25">
      <c r="A1311" s="170">
        <v>43941</v>
      </c>
      <c r="B1311" s="116">
        <v>328.61508238103698</v>
      </c>
      <c r="C1311" s="116">
        <v>320.66392093478697</v>
      </c>
      <c r="D1311" s="116">
        <v>317.355052506844</v>
      </c>
      <c r="E1311" s="116">
        <v>325.94823320030702</v>
      </c>
      <c r="F1311" s="116">
        <v>324.64999999999998</v>
      </c>
      <c r="G1311">
        <v>151150</v>
      </c>
      <c r="H1311" s="116"/>
      <c r="I1311" s="116"/>
      <c r="L1311" s="170">
        <v>43941</v>
      </c>
      <c r="M1311" s="116">
        <v>320.71363553812103</v>
      </c>
      <c r="N1311" s="116">
        <v>328.763577421815</v>
      </c>
      <c r="O1311" s="116">
        <v>317.20721913479298</v>
      </c>
      <c r="P1311" s="116">
        <v>320.61486324506899</v>
      </c>
      <c r="Q1311" s="116">
        <v>324.7</v>
      </c>
      <c r="R1311">
        <v>3621444</v>
      </c>
    </row>
    <row r="1312" spans="1:18" x14ac:dyDescent="0.25">
      <c r="A1312" s="170">
        <v>43942</v>
      </c>
      <c r="B1312" s="116">
        <v>315.87346962866098</v>
      </c>
      <c r="C1312" s="116">
        <v>308.61371352556301</v>
      </c>
      <c r="D1312" s="116">
        <v>307.52721941489602</v>
      </c>
      <c r="E1312" s="116">
        <v>313.25600654387102</v>
      </c>
      <c r="F1312" s="116">
        <v>312.45</v>
      </c>
      <c r="G1312">
        <v>93403</v>
      </c>
      <c r="H1312" s="116"/>
      <c r="I1312" s="116"/>
      <c r="L1312" s="170">
        <v>43942</v>
      </c>
      <c r="M1312" s="116">
        <v>308.56464349279003</v>
      </c>
      <c r="N1312" s="116">
        <v>316.07133776470198</v>
      </c>
      <c r="O1312" s="116">
        <v>307.18183139006902</v>
      </c>
      <c r="P1312" s="116">
        <v>314.095891903672</v>
      </c>
      <c r="Q1312" s="116">
        <v>312.39999999999998</v>
      </c>
      <c r="R1312">
        <v>3462477</v>
      </c>
    </row>
    <row r="1313" spans="1:18" x14ac:dyDescent="0.25">
      <c r="A1313" s="170">
        <v>43943</v>
      </c>
      <c r="B1313" s="116">
        <v>330.83745669831097</v>
      </c>
      <c r="C1313" s="116">
        <v>326.09639148812499</v>
      </c>
      <c r="D1313" s="116">
        <v>306.24318092047002</v>
      </c>
      <c r="E1313" s="116">
        <v>311.13240441847501</v>
      </c>
      <c r="F1313" s="116">
        <v>330.15</v>
      </c>
      <c r="G1313">
        <v>136968</v>
      </c>
      <c r="H1313" s="116"/>
      <c r="I1313" s="116"/>
      <c r="L1313" s="170">
        <v>43943</v>
      </c>
      <c r="M1313" s="116">
        <v>326.09672550942599</v>
      </c>
      <c r="N1313" s="116">
        <v>331.33165704115402</v>
      </c>
      <c r="O1313" s="116">
        <v>306.19410845955503</v>
      </c>
      <c r="P1313" s="116">
        <v>310.78702008644802</v>
      </c>
      <c r="Q1313" s="116">
        <v>330.15</v>
      </c>
      <c r="R1313">
        <v>4645157</v>
      </c>
    </row>
    <row r="1314" spans="1:18" x14ac:dyDescent="0.25">
      <c r="A1314" s="170">
        <v>43944</v>
      </c>
      <c r="B1314" s="116">
        <v>335.825452388195</v>
      </c>
      <c r="C1314" s="116">
        <v>325.80007491248898</v>
      </c>
      <c r="D1314" s="116">
        <v>321.50348456575699</v>
      </c>
      <c r="E1314" s="116">
        <v>335.825452388195</v>
      </c>
      <c r="F1314" s="116">
        <v>329.85</v>
      </c>
      <c r="G1314">
        <v>153418</v>
      </c>
      <c r="H1314" s="116"/>
      <c r="I1314" s="116"/>
      <c r="L1314" s="170">
        <v>43944</v>
      </c>
      <c r="M1314" s="116">
        <v>325.899180923323</v>
      </c>
      <c r="N1314" s="116">
        <v>335.62825178889301</v>
      </c>
      <c r="O1314" s="116">
        <v>321.30626929642898</v>
      </c>
      <c r="P1314" s="116">
        <v>333.85035051396602</v>
      </c>
      <c r="Q1314" s="116">
        <v>329.95</v>
      </c>
      <c r="R1314">
        <v>3747888</v>
      </c>
    </row>
    <row r="1315" spans="1:18" x14ac:dyDescent="0.25">
      <c r="A1315" s="170">
        <v>43945</v>
      </c>
      <c r="B1315" s="116">
        <v>332.66474224807098</v>
      </c>
      <c r="C1315" s="116">
        <v>321.89857333327302</v>
      </c>
      <c r="D1315" s="116">
        <v>320.46637655102899</v>
      </c>
      <c r="E1315" s="116">
        <v>323.97278936272897</v>
      </c>
      <c r="F1315" s="116">
        <v>325.89999999999998</v>
      </c>
      <c r="G1315">
        <v>157048</v>
      </c>
      <c r="H1315" s="116"/>
      <c r="I1315" s="116"/>
      <c r="L1315" s="170">
        <v>43945</v>
      </c>
      <c r="M1315" s="116">
        <v>322.09644764084101</v>
      </c>
      <c r="N1315" s="116">
        <v>332.714469143874</v>
      </c>
      <c r="O1315" s="116">
        <v>319.03450655624601</v>
      </c>
      <c r="P1315" s="116">
        <v>319.03450655624601</v>
      </c>
      <c r="Q1315" s="116">
        <v>326.10000000000002</v>
      </c>
      <c r="R1315">
        <v>5438859</v>
      </c>
    </row>
    <row r="1316" spans="1:18" x14ac:dyDescent="0.25">
      <c r="A1316" s="170">
        <v>43948</v>
      </c>
      <c r="B1316" s="116">
        <v>346.69039349487201</v>
      </c>
      <c r="C1316" s="116">
        <v>345.15942452074898</v>
      </c>
      <c r="D1316" s="116">
        <v>326.145777584065</v>
      </c>
      <c r="E1316" s="116">
        <v>326.145777584065</v>
      </c>
      <c r="F1316" s="116">
        <v>349.45</v>
      </c>
      <c r="G1316">
        <v>213424</v>
      </c>
      <c r="H1316" s="116"/>
      <c r="I1316" s="116"/>
      <c r="L1316" s="170">
        <v>43948</v>
      </c>
      <c r="M1316" s="116">
        <v>345.06100577530799</v>
      </c>
      <c r="N1316" s="116">
        <v>347.03645163633701</v>
      </c>
      <c r="O1316" s="116">
        <v>327.18322073299203</v>
      </c>
      <c r="P1316" s="116">
        <v>327.87462678435202</v>
      </c>
      <c r="Q1316" s="116">
        <v>349.35</v>
      </c>
      <c r="R1316">
        <v>7426428</v>
      </c>
    </row>
    <row r="1317" spans="1:18" x14ac:dyDescent="0.25">
      <c r="A1317" s="170">
        <v>43949</v>
      </c>
      <c r="B1317" s="116">
        <v>351.03636993754299</v>
      </c>
      <c r="C1317" s="116">
        <v>338.83800424050099</v>
      </c>
      <c r="D1317" s="116">
        <v>335.825452388195</v>
      </c>
      <c r="E1317" s="116">
        <v>350.64128117002701</v>
      </c>
      <c r="F1317" s="116">
        <v>343.05</v>
      </c>
      <c r="G1317">
        <v>286214</v>
      </c>
      <c r="H1317" s="116"/>
      <c r="I1317" s="116"/>
      <c r="L1317" s="170">
        <v>43949</v>
      </c>
      <c r="M1317" s="116">
        <v>338.690192873488</v>
      </c>
      <c r="N1317" s="116">
        <v>351.23427409102499</v>
      </c>
      <c r="O1317" s="116">
        <v>336.27027169372701</v>
      </c>
      <c r="P1317" s="116">
        <v>348.51803603210902</v>
      </c>
      <c r="Q1317" s="116">
        <v>342.9</v>
      </c>
      <c r="R1317">
        <v>3767231</v>
      </c>
    </row>
    <row r="1318" spans="1:18" x14ac:dyDescent="0.25">
      <c r="A1318" s="170">
        <v>43950</v>
      </c>
      <c r="B1318" s="116">
        <v>351.03636993754299</v>
      </c>
      <c r="C1318" s="116">
        <v>349.65355925123799</v>
      </c>
      <c r="D1318" s="116">
        <v>340.76406198213903</v>
      </c>
      <c r="E1318" s="116">
        <v>340.76406198213903</v>
      </c>
      <c r="F1318" s="116">
        <v>354</v>
      </c>
      <c r="G1318">
        <v>137895</v>
      </c>
      <c r="H1318" s="116"/>
      <c r="I1318" s="116"/>
      <c r="L1318" s="170">
        <v>43950</v>
      </c>
      <c r="M1318" s="116">
        <v>349.65391740220099</v>
      </c>
      <c r="N1318" s="116">
        <v>351.62936326323103</v>
      </c>
      <c r="O1318" s="116">
        <v>338.78896516653998</v>
      </c>
      <c r="P1318" s="116">
        <v>338.78896516653998</v>
      </c>
      <c r="Q1318" s="116">
        <v>354</v>
      </c>
      <c r="R1318">
        <v>3653520</v>
      </c>
    </row>
    <row r="1319" spans="1:18" x14ac:dyDescent="0.25">
      <c r="A1319" s="170">
        <v>43951</v>
      </c>
      <c r="B1319" s="116">
        <v>356.71577097057798</v>
      </c>
      <c r="C1319" s="116">
        <v>347.03609616644798</v>
      </c>
      <c r="D1319" s="116">
        <v>345.70267157608299</v>
      </c>
      <c r="E1319" s="116">
        <v>354.54278274924297</v>
      </c>
      <c r="F1319" s="116">
        <v>351.35</v>
      </c>
      <c r="G1319">
        <v>274942</v>
      </c>
      <c r="H1319" s="116"/>
      <c r="I1319" s="116"/>
      <c r="L1319" s="170">
        <v>43951</v>
      </c>
      <c r="M1319" s="116">
        <v>347.28338236896599</v>
      </c>
      <c r="N1319" s="116">
        <v>356.96306708801001</v>
      </c>
      <c r="O1319" s="116">
        <v>345.55486724056499</v>
      </c>
      <c r="P1319" s="116">
        <v>355.53086883876398</v>
      </c>
      <c r="Q1319" s="116">
        <v>351.6</v>
      </c>
      <c r="R1319">
        <v>4760235</v>
      </c>
    </row>
    <row r="1320" spans="1:18" x14ac:dyDescent="0.25">
      <c r="A1320" s="170">
        <v>43955</v>
      </c>
      <c r="B1320" s="116">
        <v>342.88766410753499</v>
      </c>
      <c r="C1320" s="116">
        <v>330.63991231455401</v>
      </c>
      <c r="D1320" s="116">
        <v>329.059557244492</v>
      </c>
      <c r="E1320" s="116">
        <v>339.67756787147101</v>
      </c>
      <c r="F1320" s="116">
        <v>334.75</v>
      </c>
      <c r="G1320">
        <v>133349</v>
      </c>
      <c r="H1320" s="116"/>
      <c r="I1320" s="116"/>
      <c r="L1320" s="170">
        <v>43955</v>
      </c>
      <c r="M1320" s="116">
        <v>330.837795575896</v>
      </c>
      <c r="N1320" s="116">
        <v>342.93740147470101</v>
      </c>
      <c r="O1320" s="116">
        <v>328.91173586139303</v>
      </c>
      <c r="P1320" s="116">
        <v>335.82579637499498</v>
      </c>
      <c r="Q1320" s="116">
        <v>334.95</v>
      </c>
      <c r="R1320">
        <v>3385502</v>
      </c>
    </row>
    <row r="1321" spans="1:18" x14ac:dyDescent="0.25">
      <c r="A1321" s="170">
        <v>43956</v>
      </c>
      <c r="B1321" s="116">
        <v>339.77634006335001</v>
      </c>
      <c r="C1321" s="116">
        <v>325.45437224091302</v>
      </c>
      <c r="D1321" s="116">
        <v>323.87401717084998</v>
      </c>
      <c r="E1321" s="116">
        <v>339.77634006335001</v>
      </c>
      <c r="F1321" s="116">
        <v>329.5</v>
      </c>
      <c r="G1321">
        <v>100655</v>
      </c>
      <c r="H1321" s="116"/>
      <c r="I1321" s="116"/>
      <c r="L1321" s="170">
        <v>43956</v>
      </c>
      <c r="M1321" s="116">
        <v>325.45470560459103</v>
      </c>
      <c r="N1321" s="116">
        <v>338.690192873488</v>
      </c>
      <c r="O1321" s="116">
        <v>323.82496276924201</v>
      </c>
      <c r="P1321" s="116">
        <v>334.83807344448098</v>
      </c>
      <c r="Q1321" s="116">
        <v>329.5</v>
      </c>
      <c r="R1321">
        <v>2833278</v>
      </c>
    </row>
    <row r="1322" spans="1:18" x14ac:dyDescent="0.25">
      <c r="A1322" s="170">
        <v>43957</v>
      </c>
      <c r="B1322" s="116">
        <v>336.467471635408</v>
      </c>
      <c r="C1322" s="116">
        <v>331.43008984958499</v>
      </c>
      <c r="D1322" s="116">
        <v>321.84918723733301</v>
      </c>
      <c r="E1322" s="116">
        <v>321.99734552515201</v>
      </c>
      <c r="F1322" s="116">
        <v>335.55</v>
      </c>
      <c r="G1322">
        <v>94737</v>
      </c>
      <c r="H1322" s="116"/>
      <c r="I1322" s="116"/>
      <c r="L1322" s="170">
        <v>43957</v>
      </c>
      <c r="M1322" s="116">
        <v>331.43042933420497</v>
      </c>
      <c r="N1322" s="116">
        <v>337.01106389161299</v>
      </c>
      <c r="O1322" s="116">
        <v>321.65197232211</v>
      </c>
      <c r="P1322" s="116">
        <v>327.38076531909502</v>
      </c>
      <c r="Q1322" s="116">
        <v>335.55</v>
      </c>
      <c r="R1322">
        <v>3642689</v>
      </c>
    </row>
    <row r="1323" spans="1:18" x14ac:dyDescent="0.25">
      <c r="A1323" s="170">
        <v>43958</v>
      </c>
      <c r="B1323" s="116">
        <v>340.17142883086598</v>
      </c>
      <c r="C1323" s="116">
        <v>337.75151012983298</v>
      </c>
      <c r="D1323" s="116">
        <v>323.97278936272897</v>
      </c>
      <c r="E1323" s="116">
        <v>323.97278936272897</v>
      </c>
      <c r="F1323" s="116">
        <v>341.95</v>
      </c>
      <c r="G1323">
        <v>102843</v>
      </c>
      <c r="H1323" s="116"/>
      <c r="I1323" s="116"/>
      <c r="L1323" s="170">
        <v>43958</v>
      </c>
      <c r="M1323" s="116">
        <v>337.10983618466503</v>
      </c>
      <c r="N1323" s="116">
        <v>340.36932185536301</v>
      </c>
      <c r="O1323" s="116">
        <v>324.76329955323098</v>
      </c>
      <c r="P1323" s="116">
        <v>331.82551850641102</v>
      </c>
      <c r="Q1323" s="116">
        <v>341.3</v>
      </c>
      <c r="R1323">
        <v>3605559</v>
      </c>
    </row>
    <row r="1324" spans="1:18" x14ac:dyDescent="0.25">
      <c r="A1324" s="170">
        <v>43959</v>
      </c>
      <c r="B1324" s="116">
        <v>351.13514212942198</v>
      </c>
      <c r="C1324" s="116">
        <v>344.468019177597</v>
      </c>
      <c r="D1324" s="116">
        <v>339.97388444710799</v>
      </c>
      <c r="E1324" s="116">
        <v>343.72722773850501</v>
      </c>
      <c r="F1324" s="116">
        <v>348.75</v>
      </c>
      <c r="G1324">
        <v>165001</v>
      </c>
      <c r="H1324" s="116"/>
      <c r="I1324" s="116"/>
      <c r="L1324" s="170">
        <v>43959</v>
      </c>
      <c r="M1324" s="116">
        <v>344.46837201699901</v>
      </c>
      <c r="N1324" s="116">
        <v>351.13550179797301</v>
      </c>
      <c r="O1324" s="116">
        <v>339.87546039010601</v>
      </c>
      <c r="P1324" s="116">
        <v>342.73985688859801</v>
      </c>
      <c r="Q1324" s="116">
        <v>348.75</v>
      </c>
      <c r="R1324">
        <v>3247803</v>
      </c>
    </row>
    <row r="1325" spans="1:18" x14ac:dyDescent="0.25">
      <c r="A1325" s="170">
        <v>43962</v>
      </c>
      <c r="B1325" s="116">
        <v>360.518500357915</v>
      </c>
      <c r="C1325" s="116">
        <v>350.59189507408797</v>
      </c>
      <c r="D1325" s="116">
        <v>345.45574109638602</v>
      </c>
      <c r="E1325" s="116">
        <v>345.70267157608299</v>
      </c>
      <c r="F1325" s="116">
        <v>354.95</v>
      </c>
      <c r="G1325">
        <v>161397</v>
      </c>
      <c r="H1325" s="116"/>
      <c r="I1325" s="116"/>
      <c r="L1325" s="170">
        <v>43962</v>
      </c>
      <c r="M1325" s="116">
        <v>350.64164033271601</v>
      </c>
      <c r="N1325" s="116">
        <v>360.51886963786302</v>
      </c>
      <c r="O1325" s="116">
        <v>344.76468889615302</v>
      </c>
      <c r="P1325" s="116">
        <v>349.50575896262399</v>
      </c>
      <c r="Q1325" s="116">
        <v>355</v>
      </c>
      <c r="R1325">
        <v>4792046</v>
      </c>
    </row>
    <row r="1326" spans="1:18" x14ac:dyDescent="0.25">
      <c r="A1326" s="170">
        <v>43963</v>
      </c>
      <c r="B1326" s="116">
        <v>358.839373095974</v>
      </c>
      <c r="C1326" s="116">
        <v>354.295852269546</v>
      </c>
      <c r="D1326" s="116">
        <v>342.59134753189801</v>
      </c>
      <c r="E1326" s="116">
        <v>349.75233144311699</v>
      </c>
      <c r="F1326" s="116">
        <v>358.7</v>
      </c>
      <c r="G1326">
        <v>155751</v>
      </c>
      <c r="H1326" s="116"/>
      <c r="I1326" s="116"/>
      <c r="L1326" s="170">
        <v>43963</v>
      </c>
      <c r="M1326" s="116">
        <v>354.29621517561998</v>
      </c>
      <c r="N1326" s="116">
        <v>358.83974065598801</v>
      </c>
      <c r="O1326" s="116">
        <v>342.39415386291802</v>
      </c>
      <c r="P1326" s="116">
        <v>350.09839272093302</v>
      </c>
      <c r="Q1326" s="116">
        <v>358.7</v>
      </c>
      <c r="R1326">
        <v>3258000</v>
      </c>
    </row>
    <row r="1327" spans="1:18" x14ac:dyDescent="0.25">
      <c r="A1327" s="170">
        <v>43964</v>
      </c>
      <c r="B1327" s="116">
        <v>369.40799762701403</v>
      </c>
      <c r="C1327" s="116">
        <v>351.28330041724001</v>
      </c>
      <c r="D1327" s="116">
        <v>344.27047479383901</v>
      </c>
      <c r="E1327" s="116">
        <v>368.51904790010502</v>
      </c>
      <c r="F1327" s="116">
        <v>355.65</v>
      </c>
      <c r="G1327">
        <v>224875</v>
      </c>
      <c r="H1327" s="116"/>
      <c r="I1327" s="116"/>
      <c r="L1327" s="170">
        <v>43964</v>
      </c>
      <c r="M1327" s="116">
        <v>351.97506628891102</v>
      </c>
      <c r="N1327" s="116">
        <v>370.39609894300997</v>
      </c>
      <c r="O1327" s="116">
        <v>344.22144128436997</v>
      </c>
      <c r="P1327" s="116">
        <v>370.39609894300997</v>
      </c>
      <c r="Q1327" s="116">
        <v>356.35</v>
      </c>
      <c r="R1327">
        <v>8536960</v>
      </c>
    </row>
    <row r="1328" spans="1:18" x14ac:dyDescent="0.25">
      <c r="A1328" s="170">
        <v>43965</v>
      </c>
      <c r="B1328" s="116">
        <v>359.82709501476302</v>
      </c>
      <c r="C1328" s="116">
        <v>358.39489823251898</v>
      </c>
      <c r="D1328" s="116">
        <v>346.49284911111403</v>
      </c>
      <c r="E1328" s="116">
        <v>347.381798838024</v>
      </c>
      <c r="F1328" s="116">
        <v>362.85</v>
      </c>
      <c r="G1328">
        <v>153613</v>
      </c>
      <c r="H1328" s="116"/>
      <c r="I1328" s="116"/>
      <c r="L1328" s="170">
        <v>43965</v>
      </c>
      <c r="M1328" s="116">
        <v>358.34587919072999</v>
      </c>
      <c r="N1328" s="116">
        <v>360.025008172605</v>
      </c>
      <c r="O1328" s="116">
        <v>345.70302568014199</v>
      </c>
      <c r="P1328" s="116">
        <v>345.70302568014199</v>
      </c>
      <c r="Q1328" s="116">
        <v>362.8</v>
      </c>
      <c r="R1328">
        <v>5120949</v>
      </c>
    </row>
    <row r="1329" spans="1:18" x14ac:dyDescent="0.25">
      <c r="A1329" s="170">
        <v>43966</v>
      </c>
      <c r="B1329" s="116">
        <v>363.08657734676598</v>
      </c>
      <c r="C1329" s="116">
        <v>347.52995712584197</v>
      </c>
      <c r="D1329" s="116">
        <v>344.91249404105201</v>
      </c>
      <c r="E1329" s="116">
        <v>350.64128117002701</v>
      </c>
      <c r="F1329" s="116">
        <v>351.85</v>
      </c>
      <c r="G1329">
        <v>283569</v>
      </c>
      <c r="H1329" s="116"/>
      <c r="I1329" s="116"/>
      <c r="L1329" s="170">
        <v>43966</v>
      </c>
      <c r="M1329" s="116">
        <v>347.87601612727502</v>
      </c>
      <c r="N1329" s="116">
        <v>363.23510769677802</v>
      </c>
      <c r="O1329" s="116">
        <v>344.81407504267901</v>
      </c>
      <c r="P1329" s="116">
        <v>348.76496676473801</v>
      </c>
      <c r="Q1329" s="116">
        <v>352.2</v>
      </c>
      <c r="R1329">
        <v>9452903</v>
      </c>
    </row>
    <row r="1330" spans="1:18" x14ac:dyDescent="0.25">
      <c r="A1330" s="170">
        <v>43969</v>
      </c>
      <c r="B1330" s="116">
        <v>351.03636993754299</v>
      </c>
      <c r="C1330" s="116">
        <v>342.64073362783802</v>
      </c>
      <c r="D1330" s="116">
        <v>339.28247910395601</v>
      </c>
      <c r="E1330" s="116">
        <v>350.44373678626903</v>
      </c>
      <c r="F1330" s="116">
        <v>346.9</v>
      </c>
      <c r="G1330">
        <v>146520</v>
      </c>
      <c r="H1330" s="116"/>
      <c r="I1330" s="116"/>
      <c r="L1330" s="170">
        <v>43969</v>
      </c>
      <c r="M1330" s="116">
        <v>342.83862918164999</v>
      </c>
      <c r="N1330" s="116">
        <v>351.43181867712798</v>
      </c>
      <c r="O1330" s="116">
        <v>339.184054338745</v>
      </c>
      <c r="P1330" s="116">
        <v>346.88829319676</v>
      </c>
      <c r="Q1330" s="116">
        <v>347.1</v>
      </c>
      <c r="R1330">
        <v>4181455</v>
      </c>
    </row>
    <row r="1331" spans="1:18" x14ac:dyDescent="0.25">
      <c r="A1331" s="170">
        <v>43970</v>
      </c>
      <c r="B1331" s="116">
        <v>358.44428432845899</v>
      </c>
      <c r="C1331" s="116">
        <v>353.55506083045401</v>
      </c>
      <c r="D1331" s="116">
        <v>345.30758280856799</v>
      </c>
      <c r="E1331" s="116">
        <v>349.65355925123799</v>
      </c>
      <c r="F1331" s="116">
        <v>357.95</v>
      </c>
      <c r="G1331">
        <v>195104</v>
      </c>
      <c r="H1331" s="116"/>
      <c r="I1331" s="116"/>
      <c r="L1331" s="170">
        <v>43970</v>
      </c>
      <c r="M1331" s="116">
        <v>353.65419527078598</v>
      </c>
      <c r="N1331" s="116">
        <v>358.54342377683298</v>
      </c>
      <c r="O1331" s="116">
        <v>344.96223348225601</v>
      </c>
      <c r="P1331" s="116">
        <v>346.591976317606</v>
      </c>
      <c r="Q1331" s="116">
        <v>358.05</v>
      </c>
      <c r="R1331">
        <v>5696557</v>
      </c>
    </row>
    <row r="1332" spans="1:18" x14ac:dyDescent="0.25">
      <c r="A1332" s="170">
        <v>43971</v>
      </c>
      <c r="B1332" s="116">
        <v>359.28384795942901</v>
      </c>
      <c r="C1332" s="116">
        <v>356.12313781930499</v>
      </c>
      <c r="D1332" s="116">
        <v>352.32040843196802</v>
      </c>
      <c r="E1332" s="116">
        <v>356.56761268276</v>
      </c>
      <c r="F1332" s="116">
        <v>360.55</v>
      </c>
      <c r="G1332">
        <v>78570</v>
      </c>
      <c r="H1332" s="116"/>
      <c r="I1332" s="116"/>
      <c r="L1332" s="170">
        <v>43971</v>
      </c>
      <c r="M1332" s="116">
        <v>356.32104718317498</v>
      </c>
      <c r="N1332" s="116">
        <v>359.33360212124501</v>
      </c>
      <c r="O1332" s="116">
        <v>352.17261087501402</v>
      </c>
      <c r="P1332" s="116">
        <v>355.18516581308302</v>
      </c>
      <c r="Q1332" s="116">
        <v>360.75</v>
      </c>
      <c r="R1332">
        <v>3489683</v>
      </c>
    </row>
    <row r="1333" spans="1:18" x14ac:dyDescent="0.25">
      <c r="A1333" s="170">
        <v>43972</v>
      </c>
      <c r="B1333" s="116">
        <v>361.85192494827999</v>
      </c>
      <c r="C1333" s="116">
        <v>355.67866295584997</v>
      </c>
      <c r="D1333" s="116">
        <v>351.08575603348203</v>
      </c>
      <c r="E1333" s="116">
        <v>359.03691747973198</v>
      </c>
      <c r="F1333" s="116">
        <v>360.1</v>
      </c>
      <c r="G1333">
        <v>101059</v>
      </c>
      <c r="H1333" s="116"/>
      <c r="I1333" s="116"/>
      <c r="L1333" s="170">
        <v>43972</v>
      </c>
      <c r="M1333" s="116">
        <v>355.87657186444397</v>
      </c>
      <c r="N1333" s="116">
        <v>361.901681740583</v>
      </c>
      <c r="O1333" s="116">
        <v>350.93795721187001</v>
      </c>
      <c r="P1333" s="116">
        <v>359.43237441429699</v>
      </c>
      <c r="Q1333" s="116">
        <v>360.3</v>
      </c>
      <c r="R1333">
        <v>3883273</v>
      </c>
    </row>
    <row r="1334" spans="1:18" x14ac:dyDescent="0.25">
      <c r="A1334" s="170">
        <v>43973</v>
      </c>
      <c r="B1334" s="116">
        <v>362.296399811735</v>
      </c>
      <c r="C1334" s="116">
        <v>358.49367042439798</v>
      </c>
      <c r="D1334" s="116">
        <v>352.02409185633098</v>
      </c>
      <c r="E1334" s="116">
        <v>359.53077843912598</v>
      </c>
      <c r="F1334" s="116">
        <v>362.95</v>
      </c>
      <c r="G1334">
        <v>117577</v>
      </c>
      <c r="H1334" s="116"/>
      <c r="I1334" s="116"/>
      <c r="L1334" s="170">
        <v>43973</v>
      </c>
      <c r="M1334" s="116">
        <v>358.00017616504999</v>
      </c>
      <c r="N1334" s="116">
        <v>362.44492935236599</v>
      </c>
      <c r="O1334" s="116">
        <v>351.826907849333</v>
      </c>
      <c r="P1334" s="116">
        <v>357.11122552758701</v>
      </c>
      <c r="Q1334" s="116">
        <v>362.45</v>
      </c>
      <c r="R1334">
        <v>3958853</v>
      </c>
    </row>
    <row r="1335" spans="1:18" x14ac:dyDescent="0.25">
      <c r="A1335" s="170">
        <v>43977</v>
      </c>
      <c r="B1335" s="116">
        <v>371.53159975240999</v>
      </c>
      <c r="C1335" s="116">
        <v>367.18562330973998</v>
      </c>
      <c r="D1335" s="116">
        <v>356.76515706651799</v>
      </c>
      <c r="E1335" s="116">
        <v>360.518500357915</v>
      </c>
      <c r="F1335" s="116">
        <v>371.75</v>
      </c>
      <c r="G1335">
        <v>218662</v>
      </c>
      <c r="H1335" s="116"/>
      <c r="I1335" s="116"/>
      <c r="L1335" s="170">
        <v>43977</v>
      </c>
      <c r="M1335" s="116">
        <v>367.38354400494001</v>
      </c>
      <c r="N1335" s="116">
        <v>371.828297192256</v>
      </c>
      <c r="O1335" s="116">
        <v>355.580254985289</v>
      </c>
      <c r="P1335" s="116">
        <v>362.29677091278899</v>
      </c>
      <c r="Q1335" s="116">
        <v>371.95</v>
      </c>
      <c r="R1335">
        <v>7728762</v>
      </c>
    </row>
    <row r="1336" spans="1:18" x14ac:dyDescent="0.25">
      <c r="A1336" s="170">
        <v>43978</v>
      </c>
      <c r="B1336" s="116">
        <v>371.18589708083402</v>
      </c>
      <c r="C1336" s="116">
        <v>364.37061584119198</v>
      </c>
      <c r="D1336" s="116">
        <v>357.99980946500398</v>
      </c>
      <c r="E1336" s="116">
        <v>371.18589708083402</v>
      </c>
      <c r="F1336" s="116">
        <v>368.9</v>
      </c>
      <c r="G1336">
        <v>153398</v>
      </c>
      <c r="H1336" s="116"/>
      <c r="I1336" s="116"/>
      <c r="L1336" s="170">
        <v>43978</v>
      </c>
      <c r="M1336" s="116">
        <v>364.02528604118999</v>
      </c>
      <c r="N1336" s="116">
        <v>371.08750499437002</v>
      </c>
      <c r="O1336" s="116">
        <v>357.75324543242198</v>
      </c>
      <c r="P1336" s="116">
        <v>370.00100977080399</v>
      </c>
      <c r="Q1336" s="116">
        <v>368.55</v>
      </c>
      <c r="R1336">
        <v>3384200</v>
      </c>
    </row>
    <row r="1337" spans="1:18" x14ac:dyDescent="0.25">
      <c r="A1337" s="170">
        <v>43979</v>
      </c>
      <c r="B1337" s="116">
        <v>368.76597837980199</v>
      </c>
      <c r="C1337" s="116">
        <v>366.29667358283001</v>
      </c>
      <c r="D1337" s="116">
        <v>362.54333029143203</v>
      </c>
      <c r="E1337" s="116">
        <v>364.46938803307</v>
      </c>
      <c r="F1337" s="116">
        <v>370.85</v>
      </c>
      <c r="G1337">
        <v>91784</v>
      </c>
      <c r="H1337" s="116"/>
      <c r="I1337" s="116"/>
      <c r="L1337" s="170">
        <v>43979</v>
      </c>
      <c r="M1337" s="116">
        <v>366.59336566052798</v>
      </c>
      <c r="N1337" s="116">
        <v>368.81574225418598</v>
      </c>
      <c r="O1337" s="116">
        <v>361.50659256837702</v>
      </c>
      <c r="P1337" s="116">
        <v>363.43265228288101</v>
      </c>
      <c r="Q1337" s="116">
        <v>371.15</v>
      </c>
      <c r="R1337">
        <v>3390919</v>
      </c>
    </row>
    <row r="1338" spans="1:18" x14ac:dyDescent="0.25">
      <c r="A1338" s="170">
        <v>43980</v>
      </c>
      <c r="B1338" s="116">
        <v>377.75424784078001</v>
      </c>
      <c r="C1338" s="116">
        <v>363.432280018342</v>
      </c>
      <c r="D1338" s="116">
        <v>353.06119987106001</v>
      </c>
      <c r="E1338" s="116">
        <v>366.24728748689</v>
      </c>
      <c r="F1338" s="116">
        <v>367.95</v>
      </c>
      <c r="G1338">
        <v>527818</v>
      </c>
      <c r="H1338" s="116"/>
      <c r="I1338" s="116"/>
      <c r="L1338" s="170">
        <v>43980</v>
      </c>
      <c r="M1338" s="116">
        <v>362.39554320584102</v>
      </c>
      <c r="N1338" s="116">
        <v>378.10033780102401</v>
      </c>
      <c r="O1338" s="116">
        <v>352.96278921942502</v>
      </c>
      <c r="P1338" s="116">
        <v>366.000731902219</v>
      </c>
      <c r="Q1338" s="116">
        <v>366.9</v>
      </c>
      <c r="R1338">
        <v>63552596</v>
      </c>
    </row>
    <row r="1339" spans="1:18" x14ac:dyDescent="0.25">
      <c r="A1339" s="170">
        <v>43983</v>
      </c>
      <c r="B1339" s="116">
        <v>364.27184364931298</v>
      </c>
      <c r="C1339" s="116">
        <v>358.04919556094302</v>
      </c>
      <c r="D1339" s="116">
        <v>355.08602980457698</v>
      </c>
      <c r="E1339" s="116">
        <v>364.27184364931298</v>
      </c>
      <c r="F1339" s="116">
        <v>362.5</v>
      </c>
      <c r="G1339">
        <v>200022</v>
      </c>
      <c r="H1339" s="116"/>
      <c r="I1339" s="116"/>
      <c r="L1339" s="170">
        <v>43983</v>
      </c>
      <c r="M1339" s="116">
        <v>358.39526533725598</v>
      </c>
      <c r="N1339" s="116">
        <v>364.86485053212698</v>
      </c>
      <c r="O1339" s="116">
        <v>355.086393520032</v>
      </c>
      <c r="P1339" s="116">
        <v>363.975899894664</v>
      </c>
      <c r="Q1339" s="116">
        <v>362.85</v>
      </c>
      <c r="R1339">
        <v>9637219</v>
      </c>
    </row>
    <row r="1340" spans="1:18" x14ac:dyDescent="0.25">
      <c r="A1340" s="170">
        <v>43984</v>
      </c>
      <c r="B1340" s="116">
        <v>365.35833775997997</v>
      </c>
      <c r="C1340" s="116">
        <v>363.03719125082699</v>
      </c>
      <c r="D1340" s="116">
        <v>357.75287898530598</v>
      </c>
      <c r="E1340" s="116">
        <v>361.50622227670402</v>
      </c>
      <c r="F1340" s="116">
        <v>367.55</v>
      </c>
      <c r="G1340">
        <v>99650</v>
      </c>
      <c r="H1340" s="116"/>
      <c r="I1340" s="116"/>
      <c r="L1340" s="170">
        <v>43984</v>
      </c>
      <c r="M1340" s="116">
        <v>362.93879081762401</v>
      </c>
      <c r="N1340" s="116">
        <v>365.45748429043601</v>
      </c>
      <c r="O1340" s="116">
        <v>356.86429479495803</v>
      </c>
      <c r="P1340" s="116">
        <v>358.39526533725598</v>
      </c>
      <c r="Q1340" s="116">
        <v>367.45</v>
      </c>
      <c r="R1340">
        <v>2638814</v>
      </c>
    </row>
    <row r="1341" spans="1:18" x14ac:dyDescent="0.25">
      <c r="A1341" s="170">
        <v>43985</v>
      </c>
      <c r="B1341" s="116">
        <v>368.51904790010502</v>
      </c>
      <c r="C1341" s="116">
        <v>362.04946933203797</v>
      </c>
      <c r="D1341" s="116">
        <v>360.22218378227899</v>
      </c>
      <c r="E1341" s="116">
        <v>366.00035700719297</v>
      </c>
      <c r="F1341" s="116">
        <v>366.55</v>
      </c>
      <c r="G1341">
        <v>117949</v>
      </c>
      <c r="H1341" s="116"/>
      <c r="I1341" s="116"/>
      <c r="L1341" s="170">
        <v>43985</v>
      </c>
      <c r="M1341" s="116">
        <v>362.14861247321198</v>
      </c>
      <c r="N1341" s="116">
        <v>367.432930151466</v>
      </c>
      <c r="O1341" s="116">
        <v>360.07439431913099</v>
      </c>
      <c r="P1341" s="116">
        <v>367.432930151466</v>
      </c>
      <c r="Q1341" s="116">
        <v>366.65</v>
      </c>
      <c r="R1341">
        <v>4027688</v>
      </c>
    </row>
    <row r="1342" spans="1:18" x14ac:dyDescent="0.25">
      <c r="A1342" s="170">
        <v>43986</v>
      </c>
      <c r="B1342" s="116">
        <v>378.988900239266</v>
      </c>
      <c r="C1342" s="116">
        <v>376.96407030574898</v>
      </c>
      <c r="D1342" s="116">
        <v>362.04946933203797</v>
      </c>
      <c r="E1342" s="116">
        <v>363.48166611428201</v>
      </c>
      <c r="F1342" s="116">
        <v>381.65</v>
      </c>
      <c r="G1342">
        <v>198410</v>
      </c>
      <c r="H1342" s="116"/>
      <c r="I1342" s="116"/>
      <c r="L1342" s="170">
        <v>43986</v>
      </c>
      <c r="M1342" s="116">
        <v>376.81629799135499</v>
      </c>
      <c r="N1342" s="116">
        <v>378.79174385238503</v>
      </c>
      <c r="O1342" s="116">
        <v>361.50659256837702</v>
      </c>
      <c r="P1342" s="116">
        <v>364.96362282517902</v>
      </c>
      <c r="Q1342" s="116">
        <v>381.5</v>
      </c>
      <c r="R1342">
        <v>4535656</v>
      </c>
    </row>
    <row r="1343" spans="1:18" x14ac:dyDescent="0.25">
      <c r="A1343" s="170">
        <v>43987</v>
      </c>
      <c r="B1343" s="116">
        <v>383.08794620223898</v>
      </c>
      <c r="C1343" s="116">
        <v>375.18617085192898</v>
      </c>
      <c r="D1343" s="116">
        <v>372.37116338338097</v>
      </c>
      <c r="E1343" s="116">
        <v>383.08794620223898</v>
      </c>
      <c r="F1343" s="116">
        <v>379.85</v>
      </c>
      <c r="G1343">
        <v>120218</v>
      </c>
      <c r="H1343" s="116"/>
      <c r="I1343" s="116"/>
      <c r="L1343" s="170">
        <v>43987</v>
      </c>
      <c r="M1343" s="116">
        <v>375.08778286295501</v>
      </c>
      <c r="N1343" s="116">
        <v>383.03895245359797</v>
      </c>
      <c r="O1343" s="116">
        <v>372.37154480403899</v>
      </c>
      <c r="P1343" s="116">
        <v>379.28560531764202</v>
      </c>
      <c r="Q1343" s="116">
        <v>379.75</v>
      </c>
      <c r="R1343">
        <v>3140726</v>
      </c>
    </row>
    <row r="1344" spans="1:18" x14ac:dyDescent="0.25">
      <c r="A1344" s="170">
        <v>43990</v>
      </c>
      <c r="B1344" s="116">
        <v>381.06311626872201</v>
      </c>
      <c r="C1344" s="116">
        <v>374.69230989253498</v>
      </c>
      <c r="D1344" s="116">
        <v>373.01318263059397</v>
      </c>
      <c r="E1344" s="116">
        <v>375.531873523505</v>
      </c>
      <c r="F1344" s="116">
        <v>379.35</v>
      </c>
      <c r="G1344">
        <v>92715</v>
      </c>
      <c r="H1344" s="116"/>
      <c r="I1344" s="116"/>
      <c r="L1344" s="170">
        <v>43990</v>
      </c>
      <c r="M1344" s="116">
        <v>374.79146598379998</v>
      </c>
      <c r="N1344" s="116">
        <v>381.21166503214602</v>
      </c>
      <c r="O1344" s="116">
        <v>372.91479241582198</v>
      </c>
      <c r="P1344" s="116">
        <v>379.28560531764202</v>
      </c>
      <c r="Q1344" s="116">
        <v>379.45</v>
      </c>
      <c r="R1344">
        <v>1565959</v>
      </c>
    </row>
    <row r="1345" spans="1:18" x14ac:dyDescent="0.25">
      <c r="A1345" s="170">
        <v>43991</v>
      </c>
      <c r="B1345" s="116">
        <v>384.075668121028</v>
      </c>
      <c r="C1345" s="116">
        <v>379.97662215805502</v>
      </c>
      <c r="D1345" s="116">
        <v>374.93924037223201</v>
      </c>
      <c r="E1345" s="116">
        <v>377.309772977325</v>
      </c>
      <c r="F1345" s="116">
        <v>384.7</v>
      </c>
      <c r="G1345">
        <v>101188</v>
      </c>
      <c r="H1345" s="116"/>
      <c r="I1345" s="116"/>
      <c r="L1345" s="170">
        <v>43991</v>
      </c>
      <c r="M1345" s="116">
        <v>379.53253605027101</v>
      </c>
      <c r="N1345" s="116">
        <v>384.07606153063801</v>
      </c>
      <c r="O1345" s="116">
        <v>374.84085213032603</v>
      </c>
      <c r="P1345" s="116">
        <v>377.31015945661301</v>
      </c>
      <c r="Q1345" s="116">
        <v>384.25</v>
      </c>
      <c r="R1345">
        <v>2635662</v>
      </c>
    </row>
    <row r="1346" spans="1:18" x14ac:dyDescent="0.25">
      <c r="A1346" s="170">
        <v>43992</v>
      </c>
      <c r="B1346" s="116">
        <v>389.01427771497202</v>
      </c>
      <c r="C1346" s="116">
        <v>380.17416654181199</v>
      </c>
      <c r="D1346" s="116">
        <v>375.33432913974701</v>
      </c>
      <c r="E1346" s="116">
        <v>379.77907777429698</v>
      </c>
      <c r="F1346" s="116">
        <v>384.9</v>
      </c>
      <c r="G1346">
        <v>577415</v>
      </c>
      <c r="H1346" s="116"/>
      <c r="I1346" s="116"/>
      <c r="L1346" s="170">
        <v>43992</v>
      </c>
      <c r="M1346" s="116">
        <v>379.92762522247602</v>
      </c>
      <c r="N1346" s="116">
        <v>389.11344847626299</v>
      </c>
      <c r="O1346" s="116">
        <v>375.53225818168602</v>
      </c>
      <c r="P1346" s="116">
        <v>381.21166503214602</v>
      </c>
      <c r="Q1346" s="116">
        <v>384.65</v>
      </c>
      <c r="R1346">
        <v>3409853</v>
      </c>
    </row>
    <row r="1347" spans="1:18" x14ac:dyDescent="0.25">
      <c r="A1347" s="170">
        <v>43993</v>
      </c>
      <c r="B1347" s="116">
        <v>382.24838257126902</v>
      </c>
      <c r="C1347" s="116">
        <v>370.988352697077</v>
      </c>
      <c r="D1347" s="116">
        <v>370.05001687422703</v>
      </c>
      <c r="E1347" s="116">
        <v>382.24838257126902</v>
      </c>
      <c r="F1347" s="116">
        <v>375.6</v>
      </c>
      <c r="G1347">
        <v>419433</v>
      </c>
      <c r="H1347" s="116"/>
      <c r="I1347" s="116"/>
      <c r="L1347" s="170">
        <v>43993</v>
      </c>
      <c r="M1347" s="116">
        <v>371.18627728742098</v>
      </c>
      <c r="N1347" s="116">
        <v>381.754912643929</v>
      </c>
      <c r="O1347" s="116">
        <v>369.803465184701</v>
      </c>
      <c r="P1347" s="116">
        <v>381.26105117867098</v>
      </c>
      <c r="Q1347" s="116">
        <v>375.8</v>
      </c>
      <c r="R1347">
        <v>2856042</v>
      </c>
    </row>
    <row r="1348" spans="1:18" x14ac:dyDescent="0.25">
      <c r="A1348" s="170">
        <v>43994</v>
      </c>
      <c r="B1348" s="116">
        <v>368.42027570822597</v>
      </c>
      <c r="C1348" s="116">
        <v>366.69176235034502</v>
      </c>
      <c r="D1348" s="116">
        <v>361.11113350918902</v>
      </c>
      <c r="E1348" s="116">
        <v>364.96324899246503</v>
      </c>
      <c r="F1348" s="116">
        <v>371.25</v>
      </c>
      <c r="G1348">
        <v>101964</v>
      </c>
      <c r="H1348" s="116"/>
      <c r="I1348" s="116"/>
      <c r="L1348" s="170">
        <v>43994</v>
      </c>
      <c r="M1348" s="116">
        <v>366.44520722095098</v>
      </c>
      <c r="N1348" s="116">
        <v>368.47003922850598</v>
      </c>
      <c r="O1348" s="116">
        <v>360.61764193091398</v>
      </c>
      <c r="P1348" s="116">
        <v>360.61764193091398</v>
      </c>
      <c r="Q1348" s="116">
        <v>371</v>
      </c>
      <c r="R1348">
        <v>3179903</v>
      </c>
    </row>
    <row r="1349" spans="1:18" x14ac:dyDescent="0.25">
      <c r="A1349" s="170">
        <v>43997</v>
      </c>
      <c r="B1349" s="116">
        <v>375.23555694786802</v>
      </c>
      <c r="C1349" s="116">
        <v>365.60526823967803</v>
      </c>
      <c r="D1349" s="116">
        <v>362.00008323609802</v>
      </c>
      <c r="E1349" s="116">
        <v>366.69176235034502</v>
      </c>
      <c r="F1349" s="116">
        <v>370.15</v>
      </c>
      <c r="G1349">
        <v>96997</v>
      </c>
      <c r="H1349" s="116"/>
      <c r="I1349" s="116"/>
      <c r="L1349" s="170">
        <v>43997</v>
      </c>
      <c r="M1349" s="116">
        <v>365.45748429043601</v>
      </c>
      <c r="N1349" s="116">
        <v>375.28532744905698</v>
      </c>
      <c r="O1349" s="116">
        <v>361.901681740583</v>
      </c>
      <c r="P1349" s="116">
        <v>366.93906868620797</v>
      </c>
      <c r="Q1349" s="116">
        <v>370</v>
      </c>
      <c r="R1349">
        <v>2293579</v>
      </c>
    </row>
    <row r="1350" spans="1:18" x14ac:dyDescent="0.25">
      <c r="A1350" s="170">
        <v>43998</v>
      </c>
      <c r="B1350" s="116">
        <v>372.91441043871498</v>
      </c>
      <c r="C1350" s="116">
        <v>364.42000193713102</v>
      </c>
      <c r="D1350" s="116">
        <v>355.82682124366801</v>
      </c>
      <c r="E1350" s="116">
        <v>370.69203612144003</v>
      </c>
      <c r="F1350" s="116">
        <v>368.95</v>
      </c>
      <c r="G1350">
        <v>139276</v>
      </c>
      <c r="H1350" s="116"/>
      <c r="I1350" s="116"/>
      <c r="L1350" s="170">
        <v>43998</v>
      </c>
      <c r="M1350" s="116">
        <v>364.51914750644698</v>
      </c>
      <c r="N1350" s="116">
        <v>373.30988158802802</v>
      </c>
      <c r="O1350" s="116">
        <v>355.82718571791798</v>
      </c>
      <c r="P1350" s="116">
        <v>371.38382187352403</v>
      </c>
      <c r="Q1350" s="116">
        <v>369.05</v>
      </c>
      <c r="R1350">
        <v>2343185</v>
      </c>
    </row>
    <row r="1351" spans="1:18" x14ac:dyDescent="0.25">
      <c r="A1351" s="170">
        <v>43999</v>
      </c>
      <c r="B1351" s="116">
        <v>368.46966180416501</v>
      </c>
      <c r="C1351" s="116">
        <v>364.96324899246503</v>
      </c>
      <c r="D1351" s="116">
        <v>362.49394419549299</v>
      </c>
      <c r="E1351" s="116">
        <v>364.37061584119198</v>
      </c>
      <c r="F1351" s="116">
        <v>369.5</v>
      </c>
      <c r="G1351">
        <v>50591</v>
      </c>
      <c r="H1351" s="116"/>
      <c r="I1351" s="116"/>
      <c r="L1351" s="170">
        <v>43999</v>
      </c>
      <c r="M1351" s="116">
        <v>365.06239511822997</v>
      </c>
      <c r="N1351" s="116">
        <v>368.66758381460897</v>
      </c>
      <c r="O1351" s="116">
        <v>361.50659256837702</v>
      </c>
      <c r="P1351" s="116">
        <v>361.50659256837702</v>
      </c>
      <c r="Q1351" s="116">
        <v>369.6</v>
      </c>
      <c r="R1351">
        <v>2556996</v>
      </c>
    </row>
    <row r="1352" spans="1:18" x14ac:dyDescent="0.25">
      <c r="A1352" s="170">
        <v>44000</v>
      </c>
      <c r="B1352" s="116">
        <v>369.161067147317</v>
      </c>
      <c r="C1352" s="116">
        <v>367.63009817319499</v>
      </c>
      <c r="D1352" s="116">
        <v>361.25929179700699</v>
      </c>
      <c r="E1352" s="116">
        <v>364.66693241682799</v>
      </c>
      <c r="F1352" s="116">
        <v>372.2</v>
      </c>
      <c r="G1352">
        <v>67742</v>
      </c>
      <c r="H1352" s="116"/>
      <c r="I1352" s="116"/>
      <c r="L1352" s="170">
        <v>44000</v>
      </c>
      <c r="M1352" s="116">
        <v>367.581088591043</v>
      </c>
      <c r="N1352" s="116">
        <v>369.40837601249501</v>
      </c>
      <c r="O1352" s="116">
        <v>360.51886963786302</v>
      </c>
      <c r="P1352" s="116">
        <v>363.28449384330401</v>
      </c>
      <c r="Q1352" s="116">
        <v>372.15</v>
      </c>
      <c r="R1352">
        <v>1929542</v>
      </c>
    </row>
    <row r="1353" spans="1:18" x14ac:dyDescent="0.25">
      <c r="A1353" s="170">
        <v>44001</v>
      </c>
      <c r="B1353" s="116">
        <v>377.309772977325</v>
      </c>
      <c r="C1353" s="116">
        <v>373.80336016562501</v>
      </c>
      <c r="D1353" s="116">
        <v>368.42027570822597</v>
      </c>
      <c r="E1353" s="116">
        <v>368.42027570822597</v>
      </c>
      <c r="F1353" s="116">
        <v>378.45</v>
      </c>
      <c r="G1353">
        <v>133930</v>
      </c>
      <c r="H1353" s="116"/>
      <c r="I1353" s="116"/>
      <c r="L1353" s="170">
        <v>44001</v>
      </c>
      <c r="M1353" s="116">
        <v>372.66786168319402</v>
      </c>
      <c r="N1353" s="116">
        <v>378.297882387127</v>
      </c>
      <c r="O1353" s="116">
        <v>368.76635610766101</v>
      </c>
      <c r="P1353" s="116">
        <v>369.26021757291801</v>
      </c>
      <c r="Q1353" s="116">
        <v>377.3</v>
      </c>
      <c r="R1353">
        <v>4249130</v>
      </c>
    </row>
    <row r="1354" spans="1:18" x14ac:dyDescent="0.25">
      <c r="A1354" s="170">
        <v>44004</v>
      </c>
      <c r="B1354" s="116">
        <v>380.02600825399401</v>
      </c>
      <c r="C1354" s="116">
        <v>376.07512057883901</v>
      </c>
      <c r="D1354" s="116">
        <v>372.618093863078</v>
      </c>
      <c r="E1354" s="116">
        <v>375.77880400320203</v>
      </c>
      <c r="F1354" s="116">
        <v>380.75</v>
      </c>
      <c r="G1354">
        <v>129675</v>
      </c>
      <c r="H1354" s="116"/>
      <c r="I1354" s="116"/>
      <c r="L1354" s="170">
        <v>44004</v>
      </c>
      <c r="M1354" s="116">
        <v>376.421208819149</v>
      </c>
      <c r="N1354" s="116">
        <v>380.42148668773399</v>
      </c>
      <c r="O1354" s="116">
        <v>372.96417856234802</v>
      </c>
      <c r="P1354" s="116">
        <v>378.297882387127</v>
      </c>
      <c r="Q1354" s="116">
        <v>381.1</v>
      </c>
      <c r="R1354">
        <v>2623145</v>
      </c>
    </row>
    <row r="1355" spans="1:18" x14ac:dyDescent="0.25">
      <c r="A1355" s="170">
        <v>44005</v>
      </c>
      <c r="B1355" s="116">
        <v>387.03883387739501</v>
      </c>
      <c r="C1355" s="116">
        <v>385.90295367078801</v>
      </c>
      <c r="D1355" s="116">
        <v>377.309772977325</v>
      </c>
      <c r="E1355" s="116">
        <v>380.27293873369098</v>
      </c>
      <c r="F1355" s="116">
        <v>390.7</v>
      </c>
      <c r="G1355">
        <v>116540</v>
      </c>
      <c r="H1355" s="116"/>
      <c r="I1355" s="116"/>
      <c r="L1355" s="170">
        <v>44005</v>
      </c>
      <c r="M1355" s="116">
        <v>386.051507391668</v>
      </c>
      <c r="N1355" s="116">
        <v>387.08861646870798</v>
      </c>
      <c r="O1355" s="116">
        <v>377.31015945661301</v>
      </c>
      <c r="P1355" s="116">
        <v>379.18683302458999</v>
      </c>
      <c r="Q1355" s="116">
        <v>390.85</v>
      </c>
      <c r="R1355">
        <v>3834537</v>
      </c>
    </row>
    <row r="1356" spans="1:18" x14ac:dyDescent="0.25">
      <c r="A1356" s="170">
        <v>44006</v>
      </c>
      <c r="B1356" s="116">
        <v>390.15015792157902</v>
      </c>
      <c r="C1356" s="116">
        <v>378.14933660829502</v>
      </c>
      <c r="D1356" s="116">
        <v>374.64292379659503</v>
      </c>
      <c r="E1356" s="116">
        <v>386.19927024642402</v>
      </c>
      <c r="F1356" s="116">
        <v>382.85</v>
      </c>
      <c r="G1356">
        <v>117684</v>
      </c>
      <c r="H1356" s="116"/>
      <c r="I1356" s="116"/>
      <c r="L1356" s="170">
        <v>44006</v>
      </c>
      <c r="M1356" s="116">
        <v>378.39665468017898</v>
      </c>
      <c r="N1356" s="116">
        <v>390.05178526025202</v>
      </c>
      <c r="O1356" s="116">
        <v>374.69269369074902</v>
      </c>
      <c r="P1356" s="116">
        <v>387.08861646870798</v>
      </c>
      <c r="Q1356" s="116">
        <v>383.1</v>
      </c>
      <c r="R1356">
        <v>3889495</v>
      </c>
    </row>
    <row r="1357" spans="1:18" x14ac:dyDescent="0.25">
      <c r="A1357" s="170">
        <v>44007</v>
      </c>
      <c r="B1357" s="116">
        <v>384.42137079260402</v>
      </c>
      <c r="C1357" s="116">
        <v>379.58153339053899</v>
      </c>
      <c r="D1357" s="116">
        <v>373.45765749404899</v>
      </c>
      <c r="E1357" s="116">
        <v>376.815912017931</v>
      </c>
      <c r="F1357" s="116">
        <v>384.3</v>
      </c>
      <c r="G1357">
        <v>72596</v>
      </c>
      <c r="H1357" s="116"/>
      <c r="I1357" s="116"/>
      <c r="L1357" s="170">
        <v>44007</v>
      </c>
      <c r="M1357" s="116">
        <v>379.28560531764202</v>
      </c>
      <c r="N1357" s="116">
        <v>384.619309142421</v>
      </c>
      <c r="O1357" s="116">
        <v>372.96417856234802</v>
      </c>
      <c r="P1357" s="116">
        <v>375.33471359558303</v>
      </c>
      <c r="Q1357" s="116">
        <v>384</v>
      </c>
      <c r="R1357">
        <v>1961942</v>
      </c>
    </row>
    <row r="1358" spans="1:18" x14ac:dyDescent="0.25">
      <c r="A1358" s="170">
        <v>44008</v>
      </c>
      <c r="B1358" s="116">
        <v>383.97689592914901</v>
      </c>
      <c r="C1358" s="116">
        <v>381.26066065248</v>
      </c>
      <c r="D1358" s="116">
        <v>377.803633936719</v>
      </c>
      <c r="E1358" s="116">
        <v>382.24838257126902</v>
      </c>
      <c r="F1358" s="116">
        <v>386</v>
      </c>
      <c r="G1358">
        <v>69790</v>
      </c>
      <c r="H1358" s="116"/>
      <c r="I1358" s="116"/>
      <c r="L1358" s="170">
        <v>44008</v>
      </c>
      <c r="M1358" s="116">
        <v>380.91534815299099</v>
      </c>
      <c r="N1358" s="116">
        <v>384.17483382368999</v>
      </c>
      <c r="O1358" s="116">
        <v>377.80402092187001</v>
      </c>
      <c r="P1358" s="116">
        <v>382.34754640223798</v>
      </c>
      <c r="Q1358" s="116">
        <v>385.65</v>
      </c>
      <c r="R1358">
        <v>1759164</v>
      </c>
    </row>
    <row r="1359" spans="1:18" x14ac:dyDescent="0.25">
      <c r="A1359" s="170">
        <v>44011</v>
      </c>
      <c r="B1359" s="116">
        <v>387.38453654897103</v>
      </c>
      <c r="C1359" s="116">
        <v>381.70513551593501</v>
      </c>
      <c r="D1359" s="116">
        <v>377.55670345702202</v>
      </c>
      <c r="E1359" s="116">
        <v>384.96461784793797</v>
      </c>
      <c r="F1359" s="116">
        <v>386.45</v>
      </c>
      <c r="G1359">
        <v>168095</v>
      </c>
      <c r="H1359" s="116"/>
      <c r="I1359" s="116"/>
      <c r="L1359" s="170">
        <v>44011</v>
      </c>
      <c r="M1359" s="116">
        <v>381.80429879045403</v>
      </c>
      <c r="N1359" s="116">
        <v>387.48370564091402</v>
      </c>
      <c r="O1359" s="116">
        <v>377.45831789619001</v>
      </c>
      <c r="P1359" s="116">
        <v>382.29816025571199</v>
      </c>
      <c r="Q1359" s="116">
        <v>386.55</v>
      </c>
      <c r="R1359">
        <v>2764410</v>
      </c>
    </row>
    <row r="1360" spans="1:18" x14ac:dyDescent="0.25">
      <c r="A1360" s="170">
        <v>44012</v>
      </c>
      <c r="B1360" s="116">
        <v>387.03883387739501</v>
      </c>
      <c r="C1360" s="116">
        <v>382.79162962660303</v>
      </c>
      <c r="D1360" s="116">
        <v>381.55697722811698</v>
      </c>
      <c r="E1360" s="116">
        <v>387.03883387739501</v>
      </c>
      <c r="F1360" s="116">
        <v>387.55</v>
      </c>
      <c r="G1360">
        <v>56979</v>
      </c>
      <c r="H1360" s="116"/>
      <c r="I1360" s="116"/>
      <c r="L1360" s="170">
        <v>44012</v>
      </c>
      <c r="M1360" s="116">
        <v>382.69324942791798</v>
      </c>
      <c r="N1360" s="116">
        <v>386.98984417565703</v>
      </c>
      <c r="O1360" s="116">
        <v>381.16227888562003</v>
      </c>
      <c r="P1360" s="116">
        <v>383.23649703970102</v>
      </c>
      <c r="Q1360" s="116">
        <v>387.45</v>
      </c>
      <c r="R1360">
        <v>1861565</v>
      </c>
    </row>
    <row r="1361" spans="1:18" x14ac:dyDescent="0.25">
      <c r="A1361" s="170">
        <v>44013</v>
      </c>
      <c r="B1361" s="116">
        <v>383.680579353513</v>
      </c>
      <c r="C1361" s="116">
        <v>379.68030558241799</v>
      </c>
      <c r="D1361" s="116">
        <v>376.37143715447598</v>
      </c>
      <c r="E1361" s="116">
        <v>382.74224353066302</v>
      </c>
      <c r="F1361" s="116">
        <v>384.4</v>
      </c>
      <c r="G1361">
        <v>94137</v>
      </c>
      <c r="H1361" s="116"/>
      <c r="I1361" s="116"/>
      <c r="L1361" s="170">
        <v>44013</v>
      </c>
      <c r="M1361" s="116">
        <v>379.77946678289902</v>
      </c>
      <c r="N1361" s="116">
        <v>383.73035850495802</v>
      </c>
      <c r="O1361" s="116">
        <v>375.82857506084099</v>
      </c>
      <c r="P1361" s="116">
        <v>380.27332824815699</v>
      </c>
      <c r="Q1361" s="116">
        <v>384.5</v>
      </c>
      <c r="R1361">
        <v>1611560</v>
      </c>
    </row>
    <row r="1362" spans="1:18" x14ac:dyDescent="0.25">
      <c r="A1362" s="170">
        <v>44014</v>
      </c>
      <c r="B1362" s="116">
        <v>390.15015792157902</v>
      </c>
      <c r="C1362" s="116">
        <v>386.24865634236397</v>
      </c>
      <c r="D1362" s="116">
        <v>380.22355263775199</v>
      </c>
      <c r="E1362" s="116">
        <v>383.0385601063</v>
      </c>
      <c r="F1362" s="116">
        <v>391.05</v>
      </c>
      <c r="G1362">
        <v>86168</v>
      </c>
      <c r="H1362" s="116"/>
      <c r="I1362" s="116"/>
      <c r="L1362" s="170">
        <v>44014</v>
      </c>
      <c r="M1362" s="116">
        <v>386.00212124514201</v>
      </c>
      <c r="N1362" s="116">
        <v>390.150557553304</v>
      </c>
      <c r="O1362" s="116">
        <v>379.82885292942501</v>
      </c>
      <c r="P1362" s="116">
        <v>380.27332824815699</v>
      </c>
      <c r="Q1362" s="116">
        <v>390.8</v>
      </c>
      <c r="R1362">
        <v>2607208</v>
      </c>
    </row>
    <row r="1363" spans="1:18" x14ac:dyDescent="0.25">
      <c r="A1363" s="170">
        <v>44015</v>
      </c>
      <c r="B1363" s="116">
        <v>397.26175573685902</v>
      </c>
      <c r="C1363" s="116">
        <v>391.48358251194401</v>
      </c>
      <c r="D1363" s="116">
        <v>388.125327988062</v>
      </c>
      <c r="E1363" s="116">
        <v>390.15015792157902</v>
      </c>
      <c r="F1363" s="116">
        <v>396.35</v>
      </c>
      <c r="G1363">
        <v>202767</v>
      </c>
      <c r="H1363" s="116"/>
      <c r="I1363" s="116"/>
      <c r="L1363" s="170">
        <v>44015</v>
      </c>
      <c r="M1363" s="116">
        <v>391.58275580255003</v>
      </c>
      <c r="N1363" s="116">
        <v>397.36093494606098</v>
      </c>
      <c r="O1363" s="116">
        <v>387.82940866659402</v>
      </c>
      <c r="P1363" s="116">
        <v>390.150557553304</v>
      </c>
      <c r="Q1363" s="116">
        <v>396.45</v>
      </c>
      <c r="R1363">
        <v>3223338</v>
      </c>
    </row>
    <row r="1364" spans="1:18" x14ac:dyDescent="0.25">
      <c r="A1364" s="170">
        <v>44018</v>
      </c>
      <c r="B1364" s="116">
        <v>403.28685944147099</v>
      </c>
      <c r="C1364" s="116">
        <v>400.866940740438</v>
      </c>
      <c r="D1364" s="116">
        <v>392.12560175915701</v>
      </c>
      <c r="E1364" s="116">
        <v>392.12560175915701</v>
      </c>
      <c r="F1364" s="116">
        <v>405.85</v>
      </c>
      <c r="G1364">
        <v>138408</v>
      </c>
      <c r="H1364" s="116"/>
      <c r="I1364" s="116"/>
      <c r="L1364" s="170">
        <v>44018</v>
      </c>
      <c r="M1364" s="116">
        <v>400.719192909811</v>
      </c>
      <c r="N1364" s="116">
        <v>403.435430968726</v>
      </c>
      <c r="O1364" s="116">
        <v>392.42232029348702</v>
      </c>
      <c r="P1364" s="116">
        <v>395.13855835240298</v>
      </c>
      <c r="Q1364" s="116">
        <v>405.7</v>
      </c>
      <c r="R1364">
        <v>4073356</v>
      </c>
    </row>
    <row r="1365" spans="1:18" x14ac:dyDescent="0.25">
      <c r="A1365" s="170">
        <v>44019</v>
      </c>
      <c r="B1365" s="116">
        <v>409.11441876232499</v>
      </c>
      <c r="C1365" s="116">
        <v>407.53406369226298</v>
      </c>
      <c r="D1365" s="116">
        <v>398.64456642316298</v>
      </c>
      <c r="E1365" s="116">
        <v>404.66967012777502</v>
      </c>
      <c r="F1365" s="116">
        <v>412.6</v>
      </c>
      <c r="G1365">
        <v>195011</v>
      </c>
      <c r="H1365" s="116"/>
      <c r="I1365" s="116"/>
      <c r="L1365" s="170">
        <v>44019</v>
      </c>
      <c r="M1365" s="116">
        <v>407.63325342341398</v>
      </c>
      <c r="N1365" s="116">
        <v>409.31238240528899</v>
      </c>
      <c r="O1365" s="116">
        <v>398.74374704878102</v>
      </c>
      <c r="P1365" s="116">
        <v>403.38604482220001</v>
      </c>
      <c r="Q1365" s="116">
        <v>412.7</v>
      </c>
      <c r="R1365">
        <v>4088132</v>
      </c>
    </row>
    <row r="1366" spans="1:18" x14ac:dyDescent="0.25">
      <c r="A1366" s="170">
        <v>44020</v>
      </c>
      <c r="B1366" s="116">
        <v>430.64675659192102</v>
      </c>
      <c r="C1366" s="116">
        <v>426.99218549240197</v>
      </c>
      <c r="D1366" s="116">
        <v>409.80582410547697</v>
      </c>
      <c r="E1366" s="116">
        <v>409.90459629735602</v>
      </c>
      <c r="F1366" s="116">
        <v>432.3</v>
      </c>
      <c r="G1366">
        <v>355377</v>
      </c>
      <c r="H1366" s="116"/>
      <c r="I1366" s="116"/>
      <c r="L1366" s="170">
        <v>44020</v>
      </c>
      <c r="M1366" s="116">
        <v>427.09139515455303</v>
      </c>
      <c r="N1366" s="116">
        <v>430.94351458355999</v>
      </c>
      <c r="O1366" s="116">
        <v>409.75685772401999</v>
      </c>
      <c r="P1366" s="116">
        <v>411.04089753368902</v>
      </c>
      <c r="Q1366" s="116">
        <v>432.4</v>
      </c>
      <c r="R1366">
        <v>6978409</v>
      </c>
    </row>
    <row r="1367" spans="1:18" x14ac:dyDescent="0.25">
      <c r="A1367" s="170">
        <v>44021</v>
      </c>
      <c r="B1367" s="116">
        <v>431.78263679852802</v>
      </c>
      <c r="C1367" s="116">
        <v>428.32561008276701</v>
      </c>
      <c r="D1367" s="116">
        <v>424.07840583197498</v>
      </c>
      <c r="E1367" s="116">
        <v>427.18972987616002</v>
      </c>
      <c r="F1367" s="116">
        <v>433.65</v>
      </c>
      <c r="G1367">
        <v>171590</v>
      </c>
      <c r="H1367" s="116"/>
      <c r="I1367" s="116"/>
      <c r="L1367" s="170">
        <v>44021</v>
      </c>
      <c r="M1367" s="116">
        <v>428.029731938542</v>
      </c>
      <c r="N1367" s="116">
        <v>431.93123751407501</v>
      </c>
      <c r="O1367" s="116">
        <v>423.584978751226</v>
      </c>
      <c r="P1367" s="116">
        <v>427.73341505938799</v>
      </c>
      <c r="Q1367" s="116">
        <v>433.35</v>
      </c>
      <c r="R1367">
        <v>2808388</v>
      </c>
    </row>
    <row r="1368" spans="1:18" x14ac:dyDescent="0.25">
      <c r="A1368" s="170">
        <v>44022</v>
      </c>
      <c r="B1368" s="116">
        <v>432.37526994980101</v>
      </c>
      <c r="C1368" s="116">
        <v>424.967355558885</v>
      </c>
      <c r="D1368" s="116">
        <v>423.18945610506501</v>
      </c>
      <c r="E1368" s="116">
        <v>424.81919727106703</v>
      </c>
      <c r="F1368" s="116">
        <v>430.25</v>
      </c>
      <c r="G1368">
        <v>156659</v>
      </c>
      <c r="H1368" s="116"/>
      <c r="I1368" s="116"/>
      <c r="L1368" s="170">
        <v>44022</v>
      </c>
      <c r="M1368" s="116">
        <v>424.81963241436898</v>
      </c>
      <c r="N1368" s="116">
        <v>432.37571283280698</v>
      </c>
      <c r="O1368" s="116">
        <v>423.38743416512301</v>
      </c>
      <c r="P1368" s="116">
        <v>424.27638480258599</v>
      </c>
      <c r="Q1368" s="116">
        <v>430.1</v>
      </c>
      <c r="R1368">
        <v>3765369</v>
      </c>
    </row>
    <row r="1369" spans="1:18" x14ac:dyDescent="0.25">
      <c r="A1369" s="170">
        <v>44025</v>
      </c>
      <c r="B1369" s="116">
        <v>428.07867960306999</v>
      </c>
      <c r="C1369" s="116">
        <v>419.18918233397</v>
      </c>
      <c r="D1369" s="116">
        <v>416.86803582481701</v>
      </c>
      <c r="E1369" s="116">
        <v>424.967355558885</v>
      </c>
      <c r="F1369" s="116">
        <v>424.4</v>
      </c>
      <c r="G1369">
        <v>227488</v>
      </c>
      <c r="H1369" s="116"/>
      <c r="I1369" s="116"/>
      <c r="L1369" s="170">
        <v>44025</v>
      </c>
      <c r="M1369" s="116">
        <v>419.23899785696102</v>
      </c>
      <c r="N1369" s="116">
        <v>428.22727652464499</v>
      </c>
      <c r="O1369" s="116">
        <v>416.81907667719997</v>
      </c>
      <c r="P1369" s="116">
        <v>424.81963241436898</v>
      </c>
      <c r="Q1369" s="116">
        <v>424.45</v>
      </c>
      <c r="R1369">
        <v>2552387</v>
      </c>
    </row>
    <row r="1370" spans="1:18" x14ac:dyDescent="0.25">
      <c r="A1370" s="170">
        <v>44026</v>
      </c>
      <c r="B1370" s="116">
        <v>421.21401226748702</v>
      </c>
      <c r="C1370" s="116">
        <v>413.85548397251102</v>
      </c>
      <c r="D1370" s="116">
        <v>412.27512890244901</v>
      </c>
      <c r="E1370" s="116">
        <v>417.80637164766603</v>
      </c>
      <c r="F1370" s="116">
        <v>419</v>
      </c>
      <c r="G1370">
        <v>124379</v>
      </c>
      <c r="H1370" s="116"/>
      <c r="I1370" s="116"/>
      <c r="L1370" s="170">
        <v>44026</v>
      </c>
      <c r="M1370" s="116">
        <v>414.20161091133599</v>
      </c>
      <c r="N1370" s="116">
        <v>421.214443717991</v>
      </c>
      <c r="O1370" s="116">
        <v>412.37432348988398</v>
      </c>
      <c r="P1370" s="116">
        <v>414.84363081617101</v>
      </c>
      <c r="Q1370" s="116">
        <v>419.35</v>
      </c>
      <c r="R1370">
        <v>3232206</v>
      </c>
    </row>
    <row r="1371" spans="1:18" x14ac:dyDescent="0.25">
      <c r="A1371" s="170">
        <v>44027</v>
      </c>
      <c r="B1371" s="116">
        <v>417.31251068827203</v>
      </c>
      <c r="C1371" s="116">
        <v>407.92915245977798</v>
      </c>
      <c r="D1371" s="116">
        <v>406.29941129377698</v>
      </c>
      <c r="E1371" s="116">
        <v>416.07785828978598</v>
      </c>
      <c r="F1371" s="116">
        <v>413</v>
      </c>
      <c r="G1371">
        <v>80917</v>
      </c>
      <c r="H1371" s="116"/>
      <c r="I1371" s="116"/>
      <c r="L1371" s="170">
        <v>44027</v>
      </c>
      <c r="M1371" s="116">
        <v>407.97895644909403</v>
      </c>
      <c r="N1371" s="116">
        <v>417.90557190076601</v>
      </c>
      <c r="O1371" s="116">
        <v>406.29982746721902</v>
      </c>
      <c r="P1371" s="116">
        <v>417.65864116813799</v>
      </c>
      <c r="Q1371" s="116">
        <v>413.05</v>
      </c>
      <c r="R1371">
        <v>2076567</v>
      </c>
    </row>
    <row r="1372" spans="1:18" x14ac:dyDescent="0.25">
      <c r="A1372" s="170">
        <v>44028</v>
      </c>
      <c r="B1372" s="116">
        <v>409.16380485826397</v>
      </c>
      <c r="C1372" s="116">
        <v>405.31168937498802</v>
      </c>
      <c r="D1372" s="116">
        <v>402.20036533080298</v>
      </c>
      <c r="E1372" s="116">
        <v>408.916874378567</v>
      </c>
      <c r="F1372" s="116">
        <v>410.35</v>
      </c>
      <c r="G1372">
        <v>59375</v>
      </c>
      <c r="H1372" s="116"/>
      <c r="I1372" s="116"/>
      <c r="L1372" s="170">
        <v>44028</v>
      </c>
      <c r="M1372" s="116">
        <v>405.26271839017801</v>
      </c>
      <c r="N1372" s="116">
        <v>410.69519450800902</v>
      </c>
      <c r="O1372" s="116">
        <v>402.15139115905703</v>
      </c>
      <c r="P1372" s="116">
        <v>410.30010533580298</v>
      </c>
      <c r="Q1372" s="116">
        <v>410.3</v>
      </c>
      <c r="R1372">
        <v>2027081</v>
      </c>
    </row>
    <row r="1373" spans="1:18" x14ac:dyDescent="0.25">
      <c r="A1373" s="170">
        <v>44029</v>
      </c>
      <c r="B1373" s="116">
        <v>419.53488500554698</v>
      </c>
      <c r="C1373" s="116">
        <v>417.60882726390798</v>
      </c>
      <c r="D1373" s="116">
        <v>406.89204444504998</v>
      </c>
      <c r="E1373" s="116">
        <v>406.94143054098902</v>
      </c>
      <c r="F1373" s="116">
        <v>422.8</v>
      </c>
      <c r="G1373">
        <v>122094</v>
      </c>
      <c r="H1373" s="116"/>
      <c r="I1373" s="116"/>
      <c r="L1373" s="170">
        <v>44029</v>
      </c>
      <c r="M1373" s="116">
        <v>417.80679960771499</v>
      </c>
      <c r="N1373" s="116">
        <v>419.28838400348701</v>
      </c>
      <c r="O1373" s="116">
        <v>405.95412444153902</v>
      </c>
      <c r="P1373" s="116">
        <v>406.34921361374501</v>
      </c>
      <c r="Q1373" s="116">
        <v>423</v>
      </c>
      <c r="R1373">
        <v>2740799</v>
      </c>
    </row>
    <row r="1374" spans="1:18" x14ac:dyDescent="0.25">
      <c r="A1374" s="170">
        <v>44032</v>
      </c>
      <c r="B1374" s="116">
        <v>420.52260692433498</v>
      </c>
      <c r="C1374" s="116">
        <v>417.85575774360598</v>
      </c>
      <c r="D1374" s="116">
        <v>412.62083157402498</v>
      </c>
      <c r="E1374" s="116">
        <v>419.78181548524401</v>
      </c>
      <c r="F1374" s="116">
        <v>423.05</v>
      </c>
      <c r="G1374">
        <v>73245</v>
      </c>
      <c r="H1374" s="116"/>
      <c r="I1374" s="116"/>
      <c r="L1374" s="170">
        <v>44032</v>
      </c>
      <c r="M1374" s="116">
        <v>417.90557190076601</v>
      </c>
      <c r="N1374" s="116">
        <v>421.46137445061902</v>
      </c>
      <c r="O1374" s="116">
        <v>412.81879880861601</v>
      </c>
      <c r="P1374" s="116">
        <v>421.46137445061902</v>
      </c>
      <c r="Q1374" s="116">
        <v>423.1</v>
      </c>
      <c r="R1374">
        <v>1680913</v>
      </c>
    </row>
    <row r="1375" spans="1:18" x14ac:dyDescent="0.25">
      <c r="A1375" s="170">
        <v>44033</v>
      </c>
      <c r="B1375" s="116">
        <v>419.78181548524401</v>
      </c>
      <c r="C1375" s="116">
        <v>404.47212574401698</v>
      </c>
      <c r="D1375" s="116">
        <v>403.681948208986</v>
      </c>
      <c r="E1375" s="116">
        <v>419.78181548524401</v>
      </c>
      <c r="F1375" s="116">
        <v>409.5</v>
      </c>
      <c r="G1375">
        <v>63026</v>
      </c>
      <c r="H1375" s="116"/>
      <c r="I1375" s="116"/>
      <c r="L1375" s="170">
        <v>44033</v>
      </c>
      <c r="M1375" s="116">
        <v>404.42315389924102</v>
      </c>
      <c r="N1375" s="116">
        <v>419.53531473611599</v>
      </c>
      <c r="O1375" s="116">
        <v>403.38604482220001</v>
      </c>
      <c r="P1375" s="116">
        <v>418.79452253823001</v>
      </c>
      <c r="Q1375" s="116">
        <v>409.45</v>
      </c>
      <c r="R1375">
        <v>2752464</v>
      </c>
    </row>
    <row r="1376" spans="1:18" x14ac:dyDescent="0.25">
      <c r="A1376" s="170">
        <v>44034</v>
      </c>
      <c r="B1376" s="116">
        <v>412.42328719026699</v>
      </c>
      <c r="C1376" s="116">
        <v>401.60773217952999</v>
      </c>
      <c r="D1376" s="116">
        <v>399.089041286618</v>
      </c>
      <c r="E1376" s="116">
        <v>404.47212574401698</v>
      </c>
      <c r="F1376" s="116">
        <v>406.6</v>
      </c>
      <c r="G1376">
        <v>119940</v>
      </c>
      <c r="H1376" s="116"/>
      <c r="I1376" s="116"/>
      <c r="L1376" s="170">
        <v>44034</v>
      </c>
      <c r="M1376" s="116">
        <v>402.00323271948002</v>
      </c>
      <c r="N1376" s="116">
        <v>412.27555119683302</v>
      </c>
      <c r="O1376" s="116">
        <v>399.04006392793599</v>
      </c>
      <c r="P1376" s="116">
        <v>404.966401511024</v>
      </c>
      <c r="Q1376" s="116">
        <v>407</v>
      </c>
      <c r="R1376">
        <v>2620408</v>
      </c>
    </row>
    <row r="1377" spans="1:18" x14ac:dyDescent="0.25">
      <c r="A1377" s="170">
        <v>44035</v>
      </c>
      <c r="B1377" s="116">
        <v>407.237747116626</v>
      </c>
      <c r="C1377" s="116">
        <v>399.28658567037598</v>
      </c>
      <c r="D1377" s="116">
        <v>397.50868621655599</v>
      </c>
      <c r="E1377" s="116">
        <v>406.74388615723097</v>
      </c>
      <c r="F1377" s="116">
        <v>404.25</v>
      </c>
      <c r="G1377">
        <v>74514</v>
      </c>
      <c r="H1377" s="116"/>
      <c r="I1377" s="116"/>
      <c r="L1377" s="170">
        <v>44035</v>
      </c>
      <c r="M1377" s="116">
        <v>399.43515310014197</v>
      </c>
      <c r="N1377" s="116">
        <v>407.28755039773301</v>
      </c>
      <c r="O1377" s="116">
        <v>397.75602411826702</v>
      </c>
      <c r="P1377" s="116">
        <v>404.57131233881802</v>
      </c>
      <c r="Q1377" s="116">
        <v>404.4</v>
      </c>
      <c r="R1377">
        <v>2992497</v>
      </c>
    </row>
    <row r="1378" spans="1:18" x14ac:dyDescent="0.25">
      <c r="A1378" s="170">
        <v>44036</v>
      </c>
      <c r="B1378" s="116">
        <v>409.90459629735602</v>
      </c>
      <c r="C1378" s="116">
        <v>403.73133430492601</v>
      </c>
      <c r="D1378" s="116">
        <v>397.75561669625301</v>
      </c>
      <c r="E1378" s="116">
        <v>400.866940740438</v>
      </c>
      <c r="F1378" s="116">
        <v>408.75</v>
      </c>
      <c r="G1378">
        <v>98581</v>
      </c>
      <c r="H1378" s="116"/>
      <c r="I1378" s="116"/>
      <c r="L1378" s="170">
        <v>44036</v>
      </c>
      <c r="M1378" s="116">
        <v>403.435430968726</v>
      </c>
      <c r="N1378" s="116">
        <v>409.905016163597</v>
      </c>
      <c r="O1378" s="116">
        <v>397.41032109258703</v>
      </c>
      <c r="P1378" s="116">
        <v>399.73146997929598</v>
      </c>
      <c r="Q1378" s="116">
        <v>408.45</v>
      </c>
      <c r="R1378">
        <v>3124083</v>
      </c>
    </row>
    <row r="1379" spans="1:18" x14ac:dyDescent="0.25">
      <c r="A1379" s="170">
        <v>44039</v>
      </c>
      <c r="B1379" s="116">
        <v>408.86748828262699</v>
      </c>
      <c r="C1379" s="116">
        <v>403.28685944147099</v>
      </c>
      <c r="D1379" s="116">
        <v>399.33597176631503</v>
      </c>
      <c r="E1379" s="116">
        <v>403.78072040086499</v>
      </c>
      <c r="F1379" s="116">
        <v>408.3</v>
      </c>
      <c r="G1379">
        <v>129746</v>
      </c>
      <c r="H1379" s="116"/>
      <c r="I1379" s="116"/>
      <c r="L1379" s="170">
        <v>44039</v>
      </c>
      <c r="M1379" s="116">
        <v>403.435430968726</v>
      </c>
      <c r="N1379" s="116">
        <v>408.917293233083</v>
      </c>
      <c r="O1379" s="116">
        <v>399.33638080708999</v>
      </c>
      <c r="P1379" s="116">
        <v>403.435430968726</v>
      </c>
      <c r="Q1379" s="116">
        <v>408.45</v>
      </c>
      <c r="R1379">
        <v>3132821</v>
      </c>
    </row>
    <row r="1380" spans="1:18" x14ac:dyDescent="0.25">
      <c r="A1380" s="170">
        <v>44040</v>
      </c>
      <c r="B1380" s="116">
        <v>411.188634791781</v>
      </c>
      <c r="C1380" s="116">
        <v>407.78099417196</v>
      </c>
      <c r="D1380" s="116">
        <v>404.42273964807799</v>
      </c>
      <c r="E1380" s="116">
        <v>404.965986703412</v>
      </c>
      <c r="F1380" s="116">
        <v>412.85</v>
      </c>
      <c r="G1380">
        <v>81344</v>
      </c>
      <c r="H1380" s="116"/>
      <c r="I1380" s="116"/>
      <c r="L1380" s="170">
        <v>44040</v>
      </c>
      <c r="M1380" s="116">
        <v>407.97895644909403</v>
      </c>
      <c r="N1380" s="116">
        <v>411.287828266318</v>
      </c>
      <c r="O1380" s="116">
        <v>403.97867858050898</v>
      </c>
      <c r="P1380" s="116">
        <v>404.91701536449801</v>
      </c>
      <c r="Q1380" s="116">
        <v>413.05</v>
      </c>
      <c r="R1380">
        <v>3500424</v>
      </c>
    </row>
    <row r="1381" spans="1:18" x14ac:dyDescent="0.25">
      <c r="A1381" s="170">
        <v>44041</v>
      </c>
      <c r="B1381" s="116">
        <v>424.473494599491</v>
      </c>
      <c r="C1381" s="116">
        <v>422.69559514567101</v>
      </c>
      <c r="D1381" s="116">
        <v>411.13924869584201</v>
      </c>
      <c r="E1381" s="116">
        <v>411.13924869584201</v>
      </c>
      <c r="F1381" s="116">
        <v>427.95</v>
      </c>
      <c r="G1381">
        <v>161149</v>
      </c>
      <c r="H1381" s="116"/>
      <c r="I1381" s="116"/>
      <c r="L1381" s="170">
        <v>44041</v>
      </c>
      <c r="M1381" s="116">
        <v>422.44909738113398</v>
      </c>
      <c r="N1381" s="116">
        <v>424.62208782826599</v>
      </c>
      <c r="O1381" s="116">
        <v>411.88046202462698</v>
      </c>
      <c r="P1381" s="116">
        <v>411.88046202462698</v>
      </c>
      <c r="Q1381" s="116">
        <v>427.7</v>
      </c>
      <c r="R1381">
        <v>5938179</v>
      </c>
    </row>
    <row r="1382" spans="1:18" x14ac:dyDescent="0.25">
      <c r="A1382" s="170">
        <v>44042</v>
      </c>
      <c r="B1382" s="116">
        <v>426.69586891676499</v>
      </c>
      <c r="C1382" s="116">
        <v>419.58427110148602</v>
      </c>
      <c r="D1382" s="116">
        <v>416.37417486542199</v>
      </c>
      <c r="E1382" s="116">
        <v>423.88086144821699</v>
      </c>
      <c r="F1382" s="116">
        <v>424.8</v>
      </c>
      <c r="G1382">
        <v>129815</v>
      </c>
      <c r="H1382" s="116"/>
      <c r="I1382" s="116"/>
      <c r="L1382" s="170">
        <v>44042</v>
      </c>
      <c r="M1382" s="116">
        <v>419.683473175693</v>
      </c>
      <c r="N1382" s="116">
        <v>426.69630598234698</v>
      </c>
      <c r="O1382" s="116">
        <v>416.37460135846902</v>
      </c>
      <c r="P1382" s="116">
        <v>425.11594929352401</v>
      </c>
      <c r="Q1382" s="116">
        <v>424.9</v>
      </c>
      <c r="R1382">
        <v>1866344</v>
      </c>
    </row>
    <row r="1383" spans="1:18" x14ac:dyDescent="0.25">
      <c r="A1383" s="170">
        <v>44043</v>
      </c>
      <c r="B1383" s="116">
        <v>428.67131275434298</v>
      </c>
      <c r="C1383" s="116">
        <v>422.44866466597301</v>
      </c>
      <c r="D1383" s="116">
        <v>420.27567644463801</v>
      </c>
      <c r="E1383" s="116">
        <v>421.70787322688199</v>
      </c>
      <c r="F1383" s="116">
        <v>427.7</v>
      </c>
      <c r="G1383">
        <v>279018</v>
      </c>
      <c r="H1383" s="116"/>
      <c r="I1383" s="116"/>
      <c r="L1383" s="170">
        <v>44043</v>
      </c>
      <c r="M1383" s="116">
        <v>422.79480040681398</v>
      </c>
      <c r="N1383" s="116">
        <v>428.67175184337702</v>
      </c>
      <c r="O1383" s="116">
        <v>419.78224546874401</v>
      </c>
      <c r="P1383" s="116">
        <v>419.78224546874401</v>
      </c>
      <c r="Q1383" s="116">
        <v>428.05</v>
      </c>
      <c r="R1383">
        <v>3115208</v>
      </c>
    </row>
    <row r="1384" spans="1:18" x14ac:dyDescent="0.25">
      <c r="A1384" s="170">
        <v>44046</v>
      </c>
      <c r="B1384" s="116">
        <v>434.59764426707602</v>
      </c>
      <c r="C1384" s="116">
        <v>428.67131275434298</v>
      </c>
      <c r="D1384" s="116">
        <v>422.30050637815498</v>
      </c>
      <c r="E1384" s="116">
        <v>428.57254056246398</v>
      </c>
      <c r="F1384" s="116">
        <v>434</v>
      </c>
      <c r="G1384">
        <v>113746</v>
      </c>
      <c r="H1384" s="116"/>
      <c r="I1384" s="116"/>
      <c r="L1384" s="170">
        <v>44046</v>
      </c>
      <c r="M1384" s="116">
        <v>428.77052413642798</v>
      </c>
      <c r="N1384" s="116">
        <v>434.59808942646498</v>
      </c>
      <c r="O1384" s="116">
        <v>422.44909738113398</v>
      </c>
      <c r="P1384" s="116">
        <v>423.68375104427702</v>
      </c>
      <c r="Q1384" s="116">
        <v>434.1</v>
      </c>
      <c r="R1384">
        <v>2917293</v>
      </c>
    </row>
    <row r="1385" spans="1:18" x14ac:dyDescent="0.25">
      <c r="A1385" s="170">
        <v>44047</v>
      </c>
      <c r="B1385" s="116">
        <v>446.74662386817801</v>
      </c>
      <c r="C1385" s="116">
        <v>444.22793297526698</v>
      </c>
      <c r="D1385" s="116">
        <v>431.04184535943602</v>
      </c>
      <c r="E1385" s="116">
        <v>434.49887207519703</v>
      </c>
      <c r="F1385" s="116">
        <v>449.75</v>
      </c>
      <c r="G1385">
        <v>325692</v>
      </c>
      <c r="H1385" s="116"/>
      <c r="I1385" s="116"/>
      <c r="L1385" s="170">
        <v>44047</v>
      </c>
      <c r="M1385" s="116">
        <v>444.22838799898301</v>
      </c>
      <c r="N1385" s="116">
        <v>446.74708147179501</v>
      </c>
      <c r="O1385" s="116">
        <v>430.64719770440598</v>
      </c>
      <c r="P1385" s="116">
        <v>434.005455668156</v>
      </c>
      <c r="Q1385" s="116">
        <v>449.75</v>
      </c>
      <c r="R1385">
        <v>6816093</v>
      </c>
    </row>
    <row r="1386" spans="1:18" x14ac:dyDescent="0.25">
      <c r="A1386" s="170">
        <v>44048</v>
      </c>
      <c r="B1386" s="116">
        <v>465.90842909268099</v>
      </c>
      <c r="C1386" s="116">
        <v>442.20310304175001</v>
      </c>
      <c r="D1386" s="116">
        <v>435.09150522647002</v>
      </c>
      <c r="E1386" s="116">
        <v>459.78455319619002</v>
      </c>
      <c r="F1386" s="116">
        <v>447.7</v>
      </c>
      <c r="G1386">
        <v>745268</v>
      </c>
      <c r="H1386" s="116"/>
      <c r="I1386" s="116"/>
      <c r="L1386" s="170">
        <v>44048</v>
      </c>
      <c r="M1386" s="116">
        <v>442.10478369837602</v>
      </c>
      <c r="N1386" s="116">
        <v>466.00767861683198</v>
      </c>
      <c r="O1386" s="116">
        <v>434.89440630561899</v>
      </c>
      <c r="P1386" s="116">
        <v>459.291162689332</v>
      </c>
      <c r="Q1386" s="116">
        <v>447.6</v>
      </c>
      <c r="R1386">
        <v>20178367</v>
      </c>
    </row>
    <row r="1387" spans="1:18" x14ac:dyDescent="0.25">
      <c r="A1387" s="170">
        <v>44049</v>
      </c>
      <c r="B1387" s="116">
        <v>482.99601828772802</v>
      </c>
      <c r="C1387" s="116">
        <v>478.79820013287502</v>
      </c>
      <c r="D1387" s="116">
        <v>443.14143886459902</v>
      </c>
      <c r="E1387" s="116">
        <v>444.77118003060099</v>
      </c>
      <c r="F1387" s="116">
        <v>484.75</v>
      </c>
      <c r="G1387">
        <v>1034035</v>
      </c>
      <c r="H1387" s="116"/>
      <c r="I1387" s="116"/>
      <c r="L1387" s="170">
        <v>44049</v>
      </c>
      <c r="M1387" s="116">
        <v>478.79869056699698</v>
      </c>
      <c r="N1387" s="116">
        <v>482.99651302168502</v>
      </c>
      <c r="O1387" s="116">
        <v>443.53698194762302</v>
      </c>
      <c r="P1387" s="116">
        <v>444.47531873161199</v>
      </c>
      <c r="Q1387" s="116">
        <v>484.75</v>
      </c>
      <c r="R1387">
        <v>15882667</v>
      </c>
    </row>
    <row r="1388" spans="1:18" x14ac:dyDescent="0.25">
      <c r="A1388" s="170">
        <v>44050</v>
      </c>
      <c r="B1388" s="116">
        <v>523.59138914994799</v>
      </c>
      <c r="C1388" s="116">
        <v>512.03504270011797</v>
      </c>
      <c r="D1388" s="116">
        <v>476.82275629529698</v>
      </c>
      <c r="E1388" s="116">
        <v>481.76136588924101</v>
      </c>
      <c r="F1388" s="116">
        <v>518.4</v>
      </c>
      <c r="G1388">
        <v>1330769</v>
      </c>
      <c r="H1388" s="116"/>
      <c r="I1388" s="116"/>
      <c r="L1388" s="170">
        <v>44050</v>
      </c>
      <c r="M1388" s="116">
        <v>512.23311176491995</v>
      </c>
      <c r="N1388" s="116">
        <v>523.44376702626096</v>
      </c>
      <c r="O1388" s="116">
        <v>476.77385855944198</v>
      </c>
      <c r="P1388" s="116">
        <v>481.61370091896401</v>
      </c>
      <c r="Q1388" s="116">
        <v>518.6</v>
      </c>
      <c r="R1388">
        <v>30560093</v>
      </c>
    </row>
    <row r="1389" spans="1:18" x14ac:dyDescent="0.25">
      <c r="A1389" s="170">
        <v>44053</v>
      </c>
      <c r="B1389" s="116">
        <v>519.34418489915595</v>
      </c>
      <c r="C1389" s="116">
        <v>514.05987263363602</v>
      </c>
      <c r="D1389" s="116">
        <v>504.77528659702102</v>
      </c>
      <c r="E1389" s="116">
        <v>516.529177430608</v>
      </c>
      <c r="F1389" s="116">
        <v>520.45000000000005</v>
      </c>
      <c r="G1389">
        <v>316862</v>
      </c>
      <c r="H1389" s="116"/>
      <c r="I1389" s="116"/>
      <c r="L1389" s="170">
        <v>44053</v>
      </c>
      <c r="M1389" s="116">
        <v>513.91224074679496</v>
      </c>
      <c r="N1389" s="116">
        <v>519.54226145072801</v>
      </c>
      <c r="O1389" s="116">
        <v>504.43010061385303</v>
      </c>
      <c r="P1389" s="116">
        <v>514.55426065162897</v>
      </c>
      <c r="Q1389" s="116">
        <v>520.29999999999995</v>
      </c>
      <c r="R1389">
        <v>6832826</v>
      </c>
    </row>
    <row r="1390" spans="1:18" x14ac:dyDescent="0.25">
      <c r="A1390" s="170">
        <v>44054</v>
      </c>
      <c r="B1390" s="116">
        <v>521.072698257036</v>
      </c>
      <c r="C1390" s="116">
        <v>508.77556036811501</v>
      </c>
      <c r="D1390" s="116">
        <v>507.88661064120498</v>
      </c>
      <c r="E1390" s="116">
        <v>516.67733571842598</v>
      </c>
      <c r="F1390" s="116">
        <v>515.1</v>
      </c>
      <c r="G1390">
        <v>362955</v>
      </c>
      <c r="H1390" s="116"/>
      <c r="I1390" s="116"/>
      <c r="L1390" s="170">
        <v>44054</v>
      </c>
      <c r="M1390" s="116">
        <v>509.56625985252998</v>
      </c>
      <c r="N1390" s="116">
        <v>521.41893501870595</v>
      </c>
      <c r="O1390" s="116">
        <v>507.98590316370598</v>
      </c>
      <c r="P1390" s="116">
        <v>518.06067705495605</v>
      </c>
      <c r="Q1390" s="116">
        <v>515.9</v>
      </c>
      <c r="R1390">
        <v>4690415</v>
      </c>
    </row>
    <row r="1391" spans="1:18" x14ac:dyDescent="0.25">
      <c r="A1391" s="170">
        <v>44055</v>
      </c>
      <c r="B1391" s="116">
        <v>515.44268331993999</v>
      </c>
      <c r="C1391" s="116">
        <v>511.04732078132997</v>
      </c>
      <c r="D1391" s="116">
        <v>503.244317622898</v>
      </c>
      <c r="E1391" s="116">
        <v>508.82494646405502</v>
      </c>
      <c r="F1391" s="116">
        <v>517.4</v>
      </c>
      <c r="G1391">
        <v>130666</v>
      </c>
      <c r="H1391" s="116"/>
      <c r="I1391" s="116"/>
      <c r="L1391" s="170">
        <v>44055</v>
      </c>
      <c r="M1391" s="116">
        <v>511.196002687879</v>
      </c>
      <c r="N1391" s="116">
        <v>515.59136972866997</v>
      </c>
      <c r="O1391" s="116">
        <v>502.89913007155599</v>
      </c>
      <c r="P1391" s="116">
        <v>508.87485380116999</v>
      </c>
      <c r="Q1391" s="116">
        <v>517.54999999999995</v>
      </c>
      <c r="R1391">
        <v>3883868</v>
      </c>
    </row>
    <row r="1392" spans="1:18" x14ac:dyDescent="0.25">
      <c r="A1392" s="170">
        <v>44056</v>
      </c>
      <c r="B1392" s="116">
        <v>536.23422971044397</v>
      </c>
      <c r="C1392" s="116">
        <v>532.48088641904701</v>
      </c>
      <c r="D1392" s="116">
        <v>513.02276461890699</v>
      </c>
      <c r="E1392" s="116">
        <v>515.44268331993999</v>
      </c>
      <c r="F1392" s="116">
        <v>539.1</v>
      </c>
      <c r="G1392">
        <v>448226</v>
      </c>
      <c r="H1392" s="116"/>
      <c r="I1392" s="116"/>
      <c r="L1392" s="170">
        <v>44056</v>
      </c>
      <c r="M1392" s="116">
        <v>532.43204569394504</v>
      </c>
      <c r="N1392" s="116">
        <v>536.33355126947799</v>
      </c>
      <c r="O1392" s="116">
        <v>512.18372561839396</v>
      </c>
      <c r="P1392" s="116">
        <v>513.61592386764005</v>
      </c>
      <c r="Q1392" s="116">
        <v>539.04999999999995</v>
      </c>
      <c r="R1392">
        <v>7877240</v>
      </c>
    </row>
    <row r="1393" spans="1:18" x14ac:dyDescent="0.25">
      <c r="A1393" s="170">
        <v>44057</v>
      </c>
      <c r="B1393" s="116">
        <v>537.71581258862795</v>
      </c>
      <c r="C1393" s="116">
        <v>530.75237306116605</v>
      </c>
      <c r="D1393" s="116">
        <v>523.64077524588697</v>
      </c>
      <c r="E1393" s="116">
        <v>537.22195162923299</v>
      </c>
      <c r="F1393" s="116">
        <v>537.35</v>
      </c>
      <c r="G1393">
        <v>272242</v>
      </c>
      <c r="H1393" s="116"/>
      <c r="I1393" s="116"/>
      <c r="L1393" s="170">
        <v>44057</v>
      </c>
      <c r="M1393" s="116">
        <v>530.90107515164698</v>
      </c>
      <c r="N1393" s="116">
        <v>537.81513566524995</v>
      </c>
      <c r="O1393" s="116">
        <v>524.03640078456999</v>
      </c>
      <c r="P1393" s="116">
        <v>535.29644219243801</v>
      </c>
      <c r="Q1393" s="116">
        <v>537.5</v>
      </c>
      <c r="R1393">
        <v>5922027</v>
      </c>
    </row>
    <row r="1394" spans="1:18" x14ac:dyDescent="0.25">
      <c r="A1394" s="170">
        <v>44060</v>
      </c>
      <c r="B1394" s="116">
        <v>541.17283930438805</v>
      </c>
      <c r="C1394" s="116">
        <v>536.82686286171804</v>
      </c>
      <c r="D1394" s="116">
        <v>531.83886717183395</v>
      </c>
      <c r="E1394" s="116">
        <v>534.85141902414</v>
      </c>
      <c r="F1394" s="116">
        <v>543.5</v>
      </c>
      <c r="G1394">
        <v>199543</v>
      </c>
      <c r="H1394" s="116"/>
      <c r="I1394" s="116"/>
      <c r="L1394" s="170">
        <v>44060</v>
      </c>
      <c r="M1394" s="116">
        <v>537.07434346736397</v>
      </c>
      <c r="N1394" s="116">
        <v>541.27216592205195</v>
      </c>
      <c r="O1394" s="116">
        <v>531.69125349605895</v>
      </c>
      <c r="P1394" s="116">
        <v>534.50626384802604</v>
      </c>
      <c r="Q1394" s="116">
        <v>543.75</v>
      </c>
      <c r="R1394">
        <v>5044208</v>
      </c>
    </row>
    <row r="1395" spans="1:18" x14ac:dyDescent="0.25">
      <c r="A1395" s="170">
        <v>44061</v>
      </c>
      <c r="B1395" s="116">
        <v>546.55592376178697</v>
      </c>
      <c r="C1395" s="116">
        <v>538.75292060335596</v>
      </c>
      <c r="D1395" s="116">
        <v>537.123179437354</v>
      </c>
      <c r="E1395" s="116">
        <v>541.12345320844895</v>
      </c>
      <c r="F1395" s="116">
        <v>545.45000000000005</v>
      </c>
      <c r="G1395">
        <v>154714</v>
      </c>
      <c r="H1395" s="116"/>
      <c r="I1395" s="116"/>
      <c r="L1395" s="170">
        <v>44061</v>
      </c>
      <c r="M1395" s="116">
        <v>539.04978932839299</v>
      </c>
      <c r="N1395" s="116">
        <v>546.60586974683099</v>
      </c>
      <c r="O1395" s="116">
        <v>535.83968980422105</v>
      </c>
      <c r="P1395" s="116">
        <v>538.85224474229096</v>
      </c>
      <c r="Q1395" s="116">
        <v>545.75</v>
      </c>
      <c r="R1395">
        <v>3328165</v>
      </c>
    </row>
    <row r="1396" spans="1:18" x14ac:dyDescent="0.25">
      <c r="A1396" s="170">
        <v>44062</v>
      </c>
      <c r="B1396" s="116">
        <v>544.23477725263399</v>
      </c>
      <c r="C1396" s="116">
        <v>541.27161149626704</v>
      </c>
      <c r="D1396" s="116">
        <v>535.93791313480801</v>
      </c>
      <c r="E1396" s="116">
        <v>541.27161149626704</v>
      </c>
      <c r="F1396" s="116">
        <v>548</v>
      </c>
      <c r="G1396">
        <v>101563</v>
      </c>
      <c r="H1396" s="116"/>
      <c r="I1396" s="116"/>
      <c r="L1396" s="170">
        <v>44062</v>
      </c>
      <c r="M1396" s="116">
        <v>541.469710508155</v>
      </c>
      <c r="N1396" s="116">
        <v>544.33410700664695</v>
      </c>
      <c r="O1396" s="116">
        <v>535.69153136464399</v>
      </c>
      <c r="P1396" s="116">
        <v>540.728918310268</v>
      </c>
      <c r="Q1396" s="116">
        <v>548.20000000000005</v>
      </c>
      <c r="R1396">
        <v>3597625</v>
      </c>
    </row>
    <row r="1397" spans="1:18" x14ac:dyDescent="0.25">
      <c r="A1397" s="170">
        <v>44063</v>
      </c>
      <c r="B1397" s="116">
        <v>546.21022109021101</v>
      </c>
      <c r="C1397" s="116">
        <v>542.50626389475303</v>
      </c>
      <c r="D1397" s="116">
        <v>533.86369710535098</v>
      </c>
      <c r="E1397" s="116">
        <v>538.308445739901</v>
      </c>
      <c r="F1397" s="116">
        <v>549.25</v>
      </c>
      <c r="G1397">
        <v>86529</v>
      </c>
      <c r="H1397" s="116"/>
      <c r="I1397" s="116"/>
      <c r="L1397" s="170">
        <v>44063</v>
      </c>
      <c r="M1397" s="116">
        <v>542.50681958519499</v>
      </c>
      <c r="N1397" s="116">
        <v>546.40832516072805</v>
      </c>
      <c r="O1397" s="116">
        <v>533.41976862445995</v>
      </c>
      <c r="P1397" s="116">
        <v>534.75319458065496</v>
      </c>
      <c r="Q1397" s="116">
        <v>549.25</v>
      </c>
      <c r="R1397">
        <v>4812376</v>
      </c>
    </row>
    <row r="1398" spans="1:18" x14ac:dyDescent="0.25">
      <c r="A1398" s="170">
        <v>44064</v>
      </c>
      <c r="B1398" s="116">
        <v>548.03750663997096</v>
      </c>
      <c r="C1398" s="116">
        <v>538.70353450741595</v>
      </c>
      <c r="D1398" s="116">
        <v>537.37010991705097</v>
      </c>
      <c r="E1398" s="116">
        <v>545.173113075483</v>
      </c>
      <c r="F1398" s="116">
        <v>545.4</v>
      </c>
      <c r="G1398">
        <v>80146</v>
      </c>
      <c r="H1398" s="116"/>
      <c r="I1398" s="116"/>
      <c r="L1398" s="170">
        <v>44064</v>
      </c>
      <c r="M1398" s="116">
        <v>539.09917547491898</v>
      </c>
      <c r="N1398" s="116">
        <v>550.11228615015796</v>
      </c>
      <c r="O1398" s="116">
        <v>537.46943263956996</v>
      </c>
      <c r="P1398" s="116">
        <v>546.21078057462501</v>
      </c>
      <c r="Q1398" s="116">
        <v>545.79999999999995</v>
      </c>
      <c r="R1398">
        <v>2953395</v>
      </c>
    </row>
    <row r="1399" spans="1:18" x14ac:dyDescent="0.25">
      <c r="A1399" s="170">
        <v>44067</v>
      </c>
      <c r="B1399" s="116">
        <v>543.24705533384497</v>
      </c>
      <c r="C1399" s="116">
        <v>538.95046498711304</v>
      </c>
      <c r="D1399" s="116">
        <v>537.024407245475</v>
      </c>
      <c r="E1399" s="116">
        <v>539.24678156275002</v>
      </c>
      <c r="F1399" s="116">
        <v>545.65</v>
      </c>
      <c r="G1399">
        <v>56245</v>
      </c>
      <c r="H1399" s="116"/>
      <c r="I1399" s="116"/>
      <c r="L1399" s="170">
        <v>44067</v>
      </c>
      <c r="M1399" s="116">
        <v>538.85224474229096</v>
      </c>
      <c r="N1399" s="116">
        <v>543.24761178308097</v>
      </c>
      <c r="O1399" s="116">
        <v>536.87679888126104</v>
      </c>
      <c r="P1399" s="116">
        <v>539.79058152627897</v>
      </c>
      <c r="Q1399" s="116">
        <v>545.54999999999995</v>
      </c>
      <c r="R1399">
        <v>2123227</v>
      </c>
    </row>
    <row r="1400" spans="1:18" x14ac:dyDescent="0.25">
      <c r="A1400" s="170">
        <v>44068</v>
      </c>
      <c r="B1400" s="116">
        <v>540.87652272875198</v>
      </c>
      <c r="C1400" s="116">
        <v>538.308445739901</v>
      </c>
      <c r="D1400" s="116">
        <v>534.55510244850302</v>
      </c>
      <c r="E1400" s="116">
        <v>539.29616765869002</v>
      </c>
      <c r="F1400" s="116">
        <v>545</v>
      </c>
      <c r="G1400">
        <v>1067510</v>
      </c>
      <c r="H1400" s="116"/>
      <c r="I1400" s="116"/>
      <c r="L1400" s="170">
        <v>44068</v>
      </c>
      <c r="M1400" s="116">
        <v>538.85224474229096</v>
      </c>
      <c r="N1400" s="116">
        <v>540.97584904289704</v>
      </c>
      <c r="O1400" s="116">
        <v>534.60503614107699</v>
      </c>
      <c r="P1400" s="116">
        <v>540.67953216374303</v>
      </c>
      <c r="Q1400" s="116">
        <v>545.54999999999995</v>
      </c>
      <c r="R1400">
        <v>1850495</v>
      </c>
    </row>
    <row r="1401" spans="1:18" x14ac:dyDescent="0.25">
      <c r="A1401" s="170">
        <v>44069</v>
      </c>
      <c r="B1401" s="116">
        <v>554.40831301615799</v>
      </c>
      <c r="C1401" s="116">
        <v>541.56792807190402</v>
      </c>
      <c r="D1401" s="116">
        <v>538.308445739901</v>
      </c>
      <c r="E1401" s="116">
        <v>539.29616765869002</v>
      </c>
      <c r="F1401" s="116">
        <v>548.29999999999995</v>
      </c>
      <c r="G1401">
        <v>217199</v>
      </c>
      <c r="H1401" s="116"/>
      <c r="I1401" s="116"/>
      <c r="L1401" s="170">
        <v>44069</v>
      </c>
      <c r="M1401" s="116">
        <v>542.40804729214301</v>
      </c>
      <c r="N1401" s="116">
        <v>554.50765319094796</v>
      </c>
      <c r="O1401" s="116">
        <v>538.012680251353</v>
      </c>
      <c r="P1401" s="116">
        <v>538.21022483745605</v>
      </c>
      <c r="Q1401" s="116">
        <v>549.15</v>
      </c>
      <c r="R1401">
        <v>5778039</v>
      </c>
    </row>
    <row r="1402" spans="1:18" x14ac:dyDescent="0.25">
      <c r="A1402" s="170">
        <v>44070</v>
      </c>
      <c r="B1402" s="116">
        <v>546.85224033742395</v>
      </c>
      <c r="C1402" s="116">
        <v>538.35783183583999</v>
      </c>
      <c r="D1402" s="116">
        <v>536.97502114953602</v>
      </c>
      <c r="E1402" s="116">
        <v>546.21022109021101</v>
      </c>
      <c r="F1402" s="116">
        <v>545.04999999999995</v>
      </c>
      <c r="G1402">
        <v>64837</v>
      </c>
      <c r="H1402" s="116"/>
      <c r="I1402" s="116"/>
      <c r="L1402" s="170">
        <v>44070</v>
      </c>
      <c r="M1402" s="116">
        <v>537.96329410482701</v>
      </c>
      <c r="N1402" s="116">
        <v>547.05034506556296</v>
      </c>
      <c r="O1402" s="116">
        <v>536.82741273473505</v>
      </c>
      <c r="P1402" s="116">
        <v>546.01323598852196</v>
      </c>
      <c r="Q1402" s="116">
        <v>544.65</v>
      </c>
      <c r="R1402">
        <v>2572198</v>
      </c>
    </row>
    <row r="1403" spans="1:18" x14ac:dyDescent="0.25">
      <c r="A1403" s="170">
        <v>44071</v>
      </c>
      <c r="B1403" s="116">
        <v>548.63013979124401</v>
      </c>
      <c r="C1403" s="116">
        <v>540.38266176935701</v>
      </c>
      <c r="D1403" s="116">
        <v>537.32072382111198</v>
      </c>
      <c r="E1403" s="116">
        <v>543.24705533384497</v>
      </c>
      <c r="F1403" s="116">
        <v>547.1</v>
      </c>
      <c r="G1403">
        <v>161806</v>
      </c>
      <c r="H1403" s="116"/>
      <c r="I1403" s="116"/>
      <c r="L1403" s="170">
        <v>44071</v>
      </c>
      <c r="M1403" s="116">
        <v>540.33382913806201</v>
      </c>
      <c r="N1403" s="116">
        <v>549.02579092659198</v>
      </c>
      <c r="O1403" s="116">
        <v>537.32127419999301</v>
      </c>
      <c r="P1403" s="116">
        <v>541.17339362899997</v>
      </c>
      <c r="Q1403" s="116">
        <v>547.04999999999995</v>
      </c>
      <c r="R1403">
        <v>2692947</v>
      </c>
    </row>
    <row r="1404" spans="1:18" x14ac:dyDescent="0.25">
      <c r="A1404" s="170">
        <v>44074</v>
      </c>
      <c r="B1404" s="116">
        <v>545.32127136330098</v>
      </c>
      <c r="C1404" s="116">
        <v>526.55455490631402</v>
      </c>
      <c r="D1404" s="116">
        <v>521.81348969612804</v>
      </c>
      <c r="E1404" s="116">
        <v>540.18511738559903</v>
      </c>
      <c r="F1404" s="116">
        <v>533.1</v>
      </c>
      <c r="G1404">
        <v>230544</v>
      </c>
      <c r="H1404" s="116"/>
      <c r="I1404" s="116"/>
      <c r="L1404" s="170">
        <v>44074</v>
      </c>
      <c r="M1404" s="116">
        <v>525.81430205949698</v>
      </c>
      <c r="N1404" s="116">
        <v>545.56876066978998</v>
      </c>
      <c r="O1404" s="116">
        <v>521.71525189786098</v>
      </c>
      <c r="P1404" s="116">
        <v>542.25988885256595</v>
      </c>
      <c r="Q1404" s="116">
        <v>532.35</v>
      </c>
      <c r="R1404">
        <v>5543930</v>
      </c>
    </row>
    <row r="1405" spans="1:18" x14ac:dyDescent="0.25">
      <c r="A1405" s="170">
        <v>44075</v>
      </c>
      <c r="B1405" s="116">
        <v>542.851966566329</v>
      </c>
      <c r="C1405" s="116">
        <v>541.91363074347998</v>
      </c>
      <c r="D1405" s="116">
        <v>518.800937843822</v>
      </c>
      <c r="E1405" s="116">
        <v>520.52945120170205</v>
      </c>
      <c r="F1405" s="116">
        <v>548.65</v>
      </c>
      <c r="G1405">
        <v>259254</v>
      </c>
      <c r="H1405" s="116"/>
      <c r="I1405" s="116"/>
      <c r="L1405" s="170">
        <v>44075</v>
      </c>
      <c r="M1405" s="116">
        <v>541.76602738730901</v>
      </c>
      <c r="N1405" s="116">
        <v>543.05006719697803</v>
      </c>
      <c r="O1405" s="116">
        <v>519.54226145072801</v>
      </c>
      <c r="P1405" s="116">
        <v>519.54226145072801</v>
      </c>
      <c r="Q1405" s="116">
        <v>548.5</v>
      </c>
      <c r="R1405">
        <v>3854981</v>
      </c>
    </row>
    <row r="1406" spans="1:18" x14ac:dyDescent="0.25">
      <c r="A1406" s="170">
        <v>44076</v>
      </c>
      <c r="B1406" s="116">
        <v>549.17338684657796</v>
      </c>
      <c r="C1406" s="116">
        <v>543.29644142978395</v>
      </c>
      <c r="D1406" s="116">
        <v>535.83914094292902</v>
      </c>
      <c r="E1406" s="116">
        <v>546.21022109021101</v>
      </c>
      <c r="F1406" s="116">
        <v>550.04999999999995</v>
      </c>
      <c r="G1406">
        <v>127301</v>
      </c>
      <c r="H1406" s="116"/>
      <c r="I1406" s="116"/>
      <c r="L1406" s="170">
        <v>44076</v>
      </c>
      <c r="M1406" s="116">
        <v>543.09945334350402</v>
      </c>
      <c r="N1406" s="116">
        <v>549.17394936616904</v>
      </c>
      <c r="O1406" s="116">
        <v>535.44460063201495</v>
      </c>
      <c r="P1406" s="116">
        <v>545.22305764410999</v>
      </c>
      <c r="Q1406" s="116">
        <v>549.85</v>
      </c>
      <c r="R1406">
        <v>4042692</v>
      </c>
    </row>
    <row r="1407" spans="1:18" x14ac:dyDescent="0.25">
      <c r="A1407" s="170">
        <v>44077</v>
      </c>
      <c r="B1407" s="116">
        <v>584.48444544327799</v>
      </c>
      <c r="C1407" s="116">
        <v>571.29835782744703</v>
      </c>
      <c r="D1407" s="116">
        <v>543.14828314196598</v>
      </c>
      <c r="E1407" s="116">
        <v>543.29644142978395</v>
      </c>
      <c r="F1407" s="116">
        <v>578.4</v>
      </c>
      <c r="G1407">
        <v>633511</v>
      </c>
      <c r="H1407" s="116"/>
      <c r="I1407" s="116"/>
      <c r="L1407" s="170">
        <v>44077</v>
      </c>
      <c r="M1407" s="116">
        <v>571.39771530275004</v>
      </c>
      <c r="N1407" s="116">
        <v>584.68258871817204</v>
      </c>
      <c r="O1407" s="116">
        <v>541.76602738730901</v>
      </c>
      <c r="P1407" s="116">
        <v>541.76602738730901</v>
      </c>
      <c r="Q1407" s="116">
        <v>578.5</v>
      </c>
      <c r="R1407">
        <v>12052262</v>
      </c>
    </row>
    <row r="1408" spans="1:18" x14ac:dyDescent="0.25">
      <c r="A1408" s="170">
        <v>44078</v>
      </c>
      <c r="B1408" s="116">
        <v>580.08908290466695</v>
      </c>
      <c r="C1408" s="116">
        <v>558.95183384258701</v>
      </c>
      <c r="D1408" s="116">
        <v>548.82768417500199</v>
      </c>
      <c r="E1408" s="116">
        <v>563.98921562840997</v>
      </c>
      <c r="F1408" s="116">
        <v>565.9</v>
      </c>
      <c r="G1408">
        <v>257748</v>
      </c>
      <c r="H1408" s="116"/>
      <c r="I1408" s="116"/>
      <c r="L1408" s="170">
        <v>44078</v>
      </c>
      <c r="M1408" s="116">
        <v>562.06373360938596</v>
      </c>
      <c r="N1408" s="116">
        <v>580.18844938433006</v>
      </c>
      <c r="O1408" s="116">
        <v>559.64381242962497</v>
      </c>
      <c r="P1408" s="116">
        <v>561.96496131633398</v>
      </c>
      <c r="Q1408" s="116">
        <v>569.04999999999995</v>
      </c>
      <c r="R1408">
        <v>6464047</v>
      </c>
    </row>
    <row r="1409" spans="1:18" x14ac:dyDescent="0.25">
      <c r="A1409" s="170">
        <v>44081</v>
      </c>
      <c r="B1409" s="116">
        <v>566.85360919289701</v>
      </c>
      <c r="C1409" s="116">
        <v>538.308445739901</v>
      </c>
      <c r="D1409" s="116">
        <v>535.09834950383697</v>
      </c>
      <c r="E1409" s="116">
        <v>566.85360919289701</v>
      </c>
      <c r="F1409" s="116">
        <v>545</v>
      </c>
      <c r="G1409">
        <v>246017</v>
      </c>
      <c r="H1409" s="116"/>
      <c r="I1409" s="116"/>
      <c r="L1409" s="170">
        <v>44081</v>
      </c>
      <c r="M1409" s="116">
        <v>538.60531400966204</v>
      </c>
      <c r="N1409" s="116">
        <v>564.97751625440401</v>
      </c>
      <c r="O1409" s="116">
        <v>535.34582833896297</v>
      </c>
      <c r="P1409" s="116">
        <v>563.00207039337499</v>
      </c>
      <c r="Q1409" s="116">
        <v>545.29999999999995</v>
      </c>
      <c r="R1409">
        <v>5254308</v>
      </c>
    </row>
    <row r="1410" spans="1:18" x14ac:dyDescent="0.25">
      <c r="A1410" s="170">
        <v>44082</v>
      </c>
      <c r="B1410" s="116">
        <v>541.76547245566201</v>
      </c>
      <c r="C1410" s="116">
        <v>531.04868963680303</v>
      </c>
      <c r="D1410" s="116">
        <v>527.44350463322405</v>
      </c>
      <c r="E1410" s="116">
        <v>533.61676662565401</v>
      </c>
      <c r="F1410" s="116">
        <v>537.65</v>
      </c>
      <c r="G1410">
        <v>213745</v>
      </c>
      <c r="H1410" s="116"/>
      <c r="I1410" s="116"/>
      <c r="L1410" s="170">
        <v>44082</v>
      </c>
      <c r="M1410" s="116">
        <v>531.74063964258505</v>
      </c>
      <c r="N1410" s="116">
        <v>541.96357197341194</v>
      </c>
      <c r="O1410" s="116">
        <v>527.09834186916601</v>
      </c>
      <c r="P1410" s="116">
        <v>540.48198757763998</v>
      </c>
      <c r="Q1410" s="116">
        <v>538.35</v>
      </c>
      <c r="R1410">
        <v>3891955</v>
      </c>
    </row>
    <row r="1411" spans="1:18" x14ac:dyDescent="0.25">
      <c r="A1411" s="170">
        <v>44083</v>
      </c>
      <c r="B1411" s="116">
        <v>534.06124148910897</v>
      </c>
      <c r="C1411" s="116">
        <v>528.28306826419396</v>
      </c>
      <c r="D1411" s="116">
        <v>522.85059771085605</v>
      </c>
      <c r="E1411" s="116">
        <v>533.36983614595704</v>
      </c>
      <c r="F1411" s="116">
        <v>534.85</v>
      </c>
      <c r="G1411">
        <v>106548</v>
      </c>
      <c r="H1411" s="116"/>
      <c r="I1411" s="116"/>
      <c r="L1411" s="170">
        <v>44083</v>
      </c>
      <c r="M1411" s="116">
        <v>528.18483709273198</v>
      </c>
      <c r="N1411" s="116">
        <v>534.259333115397</v>
      </c>
      <c r="O1411" s="116">
        <v>522.65358868185001</v>
      </c>
      <c r="P1411" s="116">
        <v>527.444044894846</v>
      </c>
      <c r="Q1411" s="116">
        <v>534.75</v>
      </c>
      <c r="R1411">
        <v>4392057</v>
      </c>
    </row>
    <row r="1412" spans="1:18" x14ac:dyDescent="0.25">
      <c r="A1412" s="170">
        <v>44084</v>
      </c>
      <c r="B1412" s="116">
        <v>541.96301683941897</v>
      </c>
      <c r="C1412" s="116">
        <v>539.88880080996296</v>
      </c>
      <c r="D1412" s="116">
        <v>527.59166292104203</v>
      </c>
      <c r="E1412" s="116">
        <v>530.06096771801401</v>
      </c>
      <c r="F1412" s="116">
        <v>546.6</v>
      </c>
      <c r="G1412">
        <v>239823</v>
      </c>
      <c r="H1412" s="116"/>
      <c r="I1412" s="116"/>
      <c r="L1412" s="170">
        <v>44084</v>
      </c>
      <c r="M1412" s="116">
        <v>539.83996767280496</v>
      </c>
      <c r="N1412" s="116">
        <v>542.16111655951499</v>
      </c>
      <c r="O1412" s="116">
        <v>527.59220333442295</v>
      </c>
      <c r="P1412" s="116">
        <v>531.39493661690506</v>
      </c>
      <c r="Q1412" s="116">
        <v>546.54999999999995</v>
      </c>
      <c r="R1412">
        <v>3787088</v>
      </c>
    </row>
    <row r="1413" spans="1:18" x14ac:dyDescent="0.25">
      <c r="A1413" s="170">
        <v>44085</v>
      </c>
      <c r="B1413" s="116">
        <v>546.01267670645302</v>
      </c>
      <c r="C1413" s="116">
        <v>541.37038368814603</v>
      </c>
      <c r="D1413" s="116">
        <v>534.60448854444303</v>
      </c>
      <c r="E1413" s="116">
        <v>543.24705533384497</v>
      </c>
      <c r="F1413" s="116">
        <v>548.1</v>
      </c>
      <c r="G1413">
        <v>194386</v>
      </c>
      <c r="H1413" s="116"/>
      <c r="I1413" s="116"/>
      <c r="L1413" s="170">
        <v>44085</v>
      </c>
      <c r="M1413" s="116">
        <v>541.66725509425703</v>
      </c>
      <c r="N1413" s="116">
        <v>546.21078057462501</v>
      </c>
      <c r="O1413" s="116">
        <v>534.30871926192299</v>
      </c>
      <c r="P1413" s="116">
        <v>543.05006719697803</v>
      </c>
      <c r="Q1413" s="116">
        <v>548.4</v>
      </c>
      <c r="R1413">
        <v>3451646</v>
      </c>
    </row>
    <row r="1414" spans="1:18" x14ac:dyDescent="0.25">
      <c r="A1414" s="170">
        <v>44088</v>
      </c>
      <c r="B1414" s="116">
        <v>548.18566492778905</v>
      </c>
      <c r="C1414" s="116">
        <v>539.444325946508</v>
      </c>
      <c r="D1414" s="116">
        <v>536.92563505359601</v>
      </c>
      <c r="E1414" s="116">
        <v>546.21022109021101</v>
      </c>
      <c r="F1414" s="116">
        <v>546.15</v>
      </c>
      <c r="G1414">
        <v>119174</v>
      </c>
      <c r="H1414" s="116"/>
      <c r="I1414" s="116"/>
      <c r="L1414" s="170">
        <v>44088</v>
      </c>
      <c r="M1414" s="116">
        <v>539.79058152627897</v>
      </c>
      <c r="N1414" s="116">
        <v>548.38377102175696</v>
      </c>
      <c r="O1414" s="116">
        <v>536.72864044168398</v>
      </c>
      <c r="P1414" s="116">
        <v>545.22305764410999</v>
      </c>
      <c r="Q1414" s="116">
        <v>546.5</v>
      </c>
      <c r="R1414">
        <v>2809333</v>
      </c>
    </row>
    <row r="1415" spans="1:18" x14ac:dyDescent="0.25">
      <c r="A1415" s="170">
        <v>44089</v>
      </c>
      <c r="B1415" s="116">
        <v>548.18566492778905</v>
      </c>
      <c r="C1415" s="116">
        <v>535.44405217541305</v>
      </c>
      <c r="D1415" s="116">
        <v>533.66615272159299</v>
      </c>
      <c r="E1415" s="116">
        <v>548.18566492778905</v>
      </c>
      <c r="F1415" s="116">
        <v>542.1</v>
      </c>
      <c r="G1415">
        <v>55032</v>
      </c>
      <c r="H1415" s="116"/>
      <c r="I1415" s="116"/>
      <c r="L1415" s="170">
        <v>44089</v>
      </c>
      <c r="M1415" s="116">
        <v>535.69153136464399</v>
      </c>
      <c r="N1415" s="116">
        <v>543.74147324833802</v>
      </c>
      <c r="O1415" s="116">
        <v>533.86424394319101</v>
      </c>
      <c r="P1415" s="116">
        <v>540.28444299153705</v>
      </c>
      <c r="Q1415" s="116">
        <v>542.35</v>
      </c>
      <c r="R1415">
        <v>1813411</v>
      </c>
    </row>
    <row r="1416" spans="1:18" x14ac:dyDescent="0.25">
      <c r="A1416" s="170">
        <v>44090</v>
      </c>
      <c r="B1416" s="116">
        <v>539.49371204244699</v>
      </c>
      <c r="C1416" s="116">
        <v>536.18484361450498</v>
      </c>
      <c r="D1416" s="116">
        <v>531.394392308379</v>
      </c>
      <c r="E1416" s="116">
        <v>537.32072382111198</v>
      </c>
      <c r="F1416" s="116">
        <v>542.85</v>
      </c>
      <c r="G1416">
        <v>51875</v>
      </c>
      <c r="H1416" s="116"/>
      <c r="I1416" s="116"/>
      <c r="L1416" s="170">
        <v>44090</v>
      </c>
      <c r="M1416" s="116">
        <v>535.74091751116896</v>
      </c>
      <c r="N1416" s="116">
        <v>539.64242308670202</v>
      </c>
      <c r="O1416" s="116">
        <v>530.95046129817297</v>
      </c>
      <c r="P1416" s="116">
        <v>535.29644219243801</v>
      </c>
      <c r="Q1416" s="116">
        <v>542.4</v>
      </c>
      <c r="R1416">
        <v>2127939</v>
      </c>
    </row>
    <row r="1417" spans="1:18" x14ac:dyDescent="0.25">
      <c r="A1417" s="170">
        <v>44091</v>
      </c>
      <c r="B1417" s="116">
        <v>545.22249917142199</v>
      </c>
      <c r="C1417" s="116">
        <v>541.51854197596401</v>
      </c>
      <c r="D1417" s="116">
        <v>527.04841586570797</v>
      </c>
      <c r="E1417" s="116">
        <v>535.14773559977698</v>
      </c>
      <c r="F1417" s="116">
        <v>548.25</v>
      </c>
      <c r="G1417">
        <v>166140</v>
      </c>
      <c r="H1417" s="116"/>
      <c r="I1417" s="116"/>
      <c r="L1417" s="170">
        <v>44091</v>
      </c>
      <c r="M1417" s="116">
        <v>541.56848280120596</v>
      </c>
      <c r="N1417" s="116">
        <v>545.22305764410999</v>
      </c>
      <c r="O1417" s="116">
        <v>526.60448040390804</v>
      </c>
      <c r="P1417" s="116">
        <v>535.34582833896297</v>
      </c>
      <c r="Q1417" s="116">
        <v>548.29999999999995</v>
      </c>
      <c r="R1417">
        <v>3725336</v>
      </c>
    </row>
    <row r="1418" spans="1:18" x14ac:dyDescent="0.25">
      <c r="A1418" s="170">
        <v>44092</v>
      </c>
      <c r="B1418" s="116">
        <v>546.50653766584799</v>
      </c>
      <c r="C1418" s="116">
        <v>533.51799443377502</v>
      </c>
      <c r="D1418" s="116">
        <v>531.04868963680303</v>
      </c>
      <c r="E1418" s="116">
        <v>545.22249917142199</v>
      </c>
      <c r="F1418" s="116">
        <v>540.15</v>
      </c>
      <c r="G1418">
        <v>116543</v>
      </c>
      <c r="H1418" s="116"/>
      <c r="I1418" s="116"/>
      <c r="L1418" s="170">
        <v>44092</v>
      </c>
      <c r="M1418" s="116">
        <v>533.96301623624299</v>
      </c>
      <c r="N1418" s="116">
        <v>546.45771130725404</v>
      </c>
      <c r="O1418" s="116">
        <v>530.70353056554404</v>
      </c>
      <c r="P1418" s="116">
        <v>544.28472086012096</v>
      </c>
      <c r="Q1418" s="116">
        <v>540.6</v>
      </c>
      <c r="R1418">
        <v>9395458</v>
      </c>
    </row>
    <row r="1419" spans="1:18" x14ac:dyDescent="0.25">
      <c r="A1419" s="170">
        <v>44095</v>
      </c>
      <c r="B1419" s="116">
        <v>536.13545751856498</v>
      </c>
      <c r="C1419" s="116">
        <v>501.71334864877502</v>
      </c>
      <c r="D1419" s="116">
        <v>496.42903638325498</v>
      </c>
      <c r="E1419" s="116">
        <v>536.13545751856498</v>
      </c>
      <c r="F1419" s="116">
        <v>507.95</v>
      </c>
      <c r="G1419">
        <v>119153</v>
      </c>
      <c r="H1419" s="116"/>
      <c r="I1419" s="116"/>
      <c r="L1419" s="170">
        <v>44095</v>
      </c>
      <c r="M1419" s="116">
        <v>501.51631796883498</v>
      </c>
      <c r="N1419" s="116">
        <v>535.642145218118</v>
      </c>
      <c r="O1419" s="116">
        <v>495.83691111837601</v>
      </c>
      <c r="P1419" s="116">
        <v>533.96301623624299</v>
      </c>
      <c r="Q1419" s="116">
        <v>507.75</v>
      </c>
      <c r="R1419">
        <v>3886373</v>
      </c>
    </row>
    <row r="1420" spans="1:18" x14ac:dyDescent="0.25">
      <c r="A1420" s="170">
        <v>44096</v>
      </c>
      <c r="B1420" s="116">
        <v>505.17037536453603</v>
      </c>
      <c r="C1420" s="116">
        <v>498.058777549257</v>
      </c>
      <c r="D1420" s="116">
        <v>484.03312630245603</v>
      </c>
      <c r="E1420" s="116">
        <v>494.84868131319303</v>
      </c>
      <c r="F1420" s="116">
        <v>504.25</v>
      </c>
      <c r="G1420">
        <v>286666</v>
      </c>
      <c r="H1420" s="116"/>
      <c r="I1420" s="116"/>
      <c r="L1420" s="170">
        <v>44096</v>
      </c>
      <c r="M1420" s="116">
        <v>498.20744615161101</v>
      </c>
      <c r="N1420" s="116">
        <v>505.41782354436799</v>
      </c>
      <c r="O1420" s="116">
        <v>484.379325124405</v>
      </c>
      <c r="P1420" s="116">
        <v>498.256832298137</v>
      </c>
      <c r="Q1420" s="116">
        <v>504.4</v>
      </c>
      <c r="R1420">
        <v>5113531</v>
      </c>
    </row>
    <row r="1421" spans="1:18" x14ac:dyDescent="0.25">
      <c r="A1421" s="170">
        <v>44097</v>
      </c>
      <c r="B1421" s="116">
        <v>504.23203954168702</v>
      </c>
      <c r="C1421" s="116">
        <v>488.08278616949002</v>
      </c>
      <c r="D1421" s="116">
        <v>484.280056782153</v>
      </c>
      <c r="E1421" s="116">
        <v>499.78729090713699</v>
      </c>
      <c r="F1421" s="116">
        <v>494.15</v>
      </c>
      <c r="G1421">
        <v>78674</v>
      </c>
      <c r="H1421" s="116"/>
      <c r="I1421" s="116"/>
      <c r="L1421" s="170">
        <v>44097</v>
      </c>
      <c r="M1421" s="116">
        <v>487.49065235552598</v>
      </c>
      <c r="N1421" s="116">
        <v>504.62764519995602</v>
      </c>
      <c r="O1421" s="116">
        <v>483.98423595219901</v>
      </c>
      <c r="P1421" s="116">
        <v>499.78780284043398</v>
      </c>
      <c r="Q1421" s="116">
        <v>493.55</v>
      </c>
      <c r="R1421">
        <v>4284384</v>
      </c>
    </row>
    <row r="1422" spans="1:18" x14ac:dyDescent="0.25">
      <c r="A1422" s="170">
        <v>44098</v>
      </c>
      <c r="B1422" s="116">
        <v>486.69997548318599</v>
      </c>
      <c r="C1422" s="116">
        <v>482.74908780803003</v>
      </c>
      <c r="D1422" s="116">
        <v>471.686602317596</v>
      </c>
      <c r="E1422" s="116">
        <v>483.98374020651602</v>
      </c>
      <c r="F1422" s="116">
        <v>488.75</v>
      </c>
      <c r="G1422">
        <v>213959</v>
      </c>
      <c r="H1422" s="116"/>
      <c r="I1422" s="116"/>
      <c r="L1422" s="170">
        <v>44098</v>
      </c>
      <c r="M1422" s="116">
        <v>482.65080999600502</v>
      </c>
      <c r="N1422" s="116">
        <v>486.79924630416599</v>
      </c>
      <c r="O1422" s="116">
        <v>472.13156078602299</v>
      </c>
      <c r="P1422" s="116">
        <v>483.885463659148</v>
      </c>
      <c r="Q1422" s="116">
        <v>488.65</v>
      </c>
      <c r="R1422">
        <v>9647490</v>
      </c>
    </row>
    <row r="1423" spans="1:18" x14ac:dyDescent="0.25">
      <c r="A1423" s="170">
        <v>44099</v>
      </c>
      <c r="B1423" s="116">
        <v>505.66423632393099</v>
      </c>
      <c r="C1423" s="116">
        <v>503.39247591071597</v>
      </c>
      <c r="D1423" s="116">
        <v>489.11989418421803</v>
      </c>
      <c r="E1423" s="116">
        <v>493.07078185937303</v>
      </c>
      <c r="F1423" s="116">
        <v>509.65</v>
      </c>
      <c r="G1423">
        <v>194546</v>
      </c>
      <c r="H1423" s="116"/>
      <c r="I1423" s="116"/>
      <c r="L1423" s="170">
        <v>44099</v>
      </c>
      <c r="M1423" s="116">
        <v>503.54114997638999</v>
      </c>
      <c r="N1423" s="116">
        <v>505.71414042352302</v>
      </c>
      <c r="O1423" s="116">
        <v>489.21916748392698</v>
      </c>
      <c r="P1423" s="116">
        <v>492.67619774072898</v>
      </c>
      <c r="Q1423" s="116">
        <v>509.8</v>
      </c>
      <c r="R1423">
        <v>5153485</v>
      </c>
    </row>
    <row r="1424" spans="1:18" x14ac:dyDescent="0.25">
      <c r="A1424" s="170">
        <v>44102</v>
      </c>
      <c r="B1424" s="116">
        <v>517.31935496563904</v>
      </c>
      <c r="C1424" s="116">
        <v>511.14609297320902</v>
      </c>
      <c r="D1424" s="116">
        <v>497.36737220610502</v>
      </c>
      <c r="E1424" s="116">
        <v>517.31935496563904</v>
      </c>
      <c r="F1424" s="116">
        <v>517.5</v>
      </c>
      <c r="G1424">
        <v>133368</v>
      </c>
      <c r="H1424" s="116"/>
      <c r="I1424" s="116"/>
      <c r="L1424" s="170">
        <v>44102</v>
      </c>
      <c r="M1424" s="116">
        <v>510.65275507609601</v>
      </c>
      <c r="N1424" s="116">
        <v>515.59136972866997</v>
      </c>
      <c r="O1424" s="116">
        <v>497.36788166067299</v>
      </c>
      <c r="P1424" s="116">
        <v>507.68958628455198</v>
      </c>
      <c r="Q1424" s="116">
        <v>517</v>
      </c>
      <c r="R1424">
        <v>5554225</v>
      </c>
    </row>
    <row r="1425" spans="1:18" x14ac:dyDescent="0.25">
      <c r="A1425" s="170">
        <v>44103</v>
      </c>
      <c r="B1425" s="116">
        <v>520.77638168139902</v>
      </c>
      <c r="C1425" s="116">
        <v>496.92289734265</v>
      </c>
      <c r="D1425" s="116">
        <v>494.15727597004098</v>
      </c>
      <c r="E1425" s="116">
        <v>512.62767585139204</v>
      </c>
      <c r="F1425" s="116">
        <v>503.1</v>
      </c>
      <c r="G1425">
        <v>182844</v>
      </c>
      <c r="H1425" s="116"/>
      <c r="I1425" s="116"/>
      <c r="L1425" s="170">
        <v>44103</v>
      </c>
      <c r="M1425" s="116">
        <v>497.07156478151899</v>
      </c>
      <c r="N1425" s="116">
        <v>520.52998438124303</v>
      </c>
      <c r="O1425" s="116">
        <v>493.96023755039801</v>
      </c>
      <c r="P1425" s="116">
        <v>513.22083469543395</v>
      </c>
      <c r="Q1425" s="116">
        <v>503.25</v>
      </c>
      <c r="R1425">
        <v>4918426</v>
      </c>
    </row>
    <row r="1426" spans="1:18" x14ac:dyDescent="0.25">
      <c r="A1426" s="170">
        <v>44104</v>
      </c>
      <c r="B1426" s="116">
        <v>509.22003523157002</v>
      </c>
      <c r="C1426" s="116">
        <v>493.61402891470698</v>
      </c>
      <c r="D1426" s="116">
        <v>489.46559685579399</v>
      </c>
      <c r="E1426" s="116">
        <v>498.94772727616697</v>
      </c>
      <c r="F1426" s="116">
        <v>499.75</v>
      </c>
      <c r="G1426">
        <v>146471</v>
      </c>
      <c r="H1426" s="116"/>
      <c r="I1426" s="116"/>
      <c r="L1426" s="170">
        <v>44104</v>
      </c>
      <c r="M1426" s="116">
        <v>493.812079110821</v>
      </c>
      <c r="N1426" s="116">
        <v>509.171170680324</v>
      </c>
      <c r="O1426" s="116">
        <v>489.46609821655602</v>
      </c>
      <c r="P1426" s="116">
        <v>500.775525770949</v>
      </c>
      <c r="Q1426" s="116">
        <v>499.95</v>
      </c>
      <c r="R1426">
        <v>6252290</v>
      </c>
    </row>
    <row r="1427" spans="1:18" x14ac:dyDescent="0.25">
      <c r="A1427" s="170">
        <v>44105</v>
      </c>
      <c r="B1427" s="116">
        <v>504.87405878890002</v>
      </c>
      <c r="C1427" s="116">
        <v>502.602298375685</v>
      </c>
      <c r="D1427" s="116">
        <v>493.12016795531298</v>
      </c>
      <c r="E1427" s="116">
        <v>503.54063419853497</v>
      </c>
      <c r="F1427" s="116">
        <v>508.85</v>
      </c>
      <c r="G1427">
        <v>108918</v>
      </c>
      <c r="H1427" s="116"/>
      <c r="I1427" s="116"/>
      <c r="L1427" s="170">
        <v>44105</v>
      </c>
      <c r="M1427" s="116">
        <v>502.84974392503</v>
      </c>
      <c r="N1427" s="116">
        <v>504.92396207911099</v>
      </c>
      <c r="O1427" s="116">
        <v>492.97251461988299</v>
      </c>
      <c r="P1427" s="116">
        <v>502.30649631324701</v>
      </c>
      <c r="Q1427" s="116">
        <v>509.1</v>
      </c>
      <c r="R1427">
        <v>3070369</v>
      </c>
    </row>
    <row r="1428" spans="1:18" x14ac:dyDescent="0.25">
      <c r="A1428" s="170">
        <v>44109</v>
      </c>
      <c r="B1428" s="116">
        <v>506.35564166708298</v>
      </c>
      <c r="C1428" s="116">
        <v>497.16982782234697</v>
      </c>
      <c r="D1428" s="116">
        <v>495.98456151980002</v>
      </c>
      <c r="E1428" s="116">
        <v>505.71362241986998</v>
      </c>
      <c r="F1428" s="116">
        <v>503.35</v>
      </c>
      <c r="G1428">
        <v>69805</v>
      </c>
      <c r="H1428" s="116"/>
      <c r="I1428" s="116"/>
      <c r="L1428" s="170">
        <v>44109</v>
      </c>
      <c r="M1428" s="116">
        <v>497.36788166067299</v>
      </c>
      <c r="N1428" s="116">
        <v>507.096952526243</v>
      </c>
      <c r="O1428" s="116">
        <v>495.93568341142702</v>
      </c>
      <c r="P1428" s="116">
        <v>507.096952526243</v>
      </c>
      <c r="Q1428" s="116">
        <v>503.55</v>
      </c>
      <c r="R1428">
        <v>2023148</v>
      </c>
    </row>
    <row r="1429" spans="1:18" x14ac:dyDescent="0.25">
      <c r="A1429" s="170">
        <v>44110</v>
      </c>
      <c r="B1429" s="116">
        <v>506.701344338659</v>
      </c>
      <c r="C1429" s="116">
        <v>499.39220213962199</v>
      </c>
      <c r="D1429" s="116">
        <v>497.021669534529</v>
      </c>
      <c r="E1429" s="116">
        <v>503.54063419853497</v>
      </c>
      <c r="F1429" s="116">
        <v>505.6</v>
      </c>
      <c r="G1429">
        <v>67355</v>
      </c>
      <c r="H1429" s="116"/>
      <c r="I1429" s="116"/>
      <c r="L1429" s="170">
        <v>44110</v>
      </c>
      <c r="M1429" s="116">
        <v>499.39271366822902</v>
      </c>
      <c r="N1429" s="116">
        <v>507.19572481929498</v>
      </c>
      <c r="O1429" s="116">
        <v>496.676475609313</v>
      </c>
      <c r="P1429" s="116">
        <v>500.775525770949</v>
      </c>
      <c r="Q1429" s="116">
        <v>505.6</v>
      </c>
      <c r="R1429">
        <v>2973464</v>
      </c>
    </row>
    <row r="1430" spans="1:18" x14ac:dyDescent="0.25">
      <c r="A1430" s="170">
        <v>44111</v>
      </c>
      <c r="B1430" s="116">
        <v>504.52835611732399</v>
      </c>
      <c r="C1430" s="116">
        <v>498.79956898834803</v>
      </c>
      <c r="D1430" s="116">
        <v>495.34254227258799</v>
      </c>
      <c r="E1430" s="116">
        <v>499.58974652337901</v>
      </c>
      <c r="F1430" s="116">
        <v>505</v>
      </c>
      <c r="G1430">
        <v>114317</v>
      </c>
      <c r="H1430" s="116"/>
      <c r="I1430" s="116"/>
      <c r="L1430" s="170">
        <v>44111</v>
      </c>
      <c r="M1430" s="116">
        <v>498.84946605644501</v>
      </c>
      <c r="N1430" s="116">
        <v>504.726417493008</v>
      </c>
      <c r="O1430" s="116">
        <v>495.44182194617002</v>
      </c>
      <c r="P1430" s="116">
        <v>500.775525770949</v>
      </c>
      <c r="Q1430" s="116">
        <v>505.05</v>
      </c>
      <c r="R1430">
        <v>2157279</v>
      </c>
    </row>
    <row r="1431" spans="1:18" x14ac:dyDescent="0.25">
      <c r="A1431" s="170">
        <v>44112</v>
      </c>
      <c r="B1431" s="116">
        <v>502.05905132035201</v>
      </c>
      <c r="C1431" s="116">
        <v>482.40338513645401</v>
      </c>
      <c r="D1431" s="116">
        <v>479.14390280445099</v>
      </c>
      <c r="E1431" s="116">
        <v>500.28115186653201</v>
      </c>
      <c r="F1431" s="116">
        <v>488.4</v>
      </c>
      <c r="G1431">
        <v>121505</v>
      </c>
      <c r="H1431" s="116"/>
      <c r="I1431" s="116"/>
      <c r="L1431" s="170">
        <v>44112</v>
      </c>
      <c r="M1431" s="116">
        <v>482.25572082379898</v>
      </c>
      <c r="N1431" s="116">
        <v>502.05956558061803</v>
      </c>
      <c r="O1431" s="116">
        <v>479.04562129962602</v>
      </c>
      <c r="P1431" s="116">
        <v>500.57798118484601</v>
      </c>
      <c r="Q1431" s="116">
        <v>488.25</v>
      </c>
      <c r="R1431">
        <v>5419804</v>
      </c>
    </row>
    <row r="1432" spans="1:18" x14ac:dyDescent="0.25">
      <c r="A1432" s="170">
        <v>44113</v>
      </c>
      <c r="B1432" s="116">
        <v>486.84813377100397</v>
      </c>
      <c r="C1432" s="116">
        <v>465.710884708923</v>
      </c>
      <c r="D1432" s="116">
        <v>464.22930183073998</v>
      </c>
      <c r="E1432" s="116">
        <v>483.98374020651602</v>
      </c>
      <c r="F1432" s="116">
        <v>471.5</v>
      </c>
      <c r="G1432">
        <v>270986</v>
      </c>
      <c r="H1432" s="116"/>
      <c r="I1432" s="116"/>
      <c r="L1432" s="170">
        <v>44113</v>
      </c>
      <c r="M1432" s="116">
        <v>465.46443100504899</v>
      </c>
      <c r="N1432" s="116">
        <v>486.99679089026898</v>
      </c>
      <c r="O1432" s="116">
        <v>464.27916348843098</v>
      </c>
      <c r="P1432" s="116">
        <v>484.18178053830201</v>
      </c>
      <c r="Q1432" s="116">
        <v>471.25</v>
      </c>
      <c r="R1432">
        <v>6721697</v>
      </c>
    </row>
    <row r="1433" spans="1:18" x14ac:dyDescent="0.25">
      <c r="A1433" s="170">
        <v>44116</v>
      </c>
      <c r="B1433" s="116">
        <v>477.61293383032802</v>
      </c>
      <c r="C1433" s="116">
        <v>469.16791142468401</v>
      </c>
      <c r="D1433" s="116">
        <v>464.72316279013501</v>
      </c>
      <c r="E1433" s="116">
        <v>466.79737881959102</v>
      </c>
      <c r="F1433" s="116">
        <v>475</v>
      </c>
      <c r="G1433">
        <v>223837</v>
      </c>
      <c r="H1433" s="116"/>
      <c r="I1433" s="116"/>
      <c r="L1433" s="170">
        <v>44116</v>
      </c>
      <c r="M1433" s="116">
        <v>468.872075115325</v>
      </c>
      <c r="N1433" s="116">
        <v>477.66280919690502</v>
      </c>
      <c r="O1433" s="116">
        <v>464.57548036758601</v>
      </c>
      <c r="P1433" s="116">
        <v>468.67453052922201</v>
      </c>
      <c r="Q1433" s="116">
        <v>474.7</v>
      </c>
      <c r="R1433">
        <v>4422571</v>
      </c>
    </row>
    <row r="1434" spans="1:18" x14ac:dyDescent="0.25">
      <c r="A1434" s="170">
        <v>44117</v>
      </c>
      <c r="B1434" s="116">
        <v>471.63721622165599</v>
      </c>
      <c r="C1434" s="116">
        <v>463.29096600789097</v>
      </c>
      <c r="D1434" s="116">
        <v>461.216749978434</v>
      </c>
      <c r="E1434" s="116">
        <v>467.68632854650099</v>
      </c>
      <c r="F1434" s="116">
        <v>469.05</v>
      </c>
      <c r="G1434">
        <v>107680</v>
      </c>
      <c r="H1434" s="116"/>
      <c r="I1434" s="116"/>
      <c r="L1434" s="170">
        <v>44117</v>
      </c>
      <c r="M1434" s="116">
        <v>463.19266826486501</v>
      </c>
      <c r="N1434" s="116">
        <v>471.63769932076599</v>
      </c>
      <c r="O1434" s="116">
        <v>461.315994696887</v>
      </c>
      <c r="P1434" s="116">
        <v>467.983124477861</v>
      </c>
      <c r="Q1434" s="116">
        <v>468.95</v>
      </c>
      <c r="R1434">
        <v>2260828</v>
      </c>
    </row>
    <row r="1435" spans="1:18" x14ac:dyDescent="0.25">
      <c r="A1435" s="170">
        <v>44118</v>
      </c>
      <c r="B1435" s="116">
        <v>485.56409527657797</v>
      </c>
      <c r="C1435" s="116">
        <v>483.88496801463702</v>
      </c>
      <c r="D1435" s="116">
        <v>457.85849545455198</v>
      </c>
      <c r="E1435" s="116">
        <v>463.24157991195102</v>
      </c>
      <c r="F1435" s="116">
        <v>489.9</v>
      </c>
      <c r="G1435">
        <v>435472</v>
      </c>
      <c r="H1435" s="116"/>
      <c r="I1435" s="116"/>
      <c r="L1435" s="170">
        <v>44118</v>
      </c>
      <c r="M1435" s="116">
        <v>483.78669136609602</v>
      </c>
      <c r="N1435" s="116">
        <v>485.36704805492002</v>
      </c>
      <c r="O1435" s="116">
        <v>457.85896444008603</v>
      </c>
      <c r="P1435" s="116">
        <v>462.94573753223602</v>
      </c>
      <c r="Q1435" s="116">
        <v>489.8</v>
      </c>
      <c r="R1435">
        <v>8021661</v>
      </c>
    </row>
    <row r="1436" spans="1:18" x14ac:dyDescent="0.25">
      <c r="A1436" s="170">
        <v>44119</v>
      </c>
      <c r="B1436" s="116">
        <v>488.32971664918699</v>
      </c>
      <c r="C1436" s="116">
        <v>468.130803409956</v>
      </c>
      <c r="D1436" s="116">
        <v>465.21702374952901</v>
      </c>
      <c r="E1436" s="116">
        <v>488.32971664918699</v>
      </c>
      <c r="F1436" s="116">
        <v>473.95</v>
      </c>
      <c r="G1436">
        <v>224070</v>
      </c>
      <c r="H1436" s="116"/>
      <c r="I1436" s="116"/>
      <c r="L1436" s="170">
        <v>44119</v>
      </c>
      <c r="M1436" s="116">
        <v>468.27944135701603</v>
      </c>
      <c r="N1436" s="116">
        <v>488.13267226036101</v>
      </c>
      <c r="O1436" s="116">
        <v>465.21750027242001</v>
      </c>
      <c r="P1436" s="116">
        <v>486.94740474374299</v>
      </c>
      <c r="Q1436" s="116">
        <v>474.1</v>
      </c>
      <c r="R1436">
        <v>4700097</v>
      </c>
    </row>
    <row r="1437" spans="1:18" x14ac:dyDescent="0.25">
      <c r="A1437" s="170">
        <v>44120</v>
      </c>
      <c r="B1437" s="116">
        <v>480.57609958669502</v>
      </c>
      <c r="C1437" s="116">
        <v>471.044583070383</v>
      </c>
      <c r="D1437" s="116">
        <v>469.266683616563</v>
      </c>
      <c r="E1437" s="116">
        <v>473.81020444299202</v>
      </c>
      <c r="F1437" s="116">
        <v>476.9</v>
      </c>
      <c r="G1437">
        <v>99877</v>
      </c>
      <c r="H1437" s="116"/>
      <c r="I1437" s="116"/>
      <c r="L1437" s="170">
        <v>44120</v>
      </c>
      <c r="M1437" s="116">
        <v>471.24261014856</v>
      </c>
      <c r="N1437" s="116">
        <v>480.72475028150097</v>
      </c>
      <c r="O1437" s="116">
        <v>469.217778141005</v>
      </c>
      <c r="P1437" s="116">
        <v>472.87235298390902</v>
      </c>
      <c r="Q1437" s="116">
        <v>477.1</v>
      </c>
      <c r="R1437">
        <v>4313466</v>
      </c>
    </row>
    <row r="1438" spans="1:18" x14ac:dyDescent="0.25">
      <c r="A1438" s="170">
        <v>44123</v>
      </c>
      <c r="B1438" s="116">
        <v>478.10679478972298</v>
      </c>
      <c r="C1438" s="116">
        <v>470.15563334347303</v>
      </c>
      <c r="D1438" s="116">
        <v>466.69860662771202</v>
      </c>
      <c r="E1438" s="116">
        <v>473.71143225111302</v>
      </c>
      <c r="F1438" s="116">
        <v>476</v>
      </c>
      <c r="G1438">
        <v>73616</v>
      </c>
      <c r="H1438" s="116"/>
      <c r="I1438" s="116"/>
      <c r="L1438" s="170">
        <v>44123</v>
      </c>
      <c r="M1438" s="116">
        <v>470.007956485416</v>
      </c>
      <c r="N1438" s="116">
        <v>478.30482910173998</v>
      </c>
      <c r="O1438" s="116">
        <v>466.25460934946102</v>
      </c>
      <c r="P1438" s="116">
        <v>475.98368021503001</v>
      </c>
      <c r="Q1438" s="116">
        <v>475.85</v>
      </c>
      <c r="R1438">
        <v>3162082</v>
      </c>
    </row>
    <row r="1439" spans="1:18" x14ac:dyDescent="0.25">
      <c r="A1439" s="170">
        <v>44124</v>
      </c>
      <c r="B1439" s="116">
        <v>478.05740869378297</v>
      </c>
      <c r="C1439" s="116">
        <v>472.22984937292898</v>
      </c>
      <c r="D1439" s="116">
        <v>469.16791142468401</v>
      </c>
      <c r="E1439" s="116">
        <v>469.16791142468401</v>
      </c>
      <c r="F1439" s="116">
        <v>478.1</v>
      </c>
      <c r="G1439">
        <v>105343</v>
      </c>
      <c r="H1439" s="116"/>
      <c r="I1439" s="116"/>
      <c r="L1439" s="170">
        <v>44124</v>
      </c>
      <c r="M1439" s="116">
        <v>472.03278849297197</v>
      </c>
      <c r="N1439" s="116">
        <v>478.057898369111</v>
      </c>
      <c r="O1439" s="116">
        <v>469.31655043405601</v>
      </c>
      <c r="P1439" s="116">
        <v>470.15611492499397</v>
      </c>
      <c r="Q1439" s="116">
        <v>477.9</v>
      </c>
      <c r="R1439">
        <v>2736592</v>
      </c>
    </row>
    <row r="1440" spans="1:18" x14ac:dyDescent="0.25">
      <c r="A1440" s="170">
        <v>44125</v>
      </c>
      <c r="B1440" s="116">
        <v>476.57582581560001</v>
      </c>
      <c r="C1440" s="116">
        <v>459.48823662055401</v>
      </c>
      <c r="D1440" s="116">
        <v>453.36436072406298</v>
      </c>
      <c r="E1440" s="116">
        <v>472.32862156480797</v>
      </c>
      <c r="F1440" s="116">
        <v>465.2</v>
      </c>
      <c r="G1440">
        <v>198735</v>
      </c>
      <c r="H1440" s="116"/>
      <c r="I1440" s="116"/>
      <c r="L1440" s="170">
        <v>44125</v>
      </c>
      <c r="M1440" s="116">
        <v>459.587479568486</v>
      </c>
      <c r="N1440" s="116">
        <v>476.37876938723599</v>
      </c>
      <c r="O1440" s="116">
        <v>453.31543895971799</v>
      </c>
      <c r="P1440" s="116">
        <v>473.810689767898</v>
      </c>
      <c r="Q1440" s="116">
        <v>465.3</v>
      </c>
      <c r="R1440">
        <v>4907270</v>
      </c>
    </row>
    <row r="1441" spans="1:18" x14ac:dyDescent="0.25">
      <c r="A1441" s="170">
        <v>44126</v>
      </c>
      <c r="B1441" s="116">
        <v>464.42684621449803</v>
      </c>
      <c r="C1441" s="116">
        <v>460.42657244340302</v>
      </c>
      <c r="D1441" s="116">
        <v>454.845943602246</v>
      </c>
      <c r="E1441" s="116">
        <v>460.67350292309999</v>
      </c>
      <c r="F1441" s="116">
        <v>466.15</v>
      </c>
      <c r="G1441">
        <v>63987</v>
      </c>
      <c r="H1441" s="116"/>
      <c r="I1441" s="116"/>
      <c r="L1441" s="170">
        <v>44126</v>
      </c>
      <c r="M1441" s="116">
        <v>460.47643020595001</v>
      </c>
      <c r="N1441" s="116">
        <v>464.72363880716301</v>
      </c>
      <c r="O1441" s="116">
        <v>454.79702335549001</v>
      </c>
      <c r="P1441" s="116">
        <v>459.93318259416702</v>
      </c>
      <c r="Q1441" s="116">
        <v>466.2</v>
      </c>
      <c r="R1441">
        <v>3460945</v>
      </c>
    </row>
    <row r="1442" spans="1:18" x14ac:dyDescent="0.25">
      <c r="A1442" s="170">
        <v>44127</v>
      </c>
      <c r="B1442" s="116">
        <v>467.88387293025897</v>
      </c>
      <c r="C1442" s="116">
        <v>466.69860662771202</v>
      </c>
      <c r="D1442" s="116">
        <v>460.57473073122202</v>
      </c>
      <c r="E1442" s="116">
        <v>465.167637653589</v>
      </c>
      <c r="F1442" s="116">
        <v>472.5</v>
      </c>
      <c r="G1442">
        <v>57748</v>
      </c>
      <c r="H1442" s="116"/>
      <c r="I1442" s="116"/>
      <c r="L1442" s="170">
        <v>44127</v>
      </c>
      <c r="M1442" s="116">
        <v>466.995401547347</v>
      </c>
      <c r="N1442" s="116">
        <v>468.18066906396399</v>
      </c>
      <c r="O1442" s="116">
        <v>460.47643020595001</v>
      </c>
      <c r="P1442" s="116">
        <v>464.18039119538003</v>
      </c>
      <c r="Q1442" s="116">
        <v>472.8</v>
      </c>
      <c r="R1442">
        <v>2619244</v>
      </c>
    </row>
    <row r="1443" spans="1:18" x14ac:dyDescent="0.25">
      <c r="A1443" s="170">
        <v>44130</v>
      </c>
      <c r="B1443" s="116">
        <v>478.25495307754102</v>
      </c>
      <c r="C1443" s="116">
        <v>470.94581087850401</v>
      </c>
      <c r="D1443" s="116">
        <v>465.710884708923</v>
      </c>
      <c r="E1443" s="116">
        <v>469.16791142468401</v>
      </c>
      <c r="F1443" s="116">
        <v>476.8</v>
      </c>
      <c r="G1443">
        <v>119686</v>
      </c>
      <c r="H1443" s="116"/>
      <c r="I1443" s="116"/>
      <c r="L1443" s="170">
        <v>44130</v>
      </c>
      <c r="M1443" s="116">
        <v>471.094451708983</v>
      </c>
      <c r="N1443" s="116">
        <v>478.35421524826597</v>
      </c>
      <c r="O1443" s="116">
        <v>464.37793578148302</v>
      </c>
      <c r="P1443" s="116">
        <v>469.06961970142697</v>
      </c>
      <c r="Q1443" s="116">
        <v>476.95</v>
      </c>
      <c r="R1443">
        <v>6102542</v>
      </c>
    </row>
    <row r="1444" spans="1:18" x14ac:dyDescent="0.25">
      <c r="A1444" s="170">
        <v>44131</v>
      </c>
      <c r="B1444" s="116">
        <v>495.49070056040603</v>
      </c>
      <c r="C1444" s="116">
        <v>493.07078185937303</v>
      </c>
      <c r="D1444" s="116">
        <v>472.13107718105101</v>
      </c>
      <c r="E1444" s="116">
        <v>472.13107718105101</v>
      </c>
      <c r="F1444" s="116">
        <v>499.2</v>
      </c>
      <c r="G1444">
        <v>388098</v>
      </c>
      <c r="H1444" s="116"/>
      <c r="I1444" s="116"/>
      <c r="L1444" s="170">
        <v>44131</v>
      </c>
      <c r="M1444" s="116">
        <v>492.62681159420299</v>
      </c>
      <c r="N1444" s="116">
        <v>495.49120809269601</v>
      </c>
      <c r="O1444" s="116">
        <v>472.13156078602299</v>
      </c>
      <c r="P1444" s="116">
        <v>472.13156078602299</v>
      </c>
      <c r="Q1444" s="116">
        <v>498.75</v>
      </c>
      <c r="R1444">
        <v>10455347</v>
      </c>
    </row>
    <row r="1445" spans="1:18" x14ac:dyDescent="0.25">
      <c r="A1445" s="170">
        <v>44132</v>
      </c>
      <c r="B1445" s="116">
        <v>498.79956898834803</v>
      </c>
      <c r="C1445" s="116">
        <v>486.79874767506402</v>
      </c>
      <c r="D1445" s="116">
        <v>483.539265343061</v>
      </c>
      <c r="E1445" s="116">
        <v>494.35482035379903</v>
      </c>
      <c r="F1445" s="116">
        <v>492.85</v>
      </c>
      <c r="G1445">
        <v>204125</v>
      </c>
      <c r="H1445" s="116"/>
      <c r="I1445" s="116"/>
      <c r="L1445" s="170">
        <v>44132</v>
      </c>
      <c r="M1445" s="116">
        <v>486.79924630416599</v>
      </c>
      <c r="N1445" s="116">
        <v>498.60253532381699</v>
      </c>
      <c r="O1445" s="116">
        <v>483.53976063346801</v>
      </c>
      <c r="P1445" s="116">
        <v>495.63936653227302</v>
      </c>
      <c r="Q1445" s="116">
        <v>492.85</v>
      </c>
      <c r="R1445">
        <v>5195487</v>
      </c>
    </row>
    <row r="1446" spans="1:18" x14ac:dyDescent="0.25">
      <c r="A1446" s="170">
        <v>44133</v>
      </c>
      <c r="B1446" s="116">
        <v>489.07050808827898</v>
      </c>
      <c r="C1446" s="116">
        <v>485.11962041312302</v>
      </c>
      <c r="D1446" s="116">
        <v>477.71170602220701</v>
      </c>
      <c r="E1446" s="116">
        <v>477.71170602220701</v>
      </c>
      <c r="F1446" s="116">
        <v>491.15</v>
      </c>
      <c r="G1446">
        <v>824707</v>
      </c>
      <c r="H1446" s="116"/>
      <c r="I1446" s="116"/>
      <c r="L1446" s="170">
        <v>44133</v>
      </c>
      <c r="M1446" s="116">
        <v>485.959681813229</v>
      </c>
      <c r="N1446" s="116">
        <v>489.31793977697902</v>
      </c>
      <c r="O1446" s="116">
        <v>478.35421524826597</v>
      </c>
      <c r="P1446" s="116">
        <v>482.60142384947898</v>
      </c>
      <c r="Q1446" s="116">
        <v>492</v>
      </c>
      <c r="R1446">
        <v>4366108</v>
      </c>
    </row>
    <row r="1447" spans="1:18" x14ac:dyDescent="0.25">
      <c r="A1447" s="170">
        <v>44134</v>
      </c>
      <c r="B1447" s="116">
        <v>493.959731586283</v>
      </c>
      <c r="C1447" s="116">
        <v>487.24322253851898</v>
      </c>
      <c r="D1447" s="116">
        <v>483.04540438366701</v>
      </c>
      <c r="E1447" s="116">
        <v>488.92234980045998</v>
      </c>
      <c r="F1447" s="116">
        <v>493.3</v>
      </c>
      <c r="G1447">
        <v>64495</v>
      </c>
      <c r="H1447" s="116"/>
      <c r="I1447" s="116"/>
      <c r="L1447" s="170">
        <v>44134</v>
      </c>
      <c r="M1447" s="116">
        <v>486.79924630416599</v>
      </c>
      <c r="N1447" s="116">
        <v>494.157782136501</v>
      </c>
      <c r="O1447" s="116">
        <v>482.89774072863298</v>
      </c>
      <c r="P1447" s="116">
        <v>487.93512767425801</v>
      </c>
      <c r="Q1447" s="116">
        <v>492.85</v>
      </c>
      <c r="R1447">
        <v>4403239</v>
      </c>
    </row>
    <row r="1448" spans="1:18" x14ac:dyDescent="0.25">
      <c r="A1448" s="170">
        <v>44137</v>
      </c>
      <c r="B1448" s="116">
        <v>491.63858507713002</v>
      </c>
      <c r="C1448" s="116">
        <v>487.29260863445899</v>
      </c>
      <c r="D1448" s="116">
        <v>482.008296368939</v>
      </c>
      <c r="E1448" s="116">
        <v>487.93462788167199</v>
      </c>
      <c r="F1448" s="116">
        <v>493.35</v>
      </c>
      <c r="G1448">
        <v>366191</v>
      </c>
      <c r="H1448" s="116"/>
      <c r="I1448" s="116"/>
      <c r="L1448" s="170">
        <v>44137</v>
      </c>
      <c r="M1448" s="116">
        <v>487.68819694162897</v>
      </c>
      <c r="N1448" s="116">
        <v>492.08356398242</v>
      </c>
      <c r="O1448" s="116">
        <v>482.305106970324</v>
      </c>
      <c r="P1448" s="116">
        <v>487.93512767425801</v>
      </c>
      <c r="Q1448" s="116">
        <v>493.75</v>
      </c>
      <c r="R1448">
        <v>6105178</v>
      </c>
    </row>
    <row r="1449" spans="1:18" x14ac:dyDescent="0.25">
      <c r="A1449" s="170">
        <v>44138</v>
      </c>
      <c r="B1449" s="116">
        <v>498.10816364519599</v>
      </c>
      <c r="C1449" s="116">
        <v>483.539265343061</v>
      </c>
      <c r="D1449" s="116">
        <v>482.20584075269602</v>
      </c>
      <c r="E1449" s="116">
        <v>486.94690596288302</v>
      </c>
      <c r="F1449" s="116">
        <v>489.55</v>
      </c>
      <c r="G1449">
        <v>616130</v>
      </c>
      <c r="H1449" s="116"/>
      <c r="I1449" s="116"/>
      <c r="L1449" s="170">
        <v>44138</v>
      </c>
      <c r="M1449" s="116">
        <v>483.49037448694202</v>
      </c>
      <c r="N1449" s="116">
        <v>498.35560459118801</v>
      </c>
      <c r="O1449" s="116">
        <v>482.305106970324</v>
      </c>
      <c r="P1449" s="116">
        <v>491.68847481021402</v>
      </c>
      <c r="Q1449" s="116">
        <v>489.5</v>
      </c>
      <c r="R1449">
        <v>8103580</v>
      </c>
    </row>
    <row r="1450" spans="1:18" x14ac:dyDescent="0.25">
      <c r="A1450" s="170">
        <v>44139</v>
      </c>
      <c r="B1450" s="116">
        <v>492.329990420282</v>
      </c>
      <c r="C1450" s="116">
        <v>486.65058938724599</v>
      </c>
      <c r="D1450" s="116">
        <v>482.99601828772802</v>
      </c>
      <c r="E1450" s="116">
        <v>486.40365890754902</v>
      </c>
      <c r="F1450" s="116">
        <v>492.7</v>
      </c>
      <c r="G1450">
        <v>125039</v>
      </c>
      <c r="H1450" s="116"/>
      <c r="I1450" s="116"/>
      <c r="L1450" s="170">
        <v>44139</v>
      </c>
      <c r="M1450" s="116">
        <v>486.70047401111498</v>
      </c>
      <c r="N1450" s="116">
        <v>492.4292670081</v>
      </c>
      <c r="O1450" s="116">
        <v>482.99651302168502</v>
      </c>
      <c r="P1450" s="116">
        <v>484.97195888271398</v>
      </c>
      <c r="Q1450" s="116">
        <v>492.75</v>
      </c>
      <c r="R1450">
        <v>5024804</v>
      </c>
    </row>
    <row r="1451" spans="1:18" x14ac:dyDescent="0.25">
      <c r="A1451" s="170">
        <v>44140</v>
      </c>
      <c r="B1451" s="116">
        <v>502.79984275944298</v>
      </c>
      <c r="C1451" s="116">
        <v>500.13299357871301</v>
      </c>
      <c r="D1451" s="116">
        <v>489.61375514361202</v>
      </c>
      <c r="E1451" s="116">
        <v>491.29288240555297</v>
      </c>
      <c r="F1451" s="116">
        <v>506.35</v>
      </c>
      <c r="G1451">
        <v>121975</v>
      </c>
      <c r="H1451" s="116"/>
      <c r="I1451" s="116"/>
      <c r="L1451" s="170">
        <v>44140</v>
      </c>
      <c r="M1451" s="116">
        <v>500.23227815916601</v>
      </c>
      <c r="N1451" s="116">
        <v>502.94851621808101</v>
      </c>
      <c r="O1451" s="116">
        <v>489.76241509571003</v>
      </c>
      <c r="P1451" s="116">
        <v>490.89829646580199</v>
      </c>
      <c r="Q1451" s="116">
        <v>506.45</v>
      </c>
      <c r="R1451">
        <v>5208756</v>
      </c>
    </row>
    <row r="1452" spans="1:18" x14ac:dyDescent="0.25">
      <c r="A1452" s="170">
        <v>44141</v>
      </c>
      <c r="B1452" s="116">
        <v>504.03449515792897</v>
      </c>
      <c r="C1452" s="116">
        <v>498.10816364519599</v>
      </c>
      <c r="D1452" s="116">
        <v>495.54008665634501</v>
      </c>
      <c r="E1452" s="116">
        <v>502.45414008786702</v>
      </c>
      <c r="F1452" s="116">
        <v>504.3</v>
      </c>
      <c r="G1452">
        <v>63249</v>
      </c>
      <c r="H1452" s="116"/>
      <c r="I1452" s="116"/>
      <c r="L1452" s="170">
        <v>44141</v>
      </c>
      <c r="M1452" s="116">
        <v>498.00990156550802</v>
      </c>
      <c r="N1452" s="116">
        <v>504.08439758817298</v>
      </c>
      <c r="O1452" s="116">
        <v>495.29366350659302</v>
      </c>
      <c r="P1452" s="116">
        <v>501.51631796883498</v>
      </c>
      <c r="Q1452" s="116">
        <v>504.2</v>
      </c>
      <c r="R1452">
        <v>3209659</v>
      </c>
    </row>
    <row r="1453" spans="1:18" x14ac:dyDescent="0.25">
      <c r="A1453" s="170">
        <v>44144</v>
      </c>
      <c r="B1453" s="116">
        <v>511.14609297320902</v>
      </c>
      <c r="C1453" s="116">
        <v>503.68879248635301</v>
      </c>
      <c r="D1453" s="116">
        <v>499.39220213962199</v>
      </c>
      <c r="E1453" s="116">
        <v>503.83695077417099</v>
      </c>
      <c r="F1453" s="116">
        <v>509.95</v>
      </c>
      <c r="G1453">
        <v>337765</v>
      </c>
      <c r="H1453" s="116"/>
      <c r="I1453" s="116"/>
      <c r="L1453" s="170">
        <v>44144</v>
      </c>
      <c r="M1453" s="116">
        <v>503.59053612291598</v>
      </c>
      <c r="N1453" s="116">
        <v>511.49231956703397</v>
      </c>
      <c r="O1453" s="116">
        <v>499.29394137517698</v>
      </c>
      <c r="P1453" s="116">
        <v>504.726417493008</v>
      </c>
      <c r="Q1453" s="116">
        <v>509.85</v>
      </c>
      <c r="R1453">
        <v>6179187</v>
      </c>
    </row>
    <row r="1454" spans="1:18" x14ac:dyDescent="0.25">
      <c r="A1454" s="170">
        <v>44145</v>
      </c>
      <c r="B1454" s="116">
        <v>508.67678817623698</v>
      </c>
      <c r="C1454" s="116">
        <v>492.28060432434199</v>
      </c>
      <c r="D1454" s="116">
        <v>488.92234980045998</v>
      </c>
      <c r="E1454" s="116">
        <v>508.67678817623698</v>
      </c>
      <c r="F1454" s="116">
        <v>498.4</v>
      </c>
      <c r="G1454">
        <v>235494</v>
      </c>
      <c r="H1454" s="116"/>
      <c r="I1454" s="116"/>
      <c r="L1454" s="170">
        <v>44145</v>
      </c>
      <c r="M1454" s="116">
        <v>492.281108568523</v>
      </c>
      <c r="N1454" s="116">
        <v>507.19572481929498</v>
      </c>
      <c r="O1454" s="116">
        <v>488.92285060477298</v>
      </c>
      <c r="P1454" s="116">
        <v>504.92396207911099</v>
      </c>
      <c r="Q1454" s="116">
        <v>498.4</v>
      </c>
      <c r="R1454">
        <v>3255303</v>
      </c>
    </row>
    <row r="1455" spans="1:18" x14ac:dyDescent="0.25">
      <c r="A1455" s="170">
        <v>44146</v>
      </c>
      <c r="B1455" s="116">
        <v>498.79956898834803</v>
      </c>
      <c r="C1455" s="116">
        <v>497.16982782234697</v>
      </c>
      <c r="D1455" s="116">
        <v>489.07050808827898</v>
      </c>
      <c r="E1455" s="116">
        <v>494.70052302537499</v>
      </c>
      <c r="F1455" s="116">
        <v>503.35</v>
      </c>
      <c r="G1455">
        <v>154524</v>
      </c>
      <c r="H1455" s="116"/>
      <c r="I1455" s="116"/>
      <c r="L1455" s="170">
        <v>44146</v>
      </c>
      <c r="M1455" s="116">
        <v>497.26910936762198</v>
      </c>
      <c r="N1455" s="116">
        <v>498.70130761686801</v>
      </c>
      <c r="O1455" s="116">
        <v>488.92285060477298</v>
      </c>
      <c r="P1455" s="116">
        <v>493.36760379208903</v>
      </c>
      <c r="Q1455" s="116">
        <v>503.45</v>
      </c>
      <c r="R1455">
        <v>2912596</v>
      </c>
    </row>
    <row r="1456" spans="1:18" x14ac:dyDescent="0.25">
      <c r="A1456" s="170">
        <v>44147</v>
      </c>
      <c r="B1456" s="116">
        <v>506.25686947520398</v>
      </c>
      <c r="C1456" s="116">
        <v>502.25659570410897</v>
      </c>
      <c r="D1456" s="116">
        <v>495.98456151980002</v>
      </c>
      <c r="E1456" s="116">
        <v>498.79956898834803</v>
      </c>
      <c r="F1456" s="116">
        <v>508.5</v>
      </c>
      <c r="G1456">
        <v>71142</v>
      </c>
      <c r="H1456" s="116"/>
      <c r="I1456" s="116"/>
      <c r="L1456" s="170">
        <v>44147</v>
      </c>
      <c r="M1456" s="116">
        <v>502.50404089935</v>
      </c>
      <c r="N1456" s="116">
        <v>506.20800188878002</v>
      </c>
      <c r="O1456" s="116">
        <v>496.034455704479</v>
      </c>
      <c r="P1456" s="116">
        <v>498.80007990991999</v>
      </c>
      <c r="Q1456" s="116">
        <v>508.75</v>
      </c>
      <c r="R1456">
        <v>2737879</v>
      </c>
    </row>
    <row r="1457" spans="1:18" x14ac:dyDescent="0.25">
      <c r="A1457" s="170">
        <v>44148</v>
      </c>
      <c r="B1457" s="116">
        <v>512.62767585139204</v>
      </c>
      <c r="C1457" s="116">
        <v>506.94827481835603</v>
      </c>
      <c r="D1457" s="116">
        <v>502.25659570410897</v>
      </c>
      <c r="E1457" s="116">
        <v>504.72590050108101</v>
      </c>
      <c r="F1457" s="116">
        <v>513.25</v>
      </c>
      <c r="G1457">
        <v>125442</v>
      </c>
      <c r="H1457" s="116"/>
      <c r="I1457" s="116"/>
      <c r="L1457" s="170">
        <v>44148</v>
      </c>
      <c r="M1457" s="116">
        <v>506.948794086666</v>
      </c>
      <c r="N1457" s="116">
        <v>512.62820093712503</v>
      </c>
      <c r="O1457" s="116">
        <v>501.96079328756701</v>
      </c>
      <c r="P1457" s="116">
        <v>503.54114997638999</v>
      </c>
      <c r="Q1457" s="116">
        <v>513.25</v>
      </c>
      <c r="R1457">
        <v>4005435</v>
      </c>
    </row>
    <row r="1458" spans="1:18" x14ac:dyDescent="0.25">
      <c r="A1458" s="170">
        <v>44149</v>
      </c>
      <c r="B1458" s="116">
        <v>512.62767585139204</v>
      </c>
      <c r="C1458" s="116">
        <v>509.96082667066202</v>
      </c>
      <c r="D1458" s="116">
        <v>508.67678817623698</v>
      </c>
      <c r="E1458" s="116">
        <v>512.62767585139204</v>
      </c>
      <c r="F1458" s="116">
        <v>516.29999999999995</v>
      </c>
      <c r="G1458">
        <v>57195</v>
      </c>
      <c r="H1458" s="116"/>
      <c r="I1458" s="116"/>
      <c r="L1458" s="170">
        <v>44149</v>
      </c>
      <c r="M1458" s="116">
        <v>509.81319058515902</v>
      </c>
      <c r="N1458" s="116">
        <v>512.52942864407396</v>
      </c>
      <c r="O1458" s="116">
        <v>508.677309215067</v>
      </c>
      <c r="P1458" s="116">
        <v>511.49231956703397</v>
      </c>
      <c r="Q1458" s="116">
        <v>516.15</v>
      </c>
      <c r="R1458">
        <v>530739</v>
      </c>
    </row>
    <row r="1459" spans="1:18" x14ac:dyDescent="0.25">
      <c r="A1459" s="170">
        <v>44152</v>
      </c>
      <c r="B1459" s="116">
        <v>515.245138936182</v>
      </c>
      <c r="C1459" s="116">
        <v>511.88688441229999</v>
      </c>
      <c r="D1459" s="116">
        <v>507.096433106174</v>
      </c>
      <c r="E1459" s="116">
        <v>509.96082667066202</v>
      </c>
      <c r="F1459" s="116">
        <v>518.25</v>
      </c>
      <c r="G1459">
        <v>151297</v>
      </c>
      <c r="H1459" s="116"/>
      <c r="I1459" s="116"/>
      <c r="L1459" s="170">
        <v>44152</v>
      </c>
      <c r="M1459" s="116">
        <v>511.93679488576498</v>
      </c>
      <c r="N1459" s="116">
        <v>515.44321128909201</v>
      </c>
      <c r="O1459" s="116">
        <v>506.800635647089</v>
      </c>
      <c r="P1459" s="116">
        <v>511.64047800661098</v>
      </c>
      <c r="Q1459" s="116">
        <v>518.29999999999995</v>
      </c>
      <c r="R1459">
        <v>2774413</v>
      </c>
    </row>
    <row r="1460" spans="1:18" x14ac:dyDescent="0.25">
      <c r="A1460" s="170">
        <v>44153</v>
      </c>
      <c r="B1460" s="116">
        <v>517.56628544533601</v>
      </c>
      <c r="C1460" s="116">
        <v>510.30652934223798</v>
      </c>
      <c r="D1460" s="116">
        <v>507.88661064120498</v>
      </c>
      <c r="E1460" s="116">
        <v>513.072150714847</v>
      </c>
      <c r="F1460" s="116">
        <v>516.65</v>
      </c>
      <c r="G1460">
        <v>80516</v>
      </c>
      <c r="H1460" s="116"/>
      <c r="I1460" s="116"/>
      <c r="L1460" s="170">
        <v>44153</v>
      </c>
      <c r="M1460" s="116">
        <v>510.553982783045</v>
      </c>
      <c r="N1460" s="116">
        <v>517.56681558969899</v>
      </c>
      <c r="O1460" s="116">
        <v>507.68958628455198</v>
      </c>
      <c r="P1460" s="116">
        <v>511.93679488576498</v>
      </c>
      <c r="Q1460" s="116">
        <v>516.9</v>
      </c>
      <c r="R1460">
        <v>3693589</v>
      </c>
    </row>
    <row r="1461" spans="1:18" x14ac:dyDescent="0.25">
      <c r="A1461" s="170">
        <v>44154</v>
      </c>
      <c r="B1461" s="116">
        <v>521.31962873673297</v>
      </c>
      <c r="C1461" s="116">
        <v>509.022490847813</v>
      </c>
      <c r="D1461" s="116">
        <v>506.40502776302202</v>
      </c>
      <c r="E1461" s="116">
        <v>509.66451009502498</v>
      </c>
      <c r="F1461" s="116">
        <v>515.35</v>
      </c>
      <c r="G1461">
        <v>84036</v>
      </c>
      <c r="H1461" s="116"/>
      <c r="I1461" s="116"/>
      <c r="L1461" s="170">
        <v>44154</v>
      </c>
      <c r="M1461" s="116">
        <v>509.26994297337598</v>
      </c>
      <c r="N1461" s="116">
        <v>521.51770731175804</v>
      </c>
      <c r="O1461" s="116">
        <v>505.96107115615098</v>
      </c>
      <c r="P1461" s="116">
        <v>509.56625985252998</v>
      </c>
      <c r="Q1461" s="116">
        <v>515.6</v>
      </c>
      <c r="R1461">
        <v>3655576</v>
      </c>
    </row>
    <row r="1462" spans="1:18" x14ac:dyDescent="0.25">
      <c r="A1462" s="170">
        <v>44155</v>
      </c>
      <c r="B1462" s="116">
        <v>517.31935496563904</v>
      </c>
      <c r="C1462" s="116">
        <v>512.72644804327103</v>
      </c>
      <c r="D1462" s="116">
        <v>510.50407372599602</v>
      </c>
      <c r="E1462" s="116">
        <v>516.57856352654699</v>
      </c>
      <c r="F1462" s="116">
        <v>519.1</v>
      </c>
      <c r="G1462">
        <v>60962</v>
      </c>
      <c r="H1462" s="116"/>
      <c r="I1462" s="116"/>
      <c r="L1462" s="170">
        <v>44155</v>
      </c>
      <c r="M1462" s="116">
        <v>512.67758708365102</v>
      </c>
      <c r="N1462" s="116">
        <v>517.36927100359605</v>
      </c>
      <c r="O1462" s="116">
        <v>509.26994297337598</v>
      </c>
      <c r="P1462" s="116">
        <v>513.86285460026897</v>
      </c>
      <c r="Q1462" s="116">
        <v>519.04999999999995</v>
      </c>
      <c r="R1462">
        <v>2767344</v>
      </c>
    </row>
    <row r="1463" spans="1:18" x14ac:dyDescent="0.25">
      <c r="A1463" s="170">
        <v>44158</v>
      </c>
      <c r="B1463" s="116">
        <v>528.13490997637598</v>
      </c>
      <c r="C1463" s="116">
        <v>514.85005016866705</v>
      </c>
      <c r="D1463" s="116">
        <v>510.94854858945098</v>
      </c>
      <c r="E1463" s="116">
        <v>510.94854858945098</v>
      </c>
      <c r="F1463" s="116">
        <v>521.25</v>
      </c>
      <c r="G1463">
        <v>220524</v>
      </c>
      <c r="H1463" s="116"/>
      <c r="I1463" s="116"/>
      <c r="L1463" s="170">
        <v>44158</v>
      </c>
      <c r="M1463" s="116">
        <v>515.24566670298896</v>
      </c>
      <c r="N1463" s="116">
        <v>528.33299553230904</v>
      </c>
      <c r="O1463" s="116">
        <v>512.62820093712503</v>
      </c>
      <c r="P1463" s="116">
        <v>513.61592386764005</v>
      </c>
      <c r="Q1463" s="116">
        <v>521.65</v>
      </c>
      <c r="R1463">
        <v>5314636</v>
      </c>
    </row>
    <row r="1464" spans="1:18" x14ac:dyDescent="0.25">
      <c r="A1464" s="170">
        <v>44159</v>
      </c>
      <c r="B1464" s="116">
        <v>524.13463620528103</v>
      </c>
      <c r="C1464" s="116">
        <v>520.28252072200496</v>
      </c>
      <c r="D1464" s="116">
        <v>515.68961379963696</v>
      </c>
      <c r="E1464" s="116">
        <v>518.35646298036704</v>
      </c>
      <c r="F1464" s="116">
        <v>526.75</v>
      </c>
      <c r="G1464">
        <v>85293</v>
      </c>
      <c r="H1464" s="116"/>
      <c r="I1464" s="116"/>
      <c r="L1464" s="170">
        <v>44159</v>
      </c>
      <c r="M1464" s="116">
        <v>520.38182594166597</v>
      </c>
      <c r="N1464" s="116">
        <v>524.18455922414705</v>
      </c>
      <c r="O1464" s="116">
        <v>515.24566670298896</v>
      </c>
      <c r="P1464" s="116">
        <v>517.76436017580204</v>
      </c>
      <c r="Q1464" s="116">
        <v>526.85</v>
      </c>
      <c r="R1464">
        <v>4070241</v>
      </c>
    </row>
    <row r="1465" spans="1:18" x14ac:dyDescent="0.25">
      <c r="A1465" s="170">
        <v>44160</v>
      </c>
      <c r="B1465" s="116">
        <v>524.38156668497902</v>
      </c>
      <c r="C1465" s="116">
        <v>507.98538283308397</v>
      </c>
      <c r="D1465" s="116">
        <v>502.108437416291</v>
      </c>
      <c r="E1465" s="116">
        <v>524.38156668497902</v>
      </c>
      <c r="F1465" s="116">
        <v>514.29999999999995</v>
      </c>
      <c r="G1465">
        <v>110824</v>
      </c>
      <c r="H1465" s="116"/>
      <c r="I1465" s="116"/>
      <c r="L1465" s="170">
        <v>44160</v>
      </c>
      <c r="M1465" s="116">
        <v>508.47976462896401</v>
      </c>
      <c r="N1465" s="116">
        <v>522.90051941447803</v>
      </c>
      <c r="O1465" s="116">
        <v>502.15833787367001</v>
      </c>
      <c r="P1465" s="116">
        <v>522.75236097490097</v>
      </c>
      <c r="Q1465" s="116">
        <v>514.79999999999995</v>
      </c>
      <c r="R1465">
        <v>2941845</v>
      </c>
    </row>
    <row r="1466" spans="1:18" x14ac:dyDescent="0.25">
      <c r="A1466" s="170">
        <v>44161</v>
      </c>
      <c r="B1466" s="116">
        <v>516.77610791030497</v>
      </c>
      <c r="C1466" s="116">
        <v>513.36846729048295</v>
      </c>
      <c r="D1466" s="116">
        <v>498.84895508428798</v>
      </c>
      <c r="E1466" s="116">
        <v>513.46723948236195</v>
      </c>
      <c r="F1466" s="116">
        <v>519.75</v>
      </c>
      <c r="G1466">
        <v>91309</v>
      </c>
      <c r="H1466" s="116"/>
      <c r="I1466" s="116"/>
      <c r="L1466" s="170">
        <v>44161</v>
      </c>
      <c r="M1466" s="116">
        <v>513.46776542806299</v>
      </c>
      <c r="N1466" s="116">
        <v>517.17172641749301</v>
      </c>
      <c r="O1466" s="116">
        <v>498.84946605644501</v>
      </c>
      <c r="P1466" s="116">
        <v>510.15889361083902</v>
      </c>
      <c r="Q1466" s="116">
        <v>519.85</v>
      </c>
      <c r="R1466">
        <v>3566655</v>
      </c>
    </row>
    <row r="1467" spans="1:18" x14ac:dyDescent="0.25">
      <c r="A1467" s="170">
        <v>44162</v>
      </c>
      <c r="B1467" s="116">
        <v>537.46888210892996</v>
      </c>
      <c r="C1467" s="116">
        <v>532.38211422716802</v>
      </c>
      <c r="D1467" s="116">
        <v>514.80066407272705</v>
      </c>
      <c r="E1467" s="116">
        <v>516.57856352654699</v>
      </c>
      <c r="F1467" s="116">
        <v>539</v>
      </c>
      <c r="G1467">
        <v>173666</v>
      </c>
      <c r="H1467" s="116"/>
      <c r="I1467" s="116"/>
      <c r="L1467" s="170">
        <v>44162</v>
      </c>
      <c r="M1467" s="116">
        <v>531.39493661690506</v>
      </c>
      <c r="N1467" s="116">
        <v>538.60531400966204</v>
      </c>
      <c r="O1467" s="116">
        <v>514.15917147942298</v>
      </c>
      <c r="P1467" s="116">
        <v>514.40610221205202</v>
      </c>
      <c r="Q1467" s="116">
        <v>538</v>
      </c>
      <c r="R1467">
        <v>18853563</v>
      </c>
    </row>
    <row r="1468" spans="1:18" x14ac:dyDescent="0.25">
      <c r="A1468" s="170">
        <v>44166</v>
      </c>
      <c r="B1468" s="116">
        <v>546.95101252930294</v>
      </c>
      <c r="C1468" s="116">
        <v>522.40612284740098</v>
      </c>
      <c r="D1468" s="116">
        <v>519.14664051539796</v>
      </c>
      <c r="E1468" s="116">
        <v>543.24705533384497</v>
      </c>
      <c r="F1468" s="116">
        <v>528.9</v>
      </c>
      <c r="G1468">
        <v>266559</v>
      </c>
      <c r="H1468" s="116"/>
      <c r="I1468" s="116"/>
      <c r="L1468" s="170">
        <v>44166</v>
      </c>
      <c r="M1468" s="116">
        <v>522.80174712142696</v>
      </c>
      <c r="N1468" s="116">
        <v>547.19850350514002</v>
      </c>
      <c r="O1468" s="116">
        <v>518.85085539936802</v>
      </c>
      <c r="P1468" s="116">
        <v>547.19850350514002</v>
      </c>
      <c r="Q1468" s="116">
        <v>529.29999999999995</v>
      </c>
      <c r="R1468">
        <v>5105352</v>
      </c>
    </row>
    <row r="1469" spans="1:18" x14ac:dyDescent="0.25">
      <c r="A1469" s="170">
        <v>44167</v>
      </c>
      <c r="B1469" s="116">
        <v>535.09834950383697</v>
      </c>
      <c r="C1469" s="116">
        <v>532.82658909062297</v>
      </c>
      <c r="D1469" s="116">
        <v>523.83831962964496</v>
      </c>
      <c r="E1469" s="116">
        <v>526.45578271443503</v>
      </c>
      <c r="F1469" s="116">
        <v>539.45000000000005</v>
      </c>
      <c r="G1469">
        <v>100112</v>
      </c>
      <c r="H1469" s="116"/>
      <c r="I1469" s="116"/>
      <c r="L1469" s="170">
        <v>44167</v>
      </c>
      <c r="M1469" s="116">
        <v>532.62959028004798</v>
      </c>
      <c r="N1469" s="116">
        <v>535.14828375286004</v>
      </c>
      <c r="O1469" s="116">
        <v>523.59192546583904</v>
      </c>
      <c r="P1469" s="116">
        <v>525.46859903381596</v>
      </c>
      <c r="Q1469" s="116">
        <v>539.25</v>
      </c>
      <c r="R1469">
        <v>3694795</v>
      </c>
    </row>
    <row r="1470" spans="1:18" x14ac:dyDescent="0.25">
      <c r="A1470" s="170">
        <v>44168</v>
      </c>
      <c r="B1470" s="116">
        <v>545.61758793893796</v>
      </c>
      <c r="C1470" s="116">
        <v>543.44459971760296</v>
      </c>
      <c r="D1470" s="116">
        <v>533.36983614595704</v>
      </c>
      <c r="E1470" s="116">
        <v>533.86369710535098</v>
      </c>
      <c r="F1470" s="116">
        <v>550.20000000000005</v>
      </c>
      <c r="G1470">
        <v>220330</v>
      </c>
      <c r="H1470" s="116"/>
      <c r="I1470" s="116"/>
      <c r="L1470" s="170">
        <v>44168</v>
      </c>
      <c r="M1470" s="116">
        <v>543.64270095528695</v>
      </c>
      <c r="N1470" s="116">
        <v>546.11200828157303</v>
      </c>
      <c r="O1470" s="116">
        <v>533.37038247793396</v>
      </c>
      <c r="P1470" s="116">
        <v>534.35810540844898</v>
      </c>
      <c r="Q1470" s="116">
        <v>550.4</v>
      </c>
      <c r="R1470">
        <v>3859218</v>
      </c>
    </row>
    <row r="1471" spans="1:18" x14ac:dyDescent="0.25">
      <c r="A1471" s="170">
        <v>44169</v>
      </c>
      <c r="B1471" s="116">
        <v>559.64323918573905</v>
      </c>
      <c r="C1471" s="116">
        <v>556.87761781312997</v>
      </c>
      <c r="D1471" s="116">
        <v>544.38293554045197</v>
      </c>
      <c r="E1471" s="116">
        <v>545.22249917142199</v>
      </c>
      <c r="F1471" s="116">
        <v>563.79999999999995</v>
      </c>
      <c r="G1471">
        <v>144280</v>
      </c>
      <c r="H1471" s="116"/>
      <c r="I1471" s="116"/>
      <c r="L1471" s="170">
        <v>44169</v>
      </c>
      <c r="M1471" s="116">
        <v>556.58187134502896</v>
      </c>
      <c r="N1471" s="116">
        <v>559.94012930877898</v>
      </c>
      <c r="O1471" s="116">
        <v>543.00068105045204</v>
      </c>
      <c r="P1471" s="116">
        <v>545.22305764410999</v>
      </c>
      <c r="Q1471" s="116">
        <v>563.5</v>
      </c>
      <c r="R1471">
        <v>4170295</v>
      </c>
    </row>
    <row r="1472" spans="1:18" x14ac:dyDescent="0.25">
      <c r="A1472" s="170">
        <v>44172</v>
      </c>
      <c r="B1472" s="116">
        <v>563.00149370962095</v>
      </c>
      <c r="C1472" s="116">
        <v>560.63096110452796</v>
      </c>
      <c r="D1472" s="116">
        <v>554.01322424864304</v>
      </c>
      <c r="E1472" s="116">
        <v>560.03832795325502</v>
      </c>
      <c r="F1472" s="116">
        <v>567.6</v>
      </c>
      <c r="G1472">
        <v>166068</v>
      </c>
      <c r="H1472" s="116"/>
      <c r="I1472" s="116"/>
      <c r="L1472" s="170">
        <v>44172</v>
      </c>
      <c r="M1472" s="116">
        <v>560.87846609276801</v>
      </c>
      <c r="N1472" s="116">
        <v>563.00207039337499</v>
      </c>
      <c r="O1472" s="116">
        <v>554.112564018743</v>
      </c>
      <c r="P1472" s="116">
        <v>557.02634666376105</v>
      </c>
      <c r="Q1472" s="116">
        <v>567.85</v>
      </c>
      <c r="R1472">
        <v>3707125</v>
      </c>
    </row>
    <row r="1473" spans="1:18" x14ac:dyDescent="0.25">
      <c r="A1473" s="170">
        <v>44173</v>
      </c>
      <c r="B1473" s="116">
        <v>563.44596857307602</v>
      </c>
      <c r="C1473" s="116">
        <v>555.69235151058399</v>
      </c>
      <c r="D1473" s="116">
        <v>551.24760287603397</v>
      </c>
      <c r="E1473" s="116">
        <v>562.01377179083204</v>
      </c>
      <c r="F1473" s="116">
        <v>562.6</v>
      </c>
      <c r="G1473">
        <v>88132</v>
      </c>
      <c r="H1473" s="116"/>
      <c r="I1473" s="116"/>
      <c r="L1473" s="170">
        <v>44173</v>
      </c>
      <c r="M1473" s="116">
        <v>555.84107914714298</v>
      </c>
      <c r="N1473" s="116">
        <v>563.00207039337499</v>
      </c>
      <c r="O1473" s="116">
        <v>551.14939522719806</v>
      </c>
      <c r="P1473" s="116">
        <v>563.00207039337499</v>
      </c>
      <c r="Q1473" s="116">
        <v>562.75</v>
      </c>
      <c r="R1473">
        <v>2866169</v>
      </c>
    </row>
    <row r="1474" spans="1:18" x14ac:dyDescent="0.25">
      <c r="A1474" s="170">
        <v>44174</v>
      </c>
      <c r="B1474" s="116">
        <v>563.24842418931803</v>
      </c>
      <c r="C1474" s="116">
        <v>557.86533973191899</v>
      </c>
      <c r="D1474" s="116">
        <v>553.56874938518797</v>
      </c>
      <c r="E1474" s="116">
        <v>558.06288411567698</v>
      </c>
      <c r="F1474" s="116">
        <v>564.79999999999995</v>
      </c>
      <c r="G1474">
        <v>72104</v>
      </c>
      <c r="H1474" s="116"/>
      <c r="I1474" s="116"/>
      <c r="L1474" s="170">
        <v>44174</v>
      </c>
      <c r="M1474" s="116">
        <v>558.557317206059</v>
      </c>
      <c r="N1474" s="116">
        <v>563.00207039337499</v>
      </c>
      <c r="O1474" s="116">
        <v>553.47054411390798</v>
      </c>
      <c r="P1474" s="116">
        <v>557.07573281028704</v>
      </c>
      <c r="Q1474" s="116">
        <v>565.5</v>
      </c>
      <c r="R1474">
        <v>2567264</v>
      </c>
    </row>
    <row r="1475" spans="1:18" x14ac:dyDescent="0.25">
      <c r="A1475" s="170">
        <v>44175</v>
      </c>
      <c r="B1475" s="116">
        <v>577.22468934018002</v>
      </c>
      <c r="C1475" s="116">
        <v>573.12564337720596</v>
      </c>
      <c r="D1475" s="116">
        <v>553.56874938518797</v>
      </c>
      <c r="E1475" s="116">
        <v>557.07516219688796</v>
      </c>
      <c r="F1475" s="116">
        <v>580.25</v>
      </c>
      <c r="G1475">
        <v>171880</v>
      </c>
      <c r="H1475" s="116"/>
      <c r="I1475" s="116"/>
      <c r="L1475" s="170">
        <v>44175</v>
      </c>
      <c r="M1475" s="116">
        <v>572.78052740547002</v>
      </c>
      <c r="N1475" s="116">
        <v>577.52159747194105</v>
      </c>
      <c r="O1475" s="116">
        <v>553.32238567433103</v>
      </c>
      <c r="P1475" s="116">
        <v>555.100286949257</v>
      </c>
      <c r="Q1475" s="116">
        <v>579.9</v>
      </c>
      <c r="R1475">
        <v>4578520</v>
      </c>
    </row>
    <row r="1476" spans="1:18" x14ac:dyDescent="0.25">
      <c r="A1476" s="170">
        <v>44176</v>
      </c>
      <c r="B1476" s="116">
        <v>582.41022941382096</v>
      </c>
      <c r="C1476" s="116">
        <v>569.12536960611203</v>
      </c>
      <c r="D1476" s="116">
        <v>563.39658247713601</v>
      </c>
      <c r="E1476" s="116">
        <v>578.75565831430299</v>
      </c>
      <c r="F1476" s="116">
        <v>576.20000000000005</v>
      </c>
      <c r="G1476">
        <v>188155</v>
      </c>
      <c r="H1476" s="116"/>
      <c r="I1476" s="116"/>
      <c r="L1476" s="170">
        <v>44176</v>
      </c>
      <c r="M1476" s="116">
        <v>569.32349714866905</v>
      </c>
      <c r="N1476" s="116">
        <v>582.11450909883399</v>
      </c>
      <c r="O1476" s="116">
        <v>563.54531800515804</v>
      </c>
      <c r="P1476" s="116">
        <v>577.62036976499201</v>
      </c>
      <c r="Q1476" s="116">
        <v>576.4</v>
      </c>
      <c r="R1476">
        <v>3441778</v>
      </c>
    </row>
    <row r="1477" spans="1:18" x14ac:dyDescent="0.25">
      <c r="A1477" s="170">
        <v>44179</v>
      </c>
      <c r="B1477" s="116">
        <v>575.74310646199694</v>
      </c>
      <c r="C1477" s="116">
        <v>569.81677494926396</v>
      </c>
      <c r="D1477" s="116">
        <v>565.47079850659304</v>
      </c>
      <c r="E1477" s="116">
        <v>569.96493323708205</v>
      </c>
      <c r="F1477" s="116">
        <v>576.9</v>
      </c>
      <c r="G1477">
        <v>58293</v>
      </c>
      <c r="H1477" s="116"/>
      <c r="I1477" s="116"/>
      <c r="L1477" s="170">
        <v>44179</v>
      </c>
      <c r="M1477" s="116">
        <v>569.91613090697797</v>
      </c>
      <c r="N1477" s="116">
        <v>575.84246849006604</v>
      </c>
      <c r="O1477" s="116">
        <v>565.07628854745599</v>
      </c>
      <c r="P1477" s="116">
        <v>572.68175511241895</v>
      </c>
      <c r="Q1477" s="116">
        <v>577</v>
      </c>
      <c r="R1477">
        <v>2482828</v>
      </c>
    </row>
    <row r="1478" spans="1:18" x14ac:dyDescent="0.25">
      <c r="A1478" s="170">
        <v>44180</v>
      </c>
      <c r="B1478" s="116">
        <v>574.85415673508703</v>
      </c>
      <c r="C1478" s="116">
        <v>564.58184877968301</v>
      </c>
      <c r="D1478" s="116">
        <v>559.29753651416297</v>
      </c>
      <c r="E1478" s="116">
        <v>574.85415673508703</v>
      </c>
      <c r="F1478" s="116">
        <v>571.6</v>
      </c>
      <c r="G1478">
        <v>77042</v>
      </c>
      <c r="H1478" s="116"/>
      <c r="I1478" s="116"/>
      <c r="L1478" s="170">
        <v>44180</v>
      </c>
      <c r="M1478" s="116">
        <v>564.28611020304402</v>
      </c>
      <c r="N1478" s="116">
        <v>573.52131960335601</v>
      </c>
      <c r="O1478" s="116">
        <v>559.54504013657299</v>
      </c>
      <c r="P1478" s="116">
        <v>569.91613090697797</v>
      </c>
      <c r="Q1478" s="116">
        <v>571.29999999999995</v>
      </c>
      <c r="R1478">
        <v>3411634</v>
      </c>
    </row>
    <row r="1479" spans="1:18" x14ac:dyDescent="0.25">
      <c r="A1479" s="170">
        <v>44181</v>
      </c>
      <c r="B1479" s="116">
        <v>577.81732249145296</v>
      </c>
      <c r="C1479" s="116">
        <v>576.236967421391</v>
      </c>
      <c r="D1479" s="116">
        <v>565.47079850659304</v>
      </c>
      <c r="E1479" s="116">
        <v>565.47079850659304</v>
      </c>
      <c r="F1479" s="116">
        <v>583.4</v>
      </c>
      <c r="G1479">
        <v>172088</v>
      </c>
      <c r="H1479" s="116"/>
      <c r="I1479" s="116"/>
      <c r="L1479" s="170">
        <v>44181</v>
      </c>
      <c r="M1479" s="116">
        <v>576.43510224837496</v>
      </c>
      <c r="N1479" s="116">
        <v>578.01545893719799</v>
      </c>
      <c r="O1479" s="116">
        <v>566.65664523627902</v>
      </c>
      <c r="P1479" s="116">
        <v>567.84191275289697</v>
      </c>
      <c r="Q1479" s="116">
        <v>583.6</v>
      </c>
      <c r="R1479">
        <v>3686970</v>
      </c>
    </row>
    <row r="1480" spans="1:18" x14ac:dyDescent="0.25">
      <c r="A1480" s="170">
        <v>44182</v>
      </c>
      <c r="B1480" s="116">
        <v>585.71909784176398</v>
      </c>
      <c r="C1480" s="116">
        <v>570.06370542896104</v>
      </c>
      <c r="D1480" s="116">
        <v>568.236419879202</v>
      </c>
      <c r="E1480" s="116">
        <v>578.75565831430299</v>
      </c>
      <c r="F1480" s="116">
        <v>577.15</v>
      </c>
      <c r="G1480">
        <v>115899</v>
      </c>
      <c r="H1480" s="116"/>
      <c r="I1480" s="116"/>
      <c r="L1480" s="170">
        <v>44182</v>
      </c>
      <c r="M1480" s="116">
        <v>570.21244778613197</v>
      </c>
      <c r="N1480" s="116">
        <v>586.11478696741904</v>
      </c>
      <c r="O1480" s="116">
        <v>568.48393265773097</v>
      </c>
      <c r="P1480" s="116">
        <v>577.76852820456895</v>
      </c>
      <c r="Q1480" s="116">
        <v>577.29999999999995</v>
      </c>
      <c r="R1480">
        <v>3608243</v>
      </c>
    </row>
    <row r="1481" spans="1:18" x14ac:dyDescent="0.25">
      <c r="A1481" s="170">
        <v>44183</v>
      </c>
      <c r="B1481" s="116">
        <v>575.05170111884399</v>
      </c>
      <c r="C1481" s="116">
        <v>565.37202631471405</v>
      </c>
      <c r="D1481" s="116">
        <v>560.48280281670998</v>
      </c>
      <c r="E1481" s="116">
        <v>572.58239632187201</v>
      </c>
      <c r="F1481" s="116">
        <v>572.4</v>
      </c>
      <c r="G1481">
        <v>104614</v>
      </c>
      <c r="H1481" s="116"/>
      <c r="I1481" s="116"/>
      <c r="L1481" s="170">
        <v>44183</v>
      </c>
      <c r="M1481" s="116">
        <v>566.50848679670196</v>
      </c>
      <c r="N1481" s="116">
        <v>574.75597326649995</v>
      </c>
      <c r="O1481" s="116">
        <v>560.53276306708801</v>
      </c>
      <c r="P1481" s="116">
        <v>570.90385383749197</v>
      </c>
      <c r="Q1481" s="116">
        <v>573.54999999999995</v>
      </c>
      <c r="R1481">
        <v>5068565</v>
      </c>
    </row>
    <row r="1482" spans="1:18" x14ac:dyDescent="0.25">
      <c r="A1482" s="170">
        <v>44186</v>
      </c>
      <c r="B1482" s="116">
        <v>572.63178241781202</v>
      </c>
      <c r="C1482" s="116">
        <v>555.29726274306802</v>
      </c>
      <c r="D1482" s="116">
        <v>547.29671520087902</v>
      </c>
      <c r="E1482" s="116">
        <v>566.26097604162396</v>
      </c>
      <c r="F1482" s="116">
        <v>562.20000000000005</v>
      </c>
      <c r="G1482">
        <v>192928</v>
      </c>
      <c r="H1482" s="116"/>
      <c r="I1482" s="116"/>
      <c r="L1482" s="170">
        <v>44186</v>
      </c>
      <c r="M1482" s="116">
        <v>555.84107914714298</v>
      </c>
      <c r="N1482" s="116">
        <v>572.82991355199601</v>
      </c>
      <c r="O1482" s="116">
        <v>546.902186625985</v>
      </c>
      <c r="P1482" s="116">
        <v>566.95296211543302</v>
      </c>
      <c r="Q1482" s="116">
        <v>562.75</v>
      </c>
      <c r="R1482">
        <v>4816486</v>
      </c>
    </row>
    <row r="1483" spans="1:18" x14ac:dyDescent="0.25">
      <c r="A1483" s="170">
        <v>44187</v>
      </c>
      <c r="B1483" s="116">
        <v>570.45879419647599</v>
      </c>
      <c r="C1483" s="116">
        <v>568.68089474265696</v>
      </c>
      <c r="D1483" s="116">
        <v>543.74091629323902</v>
      </c>
      <c r="E1483" s="116">
        <v>555.09971835931003</v>
      </c>
      <c r="F1483" s="116">
        <v>575.75</v>
      </c>
      <c r="G1483">
        <v>81580</v>
      </c>
      <c r="H1483" s="116"/>
      <c r="I1483" s="116"/>
      <c r="L1483" s="170">
        <v>44187</v>
      </c>
      <c r="M1483" s="116">
        <v>568.92840797646295</v>
      </c>
      <c r="N1483" s="116">
        <v>570.95323998401796</v>
      </c>
      <c r="O1483" s="116">
        <v>544.23533471359599</v>
      </c>
      <c r="P1483" s="116">
        <v>552.92729650212505</v>
      </c>
      <c r="Q1483" s="116">
        <v>576</v>
      </c>
      <c r="R1483">
        <v>3264707</v>
      </c>
    </row>
    <row r="1484" spans="1:18" x14ac:dyDescent="0.25">
      <c r="A1484" s="170">
        <v>44188</v>
      </c>
      <c r="B1484" s="116">
        <v>599.39904641698899</v>
      </c>
      <c r="C1484" s="116">
        <v>597.91746353880501</v>
      </c>
      <c r="D1484" s="116">
        <v>566.31036213756397</v>
      </c>
      <c r="E1484" s="116">
        <v>569.91554714114295</v>
      </c>
      <c r="F1484" s="116">
        <v>605.35</v>
      </c>
      <c r="G1484">
        <v>249689</v>
      </c>
      <c r="H1484" s="116"/>
      <c r="I1484" s="116"/>
      <c r="L1484" s="170">
        <v>44188</v>
      </c>
      <c r="M1484" s="116">
        <v>597.86868984054297</v>
      </c>
      <c r="N1484" s="116">
        <v>599.39966038284103</v>
      </c>
      <c r="O1484" s="116">
        <v>566.01462533144502</v>
      </c>
      <c r="P1484" s="116">
        <v>570.70630925138903</v>
      </c>
      <c r="Q1484" s="116">
        <v>605.29999999999995</v>
      </c>
      <c r="R1484">
        <v>7582654</v>
      </c>
    </row>
    <row r="1485" spans="1:18" x14ac:dyDescent="0.25">
      <c r="A1485" s="170">
        <v>44189</v>
      </c>
      <c r="B1485" s="116">
        <v>609.32565170081602</v>
      </c>
      <c r="C1485" s="116">
        <v>593.81841757583197</v>
      </c>
      <c r="D1485" s="116">
        <v>589.86752990067703</v>
      </c>
      <c r="E1485" s="116">
        <v>609.32565170081602</v>
      </c>
      <c r="F1485" s="116">
        <v>601.20000000000005</v>
      </c>
      <c r="G1485">
        <v>216286</v>
      </c>
      <c r="H1485" s="116"/>
      <c r="I1485" s="116"/>
      <c r="L1485" s="170">
        <v>44189</v>
      </c>
      <c r="M1485" s="116">
        <v>593.62148123933002</v>
      </c>
      <c r="N1485" s="116">
        <v>608.53609749010195</v>
      </c>
      <c r="O1485" s="116">
        <v>589.71997566379696</v>
      </c>
      <c r="P1485" s="116">
        <v>607.44960226653598</v>
      </c>
      <c r="Q1485" s="116">
        <v>601</v>
      </c>
      <c r="R1485">
        <v>5295707</v>
      </c>
    </row>
    <row r="1486" spans="1:18" x14ac:dyDescent="0.25">
      <c r="A1486" s="170">
        <v>44193</v>
      </c>
      <c r="B1486" s="116">
        <v>604.38704210687195</v>
      </c>
      <c r="C1486" s="116">
        <v>595.25061435807595</v>
      </c>
      <c r="D1486" s="116">
        <v>591.74420154637505</v>
      </c>
      <c r="E1486" s="116">
        <v>602.16466778959705</v>
      </c>
      <c r="F1486" s="116">
        <v>602.65</v>
      </c>
      <c r="G1486">
        <v>163443</v>
      </c>
      <c r="H1486" s="116"/>
      <c r="I1486" s="116"/>
      <c r="L1486" s="170">
        <v>44193</v>
      </c>
      <c r="M1486" s="116">
        <v>595.05367948857702</v>
      </c>
      <c r="N1486" s="116">
        <v>604.43704732846595</v>
      </c>
      <c r="O1486" s="116">
        <v>591.84357996440394</v>
      </c>
      <c r="P1486" s="116">
        <v>600.23922487377899</v>
      </c>
      <c r="Q1486" s="116">
        <v>602.45000000000005</v>
      </c>
      <c r="R1486">
        <v>2351027</v>
      </c>
    </row>
    <row r="1487" spans="1:18" x14ac:dyDescent="0.25">
      <c r="A1487" s="170">
        <v>44194</v>
      </c>
      <c r="B1487" s="116">
        <v>599.54720470480697</v>
      </c>
      <c r="C1487" s="116">
        <v>591.49727106667797</v>
      </c>
      <c r="D1487" s="116">
        <v>586.06480051333995</v>
      </c>
      <c r="E1487" s="116">
        <v>599.54720470480697</v>
      </c>
      <c r="F1487" s="116">
        <v>598.85</v>
      </c>
      <c r="G1487">
        <v>153992</v>
      </c>
      <c r="H1487" s="116"/>
      <c r="I1487" s="116"/>
      <c r="L1487" s="170">
        <v>44194</v>
      </c>
      <c r="M1487" s="116">
        <v>591.25094620609502</v>
      </c>
      <c r="N1487" s="116">
        <v>600.23922487377899</v>
      </c>
      <c r="O1487" s="116">
        <v>585.91724238131599</v>
      </c>
      <c r="P1487" s="116">
        <v>600.23922487377899</v>
      </c>
      <c r="Q1487" s="116">
        <v>598.6</v>
      </c>
      <c r="R1487">
        <v>2114428</v>
      </c>
    </row>
    <row r="1488" spans="1:18" x14ac:dyDescent="0.25">
      <c r="A1488" s="170">
        <v>44195</v>
      </c>
      <c r="B1488" s="116">
        <v>596.53465285250104</v>
      </c>
      <c r="C1488" s="116">
        <v>587.00313633618896</v>
      </c>
      <c r="D1488" s="116">
        <v>582.80531818133704</v>
      </c>
      <c r="E1488" s="116">
        <v>592.63315127328497</v>
      </c>
      <c r="F1488" s="116">
        <v>594.29999999999995</v>
      </c>
      <c r="G1488">
        <v>104328</v>
      </c>
      <c r="H1488" s="116"/>
      <c r="I1488" s="116"/>
      <c r="L1488" s="170">
        <v>44195</v>
      </c>
      <c r="M1488" s="116">
        <v>587.05312375140795</v>
      </c>
      <c r="N1488" s="116">
        <v>596.58465003087395</v>
      </c>
      <c r="O1488" s="116">
        <v>582.80591515019398</v>
      </c>
      <c r="P1488" s="116">
        <v>591.44849079219796</v>
      </c>
      <c r="Q1488" s="116">
        <v>594.35</v>
      </c>
      <c r="R1488">
        <v>2297999</v>
      </c>
    </row>
    <row r="1489" spans="1:18" x14ac:dyDescent="0.25">
      <c r="A1489" s="170">
        <v>44196</v>
      </c>
      <c r="B1489" s="116">
        <v>592.18867640983001</v>
      </c>
      <c r="C1489" s="116">
        <v>582.41022941382096</v>
      </c>
      <c r="D1489" s="116">
        <v>579.792766329031</v>
      </c>
      <c r="E1489" s="116">
        <v>590.70709353164705</v>
      </c>
      <c r="F1489" s="116">
        <v>589.65</v>
      </c>
      <c r="G1489">
        <v>102242</v>
      </c>
      <c r="H1489" s="116"/>
      <c r="I1489" s="116"/>
      <c r="L1489" s="170">
        <v>44196</v>
      </c>
      <c r="M1489" s="116">
        <v>582.65775671061704</v>
      </c>
      <c r="N1489" s="116">
        <v>592.38682757618699</v>
      </c>
      <c r="O1489" s="116">
        <v>579.79336021212498</v>
      </c>
      <c r="P1489" s="116">
        <v>590.11506483600294</v>
      </c>
      <c r="Q1489" s="116">
        <v>589.9</v>
      </c>
      <c r="R1489">
        <v>2322873</v>
      </c>
    </row>
    <row r="1490" spans="1:18" x14ac:dyDescent="0.25">
      <c r="A1490" s="170">
        <v>44197</v>
      </c>
      <c r="B1490" s="116">
        <v>599.34966032104899</v>
      </c>
      <c r="C1490" s="116">
        <v>593.96657586364995</v>
      </c>
      <c r="D1490" s="116">
        <v>584.43505934733798</v>
      </c>
      <c r="E1490" s="116">
        <v>586.70681976055198</v>
      </c>
      <c r="F1490" s="116">
        <v>601.35</v>
      </c>
      <c r="G1490">
        <v>128338</v>
      </c>
      <c r="H1490" s="116"/>
      <c r="I1490" s="116"/>
      <c r="L1490" s="170">
        <v>44197</v>
      </c>
      <c r="M1490" s="116">
        <v>594.11534270458799</v>
      </c>
      <c r="N1490" s="116">
        <v>599.35027423631504</v>
      </c>
      <c r="O1490" s="116">
        <v>583.74425193418301</v>
      </c>
      <c r="P1490" s="116">
        <v>585.71969779521305</v>
      </c>
      <c r="Q1490" s="116">
        <v>601.5</v>
      </c>
      <c r="R1490">
        <v>3606724</v>
      </c>
    </row>
    <row r="1491" spans="1:18" x14ac:dyDescent="0.25">
      <c r="A1491" s="170">
        <v>44200</v>
      </c>
      <c r="B1491" s="116">
        <v>599.34966032104899</v>
      </c>
      <c r="C1491" s="116">
        <v>596.43588066062205</v>
      </c>
      <c r="D1491" s="116">
        <v>590.21323257225299</v>
      </c>
      <c r="E1491" s="116">
        <v>597.57176086722905</v>
      </c>
      <c r="F1491" s="116">
        <v>603.85</v>
      </c>
      <c r="G1491">
        <v>87583</v>
      </c>
      <c r="H1491" s="116"/>
      <c r="I1491" s="116"/>
      <c r="L1491" s="170">
        <v>44200</v>
      </c>
      <c r="M1491" s="116">
        <v>596.58465003087395</v>
      </c>
      <c r="N1491" s="116">
        <v>599.49843267589301</v>
      </c>
      <c r="O1491" s="116">
        <v>590.16445098252905</v>
      </c>
      <c r="P1491" s="116">
        <v>599.49843267589301</v>
      </c>
      <c r="Q1491" s="116">
        <v>604</v>
      </c>
      <c r="R1491">
        <v>2120531</v>
      </c>
    </row>
    <row r="1492" spans="1:18" x14ac:dyDescent="0.25">
      <c r="A1492" s="170">
        <v>44201</v>
      </c>
      <c r="B1492" s="116">
        <v>606.85634690384404</v>
      </c>
      <c r="C1492" s="116">
        <v>602.06589559771805</v>
      </c>
      <c r="D1492" s="116">
        <v>594.16412024740805</v>
      </c>
      <c r="E1492" s="116">
        <v>598.31255230632098</v>
      </c>
      <c r="F1492" s="116">
        <v>609.54999999999995</v>
      </c>
      <c r="G1492">
        <v>132183</v>
      </c>
      <c r="H1492" s="116"/>
      <c r="I1492" s="116"/>
      <c r="L1492" s="170">
        <v>44201</v>
      </c>
      <c r="M1492" s="116">
        <v>602.06651229523095</v>
      </c>
      <c r="N1492" s="116">
        <v>606.75819621517599</v>
      </c>
      <c r="O1492" s="116">
        <v>593.720253532382</v>
      </c>
      <c r="P1492" s="116">
        <v>596.58465003087395</v>
      </c>
      <c r="Q1492" s="116">
        <v>609.54999999999995</v>
      </c>
      <c r="R1492">
        <v>3813409</v>
      </c>
    </row>
    <row r="1493" spans="1:18" x14ac:dyDescent="0.25">
      <c r="A1493" s="170">
        <v>44202</v>
      </c>
      <c r="B1493" s="116">
        <v>607.44898005511698</v>
      </c>
      <c r="C1493" s="116">
        <v>597.37421648347197</v>
      </c>
      <c r="D1493" s="116">
        <v>587.89208606309899</v>
      </c>
      <c r="E1493" s="116">
        <v>602.06589559771805</v>
      </c>
      <c r="F1493" s="116">
        <v>604.79999999999995</v>
      </c>
      <c r="G1493">
        <v>153855</v>
      </c>
      <c r="H1493" s="116"/>
      <c r="I1493" s="116"/>
      <c r="L1493" s="170">
        <v>44202</v>
      </c>
      <c r="M1493" s="116">
        <v>597.52298681486297</v>
      </c>
      <c r="N1493" s="116">
        <v>606.26433474991802</v>
      </c>
      <c r="O1493" s="116">
        <v>588.09023282844805</v>
      </c>
      <c r="P1493" s="116">
        <v>605.47415640550696</v>
      </c>
      <c r="Q1493" s="116">
        <v>604.95000000000005</v>
      </c>
      <c r="R1493">
        <v>2167700</v>
      </c>
    </row>
    <row r="1494" spans="1:18" x14ac:dyDescent="0.25">
      <c r="A1494" s="170">
        <v>44203</v>
      </c>
      <c r="B1494" s="116">
        <v>603.25116190026495</v>
      </c>
      <c r="C1494" s="116">
        <v>593.71964538395298</v>
      </c>
      <c r="D1494" s="116">
        <v>591.64542935449595</v>
      </c>
      <c r="E1494" s="116">
        <v>600.73247100735398</v>
      </c>
      <c r="F1494" s="116">
        <v>601.1</v>
      </c>
      <c r="G1494">
        <v>63712</v>
      </c>
      <c r="H1494" s="116"/>
      <c r="I1494" s="116"/>
      <c r="L1494" s="170">
        <v>44203</v>
      </c>
      <c r="M1494" s="116">
        <v>593.47332279975296</v>
      </c>
      <c r="N1494" s="116">
        <v>602.80730449311704</v>
      </c>
      <c r="O1494" s="116">
        <v>591.20156005956903</v>
      </c>
      <c r="P1494" s="116">
        <v>602.21467073480801</v>
      </c>
      <c r="Q1494" s="116">
        <v>600.85</v>
      </c>
      <c r="R1494">
        <v>2195640</v>
      </c>
    </row>
    <row r="1495" spans="1:18" x14ac:dyDescent="0.25">
      <c r="A1495" s="170">
        <v>44204</v>
      </c>
      <c r="B1495" s="116">
        <v>604.880903066266</v>
      </c>
      <c r="C1495" s="116">
        <v>602.06589559771805</v>
      </c>
      <c r="D1495" s="116">
        <v>595.59631702965203</v>
      </c>
      <c r="E1495" s="116">
        <v>599.05334374541201</v>
      </c>
      <c r="F1495" s="116">
        <v>609.54999999999995</v>
      </c>
      <c r="G1495">
        <v>212053</v>
      </c>
      <c r="H1495" s="116"/>
      <c r="I1495" s="116"/>
      <c r="L1495" s="170">
        <v>44204</v>
      </c>
      <c r="M1495" s="116">
        <v>602.06651229523095</v>
      </c>
      <c r="N1495" s="116">
        <v>604.980294940249</v>
      </c>
      <c r="O1495" s="116">
        <v>595.20183792815396</v>
      </c>
      <c r="P1495" s="116">
        <v>599.35027423631504</v>
      </c>
      <c r="Q1495" s="116">
        <v>609.54999999999995</v>
      </c>
      <c r="R1495">
        <v>3458752</v>
      </c>
    </row>
    <row r="1496" spans="1:18" x14ac:dyDescent="0.25">
      <c r="A1496" s="170">
        <v>44207</v>
      </c>
      <c r="B1496" s="116">
        <v>624.487183154224</v>
      </c>
      <c r="C1496" s="116">
        <v>621.22770082222098</v>
      </c>
      <c r="D1496" s="116">
        <v>601.81896511802097</v>
      </c>
      <c r="E1496" s="116">
        <v>604.48581429875105</v>
      </c>
      <c r="F1496" s="116">
        <v>628.95000000000005</v>
      </c>
      <c r="G1496">
        <v>378083</v>
      </c>
      <c r="H1496" s="116"/>
      <c r="I1496" s="116"/>
      <c r="L1496" s="170">
        <v>44207</v>
      </c>
      <c r="M1496" s="116">
        <v>621.27772329374204</v>
      </c>
      <c r="N1496" s="116">
        <v>625.03107042969702</v>
      </c>
      <c r="O1496" s="116">
        <v>602.01712614870496</v>
      </c>
      <c r="P1496" s="116">
        <v>605.47415640550696</v>
      </c>
      <c r="Q1496" s="116">
        <v>629</v>
      </c>
      <c r="R1496">
        <v>6360644</v>
      </c>
    </row>
    <row r="1497" spans="1:18" x14ac:dyDescent="0.25">
      <c r="A1497" s="170">
        <v>44208</v>
      </c>
      <c r="B1497" s="116">
        <v>627.40096281465105</v>
      </c>
      <c r="C1497" s="116">
        <v>616.486635612035</v>
      </c>
      <c r="D1497" s="116">
        <v>612.38758964906106</v>
      </c>
      <c r="E1497" s="116">
        <v>625.91937993646798</v>
      </c>
      <c r="F1497" s="116">
        <v>624.15</v>
      </c>
      <c r="G1497">
        <v>174395</v>
      </c>
      <c r="H1497" s="116"/>
      <c r="I1497" s="116"/>
      <c r="L1497" s="170">
        <v>44208</v>
      </c>
      <c r="M1497" s="116">
        <v>616.635425520323</v>
      </c>
      <c r="N1497" s="116">
        <v>627.10528858377802</v>
      </c>
      <c r="O1497" s="116">
        <v>612.38821691910903</v>
      </c>
      <c r="P1497" s="116">
        <v>624.833525843595</v>
      </c>
      <c r="Q1497" s="116">
        <v>624.29999999999995</v>
      </c>
      <c r="R1497">
        <v>4562628</v>
      </c>
    </row>
    <row r="1498" spans="1:18" x14ac:dyDescent="0.25">
      <c r="A1498" s="170">
        <v>44209</v>
      </c>
      <c r="B1498" s="116">
        <v>624.98104411361896</v>
      </c>
      <c r="C1498" s="116">
        <v>612.14065916936397</v>
      </c>
      <c r="D1498" s="116">
        <v>603.30054799620405</v>
      </c>
      <c r="E1498" s="116">
        <v>620.68445376688703</v>
      </c>
      <c r="F1498" s="116">
        <v>619.75</v>
      </c>
      <c r="G1498">
        <v>2075106</v>
      </c>
      <c r="H1498" s="116"/>
      <c r="I1498" s="116"/>
      <c r="L1498" s="170">
        <v>44209</v>
      </c>
      <c r="M1498" s="116">
        <v>612.78330609131501</v>
      </c>
      <c r="N1498" s="116">
        <v>625.22861501579996</v>
      </c>
      <c r="O1498" s="116">
        <v>603.79502742363195</v>
      </c>
      <c r="P1498" s="116">
        <v>619.10473284660895</v>
      </c>
      <c r="Q1498" s="116">
        <v>620.4</v>
      </c>
      <c r="R1498">
        <v>3660044</v>
      </c>
    </row>
    <row r="1499" spans="1:18" x14ac:dyDescent="0.25">
      <c r="A1499" s="170">
        <v>44210</v>
      </c>
      <c r="B1499" s="116">
        <v>618.95594040900698</v>
      </c>
      <c r="C1499" s="116">
        <v>606.26371375257099</v>
      </c>
      <c r="D1499" s="116">
        <v>601.72019292614198</v>
      </c>
      <c r="E1499" s="116">
        <v>617.07926876330805</v>
      </c>
      <c r="F1499" s="116">
        <v>613.79999999999995</v>
      </c>
      <c r="G1499">
        <v>78063</v>
      </c>
      <c r="H1499" s="116"/>
      <c r="I1499" s="116"/>
      <c r="L1499" s="170">
        <v>44210</v>
      </c>
      <c r="M1499" s="116">
        <v>606.46187933602096</v>
      </c>
      <c r="N1499" s="116">
        <v>615.35138571065295</v>
      </c>
      <c r="O1499" s="116">
        <v>601.17756165776802</v>
      </c>
      <c r="P1499" s="116">
        <v>615.25261341760199</v>
      </c>
      <c r="Q1499" s="116">
        <v>614</v>
      </c>
      <c r="R1499">
        <v>3576000</v>
      </c>
    </row>
    <row r="1500" spans="1:18" x14ac:dyDescent="0.25">
      <c r="A1500" s="170">
        <v>44211</v>
      </c>
      <c r="B1500" s="116">
        <v>605.47353621753996</v>
      </c>
      <c r="C1500" s="116">
        <v>595.05306997431796</v>
      </c>
      <c r="D1500" s="116">
        <v>587.94147215903797</v>
      </c>
      <c r="E1500" s="116">
        <v>603.49809237996203</v>
      </c>
      <c r="F1500" s="116">
        <v>602.45000000000005</v>
      </c>
      <c r="G1500">
        <v>123859</v>
      </c>
      <c r="H1500" s="116"/>
      <c r="I1500" s="116"/>
      <c r="L1500" s="170">
        <v>44211</v>
      </c>
      <c r="M1500" s="116">
        <v>595.00429334205103</v>
      </c>
      <c r="N1500" s="116">
        <v>605.96801787076402</v>
      </c>
      <c r="O1500" s="116">
        <v>587.69514365624195</v>
      </c>
      <c r="P1500" s="116">
        <v>602.51098761396202</v>
      </c>
      <c r="Q1500" s="116">
        <v>602.4</v>
      </c>
      <c r="R1500">
        <v>4492648</v>
      </c>
    </row>
    <row r="1501" spans="1:18" x14ac:dyDescent="0.25">
      <c r="A1501" s="170">
        <v>44214</v>
      </c>
      <c r="B1501" s="116">
        <v>595.00368387837796</v>
      </c>
      <c r="C1501" s="116">
        <v>576.97775886048305</v>
      </c>
      <c r="D1501" s="116">
        <v>573.965207008177</v>
      </c>
      <c r="E1501" s="116">
        <v>595.00368387837796</v>
      </c>
      <c r="F1501" s="116">
        <v>584.15</v>
      </c>
      <c r="G1501">
        <v>211174</v>
      </c>
      <c r="H1501" s="116"/>
      <c r="I1501" s="116"/>
      <c r="L1501" s="170">
        <v>44214</v>
      </c>
      <c r="M1501" s="116">
        <v>577.57098361846602</v>
      </c>
      <c r="N1501" s="116">
        <v>594.11534270458799</v>
      </c>
      <c r="O1501" s="116">
        <v>573.867022629036</v>
      </c>
      <c r="P1501" s="116">
        <v>594.11534270458799</v>
      </c>
      <c r="Q1501" s="116">
        <v>584.75</v>
      </c>
      <c r="R1501">
        <v>3346718</v>
      </c>
    </row>
    <row r="1502" spans="1:18" x14ac:dyDescent="0.25">
      <c r="A1502" s="170">
        <v>44215</v>
      </c>
      <c r="B1502" s="116">
        <v>585.57093955394498</v>
      </c>
      <c r="C1502" s="116">
        <v>575.64433427011795</v>
      </c>
      <c r="D1502" s="116">
        <v>570.45879419647599</v>
      </c>
      <c r="E1502" s="116">
        <v>585.57093955394498</v>
      </c>
      <c r="F1502" s="116">
        <v>582.79999999999995</v>
      </c>
      <c r="G1502">
        <v>102220</v>
      </c>
      <c r="H1502" s="116"/>
      <c r="I1502" s="116"/>
      <c r="L1502" s="170">
        <v>44215</v>
      </c>
      <c r="M1502" s="116">
        <v>575.54615161091101</v>
      </c>
      <c r="N1502" s="116">
        <v>583.74425193418301</v>
      </c>
      <c r="O1502" s="116">
        <v>570.26183393265796</v>
      </c>
      <c r="P1502" s="116">
        <v>582.75652900366902</v>
      </c>
      <c r="Q1502" s="116">
        <v>582.70000000000005</v>
      </c>
      <c r="R1502">
        <v>5743934</v>
      </c>
    </row>
    <row r="1503" spans="1:18" x14ac:dyDescent="0.25">
      <c r="A1503" s="170">
        <v>44216</v>
      </c>
      <c r="B1503" s="116">
        <v>595.39877264589404</v>
      </c>
      <c r="C1503" s="116">
        <v>589.47244113316106</v>
      </c>
      <c r="D1503" s="116">
        <v>576.97775886048305</v>
      </c>
      <c r="E1503" s="116">
        <v>582.21268503006297</v>
      </c>
      <c r="F1503" s="116">
        <v>596.79999999999995</v>
      </c>
      <c r="G1503">
        <v>277013</v>
      </c>
      <c r="H1503" s="116"/>
      <c r="I1503" s="116"/>
      <c r="L1503" s="170">
        <v>44216</v>
      </c>
      <c r="M1503" s="116">
        <v>589.32488649159097</v>
      </c>
      <c r="N1503" s="116">
        <v>595.30061022120503</v>
      </c>
      <c r="O1503" s="116">
        <v>576.43510224837496</v>
      </c>
      <c r="P1503" s="116">
        <v>580.78108314263898</v>
      </c>
      <c r="Q1503" s="116">
        <v>596.65</v>
      </c>
      <c r="R1503">
        <v>6156865</v>
      </c>
    </row>
    <row r="1504" spans="1:18" x14ac:dyDescent="0.25">
      <c r="A1504" s="170">
        <v>44217</v>
      </c>
      <c r="B1504" s="116">
        <v>605.17721964190298</v>
      </c>
      <c r="C1504" s="116">
        <v>588.04024435091696</v>
      </c>
      <c r="D1504" s="116">
        <v>582.80531818133704</v>
      </c>
      <c r="E1504" s="116">
        <v>592.73192346516396</v>
      </c>
      <c r="F1504" s="116">
        <v>595.35</v>
      </c>
      <c r="G1504">
        <v>374334</v>
      </c>
      <c r="H1504" s="116"/>
      <c r="I1504" s="116"/>
      <c r="L1504" s="170">
        <v>44217</v>
      </c>
      <c r="M1504" s="116">
        <v>587.94207438887099</v>
      </c>
      <c r="N1504" s="116">
        <v>605.22722567287803</v>
      </c>
      <c r="O1504" s="116">
        <v>582.80591515019398</v>
      </c>
      <c r="P1504" s="116">
        <v>595.99201627256502</v>
      </c>
      <c r="Q1504" s="116">
        <v>595.25</v>
      </c>
      <c r="R1504">
        <v>4506198</v>
      </c>
    </row>
    <row r="1505" spans="1:18" x14ac:dyDescent="0.25">
      <c r="A1505" s="170">
        <v>44218</v>
      </c>
      <c r="B1505" s="116">
        <v>599.152115937291</v>
      </c>
      <c r="C1505" s="116">
        <v>577.27407543611901</v>
      </c>
      <c r="D1505" s="116">
        <v>575.34801769448097</v>
      </c>
      <c r="E1505" s="116">
        <v>592.63315127328497</v>
      </c>
      <c r="F1505" s="116">
        <v>584.45000000000005</v>
      </c>
      <c r="G1505">
        <v>265627</v>
      </c>
      <c r="H1505" s="116"/>
      <c r="I1505" s="116"/>
      <c r="L1505" s="170">
        <v>44218</v>
      </c>
      <c r="M1505" s="116">
        <v>577.57098361846602</v>
      </c>
      <c r="N1505" s="116">
        <v>599.44904652936702</v>
      </c>
      <c r="O1505" s="116">
        <v>575.44737931786005</v>
      </c>
      <c r="P1505" s="116">
        <v>591.84357996440394</v>
      </c>
      <c r="Q1505" s="116">
        <v>584.75</v>
      </c>
      <c r="R1505">
        <v>4307126</v>
      </c>
    </row>
    <row r="1506" spans="1:18" x14ac:dyDescent="0.25">
      <c r="A1506" s="170">
        <v>44221</v>
      </c>
      <c r="B1506" s="116">
        <v>582.75593208539703</v>
      </c>
      <c r="C1506" s="116">
        <v>566.45852042538195</v>
      </c>
      <c r="D1506" s="116">
        <v>563.00149370962095</v>
      </c>
      <c r="E1506" s="116">
        <v>582.75593208539703</v>
      </c>
      <c r="F1506" s="116">
        <v>573.5</v>
      </c>
      <c r="G1506">
        <v>94106</v>
      </c>
      <c r="H1506" s="116"/>
      <c r="I1506" s="116"/>
      <c r="L1506" s="170">
        <v>44221</v>
      </c>
      <c r="M1506" s="116">
        <v>566.55787294322795</v>
      </c>
      <c r="N1506" s="116">
        <v>582.60837056409105</v>
      </c>
      <c r="O1506" s="116">
        <v>563.00207039337499</v>
      </c>
      <c r="P1506" s="116">
        <v>580.58353855653604</v>
      </c>
      <c r="Q1506" s="116">
        <v>573.6</v>
      </c>
      <c r="R1506">
        <v>2016556</v>
      </c>
    </row>
    <row r="1507" spans="1:18" x14ac:dyDescent="0.25">
      <c r="A1507" s="170">
        <v>44223</v>
      </c>
      <c r="B1507" s="116">
        <v>581.22496311127497</v>
      </c>
      <c r="C1507" s="116">
        <v>565.86588727410901</v>
      </c>
      <c r="D1507" s="116">
        <v>559.84078356949703</v>
      </c>
      <c r="E1507" s="116">
        <v>568.73028083859595</v>
      </c>
      <c r="F1507" s="116">
        <v>572.9</v>
      </c>
      <c r="G1507">
        <v>79937</v>
      </c>
      <c r="H1507" s="116"/>
      <c r="I1507" s="116"/>
      <c r="L1507" s="170">
        <v>44223</v>
      </c>
      <c r="M1507" s="116">
        <v>565.61953615923903</v>
      </c>
      <c r="N1507" s="116">
        <v>581.32433075442202</v>
      </c>
      <c r="O1507" s="116">
        <v>559.59442628309898</v>
      </c>
      <c r="P1507" s="116">
        <v>565.96523918491903</v>
      </c>
      <c r="Q1507" s="116">
        <v>572.65</v>
      </c>
      <c r="R1507">
        <v>3662455</v>
      </c>
    </row>
    <row r="1508" spans="1:18" x14ac:dyDescent="0.25">
      <c r="A1508" s="170">
        <v>44224</v>
      </c>
      <c r="B1508" s="116">
        <v>569.17475570205102</v>
      </c>
      <c r="C1508" s="116">
        <v>557.81595363598001</v>
      </c>
      <c r="D1508" s="116">
        <v>554.65524349585598</v>
      </c>
      <c r="E1508" s="116">
        <v>561.51991083143798</v>
      </c>
      <c r="F1508" s="116">
        <v>564.75</v>
      </c>
      <c r="G1508">
        <v>174075</v>
      </c>
      <c r="H1508" s="116"/>
      <c r="I1508" s="116"/>
      <c r="L1508" s="170">
        <v>44224</v>
      </c>
      <c r="M1508" s="116">
        <v>557.66836656859505</v>
      </c>
      <c r="N1508" s="116">
        <v>568.92840797646295</v>
      </c>
      <c r="O1508" s="116">
        <v>554.60642548400006</v>
      </c>
      <c r="P1508" s="116">
        <v>564.87874396135305</v>
      </c>
      <c r="Q1508" s="116">
        <v>564.6</v>
      </c>
      <c r="R1508">
        <v>4769073</v>
      </c>
    </row>
    <row r="1509" spans="1:18" x14ac:dyDescent="0.25">
      <c r="A1509" s="170">
        <v>44225</v>
      </c>
      <c r="B1509" s="116">
        <v>568.38457816701998</v>
      </c>
      <c r="C1509" s="116">
        <v>553.37120500142998</v>
      </c>
      <c r="D1509" s="116">
        <v>548.18566492778905</v>
      </c>
      <c r="E1509" s="116">
        <v>568.38457816701998</v>
      </c>
      <c r="F1509" s="116">
        <v>560.25</v>
      </c>
      <c r="G1509">
        <v>151145</v>
      </c>
      <c r="H1509" s="116"/>
      <c r="I1509" s="116"/>
      <c r="L1509" s="170">
        <v>44225</v>
      </c>
      <c r="M1509" s="116">
        <v>552.92729650212505</v>
      </c>
      <c r="N1509" s="116">
        <v>566.95296211543302</v>
      </c>
      <c r="O1509" s="116">
        <v>547.44543423776804</v>
      </c>
      <c r="P1509" s="116">
        <v>566.95296211543302</v>
      </c>
      <c r="Q1509" s="116">
        <v>559.79999999999995</v>
      </c>
      <c r="R1509">
        <v>3593336</v>
      </c>
    </row>
    <row r="1510" spans="1:18" x14ac:dyDescent="0.25">
      <c r="A1510" s="170">
        <v>44228</v>
      </c>
      <c r="B1510" s="116">
        <v>582.01514064630601</v>
      </c>
      <c r="C1510" s="116">
        <v>577.27407543611901</v>
      </c>
      <c r="D1510" s="116">
        <v>547.74119006433398</v>
      </c>
      <c r="E1510" s="116">
        <v>554.60585739991598</v>
      </c>
      <c r="F1510" s="116">
        <v>584.45000000000005</v>
      </c>
      <c r="G1510">
        <v>231035</v>
      </c>
      <c r="H1510" s="116"/>
      <c r="I1510" s="116"/>
      <c r="L1510" s="170">
        <v>44228</v>
      </c>
      <c r="M1510" s="116">
        <v>576.978349860158</v>
      </c>
      <c r="N1510" s="116">
        <v>581.52187534052496</v>
      </c>
      <c r="O1510" s="116">
        <v>547.54420653082002</v>
      </c>
      <c r="P1510" s="116">
        <v>556.08800987977202</v>
      </c>
      <c r="Q1510" s="116">
        <v>584.15</v>
      </c>
      <c r="R1510">
        <v>4707518</v>
      </c>
    </row>
    <row r="1511" spans="1:18" x14ac:dyDescent="0.25">
      <c r="A1511" s="170">
        <v>44229</v>
      </c>
      <c r="B1511" s="116">
        <v>588.978580173767</v>
      </c>
      <c r="C1511" s="116">
        <v>568.48335035889897</v>
      </c>
      <c r="D1511" s="116">
        <v>560.28525843295199</v>
      </c>
      <c r="E1511" s="116">
        <v>585.32400907424801</v>
      </c>
      <c r="F1511" s="116">
        <v>575.54999999999995</v>
      </c>
      <c r="G1511">
        <v>271731</v>
      </c>
      <c r="H1511" s="116"/>
      <c r="I1511" s="116"/>
      <c r="L1511" s="170">
        <v>44229</v>
      </c>
      <c r="M1511" s="116">
        <v>568.28638807162804</v>
      </c>
      <c r="N1511" s="116">
        <v>589.07795575896296</v>
      </c>
      <c r="O1511" s="116">
        <v>560.18706004140802</v>
      </c>
      <c r="P1511" s="116">
        <v>582.75652900366902</v>
      </c>
      <c r="Q1511" s="116">
        <v>575.35</v>
      </c>
      <c r="R1511">
        <v>5713446</v>
      </c>
    </row>
    <row r="1512" spans="1:18" x14ac:dyDescent="0.25">
      <c r="A1512" s="170">
        <v>44230</v>
      </c>
      <c r="B1512" s="116">
        <v>590.55893524382896</v>
      </c>
      <c r="C1512" s="116">
        <v>572.58239632187201</v>
      </c>
      <c r="D1512" s="116">
        <v>564.28553220404604</v>
      </c>
      <c r="E1512" s="116">
        <v>579.792766329031</v>
      </c>
      <c r="F1512" s="116">
        <v>579.70000000000005</v>
      </c>
      <c r="G1512">
        <v>595748</v>
      </c>
      <c r="H1512" s="116"/>
      <c r="I1512" s="116"/>
      <c r="L1512" s="170">
        <v>44230</v>
      </c>
      <c r="M1512" s="116">
        <v>573.02745813809895</v>
      </c>
      <c r="N1512" s="116">
        <v>590.65831244778599</v>
      </c>
      <c r="O1512" s="116">
        <v>563.98979332388899</v>
      </c>
      <c r="P1512" s="116">
        <v>581.768806073154</v>
      </c>
      <c r="Q1512" s="116">
        <v>580.15</v>
      </c>
      <c r="R1512">
        <v>10599727</v>
      </c>
    </row>
    <row r="1513" spans="1:18" x14ac:dyDescent="0.25">
      <c r="A1513" s="170">
        <v>44231</v>
      </c>
      <c r="B1513" s="116">
        <v>582.65715989351804</v>
      </c>
      <c r="C1513" s="116">
        <v>580.78048824782002</v>
      </c>
      <c r="D1513" s="116">
        <v>570.75511077211297</v>
      </c>
      <c r="E1513" s="116">
        <v>579.24951927369705</v>
      </c>
      <c r="F1513" s="116">
        <v>588</v>
      </c>
      <c r="G1513">
        <v>110386</v>
      </c>
      <c r="H1513" s="116"/>
      <c r="I1513" s="116"/>
      <c r="L1513" s="170">
        <v>44231</v>
      </c>
      <c r="M1513" s="116">
        <v>580.83046928916497</v>
      </c>
      <c r="N1513" s="116">
        <v>582.75652900366902</v>
      </c>
      <c r="O1513" s="116">
        <v>570.45937851876101</v>
      </c>
      <c r="P1513" s="116">
        <v>577.81791435109506</v>
      </c>
      <c r="Q1513" s="116">
        <v>588.04999999999995</v>
      </c>
      <c r="R1513">
        <v>3816120</v>
      </c>
    </row>
    <row r="1514" spans="1:18" x14ac:dyDescent="0.25">
      <c r="A1514" s="170">
        <v>44232</v>
      </c>
      <c r="B1514" s="116">
        <v>592.63315127328497</v>
      </c>
      <c r="C1514" s="116">
        <v>585.373395170187</v>
      </c>
      <c r="D1514" s="116">
        <v>582.06452674224499</v>
      </c>
      <c r="E1514" s="116">
        <v>588.58349140625103</v>
      </c>
      <c r="F1514" s="116">
        <v>592.65</v>
      </c>
      <c r="G1514">
        <v>139346</v>
      </c>
      <c r="H1514" s="116"/>
      <c r="I1514" s="116"/>
      <c r="L1514" s="170">
        <v>44232</v>
      </c>
      <c r="M1514" s="116">
        <v>585.22583632995497</v>
      </c>
      <c r="N1514" s="116">
        <v>592.63375830881603</v>
      </c>
      <c r="O1514" s="116">
        <v>581.96635065925705</v>
      </c>
      <c r="P1514" s="116">
        <v>586.60864843267598</v>
      </c>
      <c r="Q1514" s="116">
        <v>592.5</v>
      </c>
      <c r="R1514">
        <v>5918498</v>
      </c>
    </row>
    <row r="1515" spans="1:18" x14ac:dyDescent="0.25">
      <c r="A1515" s="170">
        <v>44235</v>
      </c>
      <c r="B1515" s="116">
        <v>597.37421648347197</v>
      </c>
      <c r="C1515" s="116">
        <v>589.71937161285803</v>
      </c>
      <c r="D1515" s="116">
        <v>587.49699729558301</v>
      </c>
      <c r="E1515" s="116">
        <v>587.694541679341</v>
      </c>
      <c r="F1515" s="116">
        <v>597.04999999999995</v>
      </c>
      <c r="G1515">
        <v>296684</v>
      </c>
      <c r="H1515" s="116"/>
      <c r="I1515" s="116"/>
      <c r="L1515" s="170">
        <v>44235</v>
      </c>
      <c r="M1515" s="116">
        <v>589.76936181032295</v>
      </c>
      <c r="N1515" s="116">
        <v>597.37482837528603</v>
      </c>
      <c r="O1515" s="116">
        <v>587.596371363191</v>
      </c>
      <c r="P1515" s="116">
        <v>587.69514365624195</v>
      </c>
      <c r="Q1515" s="116">
        <v>597.1</v>
      </c>
      <c r="R1515">
        <v>3970852</v>
      </c>
    </row>
    <row r="1516" spans="1:18" x14ac:dyDescent="0.25">
      <c r="A1516" s="170">
        <v>44236</v>
      </c>
      <c r="B1516" s="116">
        <v>599.99167956826204</v>
      </c>
      <c r="C1516" s="116">
        <v>591.44788497073898</v>
      </c>
      <c r="D1516" s="116">
        <v>587.694541679341</v>
      </c>
      <c r="E1516" s="116">
        <v>590.65770743570795</v>
      </c>
      <c r="F1516" s="116">
        <v>598.79999999999995</v>
      </c>
      <c r="G1516">
        <v>126902</v>
      </c>
      <c r="H1516" s="116"/>
      <c r="I1516" s="116"/>
      <c r="L1516" s="170">
        <v>44236</v>
      </c>
      <c r="M1516" s="116">
        <v>591.34971849914598</v>
      </c>
      <c r="N1516" s="116">
        <v>600.04168028767594</v>
      </c>
      <c r="O1516" s="116">
        <v>587.25066833750998</v>
      </c>
      <c r="P1516" s="116">
        <v>589.67058951727097</v>
      </c>
      <c r="Q1516" s="116">
        <v>598.70000000000005</v>
      </c>
      <c r="R1516">
        <v>3072281</v>
      </c>
    </row>
    <row r="1517" spans="1:18" x14ac:dyDescent="0.25">
      <c r="A1517" s="170">
        <v>44237</v>
      </c>
      <c r="B1517" s="116">
        <v>598.21378011444199</v>
      </c>
      <c r="C1517" s="116">
        <v>593.27517052049802</v>
      </c>
      <c r="D1517" s="116">
        <v>590.50954914788895</v>
      </c>
      <c r="E1517" s="116">
        <v>594.60859511086301</v>
      </c>
      <c r="F1517" s="116">
        <v>600.65</v>
      </c>
      <c r="G1517">
        <v>163916</v>
      </c>
      <c r="H1517" s="116"/>
      <c r="I1517" s="116"/>
      <c r="L1517" s="170">
        <v>44237</v>
      </c>
      <c r="M1517" s="116">
        <v>593.37455050670201</v>
      </c>
      <c r="N1517" s="116">
        <v>598.51070974537799</v>
      </c>
      <c r="O1517" s="116">
        <v>589.966906396426</v>
      </c>
      <c r="P1517" s="116">
        <v>593.37455050670201</v>
      </c>
      <c r="Q1517" s="116">
        <v>600.75</v>
      </c>
      <c r="R1517">
        <v>2435907</v>
      </c>
    </row>
    <row r="1518" spans="1:18" x14ac:dyDescent="0.25">
      <c r="A1518" s="170">
        <v>44238</v>
      </c>
      <c r="B1518" s="116">
        <v>614.21487519882101</v>
      </c>
      <c r="C1518" s="116">
        <v>602.90545922868898</v>
      </c>
      <c r="D1518" s="116">
        <v>592.18867640983001</v>
      </c>
      <c r="E1518" s="116">
        <v>595.59631702965203</v>
      </c>
      <c r="F1518" s="116">
        <v>610.4</v>
      </c>
      <c r="G1518">
        <v>554142</v>
      </c>
      <c r="H1518" s="116"/>
      <c r="I1518" s="116"/>
      <c r="L1518" s="170">
        <v>44238</v>
      </c>
      <c r="M1518" s="116">
        <v>602.85669063964303</v>
      </c>
      <c r="N1518" s="116">
        <v>614.36366278013895</v>
      </c>
      <c r="O1518" s="116">
        <v>591.00401547346598</v>
      </c>
      <c r="P1518" s="116">
        <v>595.89324397951395</v>
      </c>
      <c r="Q1518" s="116">
        <v>610.35</v>
      </c>
      <c r="R1518">
        <v>7033762</v>
      </c>
    </row>
    <row r="1519" spans="1:18" x14ac:dyDescent="0.25">
      <c r="A1519" s="170">
        <v>44239</v>
      </c>
      <c r="B1519" s="116">
        <v>609.572582180513</v>
      </c>
      <c r="C1519" s="116">
        <v>600.04106566420103</v>
      </c>
      <c r="D1519" s="116">
        <v>595.99140579716698</v>
      </c>
      <c r="E1519" s="116">
        <v>609.42442389269502</v>
      </c>
      <c r="F1519" s="116">
        <v>607.5</v>
      </c>
      <c r="G1519">
        <v>146534</v>
      </c>
      <c r="H1519" s="116"/>
      <c r="I1519" s="116"/>
      <c r="L1519" s="170">
        <v>44239</v>
      </c>
      <c r="M1519" s="116">
        <v>600.04168028767594</v>
      </c>
      <c r="N1519" s="116">
        <v>608.63486978315404</v>
      </c>
      <c r="O1519" s="116">
        <v>596.090788565617</v>
      </c>
      <c r="P1519" s="116">
        <v>608.63486978315404</v>
      </c>
      <c r="Q1519" s="116">
        <v>607.5</v>
      </c>
      <c r="R1519">
        <v>3621853</v>
      </c>
    </row>
    <row r="1520" spans="1:18" x14ac:dyDescent="0.25">
      <c r="A1520" s="170">
        <v>44242</v>
      </c>
      <c r="B1520" s="116">
        <v>617.42497143488401</v>
      </c>
      <c r="C1520" s="116">
        <v>615.64707198106396</v>
      </c>
      <c r="D1520" s="116">
        <v>600.04106566420103</v>
      </c>
      <c r="E1520" s="116">
        <v>600.53492662359599</v>
      </c>
      <c r="F1520" s="116">
        <v>623.29999999999995</v>
      </c>
      <c r="G1520">
        <v>116507</v>
      </c>
      <c r="H1520" s="116"/>
      <c r="I1520" s="116"/>
      <c r="L1520" s="170">
        <v>44242</v>
      </c>
      <c r="M1520" s="116">
        <v>615.45015800370504</v>
      </c>
      <c r="N1520" s="116">
        <v>617.82069303694004</v>
      </c>
      <c r="O1520" s="116">
        <v>599.94290799462397</v>
      </c>
      <c r="P1520" s="116">
        <v>600.535541752933</v>
      </c>
      <c r="Q1520" s="116">
        <v>623.1</v>
      </c>
      <c r="R1520">
        <v>3234989</v>
      </c>
    </row>
    <row r="1521" spans="1:18" x14ac:dyDescent="0.25">
      <c r="A1521" s="170">
        <v>44243</v>
      </c>
      <c r="B1521" s="116">
        <v>627.15403233495397</v>
      </c>
      <c r="C1521" s="116">
        <v>620.58568157500804</v>
      </c>
      <c r="D1521" s="116">
        <v>609.86889875614997</v>
      </c>
      <c r="E1521" s="116">
        <v>620.28936499937197</v>
      </c>
      <c r="F1521" s="116">
        <v>628.29999999999995</v>
      </c>
      <c r="G1521">
        <v>356727</v>
      </c>
      <c r="H1521" s="116"/>
      <c r="I1521" s="116"/>
      <c r="L1521" s="170">
        <v>44243</v>
      </c>
      <c r="M1521" s="116">
        <v>620.63570338890702</v>
      </c>
      <c r="N1521" s="116">
        <v>627.15467473030401</v>
      </c>
      <c r="O1521" s="116">
        <v>609.96829573934804</v>
      </c>
      <c r="P1521" s="116">
        <v>622.16667393120497</v>
      </c>
      <c r="Q1521" s="116">
        <v>628.35</v>
      </c>
      <c r="R1521">
        <v>6418986</v>
      </c>
    </row>
    <row r="1522" spans="1:18" x14ac:dyDescent="0.25">
      <c r="A1522" s="170">
        <v>44244</v>
      </c>
      <c r="B1522" s="116">
        <v>637.57449857817596</v>
      </c>
      <c r="C1522" s="116">
        <v>624.38841096234501</v>
      </c>
      <c r="D1522" s="116">
        <v>616.68417999579299</v>
      </c>
      <c r="E1522" s="116">
        <v>629.17886226847099</v>
      </c>
      <c r="F1522" s="116">
        <v>632.15</v>
      </c>
      <c r="G1522">
        <v>339399</v>
      </c>
      <c r="H1522" s="116"/>
      <c r="I1522" s="116"/>
      <c r="L1522" s="170">
        <v>44244</v>
      </c>
      <c r="M1522" s="116">
        <v>624.38905052486302</v>
      </c>
      <c r="N1522" s="116">
        <v>637.772696233337</v>
      </c>
      <c r="O1522" s="116">
        <v>616.58603937379701</v>
      </c>
      <c r="P1522" s="116">
        <v>628.191783807344</v>
      </c>
      <c r="Q1522" s="116">
        <v>632.15</v>
      </c>
      <c r="R1522">
        <v>8556599</v>
      </c>
    </row>
    <row r="1523" spans="1:18" x14ac:dyDescent="0.25">
      <c r="A1523" s="170">
        <v>44245</v>
      </c>
      <c r="B1523" s="116">
        <v>635.00642158932499</v>
      </c>
      <c r="C1523" s="116">
        <v>615.84461636482195</v>
      </c>
      <c r="D1523" s="116">
        <v>613.42469766378997</v>
      </c>
      <c r="E1523" s="116">
        <v>631.05553391417004</v>
      </c>
      <c r="F1523" s="116">
        <v>623.5</v>
      </c>
      <c r="G1523">
        <v>104001</v>
      </c>
      <c r="H1523" s="116"/>
      <c r="I1523" s="116"/>
      <c r="L1523" s="170">
        <v>44245</v>
      </c>
      <c r="M1523" s="116">
        <v>616.33910864116797</v>
      </c>
      <c r="N1523" s="116">
        <v>635.50093349315296</v>
      </c>
      <c r="O1523" s="116">
        <v>613.52409828920099</v>
      </c>
      <c r="P1523" s="116">
        <v>629.62398205659099</v>
      </c>
      <c r="Q1523" s="116">
        <v>624</v>
      </c>
      <c r="R1523">
        <v>4457424</v>
      </c>
    </row>
    <row r="1524" spans="1:18" x14ac:dyDescent="0.25">
      <c r="A1524" s="170">
        <v>44246</v>
      </c>
      <c r="B1524" s="116">
        <v>618.16576287397595</v>
      </c>
      <c r="C1524" s="116">
        <v>609.621968276453</v>
      </c>
      <c r="D1524" s="116">
        <v>603.25116190026495</v>
      </c>
      <c r="E1524" s="116">
        <v>617.622515818642</v>
      </c>
      <c r="F1524" s="116">
        <v>617.20000000000005</v>
      </c>
      <c r="G1524">
        <v>65398</v>
      </c>
      <c r="H1524" s="116"/>
      <c r="I1524" s="116"/>
      <c r="L1524" s="170">
        <v>44246</v>
      </c>
      <c r="M1524" s="116">
        <v>609.37566198104003</v>
      </c>
      <c r="N1524" s="116">
        <v>618.41332679524896</v>
      </c>
      <c r="O1524" s="116">
        <v>602.95546293269399</v>
      </c>
      <c r="P1524" s="116">
        <v>616.33910864116797</v>
      </c>
      <c r="Q1524" s="116">
        <v>616.95000000000005</v>
      </c>
      <c r="R1524">
        <v>3013104</v>
      </c>
    </row>
    <row r="1525" spans="1:18" x14ac:dyDescent="0.25">
      <c r="A1525" s="170">
        <v>44249</v>
      </c>
      <c r="B1525" s="116">
        <v>615.74584417294295</v>
      </c>
      <c r="C1525" s="116">
        <v>609.12810731705804</v>
      </c>
      <c r="D1525" s="116">
        <v>604.09072553123497</v>
      </c>
      <c r="E1525" s="116">
        <v>610.75784848306</v>
      </c>
      <c r="F1525" s="116">
        <v>616.70000000000005</v>
      </c>
      <c r="G1525">
        <v>200713</v>
      </c>
      <c r="H1525" s="116"/>
      <c r="I1525" s="116"/>
      <c r="L1525" s="170">
        <v>44249</v>
      </c>
      <c r="M1525" s="116">
        <v>610.70908793723402</v>
      </c>
      <c r="N1525" s="116">
        <v>615.89463332243599</v>
      </c>
      <c r="O1525" s="116">
        <v>604.48643347499205</v>
      </c>
      <c r="P1525" s="116">
        <v>611.40049398859503</v>
      </c>
      <c r="Q1525" s="116">
        <v>618.29999999999995</v>
      </c>
      <c r="R1525">
        <v>3020000</v>
      </c>
    </row>
    <row r="1526" spans="1:18" x14ac:dyDescent="0.25">
      <c r="A1526" s="170">
        <v>44250</v>
      </c>
      <c r="B1526" s="116">
        <v>627.20341843089398</v>
      </c>
      <c r="C1526" s="116">
        <v>619.44980136840104</v>
      </c>
      <c r="D1526" s="116">
        <v>608.93056293330096</v>
      </c>
      <c r="E1526" s="116">
        <v>609.473809988634</v>
      </c>
      <c r="F1526" s="116">
        <v>627.15</v>
      </c>
      <c r="G1526">
        <v>125732</v>
      </c>
      <c r="H1526" s="116"/>
      <c r="I1526" s="116"/>
      <c r="L1526" s="170">
        <v>44250</v>
      </c>
      <c r="M1526" s="116">
        <v>619.79613889796997</v>
      </c>
      <c r="N1526" s="116">
        <v>627.20406087683</v>
      </c>
      <c r="O1526" s="116">
        <v>608.437325197051</v>
      </c>
      <c r="P1526" s="116">
        <v>612.28944462605796</v>
      </c>
      <c r="Q1526" s="116">
        <v>627.5</v>
      </c>
      <c r="R1526">
        <v>4222282</v>
      </c>
    </row>
    <row r="1527" spans="1:18" x14ac:dyDescent="0.25">
      <c r="A1527" s="170">
        <v>44251</v>
      </c>
      <c r="B1527" s="116">
        <v>644.83425468127405</v>
      </c>
      <c r="C1527" s="116">
        <v>620.042434519675</v>
      </c>
      <c r="D1527" s="116">
        <v>557.51963706034303</v>
      </c>
      <c r="E1527" s="116">
        <v>642.01924721272599</v>
      </c>
      <c r="F1527" s="116">
        <v>627.75</v>
      </c>
      <c r="G1527">
        <v>3312921</v>
      </c>
      <c r="H1527" s="116"/>
      <c r="I1527" s="116"/>
      <c r="L1527" s="170">
        <v>44251</v>
      </c>
      <c r="M1527" s="116">
        <v>618.26516835567202</v>
      </c>
      <c r="N1527" s="116">
        <v>645.970796556609</v>
      </c>
      <c r="O1527" s="116">
        <v>607.44960226653598</v>
      </c>
      <c r="P1527" s="116">
        <v>645.970796556609</v>
      </c>
      <c r="Q1527" s="116">
        <v>625.95000000000005</v>
      </c>
      <c r="R1527">
        <v>10479819</v>
      </c>
    </row>
    <row r="1528" spans="1:18" x14ac:dyDescent="0.25">
      <c r="A1528" s="170">
        <v>44252</v>
      </c>
      <c r="B1528" s="116">
        <v>631.15430610604903</v>
      </c>
      <c r="C1528" s="116">
        <v>620.83261205470603</v>
      </c>
      <c r="D1528" s="116">
        <v>616.73356609173197</v>
      </c>
      <c r="E1528" s="116">
        <v>621.178314726282</v>
      </c>
      <c r="F1528" s="116">
        <v>628.54999999999995</v>
      </c>
      <c r="G1528">
        <v>327387</v>
      </c>
      <c r="H1528" s="116"/>
      <c r="I1528" s="116"/>
      <c r="L1528" s="170">
        <v>44252</v>
      </c>
      <c r="M1528" s="116">
        <v>620.78386182848396</v>
      </c>
      <c r="N1528" s="116">
        <v>631.303111038466</v>
      </c>
      <c r="O1528" s="116">
        <v>616.68481166684796</v>
      </c>
      <c r="P1528" s="116">
        <v>621.17895100068995</v>
      </c>
      <c r="Q1528" s="116">
        <v>628.5</v>
      </c>
      <c r="R1528">
        <v>4977348</v>
      </c>
    </row>
    <row r="1529" spans="1:18" x14ac:dyDescent="0.25">
      <c r="A1529" s="170">
        <v>44253</v>
      </c>
      <c r="B1529" s="116">
        <v>618.06699068209696</v>
      </c>
      <c r="C1529" s="116">
        <v>601.17694587080803</v>
      </c>
      <c r="D1529" s="116">
        <v>573.86643481629801</v>
      </c>
      <c r="E1529" s="116">
        <v>573.86643481629801</v>
      </c>
      <c r="F1529" s="116">
        <v>608.65</v>
      </c>
      <c r="G1529">
        <v>422524</v>
      </c>
      <c r="H1529" s="116"/>
      <c r="I1529" s="116"/>
      <c r="L1529" s="170">
        <v>44253</v>
      </c>
      <c r="M1529" s="116">
        <v>601.67142312302497</v>
      </c>
      <c r="N1529" s="116">
        <v>618.21578220914603</v>
      </c>
      <c r="O1529" s="116">
        <v>597.07851149613202</v>
      </c>
      <c r="P1529" s="116">
        <v>617.32683157168299</v>
      </c>
      <c r="Q1529" s="116">
        <v>609.15</v>
      </c>
      <c r="R1529">
        <v>5547291</v>
      </c>
    </row>
    <row r="1530" spans="1:18" x14ac:dyDescent="0.25">
      <c r="A1530" s="170">
        <v>44256</v>
      </c>
      <c r="B1530" s="116">
        <v>620.78322595876602</v>
      </c>
      <c r="C1530" s="116">
        <v>615.69645807700397</v>
      </c>
      <c r="D1530" s="116">
        <v>602.51037046117301</v>
      </c>
      <c r="E1530" s="116">
        <v>609.81951266021099</v>
      </c>
      <c r="F1530" s="116">
        <v>623.35</v>
      </c>
      <c r="G1530">
        <v>131904</v>
      </c>
      <c r="H1530" s="116"/>
      <c r="I1530" s="116"/>
      <c r="L1530" s="170">
        <v>44256</v>
      </c>
      <c r="M1530" s="116">
        <v>616.88235625295101</v>
      </c>
      <c r="N1530" s="116">
        <v>620.78386182848396</v>
      </c>
      <c r="O1530" s="116">
        <v>601.72080926955095</v>
      </c>
      <c r="P1530" s="116">
        <v>607.350829973484</v>
      </c>
      <c r="Q1530" s="116">
        <v>624.54999999999995</v>
      </c>
      <c r="R1530">
        <v>2530243</v>
      </c>
    </row>
    <row r="1531" spans="1:18" x14ac:dyDescent="0.25">
      <c r="A1531" s="170">
        <v>44257</v>
      </c>
      <c r="B1531" s="116">
        <v>628.19114034968197</v>
      </c>
      <c r="C1531" s="116">
        <v>623.64761952325398</v>
      </c>
      <c r="D1531" s="116">
        <v>614.36303348663898</v>
      </c>
      <c r="E1531" s="116">
        <v>622.21542274101</v>
      </c>
      <c r="F1531" s="116">
        <v>631.4</v>
      </c>
      <c r="G1531">
        <v>165752</v>
      </c>
      <c r="H1531" s="116"/>
      <c r="I1531" s="116"/>
      <c r="L1531" s="170">
        <v>44257</v>
      </c>
      <c r="M1531" s="116">
        <v>624.58659511096596</v>
      </c>
      <c r="N1531" s="116">
        <v>628.191783807344</v>
      </c>
      <c r="O1531" s="116">
        <v>614.36366278013895</v>
      </c>
      <c r="P1531" s="116">
        <v>620.78386182848396</v>
      </c>
      <c r="Q1531" s="116">
        <v>632.35</v>
      </c>
      <c r="R1531">
        <v>3051386</v>
      </c>
    </row>
    <row r="1532" spans="1:18" x14ac:dyDescent="0.25">
      <c r="A1532" s="170">
        <v>44258</v>
      </c>
      <c r="B1532" s="116">
        <v>639.84625899138996</v>
      </c>
      <c r="C1532" s="116">
        <v>629.03070398065302</v>
      </c>
      <c r="D1532" s="116">
        <v>625.22797459331605</v>
      </c>
      <c r="E1532" s="116">
        <v>627.79605158216702</v>
      </c>
      <c r="F1532" s="116">
        <v>636.85</v>
      </c>
      <c r="G1532">
        <v>128594</v>
      </c>
      <c r="H1532" s="116"/>
      <c r="I1532" s="116"/>
      <c r="L1532" s="170">
        <v>44258</v>
      </c>
      <c r="M1532" s="116">
        <v>629.08073444480794</v>
      </c>
      <c r="N1532" s="116">
        <v>640.04445897352105</v>
      </c>
      <c r="O1532" s="116">
        <v>625.22861501579996</v>
      </c>
      <c r="P1532" s="116">
        <v>627.20406087683</v>
      </c>
      <c r="Q1532" s="116">
        <v>636.9</v>
      </c>
      <c r="R1532">
        <v>3601961</v>
      </c>
    </row>
    <row r="1533" spans="1:18" x14ac:dyDescent="0.25">
      <c r="A1533" s="170">
        <v>44259</v>
      </c>
      <c r="B1533" s="116">
        <v>636.04352960405299</v>
      </c>
      <c r="C1533" s="116">
        <v>623.10437246792003</v>
      </c>
      <c r="D1533" s="116">
        <v>622.26480883695001</v>
      </c>
      <c r="E1533" s="116">
        <v>626.11692432022596</v>
      </c>
      <c r="F1533" s="116">
        <v>630.85</v>
      </c>
      <c r="G1533">
        <v>87032</v>
      </c>
      <c r="H1533" s="116"/>
      <c r="I1533" s="116"/>
      <c r="L1533" s="170">
        <v>44259</v>
      </c>
      <c r="M1533" s="116">
        <v>623.35194144782201</v>
      </c>
      <c r="N1533" s="116">
        <v>635.94540881188504</v>
      </c>
      <c r="O1533" s="116">
        <v>621.08017870763899</v>
      </c>
      <c r="P1533" s="116">
        <v>627.10528858377802</v>
      </c>
      <c r="Q1533" s="116">
        <v>631.1</v>
      </c>
      <c r="R1533">
        <v>2621353</v>
      </c>
    </row>
    <row r="1534" spans="1:18" x14ac:dyDescent="0.25">
      <c r="A1534" s="170">
        <v>44260</v>
      </c>
      <c r="B1534" s="116">
        <v>635.10519378120398</v>
      </c>
      <c r="C1534" s="116">
        <v>614.85689444603304</v>
      </c>
      <c r="D1534" s="116">
        <v>610.70846238711999</v>
      </c>
      <c r="E1534" s="116">
        <v>628.93193178877402</v>
      </c>
      <c r="F1534" s="116">
        <v>622.5</v>
      </c>
      <c r="G1534">
        <v>119260</v>
      </c>
      <c r="H1534" s="116"/>
      <c r="I1534" s="116"/>
      <c r="L1534" s="170">
        <v>44260</v>
      </c>
      <c r="M1534" s="116">
        <v>615.00568268497295</v>
      </c>
      <c r="N1534" s="116">
        <v>635.59970578620505</v>
      </c>
      <c r="O1534" s="116">
        <v>610.41277105808001</v>
      </c>
      <c r="P1534" s="116">
        <v>625.92002106716097</v>
      </c>
      <c r="Q1534" s="116">
        <v>622.65</v>
      </c>
      <c r="R1534">
        <v>2839628</v>
      </c>
    </row>
    <row r="1535" spans="1:18" x14ac:dyDescent="0.25">
      <c r="A1535" s="170">
        <v>44263</v>
      </c>
      <c r="B1535" s="116">
        <v>620.28936499937197</v>
      </c>
      <c r="C1535" s="116">
        <v>608.09099930233003</v>
      </c>
      <c r="D1535" s="116">
        <v>607.05389128760203</v>
      </c>
      <c r="E1535" s="116">
        <v>615.449527597307</v>
      </c>
      <c r="F1535" s="116">
        <v>615.65</v>
      </c>
      <c r="G1535">
        <v>65417</v>
      </c>
      <c r="H1535" s="116"/>
      <c r="I1535" s="116"/>
      <c r="L1535" s="170">
        <v>44263</v>
      </c>
      <c r="M1535" s="116">
        <v>608.48671134357596</v>
      </c>
      <c r="N1535" s="116">
        <v>620.48754494932996</v>
      </c>
      <c r="O1535" s="116">
        <v>607.44960226653598</v>
      </c>
      <c r="P1535" s="116">
        <v>619.20350513966105</v>
      </c>
      <c r="Q1535" s="116">
        <v>616.04999999999995</v>
      </c>
      <c r="R1535">
        <v>1939925</v>
      </c>
    </row>
    <row r="1536" spans="1:18" x14ac:dyDescent="0.25">
      <c r="A1536" s="170">
        <v>44264</v>
      </c>
      <c r="B1536" s="116">
        <v>615.350755405428</v>
      </c>
      <c r="C1536" s="116">
        <v>604.68335868250904</v>
      </c>
      <c r="D1536" s="116">
        <v>594.95429778243897</v>
      </c>
      <c r="E1536" s="116">
        <v>615.350755405428</v>
      </c>
      <c r="F1536" s="116">
        <v>612.20000000000005</v>
      </c>
      <c r="G1536">
        <v>79568</v>
      </c>
      <c r="H1536" s="116"/>
      <c r="I1536" s="116"/>
      <c r="L1536" s="170">
        <v>44264</v>
      </c>
      <c r="M1536" s="116">
        <v>604.19011659583703</v>
      </c>
      <c r="N1536" s="116">
        <v>613.27716755657298</v>
      </c>
      <c r="O1536" s="116">
        <v>594.60920416984504</v>
      </c>
      <c r="P1536" s="116">
        <v>611.20294940249198</v>
      </c>
      <c r="Q1536" s="116">
        <v>611.70000000000005</v>
      </c>
      <c r="R1536">
        <v>3065358</v>
      </c>
    </row>
    <row r="1537" spans="1:18" x14ac:dyDescent="0.25">
      <c r="A1537" s="170">
        <v>44265</v>
      </c>
      <c r="B1537" s="116">
        <v>616.28909122827702</v>
      </c>
      <c r="C1537" s="116">
        <v>613.22715328003198</v>
      </c>
      <c r="D1537" s="116">
        <v>607.44898005511698</v>
      </c>
      <c r="E1537" s="116">
        <v>611.39986773027294</v>
      </c>
      <c r="F1537" s="116">
        <v>620.85</v>
      </c>
      <c r="G1537">
        <v>182993</v>
      </c>
      <c r="H1537" s="116"/>
      <c r="I1537" s="116"/>
      <c r="L1537" s="170">
        <v>44265</v>
      </c>
      <c r="M1537" s="116">
        <v>613.32655370309806</v>
      </c>
      <c r="N1537" s="116">
        <v>615.99340561548797</v>
      </c>
      <c r="O1537" s="116">
        <v>607.44960226653598</v>
      </c>
      <c r="P1537" s="116">
        <v>609.22750354146206</v>
      </c>
      <c r="Q1537" s="116">
        <v>620.95000000000005</v>
      </c>
      <c r="R1537">
        <v>2778304</v>
      </c>
    </row>
    <row r="1538" spans="1:18" x14ac:dyDescent="0.25">
      <c r="A1538" s="170">
        <v>44267</v>
      </c>
      <c r="B1538" s="116">
        <v>617.32619924300502</v>
      </c>
      <c r="C1538" s="116">
        <v>607.59713834293598</v>
      </c>
      <c r="D1538" s="116">
        <v>606.164941560692</v>
      </c>
      <c r="E1538" s="116">
        <v>617.32619924300502</v>
      </c>
      <c r="F1538" s="116">
        <v>615.15</v>
      </c>
      <c r="G1538">
        <v>146457</v>
      </c>
      <c r="H1538" s="116"/>
      <c r="I1538" s="116"/>
      <c r="L1538" s="170">
        <v>44267</v>
      </c>
      <c r="M1538" s="116">
        <v>607.69653299916502</v>
      </c>
      <c r="N1538" s="116">
        <v>617.12928698558005</v>
      </c>
      <c r="O1538" s="116">
        <v>605.86924557771204</v>
      </c>
      <c r="P1538" s="116">
        <v>615.35138571065295</v>
      </c>
      <c r="Q1538" s="116">
        <v>615.25</v>
      </c>
      <c r="R1538">
        <v>1884687</v>
      </c>
    </row>
    <row r="1539" spans="1:18" x14ac:dyDescent="0.25">
      <c r="A1539" s="170">
        <v>44270</v>
      </c>
      <c r="B1539" s="116">
        <v>611.30109553839395</v>
      </c>
      <c r="C1539" s="116">
        <v>600.23861004795901</v>
      </c>
      <c r="D1539" s="116">
        <v>595.20122826213606</v>
      </c>
      <c r="E1539" s="116">
        <v>611.30109553839395</v>
      </c>
      <c r="F1539" s="116">
        <v>607.70000000000005</v>
      </c>
      <c r="G1539">
        <v>92169</v>
      </c>
      <c r="H1539" s="116"/>
      <c r="I1539" s="116"/>
      <c r="L1539" s="170">
        <v>44270</v>
      </c>
      <c r="M1539" s="116">
        <v>600.189838727253</v>
      </c>
      <c r="N1539" s="116">
        <v>611.20294940249198</v>
      </c>
      <c r="O1539" s="116">
        <v>595.00429334205103</v>
      </c>
      <c r="P1539" s="116">
        <v>609.52382042061697</v>
      </c>
      <c r="Q1539" s="116">
        <v>607.65</v>
      </c>
      <c r="R1539">
        <v>2765589</v>
      </c>
    </row>
    <row r="1540" spans="1:18" x14ac:dyDescent="0.25">
      <c r="A1540" s="170">
        <v>44271</v>
      </c>
      <c r="B1540" s="116">
        <v>610.41214581148404</v>
      </c>
      <c r="C1540" s="116">
        <v>603.49809237996203</v>
      </c>
      <c r="D1540" s="116">
        <v>600.88062929517196</v>
      </c>
      <c r="E1540" s="116">
        <v>604.48581429875105</v>
      </c>
      <c r="F1540" s="116">
        <v>611</v>
      </c>
      <c r="G1540">
        <v>375306</v>
      </c>
      <c r="H1540" s="116"/>
      <c r="I1540" s="116"/>
      <c r="L1540" s="170">
        <v>44271</v>
      </c>
      <c r="M1540" s="116">
        <v>603.15300751879704</v>
      </c>
      <c r="N1540" s="116">
        <v>610.41277105808001</v>
      </c>
      <c r="O1540" s="116">
        <v>601.02940321819005</v>
      </c>
      <c r="P1540" s="116">
        <v>604.04195815625997</v>
      </c>
      <c r="Q1540" s="116">
        <v>610.65</v>
      </c>
      <c r="R1540">
        <v>2480801</v>
      </c>
    </row>
    <row r="1541" spans="1:18" x14ac:dyDescent="0.25">
      <c r="A1541" s="170">
        <v>44272</v>
      </c>
      <c r="B1541" s="116">
        <v>604.83151697032702</v>
      </c>
      <c r="C1541" s="116">
        <v>595.30000045401505</v>
      </c>
      <c r="D1541" s="116">
        <v>592.88008175298296</v>
      </c>
      <c r="E1541" s="116">
        <v>603.49809237996203</v>
      </c>
      <c r="F1541" s="116">
        <v>602.70000000000005</v>
      </c>
      <c r="G1541">
        <v>130481</v>
      </c>
      <c r="H1541" s="116"/>
      <c r="I1541" s="116"/>
      <c r="L1541" s="170">
        <v>44272</v>
      </c>
      <c r="M1541" s="116">
        <v>595.94263012603994</v>
      </c>
      <c r="N1541" s="116">
        <v>604.88152264719804</v>
      </c>
      <c r="O1541" s="116">
        <v>592.73253060186698</v>
      </c>
      <c r="P1541" s="116">
        <v>604.48643347499205</v>
      </c>
      <c r="Q1541" s="116">
        <v>603.35</v>
      </c>
      <c r="R1541">
        <v>2263020</v>
      </c>
    </row>
    <row r="1542" spans="1:18" x14ac:dyDescent="0.25">
      <c r="A1542" s="170">
        <v>44273</v>
      </c>
      <c r="B1542" s="116">
        <v>600.73247100735398</v>
      </c>
      <c r="C1542" s="116">
        <v>587.99085825497798</v>
      </c>
      <c r="D1542" s="116">
        <v>579.94092461684897</v>
      </c>
      <c r="E1542" s="116">
        <v>597.028513811896</v>
      </c>
      <c r="F1542" s="116">
        <v>595.29999999999995</v>
      </c>
      <c r="G1542">
        <v>617845</v>
      </c>
      <c r="H1542" s="116"/>
      <c r="I1542" s="116"/>
      <c r="L1542" s="170">
        <v>44273</v>
      </c>
      <c r="M1542" s="116">
        <v>587.596371363191</v>
      </c>
      <c r="N1542" s="116">
        <v>600.73308633903605</v>
      </c>
      <c r="O1542" s="116">
        <v>579.79336021212498</v>
      </c>
      <c r="P1542" s="116">
        <v>598.56009589190398</v>
      </c>
      <c r="Q1542" s="116">
        <v>594.9</v>
      </c>
      <c r="R1542">
        <v>3387208</v>
      </c>
    </row>
    <row r="1543" spans="1:18" x14ac:dyDescent="0.25">
      <c r="A1543" s="170">
        <v>44274</v>
      </c>
      <c r="B1543" s="116">
        <v>599.99167956826204</v>
      </c>
      <c r="C1543" s="116">
        <v>593.17639832861903</v>
      </c>
      <c r="D1543" s="116">
        <v>569.66861666144496</v>
      </c>
      <c r="E1543" s="116">
        <v>582.75593208539703</v>
      </c>
      <c r="F1543" s="116">
        <v>600.54999999999995</v>
      </c>
      <c r="G1543">
        <v>255813</v>
      </c>
      <c r="H1543" s="116"/>
      <c r="I1543" s="116"/>
      <c r="L1543" s="170">
        <v>44274</v>
      </c>
      <c r="M1543" s="116">
        <v>592.88068904144404</v>
      </c>
      <c r="N1543" s="116">
        <v>600.189838727253</v>
      </c>
      <c r="O1543" s="116">
        <v>569.96551705350305</v>
      </c>
      <c r="P1543" s="116">
        <v>582.75652900366902</v>
      </c>
      <c r="Q1543" s="116">
        <v>600.25</v>
      </c>
      <c r="R1543">
        <v>4874177</v>
      </c>
    </row>
    <row r="1544" spans="1:18" x14ac:dyDescent="0.25">
      <c r="A1544" s="170">
        <v>44277</v>
      </c>
      <c r="B1544" s="116">
        <v>615.449527597307</v>
      </c>
      <c r="C1544" s="116">
        <v>612.04188697748498</v>
      </c>
      <c r="D1544" s="116">
        <v>589.76875770879803</v>
      </c>
      <c r="E1544" s="116">
        <v>593.62087319207399</v>
      </c>
      <c r="F1544" s="116">
        <v>619.65</v>
      </c>
      <c r="G1544">
        <v>298428</v>
      </c>
      <c r="H1544" s="116"/>
      <c r="I1544" s="116"/>
      <c r="L1544" s="170">
        <v>44277</v>
      </c>
      <c r="M1544" s="116">
        <v>612.93146453089196</v>
      </c>
      <c r="N1544" s="116">
        <v>615.40077185717905</v>
      </c>
      <c r="O1544" s="116">
        <v>588.92979731938499</v>
      </c>
      <c r="P1544" s="116">
        <v>595.59692710035995</v>
      </c>
      <c r="Q1544" s="116">
        <v>620.54999999999995</v>
      </c>
      <c r="R1544">
        <v>3154483</v>
      </c>
    </row>
    <row r="1545" spans="1:18" x14ac:dyDescent="0.25">
      <c r="A1545" s="170">
        <v>44278</v>
      </c>
      <c r="B1545" s="116">
        <v>632.14202802483805</v>
      </c>
      <c r="C1545" s="116">
        <v>626.16631041616495</v>
      </c>
      <c r="D1545" s="116">
        <v>613.32592547191098</v>
      </c>
      <c r="E1545" s="116">
        <v>613.47408375972896</v>
      </c>
      <c r="F1545" s="116">
        <v>633.95000000000005</v>
      </c>
      <c r="G1545">
        <v>434605</v>
      </c>
      <c r="H1545" s="116"/>
      <c r="I1545" s="116"/>
      <c r="L1545" s="170">
        <v>44278</v>
      </c>
      <c r="M1545" s="116">
        <v>626.31511023936696</v>
      </c>
      <c r="N1545" s="116">
        <v>632.14267552940305</v>
      </c>
      <c r="O1545" s="116">
        <v>612.93146453089196</v>
      </c>
      <c r="P1545" s="116">
        <v>613.37593984962405</v>
      </c>
      <c r="Q1545" s="116">
        <v>634.1</v>
      </c>
      <c r="R1545">
        <v>4940745</v>
      </c>
    </row>
    <row r="1546" spans="1:18" x14ac:dyDescent="0.25">
      <c r="A1546" s="170">
        <v>44279</v>
      </c>
      <c r="B1546" s="116">
        <v>631.59878096950399</v>
      </c>
      <c r="C1546" s="116">
        <v>621.96849226131303</v>
      </c>
      <c r="D1546" s="116">
        <v>616.98049657142894</v>
      </c>
      <c r="E1546" s="116">
        <v>627.20341843089398</v>
      </c>
      <c r="F1546" s="116">
        <v>629.70000000000005</v>
      </c>
      <c r="G1546">
        <v>128795</v>
      </c>
      <c r="H1546" s="116"/>
      <c r="I1546" s="116"/>
      <c r="L1546" s="170">
        <v>44279</v>
      </c>
      <c r="M1546" s="116">
        <v>621.376495586793</v>
      </c>
      <c r="N1546" s="116">
        <v>631.303111038466</v>
      </c>
      <c r="O1546" s="116">
        <v>616.98112854600299</v>
      </c>
      <c r="P1546" s="116">
        <v>625.03107042969702</v>
      </c>
      <c r="Q1546" s="116">
        <v>629.1</v>
      </c>
      <c r="R1546">
        <v>2938251</v>
      </c>
    </row>
    <row r="1547" spans="1:18" x14ac:dyDescent="0.25">
      <c r="A1547" s="170">
        <v>44280</v>
      </c>
      <c r="B1547" s="116">
        <v>627.15403233495397</v>
      </c>
      <c r="C1547" s="116">
        <v>607.64652443887496</v>
      </c>
      <c r="D1547" s="116">
        <v>603.30054799620405</v>
      </c>
      <c r="E1547" s="116">
        <v>623.351302947617</v>
      </c>
      <c r="F1547" s="116">
        <v>615.20000000000005</v>
      </c>
      <c r="G1547">
        <v>285113</v>
      </c>
      <c r="H1547" s="116"/>
      <c r="I1547" s="116"/>
      <c r="L1547" s="170">
        <v>44280</v>
      </c>
      <c r="M1547" s="116">
        <v>607.30144382695903</v>
      </c>
      <c r="N1547" s="116">
        <v>626.41388253241803</v>
      </c>
      <c r="O1547" s="116">
        <v>603.49871054447704</v>
      </c>
      <c r="P1547" s="116">
        <v>626.21633794631498</v>
      </c>
      <c r="Q1547" s="116">
        <v>614.85</v>
      </c>
      <c r="R1547">
        <v>2981311</v>
      </c>
    </row>
    <row r="1548" spans="1:18" x14ac:dyDescent="0.25">
      <c r="A1548" s="170">
        <v>44281</v>
      </c>
      <c r="B1548" s="116">
        <v>627.05526014307497</v>
      </c>
      <c r="C1548" s="116">
        <v>620.042434519675</v>
      </c>
      <c r="D1548" s="116">
        <v>607.49836615105698</v>
      </c>
      <c r="E1548" s="116">
        <v>610.41214581148404</v>
      </c>
      <c r="F1548" s="116">
        <v>627.75</v>
      </c>
      <c r="G1548">
        <v>201548</v>
      </c>
      <c r="H1548" s="116"/>
      <c r="I1548" s="116"/>
      <c r="L1548" s="170">
        <v>44281</v>
      </c>
      <c r="M1548" s="116">
        <v>620.58631724238103</v>
      </c>
      <c r="N1548" s="116">
        <v>627.15467473030401</v>
      </c>
      <c r="O1548" s="116">
        <v>607.54837455958705</v>
      </c>
      <c r="P1548" s="116">
        <v>612.38821691910903</v>
      </c>
      <c r="Q1548" s="116">
        <v>628.29999999999995</v>
      </c>
      <c r="R1548">
        <v>3557256</v>
      </c>
    </row>
    <row r="1549" spans="1:18" x14ac:dyDescent="0.25">
      <c r="A1549" s="170">
        <v>44285</v>
      </c>
      <c r="B1549" s="116">
        <v>629.77149541974495</v>
      </c>
      <c r="C1549" s="116">
        <v>621.77094787755505</v>
      </c>
      <c r="D1549" s="116">
        <v>610.16521533178695</v>
      </c>
      <c r="E1549" s="116">
        <v>623.64761952325398</v>
      </c>
      <c r="F1549" s="116">
        <v>629.5</v>
      </c>
      <c r="G1549">
        <v>206222</v>
      </c>
      <c r="H1549" s="116"/>
      <c r="I1549" s="116"/>
      <c r="L1549" s="170">
        <v>44285</v>
      </c>
      <c r="M1549" s="116">
        <v>621.17895100068995</v>
      </c>
      <c r="N1549" s="116">
        <v>629.77214049616805</v>
      </c>
      <c r="O1549" s="116">
        <v>609.96829573934804</v>
      </c>
      <c r="P1549" s="116">
        <v>623.105010715194</v>
      </c>
      <c r="Q1549" s="116">
        <v>628.9</v>
      </c>
      <c r="R1549">
        <v>19895352</v>
      </c>
    </row>
    <row r="1550" spans="1:18" x14ac:dyDescent="0.25">
      <c r="A1550" s="170">
        <v>44286</v>
      </c>
      <c r="B1550" s="116">
        <v>637.67327077005496</v>
      </c>
      <c r="C1550" s="116">
        <v>630.66044514665396</v>
      </c>
      <c r="D1550" s="116">
        <v>622.26480883695001</v>
      </c>
      <c r="E1550" s="116">
        <v>622.26480883695001</v>
      </c>
      <c r="F1550" s="116">
        <v>638.5</v>
      </c>
      <c r="G1550">
        <v>345440</v>
      </c>
      <c r="H1550" s="116"/>
      <c r="I1550" s="116"/>
      <c r="L1550" s="170">
        <v>44286</v>
      </c>
      <c r="M1550" s="116">
        <v>631.05618030583696</v>
      </c>
      <c r="N1550" s="116">
        <v>637.772696233337</v>
      </c>
      <c r="O1550" s="116">
        <v>622.26544622425604</v>
      </c>
      <c r="P1550" s="116">
        <v>622.26544622425604</v>
      </c>
      <c r="Q1550" s="116">
        <v>638.9</v>
      </c>
      <c r="R1550">
        <v>4424477</v>
      </c>
    </row>
    <row r="1551" spans="1:18" x14ac:dyDescent="0.25">
      <c r="A1551" s="170">
        <v>44287</v>
      </c>
      <c r="B1551" s="116">
        <v>645.17995735285001</v>
      </c>
      <c r="C1551" s="116">
        <v>642.31556378836206</v>
      </c>
      <c r="D1551" s="116">
        <v>633.08036384768695</v>
      </c>
      <c r="E1551" s="116">
        <v>637.82142905787305</v>
      </c>
      <c r="F1551" s="116">
        <v>650.29999999999995</v>
      </c>
      <c r="G1551">
        <v>218744</v>
      </c>
      <c r="H1551" s="116"/>
      <c r="I1551" s="116"/>
      <c r="L1551" s="170">
        <v>44287</v>
      </c>
      <c r="M1551" s="116">
        <v>642.16806327412701</v>
      </c>
      <c r="N1551" s="116">
        <v>644.93368747956902</v>
      </c>
      <c r="O1551" s="116">
        <v>632.78469543423796</v>
      </c>
      <c r="P1551" s="116">
        <v>633.13039845991796</v>
      </c>
      <c r="Q1551" s="116">
        <v>650.15</v>
      </c>
      <c r="R1551">
        <v>3844057</v>
      </c>
    </row>
    <row r="1552" spans="1:18" x14ac:dyDescent="0.25">
      <c r="A1552" s="170">
        <v>44291</v>
      </c>
      <c r="B1552" s="116">
        <v>643.00696913151501</v>
      </c>
      <c r="C1552" s="116">
        <v>636.68554885126605</v>
      </c>
      <c r="D1552" s="116">
        <v>631.35185048980702</v>
      </c>
      <c r="E1552" s="116">
        <v>643.00696913151501</v>
      </c>
      <c r="F1552" s="116">
        <v>644.6</v>
      </c>
      <c r="G1552">
        <v>506645</v>
      </c>
      <c r="H1552" s="116"/>
      <c r="I1552" s="116"/>
      <c r="L1552" s="170">
        <v>44291</v>
      </c>
      <c r="M1552" s="116">
        <v>637.03190403545102</v>
      </c>
      <c r="N1552" s="116">
        <v>643.945964549054</v>
      </c>
      <c r="O1552" s="116">
        <v>631.35249718499199</v>
      </c>
      <c r="P1552" s="116">
        <v>643.945964549054</v>
      </c>
      <c r="Q1552" s="116">
        <v>644.95000000000005</v>
      </c>
      <c r="R1552">
        <v>3568896</v>
      </c>
    </row>
    <row r="1553" spans="1:18" x14ac:dyDescent="0.25">
      <c r="A1553" s="170">
        <v>44292</v>
      </c>
      <c r="B1553" s="116">
        <v>670.21870799414603</v>
      </c>
      <c r="C1553" s="116">
        <v>665.872731551475</v>
      </c>
      <c r="D1553" s="116">
        <v>630.66044514665396</v>
      </c>
      <c r="E1553" s="116">
        <v>637.08063761878202</v>
      </c>
      <c r="F1553" s="116">
        <v>674.15</v>
      </c>
      <c r="G1553">
        <v>287192</v>
      </c>
      <c r="H1553" s="116"/>
      <c r="I1553" s="116"/>
      <c r="L1553" s="170">
        <v>44292</v>
      </c>
      <c r="M1553" s="116">
        <v>666.26850277868596</v>
      </c>
      <c r="N1553" s="116">
        <v>670.66386981947596</v>
      </c>
      <c r="O1553" s="116">
        <v>630.26600196142499</v>
      </c>
      <c r="P1553" s="116">
        <v>637.27883476807995</v>
      </c>
      <c r="Q1553" s="116">
        <v>674.55</v>
      </c>
      <c r="R1553">
        <v>7636739</v>
      </c>
    </row>
    <row r="1554" spans="1:18" x14ac:dyDescent="0.25">
      <c r="A1554" s="170">
        <v>44293</v>
      </c>
      <c r="B1554" s="116">
        <v>668.09510586875001</v>
      </c>
      <c r="C1554" s="116">
        <v>656.98323428237597</v>
      </c>
      <c r="D1554" s="116">
        <v>651.20506105746199</v>
      </c>
      <c r="E1554" s="116">
        <v>668.09510586875001</v>
      </c>
      <c r="F1554" s="116">
        <v>665.15</v>
      </c>
      <c r="G1554">
        <v>149215</v>
      </c>
      <c r="H1554" s="116"/>
      <c r="I1554" s="116"/>
      <c r="L1554" s="170">
        <v>44293</v>
      </c>
      <c r="M1554" s="116">
        <v>657.57654099015701</v>
      </c>
      <c r="N1554" s="116">
        <v>666.66359195089206</v>
      </c>
      <c r="O1554" s="116">
        <v>651.05756964876002</v>
      </c>
      <c r="P1554" s="116">
        <v>666.66359195089206</v>
      </c>
      <c r="Q1554" s="116">
        <v>665.75</v>
      </c>
      <c r="R1554">
        <v>3898156</v>
      </c>
    </row>
    <row r="1555" spans="1:18" x14ac:dyDescent="0.25">
      <c r="A1555" s="170">
        <v>44294</v>
      </c>
      <c r="B1555" s="116">
        <v>668.68773902002397</v>
      </c>
      <c r="C1555" s="116">
        <v>661.77368558850196</v>
      </c>
      <c r="D1555" s="116">
        <v>657.18077866613396</v>
      </c>
      <c r="E1555" s="116">
        <v>657.82279791334702</v>
      </c>
      <c r="F1555" s="116">
        <v>670</v>
      </c>
      <c r="G1555">
        <v>435126</v>
      </c>
      <c r="H1555" s="116"/>
      <c r="I1555" s="116"/>
      <c r="L1555" s="170">
        <v>44294</v>
      </c>
      <c r="M1555" s="116">
        <v>662.46576949620396</v>
      </c>
      <c r="N1555" s="116">
        <v>668.88596854455</v>
      </c>
      <c r="O1555" s="116">
        <v>658.613650067197</v>
      </c>
      <c r="P1555" s="116">
        <v>658.86058079982604</v>
      </c>
      <c r="Q1555" s="116">
        <v>670.7</v>
      </c>
      <c r="R1555">
        <v>2477848</v>
      </c>
    </row>
    <row r="1556" spans="1:18" x14ac:dyDescent="0.25">
      <c r="A1556" s="170">
        <v>44295</v>
      </c>
      <c r="B1556" s="116">
        <v>676.49074217845498</v>
      </c>
      <c r="C1556" s="116">
        <v>670.95949943323797</v>
      </c>
      <c r="D1556" s="116">
        <v>657.13139257019395</v>
      </c>
      <c r="E1556" s="116">
        <v>665.72457326365702</v>
      </c>
      <c r="F1556" s="116">
        <v>679.3</v>
      </c>
      <c r="G1556">
        <v>101015</v>
      </c>
      <c r="H1556" s="116"/>
      <c r="I1556" s="116"/>
      <c r="L1556" s="170">
        <v>44295</v>
      </c>
      <c r="M1556" s="116">
        <v>671.45404816388805</v>
      </c>
      <c r="N1556" s="116">
        <v>676.59020740256403</v>
      </c>
      <c r="O1556" s="116">
        <v>656.83574879227103</v>
      </c>
      <c r="P1556" s="116">
        <v>661.77436344484397</v>
      </c>
      <c r="Q1556" s="116">
        <v>679.8</v>
      </c>
      <c r="R1556">
        <v>2566543</v>
      </c>
    </row>
    <row r="1557" spans="1:18" x14ac:dyDescent="0.25">
      <c r="A1557" s="170">
        <v>44298</v>
      </c>
      <c r="B1557" s="116">
        <v>670.66318285760099</v>
      </c>
      <c r="C1557" s="116">
        <v>648.34066749297403</v>
      </c>
      <c r="D1557" s="116">
        <v>642.06863330866497</v>
      </c>
      <c r="E1557" s="116">
        <v>670.66318285760099</v>
      </c>
      <c r="F1557" s="116">
        <v>656.4</v>
      </c>
      <c r="G1557">
        <v>257372</v>
      </c>
      <c r="H1557" s="116"/>
      <c r="I1557" s="116"/>
      <c r="L1557" s="170">
        <v>44298</v>
      </c>
      <c r="M1557" s="116">
        <v>647.55115324543203</v>
      </c>
      <c r="N1557" s="116">
        <v>667.30561185572606</v>
      </c>
      <c r="O1557" s="116">
        <v>642.01990483454995</v>
      </c>
      <c r="P1557" s="116">
        <v>666.71297809741702</v>
      </c>
      <c r="Q1557" s="116">
        <v>655.6</v>
      </c>
      <c r="R1557">
        <v>4201041</v>
      </c>
    </row>
    <row r="1558" spans="1:18" x14ac:dyDescent="0.25">
      <c r="A1558" s="170">
        <v>44299</v>
      </c>
      <c r="B1558" s="116">
        <v>669.62607484287298</v>
      </c>
      <c r="C1558" s="116">
        <v>655.20533482855603</v>
      </c>
      <c r="D1558" s="116">
        <v>645.97013488788104</v>
      </c>
      <c r="E1558" s="116">
        <v>645.97013488788104</v>
      </c>
      <c r="F1558" s="116">
        <v>663.35</v>
      </c>
      <c r="G1558">
        <v>168529</v>
      </c>
      <c r="H1558" s="116"/>
      <c r="I1558" s="116"/>
      <c r="L1558" s="170">
        <v>44299</v>
      </c>
      <c r="M1558" s="116">
        <v>655.79863971523002</v>
      </c>
      <c r="N1558" s="116">
        <v>669.57737459590999</v>
      </c>
      <c r="O1558" s="116">
        <v>647.94624241763802</v>
      </c>
      <c r="P1558" s="116">
        <v>648.93396534815304</v>
      </c>
      <c r="Q1558" s="116">
        <v>663.95</v>
      </c>
      <c r="R1558">
        <v>3065417</v>
      </c>
    </row>
    <row r="1559" spans="1:18" x14ac:dyDescent="0.25">
      <c r="A1559" s="170">
        <v>44301</v>
      </c>
      <c r="B1559" s="116">
        <v>665.72457326365702</v>
      </c>
      <c r="C1559" s="116">
        <v>651.20506105746199</v>
      </c>
      <c r="D1559" s="116">
        <v>636.83370713908403</v>
      </c>
      <c r="E1559" s="116">
        <v>656.53875941892102</v>
      </c>
      <c r="F1559" s="116">
        <v>659.3</v>
      </c>
      <c r="G1559">
        <v>123326</v>
      </c>
      <c r="H1559" s="116"/>
      <c r="I1559" s="116"/>
      <c r="L1559" s="170">
        <v>44301</v>
      </c>
      <c r="M1559" s="116">
        <v>651.20572808833697</v>
      </c>
      <c r="N1559" s="116">
        <v>665.72525516690303</v>
      </c>
      <c r="O1559" s="116">
        <v>639.20489448258297</v>
      </c>
      <c r="P1559" s="116">
        <v>654.66275834513795</v>
      </c>
      <c r="Q1559" s="116">
        <v>659.3</v>
      </c>
      <c r="R1559">
        <v>3193956</v>
      </c>
    </row>
    <row r="1560" spans="1:18" x14ac:dyDescent="0.25">
      <c r="A1560" s="170">
        <v>44302</v>
      </c>
      <c r="B1560" s="116">
        <v>668.14449196469002</v>
      </c>
      <c r="C1560" s="116">
        <v>662.86017969916998</v>
      </c>
      <c r="D1560" s="116">
        <v>652.63725783970494</v>
      </c>
      <c r="E1560" s="116">
        <v>656.736303802679</v>
      </c>
      <c r="F1560" s="116">
        <v>671.1</v>
      </c>
      <c r="G1560">
        <v>115701</v>
      </c>
      <c r="H1560" s="116"/>
      <c r="I1560" s="116"/>
      <c r="L1560" s="170">
        <v>44302</v>
      </c>
      <c r="M1560" s="116">
        <v>663.058403254513</v>
      </c>
      <c r="N1560" s="116">
        <v>668.24394863971497</v>
      </c>
      <c r="O1560" s="116">
        <v>652.19345101885096</v>
      </c>
      <c r="P1560" s="116">
        <v>654.66275834513795</v>
      </c>
      <c r="Q1560" s="116">
        <v>671.3</v>
      </c>
      <c r="R1560">
        <v>2708331</v>
      </c>
    </row>
    <row r="1561" spans="1:18" x14ac:dyDescent="0.25">
      <c r="A1561" s="170">
        <v>44305</v>
      </c>
      <c r="B1561" s="116">
        <v>659.94640003874304</v>
      </c>
      <c r="C1561" s="116">
        <v>655.551037500132</v>
      </c>
      <c r="D1561" s="116">
        <v>643.50083009090895</v>
      </c>
      <c r="E1561" s="116">
        <v>659.79824175092403</v>
      </c>
      <c r="F1561" s="116">
        <v>663.7</v>
      </c>
      <c r="G1561">
        <v>101428</v>
      </c>
      <c r="H1561" s="116"/>
      <c r="I1561" s="116"/>
      <c r="L1561" s="170">
        <v>44305</v>
      </c>
      <c r="M1561" s="116">
        <v>655.94679815480697</v>
      </c>
      <c r="N1561" s="116">
        <v>660.58909592822602</v>
      </c>
      <c r="O1561" s="116">
        <v>643.50148923032202</v>
      </c>
      <c r="P1561" s="116">
        <v>653.87258000072597</v>
      </c>
      <c r="Q1561" s="116">
        <v>664.1</v>
      </c>
      <c r="R1561">
        <v>2620095</v>
      </c>
    </row>
    <row r="1562" spans="1:18" x14ac:dyDescent="0.25">
      <c r="A1562" s="170">
        <v>44306</v>
      </c>
      <c r="B1562" s="116">
        <v>689.47928541052795</v>
      </c>
      <c r="C1562" s="116">
        <v>671.05827162511696</v>
      </c>
      <c r="D1562" s="116">
        <v>662.26754654789602</v>
      </c>
      <c r="E1562" s="116">
        <v>663.74912942607898</v>
      </c>
      <c r="F1562" s="116">
        <v>679.4</v>
      </c>
      <c r="G1562">
        <v>397537</v>
      </c>
      <c r="H1562" s="116"/>
      <c r="I1562" s="116"/>
      <c r="L1562" s="170">
        <v>44306</v>
      </c>
      <c r="M1562" s="116">
        <v>671.75036504304205</v>
      </c>
      <c r="N1562" s="116">
        <v>689.43060549925497</v>
      </c>
      <c r="O1562" s="116">
        <v>658.11978860193994</v>
      </c>
      <c r="P1562" s="116">
        <v>669.03412698412706</v>
      </c>
      <c r="Q1562" s="116">
        <v>680.1</v>
      </c>
      <c r="R1562">
        <v>8230341</v>
      </c>
    </row>
    <row r="1563" spans="1:18" x14ac:dyDescent="0.25">
      <c r="A1563" s="170">
        <v>44308</v>
      </c>
      <c r="B1563" s="116">
        <v>670.66318285760099</v>
      </c>
      <c r="C1563" s="116">
        <v>657.37832304989195</v>
      </c>
      <c r="D1563" s="116">
        <v>655.35349311637503</v>
      </c>
      <c r="E1563" s="116">
        <v>668.68773902002397</v>
      </c>
      <c r="F1563" s="116">
        <v>665.55</v>
      </c>
      <c r="G1563">
        <v>179523</v>
      </c>
      <c r="H1563" s="116"/>
      <c r="I1563" s="116"/>
      <c r="L1563" s="170">
        <v>44308</v>
      </c>
      <c r="M1563" s="116">
        <v>657.32961025752797</v>
      </c>
      <c r="N1563" s="116">
        <v>672.34299880135097</v>
      </c>
      <c r="O1563" s="116">
        <v>654.86030293124099</v>
      </c>
      <c r="P1563" s="116">
        <v>672.34299880135097</v>
      </c>
      <c r="Q1563" s="116">
        <v>665.5</v>
      </c>
      <c r="R1563">
        <v>3013453</v>
      </c>
    </row>
    <row r="1564" spans="1:18" x14ac:dyDescent="0.25">
      <c r="A1564" s="170">
        <v>44309</v>
      </c>
      <c r="B1564" s="116">
        <v>667.25554223777999</v>
      </c>
      <c r="C1564" s="116">
        <v>656.29182893922405</v>
      </c>
      <c r="D1564" s="116">
        <v>652.63725783970494</v>
      </c>
      <c r="E1564" s="116">
        <v>657.32893695395205</v>
      </c>
      <c r="F1564" s="116">
        <v>664.45</v>
      </c>
      <c r="G1564">
        <v>153422</v>
      </c>
      <c r="H1564" s="116"/>
      <c r="I1564" s="116"/>
      <c r="L1564" s="170">
        <v>44309</v>
      </c>
      <c r="M1564" s="116">
        <v>656.44065962006505</v>
      </c>
      <c r="N1564" s="116">
        <v>667.40438414877804</v>
      </c>
      <c r="O1564" s="116">
        <v>652.88485707021198</v>
      </c>
      <c r="P1564" s="116">
        <v>658.81119465330005</v>
      </c>
      <c r="Q1564" s="116">
        <v>664.6</v>
      </c>
      <c r="R1564">
        <v>2329094</v>
      </c>
    </row>
    <row r="1565" spans="1:18" x14ac:dyDescent="0.25">
      <c r="A1565" s="170">
        <v>44312</v>
      </c>
      <c r="B1565" s="116">
        <v>666.51475079868806</v>
      </c>
      <c r="C1565" s="116">
        <v>661.57614120474398</v>
      </c>
      <c r="D1565" s="116">
        <v>654.11884071788904</v>
      </c>
      <c r="E1565" s="116">
        <v>657.18077866613396</v>
      </c>
      <c r="F1565" s="116">
        <v>669.8</v>
      </c>
      <c r="G1565">
        <v>63322</v>
      </c>
      <c r="H1565" s="116"/>
      <c r="I1565" s="116"/>
      <c r="L1565" s="170">
        <v>44312</v>
      </c>
      <c r="M1565" s="116">
        <v>661.97190803094702</v>
      </c>
      <c r="N1565" s="116">
        <v>666.71297809741702</v>
      </c>
      <c r="O1565" s="116">
        <v>653.92196614725196</v>
      </c>
      <c r="P1565" s="116">
        <v>658.81119465330005</v>
      </c>
      <c r="Q1565" s="116">
        <v>670.2</v>
      </c>
      <c r="R1565">
        <v>1845322</v>
      </c>
    </row>
    <row r="1566" spans="1:18" x14ac:dyDescent="0.25">
      <c r="A1566" s="170">
        <v>44313</v>
      </c>
      <c r="B1566" s="116">
        <v>671.55213258451101</v>
      </c>
      <c r="C1566" s="116">
        <v>666.51475079868806</v>
      </c>
      <c r="D1566" s="116">
        <v>659.89701394280303</v>
      </c>
      <c r="E1566" s="116">
        <v>666.71229518244604</v>
      </c>
      <c r="F1566" s="116">
        <v>674.8</v>
      </c>
      <c r="G1566">
        <v>208053</v>
      </c>
      <c r="H1566" s="116"/>
      <c r="I1566" s="116"/>
      <c r="L1566" s="170">
        <v>44313</v>
      </c>
      <c r="M1566" s="116">
        <v>665.428938287748</v>
      </c>
      <c r="N1566" s="116">
        <v>671.552820456939</v>
      </c>
      <c r="O1566" s="116">
        <v>659.89768987686602</v>
      </c>
      <c r="P1566" s="116">
        <v>666.66359195089206</v>
      </c>
      <c r="Q1566" s="116">
        <v>673.7</v>
      </c>
      <c r="R1566">
        <v>2258769</v>
      </c>
    </row>
    <row r="1567" spans="1:18" x14ac:dyDescent="0.25">
      <c r="A1567" s="170">
        <v>44314</v>
      </c>
      <c r="B1567" s="116">
        <v>684.04681485718902</v>
      </c>
      <c r="C1567" s="116">
        <v>668.98405559566004</v>
      </c>
      <c r="D1567" s="116">
        <v>666.71229518244604</v>
      </c>
      <c r="E1567" s="116">
        <v>666.71229518244604</v>
      </c>
      <c r="F1567" s="116">
        <v>677.3</v>
      </c>
      <c r="G1567">
        <v>259320</v>
      </c>
      <c r="H1567" s="116"/>
      <c r="I1567" s="116"/>
      <c r="L1567" s="170">
        <v>44314</v>
      </c>
      <c r="M1567" s="116">
        <v>668.83658239802401</v>
      </c>
      <c r="N1567" s="116">
        <v>684.49199084668203</v>
      </c>
      <c r="O1567" s="116">
        <v>666.71297809741702</v>
      </c>
      <c r="P1567" s="116">
        <v>668.68842395844695</v>
      </c>
      <c r="Q1567" s="116">
        <v>677.15</v>
      </c>
      <c r="R1567">
        <v>3900923</v>
      </c>
    </row>
    <row r="1568" spans="1:18" x14ac:dyDescent="0.25">
      <c r="A1568" s="170">
        <v>44315</v>
      </c>
      <c r="B1568" s="116">
        <v>671.65090477639001</v>
      </c>
      <c r="C1568" s="116">
        <v>663.30465456262402</v>
      </c>
      <c r="D1568" s="116">
        <v>658.02034229710398</v>
      </c>
      <c r="E1568" s="116">
        <v>669.67546093881197</v>
      </c>
      <c r="F1568" s="116">
        <v>671.55</v>
      </c>
      <c r="G1568">
        <v>191822</v>
      </c>
      <c r="H1568" s="116"/>
      <c r="I1568" s="116"/>
      <c r="L1568" s="170">
        <v>44315</v>
      </c>
      <c r="M1568" s="116">
        <v>663.60165086629604</v>
      </c>
      <c r="N1568" s="116">
        <v>672.09606806872296</v>
      </c>
      <c r="O1568" s="116">
        <v>657.82347172278503</v>
      </c>
      <c r="P1568" s="116">
        <v>670.02184991464196</v>
      </c>
      <c r="Q1568" s="116">
        <v>671.85</v>
      </c>
      <c r="R1568">
        <v>3247095</v>
      </c>
    </row>
    <row r="1569" spans="1:18" x14ac:dyDescent="0.25">
      <c r="A1569" s="170">
        <v>44316</v>
      </c>
      <c r="B1569" s="116">
        <v>669.92239141850996</v>
      </c>
      <c r="C1569" s="116">
        <v>663.55158504232202</v>
      </c>
      <c r="D1569" s="116">
        <v>656.78568989861799</v>
      </c>
      <c r="E1569" s="116">
        <v>663.65035723420101</v>
      </c>
      <c r="F1569" s="116">
        <v>671.8</v>
      </c>
      <c r="G1569">
        <v>126682</v>
      </c>
      <c r="H1569" s="116"/>
      <c r="I1569" s="116"/>
      <c r="L1569" s="170">
        <v>44316</v>
      </c>
      <c r="M1569" s="116">
        <v>661.28050197958703</v>
      </c>
      <c r="N1569" s="116">
        <v>669.67614688896197</v>
      </c>
      <c r="O1569" s="116">
        <v>656.885134938796</v>
      </c>
      <c r="P1569" s="116">
        <v>662.76208637535899</v>
      </c>
      <c r="Q1569" s="116">
        <v>669.5</v>
      </c>
      <c r="R1569">
        <v>2206232</v>
      </c>
    </row>
    <row r="1570" spans="1:18" x14ac:dyDescent="0.25">
      <c r="A1570" s="170">
        <v>44319</v>
      </c>
      <c r="B1570" s="116">
        <v>673.82389299772501</v>
      </c>
      <c r="C1570" s="116">
        <v>668.78651121190205</v>
      </c>
      <c r="D1570" s="116">
        <v>652.88418831940305</v>
      </c>
      <c r="E1570" s="116">
        <v>652.88418831940305</v>
      </c>
      <c r="F1570" s="116">
        <v>677.1</v>
      </c>
      <c r="G1570">
        <v>147395</v>
      </c>
      <c r="H1570" s="116"/>
      <c r="I1570" s="116"/>
      <c r="L1570" s="170">
        <v>44319</v>
      </c>
      <c r="M1570" s="116">
        <v>668.78719625149802</v>
      </c>
      <c r="N1570" s="116">
        <v>674.12090007627796</v>
      </c>
      <c r="O1570" s="116">
        <v>652.88485707021198</v>
      </c>
      <c r="P1570" s="116">
        <v>653.72442156114903</v>
      </c>
      <c r="Q1570" s="116">
        <v>677.1</v>
      </c>
      <c r="R1570">
        <v>1985777</v>
      </c>
    </row>
    <row r="1571" spans="1:18" x14ac:dyDescent="0.25">
      <c r="A1571" s="170">
        <v>44320</v>
      </c>
      <c r="B1571" s="116">
        <v>677.82416676881996</v>
      </c>
      <c r="C1571" s="116">
        <v>637.03125152284201</v>
      </c>
      <c r="D1571" s="116">
        <v>634.11747186241496</v>
      </c>
      <c r="E1571" s="116">
        <v>674.41652614899897</v>
      </c>
      <c r="F1571" s="116">
        <v>644.95000000000005</v>
      </c>
      <c r="G1571">
        <v>651047</v>
      </c>
      <c r="H1571" s="116"/>
      <c r="I1571" s="116"/>
      <c r="L1571" s="170">
        <v>44320</v>
      </c>
      <c r="M1571" s="116">
        <v>637.32822091460503</v>
      </c>
      <c r="N1571" s="116">
        <v>677.87424721223294</v>
      </c>
      <c r="O1571" s="116">
        <v>633.673646071701</v>
      </c>
      <c r="P1571" s="116">
        <v>672.639315680506</v>
      </c>
      <c r="Q1571" s="116">
        <v>645.25</v>
      </c>
      <c r="R1571">
        <v>7400792</v>
      </c>
    </row>
    <row r="1572" spans="1:18" x14ac:dyDescent="0.25">
      <c r="A1572" s="170">
        <v>44321</v>
      </c>
      <c r="B1572" s="116">
        <v>648.58759797267101</v>
      </c>
      <c r="C1572" s="116">
        <v>641.42661406145203</v>
      </c>
      <c r="D1572" s="116">
        <v>632.24080021671602</v>
      </c>
      <c r="E1572" s="116">
        <v>646.85908461479096</v>
      </c>
      <c r="F1572" s="116">
        <v>649.4</v>
      </c>
      <c r="G1572">
        <v>117793</v>
      </c>
      <c r="H1572" s="116"/>
      <c r="I1572" s="116"/>
      <c r="L1572" s="170">
        <v>44321</v>
      </c>
      <c r="M1572" s="116">
        <v>641.08156805056103</v>
      </c>
      <c r="N1572" s="116">
        <v>647.94624241763802</v>
      </c>
      <c r="O1572" s="116">
        <v>632.19206167592904</v>
      </c>
      <c r="P1572" s="116">
        <v>641.03218190403595</v>
      </c>
      <c r="Q1572" s="116">
        <v>649.04999999999995</v>
      </c>
      <c r="R1572">
        <v>3332318</v>
      </c>
    </row>
    <row r="1573" spans="1:18" x14ac:dyDescent="0.25">
      <c r="A1573" s="170">
        <v>44322</v>
      </c>
      <c r="B1573" s="116">
        <v>646.95785680666995</v>
      </c>
      <c r="C1573" s="116">
        <v>645.377501736608</v>
      </c>
      <c r="D1573" s="116">
        <v>630.31474247507799</v>
      </c>
      <c r="E1573" s="116">
        <v>646.85908461479096</v>
      </c>
      <c r="F1573" s="116">
        <v>653.4</v>
      </c>
      <c r="G1573">
        <v>376066</v>
      </c>
      <c r="H1573" s="116"/>
      <c r="I1573" s="116"/>
      <c r="L1573" s="170">
        <v>44322</v>
      </c>
      <c r="M1573" s="116">
        <v>645.08184591914596</v>
      </c>
      <c r="N1573" s="116">
        <v>646.90913334059803</v>
      </c>
      <c r="O1573" s="116">
        <v>630.31538810795098</v>
      </c>
      <c r="P1573" s="116">
        <v>643.99535069557999</v>
      </c>
      <c r="Q1573" s="116">
        <v>653.1</v>
      </c>
      <c r="R1573">
        <v>4000163</v>
      </c>
    </row>
    <row r="1574" spans="1:18" x14ac:dyDescent="0.25">
      <c r="A1574" s="170">
        <v>44323</v>
      </c>
      <c r="B1574" s="116">
        <v>634.01869967053597</v>
      </c>
      <c r="C1574" s="116">
        <v>621.27708691816099</v>
      </c>
      <c r="D1574" s="116">
        <v>606.70818861602595</v>
      </c>
      <c r="E1574" s="116">
        <v>627.20341843089398</v>
      </c>
      <c r="F1574" s="116">
        <v>629</v>
      </c>
      <c r="G1574">
        <v>1037484</v>
      </c>
      <c r="H1574" s="116"/>
      <c r="I1574" s="116"/>
      <c r="L1574" s="170">
        <v>44323</v>
      </c>
      <c r="M1574" s="116">
        <v>621.27772329374204</v>
      </c>
      <c r="N1574" s="116">
        <v>634.11812139043298</v>
      </c>
      <c r="O1574" s="116">
        <v>606.46187933602096</v>
      </c>
      <c r="P1574" s="116">
        <v>628.191783807344</v>
      </c>
      <c r="Q1574" s="116">
        <v>629</v>
      </c>
      <c r="R1574">
        <v>14598653</v>
      </c>
    </row>
    <row r="1575" spans="1:18" x14ac:dyDescent="0.25">
      <c r="A1575" s="170">
        <v>44326</v>
      </c>
      <c r="B1575" s="116">
        <v>628.88254569283504</v>
      </c>
      <c r="C1575" s="116">
        <v>625.32674678519504</v>
      </c>
      <c r="D1575" s="116">
        <v>613.37531156784996</v>
      </c>
      <c r="E1575" s="116">
        <v>621.96849226131303</v>
      </c>
      <c r="F1575" s="116">
        <v>633.1</v>
      </c>
      <c r="G1575">
        <v>495360</v>
      </c>
      <c r="H1575" s="116"/>
      <c r="I1575" s="116"/>
      <c r="L1575" s="170">
        <v>44326</v>
      </c>
      <c r="M1575" s="116">
        <v>625.37677345537804</v>
      </c>
      <c r="N1575" s="116">
        <v>629.13012059133303</v>
      </c>
      <c r="O1575" s="116">
        <v>613.37593984962405</v>
      </c>
      <c r="P1575" s="116">
        <v>619.302277432712</v>
      </c>
      <c r="Q1575" s="116">
        <v>633.15</v>
      </c>
      <c r="R1575">
        <v>5026811</v>
      </c>
    </row>
    <row r="1576" spans="1:18" x14ac:dyDescent="0.25">
      <c r="A1576" s="170">
        <v>44327</v>
      </c>
      <c r="B1576" s="116">
        <v>641.92047502084699</v>
      </c>
      <c r="C1576" s="116">
        <v>633.96931357459698</v>
      </c>
      <c r="D1576" s="116">
        <v>618.61023773743102</v>
      </c>
      <c r="E1576" s="116">
        <v>621.77094787755505</v>
      </c>
      <c r="F1576" s="116">
        <v>641.85</v>
      </c>
      <c r="G1576">
        <v>170746</v>
      </c>
      <c r="H1576" s="116"/>
      <c r="I1576" s="116"/>
      <c r="L1576" s="170">
        <v>44327</v>
      </c>
      <c r="M1576" s="116">
        <v>633.72303221822699</v>
      </c>
      <c r="N1576" s="116">
        <v>641.92113254149899</v>
      </c>
      <c r="O1576" s="116">
        <v>617.32683157168299</v>
      </c>
      <c r="P1576" s="116">
        <v>620.29000036322702</v>
      </c>
      <c r="Q1576" s="116">
        <v>641.6</v>
      </c>
      <c r="R1576">
        <v>4619231</v>
      </c>
    </row>
    <row r="1577" spans="1:18" x14ac:dyDescent="0.25">
      <c r="A1577" s="170">
        <v>44328</v>
      </c>
      <c r="B1577" s="116">
        <v>638.56222049696498</v>
      </c>
      <c r="C1577" s="116">
        <v>631.84571144920096</v>
      </c>
      <c r="D1577" s="116">
        <v>622.26480883695001</v>
      </c>
      <c r="E1577" s="116">
        <v>635.10519378120398</v>
      </c>
      <c r="F1577" s="116">
        <v>639.70000000000005</v>
      </c>
      <c r="G1577">
        <v>336998</v>
      </c>
      <c r="H1577" s="116"/>
      <c r="I1577" s="116"/>
      <c r="L1577" s="170">
        <v>44328</v>
      </c>
      <c r="M1577" s="116">
        <v>632.19206167592904</v>
      </c>
      <c r="N1577" s="116">
        <v>638.76041916385202</v>
      </c>
      <c r="O1577" s="116">
        <v>623.35194144782201</v>
      </c>
      <c r="P1577" s="116">
        <v>637.08129018197701</v>
      </c>
      <c r="Q1577" s="116">
        <v>640.04999999999995</v>
      </c>
      <c r="R1577">
        <v>3137276</v>
      </c>
    </row>
    <row r="1578" spans="1:18" x14ac:dyDescent="0.25">
      <c r="A1578" s="170">
        <v>44330</v>
      </c>
      <c r="B1578" s="116">
        <v>641.27845577363405</v>
      </c>
      <c r="C1578" s="116">
        <v>637.13002371472101</v>
      </c>
      <c r="D1578" s="116">
        <v>630.364128571018</v>
      </c>
      <c r="E1578" s="116">
        <v>639.59932851169299</v>
      </c>
      <c r="F1578" s="116">
        <v>645.04999999999995</v>
      </c>
      <c r="G1578">
        <v>138418</v>
      </c>
      <c r="H1578" s="116"/>
      <c r="I1578" s="116"/>
      <c r="L1578" s="170">
        <v>44330</v>
      </c>
      <c r="M1578" s="116">
        <v>637.22944862155396</v>
      </c>
      <c r="N1578" s="116">
        <v>641.52604336929301</v>
      </c>
      <c r="O1578" s="116">
        <v>630.21661581490002</v>
      </c>
      <c r="P1578" s="116">
        <v>632.63653699466101</v>
      </c>
      <c r="Q1578" s="116">
        <v>645.15</v>
      </c>
      <c r="R1578">
        <v>2927148</v>
      </c>
    </row>
    <row r="1579" spans="1:18" x14ac:dyDescent="0.25">
      <c r="A1579" s="170">
        <v>44333</v>
      </c>
      <c r="B1579" s="116">
        <v>651.89646640061403</v>
      </c>
      <c r="C1579" s="116">
        <v>645.67381831224395</v>
      </c>
      <c r="D1579" s="116">
        <v>633.12974994362605</v>
      </c>
      <c r="E1579" s="116">
        <v>641.03152529393697</v>
      </c>
      <c r="F1579" s="116">
        <v>653.70000000000005</v>
      </c>
      <c r="G1579">
        <v>168917</v>
      </c>
      <c r="H1579" s="116"/>
      <c r="I1579" s="116"/>
      <c r="L1579" s="170">
        <v>44333</v>
      </c>
      <c r="M1579" s="116">
        <v>645.27939050524901</v>
      </c>
      <c r="N1579" s="116">
        <v>649.32905452035902</v>
      </c>
      <c r="O1579" s="116">
        <v>632.24144782245503</v>
      </c>
      <c r="P1579" s="116">
        <v>638.06901311249101</v>
      </c>
      <c r="Q1579" s="116">
        <v>653.29999999999995</v>
      </c>
      <c r="R1579">
        <v>2659352</v>
      </c>
    </row>
    <row r="1580" spans="1:18" x14ac:dyDescent="0.25">
      <c r="A1580" s="170">
        <v>44334</v>
      </c>
      <c r="B1580" s="116">
        <v>650.90874448182501</v>
      </c>
      <c r="C1580" s="116">
        <v>644.88364077721303</v>
      </c>
      <c r="D1580" s="116">
        <v>640.24134775890604</v>
      </c>
      <c r="E1580" s="116">
        <v>647.74803434170099</v>
      </c>
      <c r="F1580" s="116">
        <v>652.9</v>
      </c>
      <c r="G1580">
        <v>246392</v>
      </c>
      <c r="H1580" s="116"/>
      <c r="I1580" s="116"/>
      <c r="L1580" s="170">
        <v>44334</v>
      </c>
      <c r="M1580" s="116">
        <v>644.98307362609398</v>
      </c>
      <c r="N1580" s="116">
        <v>649.92168827866794</v>
      </c>
      <c r="O1580" s="116">
        <v>640.04445897352105</v>
      </c>
      <c r="P1580" s="116">
        <v>649.92168827866794</v>
      </c>
      <c r="Q1580" s="116">
        <v>653</v>
      </c>
      <c r="R1580">
        <v>2267368</v>
      </c>
    </row>
    <row r="1581" spans="1:18" x14ac:dyDescent="0.25">
      <c r="A1581" s="170">
        <v>44335</v>
      </c>
      <c r="B1581" s="116">
        <v>652.68664393564495</v>
      </c>
      <c r="C1581" s="116">
        <v>646.36522365539599</v>
      </c>
      <c r="D1581" s="116">
        <v>642.01924721272599</v>
      </c>
      <c r="E1581" s="116">
        <v>645.17995735285001</v>
      </c>
      <c r="F1581" s="116">
        <v>654.4</v>
      </c>
      <c r="G1581">
        <v>383413</v>
      </c>
      <c r="H1581" s="116"/>
      <c r="I1581" s="116"/>
      <c r="L1581" s="170">
        <v>44335</v>
      </c>
      <c r="M1581" s="116">
        <v>645.18061821219703</v>
      </c>
      <c r="N1581" s="116">
        <v>652.88485707021198</v>
      </c>
      <c r="O1581" s="116">
        <v>642.71131088591096</v>
      </c>
      <c r="P1581" s="116">
        <v>643.99535069557999</v>
      </c>
      <c r="Q1581" s="116">
        <v>653.20000000000005</v>
      </c>
      <c r="R1581">
        <v>3202046</v>
      </c>
    </row>
    <row r="1582" spans="1:18" x14ac:dyDescent="0.25">
      <c r="A1582" s="170">
        <v>44336</v>
      </c>
      <c r="B1582" s="116">
        <v>650.90874448182501</v>
      </c>
      <c r="C1582" s="116">
        <v>636.63616275532695</v>
      </c>
      <c r="D1582" s="116">
        <v>632.29018631265603</v>
      </c>
      <c r="E1582" s="116">
        <v>650.90874448182501</v>
      </c>
      <c r="F1582" s="116">
        <v>644.54999999999995</v>
      </c>
      <c r="G1582">
        <v>269459</v>
      </c>
      <c r="H1582" s="116"/>
      <c r="I1582" s="116"/>
      <c r="L1582" s="170">
        <v>44336</v>
      </c>
      <c r="M1582" s="116">
        <v>636.98251788892503</v>
      </c>
      <c r="N1582" s="116">
        <v>647.94624241763802</v>
      </c>
      <c r="O1582" s="116">
        <v>632.24144782245503</v>
      </c>
      <c r="P1582" s="116">
        <v>647.94624241763802</v>
      </c>
      <c r="Q1582" s="116">
        <v>644.9</v>
      </c>
      <c r="R1582">
        <v>2102743</v>
      </c>
    </row>
    <row r="1583" spans="1:18" x14ac:dyDescent="0.25">
      <c r="A1583" s="170">
        <v>44337</v>
      </c>
      <c r="B1583" s="116">
        <v>644.241621530001</v>
      </c>
      <c r="C1583" s="116">
        <v>641.27845577363405</v>
      </c>
      <c r="D1583" s="116">
        <v>635.10519378120398</v>
      </c>
      <c r="E1583" s="116">
        <v>635.10519378120398</v>
      </c>
      <c r="F1583" s="116">
        <v>649.25</v>
      </c>
      <c r="G1583">
        <v>74216</v>
      </c>
      <c r="H1583" s="116"/>
      <c r="I1583" s="116"/>
      <c r="L1583" s="170">
        <v>44337</v>
      </c>
      <c r="M1583" s="116">
        <v>641.72358795539606</v>
      </c>
      <c r="N1583" s="116">
        <v>644.48921216083704</v>
      </c>
      <c r="O1583" s="116">
        <v>636.389884130616</v>
      </c>
      <c r="P1583" s="116">
        <v>637.13067632850198</v>
      </c>
      <c r="Q1583" s="116">
        <v>649.70000000000005</v>
      </c>
      <c r="R1583">
        <v>1833201</v>
      </c>
    </row>
    <row r="1584" spans="1:18" x14ac:dyDescent="0.25">
      <c r="A1584" s="170">
        <v>44340</v>
      </c>
      <c r="B1584" s="116">
        <v>646.56276803915398</v>
      </c>
      <c r="C1584" s="116">
        <v>631.89509754513995</v>
      </c>
      <c r="D1584" s="116">
        <v>626.36385479992305</v>
      </c>
      <c r="E1584" s="116">
        <v>643.40205789902996</v>
      </c>
      <c r="F1584" s="116">
        <v>639.75</v>
      </c>
      <c r="G1584">
        <v>500358</v>
      </c>
      <c r="H1584" s="116"/>
      <c r="I1584" s="116"/>
      <c r="L1584" s="170">
        <v>44340</v>
      </c>
      <c r="M1584" s="116">
        <v>632.24144782245503</v>
      </c>
      <c r="N1584" s="116">
        <v>646.66220260796899</v>
      </c>
      <c r="O1584" s="116">
        <v>630.66109113363098</v>
      </c>
      <c r="P1584" s="116">
        <v>642.01990483454995</v>
      </c>
      <c r="Q1584" s="116">
        <v>640.1</v>
      </c>
      <c r="R1584">
        <v>2669967</v>
      </c>
    </row>
    <row r="1585" spans="1:18" x14ac:dyDescent="0.25">
      <c r="A1585" s="170">
        <v>44341</v>
      </c>
      <c r="B1585" s="116">
        <v>644.43916591375796</v>
      </c>
      <c r="C1585" s="116">
        <v>642.16740550054396</v>
      </c>
      <c r="D1585" s="116">
        <v>634.11747186241496</v>
      </c>
      <c r="E1585" s="116">
        <v>634.11747186241496</v>
      </c>
      <c r="F1585" s="116">
        <v>650.15</v>
      </c>
      <c r="G1585">
        <v>79126</v>
      </c>
      <c r="H1585" s="116"/>
      <c r="I1585" s="116"/>
      <c r="L1585" s="170">
        <v>44341</v>
      </c>
      <c r="M1585" s="116">
        <v>641.97051868802396</v>
      </c>
      <c r="N1585" s="116">
        <v>643.99535069557999</v>
      </c>
      <c r="O1585" s="116">
        <v>633.13039845991796</v>
      </c>
      <c r="P1585" s="116">
        <v>633.13039845991796</v>
      </c>
      <c r="Q1585" s="116">
        <v>649.95000000000005</v>
      </c>
      <c r="R1585">
        <v>2085253</v>
      </c>
    </row>
    <row r="1586" spans="1:18" x14ac:dyDescent="0.25">
      <c r="A1586" s="170">
        <v>44342</v>
      </c>
      <c r="B1586" s="116">
        <v>646.95785680666995</v>
      </c>
      <c r="C1586" s="116">
        <v>633.821155286779</v>
      </c>
      <c r="D1586" s="116">
        <v>632.78404727204997</v>
      </c>
      <c r="E1586" s="116">
        <v>643.994691050303</v>
      </c>
      <c r="F1586" s="116">
        <v>641.70000000000005</v>
      </c>
      <c r="G1586">
        <v>164182</v>
      </c>
      <c r="H1586" s="116"/>
      <c r="I1586" s="116"/>
      <c r="L1586" s="170">
        <v>44342</v>
      </c>
      <c r="M1586" s="116">
        <v>634.019349097381</v>
      </c>
      <c r="N1586" s="116">
        <v>646.95851948712402</v>
      </c>
      <c r="O1586" s="116">
        <v>632.78469543423796</v>
      </c>
      <c r="P1586" s="116">
        <v>643.99535069557999</v>
      </c>
      <c r="Q1586" s="116">
        <v>641.9</v>
      </c>
      <c r="R1586">
        <v>2314694</v>
      </c>
    </row>
    <row r="1587" spans="1:18" x14ac:dyDescent="0.25">
      <c r="A1587" s="170">
        <v>44343</v>
      </c>
      <c r="B1587" s="116">
        <v>643.69837447466705</v>
      </c>
      <c r="C1587" s="116">
        <v>641.08091138987595</v>
      </c>
      <c r="D1587" s="116">
        <v>633.62361090302102</v>
      </c>
      <c r="E1587" s="116">
        <v>636.092915699993</v>
      </c>
      <c r="F1587" s="116">
        <v>649.04999999999995</v>
      </c>
      <c r="G1587">
        <v>76815</v>
      </c>
      <c r="H1587" s="116"/>
      <c r="I1587" s="116"/>
      <c r="L1587" s="170">
        <v>44343</v>
      </c>
      <c r="M1587" s="116">
        <v>640.58770658530398</v>
      </c>
      <c r="N1587" s="116">
        <v>643.99535069557999</v>
      </c>
      <c r="O1587" s="116">
        <v>633.27855689949502</v>
      </c>
      <c r="P1587" s="116">
        <v>635.59970578620505</v>
      </c>
      <c r="Q1587" s="116">
        <v>648.54999999999995</v>
      </c>
      <c r="R1587">
        <v>3543940</v>
      </c>
    </row>
    <row r="1588" spans="1:18" x14ac:dyDescent="0.25">
      <c r="A1588" s="170">
        <v>44344</v>
      </c>
      <c r="B1588" s="116">
        <v>649.42716160364205</v>
      </c>
      <c r="C1588" s="116">
        <v>646.76031242291197</v>
      </c>
      <c r="D1588" s="116">
        <v>638.31529001726801</v>
      </c>
      <c r="E1588" s="116">
        <v>643.79714666654502</v>
      </c>
      <c r="F1588" s="116">
        <v>654.79999999999995</v>
      </c>
      <c r="G1588">
        <v>190097</v>
      </c>
      <c r="H1588" s="116"/>
      <c r="I1588" s="116"/>
      <c r="L1588" s="170">
        <v>44344</v>
      </c>
      <c r="M1588" s="116">
        <v>646.90913334059803</v>
      </c>
      <c r="N1588" s="116">
        <v>649.62537139951303</v>
      </c>
      <c r="O1588" s="116">
        <v>638.36532999164604</v>
      </c>
      <c r="P1588" s="116">
        <v>642.513766299807</v>
      </c>
      <c r="Q1588" s="116">
        <v>654.95000000000005</v>
      </c>
      <c r="R1588">
        <v>2881977</v>
      </c>
    </row>
    <row r="1589" spans="1:18" x14ac:dyDescent="0.25">
      <c r="A1589" s="170">
        <v>44347</v>
      </c>
      <c r="B1589" s="116">
        <v>656.68691770674002</v>
      </c>
      <c r="C1589" s="116">
        <v>655.551037500132</v>
      </c>
      <c r="D1589" s="116">
        <v>642.51310817212004</v>
      </c>
      <c r="E1589" s="116">
        <v>649.970408658976</v>
      </c>
      <c r="F1589" s="116">
        <v>663.7</v>
      </c>
      <c r="G1589">
        <v>113691</v>
      </c>
      <c r="H1589" s="116"/>
      <c r="I1589" s="116"/>
      <c r="L1589" s="170">
        <v>44347</v>
      </c>
      <c r="M1589" s="116">
        <v>655.69986742217895</v>
      </c>
      <c r="N1589" s="116">
        <v>656.83574879227103</v>
      </c>
      <c r="O1589" s="116">
        <v>642.217449420653</v>
      </c>
      <c r="P1589" s="116">
        <v>651.84774799317097</v>
      </c>
      <c r="Q1589" s="116">
        <v>663.85</v>
      </c>
      <c r="R1589">
        <v>3417033</v>
      </c>
    </row>
    <row r="1590" spans="1:18" x14ac:dyDescent="0.25">
      <c r="A1590" s="170">
        <v>44348</v>
      </c>
      <c r="B1590" s="116">
        <v>658.81051983213501</v>
      </c>
      <c r="C1590" s="116">
        <v>657.37832304989195</v>
      </c>
      <c r="D1590" s="116">
        <v>648.93330064424697</v>
      </c>
      <c r="E1590" s="116">
        <v>656.78568989861799</v>
      </c>
      <c r="F1590" s="116">
        <v>665.55</v>
      </c>
      <c r="G1590">
        <v>93537</v>
      </c>
      <c r="H1590" s="116"/>
      <c r="I1590" s="116"/>
      <c r="L1590" s="170">
        <v>44348</v>
      </c>
      <c r="M1590" s="116">
        <v>657.62592713668198</v>
      </c>
      <c r="N1590" s="116">
        <v>659.05812538592897</v>
      </c>
      <c r="O1590" s="116">
        <v>648.73642076204999</v>
      </c>
      <c r="P1590" s="116">
        <v>657.62592713668198</v>
      </c>
      <c r="Q1590" s="116">
        <v>665.8</v>
      </c>
      <c r="R1590">
        <v>2355484</v>
      </c>
    </row>
    <row r="1591" spans="1:18" x14ac:dyDescent="0.25">
      <c r="A1591" s="170">
        <v>44349</v>
      </c>
      <c r="B1591" s="116">
        <v>666.26782031899097</v>
      </c>
      <c r="C1591" s="116">
        <v>665.03316792050498</v>
      </c>
      <c r="D1591" s="116">
        <v>652.39032736000797</v>
      </c>
      <c r="E1591" s="116">
        <v>657.82279791334702</v>
      </c>
      <c r="F1591" s="116">
        <v>673.3</v>
      </c>
      <c r="G1591">
        <v>140209</v>
      </c>
      <c r="H1591" s="116"/>
      <c r="I1591" s="116"/>
      <c r="L1591" s="170">
        <v>44349</v>
      </c>
      <c r="M1591" s="116">
        <v>665.28077984817105</v>
      </c>
      <c r="N1591" s="116">
        <v>666.46604736478901</v>
      </c>
      <c r="O1591" s="116">
        <v>652.04529257927402</v>
      </c>
      <c r="P1591" s="116">
        <v>657.32961025752797</v>
      </c>
      <c r="Q1591" s="116">
        <v>673.55</v>
      </c>
      <c r="R1591">
        <v>3021421</v>
      </c>
    </row>
    <row r="1592" spans="1:18" x14ac:dyDescent="0.25">
      <c r="A1592" s="170">
        <v>44350</v>
      </c>
      <c r="B1592" s="116">
        <v>674.61407053275605</v>
      </c>
      <c r="C1592" s="116">
        <v>671.50274648857203</v>
      </c>
      <c r="D1592" s="116">
        <v>665.03316792050498</v>
      </c>
      <c r="E1592" s="116">
        <v>666.86045347026402</v>
      </c>
      <c r="F1592" s="116">
        <v>679.85</v>
      </c>
      <c r="G1592">
        <v>90291</v>
      </c>
      <c r="H1592" s="116"/>
      <c r="I1592" s="116"/>
      <c r="L1592" s="170">
        <v>44350</v>
      </c>
      <c r="M1592" s="116">
        <v>671.65159274999098</v>
      </c>
      <c r="N1592" s="116">
        <v>674.61476154153502</v>
      </c>
      <c r="O1592" s="116">
        <v>664.98446296901704</v>
      </c>
      <c r="P1592" s="116">
        <v>667.70070102793204</v>
      </c>
      <c r="Q1592" s="116">
        <v>680</v>
      </c>
      <c r="R1592">
        <v>2485855</v>
      </c>
    </row>
    <row r="1593" spans="1:18" x14ac:dyDescent="0.25">
      <c r="A1593" s="170">
        <v>44351</v>
      </c>
      <c r="B1593" s="116">
        <v>681.37996567645996</v>
      </c>
      <c r="C1593" s="116">
        <v>678.26864163227503</v>
      </c>
      <c r="D1593" s="116">
        <v>666.86045347026402</v>
      </c>
      <c r="E1593" s="116">
        <v>671.65090477639001</v>
      </c>
      <c r="F1593" s="116">
        <v>686.7</v>
      </c>
      <c r="G1593">
        <v>88202</v>
      </c>
      <c r="H1593" s="116"/>
      <c r="I1593" s="116"/>
      <c r="L1593" s="170">
        <v>44351</v>
      </c>
      <c r="M1593" s="116">
        <v>678.51626711706797</v>
      </c>
      <c r="N1593" s="116">
        <v>681.479435908612</v>
      </c>
      <c r="O1593" s="116">
        <v>666.71297809741702</v>
      </c>
      <c r="P1593" s="116">
        <v>672.49115724092803</v>
      </c>
      <c r="Q1593" s="116">
        <v>686.95</v>
      </c>
      <c r="R1593">
        <v>2398771</v>
      </c>
    </row>
    <row r="1594" spans="1:18" x14ac:dyDescent="0.25">
      <c r="A1594" s="170">
        <v>44354</v>
      </c>
      <c r="B1594" s="116">
        <v>697.82553562429302</v>
      </c>
      <c r="C1594" s="116">
        <v>691.40534315216598</v>
      </c>
      <c r="D1594" s="116">
        <v>678.71311649572999</v>
      </c>
      <c r="E1594" s="116">
        <v>679.55268012670001</v>
      </c>
      <c r="F1594" s="116">
        <v>700</v>
      </c>
      <c r="G1594">
        <v>151549</v>
      </c>
      <c r="H1594" s="116"/>
      <c r="I1594" s="116"/>
      <c r="L1594" s="170">
        <v>44354</v>
      </c>
      <c r="M1594" s="116">
        <v>691.35666521375902</v>
      </c>
      <c r="N1594" s="116">
        <v>698.32011187388798</v>
      </c>
      <c r="O1594" s="116">
        <v>678.86197014274796</v>
      </c>
      <c r="P1594" s="116">
        <v>681.52882205513799</v>
      </c>
      <c r="Q1594" s="116">
        <v>699.95</v>
      </c>
      <c r="R1594">
        <v>3511853</v>
      </c>
    </row>
    <row r="1595" spans="1:18" x14ac:dyDescent="0.25">
      <c r="A1595" s="170">
        <v>44355</v>
      </c>
      <c r="B1595" s="116">
        <v>706.66564679745295</v>
      </c>
      <c r="C1595" s="116">
        <v>701.18379014817504</v>
      </c>
      <c r="D1595" s="116">
        <v>692.88692603034895</v>
      </c>
      <c r="E1595" s="116">
        <v>695.50438911514004</v>
      </c>
      <c r="F1595" s="116">
        <v>709.9</v>
      </c>
      <c r="G1595">
        <v>272386</v>
      </c>
      <c r="H1595" s="116"/>
      <c r="I1595" s="116"/>
      <c r="L1595" s="170">
        <v>44355</v>
      </c>
      <c r="M1595" s="116">
        <v>701.72775598416297</v>
      </c>
      <c r="N1595" s="116">
        <v>706.61698449021105</v>
      </c>
      <c r="O1595" s="116">
        <v>692.98640804910804</v>
      </c>
      <c r="P1595" s="116">
        <v>696.492824452435</v>
      </c>
      <c r="Q1595" s="116">
        <v>710.45</v>
      </c>
      <c r="R1595">
        <v>3981598</v>
      </c>
    </row>
    <row r="1596" spans="1:18" x14ac:dyDescent="0.25">
      <c r="A1596" s="170">
        <v>44356</v>
      </c>
      <c r="B1596" s="116">
        <v>705.77669707054304</v>
      </c>
      <c r="C1596" s="116">
        <v>694.02280623695594</v>
      </c>
      <c r="D1596" s="116">
        <v>691.84981801562105</v>
      </c>
      <c r="E1596" s="116">
        <v>702.27028425884305</v>
      </c>
      <c r="F1596" s="116">
        <v>702.65</v>
      </c>
      <c r="G1596">
        <v>85054</v>
      </c>
      <c r="H1596" s="116"/>
      <c r="I1596" s="116"/>
      <c r="L1596" s="170">
        <v>44356</v>
      </c>
      <c r="M1596" s="116">
        <v>694.22106171225198</v>
      </c>
      <c r="N1596" s="116">
        <v>706.07373687842801</v>
      </c>
      <c r="O1596" s="116">
        <v>692.14684355817099</v>
      </c>
      <c r="P1596" s="116">
        <v>703.55504340561504</v>
      </c>
      <c r="Q1596" s="116">
        <v>702.85</v>
      </c>
      <c r="R1596">
        <v>3039558</v>
      </c>
    </row>
    <row r="1597" spans="1:18" x14ac:dyDescent="0.25">
      <c r="A1597" s="170">
        <v>44357</v>
      </c>
      <c r="B1597" s="116">
        <v>709.77697084163799</v>
      </c>
      <c r="C1597" s="116">
        <v>698.76387144714295</v>
      </c>
      <c r="D1597" s="116">
        <v>696.34395274610995</v>
      </c>
      <c r="E1597" s="116">
        <v>699.01080192684003</v>
      </c>
      <c r="F1597" s="116">
        <v>707.45</v>
      </c>
      <c r="G1597">
        <v>115243</v>
      </c>
      <c r="H1597" s="116"/>
      <c r="I1597" s="116"/>
      <c r="L1597" s="170">
        <v>44357</v>
      </c>
      <c r="M1597" s="116">
        <v>699.01151792524797</v>
      </c>
      <c r="N1597" s="116">
        <v>709.92585630743497</v>
      </c>
      <c r="O1597" s="116">
        <v>695.35694308234304</v>
      </c>
      <c r="P1597" s="116">
        <v>695.65325996149795</v>
      </c>
      <c r="Q1597" s="116">
        <v>707.7</v>
      </c>
      <c r="R1597">
        <v>2571253</v>
      </c>
    </row>
    <row r="1598" spans="1:18" x14ac:dyDescent="0.25">
      <c r="A1598" s="170">
        <v>44358</v>
      </c>
      <c r="B1598" s="116">
        <v>708.64109063503099</v>
      </c>
      <c r="C1598" s="116">
        <v>706.51748850963497</v>
      </c>
      <c r="D1598" s="116">
        <v>701.28256234005403</v>
      </c>
      <c r="E1598" s="116">
        <v>706.07301364618002</v>
      </c>
      <c r="F1598" s="116">
        <v>715.3</v>
      </c>
      <c r="G1598">
        <v>66491</v>
      </c>
      <c r="H1598" s="116"/>
      <c r="I1598" s="116"/>
      <c r="L1598" s="170">
        <v>44358</v>
      </c>
      <c r="M1598" s="116">
        <v>706.61698449021105</v>
      </c>
      <c r="N1598" s="116">
        <v>708.54304420471499</v>
      </c>
      <c r="O1598" s="116">
        <v>700.78941920017405</v>
      </c>
      <c r="P1598" s="116">
        <v>705.38233082706802</v>
      </c>
      <c r="Q1598" s="116">
        <v>715.4</v>
      </c>
      <c r="R1598">
        <v>2171601</v>
      </c>
    </row>
    <row r="1599" spans="1:18" x14ac:dyDescent="0.25">
      <c r="A1599" s="170">
        <v>44361</v>
      </c>
      <c r="B1599" s="116">
        <v>710.962237144185</v>
      </c>
      <c r="C1599" s="116">
        <v>705.87546926242203</v>
      </c>
      <c r="D1599" s="116">
        <v>694.36850890853304</v>
      </c>
      <c r="E1599" s="116">
        <v>710.962237144185</v>
      </c>
      <c r="F1599" s="116">
        <v>714.65</v>
      </c>
      <c r="G1599">
        <v>68183</v>
      </c>
      <c r="H1599" s="116"/>
      <c r="I1599" s="116"/>
      <c r="L1599" s="170">
        <v>44361</v>
      </c>
      <c r="M1599" s="116">
        <v>705.97496458537603</v>
      </c>
      <c r="N1599" s="116">
        <v>708.19734117903499</v>
      </c>
      <c r="O1599" s="116">
        <v>693.97413097962306</v>
      </c>
      <c r="P1599" s="116">
        <v>706.61698449021105</v>
      </c>
      <c r="Q1599" s="116">
        <v>714.75</v>
      </c>
      <c r="R1599">
        <v>1798953</v>
      </c>
    </row>
    <row r="1600" spans="1:18" x14ac:dyDescent="0.25">
      <c r="A1600" s="170">
        <v>44362</v>
      </c>
      <c r="B1600" s="116">
        <v>715.25882749091602</v>
      </c>
      <c r="C1600" s="116">
        <v>710.02390132133496</v>
      </c>
      <c r="D1600" s="116">
        <v>706.91257727715004</v>
      </c>
      <c r="E1600" s="116">
        <v>709.18433769036506</v>
      </c>
      <c r="F1600" s="116">
        <v>718.85</v>
      </c>
      <c r="G1600">
        <v>68746</v>
      </c>
      <c r="H1600" s="116"/>
      <c r="I1600" s="116"/>
      <c r="L1600" s="170">
        <v>44362</v>
      </c>
      <c r="M1600" s="116">
        <v>710.66664850532095</v>
      </c>
      <c r="N1600" s="116">
        <v>715.21017398568904</v>
      </c>
      <c r="O1600" s="116">
        <v>706.61698449021105</v>
      </c>
      <c r="P1600" s="116">
        <v>709.18506410954899</v>
      </c>
      <c r="Q1600" s="116">
        <v>719.5</v>
      </c>
      <c r="R1600">
        <v>2387652</v>
      </c>
    </row>
    <row r="1601" spans="1:18" x14ac:dyDescent="0.25">
      <c r="A1601" s="170">
        <v>44363</v>
      </c>
      <c r="B1601" s="116">
        <v>728.79061777832305</v>
      </c>
      <c r="C1601" s="116">
        <v>726.81517394074501</v>
      </c>
      <c r="D1601" s="116">
        <v>712.24627563860997</v>
      </c>
      <c r="E1601" s="116">
        <v>715.11066920309804</v>
      </c>
      <c r="F1601" s="116">
        <v>735.85</v>
      </c>
      <c r="G1601">
        <v>688358</v>
      </c>
      <c r="H1601" s="116"/>
      <c r="I1601" s="116"/>
      <c r="L1601" s="170">
        <v>44363</v>
      </c>
      <c r="M1601" s="116">
        <v>726.86530456576202</v>
      </c>
      <c r="N1601" s="116">
        <v>728.69259198721397</v>
      </c>
      <c r="O1601" s="116">
        <v>712.14823290109302</v>
      </c>
      <c r="P1601" s="116">
        <v>715.11140169263695</v>
      </c>
      <c r="Q1601" s="116">
        <v>735.9</v>
      </c>
      <c r="R1601">
        <v>4134529</v>
      </c>
    </row>
    <row r="1602" spans="1:18" x14ac:dyDescent="0.25">
      <c r="A1602" s="170">
        <v>44364</v>
      </c>
      <c r="B1602" s="116">
        <v>737.97643162305803</v>
      </c>
      <c r="C1602" s="116">
        <v>735.95160168954101</v>
      </c>
      <c r="D1602" s="116">
        <v>716.14777721782605</v>
      </c>
      <c r="E1602" s="116">
        <v>725.38297715850103</v>
      </c>
      <c r="F1602" s="116">
        <v>745.1</v>
      </c>
      <c r="G1602">
        <v>163995</v>
      </c>
      <c r="H1602" s="116"/>
      <c r="I1602" s="116"/>
      <c r="L1602" s="170">
        <v>44364</v>
      </c>
      <c r="M1602" s="116">
        <v>735.85358323344599</v>
      </c>
      <c r="N1602" s="116">
        <v>738.12534597363003</v>
      </c>
      <c r="O1602" s="116">
        <v>715.95096618357502</v>
      </c>
      <c r="P1602" s="116">
        <v>721.58098688750897</v>
      </c>
      <c r="Q1602" s="116">
        <v>745</v>
      </c>
      <c r="R1602">
        <v>4167585</v>
      </c>
    </row>
    <row r="1603" spans="1:18" x14ac:dyDescent="0.25">
      <c r="A1603" s="170">
        <v>44365</v>
      </c>
      <c r="B1603" s="116">
        <v>738.66783696621098</v>
      </c>
      <c r="C1603" s="116">
        <v>730.51913113620299</v>
      </c>
      <c r="D1603" s="116">
        <v>723.01244455340805</v>
      </c>
      <c r="E1603" s="116">
        <v>737.77888723930096</v>
      </c>
      <c r="F1603" s="116">
        <v>739.6</v>
      </c>
      <c r="G1603">
        <v>184109</v>
      </c>
      <c r="H1603" s="116"/>
      <c r="I1603" s="116"/>
      <c r="L1603" s="170">
        <v>44365</v>
      </c>
      <c r="M1603" s="116">
        <v>730.71742399477</v>
      </c>
      <c r="N1603" s="116">
        <v>738.27350441320698</v>
      </c>
      <c r="O1603" s="116">
        <v>723.11195742980601</v>
      </c>
      <c r="P1603" s="116">
        <v>736.84130616396101</v>
      </c>
      <c r="Q1603" s="116">
        <v>739.8</v>
      </c>
      <c r="R1603">
        <v>3762934</v>
      </c>
    </row>
    <row r="1604" spans="1:18" x14ac:dyDescent="0.25">
      <c r="A1604" s="170">
        <v>44368</v>
      </c>
      <c r="B1604" s="116">
        <v>735.85282949766201</v>
      </c>
      <c r="C1604" s="116">
        <v>733.72922737226702</v>
      </c>
      <c r="D1604" s="116">
        <v>719.06155687825299</v>
      </c>
      <c r="E1604" s="116">
        <v>721.82717825086104</v>
      </c>
      <c r="F1604" s="116">
        <v>742.85</v>
      </c>
      <c r="G1604">
        <v>87792</v>
      </c>
      <c r="H1604" s="116"/>
      <c r="I1604" s="116"/>
      <c r="L1604" s="170">
        <v>44368</v>
      </c>
      <c r="M1604" s="116">
        <v>733.433662053685</v>
      </c>
      <c r="N1604" s="116">
        <v>734.816474156406</v>
      </c>
      <c r="O1604" s="116">
        <v>718.91413497511905</v>
      </c>
      <c r="P1604" s="116">
        <v>720.05001634521102</v>
      </c>
      <c r="Q1604" s="116">
        <v>742.55</v>
      </c>
      <c r="R1604">
        <v>1594856</v>
      </c>
    </row>
    <row r="1605" spans="1:18" x14ac:dyDescent="0.25">
      <c r="A1605" s="170">
        <v>44369</v>
      </c>
      <c r="B1605" s="116">
        <v>749.43400588100906</v>
      </c>
      <c r="C1605" s="116">
        <v>747.21163156373404</v>
      </c>
      <c r="D1605" s="116">
        <v>733.18598031693296</v>
      </c>
      <c r="E1605" s="116">
        <v>738.81599525402896</v>
      </c>
      <c r="F1605" s="116">
        <v>756.5</v>
      </c>
      <c r="G1605">
        <v>138376</v>
      </c>
      <c r="H1605" s="116"/>
      <c r="I1605" s="116"/>
      <c r="L1605" s="170">
        <v>44369</v>
      </c>
      <c r="M1605" s="116">
        <v>747.40994152046801</v>
      </c>
      <c r="N1605" s="116">
        <v>749.43477352802302</v>
      </c>
      <c r="O1605" s="116">
        <v>733.23611746758195</v>
      </c>
      <c r="P1605" s="116">
        <v>738.81675202499002</v>
      </c>
      <c r="Q1605" s="116">
        <v>756.7</v>
      </c>
      <c r="R1605">
        <v>3346784</v>
      </c>
    </row>
    <row r="1606" spans="1:18" x14ac:dyDescent="0.25">
      <c r="A1606" s="170">
        <v>44370</v>
      </c>
      <c r="B1606" s="116">
        <v>755.60726787343901</v>
      </c>
      <c r="C1606" s="116">
        <v>748.49567005815902</v>
      </c>
      <c r="D1606" s="116">
        <v>742.81626902512403</v>
      </c>
      <c r="E1606" s="116">
        <v>750.66865827949505</v>
      </c>
      <c r="F1606" s="116">
        <v>757.8</v>
      </c>
      <c r="G1606">
        <v>122997</v>
      </c>
      <c r="H1606" s="116"/>
      <c r="I1606" s="116"/>
      <c r="L1606" s="170">
        <v>44370</v>
      </c>
      <c r="M1606" s="116">
        <v>748.54582289055998</v>
      </c>
      <c r="N1606" s="116">
        <v>755.60804184374001</v>
      </c>
      <c r="O1606" s="116">
        <v>742.61948530747202</v>
      </c>
      <c r="P1606" s="116">
        <v>750.66942719116605</v>
      </c>
      <c r="Q1606" s="116">
        <v>757.85</v>
      </c>
      <c r="R1606">
        <v>2952360</v>
      </c>
    </row>
    <row r="1607" spans="1:18" x14ac:dyDescent="0.25">
      <c r="A1607" s="170">
        <v>44371</v>
      </c>
      <c r="B1607" s="116">
        <v>754.520773762771</v>
      </c>
      <c r="C1607" s="116">
        <v>747.85365081094699</v>
      </c>
      <c r="D1607" s="116">
        <v>745.43373210991399</v>
      </c>
      <c r="E1607" s="116">
        <v>754.520773762771</v>
      </c>
      <c r="F1607" s="116">
        <v>757.15</v>
      </c>
      <c r="G1607">
        <v>100056</v>
      </c>
      <c r="H1607" s="116"/>
      <c r="I1607" s="116"/>
      <c r="L1607" s="170">
        <v>44371</v>
      </c>
      <c r="M1607" s="116">
        <v>748.15073371835399</v>
      </c>
      <c r="N1607" s="116">
        <v>754.42277432712206</v>
      </c>
      <c r="O1607" s="116">
        <v>744.74308960807798</v>
      </c>
      <c r="P1607" s="116">
        <v>752.64487305219598</v>
      </c>
      <c r="Q1607" s="116">
        <v>757.45</v>
      </c>
      <c r="R1607">
        <v>1668843</v>
      </c>
    </row>
    <row r="1608" spans="1:18" x14ac:dyDescent="0.25">
      <c r="A1608" s="170">
        <v>44372</v>
      </c>
      <c r="B1608" s="116">
        <v>754.07629889931604</v>
      </c>
      <c r="C1608" s="116">
        <v>748.44628396222004</v>
      </c>
      <c r="D1608" s="116">
        <v>744.79171286270105</v>
      </c>
      <c r="E1608" s="116">
        <v>747.45856204343102</v>
      </c>
      <c r="F1608" s="116">
        <v>757.75</v>
      </c>
      <c r="G1608">
        <v>52810</v>
      </c>
      <c r="H1608" s="116"/>
      <c r="I1608" s="116"/>
      <c r="L1608" s="170">
        <v>44372</v>
      </c>
      <c r="M1608" s="116">
        <v>748.29889215793105</v>
      </c>
      <c r="N1608" s="116">
        <v>754.07707130144195</v>
      </c>
      <c r="O1608" s="116">
        <v>744.24922814282104</v>
      </c>
      <c r="P1608" s="116">
        <v>745.730812538593</v>
      </c>
      <c r="Q1608" s="116">
        <v>757.6</v>
      </c>
      <c r="R1608">
        <v>1588289</v>
      </c>
    </row>
    <row r="1609" spans="1:18" x14ac:dyDescent="0.25">
      <c r="A1609" s="170">
        <v>44375</v>
      </c>
      <c r="B1609" s="116">
        <v>760.10140260392802</v>
      </c>
      <c r="C1609" s="116">
        <v>756.89130636786399</v>
      </c>
      <c r="D1609" s="116">
        <v>749.82909464852401</v>
      </c>
      <c r="E1609" s="116">
        <v>751.21190533482797</v>
      </c>
      <c r="F1609" s="116">
        <v>766.3</v>
      </c>
      <c r="G1609">
        <v>131597</v>
      </c>
      <c r="H1609" s="116"/>
      <c r="I1609" s="116"/>
      <c r="L1609" s="170">
        <v>44375</v>
      </c>
      <c r="M1609" s="116">
        <v>756.25006174857401</v>
      </c>
      <c r="N1609" s="116">
        <v>760.25033961715906</v>
      </c>
      <c r="O1609" s="116">
        <v>749.68170426065205</v>
      </c>
      <c r="P1609" s="116">
        <v>752.64487305219598</v>
      </c>
      <c r="Q1609" s="116">
        <v>765.65</v>
      </c>
      <c r="R1609">
        <v>1486902</v>
      </c>
    </row>
    <row r="1610" spans="1:18" x14ac:dyDescent="0.25">
      <c r="A1610" s="170">
        <v>44376</v>
      </c>
      <c r="B1610" s="116">
        <v>762.422549113081</v>
      </c>
      <c r="C1610" s="116">
        <v>748.64382834597802</v>
      </c>
      <c r="D1610" s="116">
        <v>746.470840124642</v>
      </c>
      <c r="E1610" s="116">
        <v>757.58271171101603</v>
      </c>
      <c r="F1610" s="116">
        <v>757.95</v>
      </c>
      <c r="G1610">
        <v>130690</v>
      </c>
      <c r="H1610" s="116"/>
      <c r="I1610" s="116"/>
      <c r="L1610" s="170">
        <v>44376</v>
      </c>
      <c r="M1610" s="116">
        <v>748.74336747666302</v>
      </c>
      <c r="N1610" s="116">
        <v>762.42333006429101</v>
      </c>
      <c r="O1610" s="116">
        <v>746.57037702953005</v>
      </c>
      <c r="P1610" s="116">
        <v>756.99085394645999</v>
      </c>
      <c r="Q1610" s="116">
        <v>758.05</v>
      </c>
      <c r="R1610">
        <v>1506378</v>
      </c>
    </row>
    <row r="1611" spans="1:18" x14ac:dyDescent="0.25">
      <c r="A1611" s="170">
        <v>44377</v>
      </c>
      <c r="B1611" s="116">
        <v>758.71859191762303</v>
      </c>
      <c r="C1611" s="116">
        <v>744.54478238300396</v>
      </c>
      <c r="D1611" s="116">
        <v>740.29757813221204</v>
      </c>
      <c r="E1611" s="116">
        <v>751.85392458204103</v>
      </c>
      <c r="F1611" s="116">
        <v>753.8</v>
      </c>
      <c r="G1611">
        <v>122855</v>
      </c>
      <c r="H1611" s="116"/>
      <c r="I1611" s="116"/>
      <c r="L1611" s="170">
        <v>44377</v>
      </c>
      <c r="M1611" s="116">
        <v>745.13817878028397</v>
      </c>
      <c r="N1611" s="116">
        <v>758.91691366096404</v>
      </c>
      <c r="O1611" s="116">
        <v>740.19956412771103</v>
      </c>
      <c r="P1611" s="116">
        <v>755.60804184374001</v>
      </c>
      <c r="Q1611" s="116">
        <v>754.4</v>
      </c>
      <c r="R1611">
        <v>1733070</v>
      </c>
    </row>
    <row r="1612" spans="1:18" x14ac:dyDescent="0.25">
      <c r="A1612" s="170">
        <v>44378</v>
      </c>
      <c r="B1612" s="116">
        <v>750.66865827949505</v>
      </c>
      <c r="C1612" s="116">
        <v>746.07575135712705</v>
      </c>
      <c r="D1612" s="116">
        <v>741.13714176318297</v>
      </c>
      <c r="E1612" s="116">
        <v>749.68093636070603</v>
      </c>
      <c r="F1612" s="116">
        <v>755.35</v>
      </c>
      <c r="G1612">
        <v>116199</v>
      </c>
      <c r="H1612" s="116"/>
      <c r="I1612" s="116"/>
      <c r="L1612" s="170">
        <v>44378</v>
      </c>
      <c r="M1612" s="116">
        <v>746.76792161563299</v>
      </c>
      <c r="N1612" s="116">
        <v>750.66942719116605</v>
      </c>
      <c r="O1612" s="116">
        <v>740.79219788601904</v>
      </c>
      <c r="P1612" s="116">
        <v>746.52099088300497</v>
      </c>
      <c r="Q1612" s="116">
        <v>756.05</v>
      </c>
      <c r="R1612">
        <v>1914434</v>
      </c>
    </row>
    <row r="1613" spans="1:18" x14ac:dyDescent="0.25">
      <c r="A1613" s="170">
        <v>44379</v>
      </c>
      <c r="B1613" s="116">
        <v>759.50876945265497</v>
      </c>
      <c r="C1613" s="116">
        <v>754.96524862622596</v>
      </c>
      <c r="D1613" s="116">
        <v>744.49539628706498</v>
      </c>
      <c r="E1613" s="116">
        <v>752.347785541436</v>
      </c>
      <c r="F1613" s="116">
        <v>764.35</v>
      </c>
      <c r="G1613">
        <v>148334</v>
      </c>
      <c r="H1613" s="116"/>
      <c r="I1613" s="116"/>
      <c r="L1613" s="170">
        <v>44379</v>
      </c>
      <c r="M1613" s="116">
        <v>754.22522974101901</v>
      </c>
      <c r="N1613" s="116">
        <v>759.36138897969602</v>
      </c>
      <c r="O1613" s="116">
        <v>743.95291126366601</v>
      </c>
      <c r="P1613" s="116">
        <v>748.59520903708506</v>
      </c>
      <c r="Q1613" s="116">
        <v>763.6</v>
      </c>
      <c r="R1613">
        <v>1916135</v>
      </c>
    </row>
    <row r="1614" spans="1:18" x14ac:dyDescent="0.25">
      <c r="A1614" s="170">
        <v>44382</v>
      </c>
      <c r="B1614" s="116">
        <v>761.92868815368695</v>
      </c>
      <c r="C1614" s="116">
        <v>757.08885075162198</v>
      </c>
      <c r="D1614" s="116">
        <v>755.60726787343901</v>
      </c>
      <c r="E1614" s="116">
        <v>761.533599386172</v>
      </c>
      <c r="F1614" s="116">
        <v>766.5</v>
      </c>
      <c r="G1614">
        <v>101579</v>
      </c>
      <c r="H1614" s="116"/>
      <c r="I1614" s="116"/>
      <c r="L1614" s="170">
        <v>44382</v>
      </c>
      <c r="M1614" s="116">
        <v>756.89208165340904</v>
      </c>
      <c r="N1614" s="116">
        <v>762.02824089208502</v>
      </c>
      <c r="O1614" s="116">
        <v>755.60804184374001</v>
      </c>
      <c r="P1614" s="116">
        <v>760.99113181504504</v>
      </c>
      <c r="Q1614" s="116">
        <v>766.3</v>
      </c>
      <c r="R1614">
        <v>1020895</v>
      </c>
    </row>
    <row r="1615" spans="1:18" x14ac:dyDescent="0.25">
      <c r="A1615" s="170">
        <v>44383</v>
      </c>
      <c r="B1615" s="116">
        <v>758.57043362980505</v>
      </c>
      <c r="C1615" s="116">
        <v>754.27384328307403</v>
      </c>
      <c r="D1615" s="116">
        <v>748.69321444191701</v>
      </c>
      <c r="E1615" s="116">
        <v>757.58271171101603</v>
      </c>
      <c r="F1615" s="116">
        <v>763.65</v>
      </c>
      <c r="G1615">
        <v>257473</v>
      </c>
      <c r="H1615" s="116"/>
      <c r="I1615" s="116"/>
      <c r="L1615" s="170">
        <v>44383</v>
      </c>
      <c r="M1615" s="116">
        <v>753.23750681050501</v>
      </c>
      <c r="N1615" s="116">
        <v>759.55893356579895</v>
      </c>
      <c r="O1615" s="116">
        <v>748.69398133013704</v>
      </c>
      <c r="P1615" s="116">
        <v>758.57121063528405</v>
      </c>
      <c r="Q1615" s="116">
        <v>762.6</v>
      </c>
      <c r="R1615">
        <v>1411602</v>
      </c>
    </row>
    <row r="1616" spans="1:18" x14ac:dyDescent="0.25">
      <c r="A1616" s="170">
        <v>44384</v>
      </c>
      <c r="B1616" s="116">
        <v>756.59498979222701</v>
      </c>
      <c r="C1616" s="116">
        <v>754.27384328307403</v>
      </c>
      <c r="D1616" s="116">
        <v>742.12486368197199</v>
      </c>
      <c r="E1616" s="116">
        <v>753.63182403586097</v>
      </c>
      <c r="F1616" s="116">
        <v>763.65</v>
      </c>
      <c r="G1616">
        <v>271576</v>
      </c>
      <c r="H1616" s="116"/>
      <c r="I1616" s="116"/>
      <c r="L1616" s="170">
        <v>44384</v>
      </c>
      <c r="M1616" s="116">
        <v>753.68198212923596</v>
      </c>
      <c r="N1616" s="116">
        <v>756.64515092078</v>
      </c>
      <c r="O1616" s="116">
        <v>742.02685154916298</v>
      </c>
      <c r="P1616" s="116">
        <v>749.68170426065205</v>
      </c>
      <c r="Q1616" s="116">
        <v>763.05</v>
      </c>
      <c r="R1616">
        <v>2104914</v>
      </c>
    </row>
    <row r="1617" spans="1:18" x14ac:dyDescent="0.25">
      <c r="A1617" s="170">
        <v>44385</v>
      </c>
      <c r="B1617" s="116">
        <v>756.693761984106</v>
      </c>
      <c r="C1617" s="116">
        <v>753.48366574804299</v>
      </c>
      <c r="D1617" s="116">
        <v>747.85365081094699</v>
      </c>
      <c r="E1617" s="116">
        <v>752.15024115767801</v>
      </c>
      <c r="F1617" s="116">
        <v>762.85</v>
      </c>
      <c r="G1617">
        <v>65722</v>
      </c>
      <c r="H1617" s="116"/>
      <c r="I1617" s="116"/>
      <c r="L1617" s="170">
        <v>44385</v>
      </c>
      <c r="M1617" s="116">
        <v>753.928912861865</v>
      </c>
      <c r="N1617" s="116">
        <v>756.59576477425401</v>
      </c>
      <c r="O1617" s="116">
        <v>747.70625839962202</v>
      </c>
      <c r="P1617" s="116">
        <v>753.58320983618501</v>
      </c>
      <c r="Q1617" s="116">
        <v>763.3</v>
      </c>
      <c r="R1617">
        <v>1540033</v>
      </c>
    </row>
    <row r="1618" spans="1:18" x14ac:dyDescent="0.25">
      <c r="A1618" s="170">
        <v>44386</v>
      </c>
      <c r="B1618" s="116">
        <v>763.41027103187002</v>
      </c>
      <c r="C1618" s="116">
        <v>755.50849568156002</v>
      </c>
      <c r="D1618" s="116">
        <v>750.71804437543403</v>
      </c>
      <c r="E1618" s="116">
        <v>753.63182403586097</v>
      </c>
      <c r="F1618" s="116">
        <v>764.9</v>
      </c>
      <c r="G1618">
        <v>56675</v>
      </c>
      <c r="H1618" s="116"/>
      <c r="I1618" s="116"/>
      <c r="L1618" s="170">
        <v>44386</v>
      </c>
      <c r="M1618" s="116">
        <v>756.54637862772904</v>
      </c>
      <c r="N1618" s="116">
        <v>763.26289455522897</v>
      </c>
      <c r="O1618" s="116">
        <v>750.37311031201205</v>
      </c>
      <c r="P1618" s="116">
        <v>753.63259598270997</v>
      </c>
      <c r="Q1618" s="116">
        <v>765.95</v>
      </c>
      <c r="R1618">
        <v>1151792</v>
      </c>
    </row>
    <row r="1619" spans="1:18" x14ac:dyDescent="0.25">
      <c r="A1619" s="170">
        <v>44389</v>
      </c>
      <c r="B1619" s="116">
        <v>777.04083351115605</v>
      </c>
      <c r="C1619" s="116">
        <v>766.37343678823697</v>
      </c>
      <c r="D1619" s="116">
        <v>761.13851061865603</v>
      </c>
      <c r="E1619" s="116">
        <v>762.52132130496</v>
      </c>
      <c r="F1619" s="116">
        <v>775.9</v>
      </c>
      <c r="G1619">
        <v>407594</v>
      </c>
      <c r="H1619" s="116"/>
      <c r="I1619" s="116"/>
      <c r="L1619" s="170">
        <v>44389</v>
      </c>
      <c r="M1619" s="116">
        <v>766.37422178634995</v>
      </c>
      <c r="N1619" s="116">
        <v>777.18978787548599</v>
      </c>
      <c r="O1619" s="116">
        <v>759.65770585885002</v>
      </c>
      <c r="P1619" s="116">
        <v>761.53437942682797</v>
      </c>
      <c r="Q1619" s="116">
        <v>775.9</v>
      </c>
      <c r="R1619">
        <v>2992685</v>
      </c>
    </row>
    <row r="1620" spans="1:18" x14ac:dyDescent="0.25">
      <c r="A1620" s="170">
        <v>44390</v>
      </c>
      <c r="B1620" s="116">
        <v>775.31232015327498</v>
      </c>
      <c r="C1620" s="116">
        <v>762.86702397653596</v>
      </c>
      <c r="D1620" s="116">
        <v>757.18762294350097</v>
      </c>
      <c r="E1620" s="116">
        <v>775.31232015327498</v>
      </c>
      <c r="F1620" s="116">
        <v>772.35</v>
      </c>
      <c r="G1620">
        <v>78177</v>
      </c>
      <c r="H1620" s="116"/>
      <c r="I1620" s="116"/>
      <c r="L1620" s="170">
        <v>44390</v>
      </c>
      <c r="M1620" s="116">
        <v>763.36166684828004</v>
      </c>
      <c r="N1620" s="116">
        <v>771.312836438923</v>
      </c>
      <c r="O1620" s="116">
        <v>757.28717082561502</v>
      </c>
      <c r="P1620" s="116">
        <v>771.312836438923</v>
      </c>
      <c r="Q1620" s="116">
        <v>772.85</v>
      </c>
      <c r="R1620">
        <v>1500414</v>
      </c>
    </row>
    <row r="1621" spans="1:18" x14ac:dyDescent="0.25">
      <c r="A1621" s="170">
        <v>44391</v>
      </c>
      <c r="B1621" s="116">
        <v>767.114228227328</v>
      </c>
      <c r="C1621" s="116">
        <v>758.76797801356304</v>
      </c>
      <c r="D1621" s="116">
        <v>754.61954595464999</v>
      </c>
      <c r="E1621" s="116">
        <v>766.47220898011597</v>
      </c>
      <c r="F1621" s="116">
        <v>768.2</v>
      </c>
      <c r="G1621">
        <v>41479</v>
      </c>
      <c r="H1621" s="116"/>
      <c r="I1621" s="116"/>
      <c r="L1621" s="170">
        <v>44391</v>
      </c>
      <c r="M1621" s="116">
        <v>758.76875522138698</v>
      </c>
      <c r="N1621" s="116">
        <v>767.16440013076203</v>
      </c>
      <c r="O1621" s="116">
        <v>754.02768515491596</v>
      </c>
      <c r="P1621" s="116">
        <v>764.10245904616602</v>
      </c>
      <c r="Q1621" s="116">
        <v>768.2</v>
      </c>
      <c r="R1621">
        <v>1094262</v>
      </c>
    </row>
    <row r="1622" spans="1:18" x14ac:dyDescent="0.25">
      <c r="A1622" s="170">
        <v>44392</v>
      </c>
      <c r="B1622" s="116">
        <v>765.04001219787199</v>
      </c>
      <c r="C1622" s="116">
        <v>762.76825178465799</v>
      </c>
      <c r="D1622" s="116">
        <v>754.47138766683202</v>
      </c>
      <c r="E1622" s="116">
        <v>760.54587746738298</v>
      </c>
      <c r="F1622" s="116">
        <v>772.25</v>
      </c>
      <c r="G1622">
        <v>42449</v>
      </c>
      <c r="H1622" s="116"/>
      <c r="I1622" s="116"/>
      <c r="L1622" s="170">
        <v>44392</v>
      </c>
      <c r="M1622" s="116">
        <v>762.86780538302298</v>
      </c>
      <c r="N1622" s="116">
        <v>765.09018197668104</v>
      </c>
      <c r="O1622" s="116">
        <v>754.12645744796805</v>
      </c>
      <c r="P1622" s="116">
        <v>759.55893356579895</v>
      </c>
      <c r="Q1622" s="116">
        <v>772.35</v>
      </c>
      <c r="R1622">
        <v>965602</v>
      </c>
    </row>
    <row r="1623" spans="1:18" x14ac:dyDescent="0.25">
      <c r="A1623" s="170">
        <v>44393</v>
      </c>
      <c r="B1623" s="116">
        <v>763.11395445623396</v>
      </c>
      <c r="C1623" s="116">
        <v>753.82936841961896</v>
      </c>
      <c r="D1623" s="116">
        <v>751.65638019828395</v>
      </c>
      <c r="E1623" s="116">
        <v>762.91641007247597</v>
      </c>
      <c r="F1623" s="116">
        <v>763.2</v>
      </c>
      <c r="G1623">
        <v>56811</v>
      </c>
      <c r="H1623" s="116"/>
      <c r="I1623" s="116"/>
      <c r="L1623" s="170">
        <v>44393</v>
      </c>
      <c r="M1623" s="116">
        <v>753.63259598270997</v>
      </c>
      <c r="N1623" s="116">
        <v>765.43588500236103</v>
      </c>
      <c r="O1623" s="116">
        <v>752.05223929388706</v>
      </c>
      <c r="P1623" s="116">
        <v>762.86780538302298</v>
      </c>
      <c r="Q1623" s="116">
        <v>763</v>
      </c>
      <c r="R1623">
        <v>980383</v>
      </c>
    </row>
    <row r="1624" spans="1:18" x14ac:dyDescent="0.25">
      <c r="A1624" s="170">
        <v>44396</v>
      </c>
      <c r="B1624" s="116">
        <v>760.84219404301905</v>
      </c>
      <c r="C1624" s="116">
        <v>756.44683150440903</v>
      </c>
      <c r="D1624" s="116">
        <v>749.23646149725096</v>
      </c>
      <c r="E1624" s="116">
        <v>750.66865827949505</v>
      </c>
      <c r="F1624" s="116">
        <v>765.85</v>
      </c>
      <c r="G1624">
        <v>334246</v>
      </c>
      <c r="H1624" s="116"/>
      <c r="I1624" s="116"/>
      <c r="L1624" s="170">
        <v>44396</v>
      </c>
      <c r="M1624" s="116">
        <v>756.15128945552306</v>
      </c>
      <c r="N1624" s="116">
        <v>760.54665649631295</v>
      </c>
      <c r="O1624" s="116">
        <v>749.23722894191997</v>
      </c>
      <c r="P1624" s="116">
        <v>751.65715012168096</v>
      </c>
      <c r="Q1624" s="116">
        <v>765.55</v>
      </c>
      <c r="R1624">
        <v>1695546</v>
      </c>
    </row>
    <row r="1625" spans="1:18" x14ac:dyDescent="0.25">
      <c r="A1625" s="170">
        <v>44397</v>
      </c>
      <c r="B1625" s="116">
        <v>758.22473095822897</v>
      </c>
      <c r="C1625" s="116">
        <v>747.80426471500698</v>
      </c>
      <c r="D1625" s="116">
        <v>737.82827333524006</v>
      </c>
      <c r="E1625" s="116">
        <v>754.37261547495302</v>
      </c>
      <c r="F1625" s="116">
        <v>757.1</v>
      </c>
      <c r="G1625">
        <v>297418</v>
      </c>
      <c r="H1625" s="116"/>
      <c r="I1625" s="116"/>
      <c r="L1625" s="170">
        <v>44397</v>
      </c>
      <c r="M1625" s="116">
        <v>747.80503069267399</v>
      </c>
      <c r="N1625" s="116">
        <v>758.57121063528405</v>
      </c>
      <c r="O1625" s="116">
        <v>737.829029094475</v>
      </c>
      <c r="P1625" s="116">
        <v>752.64487305219598</v>
      </c>
      <c r="Q1625" s="116">
        <v>757.1</v>
      </c>
      <c r="R1625">
        <v>2195159</v>
      </c>
    </row>
    <row r="1626" spans="1:18" x14ac:dyDescent="0.25">
      <c r="A1626" s="170">
        <v>44399</v>
      </c>
      <c r="B1626" s="116">
        <v>759.45938335671497</v>
      </c>
      <c r="C1626" s="116">
        <v>755.45910958562001</v>
      </c>
      <c r="D1626" s="116">
        <v>746.22390964494502</v>
      </c>
      <c r="E1626" s="116">
        <v>750.66865827949505</v>
      </c>
      <c r="F1626" s="116">
        <v>764.85</v>
      </c>
      <c r="G1626">
        <v>403538</v>
      </c>
      <c r="H1626" s="116"/>
      <c r="I1626" s="116"/>
      <c r="L1626" s="170">
        <v>44399</v>
      </c>
      <c r="M1626" s="116">
        <v>754.81786349932804</v>
      </c>
      <c r="N1626" s="116">
        <v>756.49699248120305</v>
      </c>
      <c r="O1626" s="116">
        <v>745.82958483164396</v>
      </c>
      <c r="P1626" s="116">
        <v>754.12645744796805</v>
      </c>
      <c r="Q1626" s="116">
        <v>764.2</v>
      </c>
      <c r="R1626">
        <v>1464419</v>
      </c>
    </row>
    <row r="1627" spans="1:18" x14ac:dyDescent="0.25">
      <c r="A1627" s="170">
        <v>44400</v>
      </c>
      <c r="B1627" s="116">
        <v>766.96606993951002</v>
      </c>
      <c r="C1627" s="116">
        <v>765.68203144508504</v>
      </c>
      <c r="D1627" s="116">
        <v>756.693761984106</v>
      </c>
      <c r="E1627" s="116">
        <v>756.693761984106</v>
      </c>
      <c r="F1627" s="116">
        <v>775.2</v>
      </c>
      <c r="G1627">
        <v>122706</v>
      </c>
      <c r="H1627" s="116"/>
      <c r="I1627" s="116"/>
      <c r="L1627" s="170">
        <v>44400</v>
      </c>
      <c r="M1627" s="116">
        <v>765.63342958846397</v>
      </c>
      <c r="N1627" s="116">
        <v>767.46071700991604</v>
      </c>
      <c r="O1627" s="116">
        <v>756.59576477425401</v>
      </c>
      <c r="P1627" s="116">
        <v>757.73164614434597</v>
      </c>
      <c r="Q1627" s="116">
        <v>775.15</v>
      </c>
      <c r="R1627">
        <v>2021122</v>
      </c>
    </row>
    <row r="1628" spans="1:18" x14ac:dyDescent="0.25">
      <c r="A1628" s="170">
        <v>44403</v>
      </c>
      <c r="B1628" s="116">
        <v>776.10249768830602</v>
      </c>
      <c r="C1628" s="116">
        <v>766.81791165169204</v>
      </c>
      <c r="D1628" s="116">
        <v>761.03973842677703</v>
      </c>
      <c r="E1628" s="116">
        <v>771.90467953345399</v>
      </c>
      <c r="F1628" s="116">
        <v>776.35</v>
      </c>
      <c r="G1628">
        <v>131276</v>
      </c>
      <c r="H1628" s="116"/>
      <c r="I1628" s="116"/>
      <c r="L1628" s="170">
        <v>44403</v>
      </c>
      <c r="M1628" s="116">
        <v>766.81869710508204</v>
      </c>
      <c r="N1628" s="116">
        <v>776.35022338454803</v>
      </c>
      <c r="O1628" s="116">
        <v>761.33683484072503</v>
      </c>
      <c r="P1628" s="116">
        <v>770.670816534089</v>
      </c>
      <c r="Q1628" s="116">
        <v>776.35</v>
      </c>
      <c r="R1628">
        <v>2154261</v>
      </c>
    </row>
    <row r="1629" spans="1:18" x14ac:dyDescent="0.25">
      <c r="A1629" s="170">
        <v>44404</v>
      </c>
      <c r="B1629" s="116">
        <v>777.92978323806597</v>
      </c>
      <c r="C1629" s="116">
        <v>760.29894698768601</v>
      </c>
      <c r="D1629" s="116">
        <v>754.91586253028697</v>
      </c>
      <c r="E1629" s="116">
        <v>770.42309665527102</v>
      </c>
      <c r="F1629" s="116">
        <v>769.75</v>
      </c>
      <c r="G1629">
        <v>72647</v>
      </c>
      <c r="H1629" s="116"/>
      <c r="I1629" s="116"/>
      <c r="L1629" s="170">
        <v>44404</v>
      </c>
      <c r="M1629" s="116">
        <v>760.29972576368505</v>
      </c>
      <c r="N1629" s="116">
        <v>778.47382768515502</v>
      </c>
      <c r="O1629" s="116">
        <v>754.62031891322499</v>
      </c>
      <c r="P1629" s="116">
        <v>770.81897497366595</v>
      </c>
      <c r="Q1629" s="116">
        <v>769.75</v>
      </c>
      <c r="R1629">
        <v>2001824</v>
      </c>
    </row>
    <row r="1630" spans="1:18" x14ac:dyDescent="0.25">
      <c r="A1630" s="170">
        <v>44405</v>
      </c>
      <c r="B1630" s="116">
        <v>760.05201650798801</v>
      </c>
      <c r="C1630" s="116">
        <v>745.68066258961096</v>
      </c>
      <c r="D1630" s="116">
        <v>730.51913113620299</v>
      </c>
      <c r="E1630" s="116">
        <v>758.47166143792595</v>
      </c>
      <c r="F1630" s="116">
        <v>754.95</v>
      </c>
      <c r="G1630">
        <v>83713</v>
      </c>
      <c r="H1630" s="116"/>
      <c r="I1630" s="116"/>
      <c r="L1630" s="170">
        <v>44405</v>
      </c>
      <c r="M1630" s="116">
        <v>745.63204024554102</v>
      </c>
      <c r="N1630" s="116">
        <v>760.54665649631295</v>
      </c>
      <c r="O1630" s="116">
        <v>730.12479023646097</v>
      </c>
      <c r="P1630" s="116">
        <v>759.50954741927296</v>
      </c>
      <c r="Q1630" s="116">
        <v>754.9</v>
      </c>
      <c r="R1630">
        <v>3112462</v>
      </c>
    </row>
    <row r="1631" spans="1:18" x14ac:dyDescent="0.25">
      <c r="A1631" s="170">
        <v>44406</v>
      </c>
      <c r="B1631" s="116">
        <v>750.37234170385796</v>
      </c>
      <c r="C1631" s="116">
        <v>742.07547758603198</v>
      </c>
      <c r="D1631" s="116">
        <v>739.26047011748403</v>
      </c>
      <c r="E1631" s="116">
        <v>748.39689786628003</v>
      </c>
      <c r="F1631" s="116">
        <v>751.3</v>
      </c>
      <c r="G1631">
        <v>65807</v>
      </c>
      <c r="H1631" s="116"/>
      <c r="I1631" s="116"/>
      <c r="L1631" s="170">
        <v>44406</v>
      </c>
      <c r="M1631" s="116">
        <v>741.97746540263699</v>
      </c>
      <c r="N1631" s="116">
        <v>750.57065489811498</v>
      </c>
      <c r="O1631" s="116">
        <v>739.31061349024696</v>
      </c>
      <c r="P1631" s="116">
        <v>745.730812538593</v>
      </c>
      <c r="Q1631" s="116">
        <v>751.2</v>
      </c>
      <c r="R1631">
        <v>1742057</v>
      </c>
    </row>
    <row r="1632" spans="1:18" x14ac:dyDescent="0.25">
      <c r="A1632" s="170">
        <v>44407</v>
      </c>
      <c r="B1632" s="116">
        <v>752.347785541436</v>
      </c>
      <c r="C1632" s="116">
        <v>746.81654279621796</v>
      </c>
      <c r="D1632" s="116">
        <v>736.14914607329899</v>
      </c>
      <c r="E1632" s="116">
        <v>742.27302196978997</v>
      </c>
      <c r="F1632" s="116">
        <v>756.1</v>
      </c>
      <c r="G1632">
        <v>62190</v>
      </c>
      <c r="H1632" s="116"/>
      <c r="I1632" s="116"/>
      <c r="L1632" s="170">
        <v>44407</v>
      </c>
      <c r="M1632" s="116">
        <v>746.96546620173604</v>
      </c>
      <c r="N1632" s="116">
        <v>752.64487305219598</v>
      </c>
      <c r="O1632" s="116">
        <v>736.05112781954904</v>
      </c>
      <c r="P1632" s="116">
        <v>742.76764374704896</v>
      </c>
      <c r="Q1632" s="116">
        <v>756.25</v>
      </c>
      <c r="R1632">
        <v>1613176</v>
      </c>
    </row>
    <row r="1633" spans="1:18" x14ac:dyDescent="0.25">
      <c r="A1633" s="170">
        <v>44410</v>
      </c>
      <c r="B1633" s="116">
        <v>761.48421329023199</v>
      </c>
      <c r="C1633" s="116">
        <v>750.32295560791897</v>
      </c>
      <c r="D1633" s="116">
        <v>747.55733423531001</v>
      </c>
      <c r="E1633" s="116">
        <v>753.63182403586097</v>
      </c>
      <c r="F1633" s="116">
        <v>759.65</v>
      </c>
      <c r="G1633">
        <v>123076</v>
      </c>
      <c r="H1633" s="116"/>
      <c r="I1633" s="116"/>
      <c r="L1633" s="170">
        <v>44410</v>
      </c>
      <c r="M1633" s="116">
        <v>750.22495187243499</v>
      </c>
      <c r="N1633" s="116">
        <v>761.53437942682797</v>
      </c>
      <c r="O1633" s="116">
        <v>747.31116922741603</v>
      </c>
      <c r="P1633" s="116">
        <v>753.63259598270997</v>
      </c>
      <c r="Q1633" s="116">
        <v>759.55</v>
      </c>
      <c r="R1633">
        <v>2054226</v>
      </c>
    </row>
    <row r="1634" spans="1:18" x14ac:dyDescent="0.25">
      <c r="A1634" s="170">
        <v>44411</v>
      </c>
      <c r="B1634" s="116">
        <v>761.23728281053502</v>
      </c>
      <c r="C1634" s="116">
        <v>757.928414382592</v>
      </c>
      <c r="D1634" s="116">
        <v>750.22418341603998</v>
      </c>
      <c r="E1634" s="116">
        <v>752.64410211707195</v>
      </c>
      <c r="F1634" s="116">
        <v>767.35</v>
      </c>
      <c r="G1634">
        <v>103508</v>
      </c>
      <c r="H1634" s="116"/>
      <c r="I1634" s="116"/>
      <c r="L1634" s="170">
        <v>44411</v>
      </c>
      <c r="M1634" s="116">
        <v>758.22550760960405</v>
      </c>
      <c r="N1634" s="116">
        <v>761.28744869419904</v>
      </c>
      <c r="O1634" s="116">
        <v>750.22495187243499</v>
      </c>
      <c r="P1634" s="116">
        <v>750.66942719116605</v>
      </c>
      <c r="Q1634" s="116">
        <v>767.65</v>
      </c>
      <c r="R1634">
        <v>2946289</v>
      </c>
    </row>
    <row r="1635" spans="1:18" x14ac:dyDescent="0.25">
      <c r="A1635" s="170">
        <v>44412</v>
      </c>
      <c r="B1635" s="116">
        <v>759.55815554859396</v>
      </c>
      <c r="C1635" s="116">
        <v>749.48339197694804</v>
      </c>
      <c r="D1635" s="116">
        <v>746.12513745306603</v>
      </c>
      <c r="E1635" s="116">
        <v>759.55815554859396</v>
      </c>
      <c r="F1635" s="116">
        <v>758.8</v>
      </c>
      <c r="G1635">
        <v>327045</v>
      </c>
      <c r="H1635" s="116"/>
      <c r="I1635" s="116"/>
      <c r="L1635" s="170">
        <v>44412</v>
      </c>
      <c r="M1635" s="116">
        <v>749.43477352802302</v>
      </c>
      <c r="N1635" s="116">
        <v>760.54665649631295</v>
      </c>
      <c r="O1635" s="116">
        <v>745.87897097816995</v>
      </c>
      <c r="P1635" s="116">
        <v>760.54665649631295</v>
      </c>
      <c r="Q1635" s="116">
        <v>758.75</v>
      </c>
      <c r="R1635">
        <v>5426419</v>
      </c>
    </row>
    <row r="1636" spans="1:18" x14ac:dyDescent="0.25">
      <c r="A1636" s="170">
        <v>44413</v>
      </c>
      <c r="B1636" s="116">
        <v>761.03973842677703</v>
      </c>
      <c r="C1636" s="116">
        <v>759.80508602829104</v>
      </c>
      <c r="D1636" s="116">
        <v>748.19935348252295</v>
      </c>
      <c r="E1636" s="116">
        <v>750.66865827949505</v>
      </c>
      <c r="F1636" s="116">
        <v>769.25</v>
      </c>
      <c r="G1636">
        <v>361966</v>
      </c>
      <c r="H1636" s="116"/>
      <c r="I1636" s="116"/>
      <c r="L1636" s="170">
        <v>44413</v>
      </c>
      <c r="M1636" s="116">
        <v>758.91691366096404</v>
      </c>
      <c r="N1636" s="116">
        <v>761.23806254767396</v>
      </c>
      <c r="O1636" s="116">
        <v>748.00257527877704</v>
      </c>
      <c r="P1636" s="116">
        <v>751.65715012168096</v>
      </c>
      <c r="Q1636" s="116">
        <v>768.35</v>
      </c>
      <c r="R1636">
        <v>2469893</v>
      </c>
    </row>
    <row r="1637" spans="1:18" x14ac:dyDescent="0.25">
      <c r="A1637" s="170">
        <v>44414</v>
      </c>
      <c r="B1637" s="116">
        <v>788.20209119346896</v>
      </c>
      <c r="C1637" s="116">
        <v>770.91695761466497</v>
      </c>
      <c r="D1637" s="116">
        <v>762.27439082526303</v>
      </c>
      <c r="E1637" s="116">
        <v>762.76825178465799</v>
      </c>
      <c r="F1637" s="116">
        <v>780.5</v>
      </c>
      <c r="G1637">
        <v>329288</v>
      </c>
      <c r="H1637" s="116"/>
      <c r="I1637" s="116"/>
      <c r="L1637" s="170">
        <v>44414</v>
      </c>
      <c r="M1637" s="116">
        <v>771.75731175765497</v>
      </c>
      <c r="N1637" s="116">
        <v>788.54860157640496</v>
      </c>
      <c r="O1637" s="116">
        <v>762.52210235734299</v>
      </c>
      <c r="P1637" s="116">
        <v>763.50982528785698</v>
      </c>
      <c r="Q1637" s="116">
        <v>781.35</v>
      </c>
      <c r="R1637">
        <v>7849735</v>
      </c>
    </row>
    <row r="1638" spans="1:18" x14ac:dyDescent="0.25">
      <c r="A1638" s="170">
        <v>44417</v>
      </c>
      <c r="B1638" s="116">
        <v>777.33715008679201</v>
      </c>
      <c r="C1638" s="116">
        <v>756.74314808004601</v>
      </c>
      <c r="D1638" s="116">
        <v>753.77998232367895</v>
      </c>
      <c r="E1638" s="116">
        <v>777.33715008679201</v>
      </c>
      <c r="F1638" s="116">
        <v>766.15</v>
      </c>
      <c r="G1638">
        <v>302418</v>
      </c>
      <c r="H1638" s="116"/>
      <c r="I1638" s="116"/>
      <c r="L1638" s="170">
        <v>44417</v>
      </c>
      <c r="M1638" s="116">
        <v>755.45988340416295</v>
      </c>
      <c r="N1638" s="116">
        <v>773.83152991173597</v>
      </c>
      <c r="O1638" s="116">
        <v>753.63259598270997</v>
      </c>
      <c r="P1638" s="116">
        <v>773.83152991173597</v>
      </c>
      <c r="Q1638" s="116">
        <v>764.85</v>
      </c>
      <c r="R1638">
        <v>1661739</v>
      </c>
    </row>
    <row r="1639" spans="1:18" x14ac:dyDescent="0.25">
      <c r="A1639" s="170">
        <v>44418</v>
      </c>
      <c r="B1639" s="116">
        <v>764.69430952629602</v>
      </c>
      <c r="C1639" s="116">
        <v>762.47193520902101</v>
      </c>
      <c r="D1639" s="116">
        <v>751.65638019828395</v>
      </c>
      <c r="E1639" s="116">
        <v>758.57043362980505</v>
      </c>
      <c r="F1639" s="116">
        <v>771.95</v>
      </c>
      <c r="G1639">
        <v>178155</v>
      </c>
      <c r="H1639" s="116"/>
      <c r="I1639" s="116"/>
      <c r="L1639" s="170">
        <v>44418</v>
      </c>
      <c r="M1639" s="116">
        <v>762.42333006429101</v>
      </c>
      <c r="N1639" s="116">
        <v>765.04079583015505</v>
      </c>
      <c r="O1639" s="116">
        <v>751.70653626820695</v>
      </c>
      <c r="P1639" s="116">
        <v>756.49699248120305</v>
      </c>
      <c r="Q1639" s="116">
        <v>771.9</v>
      </c>
      <c r="R1639">
        <v>1429806</v>
      </c>
    </row>
    <row r="1640" spans="1:18" x14ac:dyDescent="0.25">
      <c r="A1640" s="170">
        <v>44419</v>
      </c>
      <c r="B1640" s="116">
        <v>764.00290418314398</v>
      </c>
      <c r="C1640" s="116">
        <v>755.90358444907497</v>
      </c>
      <c r="D1640" s="116">
        <v>742.86565512106301</v>
      </c>
      <c r="E1640" s="116">
        <v>760.54587746738298</v>
      </c>
      <c r="F1640" s="116">
        <v>765.3</v>
      </c>
      <c r="G1640">
        <v>317728</v>
      </c>
      <c r="H1640" s="116"/>
      <c r="I1640" s="116"/>
      <c r="L1640" s="170">
        <v>44419</v>
      </c>
      <c r="M1640" s="116">
        <v>755.60804184374001</v>
      </c>
      <c r="N1640" s="116">
        <v>764.69509280447505</v>
      </c>
      <c r="O1640" s="116">
        <v>742.76764374704896</v>
      </c>
      <c r="P1640" s="116">
        <v>762.42333006429101</v>
      </c>
      <c r="Q1640" s="116">
        <v>765</v>
      </c>
      <c r="R1640">
        <v>1391781</v>
      </c>
    </row>
    <row r="1641" spans="1:18" x14ac:dyDescent="0.25">
      <c r="A1641" s="170">
        <v>44420</v>
      </c>
      <c r="B1641" s="116">
        <v>766.47220898011597</v>
      </c>
      <c r="C1641" s="116">
        <v>764.39799295065905</v>
      </c>
      <c r="D1641" s="116">
        <v>752.64410211707195</v>
      </c>
      <c r="E1641" s="116">
        <v>752.64410211707195</v>
      </c>
      <c r="F1641" s="116">
        <v>773.9</v>
      </c>
      <c r="G1641">
        <v>73586</v>
      </c>
      <c r="H1641" s="116"/>
      <c r="I1641" s="116"/>
      <c r="L1641" s="170">
        <v>44420</v>
      </c>
      <c r="M1641" s="116">
        <v>764.74447895100104</v>
      </c>
      <c r="N1641" s="116">
        <v>766.67053866550395</v>
      </c>
      <c r="O1641" s="116">
        <v>753.63259598270997</v>
      </c>
      <c r="P1641" s="116">
        <v>756.25006174857401</v>
      </c>
      <c r="Q1641" s="116">
        <v>774.25</v>
      </c>
      <c r="R1641">
        <v>880420</v>
      </c>
    </row>
    <row r="1642" spans="1:18" x14ac:dyDescent="0.25">
      <c r="A1642" s="170">
        <v>44421</v>
      </c>
      <c r="B1642" s="116">
        <v>800.54861517832899</v>
      </c>
      <c r="C1642" s="116">
        <v>797.63483551790296</v>
      </c>
      <c r="D1642" s="116">
        <v>764.69430952629602</v>
      </c>
      <c r="E1642" s="116">
        <v>764.69430952629602</v>
      </c>
      <c r="F1642" s="116">
        <v>807.55</v>
      </c>
      <c r="G1642">
        <v>261153</v>
      </c>
      <c r="H1642" s="116"/>
      <c r="I1642" s="116"/>
      <c r="L1642" s="170">
        <v>44421</v>
      </c>
      <c r="M1642" s="116">
        <v>797.53688024408802</v>
      </c>
      <c r="N1642" s="116">
        <v>800.84575206131296</v>
      </c>
      <c r="O1642" s="116">
        <v>764.79386509752601</v>
      </c>
      <c r="P1642" s="116">
        <v>767.46071700991604</v>
      </c>
      <c r="Q1642" s="116">
        <v>807.45</v>
      </c>
      <c r="R1642">
        <v>7956492</v>
      </c>
    </row>
    <row r="1643" spans="1:18" x14ac:dyDescent="0.25">
      <c r="A1643" s="170">
        <v>44424</v>
      </c>
      <c r="B1643" s="116">
        <v>805.43783867633397</v>
      </c>
      <c r="C1643" s="116">
        <v>792.25175106050403</v>
      </c>
      <c r="D1643" s="116">
        <v>790.52323770262296</v>
      </c>
      <c r="E1643" s="116">
        <v>797.88176599760004</v>
      </c>
      <c r="F1643" s="116">
        <v>802.1</v>
      </c>
      <c r="G1643">
        <v>121801</v>
      </c>
      <c r="H1643" s="116"/>
      <c r="I1643" s="116"/>
      <c r="L1643" s="170">
        <v>44424</v>
      </c>
      <c r="M1643" s="116">
        <v>792.30194871236097</v>
      </c>
      <c r="N1643" s="116">
        <v>805.43866368820602</v>
      </c>
      <c r="O1643" s="116">
        <v>790.27711670480596</v>
      </c>
      <c r="P1643" s="116">
        <v>797.48749409756294</v>
      </c>
      <c r="Q1643" s="116">
        <v>802.15</v>
      </c>
      <c r="R1643">
        <v>2604160</v>
      </c>
    </row>
    <row r="1644" spans="1:18" x14ac:dyDescent="0.25">
      <c r="A1644" s="170">
        <v>44425</v>
      </c>
      <c r="B1644" s="116">
        <v>824.698416092716</v>
      </c>
      <c r="C1644" s="116">
        <v>822.47604177544099</v>
      </c>
      <c r="D1644" s="116">
        <v>795.06675852905198</v>
      </c>
      <c r="E1644" s="116">
        <v>799.06703230014602</v>
      </c>
      <c r="F1644" s="116">
        <v>832.7</v>
      </c>
      <c r="G1644">
        <v>264880</v>
      </c>
      <c r="H1644" s="116"/>
      <c r="I1644" s="116"/>
      <c r="L1644" s="170">
        <v>44425</v>
      </c>
      <c r="M1644" s="116">
        <v>822.575656532636</v>
      </c>
      <c r="N1644" s="116">
        <v>824.74864697976795</v>
      </c>
      <c r="O1644" s="116">
        <v>795.11695906432703</v>
      </c>
      <c r="P1644" s="116">
        <v>795.11695906432703</v>
      </c>
      <c r="Q1644" s="116">
        <v>832.8</v>
      </c>
      <c r="R1644">
        <v>7580699</v>
      </c>
    </row>
    <row r="1645" spans="1:18" x14ac:dyDescent="0.25">
      <c r="A1645" s="170">
        <v>44426</v>
      </c>
      <c r="B1645" s="116">
        <v>834.62502137654303</v>
      </c>
      <c r="C1645" s="116">
        <v>831.26676685266102</v>
      </c>
      <c r="D1645" s="116">
        <v>820.54998403380296</v>
      </c>
      <c r="E1645" s="116">
        <v>829.68641178259895</v>
      </c>
      <c r="F1645" s="116">
        <v>841.6</v>
      </c>
      <c r="G1645">
        <v>99369</v>
      </c>
      <c r="H1645" s="116"/>
      <c r="I1645" s="116"/>
      <c r="L1645" s="170">
        <v>44426</v>
      </c>
      <c r="M1645" s="116">
        <v>831.07007373506201</v>
      </c>
      <c r="N1645" s="116">
        <v>834.47771784533802</v>
      </c>
      <c r="O1645" s="116">
        <v>819.95819076677196</v>
      </c>
      <c r="P1645" s="116">
        <v>828.94646943445605</v>
      </c>
      <c r="Q1645" s="116">
        <v>841.4</v>
      </c>
      <c r="R1645">
        <v>3048603</v>
      </c>
    </row>
    <row r="1646" spans="1:18" x14ac:dyDescent="0.25">
      <c r="A1646" s="170">
        <v>44428</v>
      </c>
      <c r="B1646" s="116">
        <v>841.93416357558101</v>
      </c>
      <c r="C1646" s="116">
        <v>837.440028845092</v>
      </c>
      <c r="D1646" s="116">
        <v>816.89541293428397</v>
      </c>
      <c r="E1646" s="116">
        <v>827.26649308156698</v>
      </c>
      <c r="F1646" s="116">
        <v>847.85</v>
      </c>
      <c r="G1646">
        <v>205958</v>
      </c>
      <c r="H1646" s="116"/>
      <c r="I1646" s="116"/>
      <c r="L1646" s="170">
        <v>44428</v>
      </c>
      <c r="M1646" s="116">
        <v>836.89763902509901</v>
      </c>
      <c r="N1646" s="116">
        <v>841.93502597072404</v>
      </c>
      <c r="O1646" s="116">
        <v>816.55054665649595</v>
      </c>
      <c r="P1646" s="116">
        <v>822.72381497221295</v>
      </c>
      <c r="Q1646" s="116">
        <v>847.3</v>
      </c>
      <c r="R1646">
        <v>3782381</v>
      </c>
    </row>
    <row r="1647" spans="1:18" x14ac:dyDescent="0.25">
      <c r="A1647" s="170">
        <v>44431</v>
      </c>
      <c r="B1647" s="116">
        <v>839.90933364206398</v>
      </c>
      <c r="C1647" s="116">
        <v>822.17972519980401</v>
      </c>
      <c r="D1647" s="116">
        <v>812.99391135506801</v>
      </c>
      <c r="E1647" s="116">
        <v>839.563630970487</v>
      </c>
      <c r="F1647" s="116">
        <v>832.4</v>
      </c>
      <c r="G1647">
        <v>149175</v>
      </c>
      <c r="H1647" s="116"/>
      <c r="I1647" s="116"/>
      <c r="L1647" s="170">
        <v>44431</v>
      </c>
      <c r="M1647" s="116">
        <v>822.279339653482</v>
      </c>
      <c r="N1647" s="116">
        <v>839.26817405833401</v>
      </c>
      <c r="O1647" s="116">
        <v>812.89597181359204</v>
      </c>
      <c r="P1647" s="116">
        <v>839.21878791180802</v>
      </c>
      <c r="Q1647" s="116">
        <v>832.5</v>
      </c>
      <c r="R1647">
        <v>2161681</v>
      </c>
    </row>
    <row r="1648" spans="1:18" x14ac:dyDescent="0.25">
      <c r="A1648" s="170">
        <v>44432</v>
      </c>
      <c r="B1648" s="116">
        <v>829.68641178259895</v>
      </c>
      <c r="C1648" s="116">
        <v>826.52570164247504</v>
      </c>
      <c r="D1648" s="116">
        <v>816.94479903022398</v>
      </c>
      <c r="E1648" s="116">
        <v>822.17972519980401</v>
      </c>
      <c r="F1648" s="116">
        <v>836.8</v>
      </c>
      <c r="G1648">
        <v>35797</v>
      </c>
      <c r="H1648" s="116"/>
      <c r="I1648" s="116"/>
      <c r="L1648" s="170">
        <v>44432</v>
      </c>
      <c r="M1648" s="116">
        <v>826.62532054774601</v>
      </c>
      <c r="N1648" s="116">
        <v>830.13173695107298</v>
      </c>
      <c r="O1648" s="116">
        <v>816.84686353565098</v>
      </c>
      <c r="P1648" s="116">
        <v>823.26706258399599</v>
      </c>
      <c r="Q1648" s="116">
        <v>836.9</v>
      </c>
      <c r="R1648">
        <v>1170096</v>
      </c>
    </row>
    <row r="1649" spans="1:18" x14ac:dyDescent="0.25">
      <c r="A1649" s="170">
        <v>44433</v>
      </c>
      <c r="B1649" s="116">
        <v>839.81056145018499</v>
      </c>
      <c r="C1649" s="116">
        <v>825.43920753180703</v>
      </c>
      <c r="D1649" s="116">
        <v>823.26621931047202</v>
      </c>
      <c r="E1649" s="116">
        <v>827.21710698562697</v>
      </c>
      <c r="F1649" s="116">
        <v>835.7</v>
      </c>
      <c r="G1649">
        <v>59291</v>
      </c>
      <c r="H1649" s="116"/>
      <c r="I1649" s="116"/>
      <c r="L1649" s="170">
        <v>44433</v>
      </c>
      <c r="M1649" s="116">
        <v>825.73636991028297</v>
      </c>
      <c r="N1649" s="116">
        <v>840.20651084232304</v>
      </c>
      <c r="O1649" s="116">
        <v>823.02013185136798</v>
      </c>
      <c r="P1649" s="116">
        <v>825.83514220333495</v>
      </c>
      <c r="Q1649" s="116">
        <v>836</v>
      </c>
      <c r="R1649">
        <v>1777820</v>
      </c>
    </row>
    <row r="1650" spans="1:18" x14ac:dyDescent="0.25">
      <c r="A1650" s="170">
        <v>44434</v>
      </c>
      <c r="B1650" s="116">
        <v>846.32952611419103</v>
      </c>
      <c r="C1650" s="116">
        <v>842.42802453497495</v>
      </c>
      <c r="D1650" s="116">
        <v>824.74780218865499</v>
      </c>
      <c r="E1650" s="116">
        <v>836.50169302224197</v>
      </c>
      <c r="F1650" s="116">
        <v>852.9</v>
      </c>
      <c r="G1650">
        <v>84765</v>
      </c>
      <c r="H1650" s="116"/>
      <c r="I1650" s="116"/>
      <c r="L1650" s="170">
        <v>44434</v>
      </c>
      <c r="M1650" s="116">
        <v>842.82397660818697</v>
      </c>
      <c r="N1650" s="116">
        <v>846.28100686498897</v>
      </c>
      <c r="O1650" s="116">
        <v>824.304171661037</v>
      </c>
      <c r="P1650" s="116">
        <v>831.66270749337104</v>
      </c>
      <c r="Q1650" s="116">
        <v>853.3</v>
      </c>
      <c r="R1650">
        <v>2464570</v>
      </c>
    </row>
    <row r="1651" spans="1:18" x14ac:dyDescent="0.25">
      <c r="A1651" s="170">
        <v>44435</v>
      </c>
      <c r="B1651" s="116">
        <v>850.08286940558799</v>
      </c>
      <c r="C1651" s="116">
        <v>837.04494007757603</v>
      </c>
      <c r="D1651" s="116">
        <v>833.63729945775503</v>
      </c>
      <c r="E1651" s="116">
        <v>844.89732933194705</v>
      </c>
      <c r="F1651" s="116">
        <v>847.45</v>
      </c>
      <c r="G1651">
        <v>99815</v>
      </c>
      <c r="H1651" s="116"/>
      <c r="I1651" s="116"/>
      <c r="L1651" s="170">
        <v>44435</v>
      </c>
      <c r="M1651" s="116">
        <v>837.53965892993403</v>
      </c>
      <c r="N1651" s="116">
        <v>850.33067088009898</v>
      </c>
      <c r="O1651" s="116">
        <v>833.63815335440097</v>
      </c>
      <c r="P1651" s="116">
        <v>843.46599651302199</v>
      </c>
      <c r="Q1651" s="116">
        <v>847.95</v>
      </c>
      <c r="R1651">
        <v>2366396</v>
      </c>
    </row>
    <row r="1652" spans="1:18" x14ac:dyDescent="0.25">
      <c r="A1652" s="170">
        <v>44438</v>
      </c>
      <c r="B1652" s="116">
        <v>852.40401591474199</v>
      </c>
      <c r="C1652" s="116">
        <v>849.68778063807304</v>
      </c>
      <c r="D1652" s="116">
        <v>838.575909051699</v>
      </c>
      <c r="E1652" s="116">
        <v>838.575909051699</v>
      </c>
      <c r="F1652" s="116">
        <v>860.25</v>
      </c>
      <c r="G1652">
        <v>50533</v>
      </c>
      <c r="H1652" s="116"/>
      <c r="I1652" s="116"/>
      <c r="L1652" s="170">
        <v>44438</v>
      </c>
      <c r="M1652" s="116">
        <v>849.93558170789299</v>
      </c>
      <c r="N1652" s="116">
        <v>852.15795830155105</v>
      </c>
      <c r="O1652" s="116">
        <v>839.56449093748904</v>
      </c>
      <c r="P1652" s="116">
        <v>839.56449093748904</v>
      </c>
      <c r="Q1652" s="116">
        <v>860.5</v>
      </c>
      <c r="R1652">
        <v>1875514</v>
      </c>
    </row>
    <row r="1653" spans="1:18" x14ac:dyDescent="0.25">
      <c r="A1653" s="170">
        <v>44439</v>
      </c>
      <c r="B1653" s="116">
        <v>856.99692283710999</v>
      </c>
      <c r="C1653" s="116">
        <v>854.03375708074395</v>
      </c>
      <c r="D1653" s="116">
        <v>845.83566515479595</v>
      </c>
      <c r="E1653" s="116">
        <v>850.42857207716395</v>
      </c>
      <c r="F1653" s="116">
        <v>864.65</v>
      </c>
      <c r="G1653">
        <v>59751</v>
      </c>
      <c r="H1653" s="116"/>
      <c r="I1653" s="116"/>
      <c r="L1653" s="170">
        <v>44439</v>
      </c>
      <c r="M1653" s="116">
        <v>854.330948748683</v>
      </c>
      <c r="N1653" s="116">
        <v>857.04718680759902</v>
      </c>
      <c r="O1653" s="116">
        <v>845.93530383930897</v>
      </c>
      <c r="P1653" s="116">
        <v>851.41716610366495</v>
      </c>
      <c r="Q1653" s="116">
        <v>864.95</v>
      </c>
      <c r="R1653">
        <v>2132008</v>
      </c>
    </row>
    <row r="1654" spans="1:18" x14ac:dyDescent="0.25">
      <c r="A1654" s="170">
        <v>44440</v>
      </c>
      <c r="B1654" s="116">
        <v>863.26895702141906</v>
      </c>
      <c r="C1654" s="116">
        <v>856.74999235741302</v>
      </c>
      <c r="D1654" s="116">
        <v>842.37863843903597</v>
      </c>
      <c r="E1654" s="116">
        <v>855.36718167110803</v>
      </c>
      <c r="F1654" s="116">
        <v>867.4</v>
      </c>
      <c r="G1654">
        <v>59325</v>
      </c>
      <c r="H1654" s="116"/>
      <c r="I1654" s="116"/>
      <c r="L1654" s="170">
        <v>44440</v>
      </c>
      <c r="M1654" s="116">
        <v>856.80025607496998</v>
      </c>
      <c r="N1654" s="116">
        <v>863.96124732120199</v>
      </c>
      <c r="O1654" s="116">
        <v>841.83625367767195</v>
      </c>
      <c r="P1654" s="116">
        <v>860.40544477134904</v>
      </c>
      <c r="Q1654" s="116">
        <v>867.45</v>
      </c>
      <c r="R1654">
        <v>2051666</v>
      </c>
    </row>
    <row r="1655" spans="1:18" x14ac:dyDescent="0.25">
      <c r="A1655" s="170">
        <v>44441</v>
      </c>
      <c r="B1655" s="116">
        <v>864.50360941990505</v>
      </c>
      <c r="C1655" s="116">
        <v>860.79965222444696</v>
      </c>
      <c r="D1655" s="116">
        <v>852.206471530984</v>
      </c>
      <c r="E1655" s="116">
        <v>858.13280304371699</v>
      </c>
      <c r="F1655" s="116">
        <v>871.5</v>
      </c>
      <c r="G1655">
        <v>3149750</v>
      </c>
      <c r="H1655" s="116"/>
      <c r="I1655" s="116"/>
      <c r="L1655" s="170">
        <v>44441</v>
      </c>
      <c r="M1655" s="116">
        <v>860.75114779702903</v>
      </c>
      <c r="N1655" s="116">
        <v>864.257564200356</v>
      </c>
      <c r="O1655" s="116">
        <v>851.46655225019094</v>
      </c>
      <c r="P1655" s="116">
        <v>855.76314699792999</v>
      </c>
      <c r="Q1655" s="116">
        <v>871.45</v>
      </c>
      <c r="R1655">
        <v>1314628</v>
      </c>
    </row>
    <row r="1656" spans="1:18" x14ac:dyDescent="0.25">
      <c r="A1656" s="170">
        <v>44442</v>
      </c>
      <c r="B1656" s="116">
        <v>865.24440085899698</v>
      </c>
      <c r="C1656" s="116">
        <v>858.92298057874802</v>
      </c>
      <c r="D1656" s="116">
        <v>851.61383837971096</v>
      </c>
      <c r="E1656" s="116">
        <v>865.24440085899698</v>
      </c>
      <c r="F1656" s="116">
        <v>869.6</v>
      </c>
      <c r="G1656">
        <v>73876</v>
      </c>
      <c r="H1656" s="116"/>
      <c r="I1656" s="116"/>
      <c r="L1656" s="170">
        <v>44442</v>
      </c>
      <c r="M1656" s="116">
        <v>859.17079110820498</v>
      </c>
      <c r="N1656" s="116">
        <v>862.82536595111003</v>
      </c>
      <c r="O1656" s="116">
        <v>851.56532454324201</v>
      </c>
      <c r="P1656" s="116">
        <v>862.82536595111003</v>
      </c>
      <c r="Q1656" s="116">
        <v>869.85</v>
      </c>
      <c r="R1656">
        <v>1075187</v>
      </c>
    </row>
    <row r="1657" spans="1:18" x14ac:dyDescent="0.25">
      <c r="A1657" s="170">
        <v>44445</v>
      </c>
      <c r="B1657" s="116">
        <v>866.52843935342196</v>
      </c>
      <c r="C1657" s="116">
        <v>859.071138866566</v>
      </c>
      <c r="D1657" s="116">
        <v>852.89787687413605</v>
      </c>
      <c r="E1657" s="116">
        <v>862.28123510263003</v>
      </c>
      <c r="F1657" s="116">
        <v>869.75</v>
      </c>
      <c r="G1657">
        <v>39978</v>
      </c>
      <c r="H1657" s="116"/>
      <c r="I1657" s="116"/>
      <c r="L1657" s="170">
        <v>44445</v>
      </c>
      <c r="M1657" s="116">
        <v>859.36833569430803</v>
      </c>
      <c r="N1657" s="116">
        <v>866.87502996622004</v>
      </c>
      <c r="O1657" s="116">
        <v>852.40488903417997</v>
      </c>
      <c r="P1657" s="116">
        <v>859.17079110820498</v>
      </c>
      <c r="Q1657" s="116">
        <v>870.05</v>
      </c>
      <c r="R1657">
        <v>985142</v>
      </c>
    </row>
    <row r="1658" spans="1:18" x14ac:dyDescent="0.25">
      <c r="A1658" s="170">
        <v>44446</v>
      </c>
      <c r="B1658" s="116">
        <v>878.08478580325095</v>
      </c>
      <c r="C1658" s="116">
        <v>856.898150645231</v>
      </c>
      <c r="D1658" s="116">
        <v>852.55217420255997</v>
      </c>
      <c r="E1658" s="116">
        <v>863.26895702141906</v>
      </c>
      <c r="F1658" s="116">
        <v>867.55</v>
      </c>
      <c r="G1658">
        <v>110258</v>
      </c>
      <c r="H1658" s="116"/>
      <c r="I1658" s="116"/>
      <c r="L1658" s="170">
        <v>44446</v>
      </c>
      <c r="M1658" s="116">
        <v>857.63982056590703</v>
      </c>
      <c r="N1658" s="116">
        <v>878.08568522756195</v>
      </c>
      <c r="O1658" s="116">
        <v>854.330948748683</v>
      </c>
      <c r="P1658" s="116">
        <v>859.31894954778204</v>
      </c>
      <c r="Q1658" s="116">
        <v>868.3</v>
      </c>
      <c r="R1658">
        <v>2840271</v>
      </c>
    </row>
    <row r="1659" spans="1:18" x14ac:dyDescent="0.25">
      <c r="A1659" s="170">
        <v>44447</v>
      </c>
      <c r="B1659" s="116">
        <v>870.47932702857702</v>
      </c>
      <c r="C1659" s="116">
        <v>869.04713024633304</v>
      </c>
      <c r="D1659" s="116">
        <v>845.48996248321998</v>
      </c>
      <c r="E1659" s="116">
        <v>864.65176770772302</v>
      </c>
      <c r="F1659" s="116">
        <v>879.85</v>
      </c>
      <c r="G1659">
        <v>74391</v>
      </c>
      <c r="H1659" s="116"/>
      <c r="I1659" s="116"/>
      <c r="L1659" s="170">
        <v>44447</v>
      </c>
      <c r="M1659" s="116">
        <v>868.998634266826</v>
      </c>
      <c r="N1659" s="116">
        <v>870.52960480912395</v>
      </c>
      <c r="O1659" s="116">
        <v>845.04635320184502</v>
      </c>
      <c r="P1659" s="116">
        <v>863.56615814899601</v>
      </c>
      <c r="Q1659" s="116">
        <v>879.8</v>
      </c>
      <c r="R1659">
        <v>1601842</v>
      </c>
    </row>
    <row r="1660" spans="1:18" x14ac:dyDescent="0.25">
      <c r="A1660" s="170">
        <v>44448</v>
      </c>
      <c r="B1660" s="116">
        <v>872.65231524991304</v>
      </c>
      <c r="C1660" s="116">
        <v>865.34317305087495</v>
      </c>
      <c r="D1660" s="116">
        <v>861.83676023917496</v>
      </c>
      <c r="E1660" s="116">
        <v>868.15818051942301</v>
      </c>
      <c r="F1660" s="116">
        <v>876.1</v>
      </c>
      <c r="G1660">
        <v>103234</v>
      </c>
      <c r="H1660" s="116"/>
      <c r="I1660" s="116"/>
      <c r="L1660" s="170">
        <v>44448</v>
      </c>
      <c r="M1660" s="116">
        <v>864.85019795866504</v>
      </c>
      <c r="N1660" s="116">
        <v>876.65348697831496</v>
      </c>
      <c r="O1660" s="116">
        <v>861.83764302059501</v>
      </c>
      <c r="P1660" s="116">
        <v>864.257564200356</v>
      </c>
      <c r="Q1660" s="116">
        <v>875.6</v>
      </c>
      <c r="R1660">
        <v>1685368</v>
      </c>
    </row>
    <row r="1661" spans="1:18" x14ac:dyDescent="0.25">
      <c r="A1661" s="170">
        <v>44452</v>
      </c>
      <c r="B1661" s="116">
        <v>872.84985963367001</v>
      </c>
      <c r="C1661" s="116">
        <v>871.31889065954795</v>
      </c>
      <c r="D1661" s="116">
        <v>859.76254420971895</v>
      </c>
      <c r="E1661" s="116">
        <v>864.25667894020796</v>
      </c>
      <c r="F1661" s="116">
        <v>882.15</v>
      </c>
      <c r="G1661">
        <v>96628</v>
      </c>
      <c r="H1661" s="116"/>
      <c r="I1661" s="116"/>
      <c r="L1661" s="170">
        <v>44452</v>
      </c>
      <c r="M1661" s="116">
        <v>871.27039700701005</v>
      </c>
      <c r="N1661" s="116">
        <v>873.14707057498799</v>
      </c>
      <c r="O1661" s="116">
        <v>860.01035559914305</v>
      </c>
      <c r="P1661" s="116">
        <v>866.03546547528197</v>
      </c>
      <c r="Q1661" s="116">
        <v>882.1</v>
      </c>
      <c r="R1661">
        <v>1064009</v>
      </c>
    </row>
    <row r="1662" spans="1:18" x14ac:dyDescent="0.25">
      <c r="A1662" s="170">
        <v>44453</v>
      </c>
      <c r="B1662" s="116">
        <v>874.82530347124805</v>
      </c>
      <c r="C1662" s="116">
        <v>870.28178264481903</v>
      </c>
      <c r="D1662" s="116">
        <v>867.219844696574</v>
      </c>
      <c r="E1662" s="116">
        <v>872.25722648239696</v>
      </c>
      <c r="F1662" s="116">
        <v>881.1</v>
      </c>
      <c r="G1662">
        <v>59497</v>
      </c>
      <c r="H1662" s="116"/>
      <c r="I1662" s="116"/>
      <c r="L1662" s="170">
        <v>44453</v>
      </c>
      <c r="M1662" s="116">
        <v>870.48021866259899</v>
      </c>
      <c r="N1662" s="116">
        <v>875.02374414296605</v>
      </c>
      <c r="O1662" s="116">
        <v>866.82564381969405</v>
      </c>
      <c r="P1662" s="116">
        <v>873.93724891939996</v>
      </c>
      <c r="Q1662" s="116">
        <v>881.3</v>
      </c>
      <c r="R1662">
        <v>622424</v>
      </c>
    </row>
    <row r="1663" spans="1:18" x14ac:dyDescent="0.25">
      <c r="A1663" s="170">
        <v>44454</v>
      </c>
      <c r="B1663" s="116">
        <v>876.504430733189</v>
      </c>
      <c r="C1663" s="116">
        <v>860.70088003256797</v>
      </c>
      <c r="D1663" s="116">
        <v>859.41684153814299</v>
      </c>
      <c r="E1663" s="116">
        <v>871.66459333112402</v>
      </c>
      <c r="F1663" s="116">
        <v>871.4</v>
      </c>
      <c r="G1663">
        <v>58373</v>
      </c>
      <c r="H1663" s="116"/>
      <c r="I1663" s="116"/>
      <c r="L1663" s="170">
        <v>44454</v>
      </c>
      <c r="M1663" s="116">
        <v>860.84992009007999</v>
      </c>
      <c r="N1663" s="116">
        <v>876.50532853873801</v>
      </c>
      <c r="O1663" s="116">
        <v>859.81281101304</v>
      </c>
      <c r="P1663" s="116">
        <v>874.13479350550301</v>
      </c>
      <c r="Q1663" s="116">
        <v>871.55</v>
      </c>
      <c r="R1663">
        <v>1945751</v>
      </c>
    </row>
    <row r="1664" spans="1:18" x14ac:dyDescent="0.25">
      <c r="A1664" s="170">
        <v>44455</v>
      </c>
      <c r="B1664" s="116">
        <v>872.15845429051797</v>
      </c>
      <c r="C1664" s="116">
        <v>863.36772921329805</v>
      </c>
      <c r="D1664" s="116">
        <v>860.50333564880998</v>
      </c>
      <c r="E1664" s="116">
        <v>865.24440085899698</v>
      </c>
      <c r="F1664" s="116">
        <v>874.1</v>
      </c>
      <c r="G1664">
        <v>48879</v>
      </c>
      <c r="H1664" s="116"/>
      <c r="I1664" s="116"/>
      <c r="L1664" s="170">
        <v>44455</v>
      </c>
      <c r="M1664" s="116">
        <v>863.26984126984098</v>
      </c>
      <c r="N1664" s="116">
        <v>872.159347644474</v>
      </c>
      <c r="O1664" s="116">
        <v>860.65237550397705</v>
      </c>
      <c r="P1664" s="116">
        <v>862.77597980458404</v>
      </c>
      <c r="Q1664" s="116">
        <v>874</v>
      </c>
      <c r="R1664">
        <v>1294536</v>
      </c>
    </row>
    <row r="1665" spans="1:18" x14ac:dyDescent="0.25">
      <c r="A1665" s="170">
        <v>44456</v>
      </c>
      <c r="B1665" s="116">
        <v>869.98546606918296</v>
      </c>
      <c r="C1665" s="116">
        <v>863.07141263766096</v>
      </c>
      <c r="D1665" s="116">
        <v>855.66349824674501</v>
      </c>
      <c r="E1665" s="116">
        <v>865.34317305087495</v>
      </c>
      <c r="F1665" s="116">
        <v>873.8</v>
      </c>
      <c r="G1665">
        <v>95484</v>
      </c>
      <c r="H1665" s="116"/>
      <c r="I1665" s="116"/>
      <c r="L1665" s="170">
        <v>44456</v>
      </c>
      <c r="M1665" s="116">
        <v>863.41799970941895</v>
      </c>
      <c r="N1665" s="116">
        <v>870.18390178344396</v>
      </c>
      <c r="O1665" s="116">
        <v>855.66437470487801</v>
      </c>
      <c r="P1665" s="116">
        <v>869.09740655987798</v>
      </c>
      <c r="Q1665" s="116">
        <v>874.15</v>
      </c>
      <c r="R1665">
        <v>1829129</v>
      </c>
    </row>
    <row r="1666" spans="1:18" x14ac:dyDescent="0.25">
      <c r="A1666" s="170">
        <v>44459</v>
      </c>
      <c r="B1666" s="116">
        <v>865.93580620214902</v>
      </c>
      <c r="C1666" s="116">
        <v>847.21847584110105</v>
      </c>
      <c r="D1666" s="116">
        <v>844.50224056443199</v>
      </c>
      <c r="E1666" s="116">
        <v>859.318069346264</v>
      </c>
      <c r="F1666" s="116">
        <v>857.75</v>
      </c>
      <c r="G1666">
        <v>82280</v>
      </c>
      <c r="H1666" s="116"/>
      <c r="I1666" s="116"/>
      <c r="L1666" s="170">
        <v>44459</v>
      </c>
      <c r="M1666" s="116">
        <v>846.47855145109099</v>
      </c>
      <c r="N1666" s="116">
        <v>866.18362391486005</v>
      </c>
      <c r="O1666" s="116">
        <v>844.50310559006198</v>
      </c>
      <c r="P1666" s="116">
        <v>859.36833569430803</v>
      </c>
      <c r="Q1666" s="116">
        <v>857</v>
      </c>
      <c r="R1666">
        <v>1081450</v>
      </c>
    </row>
    <row r="1667" spans="1:18" x14ac:dyDescent="0.25">
      <c r="A1667" s="170">
        <v>44460</v>
      </c>
      <c r="B1667" s="116">
        <v>853.88559879292495</v>
      </c>
      <c r="C1667" s="116">
        <v>848.70005871928402</v>
      </c>
      <c r="D1667" s="116">
        <v>840.79828336897299</v>
      </c>
      <c r="E1667" s="116">
        <v>846.03320953855405</v>
      </c>
      <c r="F1667" s="116">
        <v>859.25</v>
      </c>
      <c r="G1667">
        <v>157607</v>
      </c>
      <c r="H1667" s="116"/>
      <c r="I1667" s="116"/>
      <c r="L1667" s="170">
        <v>44460</v>
      </c>
      <c r="M1667" s="116">
        <v>848.35522501906905</v>
      </c>
      <c r="N1667" s="116">
        <v>853.83708728342594</v>
      </c>
      <c r="O1667" s="116">
        <v>840.55221386800304</v>
      </c>
      <c r="P1667" s="116">
        <v>844.50310559006198</v>
      </c>
      <c r="Q1667" s="116">
        <v>858.9</v>
      </c>
      <c r="R1667">
        <v>1478291</v>
      </c>
    </row>
    <row r="1668" spans="1:18" x14ac:dyDescent="0.25">
      <c r="A1668" s="170">
        <v>44461</v>
      </c>
      <c r="B1668" s="116">
        <v>853.14480735383404</v>
      </c>
      <c r="C1668" s="116">
        <v>843.76144912534005</v>
      </c>
      <c r="D1668" s="116">
        <v>841.53907480806504</v>
      </c>
      <c r="E1668" s="116">
        <v>850.42857207716395</v>
      </c>
      <c r="F1668" s="116">
        <v>854.25</v>
      </c>
      <c r="G1668">
        <v>213470</v>
      </c>
      <c r="H1668" s="116"/>
      <c r="I1668" s="116"/>
      <c r="L1668" s="170">
        <v>44461</v>
      </c>
      <c r="M1668" s="116">
        <v>843.66354109912504</v>
      </c>
      <c r="N1668" s="116">
        <v>852.75059205985997</v>
      </c>
      <c r="O1668" s="116">
        <v>841.44116450546699</v>
      </c>
      <c r="P1668" s="116">
        <v>851.41716610366495</v>
      </c>
      <c r="Q1668" s="116">
        <v>854.15</v>
      </c>
      <c r="R1668">
        <v>982114</v>
      </c>
    </row>
    <row r="1669" spans="1:18" x14ac:dyDescent="0.25">
      <c r="A1669" s="170">
        <v>44462</v>
      </c>
      <c r="B1669" s="116">
        <v>848.94698919898099</v>
      </c>
      <c r="C1669" s="116">
        <v>839.85994754612398</v>
      </c>
      <c r="D1669" s="116">
        <v>838.77345343545596</v>
      </c>
      <c r="E1669" s="116">
        <v>846.08259563449406</v>
      </c>
      <c r="F1669" s="116">
        <v>850.3</v>
      </c>
      <c r="G1669">
        <v>677845</v>
      </c>
      <c r="H1669" s="116"/>
      <c r="I1669" s="116"/>
      <c r="L1669" s="170">
        <v>44462</v>
      </c>
      <c r="M1669" s="116">
        <v>840.20651084232304</v>
      </c>
      <c r="N1669" s="116">
        <v>849.19478951000701</v>
      </c>
      <c r="O1669" s="116">
        <v>838.62615415350001</v>
      </c>
      <c r="P1669" s="116">
        <v>846.62670989066896</v>
      </c>
      <c r="Q1669" s="116">
        <v>850.65</v>
      </c>
      <c r="R1669">
        <v>1464265</v>
      </c>
    </row>
    <row r="1670" spans="1:18" x14ac:dyDescent="0.25">
      <c r="A1670" s="170">
        <v>44463</v>
      </c>
      <c r="B1670" s="116">
        <v>839.85994754612398</v>
      </c>
      <c r="C1670" s="116">
        <v>825.88368239526199</v>
      </c>
      <c r="D1670" s="116">
        <v>824.10578294144295</v>
      </c>
      <c r="E1670" s="116">
        <v>839.85994754612398</v>
      </c>
      <c r="F1670" s="116">
        <v>836.15</v>
      </c>
      <c r="G1670">
        <v>65181</v>
      </c>
      <c r="H1670" s="116"/>
      <c r="I1670" s="116"/>
      <c r="L1670" s="170">
        <v>44463</v>
      </c>
      <c r="M1670" s="116">
        <v>826.47716210816895</v>
      </c>
      <c r="N1670" s="116">
        <v>841.53993679851806</v>
      </c>
      <c r="O1670" s="116">
        <v>823.76092404925396</v>
      </c>
      <c r="P1670" s="116">
        <v>840.20651084232304</v>
      </c>
      <c r="Q1670" s="116">
        <v>836.75</v>
      </c>
      <c r="R1670">
        <v>2846056</v>
      </c>
    </row>
    <row r="1671" spans="1:18" x14ac:dyDescent="0.25">
      <c r="A1671" s="170">
        <v>44466</v>
      </c>
      <c r="B1671" s="116">
        <v>832.00755829175296</v>
      </c>
      <c r="C1671" s="116">
        <v>825.34043533992894</v>
      </c>
      <c r="D1671" s="116">
        <v>818.969628963741</v>
      </c>
      <c r="E1671" s="116">
        <v>827.46403746532496</v>
      </c>
      <c r="F1671" s="116">
        <v>835.6</v>
      </c>
      <c r="G1671">
        <v>56025</v>
      </c>
      <c r="H1671" s="116"/>
      <c r="I1671" s="116"/>
      <c r="L1671" s="170">
        <v>44466</v>
      </c>
      <c r="M1671" s="116">
        <v>824.79803312629394</v>
      </c>
      <c r="N1671" s="116">
        <v>832.05779666557703</v>
      </c>
      <c r="O1671" s="116">
        <v>818.82230939668</v>
      </c>
      <c r="P1671" s="116">
        <v>826.82286513384895</v>
      </c>
      <c r="Q1671" s="116">
        <v>835.05</v>
      </c>
      <c r="R1671">
        <v>1433229</v>
      </c>
    </row>
    <row r="1672" spans="1:18" x14ac:dyDescent="0.25">
      <c r="A1672" s="170">
        <v>44467</v>
      </c>
      <c r="B1672" s="116">
        <v>826.72324602623303</v>
      </c>
      <c r="C1672" s="116">
        <v>812.54943649161396</v>
      </c>
      <c r="D1672" s="116">
        <v>807.16635203421504</v>
      </c>
      <c r="E1672" s="116">
        <v>825.78491020338402</v>
      </c>
      <c r="F1672" s="116">
        <v>822.65</v>
      </c>
      <c r="G1672">
        <v>118381</v>
      </c>
      <c r="H1672" s="116"/>
      <c r="I1672" s="116"/>
      <c r="L1672" s="170">
        <v>44467</v>
      </c>
      <c r="M1672" s="116">
        <v>812.59965493443804</v>
      </c>
      <c r="N1672" s="116">
        <v>827.11918201300398</v>
      </c>
      <c r="O1672" s="116">
        <v>806.96963423050397</v>
      </c>
      <c r="P1672" s="116">
        <v>826.72409284079799</v>
      </c>
      <c r="Q1672" s="116">
        <v>822.7</v>
      </c>
      <c r="R1672">
        <v>1933307</v>
      </c>
    </row>
    <row r="1673" spans="1:18" x14ac:dyDescent="0.25">
      <c r="A1673" s="170">
        <v>44468</v>
      </c>
      <c r="B1673" s="116">
        <v>819.16717334749899</v>
      </c>
      <c r="C1673" s="116">
        <v>813.53715841040196</v>
      </c>
      <c r="D1673" s="116">
        <v>801.98081196057296</v>
      </c>
      <c r="E1673" s="116">
        <v>809.93197340682298</v>
      </c>
      <c r="F1673" s="116">
        <v>823.65</v>
      </c>
      <c r="G1673">
        <v>82824</v>
      </c>
      <c r="H1673" s="116"/>
      <c r="I1673" s="116"/>
      <c r="L1673" s="170">
        <v>44468</v>
      </c>
      <c r="M1673" s="116">
        <v>813.34044713232402</v>
      </c>
      <c r="N1673" s="116">
        <v>819.21739856888598</v>
      </c>
      <c r="O1673" s="116">
        <v>801.04329664741601</v>
      </c>
      <c r="P1673" s="116">
        <v>814.377556209364</v>
      </c>
      <c r="Q1673" s="116">
        <v>823.45</v>
      </c>
      <c r="R1673">
        <v>2156442</v>
      </c>
    </row>
    <row r="1674" spans="1:18" x14ac:dyDescent="0.25">
      <c r="A1674" s="170">
        <v>44469</v>
      </c>
      <c r="B1674" s="116">
        <v>816.84602683834498</v>
      </c>
      <c r="C1674" s="116">
        <v>803.56116703063503</v>
      </c>
      <c r="D1674" s="116">
        <v>801.04247613772395</v>
      </c>
      <c r="E1674" s="116">
        <v>816.84602683834498</v>
      </c>
      <c r="F1674" s="116">
        <v>813.55</v>
      </c>
      <c r="G1674">
        <v>97859</v>
      </c>
      <c r="H1674" s="116"/>
      <c r="I1674" s="116"/>
      <c r="L1674" s="170">
        <v>44469</v>
      </c>
      <c r="M1674" s="116">
        <v>803.61137626675395</v>
      </c>
      <c r="N1674" s="116">
        <v>813.83430859758096</v>
      </c>
      <c r="O1674" s="116">
        <v>800.89513820783895</v>
      </c>
      <c r="P1674" s="116">
        <v>812.89597181359204</v>
      </c>
      <c r="Q1674" s="116">
        <v>813.6</v>
      </c>
      <c r="R1674">
        <v>1622014</v>
      </c>
    </row>
    <row r="1675" spans="1:18" x14ac:dyDescent="0.25">
      <c r="A1675" s="170">
        <v>44470</v>
      </c>
      <c r="B1675" s="116">
        <v>809.53688463930803</v>
      </c>
      <c r="C1675" s="116">
        <v>791.46157352547198</v>
      </c>
      <c r="D1675" s="116">
        <v>786.720508315286</v>
      </c>
      <c r="E1675" s="116">
        <v>804.94397771694003</v>
      </c>
      <c r="F1675" s="116">
        <v>801.3</v>
      </c>
      <c r="G1675">
        <v>99735</v>
      </c>
      <c r="H1675" s="116"/>
      <c r="I1675" s="116"/>
      <c r="L1675" s="170">
        <v>44470</v>
      </c>
      <c r="M1675" s="116">
        <v>791.41299807489702</v>
      </c>
      <c r="N1675" s="116">
        <v>809.93280302204801</v>
      </c>
      <c r="O1675" s="116">
        <v>786.22745268969504</v>
      </c>
      <c r="P1675" s="116">
        <v>802.91997021539396</v>
      </c>
      <c r="Q1675" s="116">
        <v>801.25</v>
      </c>
      <c r="R1675">
        <v>1989799</v>
      </c>
    </row>
    <row r="1676" spans="1:18" x14ac:dyDescent="0.25">
      <c r="A1676" s="170">
        <v>44473</v>
      </c>
      <c r="B1676" s="116">
        <v>806.96880765045705</v>
      </c>
      <c r="C1676" s="116">
        <v>804.49950285348496</v>
      </c>
      <c r="D1676" s="116">
        <v>791.95543448486706</v>
      </c>
      <c r="E1676" s="116">
        <v>794.12842270620195</v>
      </c>
      <c r="F1676" s="116">
        <v>814.5</v>
      </c>
      <c r="G1676">
        <v>110342</v>
      </c>
      <c r="H1676" s="116"/>
      <c r="I1676" s="116"/>
      <c r="L1676" s="170">
        <v>44473</v>
      </c>
      <c r="M1676" s="116">
        <v>804.30278231811405</v>
      </c>
      <c r="N1676" s="116">
        <v>807.21656496313199</v>
      </c>
      <c r="O1676" s="116">
        <v>791.90685954015498</v>
      </c>
      <c r="P1676" s="116">
        <v>795.16634521085302</v>
      </c>
      <c r="Q1676" s="116">
        <v>814.3</v>
      </c>
      <c r="R1676">
        <v>1709463</v>
      </c>
    </row>
    <row r="1677" spans="1:18" x14ac:dyDescent="0.25">
      <c r="A1677" s="170">
        <v>44474</v>
      </c>
      <c r="B1677" s="116">
        <v>809.63565683118702</v>
      </c>
      <c r="C1677" s="116">
        <v>791.80727619704896</v>
      </c>
      <c r="D1677" s="116">
        <v>790.02937674322902</v>
      </c>
      <c r="E1677" s="116">
        <v>804.99336381287901</v>
      </c>
      <c r="F1677" s="116">
        <v>801.65</v>
      </c>
      <c r="G1677">
        <v>169744</v>
      </c>
      <c r="H1677" s="116"/>
      <c r="I1677" s="116"/>
      <c r="L1677" s="170">
        <v>44474</v>
      </c>
      <c r="M1677" s="116">
        <v>791.61054266099995</v>
      </c>
      <c r="N1677" s="116">
        <v>809.14262467763604</v>
      </c>
      <c r="O1677" s="116">
        <v>789.88202753259998</v>
      </c>
      <c r="P1677" s="116">
        <v>804.99418836947405</v>
      </c>
      <c r="Q1677" s="116">
        <v>801.45</v>
      </c>
      <c r="R1677">
        <v>3499870</v>
      </c>
    </row>
    <row r="1678" spans="1:18" x14ac:dyDescent="0.25">
      <c r="A1678" s="170">
        <v>44475</v>
      </c>
      <c r="B1678" s="116">
        <v>823.562535886109</v>
      </c>
      <c r="C1678" s="116">
        <v>810.72215094185401</v>
      </c>
      <c r="D1678" s="116">
        <v>793.04192859553496</v>
      </c>
      <c r="E1678" s="116">
        <v>800.05475421893505</v>
      </c>
      <c r="F1678" s="116">
        <v>820.8</v>
      </c>
      <c r="G1678">
        <v>380927</v>
      </c>
      <c r="H1678" s="116"/>
      <c r="I1678" s="116"/>
      <c r="L1678" s="170">
        <v>44475</v>
      </c>
      <c r="M1678" s="116">
        <v>810.57482292688201</v>
      </c>
      <c r="N1678" s="116">
        <v>823.76092404925396</v>
      </c>
      <c r="O1678" s="116">
        <v>793.14151320329802</v>
      </c>
      <c r="P1678" s="116">
        <v>799.41355381206597</v>
      </c>
      <c r="Q1678" s="116">
        <v>820.65</v>
      </c>
      <c r="R1678">
        <v>5215518</v>
      </c>
    </row>
    <row r="1679" spans="1:18" x14ac:dyDescent="0.25">
      <c r="A1679" s="170">
        <v>44476</v>
      </c>
      <c r="B1679" s="116">
        <v>820.54998403380296</v>
      </c>
      <c r="C1679" s="116">
        <v>814.22856375355502</v>
      </c>
      <c r="D1679" s="116">
        <v>808.25284614488203</v>
      </c>
      <c r="E1679" s="116">
        <v>819.61164821095304</v>
      </c>
      <c r="F1679" s="116">
        <v>824.35</v>
      </c>
      <c r="G1679">
        <v>134847</v>
      </c>
      <c r="H1679" s="116"/>
      <c r="I1679" s="116"/>
      <c r="L1679" s="170">
        <v>44476</v>
      </c>
      <c r="M1679" s="116">
        <v>814.42694235588999</v>
      </c>
      <c r="N1679" s="116">
        <v>820.50143837855501</v>
      </c>
      <c r="O1679" s="116">
        <v>811.26622897824302</v>
      </c>
      <c r="P1679" s="116">
        <v>817.83458646616498</v>
      </c>
      <c r="Q1679" s="116">
        <v>824.55</v>
      </c>
      <c r="R1679">
        <v>1500439</v>
      </c>
    </row>
    <row r="1680" spans="1:18" x14ac:dyDescent="0.25">
      <c r="A1680" s="170">
        <v>44477</v>
      </c>
      <c r="B1680" s="116">
        <v>818.62392629216504</v>
      </c>
      <c r="C1680" s="116">
        <v>808.74670710427699</v>
      </c>
      <c r="D1680" s="116">
        <v>802.62283120778602</v>
      </c>
      <c r="E1680" s="116">
        <v>816.05584930331395</v>
      </c>
      <c r="F1680" s="116">
        <v>818.8</v>
      </c>
      <c r="G1680">
        <v>69796</v>
      </c>
      <c r="H1680" s="116"/>
      <c r="I1680" s="116"/>
      <c r="L1680" s="170">
        <v>44477</v>
      </c>
      <c r="M1680" s="116">
        <v>808.69814935890497</v>
      </c>
      <c r="N1680" s="116">
        <v>818.77292325015401</v>
      </c>
      <c r="O1680" s="116">
        <v>802.47549489666198</v>
      </c>
      <c r="P1680" s="116">
        <v>816.748091242599</v>
      </c>
      <c r="Q1680" s="116">
        <v>818.75</v>
      </c>
      <c r="R1680">
        <v>1747911</v>
      </c>
    </row>
    <row r="1681" spans="1:18" x14ac:dyDescent="0.25">
      <c r="A1681" s="170">
        <v>44480</v>
      </c>
      <c r="B1681" s="116">
        <v>815.85830491955596</v>
      </c>
      <c r="C1681" s="116">
        <v>805.83292744385005</v>
      </c>
      <c r="D1681" s="116">
        <v>803.51178093469605</v>
      </c>
      <c r="E1681" s="116">
        <v>812.50005039567395</v>
      </c>
      <c r="F1681" s="116">
        <v>815.85</v>
      </c>
      <c r="G1681">
        <v>699482</v>
      </c>
      <c r="H1681" s="116"/>
      <c r="I1681" s="116"/>
      <c r="L1681" s="170">
        <v>44480</v>
      </c>
      <c r="M1681" s="116">
        <v>806.22884203261799</v>
      </c>
      <c r="N1681" s="116">
        <v>816.35300207039302</v>
      </c>
      <c r="O1681" s="116">
        <v>803.01874250844503</v>
      </c>
      <c r="P1681" s="116">
        <v>811.31561512476799</v>
      </c>
      <c r="Q1681" s="116">
        <v>816.25</v>
      </c>
      <c r="R1681">
        <v>1772719</v>
      </c>
    </row>
    <row r="1682" spans="1:18" x14ac:dyDescent="0.25">
      <c r="A1682" s="170">
        <v>44481</v>
      </c>
      <c r="B1682" s="116">
        <v>812.69759477943205</v>
      </c>
      <c r="C1682" s="116">
        <v>806.37617449918298</v>
      </c>
      <c r="D1682" s="116">
        <v>803.70932531845403</v>
      </c>
      <c r="E1682" s="116">
        <v>810.87030922967301</v>
      </c>
      <c r="F1682" s="116">
        <v>816.4</v>
      </c>
      <c r="G1682">
        <v>55876</v>
      </c>
      <c r="H1682" s="116"/>
      <c r="I1682" s="116"/>
      <c r="L1682" s="170">
        <v>44481</v>
      </c>
      <c r="M1682" s="116">
        <v>806.13006973956601</v>
      </c>
      <c r="N1682" s="116">
        <v>812.89597181359204</v>
      </c>
      <c r="O1682" s="116">
        <v>803.61137626675395</v>
      </c>
      <c r="P1682" s="116">
        <v>807.46349569576103</v>
      </c>
      <c r="Q1682" s="116">
        <v>816.15</v>
      </c>
      <c r="R1682">
        <v>1246493</v>
      </c>
    </row>
    <row r="1683" spans="1:18" x14ac:dyDescent="0.25">
      <c r="A1683" s="170">
        <v>44482</v>
      </c>
      <c r="B1683" s="116">
        <v>843.31697426188498</v>
      </c>
      <c r="C1683" s="116">
        <v>837.98327590042504</v>
      </c>
      <c r="D1683" s="116">
        <v>808.94425148803396</v>
      </c>
      <c r="E1683" s="116">
        <v>808.94425148803396</v>
      </c>
      <c r="F1683" s="116">
        <v>848.4</v>
      </c>
      <c r="G1683">
        <v>470202</v>
      </c>
      <c r="H1683" s="116"/>
      <c r="I1683" s="116"/>
      <c r="L1683" s="170">
        <v>44482</v>
      </c>
      <c r="M1683" s="116">
        <v>837.73720351603595</v>
      </c>
      <c r="N1683" s="116">
        <v>843.51538265954696</v>
      </c>
      <c r="O1683" s="116">
        <v>808.00674330754396</v>
      </c>
      <c r="P1683" s="116">
        <v>809.93280302204801</v>
      </c>
      <c r="Q1683" s="116">
        <v>848.15</v>
      </c>
      <c r="R1683">
        <v>7233280</v>
      </c>
    </row>
    <row r="1684" spans="1:18" x14ac:dyDescent="0.25">
      <c r="A1684" s="170">
        <v>44483</v>
      </c>
      <c r="B1684" s="116">
        <v>851.76199666752905</v>
      </c>
      <c r="C1684" s="116">
        <v>838.575909051699</v>
      </c>
      <c r="D1684" s="116">
        <v>835.66212939127195</v>
      </c>
      <c r="E1684" s="116">
        <v>849.44085015837595</v>
      </c>
      <c r="F1684" s="116">
        <v>849</v>
      </c>
      <c r="G1684">
        <v>174535</v>
      </c>
      <c r="H1684" s="116"/>
      <c r="I1684" s="116"/>
      <c r="L1684" s="170">
        <v>44483</v>
      </c>
      <c r="M1684" s="116">
        <v>839.16940176528306</v>
      </c>
      <c r="N1684" s="116">
        <v>849.44172024263605</v>
      </c>
      <c r="O1684" s="116">
        <v>835.61359921542999</v>
      </c>
      <c r="P1684" s="116">
        <v>849.39233409610995</v>
      </c>
      <c r="Q1684" s="116">
        <v>849.6</v>
      </c>
      <c r="R1684">
        <v>2352197</v>
      </c>
    </row>
    <row r="1685" spans="1:18" x14ac:dyDescent="0.25">
      <c r="A1685" s="170">
        <v>44487</v>
      </c>
      <c r="B1685" s="116">
        <v>851.91015495534805</v>
      </c>
      <c r="C1685" s="116">
        <v>833.88422993745201</v>
      </c>
      <c r="D1685" s="116">
        <v>832.40264705926904</v>
      </c>
      <c r="E1685" s="116">
        <v>851.41629399595297</v>
      </c>
      <c r="F1685" s="116">
        <v>844.25</v>
      </c>
      <c r="G1685">
        <v>82173</v>
      </c>
      <c r="H1685" s="116"/>
      <c r="I1685" s="116"/>
      <c r="L1685" s="170">
        <v>44487</v>
      </c>
      <c r="M1685" s="116">
        <v>833.58876720787498</v>
      </c>
      <c r="N1685" s="116">
        <v>852.40488903417997</v>
      </c>
      <c r="O1685" s="116">
        <v>831.71209363989703</v>
      </c>
      <c r="P1685" s="116">
        <v>852.40488903417997</v>
      </c>
      <c r="Q1685" s="116">
        <v>843.95</v>
      </c>
      <c r="R1685">
        <v>1914236</v>
      </c>
    </row>
    <row r="1686" spans="1:18" x14ac:dyDescent="0.25">
      <c r="A1686" s="170">
        <v>44488</v>
      </c>
      <c r="B1686" s="116">
        <v>851.169363516256</v>
      </c>
      <c r="C1686" s="116">
        <v>832.60019144302601</v>
      </c>
      <c r="D1686" s="116">
        <v>829.68641178259895</v>
      </c>
      <c r="E1686" s="116">
        <v>838.575909051699</v>
      </c>
      <c r="F1686" s="116">
        <v>842.95</v>
      </c>
      <c r="G1686">
        <v>336405</v>
      </c>
      <c r="H1686" s="116"/>
      <c r="I1686" s="116"/>
      <c r="L1686" s="170">
        <v>44488</v>
      </c>
      <c r="M1686" s="116">
        <v>832.94674730303996</v>
      </c>
      <c r="N1686" s="116">
        <v>851.41716610366495</v>
      </c>
      <c r="O1686" s="116">
        <v>829.78603392539299</v>
      </c>
      <c r="P1686" s="116">
        <v>838.57676800697402</v>
      </c>
      <c r="Q1686" s="116">
        <v>843.3</v>
      </c>
      <c r="R1686">
        <v>1915361</v>
      </c>
    </row>
    <row r="1687" spans="1:18" x14ac:dyDescent="0.25">
      <c r="A1687" s="170">
        <v>44489</v>
      </c>
      <c r="B1687" s="116">
        <v>841.09459994460997</v>
      </c>
      <c r="C1687" s="116">
        <v>817.14234341398105</v>
      </c>
      <c r="D1687" s="116">
        <v>812.59882258755295</v>
      </c>
      <c r="E1687" s="116">
        <v>831.66185562017699</v>
      </c>
      <c r="F1687" s="116">
        <v>827.3</v>
      </c>
      <c r="G1687">
        <v>788170</v>
      </c>
      <c r="H1687" s="116"/>
      <c r="I1687" s="116"/>
      <c r="L1687" s="170">
        <v>44489</v>
      </c>
      <c r="M1687" s="116">
        <v>816.79747738912499</v>
      </c>
      <c r="N1687" s="116">
        <v>841.44116450546699</v>
      </c>
      <c r="O1687" s="116">
        <v>812.45149649485995</v>
      </c>
      <c r="P1687" s="116">
        <v>830.67498456285603</v>
      </c>
      <c r="Q1687" s="116">
        <v>826.95</v>
      </c>
      <c r="R1687">
        <v>1535158</v>
      </c>
    </row>
    <row r="1688" spans="1:18" x14ac:dyDescent="0.25">
      <c r="A1688" s="170">
        <v>44490</v>
      </c>
      <c r="B1688" s="116">
        <v>829.19255082320501</v>
      </c>
      <c r="C1688" s="116">
        <v>805.48722477227398</v>
      </c>
      <c r="D1688" s="116">
        <v>797.88176599760004</v>
      </c>
      <c r="E1688" s="116">
        <v>829.19255082320501</v>
      </c>
      <c r="F1688" s="116">
        <v>815.5</v>
      </c>
      <c r="G1688">
        <v>371258</v>
      </c>
      <c r="H1688" s="116"/>
      <c r="I1688" s="116"/>
      <c r="L1688" s="170">
        <v>44490</v>
      </c>
      <c r="M1688" s="116">
        <v>804.796643783371</v>
      </c>
      <c r="N1688" s="116">
        <v>828.45260796919797</v>
      </c>
      <c r="O1688" s="116">
        <v>798.08012785587198</v>
      </c>
      <c r="P1688" s="116">
        <v>826.87225128037505</v>
      </c>
      <c r="Q1688" s="116">
        <v>814.8</v>
      </c>
      <c r="R1688">
        <v>2257911</v>
      </c>
    </row>
    <row r="1689" spans="1:18" x14ac:dyDescent="0.25">
      <c r="A1689" s="170">
        <v>44491</v>
      </c>
      <c r="B1689" s="116">
        <v>812.59882258755295</v>
      </c>
      <c r="C1689" s="116">
        <v>785.83155858837597</v>
      </c>
      <c r="D1689" s="116">
        <v>781.28803776194798</v>
      </c>
      <c r="E1689" s="116">
        <v>812.59882258755295</v>
      </c>
      <c r="F1689" s="116">
        <v>795.6</v>
      </c>
      <c r="G1689">
        <v>206872</v>
      </c>
      <c r="H1689" s="116"/>
      <c r="I1689" s="116"/>
      <c r="L1689" s="170">
        <v>44491</v>
      </c>
      <c r="M1689" s="116">
        <v>785.48666049180895</v>
      </c>
      <c r="N1689" s="116">
        <v>811.71070429697397</v>
      </c>
      <c r="O1689" s="116">
        <v>780.30111510660697</v>
      </c>
      <c r="P1689" s="116">
        <v>808.59937706585299</v>
      </c>
      <c r="Q1689" s="116">
        <v>795.25</v>
      </c>
      <c r="R1689">
        <v>2948977</v>
      </c>
    </row>
    <row r="1690" spans="1:18" x14ac:dyDescent="0.25">
      <c r="A1690" s="170">
        <v>44494</v>
      </c>
      <c r="B1690" s="116">
        <v>789.97999064728901</v>
      </c>
      <c r="C1690" s="116">
        <v>779.55952440406702</v>
      </c>
      <c r="D1690" s="116">
        <v>763.60781541562801</v>
      </c>
      <c r="E1690" s="116">
        <v>785.83155858837597</v>
      </c>
      <c r="F1690" s="116">
        <v>789.25</v>
      </c>
      <c r="G1690">
        <v>220567</v>
      </c>
      <c r="H1690" s="116"/>
      <c r="I1690" s="116"/>
      <c r="L1690" s="170">
        <v>44494</v>
      </c>
      <c r="M1690" s="116">
        <v>779.26400602956699</v>
      </c>
      <c r="N1690" s="116">
        <v>790.77097817006302</v>
      </c>
      <c r="O1690" s="116">
        <v>764.10245904616602</v>
      </c>
      <c r="P1690" s="116">
        <v>783.26428389815101</v>
      </c>
      <c r="Q1690" s="116">
        <v>788.95</v>
      </c>
      <c r="R1690">
        <v>2954698</v>
      </c>
    </row>
    <row r="1691" spans="1:18" x14ac:dyDescent="0.25">
      <c r="A1691" s="170">
        <v>44495</v>
      </c>
      <c r="B1691" s="116">
        <v>802.03019805651297</v>
      </c>
      <c r="C1691" s="116">
        <v>799.363348875783</v>
      </c>
      <c r="D1691" s="116">
        <v>776.25065597612502</v>
      </c>
      <c r="E1691" s="116">
        <v>776.300042072064</v>
      </c>
      <c r="F1691" s="116">
        <v>809.3</v>
      </c>
      <c r="G1691">
        <v>108391</v>
      </c>
      <c r="H1691" s="116"/>
      <c r="I1691" s="116"/>
      <c r="L1691" s="170">
        <v>44495</v>
      </c>
      <c r="M1691" s="116">
        <v>798.96907849333502</v>
      </c>
      <c r="N1691" s="116">
        <v>801.93224728487905</v>
      </c>
      <c r="O1691" s="116">
        <v>776.44899567760001</v>
      </c>
      <c r="P1691" s="116">
        <v>776.44899567760001</v>
      </c>
      <c r="Q1691" s="116">
        <v>808.9</v>
      </c>
      <c r="R1691">
        <v>1776800</v>
      </c>
    </row>
    <row r="1692" spans="1:18" x14ac:dyDescent="0.25">
      <c r="A1692" s="170">
        <v>44496</v>
      </c>
      <c r="B1692" s="116">
        <v>810.919695325612</v>
      </c>
      <c r="C1692" s="116">
        <v>808.499776624579</v>
      </c>
      <c r="D1692" s="116">
        <v>799.80782373923796</v>
      </c>
      <c r="E1692" s="116">
        <v>806.67249107481996</v>
      </c>
      <c r="F1692" s="116">
        <v>818.55</v>
      </c>
      <c r="G1692">
        <v>84996</v>
      </c>
      <c r="H1692" s="116"/>
      <c r="I1692" s="116"/>
      <c r="L1692" s="170">
        <v>44496</v>
      </c>
      <c r="M1692" s="116">
        <v>808.69814935890497</v>
      </c>
      <c r="N1692" s="116">
        <v>811.11807053866596</v>
      </c>
      <c r="O1692" s="116">
        <v>799.709870691221</v>
      </c>
      <c r="P1692" s="116">
        <v>802.03101957793001</v>
      </c>
      <c r="Q1692" s="116">
        <v>818.75</v>
      </c>
      <c r="R1692">
        <v>1930632</v>
      </c>
    </row>
    <row r="1693" spans="1:18" x14ac:dyDescent="0.25">
      <c r="A1693" s="170">
        <v>44497</v>
      </c>
      <c r="B1693" s="116">
        <v>816.00646320737405</v>
      </c>
      <c r="C1693" s="116">
        <v>802.82037559154401</v>
      </c>
      <c r="D1693" s="116">
        <v>796.10386654377999</v>
      </c>
      <c r="E1693" s="116">
        <v>808.647934912398</v>
      </c>
      <c r="F1693" s="116">
        <v>812.8</v>
      </c>
      <c r="G1693">
        <v>151876</v>
      </c>
      <c r="H1693" s="116"/>
      <c r="I1693" s="116"/>
      <c r="L1693" s="170">
        <v>44497</v>
      </c>
      <c r="M1693" s="116">
        <v>799.75925683774699</v>
      </c>
      <c r="N1693" s="116">
        <v>812.45149649485995</v>
      </c>
      <c r="O1693" s="116">
        <v>796.05529584831697</v>
      </c>
      <c r="P1693" s="116">
        <v>807.95735716101899</v>
      </c>
      <c r="Q1693" s="116">
        <v>809.7</v>
      </c>
      <c r="R1693">
        <v>1822874</v>
      </c>
    </row>
    <row r="1694" spans="1:18" x14ac:dyDescent="0.25">
      <c r="A1694" s="170">
        <v>44498</v>
      </c>
      <c r="B1694" s="116">
        <v>807.80837128142696</v>
      </c>
      <c r="C1694" s="116">
        <v>799.21519058796503</v>
      </c>
      <c r="D1694" s="116">
        <v>784.69567838176897</v>
      </c>
      <c r="E1694" s="116">
        <v>794.12842270620195</v>
      </c>
      <c r="F1694" s="116">
        <v>809.15</v>
      </c>
      <c r="G1694">
        <v>149752</v>
      </c>
      <c r="H1694" s="116"/>
      <c r="I1694" s="116"/>
      <c r="L1694" s="170">
        <v>44498</v>
      </c>
      <c r="M1694" s="116">
        <v>799.56171225164405</v>
      </c>
      <c r="N1694" s="116">
        <v>808.45121862627605</v>
      </c>
      <c r="O1694" s="116">
        <v>784.40016526824297</v>
      </c>
      <c r="P1694" s="116">
        <v>797.09240492535696</v>
      </c>
      <c r="Q1694" s="116">
        <v>809.5</v>
      </c>
      <c r="R1694">
        <v>2220844</v>
      </c>
    </row>
    <row r="1695" spans="1:18" x14ac:dyDescent="0.25">
      <c r="A1695" s="170">
        <v>44501</v>
      </c>
      <c r="B1695" s="116">
        <v>819.71042040283203</v>
      </c>
      <c r="C1695" s="116">
        <v>814.87058300076706</v>
      </c>
      <c r="D1695" s="116">
        <v>796.15325263971897</v>
      </c>
      <c r="E1695" s="116">
        <v>808.00591566518494</v>
      </c>
      <c r="F1695" s="116">
        <v>825</v>
      </c>
      <c r="G1695">
        <v>134834</v>
      </c>
      <c r="H1695" s="116"/>
      <c r="I1695" s="116"/>
      <c r="L1695" s="170">
        <v>44501</v>
      </c>
      <c r="M1695" s="116">
        <v>814.77264538156999</v>
      </c>
      <c r="N1695" s="116">
        <v>819.81003232719502</v>
      </c>
      <c r="O1695" s="116">
        <v>796.10468199484205</v>
      </c>
      <c r="P1695" s="116">
        <v>811.41438741781997</v>
      </c>
      <c r="Q1695" s="116">
        <v>824.9</v>
      </c>
      <c r="R1695">
        <v>1552830</v>
      </c>
    </row>
    <row r="1696" spans="1:18" x14ac:dyDescent="0.25">
      <c r="A1696" s="170">
        <v>44502</v>
      </c>
      <c r="B1696" s="116">
        <v>825.58736581962603</v>
      </c>
      <c r="C1696" s="116">
        <v>823.61192198204799</v>
      </c>
      <c r="D1696" s="116">
        <v>813.14206964288701</v>
      </c>
      <c r="E1696" s="116">
        <v>818.821470675922</v>
      </c>
      <c r="F1696" s="116">
        <v>833.85</v>
      </c>
      <c r="G1696">
        <v>87342</v>
      </c>
      <c r="H1696" s="116"/>
      <c r="I1696" s="116"/>
      <c r="L1696" s="170">
        <v>44502</v>
      </c>
      <c r="M1696" s="116">
        <v>823.56337946315102</v>
      </c>
      <c r="N1696" s="116">
        <v>825.73636991028297</v>
      </c>
      <c r="O1696" s="116">
        <v>812.69842722748899</v>
      </c>
      <c r="P1696" s="116">
        <v>817.73581417311402</v>
      </c>
      <c r="Q1696" s="116">
        <v>833.8</v>
      </c>
      <c r="R1696">
        <v>1251565</v>
      </c>
    </row>
    <row r="1697" spans="1:18" x14ac:dyDescent="0.25">
      <c r="A1697" s="170">
        <v>44503</v>
      </c>
      <c r="B1697" s="116">
        <v>828.69868986381096</v>
      </c>
      <c r="C1697" s="116">
        <v>816.648482454587</v>
      </c>
      <c r="D1697" s="116">
        <v>809.98135950276298</v>
      </c>
      <c r="E1697" s="116">
        <v>827.06894869780899</v>
      </c>
      <c r="F1697" s="116">
        <v>826.8</v>
      </c>
      <c r="G1697">
        <v>68099</v>
      </c>
      <c r="H1697" s="116"/>
      <c r="I1697" s="116"/>
      <c r="L1697" s="170">
        <v>44503</v>
      </c>
      <c r="M1697" s="116">
        <v>816.748091242599</v>
      </c>
      <c r="N1697" s="116">
        <v>828.69953870182701</v>
      </c>
      <c r="O1697" s="116">
        <v>809.982189168574</v>
      </c>
      <c r="P1697" s="116">
        <v>822.77320111873905</v>
      </c>
      <c r="Q1697" s="116">
        <v>826.9</v>
      </c>
      <c r="R1697">
        <v>1044563</v>
      </c>
    </row>
    <row r="1698" spans="1:18" x14ac:dyDescent="0.25">
      <c r="A1698" s="170">
        <v>44504</v>
      </c>
      <c r="B1698" s="116">
        <v>825.63675191556501</v>
      </c>
      <c r="C1698" s="116">
        <v>817.53743218149702</v>
      </c>
      <c r="D1698" s="116">
        <v>815.95707711143496</v>
      </c>
      <c r="E1698" s="116">
        <v>825.63675191556501</v>
      </c>
      <c r="F1698" s="116">
        <v>827.7</v>
      </c>
      <c r="G1698">
        <v>13951</v>
      </c>
      <c r="H1698" s="116"/>
      <c r="I1698" s="116"/>
      <c r="L1698" s="170">
        <v>44504</v>
      </c>
      <c r="M1698" s="116">
        <v>817.24195270785697</v>
      </c>
      <c r="N1698" s="116">
        <v>824.35355780756197</v>
      </c>
      <c r="O1698" s="116">
        <v>815.85914060513596</v>
      </c>
      <c r="P1698" s="116">
        <v>823.76092404925396</v>
      </c>
      <c r="Q1698" s="116">
        <v>827.4</v>
      </c>
      <c r="R1698">
        <v>175837</v>
      </c>
    </row>
    <row r="1699" spans="1:18" x14ac:dyDescent="0.25">
      <c r="A1699" s="170">
        <v>44508</v>
      </c>
      <c r="B1699" s="116">
        <v>828.007284520658</v>
      </c>
      <c r="C1699" s="116">
        <v>825.73552410744401</v>
      </c>
      <c r="D1699" s="116">
        <v>806.87003545857795</v>
      </c>
      <c r="E1699" s="116">
        <v>817.932520949013</v>
      </c>
      <c r="F1699" s="116">
        <v>836</v>
      </c>
      <c r="G1699">
        <v>80060</v>
      </c>
      <c r="H1699" s="116"/>
      <c r="I1699" s="116"/>
      <c r="L1699" s="170">
        <v>44508</v>
      </c>
      <c r="M1699" s="116">
        <v>826.08207293596297</v>
      </c>
      <c r="N1699" s="116">
        <v>827.90936035741504</v>
      </c>
      <c r="O1699" s="116">
        <v>807.01902037702996</v>
      </c>
      <c r="P1699" s="116">
        <v>819.81003232719502</v>
      </c>
      <c r="Q1699" s="116">
        <v>836.35</v>
      </c>
      <c r="R1699">
        <v>891122</v>
      </c>
    </row>
    <row r="1700" spans="1:18" x14ac:dyDescent="0.25">
      <c r="A1700" s="170">
        <v>44509</v>
      </c>
      <c r="B1700" s="116">
        <v>830.82229198920697</v>
      </c>
      <c r="C1700" s="116">
        <v>826.47631554653594</v>
      </c>
      <c r="D1700" s="116">
        <v>816.20400759113204</v>
      </c>
      <c r="E1700" s="116">
        <v>825.68613801150502</v>
      </c>
      <c r="F1700" s="116">
        <v>836.75</v>
      </c>
      <c r="G1700">
        <v>179239</v>
      </c>
      <c r="H1700" s="116"/>
      <c r="I1700" s="116"/>
      <c r="L1700" s="170">
        <v>44509</v>
      </c>
      <c r="M1700" s="116">
        <v>825.39066688460298</v>
      </c>
      <c r="N1700" s="116">
        <v>831.16884602811399</v>
      </c>
      <c r="O1700" s="116">
        <v>815.85914060513596</v>
      </c>
      <c r="P1700" s="116">
        <v>825.63759761723099</v>
      </c>
      <c r="Q1700" s="116">
        <v>835.65</v>
      </c>
      <c r="R1700">
        <v>1481130</v>
      </c>
    </row>
    <row r="1701" spans="1:18" x14ac:dyDescent="0.25">
      <c r="A1701" s="170">
        <v>44510</v>
      </c>
      <c r="B1701" s="116">
        <v>835.36581281563497</v>
      </c>
      <c r="C1701" s="116">
        <v>831.85940000393498</v>
      </c>
      <c r="D1701" s="116">
        <v>820.69814232162105</v>
      </c>
      <c r="E1701" s="116">
        <v>823.76008026986699</v>
      </c>
      <c r="F1701" s="116">
        <v>842.2</v>
      </c>
      <c r="G1701">
        <v>86319</v>
      </c>
      <c r="H1701" s="116"/>
      <c r="I1701" s="116"/>
      <c r="L1701" s="170">
        <v>44510</v>
      </c>
      <c r="M1701" s="116">
        <v>832.05779666557703</v>
      </c>
      <c r="N1701" s="116">
        <v>835.61359921542999</v>
      </c>
      <c r="O1701" s="116">
        <v>820.550824525081</v>
      </c>
      <c r="P1701" s="116">
        <v>826.77347898732296</v>
      </c>
      <c r="Q1701" s="116">
        <v>842.4</v>
      </c>
      <c r="R1701">
        <v>1371873</v>
      </c>
    </row>
    <row r="1702" spans="1:18" x14ac:dyDescent="0.25">
      <c r="A1702" s="170">
        <v>44511</v>
      </c>
      <c r="B1702" s="116">
        <v>832.64957753896601</v>
      </c>
      <c r="C1702" s="116">
        <v>827.41465136938496</v>
      </c>
      <c r="D1702" s="116">
        <v>813.73470279415994</v>
      </c>
      <c r="E1702" s="116">
        <v>832.64957753896601</v>
      </c>
      <c r="F1702" s="116">
        <v>837.7</v>
      </c>
      <c r="G1702">
        <v>205034</v>
      </c>
      <c r="H1702" s="116"/>
      <c r="I1702" s="116"/>
      <c r="L1702" s="170">
        <v>44511</v>
      </c>
      <c r="M1702" s="116">
        <v>827.36611274563199</v>
      </c>
      <c r="N1702" s="116">
        <v>831.81086593294799</v>
      </c>
      <c r="O1702" s="116">
        <v>813.29106098579803</v>
      </c>
      <c r="P1702" s="116">
        <v>831.81086593294799</v>
      </c>
      <c r="Q1702" s="116">
        <v>837.65</v>
      </c>
      <c r="R1702">
        <v>1411243</v>
      </c>
    </row>
    <row r="1703" spans="1:18" x14ac:dyDescent="0.25">
      <c r="A1703" s="170">
        <v>44512</v>
      </c>
      <c r="B1703" s="116">
        <v>842.52679672685395</v>
      </c>
      <c r="C1703" s="116">
        <v>836.64985131005994</v>
      </c>
      <c r="D1703" s="116">
        <v>828.20482890441599</v>
      </c>
      <c r="E1703" s="116">
        <v>828.20482890441599</v>
      </c>
      <c r="F1703" s="116">
        <v>847.05</v>
      </c>
      <c r="G1703">
        <v>145340</v>
      </c>
      <c r="H1703" s="116"/>
      <c r="I1703" s="116"/>
      <c r="L1703" s="170">
        <v>44512</v>
      </c>
      <c r="M1703" s="116">
        <v>837.49027278340805</v>
      </c>
      <c r="N1703" s="116">
        <v>842.37950128945602</v>
      </c>
      <c r="O1703" s="116">
        <v>829.68726163234203</v>
      </c>
      <c r="P1703" s="116">
        <v>831.90963822599997</v>
      </c>
      <c r="Q1703" s="116">
        <v>847.9</v>
      </c>
      <c r="R1703">
        <v>1180441</v>
      </c>
    </row>
    <row r="1704" spans="1:18" x14ac:dyDescent="0.25">
      <c r="A1704" s="170">
        <v>44515</v>
      </c>
      <c r="B1704" s="116">
        <v>847.46540632079802</v>
      </c>
      <c r="C1704" s="116">
        <v>841.63784699994403</v>
      </c>
      <c r="D1704" s="116">
        <v>837.48941494103099</v>
      </c>
      <c r="E1704" s="116">
        <v>846.477684402009</v>
      </c>
      <c r="F1704" s="116">
        <v>852.1</v>
      </c>
      <c r="G1704">
        <v>42963</v>
      </c>
      <c r="H1704" s="116"/>
      <c r="I1704" s="116"/>
      <c r="L1704" s="170">
        <v>44515</v>
      </c>
      <c r="M1704" s="116">
        <v>842.08318441030099</v>
      </c>
      <c r="N1704" s="116">
        <v>847.46627438160601</v>
      </c>
      <c r="O1704" s="116">
        <v>837.04579746467596</v>
      </c>
      <c r="P1704" s="116">
        <v>842.033798263775</v>
      </c>
      <c r="Q1704" s="116">
        <v>852.55</v>
      </c>
      <c r="R1704">
        <v>1190768</v>
      </c>
    </row>
    <row r="1705" spans="1:18" x14ac:dyDescent="0.25">
      <c r="A1705" s="170">
        <v>44516</v>
      </c>
      <c r="B1705" s="116">
        <v>847.36663412891903</v>
      </c>
      <c r="C1705" s="116">
        <v>823.01928883077505</v>
      </c>
      <c r="D1705" s="116">
        <v>820.30305355410599</v>
      </c>
      <c r="E1705" s="116">
        <v>847.36663412891903</v>
      </c>
      <c r="F1705" s="116">
        <v>833.25</v>
      </c>
      <c r="G1705">
        <v>66466</v>
      </c>
      <c r="H1705" s="116"/>
      <c r="I1705" s="116"/>
      <c r="L1705" s="170">
        <v>44516</v>
      </c>
      <c r="M1705" s="116">
        <v>823.16829029094504</v>
      </c>
      <c r="N1705" s="116">
        <v>847.46627438160601</v>
      </c>
      <c r="O1705" s="116">
        <v>819.85941847371998</v>
      </c>
      <c r="P1705" s="116">
        <v>845.39205622752502</v>
      </c>
      <c r="Q1705" s="116">
        <v>833.4</v>
      </c>
      <c r="R1705">
        <v>1669041</v>
      </c>
    </row>
    <row r="1706" spans="1:18" x14ac:dyDescent="0.25">
      <c r="A1706" s="170">
        <v>44517</v>
      </c>
      <c r="B1706" s="116">
        <v>836.60046521412096</v>
      </c>
      <c r="C1706" s="116">
        <v>825.48859362774704</v>
      </c>
      <c r="D1706" s="116">
        <v>822.77235835107797</v>
      </c>
      <c r="E1706" s="116">
        <v>826.72324602623303</v>
      </c>
      <c r="F1706" s="116">
        <v>835.75</v>
      </c>
      <c r="G1706">
        <v>28577</v>
      </c>
      <c r="H1706" s="116"/>
      <c r="I1706" s="116"/>
      <c r="L1706" s="170">
        <v>44517</v>
      </c>
      <c r="M1706" s="116">
        <v>826.13145908248896</v>
      </c>
      <c r="N1706" s="116">
        <v>836.947025171625</v>
      </c>
      <c r="O1706" s="116">
        <v>822.279339653482</v>
      </c>
      <c r="P1706" s="116">
        <v>823.66215175620198</v>
      </c>
      <c r="Q1706" s="116">
        <v>836.4</v>
      </c>
      <c r="R1706">
        <v>1439354</v>
      </c>
    </row>
    <row r="1707" spans="1:18" x14ac:dyDescent="0.25">
      <c r="A1707" s="170">
        <v>44518</v>
      </c>
      <c r="B1707" s="116">
        <v>832.64957753896601</v>
      </c>
      <c r="C1707" s="116">
        <v>821.38954766477298</v>
      </c>
      <c r="D1707" s="116">
        <v>812.89513916319004</v>
      </c>
      <c r="E1707" s="116">
        <v>826.72324602623303</v>
      </c>
      <c r="F1707" s="116">
        <v>831.6</v>
      </c>
      <c r="G1707">
        <v>51664</v>
      </c>
      <c r="H1707" s="116"/>
      <c r="I1707" s="116"/>
      <c r="L1707" s="170">
        <v>44518</v>
      </c>
      <c r="M1707" s="116">
        <v>821.83486433475002</v>
      </c>
      <c r="N1707" s="116">
        <v>832.65043042388595</v>
      </c>
      <c r="O1707" s="116">
        <v>812.20456576223205</v>
      </c>
      <c r="P1707" s="116">
        <v>826.92163742690104</v>
      </c>
      <c r="Q1707" s="116">
        <v>832.05</v>
      </c>
      <c r="R1707">
        <v>1132067</v>
      </c>
    </row>
    <row r="1708" spans="1:18" x14ac:dyDescent="0.25">
      <c r="A1708" s="170">
        <v>44522</v>
      </c>
      <c r="B1708" s="116">
        <v>828.69868986381096</v>
      </c>
      <c r="C1708" s="116">
        <v>801.33879271336002</v>
      </c>
      <c r="D1708" s="116">
        <v>797.98053818947903</v>
      </c>
      <c r="E1708" s="116">
        <v>822.67358615919898</v>
      </c>
      <c r="F1708" s="116">
        <v>811.3</v>
      </c>
      <c r="G1708">
        <v>51286</v>
      </c>
      <c r="H1708" s="116"/>
      <c r="I1708" s="116"/>
      <c r="L1708" s="170">
        <v>44522</v>
      </c>
      <c r="M1708" s="116">
        <v>802.77181177581599</v>
      </c>
      <c r="N1708" s="116">
        <v>828.748924848353</v>
      </c>
      <c r="O1708" s="116">
        <v>797.53688024408802</v>
      </c>
      <c r="P1708" s="116">
        <v>821.83486433475002</v>
      </c>
      <c r="Q1708" s="116">
        <v>812.75</v>
      </c>
      <c r="R1708">
        <v>1951384</v>
      </c>
    </row>
    <row r="1709" spans="1:18" x14ac:dyDescent="0.25">
      <c r="A1709" s="170">
        <v>44523</v>
      </c>
      <c r="B1709" s="116">
        <v>813.04329745100802</v>
      </c>
      <c r="C1709" s="116">
        <v>810.72215094185401</v>
      </c>
      <c r="D1709" s="116">
        <v>792.15297886862504</v>
      </c>
      <c r="E1709" s="116">
        <v>794.12842270620195</v>
      </c>
      <c r="F1709" s="116">
        <v>820.8</v>
      </c>
      <c r="G1709">
        <v>36175</v>
      </c>
      <c r="H1709" s="116"/>
      <c r="I1709" s="116"/>
      <c r="L1709" s="170">
        <v>44523</v>
      </c>
      <c r="M1709" s="116">
        <v>810.87113980603704</v>
      </c>
      <c r="N1709" s="116">
        <v>813.73553630452898</v>
      </c>
      <c r="O1709" s="116">
        <v>792.153790272783</v>
      </c>
      <c r="P1709" s="116">
        <v>792.153790272783</v>
      </c>
      <c r="Q1709" s="116">
        <v>820.95</v>
      </c>
      <c r="R1709">
        <v>1025086</v>
      </c>
    </row>
    <row r="1710" spans="1:18" x14ac:dyDescent="0.25">
      <c r="A1710" s="170">
        <v>44524</v>
      </c>
      <c r="B1710" s="116">
        <v>819.51287601907495</v>
      </c>
      <c r="C1710" s="116">
        <v>789.53551578383394</v>
      </c>
      <c r="D1710" s="116">
        <v>786.22664735589206</v>
      </c>
      <c r="E1710" s="116">
        <v>817.73497656525501</v>
      </c>
      <c r="F1710" s="116">
        <v>799.35</v>
      </c>
      <c r="G1710">
        <v>62240</v>
      </c>
      <c r="H1710" s="116"/>
      <c r="I1710" s="116"/>
      <c r="L1710" s="170">
        <v>44524</v>
      </c>
      <c r="M1710" s="116">
        <v>789.141235334714</v>
      </c>
      <c r="N1710" s="116">
        <v>819.81003232719502</v>
      </c>
      <c r="O1710" s="116">
        <v>786.22745268969504</v>
      </c>
      <c r="P1710" s="116">
        <v>813.88369474410695</v>
      </c>
      <c r="Q1710" s="116">
        <v>798.95</v>
      </c>
      <c r="R1710">
        <v>1634131</v>
      </c>
    </row>
    <row r="1711" spans="1:18" x14ac:dyDescent="0.25">
      <c r="A1711" s="170">
        <v>44525</v>
      </c>
      <c r="B1711" s="116">
        <v>800.54861517832899</v>
      </c>
      <c r="C1711" s="116">
        <v>797.58544942196295</v>
      </c>
      <c r="D1711" s="116">
        <v>785.97971687619497</v>
      </c>
      <c r="E1711" s="116">
        <v>790.07876283916801</v>
      </c>
      <c r="F1711" s="116">
        <v>807.5</v>
      </c>
      <c r="G1711">
        <v>137009</v>
      </c>
      <c r="H1711" s="116"/>
      <c r="I1711" s="116"/>
      <c r="L1711" s="170">
        <v>44525</v>
      </c>
      <c r="M1711" s="116">
        <v>797.88258326976904</v>
      </c>
      <c r="N1711" s="116">
        <v>800.54943518215805</v>
      </c>
      <c r="O1711" s="116">
        <v>785.83236351748894</v>
      </c>
      <c r="P1711" s="116">
        <v>789.19062148123896</v>
      </c>
      <c r="Q1711" s="116">
        <v>807.8</v>
      </c>
      <c r="R1711">
        <v>1767252</v>
      </c>
    </row>
    <row r="1712" spans="1:18" x14ac:dyDescent="0.25">
      <c r="A1712" s="170">
        <v>44526</v>
      </c>
      <c r="B1712" s="116">
        <v>795.11614462499097</v>
      </c>
      <c r="C1712" s="116">
        <v>757.63209780695604</v>
      </c>
      <c r="D1712" s="116">
        <v>754.02691280337694</v>
      </c>
      <c r="E1712" s="116">
        <v>792.84438421177697</v>
      </c>
      <c r="F1712" s="116">
        <v>767.05</v>
      </c>
      <c r="G1712">
        <v>110003</v>
      </c>
      <c r="H1712" s="116"/>
      <c r="I1712" s="116"/>
      <c r="L1712" s="170">
        <v>44526</v>
      </c>
      <c r="M1712" s="116">
        <v>757.28717082561502</v>
      </c>
      <c r="N1712" s="116">
        <v>795.11695906432703</v>
      </c>
      <c r="O1712" s="116">
        <v>753.78075442228806</v>
      </c>
      <c r="P1712" s="116">
        <v>790.37588899785703</v>
      </c>
      <c r="Q1712" s="116">
        <v>766.7</v>
      </c>
      <c r="R1712">
        <v>2616604</v>
      </c>
    </row>
    <row r="1713" spans="1:18" x14ac:dyDescent="0.25">
      <c r="A1713" s="170">
        <v>44529</v>
      </c>
      <c r="B1713" s="116">
        <v>764.89185391005299</v>
      </c>
      <c r="C1713" s="116">
        <v>755.40972348968103</v>
      </c>
      <c r="D1713" s="116">
        <v>716.09839112188604</v>
      </c>
      <c r="E1713" s="116">
        <v>716.09839112188604</v>
      </c>
      <c r="F1713" s="116">
        <v>764.8</v>
      </c>
      <c r="G1713">
        <v>153656</v>
      </c>
      <c r="H1713" s="116"/>
      <c r="I1713" s="116"/>
      <c r="L1713" s="170">
        <v>44529</v>
      </c>
      <c r="M1713" s="116">
        <v>756.59576477425401</v>
      </c>
      <c r="N1713" s="116">
        <v>765.38649885583504</v>
      </c>
      <c r="O1713" s="116">
        <v>740.05140568813295</v>
      </c>
      <c r="P1713" s="116">
        <v>757.33655697214101</v>
      </c>
      <c r="Q1713" s="116">
        <v>766</v>
      </c>
      <c r="R1713">
        <v>1584564</v>
      </c>
    </row>
    <row r="1714" spans="1:18" x14ac:dyDescent="0.25">
      <c r="A1714" s="170">
        <v>44530</v>
      </c>
      <c r="B1714" s="116">
        <v>779.41136611624904</v>
      </c>
      <c r="C1714" s="116">
        <v>769.23783035272402</v>
      </c>
      <c r="D1714" s="116">
        <v>753.87875451555794</v>
      </c>
      <c r="E1714" s="116">
        <v>753.87875451555794</v>
      </c>
      <c r="F1714" s="116">
        <v>778.8</v>
      </c>
      <c r="G1714">
        <v>71557</v>
      </c>
      <c r="H1714" s="116"/>
      <c r="I1714" s="116"/>
      <c r="L1714" s="170">
        <v>44530</v>
      </c>
      <c r="M1714" s="116">
        <v>769.04107369873998</v>
      </c>
      <c r="N1714" s="116">
        <v>779.95541208092698</v>
      </c>
      <c r="O1714" s="116">
        <v>754.81786349932804</v>
      </c>
      <c r="P1714" s="116">
        <v>755.60804184374001</v>
      </c>
      <c r="Q1714" s="116">
        <v>778.6</v>
      </c>
      <c r="R1714">
        <v>3529356</v>
      </c>
    </row>
    <row r="1715" spans="1:18" x14ac:dyDescent="0.25">
      <c r="A1715" s="170">
        <v>44531</v>
      </c>
      <c r="B1715" s="116">
        <v>781.28803776194798</v>
      </c>
      <c r="C1715" s="116">
        <v>763.36088493593104</v>
      </c>
      <c r="D1715" s="116">
        <v>758.17534486228999</v>
      </c>
      <c r="E1715" s="116">
        <v>778.47303029340003</v>
      </c>
      <c r="F1715" s="116">
        <v>772.85</v>
      </c>
      <c r="G1715">
        <v>55150</v>
      </c>
      <c r="H1715" s="116"/>
      <c r="I1715" s="116"/>
      <c r="L1715" s="170">
        <v>44531</v>
      </c>
      <c r="M1715" s="116">
        <v>763.31228070175405</v>
      </c>
      <c r="N1715" s="116">
        <v>781.14067959754504</v>
      </c>
      <c r="O1715" s="116">
        <v>758.027963023501</v>
      </c>
      <c r="P1715" s="116">
        <v>780.20234281355602</v>
      </c>
      <c r="Q1715" s="116">
        <v>772.8</v>
      </c>
      <c r="R1715">
        <v>1263844</v>
      </c>
    </row>
    <row r="1716" spans="1:18" x14ac:dyDescent="0.25">
      <c r="A1716" s="170">
        <v>44532</v>
      </c>
      <c r="B1716" s="116">
        <v>770.81818542278597</v>
      </c>
      <c r="C1716" s="116">
        <v>764.05229027908297</v>
      </c>
      <c r="D1716" s="116">
        <v>754.22445718713402</v>
      </c>
      <c r="E1716" s="116">
        <v>768.44765281769298</v>
      </c>
      <c r="F1716" s="116">
        <v>773.55</v>
      </c>
      <c r="G1716">
        <v>63647</v>
      </c>
      <c r="H1716" s="116"/>
      <c r="I1716" s="116"/>
      <c r="L1716" s="170">
        <v>44532</v>
      </c>
      <c r="M1716" s="116">
        <v>763.75675602048602</v>
      </c>
      <c r="N1716" s="116">
        <v>771.312836438923</v>
      </c>
      <c r="O1716" s="116">
        <v>754.17584359449302</v>
      </c>
      <c r="P1716" s="116">
        <v>763.31228070175405</v>
      </c>
      <c r="Q1716" s="116">
        <v>773.25</v>
      </c>
      <c r="R1716">
        <v>1766820</v>
      </c>
    </row>
    <row r="1717" spans="1:18" x14ac:dyDescent="0.25">
      <c r="A1717" s="170">
        <v>44533</v>
      </c>
      <c r="B1717" s="116">
        <v>771.41081857406004</v>
      </c>
      <c r="C1717" s="116">
        <v>764.69430952629602</v>
      </c>
      <c r="D1717" s="116">
        <v>757.43455342319805</v>
      </c>
      <c r="E1717" s="116">
        <v>760.54587746738298</v>
      </c>
      <c r="F1717" s="116">
        <v>774.2</v>
      </c>
      <c r="G1717">
        <v>60824</v>
      </c>
      <c r="H1717" s="116"/>
      <c r="I1717" s="116"/>
      <c r="L1717" s="170">
        <v>44533</v>
      </c>
      <c r="M1717" s="116">
        <v>764.79386509752601</v>
      </c>
      <c r="N1717" s="116">
        <v>771.41160873197498</v>
      </c>
      <c r="O1717" s="116">
        <v>757.68225999782101</v>
      </c>
      <c r="P1717" s="116">
        <v>758.07734917002699</v>
      </c>
      <c r="Q1717" s="116">
        <v>774.3</v>
      </c>
      <c r="R1717">
        <v>1408239</v>
      </c>
    </row>
    <row r="1718" spans="1:18" x14ac:dyDescent="0.25">
      <c r="A1718" s="170">
        <v>44536</v>
      </c>
      <c r="B1718" s="116">
        <v>770.42309665527102</v>
      </c>
      <c r="C1718" s="116">
        <v>738.42090648651299</v>
      </c>
      <c r="D1718" s="116">
        <v>736.14914607329899</v>
      </c>
      <c r="E1718" s="116">
        <v>770.42309665527102</v>
      </c>
      <c r="F1718" s="116">
        <v>747.6</v>
      </c>
      <c r="G1718">
        <v>54433</v>
      </c>
      <c r="H1718" s="116"/>
      <c r="I1718" s="116"/>
      <c r="L1718" s="170">
        <v>44536</v>
      </c>
      <c r="M1718" s="116">
        <v>738.42166285278404</v>
      </c>
      <c r="N1718" s="116">
        <v>768.44843994043094</v>
      </c>
      <c r="O1718" s="116">
        <v>736.39683084522903</v>
      </c>
      <c r="P1718" s="116">
        <v>767.46071700991604</v>
      </c>
      <c r="Q1718" s="116">
        <v>747.6</v>
      </c>
      <c r="R1718">
        <v>1654143</v>
      </c>
    </row>
    <row r="1719" spans="1:18" x14ac:dyDescent="0.25">
      <c r="A1719" s="170">
        <v>44537</v>
      </c>
      <c r="B1719" s="116">
        <v>756.19990102471195</v>
      </c>
      <c r="C1719" s="116">
        <v>751.16251923888899</v>
      </c>
      <c r="D1719" s="116">
        <v>735.013265866692</v>
      </c>
      <c r="E1719" s="116">
        <v>745.73004868555097</v>
      </c>
      <c r="F1719" s="116">
        <v>760.5</v>
      </c>
      <c r="G1719">
        <v>71493</v>
      </c>
      <c r="H1719" s="116"/>
      <c r="I1719" s="116"/>
      <c r="L1719" s="170">
        <v>44537</v>
      </c>
      <c r="M1719" s="116">
        <v>751.36083324252695</v>
      </c>
      <c r="N1719" s="116">
        <v>756.10190330899695</v>
      </c>
      <c r="O1719" s="116">
        <v>734.86586030293097</v>
      </c>
      <c r="P1719" s="116">
        <v>749.03968435581703</v>
      </c>
      <c r="Q1719" s="116">
        <v>760.7</v>
      </c>
      <c r="R1719">
        <v>1741795</v>
      </c>
    </row>
    <row r="1720" spans="1:18" x14ac:dyDescent="0.25">
      <c r="A1720" s="170">
        <v>44538</v>
      </c>
      <c r="B1720" s="116">
        <v>763.805359799386</v>
      </c>
      <c r="C1720" s="116">
        <v>762.47193520902101</v>
      </c>
      <c r="D1720" s="116">
        <v>750.66865827949505</v>
      </c>
      <c r="E1720" s="116">
        <v>751.16251923888899</v>
      </c>
      <c r="F1720" s="116">
        <v>771.95</v>
      </c>
      <c r="G1720">
        <v>29022</v>
      </c>
      <c r="H1720" s="116"/>
      <c r="I1720" s="116"/>
      <c r="L1720" s="170">
        <v>44538</v>
      </c>
      <c r="M1720" s="116">
        <v>762.67026079692005</v>
      </c>
      <c r="N1720" s="116">
        <v>764.15184519269201</v>
      </c>
      <c r="O1720" s="116">
        <v>749.28661508844596</v>
      </c>
      <c r="P1720" s="116">
        <v>749.28661508844596</v>
      </c>
      <c r="Q1720" s="116">
        <v>772.15</v>
      </c>
      <c r="R1720">
        <v>1002435</v>
      </c>
    </row>
    <row r="1721" spans="1:18" x14ac:dyDescent="0.25">
      <c r="A1721" s="170">
        <v>44539</v>
      </c>
      <c r="B1721" s="116">
        <v>770.62064103902901</v>
      </c>
      <c r="C1721" s="116">
        <v>768.29949452987501</v>
      </c>
      <c r="D1721" s="116">
        <v>756.59498979222701</v>
      </c>
      <c r="E1721" s="116">
        <v>770.62064103902901</v>
      </c>
      <c r="F1721" s="116">
        <v>777.85</v>
      </c>
      <c r="G1721">
        <v>42503</v>
      </c>
      <c r="H1721" s="116"/>
      <c r="I1721" s="116"/>
      <c r="L1721" s="170">
        <v>44539</v>
      </c>
      <c r="M1721" s="116">
        <v>767.95457847517298</v>
      </c>
      <c r="N1721" s="116">
        <v>769.48554901747104</v>
      </c>
      <c r="O1721" s="116">
        <v>756.64515092078</v>
      </c>
      <c r="P1721" s="116">
        <v>763.50982528785698</v>
      </c>
      <c r="Q1721" s="116">
        <v>777.5</v>
      </c>
      <c r="R1721">
        <v>935828</v>
      </c>
    </row>
    <row r="1722" spans="1:18" x14ac:dyDescent="0.25">
      <c r="A1722" s="170">
        <v>44540</v>
      </c>
      <c r="B1722" s="116">
        <v>771.41081857406004</v>
      </c>
      <c r="C1722" s="116">
        <v>760.20017479580702</v>
      </c>
      <c r="D1722" s="116">
        <v>756.10112883283296</v>
      </c>
      <c r="E1722" s="116">
        <v>768.94151377708795</v>
      </c>
      <c r="F1722" s="116">
        <v>769.65</v>
      </c>
      <c r="G1722">
        <v>75449</v>
      </c>
      <c r="H1722" s="116"/>
      <c r="I1722" s="116"/>
      <c r="L1722" s="170">
        <v>44540</v>
      </c>
      <c r="M1722" s="116">
        <v>760.20095347063295</v>
      </c>
      <c r="N1722" s="116">
        <v>772.34994551596401</v>
      </c>
      <c r="O1722" s="116">
        <v>755.95374486942001</v>
      </c>
      <c r="P1722" s="116">
        <v>772.05362863680898</v>
      </c>
      <c r="Q1722" s="116">
        <v>769.65</v>
      </c>
      <c r="R1722">
        <v>1412794</v>
      </c>
    </row>
    <row r="1723" spans="1:18" x14ac:dyDescent="0.25">
      <c r="A1723" s="170">
        <v>44543</v>
      </c>
      <c r="B1723" s="116">
        <v>767.70686137860196</v>
      </c>
      <c r="C1723" s="116">
        <v>744.54478238300396</v>
      </c>
      <c r="D1723" s="116">
        <v>742.76688292918402</v>
      </c>
      <c r="E1723" s="116">
        <v>761.533599386172</v>
      </c>
      <c r="F1723" s="116">
        <v>753.8</v>
      </c>
      <c r="G1723">
        <v>125061</v>
      </c>
      <c r="H1723" s="116"/>
      <c r="I1723" s="116"/>
      <c r="L1723" s="170">
        <v>44543</v>
      </c>
      <c r="M1723" s="116">
        <v>744.84186190112996</v>
      </c>
      <c r="N1723" s="116">
        <v>767.70764774254496</v>
      </c>
      <c r="O1723" s="116">
        <v>742.76764374704896</v>
      </c>
      <c r="P1723" s="116">
        <v>764.497548218372</v>
      </c>
      <c r="Q1723" s="116">
        <v>754.1</v>
      </c>
      <c r="R1723">
        <v>1944410</v>
      </c>
    </row>
    <row r="1724" spans="1:18" x14ac:dyDescent="0.25">
      <c r="A1724" s="170">
        <v>44544</v>
      </c>
      <c r="B1724" s="116">
        <v>745.68066258961096</v>
      </c>
      <c r="C1724" s="116">
        <v>730.37097284838501</v>
      </c>
      <c r="D1724" s="116">
        <v>723.90139428031796</v>
      </c>
      <c r="E1724" s="116">
        <v>745.68066258961096</v>
      </c>
      <c r="F1724" s="116">
        <v>739.45</v>
      </c>
      <c r="G1724">
        <v>96519</v>
      </c>
      <c r="H1724" s="116"/>
      <c r="I1724" s="116"/>
      <c r="L1724" s="170">
        <v>44544</v>
      </c>
      <c r="M1724" s="116">
        <v>730.42110711561497</v>
      </c>
      <c r="N1724" s="116">
        <v>744.69370346155199</v>
      </c>
      <c r="O1724" s="116">
        <v>723.40827430896104</v>
      </c>
      <c r="P1724" s="116">
        <v>743.75536667756398</v>
      </c>
      <c r="Q1724" s="116">
        <v>739.5</v>
      </c>
      <c r="R1724">
        <v>2333787</v>
      </c>
    </row>
    <row r="1725" spans="1:18" x14ac:dyDescent="0.25">
      <c r="A1725" s="170">
        <v>44545</v>
      </c>
      <c r="B1725" s="116">
        <v>741.28530005100095</v>
      </c>
      <c r="C1725" s="116">
        <v>737.03809580020902</v>
      </c>
      <c r="D1725" s="116">
        <v>726.765787844805</v>
      </c>
      <c r="E1725" s="116">
        <v>732.88966374129598</v>
      </c>
      <c r="F1725" s="116">
        <v>746.2</v>
      </c>
      <c r="G1725">
        <v>39516</v>
      </c>
      <c r="H1725" s="116"/>
      <c r="I1725" s="116"/>
      <c r="L1725" s="170">
        <v>44545</v>
      </c>
      <c r="M1725" s="116">
        <v>737.13762304311501</v>
      </c>
      <c r="N1725" s="116">
        <v>741.286059351277</v>
      </c>
      <c r="O1725" s="116">
        <v>726.17389851440203</v>
      </c>
      <c r="P1725" s="116">
        <v>732.89041444190195</v>
      </c>
      <c r="Q1725" s="116">
        <v>746.3</v>
      </c>
      <c r="R1725">
        <v>1676700</v>
      </c>
    </row>
    <row r="1726" spans="1:18" x14ac:dyDescent="0.25">
      <c r="A1726" s="170">
        <v>44546</v>
      </c>
      <c r="B1726" s="116">
        <v>740.29757813221204</v>
      </c>
      <c r="C1726" s="116">
        <v>730.42035894432399</v>
      </c>
      <c r="D1726" s="116">
        <v>726.37069907729006</v>
      </c>
      <c r="E1726" s="116">
        <v>736.84055141645104</v>
      </c>
      <c r="F1726" s="116">
        <v>739.5</v>
      </c>
      <c r="G1726">
        <v>59373</v>
      </c>
      <c r="H1726" s="116"/>
      <c r="I1726" s="116"/>
      <c r="L1726" s="170">
        <v>44546</v>
      </c>
      <c r="M1726" s="116">
        <v>731.16189931350095</v>
      </c>
      <c r="N1726" s="116">
        <v>740.79219788601904</v>
      </c>
      <c r="O1726" s="116">
        <v>726.27267080745298</v>
      </c>
      <c r="P1726" s="116">
        <v>737.829029094475</v>
      </c>
      <c r="Q1726" s="116">
        <v>740.25</v>
      </c>
      <c r="R1726">
        <v>1452909</v>
      </c>
    </row>
    <row r="1727" spans="1:18" x14ac:dyDescent="0.25">
      <c r="A1727" s="170">
        <v>44547</v>
      </c>
      <c r="B1727" s="116">
        <v>728.49430120268596</v>
      </c>
      <c r="C1727" s="116">
        <v>716.98734084879595</v>
      </c>
      <c r="D1727" s="116">
        <v>712.39443392642795</v>
      </c>
      <c r="E1727" s="116">
        <v>726.96333222856299</v>
      </c>
      <c r="F1727" s="116">
        <v>725.9</v>
      </c>
      <c r="G1727">
        <v>66557</v>
      </c>
      <c r="H1727" s="116"/>
      <c r="I1727" s="116"/>
      <c r="L1727" s="170">
        <v>44547</v>
      </c>
      <c r="M1727" s="116">
        <v>717.43255057934698</v>
      </c>
      <c r="N1727" s="116">
        <v>729.72970106425498</v>
      </c>
      <c r="O1727" s="116">
        <v>712.19761904761901</v>
      </c>
      <c r="P1727" s="116">
        <v>728.93952271984301</v>
      </c>
      <c r="Q1727" s="116">
        <v>726.35</v>
      </c>
      <c r="R1727">
        <v>1693819</v>
      </c>
    </row>
    <row r="1728" spans="1:18" x14ac:dyDescent="0.25">
      <c r="A1728" s="170">
        <v>44550</v>
      </c>
      <c r="B1728" s="116">
        <v>711.15978152794196</v>
      </c>
      <c r="C1728" s="116">
        <v>700.541770900963</v>
      </c>
      <c r="D1728" s="116">
        <v>688.24463301204196</v>
      </c>
      <c r="E1728" s="116">
        <v>711.15978152794196</v>
      </c>
      <c r="F1728" s="116">
        <v>709.25</v>
      </c>
      <c r="G1728">
        <v>122559</v>
      </c>
      <c r="H1728" s="116"/>
      <c r="I1728" s="116"/>
      <c r="L1728" s="170">
        <v>44550</v>
      </c>
      <c r="M1728" s="116">
        <v>700.83880534670004</v>
      </c>
      <c r="N1728" s="116">
        <v>710.71603465184705</v>
      </c>
      <c r="O1728" s="116">
        <v>688.04779339653498</v>
      </c>
      <c r="P1728" s="116">
        <v>708.64181649776594</v>
      </c>
      <c r="Q1728" s="116">
        <v>709.55</v>
      </c>
      <c r="R1728">
        <v>2520192</v>
      </c>
    </row>
    <row r="1729" spans="1:18" x14ac:dyDescent="0.25">
      <c r="A1729" s="170">
        <v>44551</v>
      </c>
      <c r="B1729" s="116">
        <v>717.03672694473596</v>
      </c>
      <c r="C1729" s="116">
        <v>697.87492172023303</v>
      </c>
      <c r="D1729" s="116">
        <v>695.85009178671601</v>
      </c>
      <c r="E1729" s="116">
        <v>705.92485535836204</v>
      </c>
      <c r="F1729" s="116">
        <v>706.55</v>
      </c>
      <c r="G1729">
        <v>112954</v>
      </c>
      <c r="H1729" s="116"/>
      <c r="I1729" s="116"/>
      <c r="L1729" s="170">
        <v>44551</v>
      </c>
      <c r="M1729" s="116">
        <v>697.03607206421896</v>
      </c>
      <c r="N1729" s="116">
        <v>716.691758381461</v>
      </c>
      <c r="O1729" s="116">
        <v>696.14712142675501</v>
      </c>
      <c r="P1729" s="116">
        <v>701.82652827721495</v>
      </c>
      <c r="Q1729" s="116">
        <v>705.7</v>
      </c>
      <c r="R1729">
        <v>2695789</v>
      </c>
    </row>
    <row r="1730" spans="1:18" x14ac:dyDescent="0.25">
      <c r="A1730" s="170">
        <v>44552</v>
      </c>
      <c r="B1730" s="116">
        <v>708.73986282690998</v>
      </c>
      <c r="C1730" s="116">
        <v>706.270558029938</v>
      </c>
      <c r="D1730" s="116">
        <v>695.05991425168497</v>
      </c>
      <c r="E1730" s="116">
        <v>697.82553562429302</v>
      </c>
      <c r="F1730" s="116">
        <v>715.05</v>
      </c>
      <c r="G1730">
        <v>80387</v>
      </c>
      <c r="H1730" s="116"/>
      <c r="I1730" s="116"/>
      <c r="L1730" s="170">
        <v>44552</v>
      </c>
      <c r="M1730" s="116">
        <v>706.17250917147896</v>
      </c>
      <c r="N1730" s="116">
        <v>708.74058879081804</v>
      </c>
      <c r="O1730" s="116">
        <v>695.15939849624101</v>
      </c>
      <c r="P1730" s="116">
        <v>697.52993352947601</v>
      </c>
      <c r="Q1730" s="116">
        <v>714.95</v>
      </c>
      <c r="R1730">
        <v>1035751</v>
      </c>
    </row>
    <row r="1731" spans="1:18" x14ac:dyDescent="0.25">
      <c r="A1731" s="170">
        <v>44553</v>
      </c>
      <c r="B1731" s="116">
        <v>720.69129804425404</v>
      </c>
      <c r="C1731" s="116">
        <v>717.728132287888</v>
      </c>
      <c r="D1731" s="116">
        <v>704.49265857611795</v>
      </c>
      <c r="E1731" s="116">
        <v>712.64136440612504</v>
      </c>
      <c r="F1731" s="116">
        <v>726.65</v>
      </c>
      <c r="G1731">
        <v>56649</v>
      </c>
      <c r="H1731" s="116"/>
      <c r="I1731" s="116"/>
      <c r="L1731" s="170">
        <v>44553</v>
      </c>
      <c r="M1731" s="116">
        <v>717.82763975155297</v>
      </c>
      <c r="N1731" s="116">
        <v>720.64265010352005</v>
      </c>
      <c r="O1731" s="116">
        <v>703.50565725908996</v>
      </c>
      <c r="P1731" s="116">
        <v>711.16050997057903</v>
      </c>
      <c r="Q1731" s="116">
        <v>726.75</v>
      </c>
      <c r="R1731">
        <v>1095354</v>
      </c>
    </row>
    <row r="1732" spans="1:18" x14ac:dyDescent="0.25">
      <c r="A1732" s="170">
        <v>44554</v>
      </c>
      <c r="B1732" s="116">
        <v>720.83945633207304</v>
      </c>
      <c r="C1732" s="116">
        <v>710.02390132133496</v>
      </c>
      <c r="D1732" s="116">
        <v>705.48038049490697</v>
      </c>
      <c r="E1732" s="116">
        <v>720.83945633207304</v>
      </c>
      <c r="F1732" s="116">
        <v>718.85</v>
      </c>
      <c r="G1732">
        <v>51099</v>
      </c>
      <c r="H1732" s="116"/>
      <c r="I1732" s="116"/>
      <c r="L1732" s="170">
        <v>44554</v>
      </c>
      <c r="M1732" s="116">
        <v>710.12340089353802</v>
      </c>
      <c r="N1732" s="116">
        <v>720.05001634521102</v>
      </c>
      <c r="O1732" s="116">
        <v>705.23417238749096</v>
      </c>
      <c r="P1732" s="116">
        <v>720.05001634521102</v>
      </c>
      <c r="Q1732" s="116">
        <v>718.95</v>
      </c>
      <c r="R1732">
        <v>931510</v>
      </c>
    </row>
    <row r="1733" spans="1:18" x14ac:dyDescent="0.25">
      <c r="A1733" s="170">
        <v>44557</v>
      </c>
      <c r="B1733" s="116">
        <v>715.25882749091602</v>
      </c>
      <c r="C1733" s="116">
        <v>709.77697084163799</v>
      </c>
      <c r="D1733" s="116">
        <v>697.57860514459605</v>
      </c>
      <c r="E1733" s="116">
        <v>705.23345001520897</v>
      </c>
      <c r="F1733" s="116">
        <v>718.6</v>
      </c>
      <c r="G1733">
        <v>44755</v>
      </c>
      <c r="H1733" s="116"/>
      <c r="I1733" s="116"/>
      <c r="L1733" s="170">
        <v>44557</v>
      </c>
      <c r="M1733" s="116">
        <v>709.67892557480695</v>
      </c>
      <c r="N1733" s="116">
        <v>715.60526315789502</v>
      </c>
      <c r="O1733" s="116">
        <v>698.07318114125906</v>
      </c>
      <c r="P1733" s="116">
        <v>701.28328066543202</v>
      </c>
      <c r="Q1733" s="116">
        <v>718.5</v>
      </c>
      <c r="R1733">
        <v>691930</v>
      </c>
    </row>
    <row r="1734" spans="1:18" x14ac:dyDescent="0.25">
      <c r="A1734" s="170">
        <v>44558</v>
      </c>
      <c r="B1734" s="116">
        <v>720.44436756455696</v>
      </c>
      <c r="C1734" s="116">
        <v>718.17260715134296</v>
      </c>
      <c r="D1734" s="116">
        <v>710.17205960915396</v>
      </c>
      <c r="E1734" s="116">
        <v>710.17205960915396</v>
      </c>
      <c r="F1734" s="116">
        <v>727.1</v>
      </c>
      <c r="G1734">
        <v>69058</v>
      </c>
      <c r="H1734" s="116"/>
      <c r="I1734" s="116"/>
      <c r="L1734" s="170">
        <v>44558</v>
      </c>
      <c r="M1734" s="116">
        <v>718.02518433765601</v>
      </c>
      <c r="N1734" s="116">
        <v>720.59326395699395</v>
      </c>
      <c r="O1734" s="116">
        <v>710.56787621226999</v>
      </c>
      <c r="P1734" s="116">
        <v>713.43227271076205</v>
      </c>
      <c r="Q1734" s="116">
        <v>726.95</v>
      </c>
      <c r="R1734">
        <v>819253</v>
      </c>
    </row>
    <row r="1735" spans="1:18" x14ac:dyDescent="0.25">
      <c r="A1735" s="170">
        <v>44559</v>
      </c>
      <c r="B1735" s="116">
        <v>720.34559537267796</v>
      </c>
      <c r="C1735" s="116">
        <v>718.46892372697903</v>
      </c>
      <c r="D1735" s="116">
        <v>712.93768098176201</v>
      </c>
      <c r="E1735" s="116">
        <v>716.09839112188604</v>
      </c>
      <c r="F1735" s="116">
        <v>727.4</v>
      </c>
      <c r="G1735">
        <v>121168</v>
      </c>
      <c r="H1735" s="116"/>
      <c r="I1735" s="116"/>
      <c r="L1735" s="170">
        <v>44559</v>
      </c>
      <c r="M1735" s="116">
        <v>717.72886745850099</v>
      </c>
      <c r="N1735" s="116">
        <v>719.95124405215904</v>
      </c>
      <c r="O1735" s="116">
        <v>711.16050997057903</v>
      </c>
      <c r="P1735" s="116">
        <v>719.062293414696</v>
      </c>
      <c r="Q1735" s="116">
        <v>726.65</v>
      </c>
      <c r="R1735">
        <v>783940</v>
      </c>
    </row>
    <row r="1736" spans="1:18" x14ac:dyDescent="0.25">
      <c r="A1736" s="170">
        <v>44560</v>
      </c>
      <c r="B1736" s="116">
        <v>728.88938997020102</v>
      </c>
      <c r="C1736" s="116">
        <v>721.82717825086104</v>
      </c>
      <c r="D1736" s="116">
        <v>716.39470769752302</v>
      </c>
      <c r="E1736" s="116">
        <v>721.92595044274003</v>
      </c>
      <c r="F1736" s="116">
        <v>730.8</v>
      </c>
      <c r="G1736">
        <v>122420</v>
      </c>
      <c r="H1736" s="116"/>
      <c r="I1736" s="116"/>
      <c r="L1736" s="170">
        <v>44560</v>
      </c>
      <c r="M1736" s="116">
        <v>719.062293414696</v>
      </c>
      <c r="N1736" s="116">
        <v>728.79136428026595</v>
      </c>
      <c r="O1736" s="116">
        <v>716.39544150230597</v>
      </c>
      <c r="P1736" s="116">
        <v>720.05001634521102</v>
      </c>
      <c r="Q1736" s="116">
        <v>728</v>
      </c>
      <c r="R1736">
        <v>2230935</v>
      </c>
    </row>
    <row r="1737" spans="1:18" x14ac:dyDescent="0.25">
      <c r="A1737" s="170">
        <v>44561</v>
      </c>
      <c r="B1737" s="116">
        <v>735.85282949766201</v>
      </c>
      <c r="C1737" s="116">
        <v>734.27247442759995</v>
      </c>
      <c r="D1737" s="116">
        <v>719.40725954982895</v>
      </c>
      <c r="E1737" s="116">
        <v>723.01244455340805</v>
      </c>
      <c r="F1737" s="116">
        <v>743.4</v>
      </c>
      <c r="G1737">
        <v>105070</v>
      </c>
      <c r="H1737" s="116"/>
      <c r="I1737" s="116"/>
      <c r="L1737" s="170">
        <v>44561</v>
      </c>
      <c r="M1737" s="116">
        <v>734.32261269114804</v>
      </c>
      <c r="N1737" s="116">
        <v>735.85358323344599</v>
      </c>
      <c r="O1737" s="116">
        <v>720.09940249173701</v>
      </c>
      <c r="P1737" s="116">
        <v>721.03773927572604</v>
      </c>
      <c r="Q1737" s="116">
        <v>743.45</v>
      </c>
      <c r="R1737">
        <v>865277</v>
      </c>
    </row>
    <row r="1738" spans="1:18" x14ac:dyDescent="0.25">
      <c r="A1738" s="170">
        <v>44564</v>
      </c>
      <c r="B1738" s="116">
        <v>740.24819203627305</v>
      </c>
      <c r="C1738" s="116">
        <v>738.56906477433199</v>
      </c>
      <c r="D1738" s="116">
        <v>730.91421990371896</v>
      </c>
      <c r="E1738" s="116">
        <v>736.29730436111799</v>
      </c>
      <c r="F1738" s="116">
        <v>747.75</v>
      </c>
      <c r="G1738">
        <v>53327</v>
      </c>
      <c r="H1738" s="116"/>
      <c r="I1738" s="116"/>
      <c r="L1738" s="170">
        <v>44564</v>
      </c>
      <c r="M1738" s="116">
        <v>738.81675202499002</v>
      </c>
      <c r="N1738" s="116">
        <v>740.19956412771103</v>
      </c>
      <c r="O1738" s="116">
        <v>730.91496858087203</v>
      </c>
      <c r="P1738" s="116">
        <v>737.829029094475</v>
      </c>
      <c r="Q1738" s="116">
        <v>748</v>
      </c>
      <c r="R1738">
        <v>925699</v>
      </c>
    </row>
    <row r="1739" spans="1:18" x14ac:dyDescent="0.25">
      <c r="A1739" s="170">
        <v>44565</v>
      </c>
      <c r="B1739" s="116">
        <v>746.71777060433897</v>
      </c>
      <c r="C1739" s="116">
        <v>729.63018140929296</v>
      </c>
      <c r="D1739" s="116">
        <v>722.172880922437</v>
      </c>
      <c r="E1739" s="116">
        <v>746.12513745306603</v>
      </c>
      <c r="F1739" s="116">
        <v>738.7</v>
      </c>
      <c r="G1739">
        <v>117477</v>
      </c>
      <c r="H1739" s="116"/>
      <c r="I1739" s="116"/>
      <c r="L1739" s="170">
        <v>44565</v>
      </c>
      <c r="M1739" s="116">
        <v>729.77908721078097</v>
      </c>
      <c r="N1739" s="116">
        <v>747.40994152046801</v>
      </c>
      <c r="O1739" s="116">
        <v>722.07484835276603</v>
      </c>
      <c r="P1739" s="116">
        <v>742.76764374704896</v>
      </c>
      <c r="Q1739" s="116">
        <v>738.85</v>
      </c>
      <c r="R1739">
        <v>2352482</v>
      </c>
    </row>
    <row r="1740" spans="1:18" x14ac:dyDescent="0.25">
      <c r="A1740" s="170">
        <v>44566</v>
      </c>
      <c r="B1740" s="116">
        <v>734.51940490729805</v>
      </c>
      <c r="C1740" s="116">
        <v>724.44464133565202</v>
      </c>
      <c r="D1740" s="116">
        <v>717.43181571225102</v>
      </c>
      <c r="E1740" s="116">
        <v>730.42035894432399</v>
      </c>
      <c r="F1740" s="116">
        <v>733.45</v>
      </c>
      <c r="G1740">
        <v>218005</v>
      </c>
      <c r="H1740" s="116"/>
      <c r="I1740" s="116"/>
      <c r="L1740" s="170">
        <v>44566</v>
      </c>
      <c r="M1740" s="116">
        <v>724.59354182557797</v>
      </c>
      <c r="N1740" s="116">
        <v>734.37199883767403</v>
      </c>
      <c r="O1740" s="116">
        <v>717.58070901892404</v>
      </c>
      <c r="P1740" s="116">
        <v>731.16189931350095</v>
      </c>
      <c r="Q1740" s="116">
        <v>733.6</v>
      </c>
      <c r="R1740">
        <v>2076552</v>
      </c>
    </row>
    <row r="1741" spans="1:18" x14ac:dyDescent="0.25">
      <c r="A1741" s="170">
        <v>44567</v>
      </c>
      <c r="B1741" s="116">
        <v>724.93850229504596</v>
      </c>
      <c r="C1741" s="116">
        <v>716.83918256097797</v>
      </c>
      <c r="D1741" s="116">
        <v>713.57970022897496</v>
      </c>
      <c r="E1741" s="116">
        <v>724.93850229504596</v>
      </c>
      <c r="F1741" s="116">
        <v>725.75</v>
      </c>
      <c r="G1741">
        <v>46276</v>
      </c>
      <c r="H1741" s="116"/>
      <c r="I1741" s="116"/>
      <c r="L1741" s="170">
        <v>44567</v>
      </c>
      <c r="M1741" s="116">
        <v>716.54359994188405</v>
      </c>
      <c r="N1741" s="116">
        <v>725.92696778177299</v>
      </c>
      <c r="O1741" s="116">
        <v>713.67920344339097</v>
      </c>
      <c r="P1741" s="116">
        <v>724.00090806726996</v>
      </c>
      <c r="Q1741" s="116">
        <v>725.45</v>
      </c>
      <c r="R1741">
        <v>2077754</v>
      </c>
    </row>
    <row r="1742" spans="1:18" x14ac:dyDescent="0.25">
      <c r="A1742" s="170">
        <v>44568</v>
      </c>
      <c r="B1742" s="116">
        <v>735.50712682608605</v>
      </c>
      <c r="C1742" s="116">
        <v>726.96333222856299</v>
      </c>
      <c r="D1742" s="116">
        <v>717.08611304067495</v>
      </c>
      <c r="E1742" s="116">
        <v>717.08611304067495</v>
      </c>
      <c r="F1742" s="116">
        <v>736</v>
      </c>
      <c r="G1742">
        <v>131040</v>
      </c>
      <c r="H1742" s="116"/>
      <c r="I1742" s="116"/>
      <c r="L1742" s="170">
        <v>44568</v>
      </c>
      <c r="M1742" s="116">
        <v>727.06284915186495</v>
      </c>
      <c r="N1742" s="116">
        <v>735.50788020776599</v>
      </c>
      <c r="O1742" s="116">
        <v>716.14851076967796</v>
      </c>
      <c r="P1742" s="116">
        <v>716.54359994188405</v>
      </c>
      <c r="Q1742" s="116">
        <v>736.1</v>
      </c>
      <c r="R1742">
        <v>2107056</v>
      </c>
    </row>
    <row r="1743" spans="1:18" x14ac:dyDescent="0.25">
      <c r="A1743" s="170">
        <v>44571</v>
      </c>
      <c r="B1743" s="116">
        <v>733.13659422099295</v>
      </c>
      <c r="C1743" s="116">
        <v>723.06183064934703</v>
      </c>
      <c r="D1743" s="116">
        <v>721.87656434680105</v>
      </c>
      <c r="E1743" s="116">
        <v>730.07465627274803</v>
      </c>
      <c r="F1743" s="116">
        <v>732.05</v>
      </c>
      <c r="G1743">
        <v>40040</v>
      </c>
      <c r="H1743" s="116"/>
      <c r="I1743" s="116"/>
      <c r="L1743" s="170">
        <v>44571</v>
      </c>
      <c r="M1743" s="116">
        <v>722.91441284370296</v>
      </c>
      <c r="N1743" s="116">
        <v>733.87813737241697</v>
      </c>
      <c r="O1743" s="116">
        <v>722.02546220624004</v>
      </c>
      <c r="P1743" s="116">
        <v>731.359443899604</v>
      </c>
      <c r="Q1743" s="116">
        <v>731.9</v>
      </c>
      <c r="R1743">
        <v>1592097</v>
      </c>
    </row>
    <row r="1744" spans="1:18" x14ac:dyDescent="0.25">
      <c r="A1744" s="170">
        <v>44572</v>
      </c>
      <c r="B1744" s="116">
        <v>734.37124661947905</v>
      </c>
      <c r="C1744" s="116">
        <v>729.53140921741397</v>
      </c>
      <c r="D1744" s="116">
        <v>721.82717825086104</v>
      </c>
      <c r="E1744" s="116">
        <v>726.17315469353196</v>
      </c>
      <c r="F1744" s="116">
        <v>738.6</v>
      </c>
      <c r="G1744">
        <v>95110</v>
      </c>
      <c r="H1744" s="116"/>
      <c r="I1744" s="116"/>
      <c r="L1744" s="170">
        <v>44572</v>
      </c>
      <c r="M1744" s="116">
        <v>729.58154262467804</v>
      </c>
      <c r="N1744" s="116">
        <v>734.47077113072498</v>
      </c>
      <c r="O1744" s="116">
        <v>721.77853147361202</v>
      </c>
      <c r="P1744" s="116">
        <v>727.40855217754495</v>
      </c>
      <c r="Q1744" s="116">
        <v>738.65</v>
      </c>
      <c r="R1744">
        <v>1905347</v>
      </c>
    </row>
    <row r="1745" spans="1:18" x14ac:dyDescent="0.25">
      <c r="A1745" s="170">
        <v>44573</v>
      </c>
      <c r="B1745" s="116">
        <v>733.877385660085</v>
      </c>
      <c r="C1745" s="116">
        <v>726.91394613262401</v>
      </c>
      <c r="D1745" s="116">
        <v>724.34586914377303</v>
      </c>
      <c r="E1745" s="116">
        <v>730.91421990371896</v>
      </c>
      <c r="F1745" s="116">
        <v>735.95</v>
      </c>
      <c r="G1745">
        <v>42642</v>
      </c>
      <c r="H1745" s="116"/>
      <c r="I1745" s="116"/>
      <c r="L1745" s="170">
        <v>44573</v>
      </c>
      <c r="M1745" s="116">
        <v>727.06284915186495</v>
      </c>
      <c r="N1745" s="116">
        <v>734.17445425157098</v>
      </c>
      <c r="O1745" s="116">
        <v>724.14906650684702</v>
      </c>
      <c r="P1745" s="116">
        <v>733.87813737241697</v>
      </c>
      <c r="Q1745" s="116">
        <v>736.1</v>
      </c>
      <c r="R1745">
        <v>1817215</v>
      </c>
    </row>
    <row r="1746" spans="1:18" x14ac:dyDescent="0.25">
      <c r="A1746" s="170">
        <v>44574</v>
      </c>
      <c r="B1746" s="116">
        <v>732.741505453478</v>
      </c>
      <c r="C1746" s="116">
        <v>721.283931195528</v>
      </c>
      <c r="D1746" s="116">
        <v>711.15978152794196</v>
      </c>
      <c r="E1746" s="116">
        <v>732.741505453478</v>
      </c>
      <c r="F1746" s="116">
        <v>730.25</v>
      </c>
      <c r="G1746">
        <v>438718</v>
      </c>
      <c r="H1746" s="116"/>
      <c r="I1746" s="116"/>
      <c r="L1746" s="170">
        <v>44574</v>
      </c>
      <c r="M1746" s="116">
        <v>721.23528386182898</v>
      </c>
      <c r="N1746" s="116">
        <v>730.37172096908898</v>
      </c>
      <c r="O1746" s="116">
        <v>714.71631252043198</v>
      </c>
      <c r="P1746" s="116">
        <v>727.95179978932799</v>
      </c>
      <c r="Q1746" s="116">
        <v>730.2</v>
      </c>
      <c r="R1746">
        <v>1604671</v>
      </c>
    </row>
    <row r="1747" spans="1:18" x14ac:dyDescent="0.25">
      <c r="A1747" s="170">
        <v>44575</v>
      </c>
      <c r="B1747" s="116">
        <v>767.262386515147</v>
      </c>
      <c r="C1747" s="116">
        <v>753.13796307646703</v>
      </c>
      <c r="D1747" s="116">
        <v>717.53058790413002</v>
      </c>
      <c r="E1747" s="116">
        <v>722.71612797777095</v>
      </c>
      <c r="F1747" s="116">
        <v>762.5</v>
      </c>
      <c r="G1747">
        <v>543327</v>
      </c>
      <c r="H1747" s="116"/>
      <c r="I1747" s="116"/>
      <c r="L1747" s="170">
        <v>44575</v>
      </c>
      <c r="M1747" s="116">
        <v>753.13873451745303</v>
      </c>
      <c r="N1747" s="116">
        <v>767.46071700991604</v>
      </c>
      <c r="O1747" s="116">
        <v>718.07457048418098</v>
      </c>
      <c r="P1747" s="116">
        <v>721.23528386182898</v>
      </c>
      <c r="Q1747" s="116">
        <v>762.5</v>
      </c>
      <c r="R1747">
        <v>8733345</v>
      </c>
    </row>
    <row r="1748" spans="1:18" x14ac:dyDescent="0.25">
      <c r="A1748" s="170">
        <v>44578</v>
      </c>
      <c r="B1748" s="116">
        <v>761.68175767398998</v>
      </c>
      <c r="C1748" s="116">
        <v>755.26156520186305</v>
      </c>
      <c r="D1748" s="116">
        <v>750.32295560791897</v>
      </c>
      <c r="E1748" s="116">
        <v>758.57043362980505</v>
      </c>
      <c r="F1748" s="116">
        <v>764.65</v>
      </c>
      <c r="G1748">
        <v>112352</v>
      </c>
      <c r="H1748" s="116"/>
      <c r="I1748" s="116"/>
      <c r="L1748" s="170">
        <v>44578</v>
      </c>
      <c r="M1748" s="116">
        <v>755.70681413679097</v>
      </c>
      <c r="N1748" s="116">
        <v>761.88008245250796</v>
      </c>
      <c r="O1748" s="116">
        <v>749.92863499327996</v>
      </c>
      <c r="P1748" s="116">
        <v>758.57121063528405</v>
      </c>
      <c r="Q1748" s="116">
        <v>765.1</v>
      </c>
      <c r="R1748">
        <v>1857366</v>
      </c>
    </row>
    <row r="1749" spans="1:18" x14ac:dyDescent="0.25">
      <c r="A1749" s="170">
        <v>44579</v>
      </c>
      <c r="B1749" s="116">
        <v>760.34833308362499</v>
      </c>
      <c r="C1749" s="116">
        <v>722.91367236152905</v>
      </c>
      <c r="D1749" s="116">
        <v>719.35787345388906</v>
      </c>
      <c r="E1749" s="116">
        <v>755.26156520186305</v>
      </c>
      <c r="F1749" s="116">
        <v>731.9</v>
      </c>
      <c r="G1749">
        <v>217846</v>
      </c>
      <c r="H1749" s="116"/>
      <c r="I1749" s="116"/>
      <c r="L1749" s="170">
        <v>44579</v>
      </c>
      <c r="M1749" s="116">
        <v>722.46993752497201</v>
      </c>
      <c r="N1749" s="116">
        <v>760.54665649631295</v>
      </c>
      <c r="O1749" s="116">
        <v>719.45738258690199</v>
      </c>
      <c r="P1749" s="116">
        <v>754.42277432712206</v>
      </c>
      <c r="Q1749" s="116">
        <v>731.45</v>
      </c>
      <c r="R1749">
        <v>2674149</v>
      </c>
    </row>
    <row r="1750" spans="1:18" x14ac:dyDescent="0.25">
      <c r="A1750" s="170">
        <v>44580</v>
      </c>
      <c r="B1750" s="116">
        <v>728.79061777832305</v>
      </c>
      <c r="C1750" s="116">
        <v>709.08556549848595</v>
      </c>
      <c r="D1750" s="116">
        <v>705.28283611114898</v>
      </c>
      <c r="E1750" s="116">
        <v>725.18543277474305</v>
      </c>
      <c r="F1750" s="116">
        <v>717.9</v>
      </c>
      <c r="G1750">
        <v>402163</v>
      </c>
      <c r="H1750" s="116"/>
      <c r="I1750" s="116"/>
      <c r="L1750" s="170">
        <v>44580</v>
      </c>
      <c r="M1750" s="116">
        <v>708.83936108386899</v>
      </c>
      <c r="N1750" s="116">
        <v>728.93952271984301</v>
      </c>
      <c r="O1750" s="116">
        <v>705.23417238749096</v>
      </c>
      <c r="P1750" s="116">
        <v>725.92696778177299</v>
      </c>
      <c r="Q1750" s="116">
        <v>717.65</v>
      </c>
      <c r="R1750">
        <v>2426249</v>
      </c>
    </row>
    <row r="1751" spans="1:18" x14ac:dyDescent="0.25">
      <c r="A1751" s="170">
        <v>44581</v>
      </c>
      <c r="B1751" s="116">
        <v>736.39607655299596</v>
      </c>
      <c r="C1751" s="116">
        <v>714.71558043558196</v>
      </c>
      <c r="D1751" s="116">
        <v>708.69047673096998</v>
      </c>
      <c r="E1751" s="116">
        <v>717.43181571225102</v>
      </c>
      <c r="F1751" s="116">
        <v>723.6</v>
      </c>
      <c r="G1751">
        <v>473436</v>
      </c>
      <c r="H1751" s="116"/>
      <c r="I1751" s="116"/>
      <c r="L1751" s="170">
        <v>44581</v>
      </c>
      <c r="M1751" s="116">
        <v>714.56815408085401</v>
      </c>
      <c r="N1751" s="116">
        <v>737.08823689658902</v>
      </c>
      <c r="O1751" s="116">
        <v>708.39488576513804</v>
      </c>
      <c r="P1751" s="116">
        <v>719.11167956122199</v>
      </c>
      <c r="Q1751" s="116">
        <v>723.45</v>
      </c>
      <c r="R1751">
        <v>5297725</v>
      </c>
    </row>
    <row r="1752" spans="1:18" x14ac:dyDescent="0.25">
      <c r="A1752" s="170">
        <v>44582</v>
      </c>
      <c r="B1752" s="116">
        <v>733.63045518038803</v>
      </c>
      <c r="C1752" s="116">
        <v>718.91339859043399</v>
      </c>
      <c r="D1752" s="116">
        <v>703.65309494514702</v>
      </c>
      <c r="E1752" s="116">
        <v>716.09839112188604</v>
      </c>
      <c r="F1752" s="116">
        <v>727.85</v>
      </c>
      <c r="G1752">
        <v>450191</v>
      </c>
      <c r="H1752" s="116"/>
      <c r="I1752" s="116"/>
      <c r="L1752" s="170">
        <v>44582</v>
      </c>
      <c r="M1752" s="116">
        <v>717.63009516545003</v>
      </c>
      <c r="N1752" s="116">
        <v>733.82875122589098</v>
      </c>
      <c r="O1752" s="116">
        <v>703.25872652646103</v>
      </c>
      <c r="P1752" s="116">
        <v>712.14823290109302</v>
      </c>
      <c r="Q1752" s="116">
        <v>726.55</v>
      </c>
      <c r="R1752">
        <v>4854277</v>
      </c>
    </row>
    <row r="1753" spans="1:18" x14ac:dyDescent="0.25">
      <c r="A1753" s="170">
        <v>44585</v>
      </c>
      <c r="B1753" s="116">
        <v>716.592252081281</v>
      </c>
      <c r="C1753" s="116">
        <v>683.65172608967396</v>
      </c>
      <c r="D1753" s="116">
        <v>679.79961060639801</v>
      </c>
      <c r="E1753" s="116">
        <v>713.48092803709596</v>
      </c>
      <c r="F1753" s="116">
        <v>692.15</v>
      </c>
      <c r="G1753">
        <v>327250</v>
      </c>
      <c r="H1753" s="116"/>
      <c r="I1753" s="116"/>
      <c r="L1753" s="170">
        <v>44585</v>
      </c>
      <c r="M1753" s="116">
        <v>682.96102030438396</v>
      </c>
      <c r="N1753" s="116">
        <v>716.09912462315197</v>
      </c>
      <c r="O1753" s="116">
        <v>680.04723765936603</v>
      </c>
      <c r="P1753" s="116">
        <v>716.09912462315197</v>
      </c>
      <c r="Q1753" s="116">
        <v>691.45</v>
      </c>
      <c r="R1753">
        <v>3114690</v>
      </c>
    </row>
    <row r="1754" spans="1:18" x14ac:dyDescent="0.25">
      <c r="A1754" s="170">
        <v>44586</v>
      </c>
      <c r="B1754" s="116">
        <v>701.28256234005403</v>
      </c>
      <c r="C1754" s="116">
        <v>699.01080192684003</v>
      </c>
      <c r="D1754" s="116">
        <v>667.35431442965898</v>
      </c>
      <c r="E1754" s="116">
        <v>681.52812396427805</v>
      </c>
      <c r="F1754" s="116">
        <v>707.7</v>
      </c>
      <c r="G1754">
        <v>139060</v>
      </c>
      <c r="H1754" s="116"/>
      <c r="I1754" s="116"/>
      <c r="L1754" s="170">
        <v>44586</v>
      </c>
      <c r="M1754" s="116">
        <v>699.06090407177396</v>
      </c>
      <c r="N1754" s="116">
        <v>701.23389451890603</v>
      </c>
      <c r="O1754" s="116">
        <v>666.71297809741702</v>
      </c>
      <c r="P1754" s="116">
        <v>681.52882205513799</v>
      </c>
      <c r="Q1754" s="116">
        <v>707.75</v>
      </c>
      <c r="R1754">
        <v>2030546</v>
      </c>
    </row>
    <row r="1755" spans="1:18" x14ac:dyDescent="0.25">
      <c r="A1755" s="170">
        <v>44588</v>
      </c>
      <c r="B1755" s="116">
        <v>700.59115699690199</v>
      </c>
      <c r="C1755" s="116">
        <v>696.83781370550503</v>
      </c>
      <c r="D1755" s="116">
        <v>679.70083841451901</v>
      </c>
      <c r="E1755" s="116">
        <v>699.30711850247701</v>
      </c>
      <c r="F1755" s="116">
        <v>705.5</v>
      </c>
      <c r="G1755">
        <v>80441</v>
      </c>
      <c r="H1755" s="116"/>
      <c r="I1755" s="116"/>
      <c r="L1755" s="170">
        <v>44588</v>
      </c>
      <c r="M1755" s="116">
        <v>697.28300279684697</v>
      </c>
      <c r="N1755" s="116">
        <v>700.78941920017405</v>
      </c>
      <c r="O1755" s="116">
        <v>679.05951472885101</v>
      </c>
      <c r="P1755" s="116">
        <v>691.40605136028501</v>
      </c>
      <c r="Q1755" s="116">
        <v>705.95</v>
      </c>
      <c r="R1755">
        <v>3118535</v>
      </c>
    </row>
    <row r="1756" spans="1:18" x14ac:dyDescent="0.25">
      <c r="A1756" s="170">
        <v>44589</v>
      </c>
      <c r="B1756" s="116">
        <v>720.69129804425404</v>
      </c>
      <c r="C1756" s="116">
        <v>710.12267351321395</v>
      </c>
      <c r="D1756" s="116">
        <v>695.85009178671601</v>
      </c>
      <c r="E1756" s="116">
        <v>695.85009178671601</v>
      </c>
      <c r="F1756" s="116">
        <v>718.95</v>
      </c>
      <c r="G1756">
        <v>57135</v>
      </c>
      <c r="H1756" s="116"/>
      <c r="I1756" s="116"/>
      <c r="L1756" s="170">
        <v>44589</v>
      </c>
      <c r="M1756" s="116">
        <v>709.08629181649803</v>
      </c>
      <c r="N1756" s="116">
        <v>720.93896698267395</v>
      </c>
      <c r="O1756" s="116">
        <v>697.82625040863002</v>
      </c>
      <c r="P1756" s="116">
        <v>697.82625040863002</v>
      </c>
      <c r="Q1756" s="116">
        <v>717.9</v>
      </c>
      <c r="R1756">
        <v>2074152</v>
      </c>
    </row>
    <row r="1757" spans="1:18" x14ac:dyDescent="0.25">
      <c r="A1757" s="170">
        <v>44592</v>
      </c>
      <c r="B1757" s="116">
        <v>727.45719318795796</v>
      </c>
      <c r="C1757" s="116">
        <v>719.45664564576805</v>
      </c>
      <c r="D1757" s="116">
        <v>713.97478899649002</v>
      </c>
      <c r="E1757" s="116">
        <v>721.03700071583</v>
      </c>
      <c r="F1757" s="116">
        <v>728.4</v>
      </c>
      <c r="G1757">
        <v>116092</v>
      </c>
      <c r="H1757" s="116"/>
      <c r="I1757" s="116"/>
      <c r="L1757" s="170">
        <v>44592</v>
      </c>
      <c r="M1757" s="116">
        <v>718.37088736333601</v>
      </c>
      <c r="N1757" s="116">
        <v>727.90241364280303</v>
      </c>
      <c r="O1757" s="116">
        <v>713.18534197813403</v>
      </c>
      <c r="P1757" s="116">
        <v>717.08684755366698</v>
      </c>
      <c r="Q1757" s="116">
        <v>727.3</v>
      </c>
      <c r="R1757">
        <v>1682459</v>
      </c>
    </row>
    <row r="1758" spans="1:18" x14ac:dyDescent="0.25">
      <c r="A1758" s="170">
        <v>44593</v>
      </c>
      <c r="B1758" s="116">
        <v>730.51913113620299</v>
      </c>
      <c r="C1758" s="116">
        <v>726.96333222856299</v>
      </c>
      <c r="D1758" s="116">
        <v>708.34477405939401</v>
      </c>
      <c r="E1758" s="116">
        <v>724.83973010316697</v>
      </c>
      <c r="F1758" s="116">
        <v>736</v>
      </c>
      <c r="G1758">
        <v>107796</v>
      </c>
      <c r="H1758" s="116"/>
      <c r="I1758" s="116"/>
      <c r="L1758" s="170">
        <v>44593</v>
      </c>
      <c r="M1758" s="116">
        <v>727.06284915186495</v>
      </c>
      <c r="N1758" s="116">
        <v>729.92724565035803</v>
      </c>
      <c r="O1758" s="116">
        <v>708.24672732555996</v>
      </c>
      <c r="P1758" s="116">
        <v>723.01318513675506</v>
      </c>
      <c r="Q1758" s="116">
        <v>736.1</v>
      </c>
      <c r="R1758">
        <v>2063749</v>
      </c>
    </row>
    <row r="1759" spans="1:18" x14ac:dyDescent="0.25">
      <c r="A1759" s="170">
        <v>44594</v>
      </c>
      <c r="B1759" s="116">
        <v>735.75405730578404</v>
      </c>
      <c r="C1759" s="116">
        <v>733.38352470069003</v>
      </c>
      <c r="D1759" s="116">
        <v>725.77806592601701</v>
      </c>
      <c r="E1759" s="116">
        <v>731.21053647935503</v>
      </c>
      <c r="F1759" s="116">
        <v>742.5</v>
      </c>
      <c r="G1759">
        <v>57327</v>
      </c>
      <c r="H1759" s="116"/>
      <c r="I1759" s="116"/>
      <c r="L1759" s="170">
        <v>44594</v>
      </c>
      <c r="M1759" s="116">
        <v>733.33488976063302</v>
      </c>
      <c r="N1759" s="116">
        <v>735.75481094039401</v>
      </c>
      <c r="O1759" s="116">
        <v>725.58126475609299</v>
      </c>
      <c r="P1759" s="116">
        <v>732.49532526969597</v>
      </c>
      <c r="Q1759" s="116">
        <v>742.45</v>
      </c>
      <c r="R1759">
        <v>1771997</v>
      </c>
    </row>
    <row r="1760" spans="1:18" x14ac:dyDescent="0.25">
      <c r="A1760" s="170">
        <v>44595</v>
      </c>
      <c r="B1760" s="116">
        <v>759.55815554859396</v>
      </c>
      <c r="C1760" s="116">
        <v>728.84000387426204</v>
      </c>
      <c r="D1760" s="116">
        <v>724.69157181534899</v>
      </c>
      <c r="E1760" s="116">
        <v>739.80371717281798</v>
      </c>
      <c r="F1760" s="116">
        <v>737.9</v>
      </c>
      <c r="G1760">
        <v>393320</v>
      </c>
      <c r="H1760" s="116"/>
      <c r="I1760" s="116"/>
      <c r="L1760" s="170">
        <v>44595</v>
      </c>
      <c r="M1760" s="116">
        <v>729.03829501289499</v>
      </c>
      <c r="N1760" s="116">
        <v>759.55893356579895</v>
      </c>
      <c r="O1760" s="116">
        <v>724.34661109294996</v>
      </c>
      <c r="P1760" s="116">
        <v>740.79219788601904</v>
      </c>
      <c r="Q1760" s="116">
        <v>738.1</v>
      </c>
      <c r="R1760">
        <v>8154082</v>
      </c>
    </row>
    <row r="1761" spans="1:18" x14ac:dyDescent="0.25">
      <c r="A1761" s="170">
        <v>44596</v>
      </c>
      <c r="B1761" s="116">
        <v>736.93932360833003</v>
      </c>
      <c r="C1761" s="116">
        <v>725.77806592601701</v>
      </c>
      <c r="D1761" s="116">
        <v>713.13522536552</v>
      </c>
      <c r="E1761" s="116">
        <v>734.86510757887402</v>
      </c>
      <c r="F1761" s="116">
        <v>734.8</v>
      </c>
      <c r="G1761">
        <v>97088</v>
      </c>
      <c r="H1761" s="116"/>
      <c r="I1761" s="116"/>
      <c r="L1761" s="170">
        <v>44596</v>
      </c>
      <c r="M1761" s="116">
        <v>724.79108641168102</v>
      </c>
      <c r="N1761" s="116">
        <v>737.38455377574405</v>
      </c>
      <c r="O1761" s="116">
        <v>713.33350041771098</v>
      </c>
      <c r="P1761" s="116">
        <v>731.90269151138705</v>
      </c>
      <c r="Q1761" s="116">
        <v>733.8</v>
      </c>
      <c r="R1761">
        <v>1931658</v>
      </c>
    </row>
    <row r="1762" spans="1:18" x14ac:dyDescent="0.25">
      <c r="A1762" s="170">
        <v>44599</v>
      </c>
      <c r="B1762" s="116">
        <v>727.11149051638199</v>
      </c>
      <c r="C1762" s="116">
        <v>696.49211103392895</v>
      </c>
      <c r="D1762" s="116">
        <v>693.57833137350201</v>
      </c>
      <c r="E1762" s="116">
        <v>717.08611304067495</v>
      </c>
      <c r="F1762" s="116">
        <v>705.15</v>
      </c>
      <c r="G1762">
        <v>126234</v>
      </c>
      <c r="H1762" s="116"/>
      <c r="I1762" s="116"/>
      <c r="L1762" s="170">
        <v>44599</v>
      </c>
      <c r="M1762" s="116">
        <v>696.14712142675501</v>
      </c>
      <c r="N1762" s="116">
        <v>727.70486905669998</v>
      </c>
      <c r="O1762" s="116">
        <v>693.43088336784001</v>
      </c>
      <c r="P1762" s="116">
        <v>720.05001634521102</v>
      </c>
      <c r="Q1762" s="116">
        <v>704.8</v>
      </c>
      <c r="R1762">
        <v>1908753</v>
      </c>
    </row>
    <row r="1763" spans="1:18" x14ac:dyDescent="0.25">
      <c r="A1763" s="170">
        <v>44600</v>
      </c>
      <c r="B1763" s="116">
        <v>701.87519549132799</v>
      </c>
      <c r="C1763" s="116">
        <v>688.83726616331501</v>
      </c>
      <c r="D1763" s="116">
        <v>682.96032074652203</v>
      </c>
      <c r="E1763" s="116">
        <v>697.28228856895998</v>
      </c>
      <c r="F1763" s="116">
        <v>697.4</v>
      </c>
      <c r="G1763">
        <v>164453</v>
      </c>
      <c r="H1763" s="116"/>
      <c r="I1763" s="116"/>
      <c r="L1763" s="170">
        <v>44600</v>
      </c>
      <c r="M1763" s="116">
        <v>688.54165486179204</v>
      </c>
      <c r="N1763" s="116">
        <v>701.28328066543202</v>
      </c>
      <c r="O1763" s="116">
        <v>682.86224801133301</v>
      </c>
      <c r="P1763" s="116">
        <v>696.44343830591004</v>
      </c>
      <c r="Q1763" s="116">
        <v>697.1</v>
      </c>
      <c r="R1763">
        <v>2410446</v>
      </c>
    </row>
    <row r="1764" spans="1:18" x14ac:dyDescent="0.25">
      <c r="A1764" s="170">
        <v>44601</v>
      </c>
      <c r="B1764" s="116">
        <v>700.29484042126501</v>
      </c>
      <c r="C1764" s="116">
        <v>691.94859020750005</v>
      </c>
      <c r="D1764" s="116">
        <v>687.99770253234499</v>
      </c>
      <c r="E1764" s="116">
        <v>696.24518055423096</v>
      </c>
      <c r="F1764" s="116">
        <v>700.55</v>
      </c>
      <c r="G1764">
        <v>252286</v>
      </c>
      <c r="H1764" s="116"/>
      <c r="I1764" s="116"/>
      <c r="L1764" s="170">
        <v>44601</v>
      </c>
      <c r="M1764" s="116">
        <v>691.60359594638805</v>
      </c>
      <c r="N1764" s="116">
        <v>700.295557734917</v>
      </c>
      <c r="O1764" s="116">
        <v>687.998407250009</v>
      </c>
      <c r="P1764" s="116">
        <v>697.33238894337296</v>
      </c>
      <c r="Q1764" s="116">
        <v>700.2</v>
      </c>
      <c r="R1764">
        <v>2206837</v>
      </c>
    </row>
    <row r="1765" spans="1:18" x14ac:dyDescent="0.25">
      <c r="A1765" s="170">
        <v>44602</v>
      </c>
      <c r="B1765" s="116">
        <v>702.27028425884305</v>
      </c>
      <c r="C1765" s="116">
        <v>698.07246610399102</v>
      </c>
      <c r="D1765" s="116">
        <v>690.46700732931697</v>
      </c>
      <c r="E1765" s="116">
        <v>696.34395274610995</v>
      </c>
      <c r="F1765" s="116">
        <v>706.75</v>
      </c>
      <c r="G1765">
        <v>98577</v>
      </c>
      <c r="H1765" s="116"/>
      <c r="I1765" s="116"/>
      <c r="L1765" s="170">
        <v>44602</v>
      </c>
      <c r="M1765" s="116">
        <v>698.02379499473295</v>
      </c>
      <c r="N1765" s="116">
        <v>702.27100359594601</v>
      </c>
      <c r="O1765" s="116">
        <v>690.41832842976999</v>
      </c>
      <c r="P1765" s="116">
        <v>697.579319676002</v>
      </c>
      <c r="Q1765" s="116">
        <v>706.7</v>
      </c>
      <c r="R1765">
        <v>1770292</v>
      </c>
    </row>
    <row r="1766" spans="1:18" x14ac:dyDescent="0.25">
      <c r="A1766" s="170">
        <v>44603</v>
      </c>
      <c r="B1766" s="116">
        <v>694.71421158010901</v>
      </c>
      <c r="C1766" s="116">
        <v>692.73876774253097</v>
      </c>
      <c r="D1766" s="116">
        <v>681.62689615615704</v>
      </c>
      <c r="E1766" s="116">
        <v>691.40534315216598</v>
      </c>
      <c r="F1766" s="116">
        <v>701.35</v>
      </c>
      <c r="G1766">
        <v>98718</v>
      </c>
      <c r="H1766" s="116"/>
      <c r="I1766" s="116"/>
      <c r="L1766" s="170">
        <v>44603</v>
      </c>
      <c r="M1766" s="116">
        <v>692.393774290799</v>
      </c>
      <c r="N1766" s="116">
        <v>694.46799244488</v>
      </c>
      <c r="O1766" s="116">
        <v>681.52882205513799</v>
      </c>
      <c r="P1766" s="116">
        <v>686.46743670771104</v>
      </c>
      <c r="Q1766" s="116">
        <v>701</v>
      </c>
      <c r="R1766">
        <v>2013324</v>
      </c>
    </row>
    <row r="1767" spans="1:18" x14ac:dyDescent="0.25">
      <c r="A1767" s="170">
        <v>44606</v>
      </c>
      <c r="B1767" s="116">
        <v>691.75104582374195</v>
      </c>
      <c r="C1767" s="116">
        <v>685.23208115973603</v>
      </c>
      <c r="D1767" s="116">
        <v>669.67546093881197</v>
      </c>
      <c r="E1767" s="116">
        <v>669.67546093881197</v>
      </c>
      <c r="F1767" s="116">
        <v>693.75</v>
      </c>
      <c r="G1767">
        <v>131748</v>
      </c>
      <c r="H1767" s="116"/>
      <c r="I1767" s="116"/>
      <c r="L1767" s="170">
        <v>44606</v>
      </c>
      <c r="M1767" s="116">
        <v>685.77603065635105</v>
      </c>
      <c r="N1767" s="116">
        <v>692.19622970469698</v>
      </c>
      <c r="O1767" s="116">
        <v>675.651870618575</v>
      </c>
      <c r="P1767" s="116">
        <v>680.54109912462297</v>
      </c>
      <c r="Q1767" s="116">
        <v>694.3</v>
      </c>
      <c r="R1767">
        <v>2069409</v>
      </c>
    </row>
    <row r="1768" spans="1:18" x14ac:dyDescent="0.25">
      <c r="A1768" s="170">
        <v>44607</v>
      </c>
      <c r="B1768" s="116">
        <v>697.33167466489897</v>
      </c>
      <c r="C1768" s="116">
        <v>693.38078698974402</v>
      </c>
      <c r="D1768" s="116">
        <v>681.08364910082298</v>
      </c>
      <c r="E1768" s="116">
        <v>685.479011639433</v>
      </c>
      <c r="F1768" s="116">
        <v>702</v>
      </c>
      <c r="G1768">
        <v>75938</v>
      </c>
      <c r="H1768" s="116"/>
      <c r="I1768" s="116"/>
      <c r="L1768" s="170">
        <v>44607</v>
      </c>
      <c r="M1768" s="116">
        <v>693.38149722131402</v>
      </c>
      <c r="N1768" s="116">
        <v>697.33238894337296</v>
      </c>
      <c r="O1768" s="116">
        <v>680.68925756420003</v>
      </c>
      <c r="P1768" s="116">
        <v>684.49199084668203</v>
      </c>
      <c r="Q1768" s="116">
        <v>702</v>
      </c>
      <c r="R1768">
        <v>2209622</v>
      </c>
    </row>
    <row r="1769" spans="1:18" x14ac:dyDescent="0.25">
      <c r="A1769" s="170">
        <v>44608</v>
      </c>
      <c r="B1769" s="116">
        <v>699.30711850247701</v>
      </c>
      <c r="C1769" s="116">
        <v>692.14613459125803</v>
      </c>
      <c r="D1769" s="116">
        <v>687.55322766889003</v>
      </c>
      <c r="E1769" s="116">
        <v>696.34395274610995</v>
      </c>
      <c r="F1769" s="116">
        <v>700.75</v>
      </c>
      <c r="G1769">
        <v>107895</v>
      </c>
      <c r="H1769" s="116"/>
      <c r="I1769" s="116"/>
      <c r="L1769" s="170">
        <v>44608</v>
      </c>
      <c r="M1769" s="116">
        <v>692.393774290799</v>
      </c>
      <c r="N1769" s="116">
        <v>699.65353783008197</v>
      </c>
      <c r="O1769" s="116">
        <v>687.50454578475205</v>
      </c>
      <c r="P1769" s="116">
        <v>696.83852747811602</v>
      </c>
      <c r="Q1769" s="116">
        <v>701</v>
      </c>
      <c r="R1769">
        <v>1217196</v>
      </c>
    </row>
    <row r="1770" spans="1:18" x14ac:dyDescent="0.25">
      <c r="A1770" s="170">
        <v>44609</v>
      </c>
      <c r="B1770" s="116">
        <v>716.49347988940201</v>
      </c>
      <c r="C1770" s="116">
        <v>711.40671200763995</v>
      </c>
      <c r="D1770" s="116">
        <v>694.36850890853304</v>
      </c>
      <c r="E1770" s="116">
        <v>694.36850890853304</v>
      </c>
      <c r="F1770" s="116">
        <v>720.25</v>
      </c>
      <c r="G1770">
        <v>127517</v>
      </c>
      <c r="H1770" s="116"/>
      <c r="I1770" s="116"/>
      <c r="L1770" s="170">
        <v>44609</v>
      </c>
      <c r="M1770" s="116">
        <v>711.50621299625902</v>
      </c>
      <c r="N1770" s="116">
        <v>717.23500599324404</v>
      </c>
      <c r="O1770" s="116">
        <v>692.88763575605697</v>
      </c>
      <c r="P1770" s="116">
        <v>692.88763575605697</v>
      </c>
      <c r="Q1770" s="116">
        <v>720.35</v>
      </c>
      <c r="R1770">
        <v>3442092</v>
      </c>
    </row>
    <row r="1771" spans="1:18" x14ac:dyDescent="0.25">
      <c r="A1771" s="170">
        <v>44610</v>
      </c>
      <c r="B1771" s="116">
        <v>712.24627563860997</v>
      </c>
      <c r="C1771" s="116">
        <v>708.542318443152</v>
      </c>
      <c r="D1771" s="116">
        <v>703.55432275326802</v>
      </c>
      <c r="E1771" s="116">
        <v>709.53004036194102</v>
      </c>
      <c r="F1771" s="116">
        <v>717.35</v>
      </c>
      <c r="G1771">
        <v>78440</v>
      </c>
      <c r="H1771" s="116"/>
      <c r="I1771" s="116"/>
      <c r="L1771" s="170">
        <v>44610</v>
      </c>
      <c r="M1771" s="116">
        <v>708.69120264429205</v>
      </c>
      <c r="N1771" s="116">
        <v>715.70403545094598</v>
      </c>
      <c r="O1771" s="116">
        <v>703.45627111256397</v>
      </c>
      <c r="P1771" s="116">
        <v>706.81452907631399</v>
      </c>
      <c r="Q1771" s="116">
        <v>717.5</v>
      </c>
      <c r="R1771">
        <v>1686289</v>
      </c>
    </row>
    <row r="1772" spans="1:18" x14ac:dyDescent="0.25">
      <c r="A1772" s="170">
        <v>44613</v>
      </c>
      <c r="B1772" s="116">
        <v>712.44382002236796</v>
      </c>
      <c r="C1772" s="116">
        <v>704.24572809642098</v>
      </c>
      <c r="D1772" s="116">
        <v>696.09702226641298</v>
      </c>
      <c r="E1772" s="116">
        <v>701.08501795629604</v>
      </c>
      <c r="F1772" s="116">
        <v>713</v>
      </c>
      <c r="G1772">
        <v>54607</v>
      </c>
      <c r="H1772" s="116"/>
      <c r="I1772" s="116"/>
      <c r="L1772" s="170">
        <v>44613</v>
      </c>
      <c r="M1772" s="116">
        <v>704.44399404307899</v>
      </c>
      <c r="N1772" s="116">
        <v>712.49393592677302</v>
      </c>
      <c r="O1772" s="116">
        <v>695.850804547601</v>
      </c>
      <c r="P1772" s="116">
        <v>701.77714213068896</v>
      </c>
      <c r="Q1772" s="116">
        <v>713.2</v>
      </c>
      <c r="R1772">
        <v>1542807</v>
      </c>
    </row>
    <row r="1773" spans="1:18" x14ac:dyDescent="0.25">
      <c r="A1773" s="170">
        <v>44614</v>
      </c>
      <c r="B1773" s="116">
        <v>707.94968529187895</v>
      </c>
      <c r="C1773" s="116">
        <v>706.31994412587699</v>
      </c>
      <c r="D1773" s="116">
        <v>682.76277636276404</v>
      </c>
      <c r="E1773" s="116">
        <v>684.98515068003906</v>
      </c>
      <c r="F1773" s="116">
        <v>715.1</v>
      </c>
      <c r="G1773">
        <v>82937</v>
      </c>
      <c r="H1773" s="116"/>
      <c r="I1773" s="116"/>
      <c r="L1773" s="170">
        <v>44614</v>
      </c>
      <c r="M1773" s="116">
        <v>706.419439904108</v>
      </c>
      <c r="N1773" s="116">
        <v>708.09856888598301</v>
      </c>
      <c r="O1773" s="116">
        <v>681.52882205513799</v>
      </c>
      <c r="P1773" s="116">
        <v>681.52882205513799</v>
      </c>
      <c r="Q1773" s="116">
        <v>715.2</v>
      </c>
      <c r="R1773">
        <v>1861977</v>
      </c>
    </row>
    <row r="1774" spans="1:18" x14ac:dyDescent="0.25">
      <c r="A1774" s="170">
        <v>44615</v>
      </c>
      <c r="B1774" s="116">
        <v>721.82717825086104</v>
      </c>
      <c r="C1774" s="116">
        <v>715.20944139497601</v>
      </c>
      <c r="D1774" s="116">
        <v>705.57915268678596</v>
      </c>
      <c r="E1774" s="116">
        <v>705.57915268678596</v>
      </c>
      <c r="F1774" s="116">
        <v>724.1</v>
      </c>
      <c r="G1774">
        <v>54635</v>
      </c>
      <c r="H1774" s="116"/>
      <c r="I1774" s="116"/>
      <c r="L1774" s="170">
        <v>44615</v>
      </c>
      <c r="M1774" s="116">
        <v>714.37060949475097</v>
      </c>
      <c r="N1774" s="116">
        <v>722.22300679234297</v>
      </c>
      <c r="O1774" s="116">
        <v>705.33294468054203</v>
      </c>
      <c r="P1774" s="116">
        <v>706.22189531800495</v>
      </c>
      <c r="Q1774" s="116">
        <v>723.25</v>
      </c>
      <c r="R1774">
        <v>1816654</v>
      </c>
    </row>
    <row r="1775" spans="1:18" x14ac:dyDescent="0.25">
      <c r="A1775" s="170">
        <v>44616</v>
      </c>
      <c r="B1775" s="116">
        <v>705.52976659084595</v>
      </c>
      <c r="C1775" s="116">
        <v>669.28037217129702</v>
      </c>
      <c r="D1775" s="116">
        <v>665.872731551475</v>
      </c>
      <c r="E1775" s="116">
        <v>686.46673355822202</v>
      </c>
      <c r="F1775" s="116">
        <v>677.6</v>
      </c>
      <c r="G1775">
        <v>365620</v>
      </c>
      <c r="H1775" s="116"/>
      <c r="I1775" s="116"/>
      <c r="L1775" s="170">
        <v>44616</v>
      </c>
      <c r="M1775" s="116">
        <v>669.37983000980705</v>
      </c>
      <c r="N1775" s="116">
        <v>705.777419999274</v>
      </c>
      <c r="O1775" s="116">
        <v>665.77464131342799</v>
      </c>
      <c r="P1775" s="116">
        <v>690.41832842976999</v>
      </c>
      <c r="Q1775" s="116">
        <v>677.7</v>
      </c>
      <c r="R1775">
        <v>3091298</v>
      </c>
    </row>
    <row r="1776" spans="1:18" x14ac:dyDescent="0.25">
      <c r="A1776" s="170">
        <v>44617</v>
      </c>
      <c r="B1776" s="116">
        <v>704.24572809642098</v>
      </c>
      <c r="C1776" s="116">
        <v>700.73931528471996</v>
      </c>
      <c r="D1776" s="116">
        <v>674.71284272463504</v>
      </c>
      <c r="E1776" s="116">
        <v>674.71284272463504</v>
      </c>
      <c r="F1776" s="116">
        <v>709.45</v>
      </c>
      <c r="G1776">
        <v>74867</v>
      </c>
      <c r="H1776" s="116"/>
      <c r="I1776" s="116"/>
      <c r="L1776" s="170">
        <v>44617</v>
      </c>
      <c r="M1776" s="116">
        <v>700.78941920017405</v>
      </c>
      <c r="N1776" s="116">
        <v>704.59215248265605</v>
      </c>
      <c r="O1776" s="116">
        <v>677.18284116087295</v>
      </c>
      <c r="P1776" s="116">
        <v>681.52882205513799</v>
      </c>
      <c r="Q1776" s="116">
        <v>709.5</v>
      </c>
      <c r="R1776">
        <v>1771881</v>
      </c>
    </row>
    <row r="1777" spans="1:18" x14ac:dyDescent="0.25">
      <c r="A1777" s="170">
        <v>44620</v>
      </c>
      <c r="B1777" s="116">
        <v>711.25855371982095</v>
      </c>
      <c r="C1777" s="116">
        <v>709.53004036194102</v>
      </c>
      <c r="D1777" s="116">
        <v>686.21980307852505</v>
      </c>
      <c r="E1777" s="116">
        <v>694.36850890853304</v>
      </c>
      <c r="F1777" s="116">
        <v>718.35</v>
      </c>
      <c r="G1777">
        <v>62090</v>
      </c>
      <c r="H1777" s="116"/>
      <c r="I1777" s="116"/>
      <c r="L1777" s="170">
        <v>44620</v>
      </c>
      <c r="M1777" s="116">
        <v>709.77769786785802</v>
      </c>
      <c r="N1777" s="116">
        <v>711.95068831498997</v>
      </c>
      <c r="O1777" s="116">
        <v>686.02296138897998</v>
      </c>
      <c r="P1777" s="116">
        <v>690.91218989502704</v>
      </c>
      <c r="Q1777" s="116">
        <v>718.6</v>
      </c>
      <c r="R1777">
        <v>1935344</v>
      </c>
    </row>
    <row r="1778" spans="1:18" x14ac:dyDescent="0.25">
      <c r="A1778" s="170">
        <v>44622</v>
      </c>
      <c r="B1778" s="116">
        <v>711.06100933606297</v>
      </c>
      <c r="C1778" s="116">
        <v>701.87519549132799</v>
      </c>
      <c r="D1778" s="116">
        <v>693.38078698974402</v>
      </c>
      <c r="E1778" s="116">
        <v>711.06100933606297</v>
      </c>
      <c r="F1778" s="116">
        <v>710.6</v>
      </c>
      <c r="G1778">
        <v>219327</v>
      </c>
      <c r="H1778" s="116"/>
      <c r="I1778" s="116"/>
      <c r="L1778" s="170">
        <v>44622</v>
      </c>
      <c r="M1778" s="116">
        <v>702.27100359594601</v>
      </c>
      <c r="N1778" s="116">
        <v>709.77769786785802</v>
      </c>
      <c r="O1778" s="116">
        <v>692.93702190258296</v>
      </c>
      <c r="P1778" s="116">
        <v>703.20934037993504</v>
      </c>
      <c r="Q1778" s="116">
        <v>711</v>
      </c>
      <c r="R1778">
        <v>1938441</v>
      </c>
    </row>
    <row r="1779" spans="1:18" x14ac:dyDescent="0.25">
      <c r="A1779" s="170">
        <v>44623</v>
      </c>
      <c r="B1779" s="116">
        <v>708.73986282690998</v>
      </c>
      <c r="C1779" s="116">
        <v>678.614344303851</v>
      </c>
      <c r="D1779" s="116">
        <v>676.49074217845498</v>
      </c>
      <c r="E1779" s="116">
        <v>706.122399742119</v>
      </c>
      <c r="F1779" s="116">
        <v>687.05</v>
      </c>
      <c r="G1779">
        <v>87884</v>
      </c>
      <c r="H1779" s="116"/>
      <c r="I1779" s="116"/>
      <c r="L1779" s="170">
        <v>44623</v>
      </c>
      <c r="M1779" s="116">
        <v>678.61503941011904</v>
      </c>
      <c r="N1779" s="116">
        <v>709.92585630743497</v>
      </c>
      <c r="O1779" s="116">
        <v>676.14573208383297</v>
      </c>
      <c r="P1779" s="116">
        <v>703.40688496603798</v>
      </c>
      <c r="Q1779" s="116">
        <v>687.05</v>
      </c>
      <c r="R1779">
        <v>2112330</v>
      </c>
    </row>
    <row r="1780" spans="1:18" x14ac:dyDescent="0.25">
      <c r="A1780" s="170">
        <v>44624</v>
      </c>
      <c r="B1780" s="116">
        <v>677.72539457694097</v>
      </c>
      <c r="C1780" s="116">
        <v>661.82307168444095</v>
      </c>
      <c r="D1780" s="116">
        <v>649.37777550770204</v>
      </c>
      <c r="E1780" s="116">
        <v>677.67600848100199</v>
      </c>
      <c r="F1780" s="116">
        <v>670.05</v>
      </c>
      <c r="G1780">
        <v>136625</v>
      </c>
      <c r="H1780" s="116"/>
      <c r="I1780" s="116"/>
      <c r="L1780" s="170">
        <v>44624</v>
      </c>
      <c r="M1780" s="116">
        <v>661.72497729831798</v>
      </c>
      <c r="N1780" s="116">
        <v>679.94846536631405</v>
      </c>
      <c r="O1780" s="116">
        <v>649.42782681340998</v>
      </c>
      <c r="P1780" s="116">
        <v>679.94846536631405</v>
      </c>
      <c r="Q1780" s="116">
        <v>669.95</v>
      </c>
      <c r="R1780">
        <v>2833168</v>
      </c>
    </row>
    <row r="1781" spans="1:18" x14ac:dyDescent="0.25">
      <c r="A1781" s="170">
        <v>44627</v>
      </c>
      <c r="B1781" s="116">
        <v>665.13194011238397</v>
      </c>
      <c r="C1781" s="116">
        <v>651.60014982497705</v>
      </c>
      <c r="D1781" s="116">
        <v>642.76003865181701</v>
      </c>
      <c r="E1781" s="116">
        <v>651.89646640061403</v>
      </c>
      <c r="F1781" s="116">
        <v>659.7</v>
      </c>
      <c r="G1781">
        <v>202397</v>
      </c>
      <c r="H1781" s="116"/>
      <c r="I1781" s="116"/>
      <c r="L1781" s="170">
        <v>44627</v>
      </c>
      <c r="M1781" s="116">
        <v>651.74897570012001</v>
      </c>
      <c r="N1781" s="116">
        <v>665.23139370164495</v>
      </c>
      <c r="O1781" s="116">
        <v>642.217449420653</v>
      </c>
      <c r="P1781" s="116">
        <v>650.90941120918205</v>
      </c>
      <c r="Q1781" s="116">
        <v>659.85</v>
      </c>
      <c r="R1781">
        <v>2137318</v>
      </c>
    </row>
    <row r="1782" spans="1:18" x14ac:dyDescent="0.25">
      <c r="A1782" s="170">
        <v>44628</v>
      </c>
      <c r="B1782" s="116">
        <v>679.55268012670001</v>
      </c>
      <c r="C1782" s="116">
        <v>675.20670368403</v>
      </c>
      <c r="D1782" s="116">
        <v>649.723478179278</v>
      </c>
      <c r="E1782" s="116">
        <v>650.90874448182501</v>
      </c>
      <c r="F1782" s="116">
        <v>683.6</v>
      </c>
      <c r="G1782">
        <v>120502</v>
      </c>
      <c r="H1782" s="116"/>
      <c r="I1782" s="116"/>
      <c r="L1782" s="170">
        <v>44628</v>
      </c>
      <c r="M1782" s="116">
        <v>675.30616759289501</v>
      </c>
      <c r="N1782" s="116">
        <v>679.30644546148005</v>
      </c>
      <c r="O1782" s="116">
        <v>649.92168827866794</v>
      </c>
      <c r="P1782" s="116">
        <v>650.90941120918205</v>
      </c>
      <c r="Q1782" s="116">
        <v>683.7</v>
      </c>
      <c r="R1782">
        <v>2850859</v>
      </c>
    </row>
    <row r="1783" spans="1:18" x14ac:dyDescent="0.25">
      <c r="A1783" s="170">
        <v>44629</v>
      </c>
      <c r="B1783" s="116">
        <v>697.03535808926199</v>
      </c>
      <c r="C1783" s="116">
        <v>690.31884904149797</v>
      </c>
      <c r="D1783" s="116">
        <v>670.95949943323797</v>
      </c>
      <c r="E1783" s="116">
        <v>679.55268012670001</v>
      </c>
      <c r="F1783" s="116">
        <v>698.9</v>
      </c>
      <c r="G1783">
        <v>88458</v>
      </c>
      <c r="H1783" s="116"/>
      <c r="I1783" s="116"/>
      <c r="L1783" s="170">
        <v>44629</v>
      </c>
      <c r="M1783" s="116">
        <v>690.56648686934705</v>
      </c>
      <c r="N1783" s="116">
        <v>697.23361665032098</v>
      </c>
      <c r="O1783" s="116">
        <v>669.97246376811597</v>
      </c>
      <c r="P1783" s="116">
        <v>676.59020740256403</v>
      </c>
      <c r="Q1783" s="116">
        <v>699.15</v>
      </c>
      <c r="R1783">
        <v>1920634</v>
      </c>
    </row>
    <row r="1784" spans="1:18" x14ac:dyDescent="0.25">
      <c r="A1784" s="170">
        <v>44630</v>
      </c>
      <c r="B1784" s="116">
        <v>718.81462639855602</v>
      </c>
      <c r="C1784" s="116">
        <v>715.50575797061299</v>
      </c>
      <c r="D1784" s="116">
        <v>698.220624391809</v>
      </c>
      <c r="E1784" s="116">
        <v>701.13440405223605</v>
      </c>
      <c r="F1784" s="116">
        <v>724.4</v>
      </c>
      <c r="G1784">
        <v>326018</v>
      </c>
      <c r="H1784" s="116"/>
      <c r="I1784" s="116"/>
      <c r="L1784" s="170">
        <v>44630</v>
      </c>
      <c r="M1784" s="116">
        <v>715.30894627874</v>
      </c>
      <c r="N1784" s="116">
        <v>718.56843194943895</v>
      </c>
      <c r="O1784" s="116">
        <v>696.88791362464099</v>
      </c>
      <c r="P1784" s="116">
        <v>696.88791362464099</v>
      </c>
      <c r="Q1784" s="116">
        <v>724.2</v>
      </c>
      <c r="R1784">
        <v>2574455</v>
      </c>
    </row>
    <row r="1785" spans="1:18" x14ac:dyDescent="0.25">
      <c r="A1785" s="170">
        <v>44631</v>
      </c>
      <c r="B1785" s="116">
        <v>715.555144066553</v>
      </c>
      <c r="C1785" s="116">
        <v>708.19661577157603</v>
      </c>
      <c r="D1785" s="116">
        <v>698.86264363902205</v>
      </c>
      <c r="E1785" s="116">
        <v>715.11066920309804</v>
      </c>
      <c r="F1785" s="116">
        <v>717</v>
      </c>
      <c r="G1785">
        <v>319238</v>
      </c>
      <c r="H1785" s="116"/>
      <c r="I1785" s="116"/>
      <c r="L1785" s="170">
        <v>44631</v>
      </c>
      <c r="M1785" s="116">
        <v>707.65409356725104</v>
      </c>
      <c r="N1785" s="116">
        <v>717.13623370019297</v>
      </c>
      <c r="O1785" s="116">
        <v>698.76458719261905</v>
      </c>
      <c r="P1785" s="116">
        <v>715.40771857179197</v>
      </c>
      <c r="Q1785" s="116">
        <v>716.45</v>
      </c>
      <c r="R1785">
        <v>2305707</v>
      </c>
    </row>
    <row r="1786" spans="1:18" x14ac:dyDescent="0.25">
      <c r="A1786" s="170">
        <v>44634</v>
      </c>
      <c r="B1786" s="116">
        <v>715.01189701121905</v>
      </c>
      <c r="C1786" s="116">
        <v>712.78952269394404</v>
      </c>
      <c r="D1786" s="116">
        <v>701.28256234005403</v>
      </c>
      <c r="E1786" s="116">
        <v>710.17205960915396</v>
      </c>
      <c r="F1786" s="116">
        <v>721.65</v>
      </c>
      <c r="G1786">
        <v>113064</v>
      </c>
      <c r="H1786" s="116"/>
      <c r="I1786" s="116"/>
      <c r="L1786" s="170">
        <v>44634</v>
      </c>
      <c r="M1786" s="116">
        <v>713.38288656423697</v>
      </c>
      <c r="N1786" s="116">
        <v>715.11140169263695</v>
      </c>
      <c r="O1786" s="116">
        <v>700.93757763975202</v>
      </c>
      <c r="P1786" s="116">
        <v>711.16050997057903</v>
      </c>
      <c r="Q1786" s="116">
        <v>722.25</v>
      </c>
      <c r="R1786">
        <v>1584725</v>
      </c>
    </row>
    <row r="1787" spans="1:18" x14ac:dyDescent="0.25">
      <c r="A1787" s="170">
        <v>44635</v>
      </c>
      <c r="B1787" s="116">
        <v>764.44737904659905</v>
      </c>
      <c r="C1787" s="116">
        <v>739.507400597181</v>
      </c>
      <c r="D1787" s="116">
        <v>715.11066920309804</v>
      </c>
      <c r="E1787" s="116">
        <v>715.11066920309804</v>
      </c>
      <c r="F1787" s="116">
        <v>748.7</v>
      </c>
      <c r="G1787">
        <v>329058</v>
      </c>
      <c r="H1787" s="116"/>
      <c r="I1787" s="116"/>
      <c r="L1787" s="170">
        <v>44635</v>
      </c>
      <c r="M1787" s="116">
        <v>739.40938578329894</v>
      </c>
      <c r="N1787" s="116">
        <v>764.497548218372</v>
      </c>
      <c r="O1787" s="116">
        <v>714.86447096000904</v>
      </c>
      <c r="P1787" s="116">
        <v>715.11140169263695</v>
      </c>
      <c r="Q1787" s="116">
        <v>748.6</v>
      </c>
      <c r="R1787">
        <v>9386502</v>
      </c>
    </row>
    <row r="1788" spans="1:18" x14ac:dyDescent="0.25">
      <c r="A1788" s="170">
        <v>44636</v>
      </c>
      <c r="B1788" s="116">
        <v>745.73004868555097</v>
      </c>
      <c r="C1788" s="116">
        <v>738.56906477433199</v>
      </c>
      <c r="D1788" s="116">
        <v>731.30930867123402</v>
      </c>
      <c r="E1788" s="116">
        <v>742.76688292918402</v>
      </c>
      <c r="F1788" s="116">
        <v>747.75</v>
      </c>
      <c r="G1788">
        <v>115832</v>
      </c>
      <c r="H1788" s="116"/>
      <c r="I1788" s="116"/>
      <c r="L1788" s="170">
        <v>44636</v>
      </c>
      <c r="M1788" s="116">
        <v>738.66859358541296</v>
      </c>
      <c r="N1788" s="116">
        <v>746.27406015037604</v>
      </c>
      <c r="O1788" s="116">
        <v>731.50760233918095</v>
      </c>
      <c r="P1788" s="116">
        <v>744.74308960807798</v>
      </c>
      <c r="Q1788" s="116">
        <v>747.85</v>
      </c>
      <c r="R1788">
        <v>1959778</v>
      </c>
    </row>
    <row r="1789" spans="1:18" x14ac:dyDescent="0.25">
      <c r="A1789" s="170">
        <v>44637</v>
      </c>
      <c r="B1789" s="116">
        <v>764.64492343035602</v>
      </c>
      <c r="C1789" s="116">
        <v>762.57070740090001</v>
      </c>
      <c r="D1789" s="116">
        <v>742.76688292918402</v>
      </c>
      <c r="E1789" s="116">
        <v>742.76688292918402</v>
      </c>
      <c r="F1789" s="116">
        <v>772.05</v>
      </c>
      <c r="G1789">
        <v>116918</v>
      </c>
      <c r="H1789" s="116"/>
      <c r="I1789" s="116"/>
      <c r="L1789" s="170">
        <v>44637</v>
      </c>
      <c r="M1789" s="116">
        <v>762.81841923649699</v>
      </c>
      <c r="N1789" s="116">
        <v>764.94202353710398</v>
      </c>
      <c r="O1789" s="116">
        <v>744.99002034070702</v>
      </c>
      <c r="P1789" s="116">
        <v>748.69398133013704</v>
      </c>
      <c r="Q1789" s="116">
        <v>772.3</v>
      </c>
      <c r="R1789">
        <v>3099238</v>
      </c>
    </row>
    <row r="1790" spans="1:18" x14ac:dyDescent="0.25">
      <c r="A1790" s="170">
        <v>44641</v>
      </c>
      <c r="B1790" s="116">
        <v>765.28694267756896</v>
      </c>
      <c r="C1790" s="116">
        <v>738.66783696621098</v>
      </c>
      <c r="D1790" s="116">
        <v>736.69239312863294</v>
      </c>
      <c r="E1790" s="116">
        <v>765.28694267756896</v>
      </c>
      <c r="F1790" s="116">
        <v>747.85</v>
      </c>
      <c r="G1790">
        <v>74954</v>
      </c>
      <c r="H1790" s="116"/>
      <c r="I1790" s="116"/>
      <c r="L1790" s="170">
        <v>44641</v>
      </c>
      <c r="M1790" s="116">
        <v>738.61920743888697</v>
      </c>
      <c r="N1790" s="116">
        <v>764.34938977879494</v>
      </c>
      <c r="O1790" s="116">
        <v>736.14990011259999</v>
      </c>
      <c r="P1790" s="116">
        <v>762.52210235734299</v>
      </c>
      <c r="Q1790" s="116">
        <v>747.8</v>
      </c>
      <c r="R1790">
        <v>1889226</v>
      </c>
    </row>
    <row r="1791" spans="1:18" x14ac:dyDescent="0.25">
      <c r="A1791" s="170">
        <v>44642</v>
      </c>
      <c r="B1791" s="116">
        <v>748.791986633796</v>
      </c>
      <c r="C1791" s="116">
        <v>743.85337703985203</v>
      </c>
      <c r="D1791" s="116">
        <v>722.321039210256</v>
      </c>
      <c r="E1791" s="116">
        <v>740.05064765251495</v>
      </c>
      <c r="F1791" s="116">
        <v>753.1</v>
      </c>
      <c r="G1791">
        <v>434801</v>
      </c>
      <c r="H1791" s="116"/>
      <c r="I1791" s="116"/>
      <c r="L1791" s="170">
        <v>44642</v>
      </c>
      <c r="M1791" s="116">
        <v>743.656594384512</v>
      </c>
      <c r="N1791" s="116">
        <v>748.69398133013704</v>
      </c>
      <c r="O1791" s="116">
        <v>722.42055137844602</v>
      </c>
      <c r="P1791" s="116">
        <v>740.79219788601904</v>
      </c>
      <c r="Q1791" s="116">
        <v>752.9</v>
      </c>
      <c r="R1791">
        <v>3047970</v>
      </c>
    </row>
    <row r="1792" spans="1:18" x14ac:dyDescent="0.25">
      <c r="A1792" s="170">
        <v>44643</v>
      </c>
      <c r="B1792" s="116">
        <v>751.16251923888899</v>
      </c>
      <c r="C1792" s="116">
        <v>739.06292573372605</v>
      </c>
      <c r="D1792" s="116">
        <v>735.85282949766201</v>
      </c>
      <c r="E1792" s="116">
        <v>747.70549252312799</v>
      </c>
      <c r="F1792" s="116">
        <v>748.25</v>
      </c>
      <c r="G1792">
        <v>78535</v>
      </c>
      <c r="H1792" s="116"/>
      <c r="I1792" s="116"/>
      <c r="L1792" s="170">
        <v>44643</v>
      </c>
      <c r="M1792" s="116">
        <v>739.60693036940199</v>
      </c>
      <c r="N1792" s="116">
        <v>750.66942719116605</v>
      </c>
      <c r="O1792" s="116">
        <v>735.95235552649694</v>
      </c>
      <c r="P1792" s="116">
        <v>750.175565725909</v>
      </c>
      <c r="Q1792" s="116">
        <v>748.8</v>
      </c>
      <c r="R1792">
        <v>1103251</v>
      </c>
    </row>
    <row r="1793" spans="1:18" x14ac:dyDescent="0.25">
      <c r="A1793" s="170">
        <v>44644</v>
      </c>
      <c r="B1793" s="116">
        <v>742.32240806572895</v>
      </c>
      <c r="C1793" s="116">
        <v>730.27220065650602</v>
      </c>
      <c r="D1793" s="116">
        <v>728.09921243516999</v>
      </c>
      <c r="E1793" s="116">
        <v>739.06292573372605</v>
      </c>
      <c r="F1793" s="116">
        <v>739.35</v>
      </c>
      <c r="G1793">
        <v>55902</v>
      </c>
      <c r="H1793" s="116"/>
      <c r="I1793" s="116"/>
      <c r="L1793" s="170">
        <v>44644</v>
      </c>
      <c r="M1793" s="116">
        <v>731.40883004612999</v>
      </c>
      <c r="N1793" s="116">
        <v>742.37255457484298</v>
      </c>
      <c r="O1793" s="116">
        <v>729.630928771203</v>
      </c>
      <c r="P1793" s="116">
        <v>738.81675202499002</v>
      </c>
      <c r="Q1793" s="116">
        <v>740.5</v>
      </c>
      <c r="R1793">
        <v>1179087</v>
      </c>
    </row>
    <row r="1794" spans="1:18" x14ac:dyDescent="0.25">
      <c r="A1794" s="170">
        <v>44645</v>
      </c>
      <c r="B1794" s="116">
        <v>732.88966374129598</v>
      </c>
      <c r="C1794" s="116">
        <v>724.44464133565202</v>
      </c>
      <c r="D1794" s="116">
        <v>698.71448535120305</v>
      </c>
      <c r="E1794" s="116">
        <v>732.88966374129598</v>
      </c>
      <c r="F1794" s="116">
        <v>733.45</v>
      </c>
      <c r="G1794">
        <v>223745</v>
      </c>
      <c r="H1794" s="116"/>
      <c r="I1794" s="116"/>
      <c r="L1794" s="170">
        <v>44645</v>
      </c>
      <c r="M1794" s="116">
        <v>724.34661109294996</v>
      </c>
      <c r="N1794" s="116">
        <v>730.91496858087203</v>
      </c>
      <c r="O1794" s="116">
        <v>699.90046856271101</v>
      </c>
      <c r="P1794" s="116">
        <v>730.91496858087203</v>
      </c>
      <c r="Q1794" s="116">
        <v>733.35</v>
      </c>
      <c r="R1794">
        <v>2968621</v>
      </c>
    </row>
    <row r="1795" spans="1:18" x14ac:dyDescent="0.25">
      <c r="A1795" s="170">
        <v>44648</v>
      </c>
      <c r="B1795" s="116">
        <v>736.54423484081497</v>
      </c>
      <c r="C1795" s="116">
        <v>731.80316963062796</v>
      </c>
      <c r="D1795" s="116">
        <v>719.85173441328402</v>
      </c>
      <c r="E1795" s="116">
        <v>725.876838117896</v>
      </c>
      <c r="F1795" s="116">
        <v>740.9</v>
      </c>
      <c r="G1795">
        <v>147442</v>
      </c>
      <c r="H1795" s="116"/>
      <c r="I1795" s="116"/>
      <c r="L1795" s="170">
        <v>44648</v>
      </c>
      <c r="M1795" s="116">
        <v>732.14962224401597</v>
      </c>
      <c r="N1795" s="116">
        <v>737.03885075006394</v>
      </c>
      <c r="O1795" s="116">
        <v>719.21045185427295</v>
      </c>
      <c r="P1795" s="116">
        <v>724.98863099778396</v>
      </c>
      <c r="Q1795" s="116">
        <v>741.25</v>
      </c>
      <c r="R1795">
        <v>1833105</v>
      </c>
    </row>
    <row r="1796" spans="1:18" x14ac:dyDescent="0.25">
      <c r="A1796" s="170">
        <v>44649</v>
      </c>
      <c r="B1796" s="116">
        <v>737.82827333524006</v>
      </c>
      <c r="C1796" s="116">
        <v>734.12431613978197</v>
      </c>
      <c r="D1796" s="116">
        <v>726.96333222856299</v>
      </c>
      <c r="E1796" s="116">
        <v>733.877385660085</v>
      </c>
      <c r="F1796" s="116">
        <v>743.25</v>
      </c>
      <c r="G1796">
        <v>48127</v>
      </c>
      <c r="H1796" s="116"/>
      <c r="I1796" s="116"/>
      <c r="L1796" s="170">
        <v>44649</v>
      </c>
      <c r="M1796" s="116">
        <v>734.07568195852002</v>
      </c>
      <c r="N1796" s="116">
        <v>738.56982129236098</v>
      </c>
      <c r="O1796" s="116">
        <v>726.56898768660801</v>
      </c>
      <c r="P1796" s="116">
        <v>732.89041444190195</v>
      </c>
      <c r="Q1796" s="116">
        <v>743.2</v>
      </c>
      <c r="R1796">
        <v>985708</v>
      </c>
    </row>
    <row r="1797" spans="1:18" x14ac:dyDescent="0.25">
      <c r="A1797" s="170">
        <v>44650</v>
      </c>
      <c r="B1797" s="116">
        <v>772.89240145224301</v>
      </c>
      <c r="C1797" s="116">
        <v>756.54560369628803</v>
      </c>
      <c r="D1797" s="116">
        <v>740.643280803788</v>
      </c>
      <c r="E1797" s="116">
        <v>741.779161010395</v>
      </c>
      <c r="F1797" s="116">
        <v>765.95</v>
      </c>
      <c r="G1797">
        <v>435283</v>
      </c>
      <c r="H1797" s="116"/>
      <c r="I1797" s="116"/>
      <c r="L1797" s="170">
        <v>44650</v>
      </c>
      <c r="M1797" s="116">
        <v>756.44760633467695</v>
      </c>
      <c r="N1797" s="116">
        <v>773.14012386037598</v>
      </c>
      <c r="O1797" s="116">
        <v>739.80447495550504</v>
      </c>
      <c r="P1797" s="116">
        <v>740.79219788601904</v>
      </c>
      <c r="Q1797" s="116">
        <v>765.85</v>
      </c>
      <c r="R1797">
        <v>8328100</v>
      </c>
    </row>
    <row r="1798" spans="1:18" x14ac:dyDescent="0.25">
      <c r="A1798" s="170">
        <v>44651</v>
      </c>
      <c r="B1798" s="116">
        <v>770.42309665527102</v>
      </c>
      <c r="C1798" s="116">
        <v>767.70686137860196</v>
      </c>
      <c r="D1798" s="116">
        <v>756.59498979222701</v>
      </c>
      <c r="E1798" s="116">
        <v>759.95324431610902</v>
      </c>
      <c r="F1798" s="116">
        <v>777.25</v>
      </c>
      <c r="G1798">
        <v>184932</v>
      </c>
      <c r="H1798" s="116"/>
      <c r="I1798" s="116"/>
      <c r="L1798" s="170">
        <v>44651</v>
      </c>
      <c r="M1798" s="116">
        <v>767.85580618212202</v>
      </c>
      <c r="N1798" s="116">
        <v>770.42388580145996</v>
      </c>
      <c r="O1798" s="116">
        <v>756.49699248120305</v>
      </c>
      <c r="P1798" s="116">
        <v>758.52182448875806</v>
      </c>
      <c r="Q1798" s="116">
        <v>777.4</v>
      </c>
      <c r="R1798">
        <v>2892133</v>
      </c>
    </row>
    <row r="1799" spans="1:18" x14ac:dyDescent="0.25">
      <c r="A1799" s="170">
        <v>44652</v>
      </c>
      <c r="B1799" s="116">
        <v>782.76962064013105</v>
      </c>
      <c r="C1799" s="116">
        <v>779.90522707564298</v>
      </c>
      <c r="D1799" s="116">
        <v>767.70686137860196</v>
      </c>
      <c r="E1799" s="116">
        <v>767.70686137860196</v>
      </c>
      <c r="F1799" s="116">
        <v>789.6</v>
      </c>
      <c r="G1799">
        <v>79863</v>
      </c>
      <c r="H1799" s="116"/>
      <c r="I1799" s="116"/>
      <c r="L1799" s="170">
        <v>44652</v>
      </c>
      <c r="M1799" s="116">
        <v>780.10357052050404</v>
      </c>
      <c r="N1799" s="116">
        <v>782.77042243289395</v>
      </c>
      <c r="O1799" s="116">
        <v>769.43616287094596</v>
      </c>
      <c r="P1799" s="116">
        <v>770.37449965493499</v>
      </c>
      <c r="Q1799" s="116">
        <v>789.8</v>
      </c>
      <c r="R1799">
        <v>3082307</v>
      </c>
    </row>
    <row r="1800" spans="1:18" x14ac:dyDescent="0.25">
      <c r="A1800" s="170">
        <v>44655</v>
      </c>
      <c r="B1800" s="116">
        <v>785.584628108679</v>
      </c>
      <c r="C1800" s="116">
        <v>778.37425810152104</v>
      </c>
      <c r="D1800" s="116">
        <v>772.05283782127196</v>
      </c>
      <c r="E1800" s="116">
        <v>785.14015324522404</v>
      </c>
      <c r="F1800" s="116">
        <v>788.05</v>
      </c>
      <c r="G1800">
        <v>81460</v>
      </c>
      <c r="H1800" s="116"/>
      <c r="I1800" s="116"/>
      <c r="L1800" s="170">
        <v>44655</v>
      </c>
      <c r="M1800" s="116">
        <v>778.42444153862903</v>
      </c>
      <c r="N1800" s="116">
        <v>785.23972975918105</v>
      </c>
      <c r="O1800" s="116">
        <v>772.15240092986096</v>
      </c>
      <c r="P1800" s="116">
        <v>782.27656096763599</v>
      </c>
      <c r="Q1800" s="116">
        <v>788.1</v>
      </c>
      <c r="R1800">
        <v>1565651</v>
      </c>
    </row>
    <row r="1801" spans="1:18" x14ac:dyDescent="0.25">
      <c r="A1801" s="170">
        <v>44656</v>
      </c>
      <c r="B1801" s="116">
        <v>800.05475421893505</v>
      </c>
      <c r="C1801" s="116">
        <v>796.49895531129505</v>
      </c>
      <c r="D1801" s="116">
        <v>779.31259392437005</v>
      </c>
      <c r="E1801" s="116">
        <v>781.28803776194798</v>
      </c>
      <c r="F1801" s="116">
        <v>806.4</v>
      </c>
      <c r="G1801">
        <v>97678</v>
      </c>
      <c r="H1801" s="116"/>
      <c r="I1801" s="116"/>
      <c r="L1801" s="170">
        <v>44656</v>
      </c>
      <c r="M1801" s="116">
        <v>796.74670189967696</v>
      </c>
      <c r="N1801" s="116">
        <v>800.05557371690099</v>
      </c>
      <c r="O1801" s="116">
        <v>778.52321383168101</v>
      </c>
      <c r="P1801" s="116">
        <v>781.28883803712199</v>
      </c>
      <c r="Q1801" s="116">
        <v>806.65</v>
      </c>
      <c r="R1801">
        <v>2912280</v>
      </c>
    </row>
    <row r="1802" spans="1:18" x14ac:dyDescent="0.25">
      <c r="A1802" s="170">
        <v>44657</v>
      </c>
      <c r="B1802" s="116">
        <v>802.67221730372501</v>
      </c>
      <c r="C1802" s="116">
        <v>799.90659593111695</v>
      </c>
      <c r="D1802" s="116">
        <v>787.70823023407502</v>
      </c>
      <c r="E1802" s="116">
        <v>799.06703230014602</v>
      </c>
      <c r="F1802" s="116">
        <v>809.85</v>
      </c>
      <c r="G1802">
        <v>153256</v>
      </c>
      <c r="H1802" s="116"/>
      <c r="I1802" s="116"/>
      <c r="L1802" s="170">
        <v>44657</v>
      </c>
      <c r="M1802" s="116">
        <v>799.31478151901501</v>
      </c>
      <c r="N1802" s="116">
        <v>802.52488104318797</v>
      </c>
      <c r="O1802" s="116">
        <v>787.26456176673605</v>
      </c>
      <c r="P1802" s="116">
        <v>800.50004903563297</v>
      </c>
      <c r="Q1802" s="116">
        <v>809.25</v>
      </c>
      <c r="R1802">
        <v>2004175</v>
      </c>
    </row>
    <row r="1803" spans="1:18" x14ac:dyDescent="0.25">
      <c r="A1803" s="170">
        <v>44658</v>
      </c>
      <c r="B1803" s="116">
        <v>808.25284614488203</v>
      </c>
      <c r="C1803" s="116">
        <v>794.770441953415</v>
      </c>
      <c r="D1803" s="116">
        <v>792.00482058080604</v>
      </c>
      <c r="E1803" s="116">
        <v>801.04247613772395</v>
      </c>
      <c r="F1803" s="116">
        <v>804.65</v>
      </c>
      <c r="G1803">
        <v>127888</v>
      </c>
      <c r="H1803" s="116"/>
      <c r="I1803" s="116"/>
      <c r="L1803" s="170">
        <v>44658</v>
      </c>
      <c r="M1803" s="116">
        <v>795.01818677127596</v>
      </c>
      <c r="N1803" s="116">
        <v>808.253674040173</v>
      </c>
      <c r="O1803" s="116">
        <v>792.20317641930899</v>
      </c>
      <c r="P1803" s="116">
        <v>799.06785078638597</v>
      </c>
      <c r="Q1803" s="116">
        <v>804.9</v>
      </c>
      <c r="R1803">
        <v>1965237</v>
      </c>
    </row>
    <row r="1804" spans="1:18" x14ac:dyDescent="0.25">
      <c r="A1804" s="170">
        <v>44659</v>
      </c>
      <c r="B1804" s="116">
        <v>809.88258731088399</v>
      </c>
      <c r="C1804" s="116">
        <v>807.41328251391201</v>
      </c>
      <c r="D1804" s="116">
        <v>794.62228366559702</v>
      </c>
      <c r="E1804" s="116">
        <v>798.079310381357</v>
      </c>
      <c r="F1804" s="116">
        <v>817.45</v>
      </c>
      <c r="G1804">
        <v>68243</v>
      </c>
      <c r="H1804" s="116"/>
      <c r="I1804" s="116"/>
      <c r="L1804" s="170">
        <v>44659</v>
      </c>
      <c r="M1804" s="116">
        <v>807.66104028186396</v>
      </c>
      <c r="N1804" s="116">
        <v>809.78464458247095</v>
      </c>
      <c r="O1804" s="116">
        <v>794.12923613381304</v>
      </c>
      <c r="P1804" s="116">
        <v>800.54943518215805</v>
      </c>
      <c r="Q1804" s="116">
        <v>817.7</v>
      </c>
      <c r="R1804">
        <v>1406219</v>
      </c>
    </row>
    <row r="1805" spans="1:18" x14ac:dyDescent="0.25">
      <c r="A1805" s="170">
        <v>44662</v>
      </c>
      <c r="B1805" s="116">
        <v>813.48777231446297</v>
      </c>
      <c r="C1805" s="116">
        <v>811.41355628500605</v>
      </c>
      <c r="D1805" s="116">
        <v>800.05475421893505</v>
      </c>
      <c r="E1805" s="116">
        <v>807.95652956924596</v>
      </c>
      <c r="F1805" s="116">
        <v>821.5</v>
      </c>
      <c r="G1805">
        <v>57721</v>
      </c>
      <c r="H1805" s="116"/>
      <c r="I1805" s="116"/>
      <c r="L1805" s="170">
        <v>44662</v>
      </c>
      <c r="M1805" s="116">
        <v>811.41438741781997</v>
      </c>
      <c r="N1805" s="116">
        <v>813.88369474410695</v>
      </c>
      <c r="O1805" s="116">
        <v>799.56171225164405</v>
      </c>
      <c r="P1805" s="116">
        <v>807.66104028186396</v>
      </c>
      <c r="Q1805" s="116">
        <v>821.5</v>
      </c>
      <c r="R1805">
        <v>1231236</v>
      </c>
    </row>
    <row r="1806" spans="1:18" x14ac:dyDescent="0.25">
      <c r="A1806" s="170">
        <v>44663</v>
      </c>
      <c r="B1806" s="116">
        <v>811.90741724440102</v>
      </c>
      <c r="C1806" s="116">
        <v>802.67221730372501</v>
      </c>
      <c r="D1806" s="116">
        <v>792.449295444261</v>
      </c>
      <c r="E1806" s="116">
        <v>811.90741724440102</v>
      </c>
      <c r="F1806" s="116">
        <v>812.65</v>
      </c>
      <c r="G1806">
        <v>93893</v>
      </c>
      <c r="H1806" s="116"/>
      <c r="I1806" s="116"/>
      <c r="L1806" s="170">
        <v>44663</v>
      </c>
      <c r="M1806" s="116">
        <v>802.12979187098199</v>
      </c>
      <c r="N1806" s="116">
        <v>812.74781337401498</v>
      </c>
      <c r="O1806" s="116">
        <v>792.69703788456695</v>
      </c>
      <c r="P1806" s="116">
        <v>811.41438741781997</v>
      </c>
      <c r="Q1806" s="116">
        <v>812.1</v>
      </c>
      <c r="R1806">
        <v>1193490</v>
      </c>
    </row>
    <row r="1807" spans="1:18" x14ac:dyDescent="0.25">
      <c r="A1807" s="170">
        <v>44664</v>
      </c>
      <c r="B1807" s="116">
        <v>813.33961402664499</v>
      </c>
      <c r="C1807" s="116">
        <v>807.75898518548797</v>
      </c>
      <c r="D1807" s="116">
        <v>801.38817880930003</v>
      </c>
      <c r="E1807" s="116">
        <v>802.03019805651297</v>
      </c>
      <c r="F1807" s="116">
        <v>817.8</v>
      </c>
      <c r="G1807">
        <v>79602</v>
      </c>
      <c r="H1807" s="116"/>
      <c r="I1807" s="116"/>
      <c r="L1807" s="170">
        <v>44664</v>
      </c>
      <c r="M1807" s="116">
        <v>807.56226798881301</v>
      </c>
      <c r="N1807" s="116">
        <v>813.38983327884898</v>
      </c>
      <c r="O1807" s="116">
        <v>801.09268279394098</v>
      </c>
      <c r="P1807" s="116">
        <v>802.12979187098199</v>
      </c>
      <c r="Q1807" s="116">
        <v>817.6</v>
      </c>
      <c r="R1807">
        <v>1036739</v>
      </c>
    </row>
    <row r="1808" spans="1:18" x14ac:dyDescent="0.25">
      <c r="A1808" s="170">
        <v>44669</v>
      </c>
      <c r="B1808" s="116">
        <v>814.42610813731199</v>
      </c>
      <c r="C1808" s="116">
        <v>812.055575532219</v>
      </c>
      <c r="D1808" s="116">
        <v>799.06703230014602</v>
      </c>
      <c r="E1808" s="116">
        <v>803.01791997530199</v>
      </c>
      <c r="F1808" s="116">
        <v>822.15</v>
      </c>
      <c r="G1808">
        <v>127976</v>
      </c>
      <c r="H1808" s="116"/>
      <c r="I1808" s="116"/>
      <c r="L1808" s="170">
        <v>44669</v>
      </c>
      <c r="M1808" s="116">
        <v>812.20456576223205</v>
      </c>
      <c r="N1808" s="116">
        <v>814.77264538156999</v>
      </c>
      <c r="O1808" s="116">
        <v>799.06785078638597</v>
      </c>
      <c r="P1808" s="116">
        <v>806.179455886092</v>
      </c>
      <c r="Q1808" s="116">
        <v>822.3</v>
      </c>
      <c r="R1808">
        <v>1480954</v>
      </c>
    </row>
    <row r="1809" spans="1:18" x14ac:dyDescent="0.25">
      <c r="A1809" s="170">
        <v>44670</v>
      </c>
      <c r="B1809" s="116">
        <v>826.27877116277796</v>
      </c>
      <c r="C1809" s="116">
        <v>782.52269016043397</v>
      </c>
      <c r="D1809" s="116">
        <v>775.50986453703297</v>
      </c>
      <c r="E1809" s="116">
        <v>812.45066429973497</v>
      </c>
      <c r="F1809" s="116">
        <v>792.25</v>
      </c>
      <c r="G1809">
        <v>84523</v>
      </c>
      <c r="H1809" s="116"/>
      <c r="I1809" s="116"/>
      <c r="L1809" s="170">
        <v>44670</v>
      </c>
      <c r="M1809" s="116">
        <v>781.63454106280199</v>
      </c>
      <c r="N1809" s="116">
        <v>826.57593440122002</v>
      </c>
      <c r="O1809" s="116">
        <v>775.21434201445595</v>
      </c>
      <c r="P1809" s="116">
        <v>814.87141767462094</v>
      </c>
      <c r="Q1809" s="116">
        <v>791.35</v>
      </c>
      <c r="R1809">
        <v>2460482</v>
      </c>
    </row>
    <row r="1810" spans="1:18" x14ac:dyDescent="0.25">
      <c r="A1810" s="170">
        <v>44671</v>
      </c>
      <c r="B1810" s="116">
        <v>803.01791997530199</v>
      </c>
      <c r="C1810" s="116">
        <v>800.74615956208697</v>
      </c>
      <c r="D1810" s="116">
        <v>782.86839283201004</v>
      </c>
      <c r="E1810" s="116">
        <v>790.27630722292599</v>
      </c>
      <c r="F1810" s="116">
        <v>810.7</v>
      </c>
      <c r="G1810">
        <v>106500</v>
      </c>
      <c r="H1810" s="116"/>
      <c r="I1810" s="116"/>
      <c r="L1810" s="170">
        <v>44671</v>
      </c>
      <c r="M1810" s="116">
        <v>800.50004903563297</v>
      </c>
      <c r="N1810" s="116">
        <v>803.463217827177</v>
      </c>
      <c r="O1810" s="116">
        <v>782.37533326068797</v>
      </c>
      <c r="P1810" s="116">
        <v>790.17834441175398</v>
      </c>
      <c r="Q1810" s="116">
        <v>810.45</v>
      </c>
      <c r="R1810">
        <v>1522453</v>
      </c>
    </row>
    <row r="1811" spans="1:18" x14ac:dyDescent="0.25">
      <c r="A1811" s="170">
        <v>44672</v>
      </c>
      <c r="B1811" s="116">
        <v>811.66048676470405</v>
      </c>
      <c r="C1811" s="116">
        <v>809.93197340682298</v>
      </c>
      <c r="D1811" s="116">
        <v>794.47412537777802</v>
      </c>
      <c r="E1811" s="116">
        <v>798.079310381357</v>
      </c>
      <c r="F1811" s="116">
        <v>820</v>
      </c>
      <c r="G1811">
        <v>113189</v>
      </c>
      <c r="H1811" s="116"/>
      <c r="I1811" s="116"/>
      <c r="L1811" s="170">
        <v>44672</v>
      </c>
      <c r="M1811" s="116">
        <v>809.982189168574</v>
      </c>
      <c r="N1811" s="116">
        <v>811.90824888307702</v>
      </c>
      <c r="O1811" s="116">
        <v>794.37616686644196</v>
      </c>
      <c r="P1811" s="116">
        <v>802.03101957793001</v>
      </c>
      <c r="Q1811" s="116">
        <v>820.05</v>
      </c>
      <c r="R1811">
        <v>1344250</v>
      </c>
    </row>
    <row r="1812" spans="1:18" x14ac:dyDescent="0.25">
      <c r="A1812" s="170">
        <v>44673</v>
      </c>
      <c r="B1812" s="116">
        <v>811.06785361342997</v>
      </c>
      <c r="C1812" s="116">
        <v>806.12924401948601</v>
      </c>
      <c r="D1812" s="116">
        <v>793.88149222650497</v>
      </c>
      <c r="E1812" s="116">
        <v>810.919695325612</v>
      </c>
      <c r="F1812" s="116">
        <v>816.15</v>
      </c>
      <c r="G1812">
        <v>93247</v>
      </c>
      <c r="H1812" s="116"/>
      <c r="I1812" s="116"/>
      <c r="L1812" s="170">
        <v>44673</v>
      </c>
      <c r="M1812" s="116">
        <v>805.58682212778297</v>
      </c>
      <c r="N1812" s="116">
        <v>811.51315971087104</v>
      </c>
      <c r="O1812" s="116">
        <v>793.24028549635</v>
      </c>
      <c r="P1812" s="116">
        <v>807.95735716101899</v>
      </c>
      <c r="Q1812" s="116">
        <v>815.6</v>
      </c>
      <c r="R1812">
        <v>1880668</v>
      </c>
    </row>
    <row r="1813" spans="1:18" x14ac:dyDescent="0.25">
      <c r="A1813" s="170">
        <v>44676</v>
      </c>
      <c r="B1813" s="116">
        <v>798.326240861055</v>
      </c>
      <c r="C1813" s="116">
        <v>783.46102598328298</v>
      </c>
      <c r="D1813" s="116">
        <v>779.60891050000703</v>
      </c>
      <c r="E1813" s="116">
        <v>787.21436927468096</v>
      </c>
      <c r="F1813" s="116">
        <v>793.2</v>
      </c>
      <c r="G1813">
        <v>99020</v>
      </c>
      <c r="H1813" s="116"/>
      <c r="I1813" s="116"/>
      <c r="L1813" s="170">
        <v>44676</v>
      </c>
      <c r="M1813" s="116">
        <v>783.01735316552299</v>
      </c>
      <c r="N1813" s="116">
        <v>799.95680142384902</v>
      </c>
      <c r="O1813" s="116">
        <v>779.856639787875</v>
      </c>
      <c r="P1813" s="116">
        <v>792.153790272783</v>
      </c>
      <c r="Q1813" s="116">
        <v>792.75</v>
      </c>
      <c r="R1813">
        <v>1193621</v>
      </c>
    </row>
    <row r="1814" spans="1:18" x14ac:dyDescent="0.25">
      <c r="A1814" s="170">
        <v>44677</v>
      </c>
      <c r="B1814" s="116">
        <v>813.88286108197804</v>
      </c>
      <c r="C1814" s="116">
        <v>811.46294238094595</v>
      </c>
      <c r="D1814" s="116">
        <v>788.39963557722695</v>
      </c>
      <c r="E1814" s="116">
        <v>788.39963557722695</v>
      </c>
      <c r="F1814" s="116">
        <v>821.55</v>
      </c>
      <c r="G1814">
        <v>90155</v>
      </c>
      <c r="H1814" s="116"/>
      <c r="I1814" s="116"/>
      <c r="L1814" s="170">
        <v>44677</v>
      </c>
      <c r="M1814" s="116">
        <v>811.95763502960301</v>
      </c>
      <c r="N1814" s="116">
        <v>814.22939776978706</v>
      </c>
      <c r="O1814" s="116">
        <v>785.23972975918105</v>
      </c>
      <c r="P1814" s="116">
        <v>788.44982928335298</v>
      </c>
      <c r="Q1814" s="116">
        <v>822.05</v>
      </c>
      <c r="R1814">
        <v>1285209</v>
      </c>
    </row>
    <row r="1815" spans="1:18" x14ac:dyDescent="0.25">
      <c r="A1815" s="170">
        <v>44678</v>
      </c>
      <c r="B1815" s="116">
        <v>808.79609320021598</v>
      </c>
      <c r="C1815" s="116">
        <v>789.43674359195495</v>
      </c>
      <c r="D1815" s="116">
        <v>786.52296393152801</v>
      </c>
      <c r="E1815" s="116">
        <v>803.21546435905896</v>
      </c>
      <c r="F1815" s="116">
        <v>799.25</v>
      </c>
      <c r="G1815">
        <v>405939</v>
      </c>
      <c r="H1815" s="116"/>
      <c r="I1815" s="116"/>
      <c r="L1815" s="170">
        <v>44678</v>
      </c>
      <c r="M1815" s="116">
        <v>788.79553230903298</v>
      </c>
      <c r="N1815" s="116">
        <v>807.80919872144102</v>
      </c>
      <c r="O1815" s="116">
        <v>786.52376956884996</v>
      </c>
      <c r="P1815" s="116">
        <v>804.89541607642298</v>
      </c>
      <c r="Q1815" s="116">
        <v>798.6</v>
      </c>
      <c r="R1815">
        <v>1186809</v>
      </c>
    </row>
    <row r="1816" spans="1:18" x14ac:dyDescent="0.25">
      <c r="A1816" s="170">
        <v>44679</v>
      </c>
      <c r="B1816" s="116">
        <v>808.647934912398</v>
      </c>
      <c r="C1816" s="116">
        <v>801.58572319305802</v>
      </c>
      <c r="D1816" s="116">
        <v>789.68367407165294</v>
      </c>
      <c r="E1816" s="116">
        <v>797.09158846256901</v>
      </c>
      <c r="F1816" s="116">
        <v>811.55</v>
      </c>
      <c r="G1816">
        <v>81402</v>
      </c>
      <c r="H1816" s="116"/>
      <c r="I1816" s="116"/>
      <c r="L1816" s="170">
        <v>44679</v>
      </c>
      <c r="M1816" s="116">
        <v>801.68531655225001</v>
      </c>
      <c r="N1816" s="116">
        <v>808.94508009153299</v>
      </c>
      <c r="O1816" s="116">
        <v>789.783255239548</v>
      </c>
      <c r="P1816" s="116">
        <v>800.89513820783895</v>
      </c>
      <c r="Q1816" s="116">
        <v>811.65</v>
      </c>
      <c r="R1816">
        <v>1802590</v>
      </c>
    </row>
    <row r="1817" spans="1:18" x14ac:dyDescent="0.25">
      <c r="A1817" s="170">
        <v>44680</v>
      </c>
      <c r="B1817" s="116">
        <v>825.04411876429197</v>
      </c>
      <c r="C1817" s="116">
        <v>814.08040546573602</v>
      </c>
      <c r="D1817" s="116">
        <v>804.64766114130305</v>
      </c>
      <c r="E1817" s="116">
        <v>807.95652956924596</v>
      </c>
      <c r="F1817" s="116">
        <v>824.2</v>
      </c>
      <c r="G1817">
        <v>146226</v>
      </c>
      <c r="H1817" s="116"/>
      <c r="I1817" s="116"/>
      <c r="L1817" s="170">
        <v>44680</v>
      </c>
      <c r="M1817" s="116">
        <v>813.63676401147802</v>
      </c>
      <c r="N1817" s="116">
        <v>824.99557771239699</v>
      </c>
      <c r="O1817" s="116">
        <v>803.01874250844503</v>
      </c>
      <c r="P1817" s="116">
        <v>804.99418836947405</v>
      </c>
      <c r="Q1817" s="116">
        <v>823.75</v>
      </c>
      <c r="R1817">
        <v>2268921</v>
      </c>
    </row>
    <row r="1818" spans="1:18" x14ac:dyDescent="0.25">
      <c r="A1818" s="170">
        <v>44683</v>
      </c>
      <c r="B1818" s="116">
        <v>818.08067923683097</v>
      </c>
      <c r="C1818" s="116">
        <v>814.27794984949401</v>
      </c>
      <c r="D1818" s="116">
        <v>799.95598202705605</v>
      </c>
      <c r="E1818" s="116">
        <v>813.88286108197804</v>
      </c>
      <c r="F1818" s="116">
        <v>824.4</v>
      </c>
      <c r="G1818">
        <v>85464</v>
      </c>
      <c r="H1818" s="116"/>
      <c r="I1818" s="116"/>
      <c r="L1818" s="170">
        <v>44683</v>
      </c>
      <c r="M1818" s="116">
        <v>814.27878391631202</v>
      </c>
      <c r="N1818" s="116">
        <v>818.476606371</v>
      </c>
      <c r="O1818" s="116">
        <v>800.05557371690099</v>
      </c>
      <c r="P1818" s="116">
        <v>813.19228869274605</v>
      </c>
      <c r="Q1818" s="116">
        <v>824.4</v>
      </c>
      <c r="R1818">
        <v>1439813</v>
      </c>
    </row>
    <row r="1819" spans="1:18" x14ac:dyDescent="0.25">
      <c r="A1819" s="170">
        <v>44685</v>
      </c>
      <c r="B1819" s="116">
        <v>821.73525033634996</v>
      </c>
      <c r="C1819" s="116">
        <v>794.02965051432295</v>
      </c>
      <c r="D1819" s="116">
        <v>790.91832647013905</v>
      </c>
      <c r="E1819" s="116">
        <v>816.84602683834498</v>
      </c>
      <c r="F1819" s="116">
        <v>803.9</v>
      </c>
      <c r="G1819">
        <v>888402</v>
      </c>
      <c r="H1819" s="116"/>
      <c r="I1819" s="116"/>
      <c r="L1819" s="170">
        <v>44685</v>
      </c>
      <c r="M1819" s="116">
        <v>793.43783008245202</v>
      </c>
      <c r="N1819" s="116">
        <v>821.78547818822403</v>
      </c>
      <c r="O1819" s="116">
        <v>790.96852275616595</v>
      </c>
      <c r="P1819" s="116">
        <v>814.27878391631202</v>
      </c>
      <c r="Q1819" s="116">
        <v>803.3</v>
      </c>
      <c r="R1819">
        <v>1817504</v>
      </c>
    </row>
    <row r="1820" spans="1:18" x14ac:dyDescent="0.25">
      <c r="A1820" s="170">
        <v>44686</v>
      </c>
      <c r="B1820" s="116">
        <v>801.93142586463398</v>
      </c>
      <c r="C1820" s="116">
        <v>766.52159507605495</v>
      </c>
      <c r="D1820" s="116">
        <v>763.06456836029395</v>
      </c>
      <c r="E1820" s="116">
        <v>799.06703230014602</v>
      </c>
      <c r="F1820" s="116">
        <v>776.05</v>
      </c>
      <c r="G1820">
        <v>266006</v>
      </c>
      <c r="H1820" s="116"/>
      <c r="I1820" s="116"/>
      <c r="L1820" s="170">
        <v>44686</v>
      </c>
      <c r="M1820" s="116">
        <v>766.81869710508204</v>
      </c>
      <c r="N1820" s="116">
        <v>802.03101957793001</v>
      </c>
      <c r="O1820" s="116">
        <v>763.01596382260004</v>
      </c>
      <c r="P1820" s="116">
        <v>800.05557371690099</v>
      </c>
      <c r="Q1820" s="116">
        <v>776.35</v>
      </c>
      <c r="R1820">
        <v>5079723</v>
      </c>
    </row>
    <row r="1821" spans="1:18" x14ac:dyDescent="0.25">
      <c r="A1821" s="170">
        <v>44687</v>
      </c>
      <c r="B1821" s="116">
        <v>768.05256405017803</v>
      </c>
      <c r="C1821" s="116">
        <v>755.45910958562001</v>
      </c>
      <c r="D1821" s="116">
        <v>753.73059622773997</v>
      </c>
      <c r="E1821" s="116">
        <v>762.47193520902101</v>
      </c>
      <c r="F1821" s="116">
        <v>764.85</v>
      </c>
      <c r="G1821">
        <v>141802</v>
      </c>
      <c r="H1821" s="116"/>
      <c r="I1821" s="116"/>
      <c r="L1821" s="170">
        <v>44687</v>
      </c>
      <c r="M1821" s="116">
        <v>755.55865569721402</v>
      </c>
      <c r="N1821" s="116">
        <v>768.942301405688</v>
      </c>
      <c r="O1821" s="116">
        <v>753.58320983618501</v>
      </c>
      <c r="P1821" s="116">
        <v>760.54665649631295</v>
      </c>
      <c r="Q1821" s="116">
        <v>764.95</v>
      </c>
      <c r="R1821">
        <v>2003395</v>
      </c>
    </row>
    <row r="1822" spans="1:18" x14ac:dyDescent="0.25">
      <c r="A1822" s="170">
        <v>44690</v>
      </c>
      <c r="B1822" s="116">
        <v>759.113680685139</v>
      </c>
      <c r="C1822" s="116">
        <v>748.84137272973499</v>
      </c>
      <c r="D1822" s="116">
        <v>745.38434601397501</v>
      </c>
      <c r="E1822" s="116">
        <v>754.61954595464999</v>
      </c>
      <c r="F1822" s="116">
        <v>758.15</v>
      </c>
      <c r="G1822">
        <v>126539</v>
      </c>
      <c r="H1822" s="116"/>
      <c r="I1822" s="116"/>
      <c r="L1822" s="170">
        <v>44690</v>
      </c>
      <c r="M1822" s="116">
        <v>748.94091206276596</v>
      </c>
      <c r="N1822" s="116">
        <v>758.57121063528405</v>
      </c>
      <c r="O1822" s="116">
        <v>744.74308960807798</v>
      </c>
      <c r="P1822" s="116">
        <v>753.63259598270997</v>
      </c>
      <c r="Q1822" s="116">
        <v>758.25</v>
      </c>
      <c r="R1822">
        <v>1742459</v>
      </c>
    </row>
    <row r="1823" spans="1:18" x14ac:dyDescent="0.25">
      <c r="A1823" s="170">
        <v>44691</v>
      </c>
      <c r="B1823" s="116">
        <v>762.47193520902101</v>
      </c>
      <c r="C1823" s="116">
        <v>736.49484874487496</v>
      </c>
      <c r="D1823" s="116">
        <v>733.877385660085</v>
      </c>
      <c r="E1823" s="116">
        <v>749.03891711349297</v>
      </c>
      <c r="F1823" s="116">
        <v>745.65</v>
      </c>
      <c r="G1823">
        <v>45378</v>
      </c>
      <c r="H1823" s="116"/>
      <c r="I1823" s="116"/>
      <c r="L1823" s="170">
        <v>44691</v>
      </c>
      <c r="M1823" s="116">
        <v>736.64376157785796</v>
      </c>
      <c r="N1823" s="116">
        <v>762.96657767607405</v>
      </c>
      <c r="O1823" s="116">
        <v>733.92752351894205</v>
      </c>
      <c r="P1823" s="116">
        <v>750.12617957938301</v>
      </c>
      <c r="Q1823" s="116">
        <v>745.8</v>
      </c>
      <c r="R1823">
        <v>1326184</v>
      </c>
    </row>
    <row r="1824" spans="1:18" x14ac:dyDescent="0.25">
      <c r="A1824" s="170">
        <v>44692</v>
      </c>
      <c r="B1824" s="116">
        <v>748.69321444191701</v>
      </c>
      <c r="C1824" s="116">
        <v>734.914493674813</v>
      </c>
      <c r="D1824" s="116">
        <v>728.93877606614103</v>
      </c>
      <c r="E1824" s="116">
        <v>735.85282949766201</v>
      </c>
      <c r="F1824" s="116">
        <v>744.05</v>
      </c>
      <c r="G1824">
        <v>152117</v>
      </c>
      <c r="H1824" s="116"/>
      <c r="I1824" s="116"/>
      <c r="L1824" s="170">
        <v>44692</v>
      </c>
      <c r="M1824" s="116">
        <v>734.96463259598295</v>
      </c>
      <c r="N1824" s="116">
        <v>749.48415967454901</v>
      </c>
      <c r="O1824" s="116">
        <v>728.93952271984301</v>
      </c>
      <c r="P1824" s="116">
        <v>736.64376157785796</v>
      </c>
      <c r="Q1824" s="116">
        <v>744.1</v>
      </c>
      <c r="R1824">
        <v>1287768</v>
      </c>
    </row>
    <row r="1825" spans="1:18" x14ac:dyDescent="0.25">
      <c r="A1825" s="170">
        <v>44693</v>
      </c>
      <c r="B1825" s="116">
        <v>735.65528511390505</v>
      </c>
      <c r="C1825" s="116">
        <v>729.38325092959599</v>
      </c>
      <c r="D1825" s="116">
        <v>719.11094297419197</v>
      </c>
      <c r="E1825" s="116">
        <v>734.914493674813</v>
      </c>
      <c r="F1825" s="116">
        <v>738.45</v>
      </c>
      <c r="G1825">
        <v>183654</v>
      </c>
      <c r="H1825" s="116"/>
      <c r="I1825" s="116"/>
      <c r="L1825" s="170">
        <v>44693</v>
      </c>
      <c r="M1825" s="116">
        <v>728.988908866369</v>
      </c>
      <c r="N1825" s="116">
        <v>738.81675202499002</v>
      </c>
      <c r="O1825" s="116">
        <v>719.062293414696</v>
      </c>
      <c r="P1825" s="116">
        <v>732.89041444190195</v>
      </c>
      <c r="Q1825" s="116">
        <v>738.05</v>
      </c>
      <c r="R1825">
        <v>1488552</v>
      </c>
    </row>
    <row r="1826" spans="1:18" x14ac:dyDescent="0.25">
      <c r="A1826" s="170">
        <v>44694</v>
      </c>
      <c r="B1826" s="116">
        <v>751.45883581452597</v>
      </c>
      <c r="C1826" s="116">
        <v>728.84000387426204</v>
      </c>
      <c r="D1826" s="116">
        <v>726.07438250165296</v>
      </c>
      <c r="E1826" s="116">
        <v>738.51967867839198</v>
      </c>
      <c r="F1826" s="116">
        <v>737.9</v>
      </c>
      <c r="G1826">
        <v>112912</v>
      </c>
      <c r="H1826" s="116"/>
      <c r="I1826" s="116"/>
      <c r="L1826" s="170">
        <v>44694</v>
      </c>
      <c r="M1826" s="116">
        <v>728.54443354763703</v>
      </c>
      <c r="N1826" s="116">
        <v>751.90408085431</v>
      </c>
      <c r="O1826" s="116">
        <v>726.02574007482497</v>
      </c>
      <c r="P1826" s="116">
        <v>737.829029094475</v>
      </c>
      <c r="Q1826" s="116">
        <v>737.6</v>
      </c>
      <c r="R1826">
        <v>1481400</v>
      </c>
    </row>
    <row r="1827" spans="1:18" x14ac:dyDescent="0.25">
      <c r="A1827" s="170">
        <v>44697</v>
      </c>
      <c r="B1827" s="116">
        <v>734.81572148293401</v>
      </c>
      <c r="C1827" s="116">
        <v>725.728679830077</v>
      </c>
      <c r="D1827" s="116">
        <v>721.08638681177001</v>
      </c>
      <c r="E1827" s="116">
        <v>726.07438250165296</v>
      </c>
      <c r="F1827" s="116">
        <v>734.75</v>
      </c>
      <c r="G1827">
        <v>54260</v>
      </c>
      <c r="H1827" s="116"/>
      <c r="I1827" s="116"/>
      <c r="L1827" s="170">
        <v>44697</v>
      </c>
      <c r="M1827" s="116">
        <v>726.47021539355603</v>
      </c>
      <c r="N1827" s="116">
        <v>735.31033562166294</v>
      </c>
      <c r="O1827" s="116">
        <v>721.03773927572604</v>
      </c>
      <c r="P1827" s="116">
        <v>729.92724565035803</v>
      </c>
      <c r="Q1827" s="116">
        <v>735.5</v>
      </c>
      <c r="R1827">
        <v>829085</v>
      </c>
    </row>
    <row r="1828" spans="1:18" x14ac:dyDescent="0.25">
      <c r="A1828" s="170">
        <v>44698</v>
      </c>
      <c r="B1828" s="116">
        <v>733.877385660085</v>
      </c>
      <c r="C1828" s="116">
        <v>725.53113544631901</v>
      </c>
      <c r="D1828" s="116">
        <v>712.93768098176201</v>
      </c>
      <c r="E1828" s="116">
        <v>733.877385660085</v>
      </c>
      <c r="F1828" s="116">
        <v>734.55</v>
      </c>
      <c r="G1828">
        <v>138860</v>
      </c>
      <c r="H1828" s="116"/>
      <c r="I1828" s="116"/>
      <c r="L1828" s="170">
        <v>44698</v>
      </c>
      <c r="M1828" s="116">
        <v>725.235561730413</v>
      </c>
      <c r="N1828" s="116">
        <v>733.63120663978805</v>
      </c>
      <c r="O1828" s="116">
        <v>712.19761904761901</v>
      </c>
      <c r="P1828" s="116">
        <v>727.95179978932799</v>
      </c>
      <c r="Q1828" s="116">
        <v>734.25</v>
      </c>
      <c r="R1828">
        <v>2536701</v>
      </c>
    </row>
    <row r="1829" spans="1:18" x14ac:dyDescent="0.25">
      <c r="A1829" s="170">
        <v>44699</v>
      </c>
      <c r="B1829" s="116">
        <v>748.69321444191701</v>
      </c>
      <c r="C1829" s="116">
        <v>745.38434601397501</v>
      </c>
      <c r="D1829" s="116">
        <v>724.88911619910698</v>
      </c>
      <c r="E1829" s="116">
        <v>730.61790332808198</v>
      </c>
      <c r="F1829" s="116">
        <v>754.65</v>
      </c>
      <c r="G1829">
        <v>111319</v>
      </c>
      <c r="H1829" s="116"/>
      <c r="I1829" s="116"/>
      <c r="L1829" s="170">
        <v>44699</v>
      </c>
      <c r="M1829" s="116">
        <v>745.03940648723301</v>
      </c>
      <c r="N1829" s="116">
        <v>748.59520903708506</v>
      </c>
      <c r="O1829" s="116">
        <v>724.79108641168102</v>
      </c>
      <c r="P1829" s="116">
        <v>727.80364134975105</v>
      </c>
      <c r="Q1829" s="116">
        <v>754.3</v>
      </c>
      <c r="R1829">
        <v>2750146</v>
      </c>
    </row>
    <row r="1830" spans="1:18" x14ac:dyDescent="0.25">
      <c r="A1830" s="170">
        <v>44700</v>
      </c>
      <c r="B1830" s="116">
        <v>736.34669045705698</v>
      </c>
      <c r="C1830" s="116">
        <v>711.70302858327602</v>
      </c>
      <c r="D1830" s="116">
        <v>710.17205960915396</v>
      </c>
      <c r="E1830" s="116">
        <v>731.90194182250696</v>
      </c>
      <c r="F1830" s="116">
        <v>720.55</v>
      </c>
      <c r="G1830">
        <v>123075</v>
      </c>
      <c r="H1830" s="116"/>
      <c r="I1830" s="116"/>
      <c r="L1830" s="170">
        <v>44700</v>
      </c>
      <c r="M1830" s="116">
        <v>712.44454978024805</v>
      </c>
      <c r="N1830" s="116">
        <v>737.28578148269196</v>
      </c>
      <c r="O1830" s="116">
        <v>709.82708401438401</v>
      </c>
      <c r="P1830" s="116">
        <v>735.85358323344599</v>
      </c>
      <c r="Q1830" s="116">
        <v>721.3</v>
      </c>
      <c r="R1830">
        <v>1504820</v>
      </c>
    </row>
    <row r="1831" spans="1:18" x14ac:dyDescent="0.25">
      <c r="A1831" s="170">
        <v>44701</v>
      </c>
      <c r="B1831" s="116">
        <v>733.58106908444802</v>
      </c>
      <c r="C1831" s="116">
        <v>730.17342846462702</v>
      </c>
      <c r="D1831" s="116">
        <v>722.81490016964995</v>
      </c>
      <c r="E1831" s="116">
        <v>725.876838117896</v>
      </c>
      <c r="F1831" s="116">
        <v>739.25</v>
      </c>
      <c r="G1831">
        <v>42699</v>
      </c>
      <c r="H1831" s="116"/>
      <c r="I1831" s="116"/>
      <c r="L1831" s="170">
        <v>44701</v>
      </c>
      <c r="M1831" s="116">
        <v>730.51987940866695</v>
      </c>
      <c r="N1831" s="116">
        <v>733.63120663978805</v>
      </c>
      <c r="O1831" s="116">
        <v>722.42055137844602</v>
      </c>
      <c r="P1831" s="116">
        <v>725.97635392829898</v>
      </c>
      <c r="Q1831" s="116">
        <v>739.6</v>
      </c>
      <c r="R1831">
        <v>1205301</v>
      </c>
    </row>
    <row r="1832" spans="1:18" x14ac:dyDescent="0.25">
      <c r="A1832" s="170">
        <v>44704</v>
      </c>
      <c r="B1832" s="116">
        <v>743.35951608045798</v>
      </c>
      <c r="C1832" s="116">
        <v>721.08638681177001</v>
      </c>
      <c r="D1832" s="116">
        <v>719.35787345388906</v>
      </c>
      <c r="E1832" s="116">
        <v>743.35951608045798</v>
      </c>
      <c r="F1832" s="116">
        <v>730.05</v>
      </c>
      <c r="G1832">
        <v>45155</v>
      </c>
      <c r="H1832" s="116"/>
      <c r="I1832" s="116"/>
      <c r="L1832" s="170">
        <v>44704</v>
      </c>
      <c r="M1832" s="116">
        <v>720.74142239657101</v>
      </c>
      <c r="N1832" s="116">
        <v>739.557544222876</v>
      </c>
      <c r="O1832" s="116">
        <v>719.11167956122199</v>
      </c>
      <c r="P1832" s="116">
        <v>735.85358323344599</v>
      </c>
      <c r="Q1832" s="116">
        <v>729.7</v>
      </c>
      <c r="R1832">
        <v>970827</v>
      </c>
    </row>
    <row r="1833" spans="1:18" x14ac:dyDescent="0.25">
      <c r="A1833" s="170">
        <v>44705</v>
      </c>
      <c r="B1833" s="116">
        <v>728.79061777832305</v>
      </c>
      <c r="C1833" s="116">
        <v>706.76441898933194</v>
      </c>
      <c r="D1833" s="116">
        <v>701.48010672381201</v>
      </c>
      <c r="E1833" s="116">
        <v>721.08638681177001</v>
      </c>
      <c r="F1833" s="116">
        <v>715.55</v>
      </c>
      <c r="G1833">
        <v>63770</v>
      </c>
      <c r="H1833" s="116"/>
      <c r="I1833" s="116"/>
      <c r="L1833" s="170">
        <v>44705</v>
      </c>
      <c r="M1833" s="116">
        <v>706.37005375758201</v>
      </c>
      <c r="N1833" s="116">
        <v>728.93952271984301</v>
      </c>
      <c r="O1833" s="116">
        <v>701.28328066543202</v>
      </c>
      <c r="P1833" s="116">
        <v>725.97635392829898</v>
      </c>
      <c r="Q1833" s="116">
        <v>715.15</v>
      </c>
      <c r="R1833">
        <v>1513724</v>
      </c>
    </row>
    <row r="1834" spans="1:18" x14ac:dyDescent="0.25">
      <c r="A1834" s="170">
        <v>44706</v>
      </c>
      <c r="B1834" s="116">
        <v>715.308213586855</v>
      </c>
      <c r="C1834" s="116">
        <v>706.81380508527195</v>
      </c>
      <c r="D1834" s="116">
        <v>701.28256234005403</v>
      </c>
      <c r="E1834" s="116">
        <v>706.22117193399799</v>
      </c>
      <c r="F1834" s="116">
        <v>715.6</v>
      </c>
      <c r="G1834">
        <v>56103</v>
      </c>
      <c r="H1834" s="116"/>
      <c r="I1834" s="116"/>
      <c r="L1834" s="170">
        <v>44706</v>
      </c>
      <c r="M1834" s="116">
        <v>707.40716283462302</v>
      </c>
      <c r="N1834" s="116">
        <v>715.06201554611198</v>
      </c>
      <c r="O1834" s="116">
        <v>701.33266681195698</v>
      </c>
      <c r="P1834" s="116">
        <v>710.864193091424</v>
      </c>
      <c r="Q1834" s="116">
        <v>716.2</v>
      </c>
      <c r="R1834">
        <v>822598</v>
      </c>
    </row>
    <row r="1835" spans="1:18" x14ac:dyDescent="0.25">
      <c r="A1835" s="170">
        <v>44707</v>
      </c>
      <c r="B1835" s="116">
        <v>715.11066920309804</v>
      </c>
      <c r="C1835" s="116">
        <v>713.43154194115698</v>
      </c>
      <c r="D1835" s="116">
        <v>689.52867150646705</v>
      </c>
      <c r="E1835" s="116">
        <v>714.61680824370296</v>
      </c>
      <c r="F1835" s="116">
        <v>722.3</v>
      </c>
      <c r="G1835">
        <v>59527</v>
      </c>
      <c r="H1835" s="116"/>
      <c r="I1835" s="116"/>
      <c r="L1835" s="170">
        <v>44707</v>
      </c>
      <c r="M1835" s="116">
        <v>713.38288656423697</v>
      </c>
      <c r="N1835" s="116">
        <v>715.95096618357502</v>
      </c>
      <c r="O1835" s="116">
        <v>689.43060549925497</v>
      </c>
      <c r="P1835" s="116">
        <v>713.43227271076205</v>
      </c>
      <c r="Q1835" s="116">
        <v>722.25</v>
      </c>
      <c r="R1835">
        <v>1339748</v>
      </c>
    </row>
    <row r="1836" spans="1:18" x14ac:dyDescent="0.25">
      <c r="A1836" s="170">
        <v>44708</v>
      </c>
      <c r="B1836" s="116">
        <v>722.37042530619499</v>
      </c>
      <c r="C1836" s="116">
        <v>716.93795475285697</v>
      </c>
      <c r="D1836" s="116">
        <v>714.12294728430902</v>
      </c>
      <c r="E1836" s="116">
        <v>720.04927879704201</v>
      </c>
      <c r="F1836" s="116">
        <v>725.85</v>
      </c>
      <c r="G1836">
        <v>49819</v>
      </c>
      <c r="H1836" s="116"/>
      <c r="I1836" s="116"/>
      <c r="L1836" s="170">
        <v>44708</v>
      </c>
      <c r="M1836" s="116">
        <v>716.54359994188405</v>
      </c>
      <c r="N1836" s="116">
        <v>722.61809596454896</v>
      </c>
      <c r="O1836" s="116">
        <v>713.72858958991696</v>
      </c>
      <c r="P1836" s="116">
        <v>721.03773927572604</v>
      </c>
      <c r="Q1836" s="116">
        <v>725.45</v>
      </c>
      <c r="R1836">
        <v>1039408</v>
      </c>
    </row>
    <row r="1837" spans="1:18" x14ac:dyDescent="0.25">
      <c r="A1837" s="170">
        <v>44711</v>
      </c>
      <c r="B1837" s="116">
        <v>742.86565512106301</v>
      </c>
      <c r="C1837" s="116">
        <v>740.98898347536397</v>
      </c>
      <c r="D1837" s="116">
        <v>717.43181571225102</v>
      </c>
      <c r="E1837" s="116">
        <v>717.43181571225102</v>
      </c>
      <c r="F1837" s="116">
        <v>750.2</v>
      </c>
      <c r="G1837">
        <v>64912</v>
      </c>
      <c r="H1837" s="116"/>
      <c r="I1837" s="116"/>
      <c r="L1837" s="170">
        <v>44711</v>
      </c>
      <c r="M1837" s="116">
        <v>740.94035632559701</v>
      </c>
      <c r="N1837" s="116">
        <v>743.75536667756398</v>
      </c>
      <c r="O1837" s="116">
        <v>720.14878863826198</v>
      </c>
      <c r="P1837" s="116">
        <v>722.02546220624004</v>
      </c>
      <c r="Q1837" s="116">
        <v>750.15</v>
      </c>
      <c r="R1837">
        <v>1145649</v>
      </c>
    </row>
    <row r="1838" spans="1:18" x14ac:dyDescent="0.25">
      <c r="A1838" s="170">
        <v>44712</v>
      </c>
      <c r="B1838" s="116">
        <v>769.63291912023999</v>
      </c>
      <c r="C1838" s="116">
        <v>754.91586253028697</v>
      </c>
      <c r="D1838" s="116">
        <v>733.877385660085</v>
      </c>
      <c r="E1838" s="116">
        <v>741.03836957130397</v>
      </c>
      <c r="F1838" s="116">
        <v>764.3</v>
      </c>
      <c r="G1838">
        <v>87153</v>
      </c>
      <c r="H1838" s="116"/>
      <c r="I1838" s="116"/>
      <c r="L1838" s="170">
        <v>44712</v>
      </c>
      <c r="M1838" s="116">
        <v>750.42249645853803</v>
      </c>
      <c r="N1838" s="116">
        <v>770.37449965493499</v>
      </c>
      <c r="O1838" s="116">
        <v>733.87813737241697</v>
      </c>
      <c r="P1838" s="116">
        <v>743.75536667756398</v>
      </c>
      <c r="Q1838" s="116">
        <v>759.75</v>
      </c>
      <c r="R1838">
        <v>6125585</v>
      </c>
    </row>
    <row r="1839" spans="1:18" x14ac:dyDescent="0.25">
      <c r="A1839" s="170">
        <v>44713</v>
      </c>
      <c r="B1839" s="116">
        <v>770.42309665527102</v>
      </c>
      <c r="C1839" s="116">
        <v>752.39717163737498</v>
      </c>
      <c r="D1839" s="116">
        <v>748.44628396222004</v>
      </c>
      <c r="E1839" s="116">
        <v>749.48339197694804</v>
      </c>
      <c r="F1839" s="116">
        <v>761.75</v>
      </c>
      <c r="G1839">
        <v>99722</v>
      </c>
      <c r="H1839" s="116"/>
      <c r="I1839" s="116"/>
      <c r="L1839" s="170">
        <v>44713</v>
      </c>
      <c r="M1839" s="116">
        <v>751.75592241473203</v>
      </c>
      <c r="N1839" s="116">
        <v>770.91774726671702</v>
      </c>
      <c r="O1839" s="116">
        <v>748.447050597508</v>
      </c>
      <c r="P1839" s="116">
        <v>750.66942719116605</v>
      </c>
      <c r="Q1839" s="116">
        <v>761.1</v>
      </c>
      <c r="R1839">
        <v>1641729</v>
      </c>
    </row>
    <row r="1840" spans="1:18" x14ac:dyDescent="0.25">
      <c r="A1840" s="170">
        <v>44714</v>
      </c>
      <c r="B1840" s="116">
        <v>750.66865827949505</v>
      </c>
      <c r="C1840" s="116">
        <v>748.94014492161398</v>
      </c>
      <c r="D1840" s="116">
        <v>737.68011504742196</v>
      </c>
      <c r="E1840" s="116">
        <v>745.73004868555097</v>
      </c>
      <c r="F1840" s="116">
        <v>758.25</v>
      </c>
      <c r="G1840">
        <v>32483</v>
      </c>
      <c r="H1840" s="116"/>
      <c r="I1840" s="116"/>
      <c r="L1840" s="170">
        <v>44714</v>
      </c>
      <c r="M1840" s="116">
        <v>748.94091206276596</v>
      </c>
      <c r="N1840" s="116">
        <v>751.16328865642402</v>
      </c>
      <c r="O1840" s="116">
        <v>737.829029094475</v>
      </c>
      <c r="P1840" s="116">
        <v>747.70625839962202</v>
      </c>
      <c r="Q1840" s="116">
        <v>758.25</v>
      </c>
      <c r="R1840">
        <v>630109</v>
      </c>
    </row>
    <row r="1841" spans="1:18" x14ac:dyDescent="0.25">
      <c r="A1841" s="170">
        <v>44715</v>
      </c>
      <c r="B1841" s="116">
        <v>761.533599386172</v>
      </c>
      <c r="C1841" s="116">
        <v>744.14969361548799</v>
      </c>
      <c r="D1841" s="116">
        <v>742.915041217002</v>
      </c>
      <c r="E1841" s="116">
        <v>747.70549252312799</v>
      </c>
      <c r="F1841" s="116">
        <v>753.4</v>
      </c>
      <c r="G1841">
        <v>70135</v>
      </c>
      <c r="H1841" s="116"/>
      <c r="I1841" s="116"/>
      <c r="L1841" s="170">
        <v>44715</v>
      </c>
      <c r="M1841" s="116">
        <v>744.64431731502702</v>
      </c>
      <c r="N1841" s="116">
        <v>761.53437942682797</v>
      </c>
      <c r="O1841" s="116">
        <v>742.81702989357495</v>
      </c>
      <c r="P1841" s="116">
        <v>750.66942719116605</v>
      </c>
      <c r="Q1841" s="116">
        <v>753.9</v>
      </c>
      <c r="R1841">
        <v>1747685</v>
      </c>
    </row>
    <row r="1842" spans="1:18" x14ac:dyDescent="0.25">
      <c r="A1842" s="170">
        <v>44718</v>
      </c>
      <c r="B1842" s="116">
        <v>760.39771917956398</v>
      </c>
      <c r="C1842" s="116">
        <v>754.02691280337694</v>
      </c>
      <c r="D1842" s="116">
        <v>736.00098778548102</v>
      </c>
      <c r="E1842" s="116">
        <v>742.71749683324504</v>
      </c>
      <c r="F1842" s="116">
        <v>763.4</v>
      </c>
      <c r="G1842">
        <v>29306</v>
      </c>
      <c r="H1842" s="116"/>
      <c r="I1842" s="116"/>
      <c r="L1842" s="170">
        <v>44718</v>
      </c>
      <c r="M1842" s="116">
        <v>754.274615887545</v>
      </c>
      <c r="N1842" s="116">
        <v>760.54665649631295</v>
      </c>
      <c r="O1842" s="116">
        <v>736.14990011259999</v>
      </c>
      <c r="P1842" s="116">
        <v>747.459327666994</v>
      </c>
      <c r="Q1842" s="116">
        <v>763.65</v>
      </c>
      <c r="R1842">
        <v>1441390</v>
      </c>
    </row>
    <row r="1843" spans="1:18" x14ac:dyDescent="0.25">
      <c r="A1843" s="170">
        <v>44719</v>
      </c>
      <c r="B1843" s="116">
        <v>753.63182403586097</v>
      </c>
      <c r="C1843" s="116">
        <v>745.92759306930805</v>
      </c>
      <c r="D1843" s="116">
        <v>736.88993751239104</v>
      </c>
      <c r="E1843" s="116">
        <v>753.63182403586097</v>
      </c>
      <c r="F1843" s="116">
        <v>755.2</v>
      </c>
      <c r="G1843">
        <v>57179</v>
      </c>
      <c r="H1843" s="116"/>
      <c r="I1843" s="116"/>
      <c r="L1843" s="170">
        <v>44719</v>
      </c>
      <c r="M1843" s="116">
        <v>747.31116922741603</v>
      </c>
      <c r="N1843" s="116">
        <v>752.64487305219598</v>
      </c>
      <c r="O1843" s="116">
        <v>736.94007845701196</v>
      </c>
      <c r="P1843" s="116">
        <v>752.64487305219598</v>
      </c>
      <c r="Q1843" s="116">
        <v>756.6</v>
      </c>
      <c r="R1843">
        <v>1346609</v>
      </c>
    </row>
    <row r="1844" spans="1:18" x14ac:dyDescent="0.25">
      <c r="A1844" s="170">
        <v>44720</v>
      </c>
      <c r="B1844" s="116">
        <v>755.36033739374102</v>
      </c>
      <c r="C1844" s="116">
        <v>748.05119519470395</v>
      </c>
      <c r="D1844" s="116">
        <v>730.321586752445</v>
      </c>
      <c r="E1844" s="116">
        <v>744.74232676676195</v>
      </c>
      <c r="F1844" s="116">
        <v>757.35</v>
      </c>
      <c r="G1844">
        <v>47869</v>
      </c>
      <c r="H1844" s="116"/>
      <c r="I1844" s="116"/>
      <c r="L1844" s="170">
        <v>44720</v>
      </c>
      <c r="M1844" s="116">
        <v>747.85441683919896</v>
      </c>
      <c r="N1844" s="116">
        <v>755.45988340416295</v>
      </c>
      <c r="O1844" s="116">
        <v>730.02601794340899</v>
      </c>
      <c r="P1844" s="116">
        <v>745.08879263375798</v>
      </c>
      <c r="Q1844" s="116">
        <v>757.15</v>
      </c>
      <c r="R1844">
        <v>2461233</v>
      </c>
    </row>
    <row r="1845" spans="1:18" x14ac:dyDescent="0.25">
      <c r="A1845" s="170">
        <v>44721</v>
      </c>
      <c r="B1845" s="116">
        <v>749.68093636070603</v>
      </c>
      <c r="C1845" s="116">
        <v>744.74232676676195</v>
      </c>
      <c r="D1845" s="116">
        <v>734.22308833166096</v>
      </c>
      <c r="E1845" s="116">
        <v>740.791439091607</v>
      </c>
      <c r="F1845" s="116">
        <v>754</v>
      </c>
      <c r="G1845">
        <v>63496</v>
      </c>
      <c r="H1845" s="116"/>
      <c r="I1845" s="116"/>
      <c r="L1845" s="170">
        <v>44721</v>
      </c>
      <c r="M1845" s="116">
        <v>745.13817878028397</v>
      </c>
      <c r="N1845" s="116">
        <v>749.87924884675499</v>
      </c>
      <c r="O1845" s="116">
        <v>733.18673132105596</v>
      </c>
      <c r="P1845" s="116">
        <v>739.80447495550504</v>
      </c>
      <c r="Q1845" s="116">
        <v>754.4</v>
      </c>
      <c r="R1845">
        <v>882672</v>
      </c>
    </row>
    <row r="1846" spans="1:18" x14ac:dyDescent="0.25">
      <c r="A1846" s="170">
        <v>44722</v>
      </c>
      <c r="B1846" s="116">
        <v>762.02746034556606</v>
      </c>
      <c r="C1846" s="116">
        <v>747.21163156373404</v>
      </c>
      <c r="D1846" s="116">
        <v>740.39635032409103</v>
      </c>
      <c r="E1846" s="116">
        <v>744.74232676676195</v>
      </c>
      <c r="F1846" s="116">
        <v>756.5</v>
      </c>
      <c r="G1846">
        <v>124349</v>
      </c>
      <c r="H1846" s="116"/>
      <c r="I1846" s="116"/>
      <c r="L1846" s="170">
        <v>44722</v>
      </c>
      <c r="M1846" s="116">
        <v>747.31116922741603</v>
      </c>
      <c r="N1846" s="116">
        <v>761.92946859903395</v>
      </c>
      <c r="O1846" s="116">
        <v>737.87841524100099</v>
      </c>
      <c r="P1846" s="116">
        <v>740.79219788601904</v>
      </c>
      <c r="Q1846" s="116">
        <v>756.6</v>
      </c>
      <c r="R1846">
        <v>3230970</v>
      </c>
    </row>
    <row r="1847" spans="1:18" x14ac:dyDescent="0.25">
      <c r="A1847" s="170">
        <v>44725</v>
      </c>
      <c r="B1847" s="116">
        <v>744.74232676676195</v>
      </c>
      <c r="C1847" s="116">
        <v>726.07438250165296</v>
      </c>
      <c r="D1847" s="116">
        <v>717.62936009600901</v>
      </c>
      <c r="E1847" s="116">
        <v>744.74232676676195</v>
      </c>
      <c r="F1847" s="116">
        <v>735.1</v>
      </c>
      <c r="G1847">
        <v>44554</v>
      </c>
      <c r="H1847" s="116"/>
      <c r="I1847" s="116"/>
      <c r="L1847" s="170">
        <v>44725</v>
      </c>
      <c r="M1847" s="116">
        <v>726.91469071228801</v>
      </c>
      <c r="N1847" s="116">
        <v>744.89124804765504</v>
      </c>
      <c r="O1847" s="116">
        <v>717.08684755366698</v>
      </c>
      <c r="P1847" s="116">
        <v>742.76764374704896</v>
      </c>
      <c r="Q1847" s="116">
        <v>735.95</v>
      </c>
      <c r="R1847">
        <v>1455794</v>
      </c>
    </row>
    <row r="1848" spans="1:18" x14ac:dyDescent="0.25">
      <c r="A1848" s="170">
        <v>44726</v>
      </c>
      <c r="B1848" s="116">
        <v>739.60617278906</v>
      </c>
      <c r="C1848" s="116">
        <v>726.46947126916905</v>
      </c>
      <c r="D1848" s="116">
        <v>721.03700071583</v>
      </c>
      <c r="E1848" s="116">
        <v>721.03700071583</v>
      </c>
      <c r="F1848" s="116">
        <v>735.5</v>
      </c>
      <c r="G1848">
        <v>55763</v>
      </c>
      <c r="H1848" s="116"/>
      <c r="I1848" s="116"/>
      <c r="L1848" s="170">
        <v>44726</v>
      </c>
      <c r="M1848" s="116">
        <v>726.81591841923603</v>
      </c>
      <c r="N1848" s="116">
        <v>739.80447495550504</v>
      </c>
      <c r="O1848" s="116">
        <v>722.66748211107495</v>
      </c>
      <c r="P1848" s="116">
        <v>724.98863099778396</v>
      </c>
      <c r="Q1848" s="116">
        <v>735.85</v>
      </c>
      <c r="R1848">
        <v>1209734</v>
      </c>
    </row>
    <row r="1849" spans="1:18" x14ac:dyDescent="0.25">
      <c r="A1849" s="170">
        <v>44727</v>
      </c>
      <c r="B1849" s="116">
        <v>736.79116532051205</v>
      </c>
      <c r="C1849" s="116">
        <v>728.39552901080697</v>
      </c>
      <c r="D1849" s="116">
        <v>724.00016647219695</v>
      </c>
      <c r="E1849" s="116">
        <v>732.88966374129598</v>
      </c>
      <c r="F1849" s="116">
        <v>737.45</v>
      </c>
      <c r="G1849">
        <v>25457</v>
      </c>
      <c r="H1849" s="116"/>
      <c r="I1849" s="116"/>
      <c r="L1849" s="170">
        <v>44727</v>
      </c>
      <c r="M1849" s="116">
        <v>728.69259198721397</v>
      </c>
      <c r="N1849" s="116">
        <v>737.28578148269196</v>
      </c>
      <c r="O1849" s="116">
        <v>723.507046602012</v>
      </c>
      <c r="P1849" s="116">
        <v>729.92724565035803</v>
      </c>
      <c r="Q1849" s="116">
        <v>737.75</v>
      </c>
      <c r="R1849">
        <v>842942</v>
      </c>
    </row>
    <row r="1850" spans="1:18" x14ac:dyDescent="0.25">
      <c r="A1850" s="170">
        <v>44728</v>
      </c>
      <c r="B1850" s="116">
        <v>746.02636526118704</v>
      </c>
      <c r="C1850" s="116">
        <v>715.99961893000795</v>
      </c>
      <c r="D1850" s="116">
        <v>710.962237144185</v>
      </c>
      <c r="E1850" s="116">
        <v>731.90194182250696</v>
      </c>
      <c r="F1850" s="116">
        <v>724.9</v>
      </c>
      <c r="G1850">
        <v>30938</v>
      </c>
      <c r="H1850" s="116"/>
      <c r="I1850" s="116"/>
      <c r="L1850" s="170">
        <v>44728</v>
      </c>
      <c r="M1850" s="116">
        <v>716.04973847662598</v>
      </c>
      <c r="N1850" s="116">
        <v>739.557544222876</v>
      </c>
      <c r="O1850" s="116">
        <v>710.22217318659</v>
      </c>
      <c r="P1850" s="116">
        <v>739.557544222876</v>
      </c>
      <c r="Q1850" s="116">
        <v>724.95</v>
      </c>
      <c r="R1850">
        <v>1060953</v>
      </c>
    </row>
    <row r="1851" spans="1:18" x14ac:dyDescent="0.25">
      <c r="A1851" s="170">
        <v>44729</v>
      </c>
      <c r="B1851" s="116">
        <v>719.06155687825299</v>
      </c>
      <c r="C1851" s="116">
        <v>703.06046179387397</v>
      </c>
      <c r="D1851" s="116">
        <v>700.393612613144</v>
      </c>
      <c r="E1851" s="116">
        <v>715.11066920309804</v>
      </c>
      <c r="F1851" s="116">
        <v>711.8</v>
      </c>
      <c r="G1851">
        <v>36245</v>
      </c>
      <c r="H1851" s="116"/>
      <c r="I1851" s="116"/>
      <c r="L1851" s="170">
        <v>44729</v>
      </c>
      <c r="M1851" s="116">
        <v>702.91302350078104</v>
      </c>
      <c r="N1851" s="116">
        <v>719.55615487995397</v>
      </c>
      <c r="O1851" s="116">
        <v>700.09801314881395</v>
      </c>
      <c r="P1851" s="116">
        <v>714.17306490864803</v>
      </c>
      <c r="Q1851" s="116">
        <v>711.65</v>
      </c>
      <c r="R1851">
        <v>1329315</v>
      </c>
    </row>
    <row r="1852" spans="1:18" x14ac:dyDescent="0.25">
      <c r="A1852" s="170">
        <v>44732</v>
      </c>
      <c r="B1852" s="116">
        <v>713.57970022897496</v>
      </c>
      <c r="C1852" s="116">
        <v>708.14722967563603</v>
      </c>
      <c r="D1852" s="116">
        <v>696.34395274610995</v>
      </c>
      <c r="E1852" s="116">
        <v>711.90057296703401</v>
      </c>
      <c r="F1852" s="116">
        <v>716.95</v>
      </c>
      <c r="G1852">
        <v>55990</v>
      </c>
      <c r="H1852" s="116"/>
      <c r="I1852" s="116"/>
      <c r="L1852" s="170">
        <v>44732</v>
      </c>
      <c r="M1852" s="116">
        <v>708.04918273945702</v>
      </c>
      <c r="N1852" s="116">
        <v>713.87674802949402</v>
      </c>
      <c r="O1852" s="116">
        <v>696.34466601285806</v>
      </c>
      <c r="P1852" s="116">
        <v>709.62953942828096</v>
      </c>
      <c r="Q1852" s="116">
        <v>716.85</v>
      </c>
      <c r="R1852">
        <v>1028878</v>
      </c>
    </row>
    <row r="1853" spans="1:18" x14ac:dyDescent="0.25">
      <c r="A1853" s="170">
        <v>44733</v>
      </c>
      <c r="B1853" s="116">
        <v>724.00016647219695</v>
      </c>
      <c r="C1853" s="116">
        <v>718.66646811073701</v>
      </c>
      <c r="D1853" s="116">
        <v>711.15978152794196</v>
      </c>
      <c r="E1853" s="116">
        <v>711.15978152794196</v>
      </c>
      <c r="F1853" s="116">
        <v>727.6</v>
      </c>
      <c r="G1853">
        <v>43038</v>
      </c>
      <c r="H1853" s="116"/>
      <c r="I1853" s="116"/>
      <c r="L1853" s="170">
        <v>44733</v>
      </c>
      <c r="M1853" s="116">
        <v>718.32150121681002</v>
      </c>
      <c r="N1853" s="116">
        <v>724.00090806726996</v>
      </c>
      <c r="O1853" s="116">
        <v>711.16050997057903</v>
      </c>
      <c r="P1853" s="116">
        <v>711.16050997057903</v>
      </c>
      <c r="Q1853" s="116">
        <v>727.25</v>
      </c>
      <c r="R1853">
        <v>816577</v>
      </c>
    </row>
    <row r="1854" spans="1:18" x14ac:dyDescent="0.25">
      <c r="A1854" s="170">
        <v>44734</v>
      </c>
      <c r="B1854" s="116">
        <v>720.04927879704201</v>
      </c>
      <c r="C1854" s="116">
        <v>700.09729603750804</v>
      </c>
      <c r="D1854" s="116">
        <v>698.220624391809</v>
      </c>
      <c r="E1854" s="116">
        <v>720.04927879704201</v>
      </c>
      <c r="F1854" s="116">
        <v>708.8</v>
      </c>
      <c r="G1854">
        <v>92008</v>
      </c>
      <c r="H1854" s="116"/>
      <c r="I1854" s="116"/>
      <c r="L1854" s="170">
        <v>44734</v>
      </c>
      <c r="M1854" s="116">
        <v>700.24617158839101</v>
      </c>
      <c r="N1854" s="116">
        <v>718.07457048418098</v>
      </c>
      <c r="O1854" s="116">
        <v>698.32011187388798</v>
      </c>
      <c r="P1854" s="116">
        <v>718.07457048418098</v>
      </c>
      <c r="Q1854" s="116">
        <v>708.95</v>
      </c>
      <c r="R1854">
        <v>1190195</v>
      </c>
    </row>
    <row r="1855" spans="1:18" x14ac:dyDescent="0.25">
      <c r="A1855" s="170">
        <v>44735</v>
      </c>
      <c r="B1855" s="116">
        <v>710.56714837666902</v>
      </c>
      <c r="C1855" s="116">
        <v>709.38188207412202</v>
      </c>
      <c r="D1855" s="116">
        <v>698.31939658368799</v>
      </c>
      <c r="E1855" s="116">
        <v>706.22117193399799</v>
      </c>
      <c r="F1855" s="116">
        <v>718.2</v>
      </c>
      <c r="G1855">
        <v>43087</v>
      </c>
      <c r="H1855" s="116"/>
      <c r="I1855" s="116"/>
      <c r="L1855" s="170">
        <v>44735</v>
      </c>
      <c r="M1855" s="116">
        <v>709.62953942828096</v>
      </c>
      <c r="N1855" s="116">
        <v>710.864193091424</v>
      </c>
      <c r="O1855" s="116">
        <v>698.07318114125906</v>
      </c>
      <c r="P1855" s="116">
        <v>701.28328066543202</v>
      </c>
      <c r="Q1855" s="116">
        <v>718.45</v>
      </c>
      <c r="R1855">
        <v>714841</v>
      </c>
    </row>
    <row r="1856" spans="1:18" x14ac:dyDescent="0.25">
      <c r="A1856" s="170">
        <v>44736</v>
      </c>
      <c r="B1856" s="116">
        <v>725.48174935038003</v>
      </c>
      <c r="C1856" s="116">
        <v>719.55541783764704</v>
      </c>
      <c r="D1856" s="116">
        <v>712.04873125485199</v>
      </c>
      <c r="E1856" s="116">
        <v>713.03645317364101</v>
      </c>
      <c r="F1856" s="116">
        <v>728.5</v>
      </c>
      <c r="G1856">
        <v>49188</v>
      </c>
      <c r="H1856" s="116"/>
      <c r="I1856" s="116"/>
      <c r="L1856" s="170">
        <v>44736</v>
      </c>
      <c r="M1856" s="116">
        <v>720.05001634521102</v>
      </c>
      <c r="N1856" s="116">
        <v>725.97635392829898</v>
      </c>
      <c r="O1856" s="116">
        <v>711.25928226362998</v>
      </c>
      <c r="P1856" s="116">
        <v>713.13595583160804</v>
      </c>
      <c r="Q1856" s="116">
        <v>729</v>
      </c>
      <c r="R1856">
        <v>1013159</v>
      </c>
    </row>
    <row r="1857" spans="1:18" x14ac:dyDescent="0.25">
      <c r="A1857" s="170">
        <v>44739</v>
      </c>
      <c r="B1857" s="116">
        <v>728.64245949050405</v>
      </c>
      <c r="C1857" s="116">
        <v>720.29620927673898</v>
      </c>
      <c r="D1857" s="116">
        <v>715.60453016249198</v>
      </c>
      <c r="E1857" s="116">
        <v>719.55541783764704</v>
      </c>
      <c r="F1857" s="116">
        <v>729.25</v>
      </c>
      <c r="G1857">
        <v>47347</v>
      </c>
      <c r="H1857" s="116"/>
      <c r="I1857" s="116"/>
      <c r="L1857" s="170">
        <v>44739</v>
      </c>
      <c r="M1857" s="116">
        <v>720.44510551741701</v>
      </c>
      <c r="N1857" s="116">
        <v>728.05057208237997</v>
      </c>
      <c r="O1857" s="116">
        <v>715.60526315789502</v>
      </c>
      <c r="P1857" s="116">
        <v>726.07512622135096</v>
      </c>
      <c r="Q1857" s="116">
        <v>729.4</v>
      </c>
      <c r="R1857">
        <v>695465</v>
      </c>
    </row>
    <row r="1858" spans="1:18" x14ac:dyDescent="0.25">
      <c r="A1858" s="170">
        <v>44740</v>
      </c>
      <c r="B1858" s="116">
        <v>730.91421990371896</v>
      </c>
      <c r="C1858" s="116">
        <v>727.60535147577605</v>
      </c>
      <c r="D1858" s="116">
        <v>713.38215584521697</v>
      </c>
      <c r="E1858" s="116">
        <v>724.79034400722799</v>
      </c>
      <c r="F1858" s="116">
        <v>736.65</v>
      </c>
      <c r="G1858">
        <v>37627</v>
      </c>
      <c r="H1858" s="116"/>
      <c r="I1858" s="116"/>
      <c r="L1858" s="170">
        <v>44740</v>
      </c>
      <c r="M1858" s="116">
        <v>727.80364134975105</v>
      </c>
      <c r="N1858" s="116">
        <v>730.91496858087203</v>
      </c>
      <c r="O1858" s="116">
        <v>713.234728124659</v>
      </c>
      <c r="P1858" s="116">
        <v>721.03773927572604</v>
      </c>
      <c r="Q1858" s="116">
        <v>736.85</v>
      </c>
      <c r="R1858">
        <v>878300</v>
      </c>
    </row>
    <row r="1859" spans="1:18" x14ac:dyDescent="0.25">
      <c r="A1859" s="170">
        <v>44741</v>
      </c>
      <c r="B1859" s="116">
        <v>734.17370223572198</v>
      </c>
      <c r="C1859" s="116">
        <v>711.75241467921603</v>
      </c>
      <c r="D1859" s="116">
        <v>707.70275481218198</v>
      </c>
      <c r="E1859" s="116">
        <v>725.82745202195599</v>
      </c>
      <c r="F1859" s="116">
        <v>720.6</v>
      </c>
      <c r="G1859">
        <v>40350</v>
      </c>
      <c r="H1859" s="116"/>
      <c r="I1859" s="116"/>
      <c r="L1859" s="170">
        <v>44741</v>
      </c>
      <c r="M1859" s="116">
        <v>711.16050997057903</v>
      </c>
      <c r="N1859" s="116">
        <v>734.66831571682803</v>
      </c>
      <c r="O1859" s="116">
        <v>707.20961824851997</v>
      </c>
      <c r="P1859" s="116">
        <v>721.08712542225101</v>
      </c>
      <c r="Q1859" s="116">
        <v>720</v>
      </c>
      <c r="R1859">
        <v>1741451</v>
      </c>
    </row>
    <row r="1860" spans="1:18" x14ac:dyDescent="0.25">
      <c r="A1860" s="170">
        <v>44742</v>
      </c>
      <c r="B1860" s="116">
        <v>712.19688954267099</v>
      </c>
      <c r="C1860" s="116">
        <v>698.56632706338496</v>
      </c>
      <c r="D1860" s="116">
        <v>695.35623082732104</v>
      </c>
      <c r="E1860" s="116">
        <v>709.18433769036506</v>
      </c>
      <c r="F1860" s="116">
        <v>707.25</v>
      </c>
      <c r="G1860">
        <v>127773</v>
      </c>
      <c r="H1860" s="116"/>
      <c r="I1860" s="116"/>
      <c r="L1860" s="170">
        <v>44742</v>
      </c>
      <c r="M1860" s="116">
        <v>697.67809196905296</v>
      </c>
      <c r="N1860" s="116">
        <v>713.13595583160804</v>
      </c>
      <c r="O1860" s="116">
        <v>694.46799244488</v>
      </c>
      <c r="P1860" s="116">
        <v>713.13595583160804</v>
      </c>
      <c r="Q1860" s="116">
        <v>706.35</v>
      </c>
      <c r="R1860">
        <v>2030048</v>
      </c>
    </row>
    <row r="1861" spans="1:18" x14ac:dyDescent="0.25">
      <c r="A1861" s="170">
        <v>44743</v>
      </c>
      <c r="B1861" s="116">
        <v>714.12294728430902</v>
      </c>
      <c r="C1861" s="116">
        <v>711.85118687109502</v>
      </c>
      <c r="D1861" s="116">
        <v>689.42989931458897</v>
      </c>
      <c r="E1861" s="116">
        <v>691.40534315216598</v>
      </c>
      <c r="F1861" s="116">
        <v>720.7</v>
      </c>
      <c r="G1861">
        <v>48959</v>
      </c>
      <c r="H1861" s="116"/>
      <c r="I1861" s="116"/>
      <c r="L1861" s="170">
        <v>44743</v>
      </c>
      <c r="M1861" s="116">
        <v>710.71603465184705</v>
      </c>
      <c r="N1861" s="116">
        <v>714.07429261559696</v>
      </c>
      <c r="O1861" s="116">
        <v>688.44288256874097</v>
      </c>
      <c r="P1861" s="116">
        <v>691.40605136028501</v>
      </c>
      <c r="Q1861" s="116">
        <v>719.55</v>
      </c>
      <c r="R1861">
        <v>954981</v>
      </c>
    </row>
    <row r="1862" spans="1:18" x14ac:dyDescent="0.25">
      <c r="A1862" s="170">
        <v>44746</v>
      </c>
      <c r="B1862" s="116">
        <v>722.76551407371096</v>
      </c>
      <c r="C1862" s="116">
        <v>721.23454509958799</v>
      </c>
      <c r="D1862" s="116">
        <v>705.67792487866495</v>
      </c>
      <c r="E1862" s="116">
        <v>712.04873125485199</v>
      </c>
      <c r="F1862" s="116">
        <v>730.2</v>
      </c>
      <c r="G1862">
        <v>44504</v>
      </c>
      <c r="H1862" s="116"/>
      <c r="I1862" s="116"/>
      <c r="L1862" s="170">
        <v>44746</v>
      </c>
      <c r="M1862" s="116">
        <v>721.18589771530299</v>
      </c>
      <c r="N1862" s="116">
        <v>722.865026697178</v>
      </c>
      <c r="O1862" s="116">
        <v>705.777419999274</v>
      </c>
      <c r="P1862" s="116">
        <v>714.12367876212295</v>
      </c>
      <c r="Q1862" s="116">
        <v>730.15</v>
      </c>
      <c r="R1862">
        <v>1281683</v>
      </c>
    </row>
    <row r="1863" spans="1:18" x14ac:dyDescent="0.25">
      <c r="A1863" s="170">
        <v>44747</v>
      </c>
      <c r="B1863" s="116">
        <v>729.82772579305094</v>
      </c>
      <c r="C1863" s="116">
        <v>719.85173441328402</v>
      </c>
      <c r="D1863" s="116">
        <v>717.57997400007002</v>
      </c>
      <c r="E1863" s="116">
        <v>722.02472263461902</v>
      </c>
      <c r="F1863" s="116">
        <v>728.8</v>
      </c>
      <c r="G1863">
        <v>55728</v>
      </c>
      <c r="H1863" s="116"/>
      <c r="I1863" s="116"/>
      <c r="L1863" s="170">
        <v>44747</v>
      </c>
      <c r="M1863" s="116">
        <v>720.09940249173701</v>
      </c>
      <c r="N1863" s="116">
        <v>730.17417638298696</v>
      </c>
      <c r="O1863" s="116">
        <v>717.18561984671805</v>
      </c>
      <c r="P1863" s="116">
        <v>723.01318513675506</v>
      </c>
      <c r="Q1863" s="116">
        <v>729.05</v>
      </c>
      <c r="R1863">
        <v>1367769</v>
      </c>
    </row>
    <row r="1864" spans="1:18" x14ac:dyDescent="0.25">
      <c r="A1864" s="170">
        <v>44748</v>
      </c>
      <c r="B1864" s="116">
        <v>742.32240806572895</v>
      </c>
      <c r="C1864" s="116">
        <v>740.791439091607</v>
      </c>
      <c r="D1864" s="116">
        <v>715.70330235437098</v>
      </c>
      <c r="E1864" s="116">
        <v>716.09839112188604</v>
      </c>
      <c r="F1864" s="116">
        <v>750</v>
      </c>
      <c r="G1864">
        <v>29769</v>
      </c>
      <c r="H1864" s="116"/>
      <c r="I1864" s="116"/>
      <c r="L1864" s="170">
        <v>44748</v>
      </c>
      <c r="M1864" s="116">
        <v>740.74281173949396</v>
      </c>
      <c r="N1864" s="116">
        <v>742.61948530747202</v>
      </c>
      <c r="O1864" s="116">
        <v>712.39516363372195</v>
      </c>
      <c r="P1864" s="116">
        <v>712.39516363372195</v>
      </c>
      <c r="Q1864" s="116">
        <v>749.95</v>
      </c>
      <c r="R1864">
        <v>1351519</v>
      </c>
    </row>
    <row r="1865" spans="1:18" x14ac:dyDescent="0.25">
      <c r="A1865" s="170">
        <v>44749</v>
      </c>
      <c r="B1865" s="116">
        <v>750.07602512822098</v>
      </c>
      <c r="C1865" s="116">
        <v>745.28557382209601</v>
      </c>
      <c r="D1865" s="116">
        <v>740.791439091607</v>
      </c>
      <c r="E1865" s="116">
        <v>745.77943478148995</v>
      </c>
      <c r="F1865" s="116">
        <v>754.55</v>
      </c>
      <c r="G1865">
        <v>205242</v>
      </c>
      <c r="H1865" s="116"/>
      <c r="I1865" s="116"/>
      <c r="L1865" s="170">
        <v>44749</v>
      </c>
      <c r="M1865" s="116">
        <v>745.58265409901605</v>
      </c>
      <c r="N1865" s="116">
        <v>750.27433801896098</v>
      </c>
      <c r="O1865" s="116">
        <v>740.79219788601904</v>
      </c>
      <c r="P1865" s="116">
        <v>743.75536667756398</v>
      </c>
      <c r="Q1865" s="116">
        <v>754.85</v>
      </c>
      <c r="R1865">
        <v>2064199</v>
      </c>
    </row>
    <row r="1866" spans="1:18" x14ac:dyDescent="0.25">
      <c r="A1866" s="170">
        <v>44750</v>
      </c>
      <c r="B1866" s="116">
        <v>755.06402081810495</v>
      </c>
      <c r="C1866" s="116">
        <v>751.06374704701</v>
      </c>
      <c r="D1866" s="116">
        <v>745.87820697336895</v>
      </c>
      <c r="E1866" s="116">
        <v>750.66865827949505</v>
      </c>
      <c r="F1866" s="116">
        <v>760.4</v>
      </c>
      <c r="G1866">
        <v>150711</v>
      </c>
      <c r="H1866" s="116"/>
      <c r="I1866" s="116"/>
      <c r="L1866" s="170">
        <v>44750</v>
      </c>
      <c r="M1866" s="116">
        <v>752.05223929388706</v>
      </c>
      <c r="N1866" s="116">
        <v>754.96602193890499</v>
      </c>
      <c r="O1866" s="116">
        <v>745.78019868511899</v>
      </c>
      <c r="P1866" s="116">
        <v>747.21239693436496</v>
      </c>
      <c r="Q1866" s="116">
        <v>761.4</v>
      </c>
      <c r="R1866">
        <v>1456394</v>
      </c>
    </row>
    <row r="1867" spans="1:18" x14ac:dyDescent="0.25">
      <c r="A1867" s="170">
        <v>44753</v>
      </c>
      <c r="B1867" s="116">
        <v>760.44710527550399</v>
      </c>
      <c r="C1867" s="116">
        <v>756.24928712065105</v>
      </c>
      <c r="D1867" s="116">
        <v>749.38461978506905</v>
      </c>
      <c r="E1867" s="116">
        <v>750.66865827949505</v>
      </c>
      <c r="F1867" s="116">
        <v>765.65</v>
      </c>
      <c r="G1867">
        <v>35481</v>
      </c>
      <c r="H1867" s="116"/>
      <c r="I1867" s="116"/>
      <c r="L1867" s="170">
        <v>44753</v>
      </c>
      <c r="M1867" s="116">
        <v>756.49699248120305</v>
      </c>
      <c r="N1867" s="116">
        <v>760.54665649631295</v>
      </c>
      <c r="O1867" s="116">
        <v>749.08907050234302</v>
      </c>
      <c r="P1867" s="116">
        <v>752.200397733464</v>
      </c>
      <c r="Q1867" s="116">
        <v>765.9</v>
      </c>
      <c r="R1867">
        <v>1287117</v>
      </c>
    </row>
    <row r="1868" spans="1:18" x14ac:dyDescent="0.25">
      <c r="A1868" s="170">
        <v>44754</v>
      </c>
      <c r="B1868" s="116">
        <v>752.64410211707195</v>
      </c>
      <c r="C1868" s="116">
        <v>747.16224546779404</v>
      </c>
      <c r="D1868" s="116">
        <v>743.01381340888099</v>
      </c>
      <c r="E1868" s="116">
        <v>752.64410211707195</v>
      </c>
      <c r="F1868" s="116">
        <v>756.45</v>
      </c>
      <c r="G1868">
        <v>16939</v>
      </c>
      <c r="H1868" s="116"/>
      <c r="I1868" s="116"/>
      <c r="L1868" s="170">
        <v>44754</v>
      </c>
      <c r="M1868" s="116">
        <v>747.16301078783897</v>
      </c>
      <c r="N1868" s="116">
        <v>752.64487305219598</v>
      </c>
      <c r="O1868" s="116">
        <v>742.91580218662602</v>
      </c>
      <c r="P1868" s="116">
        <v>750.66942719116605</v>
      </c>
      <c r="Q1868" s="116">
        <v>756.45</v>
      </c>
      <c r="R1868">
        <v>609080</v>
      </c>
    </row>
    <row r="1869" spans="1:18" x14ac:dyDescent="0.25">
      <c r="A1869" s="170">
        <v>44755</v>
      </c>
      <c r="B1869" s="116">
        <v>758.32350315010797</v>
      </c>
      <c r="C1869" s="116">
        <v>753.18734917240602</v>
      </c>
      <c r="D1869" s="116">
        <v>747.16224546779404</v>
      </c>
      <c r="E1869" s="116">
        <v>747.16224546779404</v>
      </c>
      <c r="F1869" s="116">
        <v>762.55</v>
      </c>
      <c r="G1869">
        <v>46557</v>
      </c>
      <c r="H1869" s="116"/>
      <c r="I1869" s="116"/>
      <c r="L1869" s="170">
        <v>44755</v>
      </c>
      <c r="M1869" s="116">
        <v>753.18812066397902</v>
      </c>
      <c r="N1869" s="116">
        <v>758.57121063528405</v>
      </c>
      <c r="O1869" s="116">
        <v>747.70625839962202</v>
      </c>
      <c r="P1869" s="116">
        <v>748.69398133013704</v>
      </c>
      <c r="Q1869" s="116">
        <v>762.55</v>
      </c>
      <c r="R1869">
        <v>697646</v>
      </c>
    </row>
    <row r="1870" spans="1:18" x14ac:dyDescent="0.25">
      <c r="A1870" s="170">
        <v>44756</v>
      </c>
      <c r="B1870" s="116">
        <v>769.08967206490604</v>
      </c>
      <c r="C1870" s="116">
        <v>756.74314808004601</v>
      </c>
      <c r="D1870" s="116">
        <v>750.02663903228199</v>
      </c>
      <c r="E1870" s="116">
        <v>752.64410211707195</v>
      </c>
      <c r="F1870" s="116">
        <v>766.15</v>
      </c>
      <c r="G1870">
        <v>62561</v>
      </c>
      <c r="H1870" s="116"/>
      <c r="I1870" s="116"/>
      <c r="L1870" s="170">
        <v>44756</v>
      </c>
      <c r="M1870" s="116">
        <v>756.44760633467695</v>
      </c>
      <c r="N1870" s="116">
        <v>769.238618284842</v>
      </c>
      <c r="O1870" s="116">
        <v>749.97802113980595</v>
      </c>
      <c r="P1870" s="116">
        <v>755.60804184374001</v>
      </c>
      <c r="Q1870" s="116">
        <v>765.85</v>
      </c>
      <c r="R1870">
        <v>1697611</v>
      </c>
    </row>
    <row r="1871" spans="1:18" x14ac:dyDescent="0.25">
      <c r="A1871" s="170">
        <v>44757</v>
      </c>
      <c r="B1871" s="116">
        <v>782.275759680737</v>
      </c>
      <c r="C1871" s="116">
        <v>780.64601851473503</v>
      </c>
      <c r="D1871" s="116">
        <v>754.61954595464999</v>
      </c>
      <c r="E1871" s="116">
        <v>757.18762294350097</v>
      </c>
      <c r="F1871" s="116">
        <v>790.35</v>
      </c>
      <c r="G1871">
        <v>154890</v>
      </c>
      <c r="H1871" s="116"/>
      <c r="I1871" s="116"/>
      <c r="L1871" s="170">
        <v>44757</v>
      </c>
      <c r="M1871" s="116">
        <v>780.84436271839002</v>
      </c>
      <c r="N1871" s="116">
        <v>782.91858087247101</v>
      </c>
      <c r="O1871" s="116">
        <v>756.84269550688305</v>
      </c>
      <c r="P1871" s="116">
        <v>756.84269550688305</v>
      </c>
      <c r="Q1871" s="116">
        <v>790.55</v>
      </c>
      <c r="R1871">
        <v>3002946</v>
      </c>
    </row>
    <row r="1872" spans="1:18" x14ac:dyDescent="0.25">
      <c r="A1872" s="170">
        <v>44760</v>
      </c>
      <c r="B1872" s="116">
        <v>788.89349653662202</v>
      </c>
      <c r="C1872" s="116">
        <v>784.00427303861704</v>
      </c>
      <c r="D1872" s="116">
        <v>778.12732762182395</v>
      </c>
      <c r="E1872" s="116">
        <v>788.89349653662202</v>
      </c>
      <c r="F1872" s="116">
        <v>793.75</v>
      </c>
      <c r="G1872">
        <v>800073</v>
      </c>
      <c r="H1872" s="116"/>
      <c r="I1872" s="116"/>
      <c r="L1872" s="170">
        <v>44760</v>
      </c>
      <c r="M1872" s="116">
        <v>784.59770985434602</v>
      </c>
      <c r="N1872" s="116">
        <v>788.15351240419898</v>
      </c>
      <c r="O1872" s="116">
        <v>778.12812465947502</v>
      </c>
      <c r="P1872" s="116">
        <v>788.00535396462203</v>
      </c>
      <c r="Q1872" s="116">
        <v>794.35</v>
      </c>
      <c r="R1872">
        <v>1335985</v>
      </c>
    </row>
    <row r="1873" spans="1:18" x14ac:dyDescent="0.25">
      <c r="A1873" s="170">
        <v>44761</v>
      </c>
      <c r="B1873" s="116">
        <v>783.26348159952499</v>
      </c>
      <c r="C1873" s="116">
        <v>777.53469447054999</v>
      </c>
      <c r="D1873" s="116">
        <v>774.57152871418396</v>
      </c>
      <c r="E1873" s="116">
        <v>783.26348159952499</v>
      </c>
      <c r="F1873" s="116">
        <v>787.2</v>
      </c>
      <c r="G1873">
        <v>30638</v>
      </c>
      <c r="H1873" s="116"/>
      <c r="I1873" s="116"/>
      <c r="L1873" s="170">
        <v>44761</v>
      </c>
      <c r="M1873" s="116">
        <v>777.58487704769198</v>
      </c>
      <c r="N1873" s="116">
        <v>783.609986923831</v>
      </c>
      <c r="O1873" s="116">
        <v>774.57232210962195</v>
      </c>
      <c r="P1873" s="116">
        <v>781.19006574407001</v>
      </c>
      <c r="Q1873" s="116">
        <v>787.25</v>
      </c>
      <c r="R1873">
        <v>1184051</v>
      </c>
    </row>
    <row r="1874" spans="1:18" x14ac:dyDescent="0.25">
      <c r="A1874" s="170">
        <v>44762</v>
      </c>
      <c r="B1874" s="116">
        <v>791.21464304577501</v>
      </c>
      <c r="C1874" s="116">
        <v>785.33769762898203</v>
      </c>
      <c r="D1874" s="116">
        <v>777.78162495024799</v>
      </c>
      <c r="E1874" s="116">
        <v>780.30031584315896</v>
      </c>
      <c r="F1874" s="116">
        <v>795.1</v>
      </c>
      <c r="G1874">
        <v>133855</v>
      </c>
      <c r="H1874" s="116"/>
      <c r="I1874" s="116"/>
      <c r="L1874" s="170">
        <v>44762</v>
      </c>
      <c r="M1874" s="116">
        <v>785.23972975918105</v>
      </c>
      <c r="N1874" s="116">
        <v>791.36361192837205</v>
      </c>
      <c r="O1874" s="116">
        <v>777.83180778031999</v>
      </c>
      <c r="P1874" s="116">
        <v>781.28883803712199</v>
      </c>
      <c r="Q1874" s="116">
        <v>795</v>
      </c>
      <c r="R1874">
        <v>1173216</v>
      </c>
    </row>
    <row r="1875" spans="1:18" x14ac:dyDescent="0.25">
      <c r="A1875" s="170">
        <v>44763</v>
      </c>
      <c r="B1875" s="116">
        <v>810.17890388651995</v>
      </c>
      <c r="C1875" s="116">
        <v>808.20346004894304</v>
      </c>
      <c r="D1875" s="116">
        <v>784.05365913455603</v>
      </c>
      <c r="E1875" s="116">
        <v>788.20209119346896</v>
      </c>
      <c r="F1875" s="116">
        <v>818.25</v>
      </c>
      <c r="G1875">
        <v>156928</v>
      </c>
      <c r="H1875" s="116"/>
      <c r="I1875" s="116"/>
      <c r="L1875" s="170">
        <v>44763</v>
      </c>
      <c r="M1875" s="116">
        <v>808.253674040173</v>
      </c>
      <c r="N1875" s="116">
        <v>810.57482292688201</v>
      </c>
      <c r="O1875" s="116">
        <v>783.609986923831</v>
      </c>
      <c r="P1875" s="116">
        <v>785.23972975918105</v>
      </c>
      <c r="Q1875" s="116">
        <v>818.3</v>
      </c>
      <c r="R1875">
        <v>2245980</v>
      </c>
    </row>
    <row r="1876" spans="1:18" x14ac:dyDescent="0.25">
      <c r="A1876" s="170">
        <v>44764</v>
      </c>
      <c r="B1876" s="116">
        <v>813.53715841040196</v>
      </c>
      <c r="C1876" s="116">
        <v>793.733333938687</v>
      </c>
      <c r="D1876" s="116">
        <v>791.85666229298795</v>
      </c>
      <c r="E1876" s="116">
        <v>809.38872635148903</v>
      </c>
      <c r="F1876" s="116">
        <v>803.6</v>
      </c>
      <c r="G1876">
        <v>44004</v>
      </c>
      <c r="H1876" s="116"/>
      <c r="I1876" s="116"/>
      <c r="L1876" s="170">
        <v>44764</v>
      </c>
      <c r="M1876" s="116">
        <v>794.178622280338</v>
      </c>
      <c r="N1876" s="116">
        <v>813.88369474410695</v>
      </c>
      <c r="O1876" s="116">
        <v>791.31422578184595</v>
      </c>
      <c r="P1876" s="116">
        <v>808.253674040173</v>
      </c>
      <c r="Q1876" s="116">
        <v>804.05</v>
      </c>
      <c r="R1876">
        <v>1746104</v>
      </c>
    </row>
    <row r="1877" spans="1:18" x14ac:dyDescent="0.25">
      <c r="A1877" s="170">
        <v>44767</v>
      </c>
      <c r="B1877" s="116">
        <v>803.41300874281706</v>
      </c>
      <c r="C1877" s="116">
        <v>798.27685476511499</v>
      </c>
      <c r="D1877" s="116">
        <v>791.01709866201702</v>
      </c>
      <c r="E1877" s="116">
        <v>794.02965051432295</v>
      </c>
      <c r="F1877" s="116">
        <v>808.2</v>
      </c>
      <c r="G1877">
        <v>39171</v>
      </c>
      <c r="H1877" s="116"/>
      <c r="I1877" s="116"/>
      <c r="L1877" s="170">
        <v>44767</v>
      </c>
      <c r="M1877" s="116">
        <v>798.03074170934599</v>
      </c>
      <c r="N1877" s="116">
        <v>803.808920852857</v>
      </c>
      <c r="O1877" s="116">
        <v>791.41299807489702</v>
      </c>
      <c r="P1877" s="116">
        <v>794.178622280338</v>
      </c>
      <c r="Q1877" s="116">
        <v>807.95</v>
      </c>
      <c r="R1877">
        <v>940240</v>
      </c>
    </row>
    <row r="1878" spans="1:18" x14ac:dyDescent="0.25">
      <c r="A1878" s="170">
        <v>44768</v>
      </c>
      <c r="B1878" s="116">
        <v>798.079310381357</v>
      </c>
      <c r="C1878" s="116">
        <v>781.04110728225101</v>
      </c>
      <c r="D1878" s="116">
        <v>778.32487200558103</v>
      </c>
      <c r="E1878" s="116">
        <v>796.89404407881102</v>
      </c>
      <c r="F1878" s="116">
        <v>790.75</v>
      </c>
      <c r="G1878">
        <v>50812</v>
      </c>
      <c r="H1878" s="116"/>
      <c r="I1878" s="116"/>
      <c r="L1878" s="170">
        <v>44768</v>
      </c>
      <c r="M1878" s="116">
        <v>781.14067959754504</v>
      </c>
      <c r="N1878" s="116">
        <v>799.75925683774699</v>
      </c>
      <c r="O1878" s="116">
        <v>778.57259997820597</v>
      </c>
      <c r="P1878" s="116">
        <v>796.00590970179098</v>
      </c>
      <c r="Q1878" s="116">
        <v>790.85</v>
      </c>
      <c r="R1878">
        <v>1146412</v>
      </c>
    </row>
    <row r="1879" spans="1:18" x14ac:dyDescent="0.25">
      <c r="A1879" s="170">
        <v>44769</v>
      </c>
      <c r="B1879" s="116">
        <v>794.02965051432295</v>
      </c>
      <c r="C1879" s="116">
        <v>791.26402914171501</v>
      </c>
      <c r="D1879" s="116">
        <v>778.02855542994496</v>
      </c>
      <c r="E1879" s="116">
        <v>781.68312652946304</v>
      </c>
      <c r="F1879" s="116">
        <v>801.1</v>
      </c>
      <c r="G1879">
        <v>42295</v>
      </c>
      <c r="H1879" s="116"/>
      <c r="I1879" s="116"/>
      <c r="L1879" s="170">
        <v>44769</v>
      </c>
      <c r="M1879" s="116">
        <v>791.75870110057804</v>
      </c>
      <c r="N1879" s="116">
        <v>793.83291925465801</v>
      </c>
      <c r="O1879" s="116">
        <v>777.38733246158904</v>
      </c>
      <c r="P1879" s="116">
        <v>780.30111510660697</v>
      </c>
      <c r="Q1879" s="116">
        <v>801.6</v>
      </c>
      <c r="R1879">
        <v>1056918</v>
      </c>
    </row>
    <row r="1880" spans="1:18" x14ac:dyDescent="0.25">
      <c r="A1880" s="170">
        <v>44770</v>
      </c>
      <c r="B1880" s="116">
        <v>799.70905154735897</v>
      </c>
      <c r="C1880" s="116">
        <v>796.99281627069001</v>
      </c>
      <c r="D1880" s="116">
        <v>788.20209119346896</v>
      </c>
      <c r="E1880" s="116">
        <v>788.20209119346896</v>
      </c>
      <c r="F1880" s="116">
        <v>806.9</v>
      </c>
      <c r="G1880">
        <v>66589</v>
      </c>
      <c r="H1880" s="116"/>
      <c r="I1880" s="116"/>
      <c r="L1880" s="170">
        <v>44770</v>
      </c>
      <c r="M1880" s="116">
        <v>796.69731575315097</v>
      </c>
      <c r="N1880" s="116">
        <v>799.95680142384902</v>
      </c>
      <c r="O1880" s="116">
        <v>788.79553230903298</v>
      </c>
      <c r="P1880" s="116">
        <v>794.12923613381304</v>
      </c>
      <c r="Q1880" s="116">
        <v>806.6</v>
      </c>
      <c r="R1880">
        <v>1192580</v>
      </c>
    </row>
    <row r="1881" spans="1:18" x14ac:dyDescent="0.25">
      <c r="A1881" s="170">
        <v>44771</v>
      </c>
      <c r="B1881" s="116">
        <v>804.54888894942405</v>
      </c>
      <c r="C1881" s="116">
        <v>801.58572319305802</v>
      </c>
      <c r="D1881" s="116">
        <v>793.68394784274699</v>
      </c>
      <c r="E1881" s="116">
        <v>796.59772750317404</v>
      </c>
      <c r="F1881" s="116">
        <v>811.55</v>
      </c>
      <c r="G1881">
        <v>69881</v>
      </c>
      <c r="H1881" s="116"/>
      <c r="I1881" s="116"/>
      <c r="L1881" s="170">
        <v>44771</v>
      </c>
      <c r="M1881" s="116">
        <v>801.68531655225001</v>
      </c>
      <c r="N1881" s="116">
        <v>804.69787149032004</v>
      </c>
      <c r="O1881" s="116">
        <v>793.93169154770999</v>
      </c>
      <c r="P1881" s="116">
        <v>799.06785078638597</v>
      </c>
      <c r="Q1881" s="116">
        <v>811.65</v>
      </c>
      <c r="R1881">
        <v>867439</v>
      </c>
    </row>
    <row r="1882" spans="1:18" x14ac:dyDescent="0.25">
      <c r="A1882" s="170">
        <v>44774</v>
      </c>
      <c r="B1882" s="116">
        <v>803.46239483875695</v>
      </c>
      <c r="C1882" s="116">
        <v>800.89431784990597</v>
      </c>
      <c r="D1882" s="116">
        <v>789.97999064728901</v>
      </c>
      <c r="E1882" s="116">
        <v>803.46239483875695</v>
      </c>
      <c r="F1882" s="116">
        <v>810.85</v>
      </c>
      <c r="G1882">
        <v>781290</v>
      </c>
      <c r="H1882" s="116"/>
      <c r="I1882" s="116"/>
      <c r="L1882" s="170">
        <v>44774</v>
      </c>
      <c r="M1882" s="116">
        <v>801.14206894046697</v>
      </c>
      <c r="N1882" s="116">
        <v>804.50032690421699</v>
      </c>
      <c r="O1882" s="116">
        <v>789.63509679997105</v>
      </c>
      <c r="P1882" s="116">
        <v>802.03101957793001</v>
      </c>
      <c r="Q1882" s="116">
        <v>811.1</v>
      </c>
      <c r="R1882">
        <v>1269287</v>
      </c>
    </row>
    <row r="1883" spans="1:18" x14ac:dyDescent="0.25">
      <c r="A1883" s="170">
        <v>44775</v>
      </c>
      <c r="B1883" s="116">
        <v>815.61137443985899</v>
      </c>
      <c r="C1883" s="116">
        <v>799.90659593111695</v>
      </c>
      <c r="D1883" s="116">
        <v>797.33851894226598</v>
      </c>
      <c r="E1883" s="116">
        <v>802.32651463214904</v>
      </c>
      <c r="F1883" s="116">
        <v>809.85</v>
      </c>
      <c r="G1883">
        <v>60070</v>
      </c>
      <c r="H1883" s="116"/>
      <c r="I1883" s="116"/>
      <c r="L1883" s="170">
        <v>44775</v>
      </c>
      <c r="M1883" s="116">
        <v>801.63593040572403</v>
      </c>
      <c r="N1883" s="116">
        <v>815.85914060513596</v>
      </c>
      <c r="O1883" s="116">
        <v>796.35161272747098</v>
      </c>
      <c r="P1883" s="116">
        <v>803.01874250844503</v>
      </c>
      <c r="Q1883" s="116">
        <v>811.6</v>
      </c>
      <c r="R1883">
        <v>2161684</v>
      </c>
    </row>
    <row r="1884" spans="1:18" x14ac:dyDescent="0.25">
      <c r="A1884" s="170">
        <v>44776</v>
      </c>
      <c r="B1884" s="116">
        <v>805.53661086821296</v>
      </c>
      <c r="C1884" s="116">
        <v>803.06730607124098</v>
      </c>
      <c r="D1884" s="116">
        <v>791.95543448486706</v>
      </c>
      <c r="E1884" s="116">
        <v>795.11614462499097</v>
      </c>
      <c r="F1884" s="116">
        <v>813.05</v>
      </c>
      <c r="G1884">
        <v>47005</v>
      </c>
      <c r="H1884" s="116"/>
      <c r="I1884" s="116"/>
      <c r="L1884" s="170">
        <v>44776</v>
      </c>
      <c r="M1884" s="116">
        <v>802.77181177581599</v>
      </c>
      <c r="N1884" s="116">
        <v>805.38927754168003</v>
      </c>
      <c r="O1884" s="116">
        <v>791.70931495405205</v>
      </c>
      <c r="P1884" s="116">
        <v>801.63593040572403</v>
      </c>
      <c r="Q1884" s="116">
        <v>812.75</v>
      </c>
      <c r="R1884">
        <v>908414</v>
      </c>
    </row>
    <row r="1885" spans="1:18" x14ac:dyDescent="0.25">
      <c r="A1885" s="170">
        <v>44777</v>
      </c>
      <c r="B1885" s="116">
        <v>788.004546809712</v>
      </c>
      <c r="C1885" s="116">
        <v>779.55952440406702</v>
      </c>
      <c r="D1885" s="116">
        <v>771.26266028624104</v>
      </c>
      <c r="E1885" s="116">
        <v>785.43646982086102</v>
      </c>
      <c r="F1885" s="116">
        <v>789.25</v>
      </c>
      <c r="G1885">
        <v>1741232</v>
      </c>
      <c r="H1885" s="116"/>
      <c r="I1885" s="116"/>
      <c r="L1885" s="170">
        <v>44777</v>
      </c>
      <c r="M1885" s="116">
        <v>779.56032290872099</v>
      </c>
      <c r="N1885" s="116">
        <v>788.20289855072497</v>
      </c>
      <c r="O1885" s="116">
        <v>771.51038102502605</v>
      </c>
      <c r="P1885" s="116">
        <v>782.57287784679102</v>
      </c>
      <c r="Q1885" s="116">
        <v>789.25</v>
      </c>
      <c r="R1885">
        <v>15358133</v>
      </c>
    </row>
    <row r="1886" spans="1:18" x14ac:dyDescent="0.25">
      <c r="A1886" s="170">
        <v>44778</v>
      </c>
      <c r="B1886" s="116">
        <v>783.65857036704097</v>
      </c>
      <c r="C1886" s="116">
        <v>774.71968700200205</v>
      </c>
      <c r="D1886" s="116">
        <v>772.64547097254604</v>
      </c>
      <c r="E1886" s="116">
        <v>773.38626241163695</v>
      </c>
      <c r="F1886" s="116">
        <v>784.35</v>
      </c>
      <c r="G1886">
        <v>185623</v>
      </c>
      <c r="H1886" s="116"/>
      <c r="I1886" s="116"/>
      <c r="L1886" s="170">
        <v>44778</v>
      </c>
      <c r="M1886" s="116">
        <v>775.16495586793098</v>
      </c>
      <c r="N1886" s="116">
        <v>783.65937307035699</v>
      </c>
      <c r="O1886" s="116">
        <v>772.49810395554096</v>
      </c>
      <c r="P1886" s="116">
        <v>775.411886600559</v>
      </c>
      <c r="Q1886" s="116">
        <v>784.8</v>
      </c>
      <c r="R1886">
        <v>2109882</v>
      </c>
    </row>
    <row r="1887" spans="1:18" x14ac:dyDescent="0.25">
      <c r="A1887" s="170">
        <v>44781</v>
      </c>
      <c r="B1887" s="116">
        <v>784.25120351831401</v>
      </c>
      <c r="C1887" s="116">
        <v>778.571802485278</v>
      </c>
      <c r="D1887" s="116">
        <v>771.41081857406004</v>
      </c>
      <c r="E1887" s="116">
        <v>771.41081857406004</v>
      </c>
      <c r="F1887" s="116">
        <v>788.25</v>
      </c>
      <c r="G1887">
        <v>48163</v>
      </c>
      <c r="H1887" s="116"/>
      <c r="I1887" s="116"/>
      <c r="L1887" s="170">
        <v>44781</v>
      </c>
      <c r="M1887" s="116">
        <v>779.01707529693795</v>
      </c>
      <c r="N1887" s="116">
        <v>784.15323453561405</v>
      </c>
      <c r="O1887" s="116">
        <v>771.41160873197498</v>
      </c>
      <c r="P1887" s="116">
        <v>771.90547019723203</v>
      </c>
      <c r="Q1887" s="116">
        <v>788.7</v>
      </c>
      <c r="R1887">
        <v>947150</v>
      </c>
    </row>
    <row r="1888" spans="1:18" x14ac:dyDescent="0.25">
      <c r="A1888" s="170">
        <v>44783</v>
      </c>
      <c r="B1888" s="116">
        <v>784.20181742237503</v>
      </c>
      <c r="C1888" s="116">
        <v>780.44847413097705</v>
      </c>
      <c r="D1888" s="116">
        <v>776.89267522333796</v>
      </c>
      <c r="E1888" s="116">
        <v>779.75706878782501</v>
      </c>
      <c r="F1888" s="116">
        <v>790.15</v>
      </c>
      <c r="G1888">
        <v>50051</v>
      </c>
      <c r="H1888" s="116"/>
      <c r="I1888" s="116"/>
      <c r="L1888" s="170">
        <v>44783</v>
      </c>
      <c r="M1888" s="116">
        <v>780.84436271839002</v>
      </c>
      <c r="N1888" s="116">
        <v>783.95568994951202</v>
      </c>
      <c r="O1888" s="116">
        <v>776.69592641022803</v>
      </c>
      <c r="P1888" s="116">
        <v>779.01707529693795</v>
      </c>
      <c r="Q1888" s="116">
        <v>790.55</v>
      </c>
      <c r="R1888">
        <v>1185175</v>
      </c>
    </row>
    <row r="1889" spans="1:18" x14ac:dyDescent="0.25">
      <c r="A1889" s="170">
        <v>44784</v>
      </c>
      <c r="B1889" s="116">
        <v>788.20209119346896</v>
      </c>
      <c r="C1889" s="116">
        <v>763.805359799386</v>
      </c>
      <c r="D1889" s="116">
        <v>762.22500472932404</v>
      </c>
      <c r="E1889" s="116">
        <v>783.55979817516197</v>
      </c>
      <c r="F1889" s="116">
        <v>773.3</v>
      </c>
      <c r="G1889">
        <v>207005</v>
      </c>
      <c r="H1889" s="116"/>
      <c r="I1889" s="116"/>
      <c r="L1889" s="170">
        <v>44784</v>
      </c>
      <c r="M1889" s="116">
        <v>763.95430060658896</v>
      </c>
      <c r="N1889" s="116">
        <v>788.74614616250801</v>
      </c>
      <c r="O1889" s="116">
        <v>762.127013185137</v>
      </c>
      <c r="P1889" s="116">
        <v>784.79525444044896</v>
      </c>
      <c r="Q1889" s="116">
        <v>773.45</v>
      </c>
      <c r="R1889">
        <v>3371339</v>
      </c>
    </row>
    <row r="1890" spans="1:18" x14ac:dyDescent="0.25">
      <c r="A1890" s="170">
        <v>44785</v>
      </c>
      <c r="B1890" s="116">
        <v>766.47220898011597</v>
      </c>
      <c r="C1890" s="116">
        <v>753.77998232367895</v>
      </c>
      <c r="D1890" s="116">
        <v>751.36006362264698</v>
      </c>
      <c r="E1890" s="116">
        <v>766.47220898011597</v>
      </c>
      <c r="F1890" s="116">
        <v>763.15</v>
      </c>
      <c r="G1890">
        <v>99234</v>
      </c>
      <c r="H1890" s="116"/>
      <c r="I1890" s="116"/>
      <c r="L1890" s="170">
        <v>44785</v>
      </c>
      <c r="M1890" s="116">
        <v>754.07707130144195</v>
      </c>
      <c r="N1890" s="116">
        <v>766.37422178634995</v>
      </c>
      <c r="O1890" s="116">
        <v>751.21267480294898</v>
      </c>
      <c r="P1890" s="116">
        <v>763.95430060658896</v>
      </c>
      <c r="Q1890" s="116">
        <v>763.45</v>
      </c>
      <c r="R1890">
        <v>2257305</v>
      </c>
    </row>
    <row r="1891" spans="1:18" x14ac:dyDescent="0.25">
      <c r="A1891" s="170">
        <v>44789</v>
      </c>
      <c r="B1891" s="116">
        <v>771.06511590248397</v>
      </c>
      <c r="C1891" s="116">
        <v>769.92923569587595</v>
      </c>
      <c r="D1891" s="116">
        <v>755.60726787343901</v>
      </c>
      <c r="E1891" s="116">
        <v>755.60726787343901</v>
      </c>
      <c r="F1891" s="116">
        <v>779.5</v>
      </c>
      <c r="G1891">
        <v>60827</v>
      </c>
      <c r="H1891" s="116"/>
      <c r="I1891" s="116"/>
      <c r="L1891" s="170">
        <v>44789</v>
      </c>
      <c r="M1891" s="116">
        <v>769.93002433620302</v>
      </c>
      <c r="N1891" s="116">
        <v>771.01651955976899</v>
      </c>
      <c r="O1891" s="116">
        <v>755.90435872289402</v>
      </c>
      <c r="P1891" s="116">
        <v>757.87980458392303</v>
      </c>
      <c r="Q1891" s="116">
        <v>779.5</v>
      </c>
      <c r="R1891">
        <v>1804736</v>
      </c>
    </row>
    <row r="1892" spans="1:18" x14ac:dyDescent="0.25">
      <c r="A1892" s="170">
        <v>44790</v>
      </c>
      <c r="B1892" s="116">
        <v>786.22664735589206</v>
      </c>
      <c r="C1892" s="116">
        <v>783.41163988734399</v>
      </c>
      <c r="D1892" s="116">
        <v>771.16388809436205</v>
      </c>
      <c r="E1892" s="116">
        <v>772.39854049284895</v>
      </c>
      <c r="F1892" s="116">
        <v>793.15</v>
      </c>
      <c r="G1892">
        <v>179264</v>
      </c>
      <c r="H1892" s="116"/>
      <c r="I1892" s="116"/>
      <c r="L1892" s="170">
        <v>44790</v>
      </c>
      <c r="M1892" s="116">
        <v>783.75814536340897</v>
      </c>
      <c r="N1892" s="116">
        <v>786.77070030147797</v>
      </c>
      <c r="O1892" s="116">
        <v>770.91774726671702</v>
      </c>
      <c r="P1892" s="116">
        <v>770.91774726671702</v>
      </c>
      <c r="Q1892" s="116">
        <v>793.5</v>
      </c>
      <c r="R1892">
        <v>3021532</v>
      </c>
    </row>
    <row r="1893" spans="1:18" x14ac:dyDescent="0.25">
      <c r="A1893" s="170">
        <v>44791</v>
      </c>
      <c r="B1893" s="116">
        <v>803.61055312657504</v>
      </c>
      <c r="C1893" s="116">
        <v>798.326240861055</v>
      </c>
      <c r="D1893" s="116">
        <v>782.72023454419195</v>
      </c>
      <c r="E1893" s="116">
        <v>784.05365913455603</v>
      </c>
      <c r="F1893" s="116">
        <v>808.25</v>
      </c>
      <c r="G1893">
        <v>178881</v>
      </c>
      <c r="H1893" s="116"/>
      <c r="I1893" s="116"/>
      <c r="L1893" s="170">
        <v>44791</v>
      </c>
      <c r="M1893" s="116">
        <v>797.93196941629401</v>
      </c>
      <c r="N1893" s="116">
        <v>803.808920852857</v>
      </c>
      <c r="O1893" s="116">
        <v>781.28883803712199</v>
      </c>
      <c r="P1893" s="116">
        <v>783.26428389815101</v>
      </c>
      <c r="Q1893" s="116">
        <v>807.85</v>
      </c>
      <c r="R1893">
        <v>3191360</v>
      </c>
    </row>
    <row r="1894" spans="1:18" x14ac:dyDescent="0.25">
      <c r="A1894" s="170">
        <v>44792</v>
      </c>
      <c r="B1894" s="116">
        <v>799.75843764329898</v>
      </c>
      <c r="C1894" s="116">
        <v>777.33715008679201</v>
      </c>
      <c r="D1894" s="116">
        <v>774.57152871418396</v>
      </c>
      <c r="E1894" s="116">
        <v>796.15325263971897</v>
      </c>
      <c r="F1894" s="116">
        <v>787</v>
      </c>
      <c r="G1894">
        <v>102899</v>
      </c>
      <c r="H1894" s="116"/>
      <c r="I1894" s="116"/>
      <c r="L1894" s="170">
        <v>44792</v>
      </c>
      <c r="M1894" s="116">
        <v>777.28856016853695</v>
      </c>
      <c r="N1894" s="116">
        <v>799.56171225164405</v>
      </c>
      <c r="O1894" s="116">
        <v>774.47354981656997</v>
      </c>
      <c r="P1894" s="116">
        <v>797.24056336493402</v>
      </c>
      <c r="Q1894" s="116">
        <v>786.95</v>
      </c>
      <c r="R1894">
        <v>1767351</v>
      </c>
    </row>
    <row r="1895" spans="1:18" x14ac:dyDescent="0.25">
      <c r="A1895" s="170">
        <v>44795</v>
      </c>
      <c r="B1895" s="116">
        <v>787.21436927468096</v>
      </c>
      <c r="C1895" s="116">
        <v>784.10304523049604</v>
      </c>
      <c r="D1895" s="116">
        <v>769.97862179181595</v>
      </c>
      <c r="E1895" s="116">
        <v>777.04083351115605</v>
      </c>
      <c r="F1895" s="116">
        <v>793.85</v>
      </c>
      <c r="G1895">
        <v>127074</v>
      </c>
      <c r="H1895" s="116"/>
      <c r="I1895" s="116"/>
      <c r="L1895" s="170">
        <v>44795</v>
      </c>
      <c r="M1895" s="116">
        <v>784.20262068214004</v>
      </c>
      <c r="N1895" s="116">
        <v>787.16578947368396</v>
      </c>
      <c r="O1895" s="116">
        <v>770.52265809451205</v>
      </c>
      <c r="P1895" s="116">
        <v>776.25145109149696</v>
      </c>
      <c r="Q1895" s="116">
        <v>793.95</v>
      </c>
      <c r="R1895">
        <v>2166778</v>
      </c>
    </row>
    <row r="1896" spans="1:18" x14ac:dyDescent="0.25">
      <c r="A1896" s="170">
        <v>44796</v>
      </c>
      <c r="B1896" s="116">
        <v>801.58572319305802</v>
      </c>
      <c r="C1896" s="116">
        <v>798.52378524481298</v>
      </c>
      <c r="D1896" s="116">
        <v>777.435922278671</v>
      </c>
      <c r="E1896" s="116">
        <v>777.435922278671</v>
      </c>
      <c r="F1896" s="116">
        <v>808.45</v>
      </c>
      <c r="G1896">
        <v>63991</v>
      </c>
      <c r="H1896" s="116"/>
      <c r="I1896" s="116"/>
      <c r="L1896" s="170">
        <v>44796</v>
      </c>
      <c r="M1896" s="116">
        <v>799.41355381206597</v>
      </c>
      <c r="N1896" s="116">
        <v>801.68531655225001</v>
      </c>
      <c r="O1896" s="116">
        <v>777.33794631506305</v>
      </c>
      <c r="P1896" s="116">
        <v>782.17778867458503</v>
      </c>
      <c r="Q1896" s="116">
        <v>809.35</v>
      </c>
      <c r="R1896">
        <v>1890327</v>
      </c>
    </row>
    <row r="1897" spans="1:18" x14ac:dyDescent="0.25">
      <c r="A1897" s="170">
        <v>44797</v>
      </c>
      <c r="B1897" s="116">
        <v>802.919147783423</v>
      </c>
      <c r="C1897" s="116">
        <v>795.70877777626401</v>
      </c>
      <c r="D1897" s="116">
        <v>788.54779386504504</v>
      </c>
      <c r="E1897" s="116">
        <v>795.51123339250705</v>
      </c>
      <c r="F1897" s="116">
        <v>805.6</v>
      </c>
      <c r="G1897">
        <v>53178</v>
      </c>
      <c r="H1897" s="116"/>
      <c r="I1897" s="116"/>
      <c r="L1897" s="170">
        <v>44797</v>
      </c>
      <c r="M1897" s="116">
        <v>795.80836511568805</v>
      </c>
      <c r="N1897" s="116">
        <v>803.01874250844503</v>
      </c>
      <c r="O1897" s="116">
        <v>788.69676001598202</v>
      </c>
      <c r="P1897" s="116">
        <v>795.11695906432703</v>
      </c>
      <c r="Q1897" s="116">
        <v>805.7</v>
      </c>
      <c r="R1897">
        <v>1355374</v>
      </c>
    </row>
    <row r="1898" spans="1:18" x14ac:dyDescent="0.25">
      <c r="A1898" s="170">
        <v>44798</v>
      </c>
      <c r="B1898" s="116">
        <v>802.42528682402803</v>
      </c>
      <c r="C1898" s="116">
        <v>791.95543448486706</v>
      </c>
      <c r="D1898" s="116">
        <v>788.15270509752997</v>
      </c>
      <c r="E1898" s="116">
        <v>795.11614462499097</v>
      </c>
      <c r="F1898" s="116">
        <v>801.8</v>
      </c>
      <c r="G1898">
        <v>53922</v>
      </c>
      <c r="H1898" s="116"/>
      <c r="I1898" s="116"/>
      <c r="L1898" s="170">
        <v>44798</v>
      </c>
      <c r="M1898" s="116">
        <v>792.00563183320605</v>
      </c>
      <c r="N1898" s="116">
        <v>801.93224728487905</v>
      </c>
      <c r="O1898" s="116">
        <v>787.709037085467</v>
      </c>
      <c r="P1898" s="116">
        <v>798.08012785587198</v>
      </c>
      <c r="Q1898" s="116">
        <v>801.85</v>
      </c>
      <c r="R1898">
        <v>1267482</v>
      </c>
    </row>
    <row r="1899" spans="1:18" x14ac:dyDescent="0.25">
      <c r="A1899" s="170">
        <v>44799</v>
      </c>
      <c r="B1899" s="116">
        <v>800.84493175396597</v>
      </c>
      <c r="C1899" s="116">
        <v>791.60973181329098</v>
      </c>
      <c r="D1899" s="116">
        <v>789.63428797571305</v>
      </c>
      <c r="E1899" s="116">
        <v>792.00482058080604</v>
      </c>
      <c r="F1899" s="116">
        <v>801.45</v>
      </c>
      <c r="G1899">
        <v>55297</v>
      </c>
      <c r="H1899" s="116"/>
      <c r="I1899" s="116"/>
      <c r="L1899" s="170">
        <v>44799</v>
      </c>
      <c r="M1899" s="116">
        <v>792.10440412625803</v>
      </c>
      <c r="N1899" s="116">
        <v>800.84575206131296</v>
      </c>
      <c r="O1899" s="116">
        <v>788.99307689513603</v>
      </c>
      <c r="P1899" s="116">
        <v>796.00590970179098</v>
      </c>
      <c r="Q1899" s="116">
        <v>801.95</v>
      </c>
      <c r="R1899">
        <v>1254230</v>
      </c>
    </row>
    <row r="1900" spans="1:18" x14ac:dyDescent="0.25">
      <c r="A1900" s="170">
        <v>44802</v>
      </c>
      <c r="B1900" s="116">
        <v>806.27740230730501</v>
      </c>
      <c r="C1900" s="116">
        <v>796.30141092753797</v>
      </c>
      <c r="D1900" s="116">
        <v>771.41081857406004</v>
      </c>
      <c r="E1900" s="116">
        <v>771.41081857406004</v>
      </c>
      <c r="F1900" s="116">
        <v>806.2</v>
      </c>
      <c r="G1900">
        <v>73571</v>
      </c>
      <c r="H1900" s="116"/>
      <c r="I1900" s="116"/>
      <c r="L1900" s="170">
        <v>44802</v>
      </c>
      <c r="M1900" s="116">
        <v>796.252840434419</v>
      </c>
      <c r="N1900" s="116">
        <v>806.67331735134906</v>
      </c>
      <c r="O1900" s="116">
        <v>774.22661908394196</v>
      </c>
      <c r="P1900" s="116">
        <v>780.30111510660697</v>
      </c>
      <c r="Q1900" s="116">
        <v>806.15</v>
      </c>
      <c r="R1900">
        <v>2181301</v>
      </c>
    </row>
    <row r="1901" spans="1:18" x14ac:dyDescent="0.25">
      <c r="A1901" s="170">
        <v>44803</v>
      </c>
      <c r="B1901" s="116">
        <v>803.41300874281706</v>
      </c>
      <c r="C1901" s="116">
        <v>799.70905154735897</v>
      </c>
      <c r="D1901" s="116">
        <v>796.40018311941697</v>
      </c>
      <c r="E1901" s="116">
        <v>797.09158846256901</v>
      </c>
      <c r="F1901" s="116">
        <v>809.65</v>
      </c>
      <c r="G1901">
        <v>94198</v>
      </c>
      <c r="H1901" s="116"/>
      <c r="I1901" s="116"/>
      <c r="L1901" s="170">
        <v>44803</v>
      </c>
      <c r="M1901" s="116">
        <v>799.709870691221</v>
      </c>
      <c r="N1901" s="116">
        <v>803.95707929243395</v>
      </c>
      <c r="O1901" s="116">
        <v>796.40099887399697</v>
      </c>
      <c r="P1901" s="116">
        <v>799.06785078638597</v>
      </c>
      <c r="Q1901" s="116">
        <v>809.65</v>
      </c>
      <c r="R1901">
        <v>2692962</v>
      </c>
    </row>
    <row r="1902" spans="1:18" x14ac:dyDescent="0.25">
      <c r="A1902" s="170">
        <v>44805</v>
      </c>
      <c r="B1902" s="116">
        <v>831.563083428298</v>
      </c>
      <c r="C1902" s="116">
        <v>828.45175938411296</v>
      </c>
      <c r="D1902" s="116">
        <v>796.89404407881102</v>
      </c>
      <c r="E1902" s="116">
        <v>798.178082573236</v>
      </c>
      <c r="F1902" s="116">
        <v>838.75</v>
      </c>
      <c r="G1902">
        <v>251652</v>
      </c>
      <c r="H1902" s="116"/>
      <c r="I1902" s="116"/>
      <c r="L1902" s="170">
        <v>44805</v>
      </c>
      <c r="M1902" s="116">
        <v>828.10690494351797</v>
      </c>
      <c r="N1902" s="116">
        <v>831.66270749337104</v>
      </c>
      <c r="O1902" s="116">
        <v>796.10468199484205</v>
      </c>
      <c r="P1902" s="116">
        <v>799.709870691221</v>
      </c>
      <c r="Q1902" s="116">
        <v>838.4</v>
      </c>
      <c r="R1902">
        <v>6228307</v>
      </c>
    </row>
    <row r="1903" spans="1:18" x14ac:dyDescent="0.25">
      <c r="A1903" s="170">
        <v>44806</v>
      </c>
      <c r="B1903" s="116">
        <v>836.10660425472702</v>
      </c>
      <c r="C1903" s="116">
        <v>822.82174444701695</v>
      </c>
      <c r="D1903" s="116">
        <v>820.20428136222699</v>
      </c>
      <c r="E1903" s="116">
        <v>834.27931870496695</v>
      </c>
      <c r="F1903" s="116">
        <v>833.05</v>
      </c>
      <c r="G1903">
        <v>132579</v>
      </c>
      <c r="H1903" s="116"/>
      <c r="I1903" s="116"/>
      <c r="L1903" s="170">
        <v>44806</v>
      </c>
      <c r="M1903" s="116">
        <v>823.46460717009904</v>
      </c>
      <c r="N1903" s="116">
        <v>836.60132214594501</v>
      </c>
      <c r="O1903" s="116">
        <v>820.50143837855501</v>
      </c>
      <c r="P1903" s="116">
        <v>834.62587628491497</v>
      </c>
      <c r="Q1903" s="116">
        <v>833.7</v>
      </c>
      <c r="R1903">
        <v>1885440</v>
      </c>
    </row>
    <row r="1904" spans="1:18" x14ac:dyDescent="0.25">
      <c r="A1904" s="170">
        <v>44809</v>
      </c>
      <c r="B1904" s="116">
        <v>830.67413370138797</v>
      </c>
      <c r="C1904" s="116">
        <v>828.05667061659801</v>
      </c>
      <c r="D1904" s="116">
        <v>818.92024286780099</v>
      </c>
      <c r="E1904" s="116">
        <v>820.105509170348</v>
      </c>
      <c r="F1904" s="116">
        <v>838.35</v>
      </c>
      <c r="G1904">
        <v>78604</v>
      </c>
      <c r="H1904" s="116"/>
      <c r="I1904" s="116"/>
      <c r="L1904" s="170">
        <v>44809</v>
      </c>
      <c r="M1904" s="116">
        <v>827.16856815952895</v>
      </c>
      <c r="N1904" s="116">
        <v>830.82314300243399</v>
      </c>
      <c r="O1904" s="116">
        <v>818.87169554320599</v>
      </c>
      <c r="P1904" s="116">
        <v>823.76092404925396</v>
      </c>
      <c r="Q1904" s="116">
        <v>837.45</v>
      </c>
      <c r="R1904">
        <v>1553679</v>
      </c>
    </row>
    <row r="1905" spans="1:18" x14ac:dyDescent="0.25">
      <c r="A1905" s="170">
        <v>44810</v>
      </c>
      <c r="B1905" s="116">
        <v>835.41519891157395</v>
      </c>
      <c r="C1905" s="116">
        <v>808.59854881645799</v>
      </c>
      <c r="D1905" s="116">
        <v>806.228016211365</v>
      </c>
      <c r="E1905" s="116">
        <v>828.69868986381096</v>
      </c>
      <c r="F1905" s="116">
        <v>818.65</v>
      </c>
      <c r="G1905">
        <v>221092</v>
      </c>
      <c r="H1905" s="116"/>
      <c r="I1905" s="116"/>
      <c r="L1905" s="170">
        <v>44810</v>
      </c>
      <c r="M1905" s="116">
        <v>808.20428789364701</v>
      </c>
      <c r="N1905" s="116">
        <v>835.41605462932705</v>
      </c>
      <c r="O1905" s="116">
        <v>805.98191129998895</v>
      </c>
      <c r="P1905" s="116">
        <v>831.31700446769105</v>
      </c>
      <c r="Q1905" s="116">
        <v>818.25</v>
      </c>
      <c r="R1905">
        <v>2620566</v>
      </c>
    </row>
    <row r="1906" spans="1:18" x14ac:dyDescent="0.25">
      <c r="A1906" s="170">
        <v>44811</v>
      </c>
      <c r="B1906" s="116">
        <v>817.38927389367905</v>
      </c>
      <c r="C1906" s="116">
        <v>814.91996909670695</v>
      </c>
      <c r="D1906" s="116">
        <v>803.75871141439302</v>
      </c>
      <c r="E1906" s="116">
        <v>805.98108573166803</v>
      </c>
      <c r="F1906" s="116">
        <v>825.05</v>
      </c>
      <c r="G1906">
        <v>172124</v>
      </c>
      <c r="H1906" s="116"/>
      <c r="I1906" s="116"/>
      <c r="L1906" s="170">
        <v>44811</v>
      </c>
      <c r="M1906" s="116">
        <v>814.97018996767304</v>
      </c>
      <c r="N1906" s="116">
        <v>817.34072500090804</v>
      </c>
      <c r="O1906" s="116">
        <v>804.05585158548502</v>
      </c>
      <c r="P1906" s="116">
        <v>804.99418836947405</v>
      </c>
      <c r="Q1906" s="116">
        <v>825.1</v>
      </c>
      <c r="R1906">
        <v>1321905</v>
      </c>
    </row>
    <row r="1907" spans="1:18" x14ac:dyDescent="0.25">
      <c r="A1907" s="170">
        <v>44812</v>
      </c>
      <c r="B1907" s="116">
        <v>821.14261718507601</v>
      </c>
      <c r="C1907" s="116">
        <v>808.79609320021598</v>
      </c>
      <c r="D1907" s="116">
        <v>805.092136004758</v>
      </c>
      <c r="E1907" s="116">
        <v>814.91996909670695</v>
      </c>
      <c r="F1907" s="116">
        <v>818.85</v>
      </c>
      <c r="G1907">
        <v>31374</v>
      </c>
      <c r="H1907" s="116"/>
      <c r="I1907" s="116"/>
      <c r="L1907" s="170">
        <v>44812</v>
      </c>
      <c r="M1907" s="116">
        <v>809.04385238458497</v>
      </c>
      <c r="N1907" s="116">
        <v>821.39038901601805</v>
      </c>
      <c r="O1907" s="116">
        <v>804.99418836947405</v>
      </c>
      <c r="P1907" s="116">
        <v>819.06924012930904</v>
      </c>
      <c r="Q1907" s="116">
        <v>819.1</v>
      </c>
      <c r="R1907">
        <v>1094898</v>
      </c>
    </row>
    <row r="1908" spans="1:18" x14ac:dyDescent="0.25">
      <c r="A1908" s="170">
        <v>44813</v>
      </c>
      <c r="B1908" s="116">
        <v>816.25339368707102</v>
      </c>
      <c r="C1908" s="116">
        <v>806.77126326669895</v>
      </c>
      <c r="D1908" s="116">
        <v>803.11669216717996</v>
      </c>
      <c r="E1908" s="116">
        <v>811.75925895658202</v>
      </c>
      <c r="F1908" s="116">
        <v>816.8</v>
      </c>
      <c r="G1908">
        <v>29798</v>
      </c>
      <c r="H1908" s="116"/>
      <c r="I1908" s="116"/>
      <c r="L1908" s="170">
        <v>44813</v>
      </c>
      <c r="M1908" s="116">
        <v>806.27822817914398</v>
      </c>
      <c r="N1908" s="116">
        <v>816.84686353565098</v>
      </c>
      <c r="O1908" s="116">
        <v>803.16690094802198</v>
      </c>
      <c r="P1908" s="116">
        <v>816.84686353565098</v>
      </c>
      <c r="Q1908" s="116">
        <v>816.3</v>
      </c>
      <c r="R1908">
        <v>884012</v>
      </c>
    </row>
    <row r="1909" spans="1:18" x14ac:dyDescent="0.25">
      <c r="A1909" s="170">
        <v>44816</v>
      </c>
      <c r="B1909" s="116">
        <v>820.79691451350004</v>
      </c>
      <c r="C1909" s="116">
        <v>815.31505786422201</v>
      </c>
      <c r="D1909" s="116">
        <v>808.94425148803396</v>
      </c>
      <c r="E1909" s="116">
        <v>808.94425148803396</v>
      </c>
      <c r="F1909" s="116">
        <v>825.45</v>
      </c>
      <c r="G1909">
        <v>105916</v>
      </c>
      <c r="H1909" s="116"/>
      <c r="I1909" s="116"/>
      <c r="L1909" s="170">
        <v>44816</v>
      </c>
      <c r="M1909" s="116">
        <v>815.36527913987902</v>
      </c>
      <c r="N1909" s="116">
        <v>820.79775525770901</v>
      </c>
      <c r="O1909" s="116">
        <v>810.32789219425399</v>
      </c>
      <c r="P1909" s="116">
        <v>810.32789219425399</v>
      </c>
      <c r="Q1909" s="116">
        <v>825.5</v>
      </c>
      <c r="R1909">
        <v>1300582</v>
      </c>
    </row>
    <row r="1910" spans="1:18" x14ac:dyDescent="0.25">
      <c r="A1910" s="170">
        <v>44817</v>
      </c>
      <c r="B1910" s="116">
        <v>841.83539138370202</v>
      </c>
      <c r="C1910" s="116">
        <v>838.52652295575899</v>
      </c>
      <c r="D1910" s="116">
        <v>819.71042040283203</v>
      </c>
      <c r="E1910" s="116">
        <v>819.80919259471102</v>
      </c>
      <c r="F1910" s="116">
        <v>848.95</v>
      </c>
      <c r="G1910">
        <v>102254</v>
      </c>
      <c r="H1910" s="116"/>
      <c r="I1910" s="116"/>
      <c r="L1910" s="170">
        <v>44817</v>
      </c>
      <c r="M1910" s="116">
        <v>838.57676800697402</v>
      </c>
      <c r="N1910" s="116">
        <v>841.53993679851806</v>
      </c>
      <c r="O1910" s="116">
        <v>819.51371544803999</v>
      </c>
      <c r="P1910" s="116">
        <v>819.76064618066903</v>
      </c>
      <c r="Q1910" s="116">
        <v>849</v>
      </c>
      <c r="R1910">
        <v>3310733</v>
      </c>
    </row>
    <row r="1911" spans="1:18" x14ac:dyDescent="0.25">
      <c r="A1911" s="170">
        <v>44818</v>
      </c>
      <c r="B1911" s="116">
        <v>850.77427474874003</v>
      </c>
      <c r="C1911" s="116">
        <v>829.78518397447795</v>
      </c>
      <c r="D1911" s="116">
        <v>827.85912623284003</v>
      </c>
      <c r="E1911" s="116">
        <v>831.85940000393498</v>
      </c>
      <c r="F1911" s="116">
        <v>840.1</v>
      </c>
      <c r="G1911">
        <v>146082</v>
      </c>
      <c r="H1911" s="116"/>
      <c r="I1911" s="116"/>
      <c r="L1911" s="170">
        <v>44818</v>
      </c>
      <c r="M1911" s="116">
        <v>829.93419236497004</v>
      </c>
      <c r="N1911" s="116">
        <v>850.57760161272699</v>
      </c>
      <c r="O1911" s="116">
        <v>828.25506338309503</v>
      </c>
      <c r="P1911" s="116">
        <v>832.55165813083397</v>
      </c>
      <c r="Q1911" s="116">
        <v>840.25</v>
      </c>
      <c r="R1911">
        <v>3818926</v>
      </c>
    </row>
    <row r="1912" spans="1:18" x14ac:dyDescent="0.25">
      <c r="A1912" s="170">
        <v>44819</v>
      </c>
      <c r="B1912" s="116">
        <v>837.04494007757603</v>
      </c>
      <c r="C1912" s="116">
        <v>827.16772088968798</v>
      </c>
      <c r="D1912" s="116">
        <v>820.15489526628699</v>
      </c>
      <c r="E1912" s="116">
        <v>830.87167808514596</v>
      </c>
      <c r="F1912" s="116">
        <v>837.45</v>
      </c>
      <c r="G1912">
        <v>40725</v>
      </c>
      <c r="H1912" s="116"/>
      <c r="I1912" s="116"/>
      <c r="L1912" s="170">
        <v>44819</v>
      </c>
      <c r="M1912" s="116">
        <v>827.11918201300398</v>
      </c>
      <c r="N1912" s="116">
        <v>837.589045076459</v>
      </c>
      <c r="O1912" s="116">
        <v>820.00757691329795</v>
      </c>
      <c r="P1912" s="116">
        <v>834.13201481965802</v>
      </c>
      <c r="Q1912" s="116">
        <v>837.4</v>
      </c>
      <c r="R1912">
        <v>1697675</v>
      </c>
    </row>
    <row r="1913" spans="1:18" x14ac:dyDescent="0.25">
      <c r="A1913" s="170">
        <v>44820</v>
      </c>
      <c r="B1913" s="116">
        <v>828.50114548005297</v>
      </c>
      <c r="C1913" s="116">
        <v>785.63401420461798</v>
      </c>
      <c r="D1913" s="116">
        <v>781.43619604976595</v>
      </c>
      <c r="E1913" s="116">
        <v>824.74780218865499</v>
      </c>
      <c r="F1913" s="116">
        <v>795.4</v>
      </c>
      <c r="G1913">
        <v>217071</v>
      </c>
      <c r="H1913" s="116"/>
      <c r="I1913" s="116"/>
      <c r="L1913" s="170">
        <v>44820</v>
      </c>
      <c r="M1913" s="116">
        <v>785.43727434528398</v>
      </c>
      <c r="N1913" s="116">
        <v>829.390944753187</v>
      </c>
      <c r="O1913" s="116">
        <v>781.48638262322504</v>
      </c>
      <c r="P1913" s="116">
        <v>829.390944753187</v>
      </c>
      <c r="Q1913" s="116">
        <v>795.2</v>
      </c>
      <c r="R1913">
        <v>4786431</v>
      </c>
    </row>
    <row r="1914" spans="1:18" x14ac:dyDescent="0.25">
      <c r="A1914" s="170">
        <v>44823</v>
      </c>
      <c r="B1914" s="116">
        <v>791.95543448486706</v>
      </c>
      <c r="C1914" s="116">
        <v>783.164709407646</v>
      </c>
      <c r="D1914" s="116">
        <v>777.58408056649</v>
      </c>
      <c r="E1914" s="116">
        <v>787.21436927468096</v>
      </c>
      <c r="F1914" s="116">
        <v>792.9</v>
      </c>
      <c r="G1914">
        <v>598831</v>
      </c>
      <c r="H1914" s="116"/>
      <c r="I1914" s="116"/>
      <c r="L1914" s="170">
        <v>44823</v>
      </c>
      <c r="M1914" s="116">
        <v>783.26428389815101</v>
      </c>
      <c r="N1914" s="116">
        <v>792.35133485888605</v>
      </c>
      <c r="O1914" s="116">
        <v>777.68364934074305</v>
      </c>
      <c r="P1914" s="116">
        <v>789.38816606734201</v>
      </c>
      <c r="Q1914" s="116">
        <v>793</v>
      </c>
      <c r="R1914">
        <v>1707558</v>
      </c>
    </row>
    <row r="1915" spans="1:18" x14ac:dyDescent="0.25">
      <c r="A1915" s="170">
        <v>44824</v>
      </c>
      <c r="B1915" s="116">
        <v>802.72160339966501</v>
      </c>
      <c r="C1915" s="116">
        <v>793.23947297929203</v>
      </c>
      <c r="D1915" s="116">
        <v>783.26348159952499</v>
      </c>
      <c r="E1915" s="116">
        <v>783.26348159952499</v>
      </c>
      <c r="F1915" s="116">
        <v>803.1</v>
      </c>
      <c r="G1915">
        <v>112360</v>
      </c>
      <c r="H1915" s="116"/>
      <c r="I1915" s="116"/>
      <c r="L1915" s="170">
        <v>44824</v>
      </c>
      <c r="M1915" s="116">
        <v>794.32678071991597</v>
      </c>
      <c r="N1915" s="116">
        <v>802.91997021539396</v>
      </c>
      <c r="O1915" s="116">
        <v>786.17806654316996</v>
      </c>
      <c r="P1915" s="116">
        <v>787.21517562020995</v>
      </c>
      <c r="Q1915" s="116">
        <v>804.2</v>
      </c>
      <c r="R1915">
        <v>1547208</v>
      </c>
    </row>
    <row r="1916" spans="1:18" x14ac:dyDescent="0.25">
      <c r="A1916" s="170">
        <v>44825</v>
      </c>
      <c r="B1916" s="116">
        <v>801.19063442554204</v>
      </c>
      <c r="C1916" s="116">
        <v>794.27658099402004</v>
      </c>
      <c r="D1916" s="116">
        <v>788.54779386504504</v>
      </c>
      <c r="E1916" s="116">
        <v>790.32569331886498</v>
      </c>
      <c r="F1916" s="116">
        <v>804.15</v>
      </c>
      <c r="G1916">
        <v>26746</v>
      </c>
      <c r="H1916" s="116"/>
      <c r="I1916" s="116"/>
      <c r="L1916" s="170">
        <v>44825</v>
      </c>
      <c r="M1916" s="116">
        <v>794.32678071991597</v>
      </c>
      <c r="N1916" s="116">
        <v>801.04329664741601</v>
      </c>
      <c r="O1916" s="116">
        <v>788.30167084377604</v>
      </c>
      <c r="P1916" s="116">
        <v>794.32678071991597</v>
      </c>
      <c r="Q1916" s="116">
        <v>804.2</v>
      </c>
      <c r="R1916">
        <v>1082534</v>
      </c>
    </row>
    <row r="1917" spans="1:18" x14ac:dyDescent="0.25">
      <c r="A1917" s="170">
        <v>44826</v>
      </c>
      <c r="B1917" s="116">
        <v>797.28913284632597</v>
      </c>
      <c r="C1917" s="116">
        <v>792.69622592395797</v>
      </c>
      <c r="D1917" s="116">
        <v>778.76934686903599</v>
      </c>
      <c r="E1917" s="116">
        <v>787.80700242595401</v>
      </c>
      <c r="F1917" s="116">
        <v>802.55</v>
      </c>
      <c r="G1917">
        <v>35813</v>
      </c>
      <c r="H1917" s="116"/>
      <c r="I1917" s="116"/>
      <c r="L1917" s="170">
        <v>44826</v>
      </c>
      <c r="M1917" s="116">
        <v>793.33905778940095</v>
      </c>
      <c r="N1917" s="116">
        <v>797.83319712324305</v>
      </c>
      <c r="O1917" s="116">
        <v>778.32566924557796</v>
      </c>
      <c r="P1917" s="116">
        <v>790.72159202353703</v>
      </c>
      <c r="Q1917" s="116">
        <v>803.2</v>
      </c>
      <c r="R1917">
        <v>1255234</v>
      </c>
    </row>
    <row r="1918" spans="1:18" x14ac:dyDescent="0.25">
      <c r="A1918" s="170">
        <v>44827</v>
      </c>
      <c r="B1918" s="116">
        <v>796.25202483159796</v>
      </c>
      <c r="C1918" s="116">
        <v>772.29976830096996</v>
      </c>
      <c r="D1918" s="116">
        <v>769.87984959993696</v>
      </c>
      <c r="E1918" s="116">
        <v>792.15297886862504</v>
      </c>
      <c r="F1918" s="116">
        <v>781.9</v>
      </c>
      <c r="G1918">
        <v>39411</v>
      </c>
      <c r="H1918" s="116"/>
      <c r="I1918" s="116"/>
      <c r="L1918" s="170">
        <v>44827</v>
      </c>
      <c r="M1918" s="116">
        <v>771.95485634375802</v>
      </c>
      <c r="N1918" s="116">
        <v>796.40099887399697</v>
      </c>
      <c r="O1918" s="116">
        <v>769.93002433620302</v>
      </c>
      <c r="P1918" s="116">
        <v>793.14151320329802</v>
      </c>
      <c r="Q1918" s="116">
        <v>781.55</v>
      </c>
      <c r="R1918">
        <v>1229421</v>
      </c>
    </row>
    <row r="1919" spans="1:18" x14ac:dyDescent="0.25">
      <c r="A1919" s="170">
        <v>44830</v>
      </c>
      <c r="B1919" s="116">
        <v>775.31232015327498</v>
      </c>
      <c r="C1919" s="116">
        <v>771.31204638218105</v>
      </c>
      <c r="D1919" s="116">
        <v>752.69348821301196</v>
      </c>
      <c r="E1919" s="116">
        <v>767.06484213138901</v>
      </c>
      <c r="F1919" s="116">
        <v>780.9</v>
      </c>
      <c r="G1919">
        <v>104642</v>
      </c>
      <c r="H1919" s="116"/>
      <c r="I1919" s="116"/>
      <c r="L1919" s="170">
        <v>44830</v>
      </c>
      <c r="M1919" s="116">
        <v>771.26345029239803</v>
      </c>
      <c r="N1919" s="116">
        <v>776.30083723802295</v>
      </c>
      <c r="O1919" s="116">
        <v>752.64487305219598</v>
      </c>
      <c r="P1919" s="116">
        <v>769.43616287094596</v>
      </c>
      <c r="Q1919" s="116">
        <v>780.85</v>
      </c>
      <c r="R1919">
        <v>1431943</v>
      </c>
    </row>
    <row r="1920" spans="1:18" x14ac:dyDescent="0.25">
      <c r="A1920" s="170">
        <v>44831</v>
      </c>
      <c r="B1920" s="116">
        <v>791.16525694983602</v>
      </c>
      <c r="C1920" s="116">
        <v>786.96743879498297</v>
      </c>
      <c r="D1920" s="116">
        <v>772.29976830096996</v>
      </c>
      <c r="E1920" s="116">
        <v>772.79362926036401</v>
      </c>
      <c r="F1920" s="116">
        <v>796.75</v>
      </c>
      <c r="G1920">
        <v>96835</v>
      </c>
      <c r="H1920" s="116"/>
      <c r="I1920" s="116"/>
      <c r="L1920" s="170">
        <v>44831</v>
      </c>
      <c r="M1920" s="116">
        <v>788.054740111147</v>
      </c>
      <c r="N1920" s="116">
        <v>791.56115651447499</v>
      </c>
      <c r="O1920" s="116">
        <v>771.46099487850097</v>
      </c>
      <c r="P1920" s="116">
        <v>775.16495586793098</v>
      </c>
      <c r="Q1920" s="116">
        <v>797.85</v>
      </c>
      <c r="R1920">
        <v>1830866</v>
      </c>
    </row>
    <row r="1921" spans="1:18" x14ac:dyDescent="0.25">
      <c r="A1921" s="170">
        <v>44832</v>
      </c>
      <c r="B1921" s="116">
        <v>794.12842270620195</v>
      </c>
      <c r="C1921" s="116">
        <v>783.21409550358601</v>
      </c>
      <c r="D1921" s="116">
        <v>780.79417680255301</v>
      </c>
      <c r="E1921" s="116">
        <v>782.42391796855497</v>
      </c>
      <c r="F1921" s="116">
        <v>792.95</v>
      </c>
      <c r="G1921">
        <v>37315</v>
      </c>
      <c r="H1921" s="116"/>
      <c r="I1921" s="116"/>
      <c r="L1921" s="170">
        <v>44832</v>
      </c>
      <c r="M1921" s="116">
        <v>783.90630380298603</v>
      </c>
      <c r="N1921" s="116">
        <v>794.32678071991597</v>
      </c>
      <c r="O1921" s="116">
        <v>780.35050125313296</v>
      </c>
      <c r="P1921" s="116">
        <v>786.17806654316996</v>
      </c>
      <c r="Q1921" s="116">
        <v>793.65</v>
      </c>
      <c r="R1921">
        <v>1415083</v>
      </c>
    </row>
    <row r="1922" spans="1:18" x14ac:dyDescent="0.25">
      <c r="A1922" s="170">
        <v>44833</v>
      </c>
      <c r="B1922" s="116">
        <v>793.733333938687</v>
      </c>
      <c r="C1922" s="116">
        <v>782.275759680737</v>
      </c>
      <c r="D1922" s="116">
        <v>780.54724632285604</v>
      </c>
      <c r="E1922" s="116">
        <v>783.60918427110096</v>
      </c>
      <c r="F1922" s="116">
        <v>792</v>
      </c>
      <c r="G1922">
        <v>55939</v>
      </c>
      <c r="H1922" s="116"/>
      <c r="I1922" s="116"/>
      <c r="L1922" s="170">
        <v>44833</v>
      </c>
      <c r="M1922" s="116">
        <v>782.86919472594502</v>
      </c>
      <c r="N1922" s="116">
        <v>793.83291925465801</v>
      </c>
      <c r="O1922" s="116">
        <v>780.59743198576098</v>
      </c>
      <c r="P1922" s="116">
        <v>787.85719552504497</v>
      </c>
      <c r="Q1922" s="116">
        <v>792.6</v>
      </c>
      <c r="R1922">
        <v>1136839</v>
      </c>
    </row>
    <row r="1923" spans="1:18" x14ac:dyDescent="0.25">
      <c r="A1923" s="170">
        <v>44834</v>
      </c>
      <c r="B1923" s="116">
        <v>796.15325263971897</v>
      </c>
      <c r="C1923" s="116">
        <v>793.53578955492901</v>
      </c>
      <c r="D1923" s="116">
        <v>777.33715008679201</v>
      </c>
      <c r="E1923" s="116">
        <v>780.39908803503795</v>
      </c>
      <c r="F1923" s="116">
        <v>803.4</v>
      </c>
      <c r="G1923">
        <v>79578</v>
      </c>
      <c r="H1923" s="116"/>
      <c r="I1923" s="116"/>
      <c r="L1923" s="170">
        <v>44834</v>
      </c>
      <c r="M1923" s="116">
        <v>792.99335476372096</v>
      </c>
      <c r="N1923" s="116">
        <v>796.10468199484205</v>
      </c>
      <c r="O1923" s="116">
        <v>777.33794631506305</v>
      </c>
      <c r="P1923" s="116">
        <v>781.28883803712199</v>
      </c>
      <c r="Q1923" s="116">
        <v>802.85</v>
      </c>
      <c r="R1923">
        <v>1436359</v>
      </c>
    </row>
    <row r="1924" spans="1:18" x14ac:dyDescent="0.25">
      <c r="A1924" s="170">
        <v>44837</v>
      </c>
      <c r="B1924" s="116">
        <v>794.22719489808105</v>
      </c>
      <c r="C1924" s="116">
        <v>768.44765281769298</v>
      </c>
      <c r="D1924" s="116">
        <v>766.71913945981305</v>
      </c>
      <c r="E1924" s="116">
        <v>790.57262379856297</v>
      </c>
      <c r="F1924" s="116">
        <v>778</v>
      </c>
      <c r="G1924">
        <v>82275</v>
      </c>
      <c r="H1924" s="116"/>
      <c r="I1924" s="116"/>
      <c r="L1924" s="170">
        <v>44837</v>
      </c>
      <c r="M1924" s="116">
        <v>768.39905379390495</v>
      </c>
      <c r="N1924" s="116">
        <v>794.91941447822501</v>
      </c>
      <c r="O1924" s="116">
        <v>766.47299407940102</v>
      </c>
      <c r="P1924" s="116">
        <v>792.99335476372096</v>
      </c>
      <c r="Q1924" s="116">
        <v>777.95</v>
      </c>
      <c r="R1924">
        <v>1652675</v>
      </c>
    </row>
    <row r="1925" spans="1:18" x14ac:dyDescent="0.25">
      <c r="A1925" s="170">
        <v>44838</v>
      </c>
      <c r="B1925" s="116">
        <v>782.275759680737</v>
      </c>
      <c r="C1925" s="116">
        <v>775.36170624921499</v>
      </c>
      <c r="D1925" s="116">
        <v>772.39854049284895</v>
      </c>
      <c r="E1925" s="116">
        <v>775.90495330454905</v>
      </c>
      <c r="F1925" s="116">
        <v>785</v>
      </c>
      <c r="G1925">
        <v>30764</v>
      </c>
      <c r="H1925" s="116"/>
      <c r="I1925" s="116"/>
      <c r="L1925" s="170">
        <v>44838</v>
      </c>
      <c r="M1925" s="116">
        <v>775.51065889361098</v>
      </c>
      <c r="N1925" s="116">
        <v>782.72103628636796</v>
      </c>
      <c r="O1925" s="116">
        <v>771.60915331807803</v>
      </c>
      <c r="P1925" s="116">
        <v>777.09101558243401</v>
      </c>
      <c r="Q1925" s="116">
        <v>785.15</v>
      </c>
      <c r="R1925">
        <v>1238967</v>
      </c>
    </row>
    <row r="1926" spans="1:18" x14ac:dyDescent="0.25">
      <c r="A1926" s="170">
        <v>44840</v>
      </c>
      <c r="B1926" s="116">
        <v>789.38735749601597</v>
      </c>
      <c r="C1926" s="116">
        <v>784.448747902072</v>
      </c>
      <c r="D1926" s="116">
        <v>774.62091481012305</v>
      </c>
      <c r="E1926" s="116">
        <v>780.30031584315896</v>
      </c>
      <c r="F1926" s="116">
        <v>794.2</v>
      </c>
      <c r="G1926">
        <v>33548</v>
      </c>
      <c r="H1926" s="116"/>
      <c r="I1926" s="116"/>
      <c r="L1926" s="170">
        <v>44840</v>
      </c>
      <c r="M1926" s="116">
        <v>784.54832370782003</v>
      </c>
      <c r="N1926" s="116">
        <v>789.783255239548</v>
      </c>
      <c r="O1926" s="116">
        <v>774.47354981656997</v>
      </c>
      <c r="P1926" s="116">
        <v>780.30111510660697</v>
      </c>
      <c r="Q1926" s="116">
        <v>794.3</v>
      </c>
      <c r="R1926">
        <v>2067042</v>
      </c>
    </row>
    <row r="1927" spans="1:18" x14ac:dyDescent="0.25">
      <c r="A1927" s="170">
        <v>44841</v>
      </c>
      <c r="B1927" s="116">
        <v>784.10304523049604</v>
      </c>
      <c r="C1927" s="116">
        <v>771.11450199842295</v>
      </c>
      <c r="D1927" s="116">
        <v>769.68230521617897</v>
      </c>
      <c r="E1927" s="116">
        <v>776.34942816800401</v>
      </c>
      <c r="F1927" s="116">
        <v>780.7</v>
      </c>
      <c r="G1927">
        <v>46044</v>
      </c>
      <c r="H1927" s="116"/>
      <c r="I1927" s="116"/>
      <c r="L1927" s="170">
        <v>44841</v>
      </c>
      <c r="M1927" s="116">
        <v>771.312836438923</v>
      </c>
      <c r="N1927" s="116">
        <v>784.15323453561405</v>
      </c>
      <c r="O1927" s="116">
        <v>769.48554901747104</v>
      </c>
      <c r="P1927" s="116">
        <v>778.22689695252598</v>
      </c>
      <c r="Q1927" s="116">
        <v>780.9</v>
      </c>
      <c r="R1927">
        <v>1053907</v>
      </c>
    </row>
    <row r="1928" spans="1:18" x14ac:dyDescent="0.25">
      <c r="A1928" s="170">
        <v>44844</v>
      </c>
      <c r="B1928" s="116">
        <v>765.18817048568997</v>
      </c>
      <c r="C1928" s="116">
        <v>747.95242300282496</v>
      </c>
      <c r="D1928" s="116">
        <v>746.22390964494502</v>
      </c>
      <c r="E1928" s="116">
        <v>759.50876945265497</v>
      </c>
      <c r="F1928" s="116">
        <v>757.25</v>
      </c>
      <c r="G1928">
        <v>51884</v>
      </c>
      <c r="H1928" s="116"/>
      <c r="I1928" s="116"/>
      <c r="L1928" s="170">
        <v>44844</v>
      </c>
      <c r="M1928" s="116">
        <v>747.85441683919896</v>
      </c>
      <c r="N1928" s="116">
        <v>765.53465729541199</v>
      </c>
      <c r="O1928" s="116">
        <v>745.730812538593</v>
      </c>
      <c r="P1928" s="116">
        <v>759.80586429842697</v>
      </c>
      <c r="Q1928" s="116">
        <v>757.15</v>
      </c>
      <c r="R1928">
        <v>2334168</v>
      </c>
    </row>
    <row r="1929" spans="1:18" x14ac:dyDescent="0.25">
      <c r="A1929" s="170">
        <v>44845</v>
      </c>
      <c r="B1929" s="116">
        <v>750.66865827949505</v>
      </c>
      <c r="C1929" s="116">
        <v>733.82799956414601</v>
      </c>
      <c r="D1929" s="116">
        <v>730.96360599965794</v>
      </c>
      <c r="E1929" s="116">
        <v>747.95242300282496</v>
      </c>
      <c r="F1929" s="116">
        <v>742.95</v>
      </c>
      <c r="G1929">
        <v>873655</v>
      </c>
      <c r="H1929" s="116"/>
      <c r="I1929" s="116"/>
      <c r="L1929" s="170">
        <v>44845</v>
      </c>
      <c r="M1929" s="116">
        <v>733.48304820021099</v>
      </c>
      <c r="N1929" s="116">
        <v>750.52126875158899</v>
      </c>
      <c r="O1929" s="116">
        <v>731.16189931350095</v>
      </c>
      <c r="P1929" s="116">
        <v>748.69398133013704</v>
      </c>
      <c r="Q1929" s="116">
        <v>742.6</v>
      </c>
      <c r="R1929">
        <v>1956824</v>
      </c>
    </row>
    <row r="1930" spans="1:18" x14ac:dyDescent="0.25">
      <c r="A1930" s="170">
        <v>44846</v>
      </c>
      <c r="B1930" s="116">
        <v>749.48339197694804</v>
      </c>
      <c r="C1930" s="116">
        <v>747.70549252312799</v>
      </c>
      <c r="D1930" s="116">
        <v>730.02527017680904</v>
      </c>
      <c r="E1930" s="116">
        <v>731.95132791844696</v>
      </c>
      <c r="F1930" s="116">
        <v>757</v>
      </c>
      <c r="G1930">
        <v>65619</v>
      </c>
      <c r="H1930" s="116"/>
      <c r="I1930" s="116"/>
      <c r="L1930" s="170">
        <v>44846</v>
      </c>
      <c r="M1930" s="116">
        <v>748.05196142530201</v>
      </c>
      <c r="N1930" s="116">
        <v>749.68170426065205</v>
      </c>
      <c r="O1930" s="116">
        <v>729.72970106425498</v>
      </c>
      <c r="P1930" s="116">
        <v>736.34744469870304</v>
      </c>
      <c r="Q1930" s="116">
        <v>757.35</v>
      </c>
      <c r="R1930">
        <v>1372962</v>
      </c>
    </row>
    <row r="1931" spans="1:18" x14ac:dyDescent="0.25">
      <c r="A1931" s="170">
        <v>44847</v>
      </c>
      <c r="B1931" s="116">
        <v>750.81681656731303</v>
      </c>
      <c r="C1931" s="116">
        <v>748.19935348252295</v>
      </c>
      <c r="D1931" s="116">
        <v>740.14941984439395</v>
      </c>
      <c r="E1931" s="116">
        <v>747.70549252312799</v>
      </c>
      <c r="F1931" s="116">
        <v>757.5</v>
      </c>
      <c r="G1931">
        <v>16710</v>
      </c>
      <c r="H1931" s="116"/>
      <c r="I1931" s="116"/>
      <c r="L1931" s="170">
        <v>44847</v>
      </c>
      <c r="M1931" s="116">
        <v>748.101347571828</v>
      </c>
      <c r="N1931" s="116">
        <v>750.86697177726899</v>
      </c>
      <c r="O1931" s="116">
        <v>739.95263339508199</v>
      </c>
      <c r="P1931" s="116">
        <v>745.68142639206701</v>
      </c>
      <c r="Q1931" s="116">
        <v>757.4</v>
      </c>
      <c r="R1931">
        <v>1198492</v>
      </c>
    </row>
    <row r="1932" spans="1:18" x14ac:dyDescent="0.25">
      <c r="A1932" s="170">
        <v>44848</v>
      </c>
      <c r="B1932" s="116">
        <v>759.06429458920002</v>
      </c>
      <c r="C1932" s="116">
        <v>751.95269677392002</v>
      </c>
      <c r="D1932" s="116">
        <v>750.66865827949505</v>
      </c>
      <c r="E1932" s="116">
        <v>754.86647643434696</v>
      </c>
      <c r="F1932" s="116">
        <v>761.3</v>
      </c>
      <c r="G1932">
        <v>65601</v>
      </c>
      <c r="H1932" s="116"/>
      <c r="I1932" s="116"/>
      <c r="L1932" s="170">
        <v>44848</v>
      </c>
      <c r="M1932" s="116">
        <v>751.90408085431</v>
      </c>
      <c r="N1932" s="116">
        <v>759.50954741927296</v>
      </c>
      <c r="O1932" s="116">
        <v>750.66942719116605</v>
      </c>
      <c r="P1932" s="116">
        <v>759.50954741927296</v>
      </c>
      <c r="Q1932" s="116">
        <v>761.25</v>
      </c>
      <c r="R1932">
        <v>1278730</v>
      </c>
    </row>
    <row r="1933" spans="1:18" x14ac:dyDescent="0.25">
      <c r="A1933" s="170">
        <v>44851</v>
      </c>
      <c r="B1933" s="116">
        <v>762.32377692120303</v>
      </c>
      <c r="C1933" s="116">
        <v>753.33550746022399</v>
      </c>
      <c r="D1933" s="116">
        <v>748.10058129064396</v>
      </c>
      <c r="E1933" s="116">
        <v>748.94014492161398</v>
      </c>
      <c r="F1933" s="116">
        <v>762.7</v>
      </c>
      <c r="G1933">
        <v>839241</v>
      </c>
      <c r="H1933" s="116"/>
      <c r="I1933" s="116"/>
      <c r="L1933" s="170">
        <v>44851</v>
      </c>
      <c r="M1933" s="116">
        <v>753.78075442228806</v>
      </c>
      <c r="N1933" s="116">
        <v>762.472716210817</v>
      </c>
      <c r="O1933" s="116">
        <v>748.00257527877704</v>
      </c>
      <c r="P1933" s="116">
        <v>751.90408085431</v>
      </c>
      <c r="Q1933" s="116">
        <v>763.15</v>
      </c>
      <c r="R1933">
        <v>940646</v>
      </c>
    </row>
    <row r="1934" spans="1:18" x14ac:dyDescent="0.25">
      <c r="A1934" s="170">
        <v>44852</v>
      </c>
      <c r="B1934" s="116">
        <v>766.86729774763103</v>
      </c>
      <c r="C1934" s="116">
        <v>764.89185391005299</v>
      </c>
      <c r="D1934" s="116">
        <v>754.42200157089201</v>
      </c>
      <c r="E1934" s="116">
        <v>756.29867321659106</v>
      </c>
      <c r="F1934" s="116">
        <v>774.4</v>
      </c>
      <c r="G1934">
        <v>19441</v>
      </c>
      <c r="H1934" s="116"/>
      <c r="I1934" s="116"/>
      <c r="L1934" s="170">
        <v>44852</v>
      </c>
      <c r="M1934" s="116">
        <v>764.843251244052</v>
      </c>
      <c r="N1934" s="116">
        <v>766.47299407940102</v>
      </c>
      <c r="O1934" s="116">
        <v>754.17584359449302</v>
      </c>
      <c r="P1934" s="116">
        <v>757.58348770476903</v>
      </c>
      <c r="Q1934" s="116">
        <v>774.35</v>
      </c>
      <c r="R1934">
        <v>1361691</v>
      </c>
    </row>
    <row r="1935" spans="1:18" x14ac:dyDescent="0.25">
      <c r="A1935" s="170">
        <v>44853</v>
      </c>
      <c r="B1935" s="116">
        <v>767.55870309078296</v>
      </c>
      <c r="C1935" s="116">
        <v>754.96524862622596</v>
      </c>
      <c r="D1935" s="116">
        <v>751.80453848610205</v>
      </c>
      <c r="E1935" s="116">
        <v>761.58298548211098</v>
      </c>
      <c r="F1935" s="116">
        <v>764.35</v>
      </c>
      <c r="G1935">
        <v>38645</v>
      </c>
      <c r="H1935" s="116"/>
      <c r="I1935" s="116"/>
      <c r="L1935" s="170">
        <v>44853</v>
      </c>
      <c r="M1935" s="116">
        <v>755.16356652500804</v>
      </c>
      <c r="N1935" s="116">
        <v>767.46071700991604</v>
      </c>
      <c r="O1935" s="116">
        <v>751.75592241473203</v>
      </c>
      <c r="P1935" s="116">
        <v>764.94202353710398</v>
      </c>
      <c r="Q1935" s="116">
        <v>764.55</v>
      </c>
      <c r="R1935">
        <v>1115277</v>
      </c>
    </row>
    <row r="1936" spans="1:18" x14ac:dyDescent="0.25">
      <c r="A1936" s="170">
        <v>44854</v>
      </c>
      <c r="B1936" s="116">
        <v>762.669479592779</v>
      </c>
      <c r="C1936" s="116">
        <v>760.79280794707995</v>
      </c>
      <c r="D1936" s="116">
        <v>746.42145402870301</v>
      </c>
      <c r="E1936" s="116">
        <v>753.63182403586097</v>
      </c>
      <c r="F1936" s="116">
        <v>770.25</v>
      </c>
      <c r="G1936">
        <v>20358</v>
      </c>
      <c r="H1936" s="116"/>
      <c r="I1936" s="116"/>
      <c r="L1936" s="170">
        <v>44854</v>
      </c>
      <c r="M1936" s="116">
        <v>761.23806254767396</v>
      </c>
      <c r="N1936" s="116">
        <v>762.52210235734299</v>
      </c>
      <c r="O1936" s="116">
        <v>746.22467400385005</v>
      </c>
      <c r="P1936" s="116">
        <v>752.200397733464</v>
      </c>
      <c r="Q1936" s="116">
        <v>770.7</v>
      </c>
      <c r="R1936">
        <v>955562</v>
      </c>
    </row>
    <row r="1937" spans="1:18" x14ac:dyDescent="0.25">
      <c r="A1937" s="170">
        <v>44855</v>
      </c>
      <c r="B1937" s="116">
        <v>770.670027134968</v>
      </c>
      <c r="C1937" s="116">
        <v>752.100855061738</v>
      </c>
      <c r="D1937" s="116">
        <v>746.32268183682402</v>
      </c>
      <c r="E1937" s="116">
        <v>764.54615123847702</v>
      </c>
      <c r="F1937" s="116">
        <v>761.45</v>
      </c>
      <c r="G1937">
        <v>40811</v>
      </c>
      <c r="H1937" s="116"/>
      <c r="I1937" s="116"/>
      <c r="L1937" s="170">
        <v>44855</v>
      </c>
      <c r="M1937" s="116">
        <v>752.29917002651598</v>
      </c>
      <c r="N1937" s="116">
        <v>771.26345029239803</v>
      </c>
      <c r="O1937" s="116">
        <v>745.78019868511899</v>
      </c>
      <c r="P1937" s="116">
        <v>763.50982528785698</v>
      </c>
      <c r="Q1937" s="116">
        <v>761.65</v>
      </c>
      <c r="R1937">
        <v>1692279</v>
      </c>
    </row>
    <row r="1938" spans="1:18" x14ac:dyDescent="0.25">
      <c r="A1938" s="170">
        <v>44858</v>
      </c>
      <c r="B1938" s="116">
        <v>765.48448706132694</v>
      </c>
      <c r="C1938" s="116">
        <v>761.73114376992896</v>
      </c>
      <c r="D1938" s="116">
        <v>756.19990102471195</v>
      </c>
      <c r="E1938" s="116">
        <v>760.99035233083805</v>
      </c>
      <c r="F1938" s="116">
        <v>771.2</v>
      </c>
      <c r="G1938">
        <v>14977</v>
      </c>
      <c r="H1938" s="116"/>
      <c r="I1938" s="116"/>
      <c r="L1938" s="170">
        <v>44858</v>
      </c>
      <c r="M1938" s="116">
        <v>761.48499328030198</v>
      </c>
      <c r="N1938" s="116">
        <v>766.47299407940102</v>
      </c>
      <c r="O1938" s="116">
        <v>755.45988340416295</v>
      </c>
      <c r="P1938" s="116">
        <v>760.54665649631295</v>
      </c>
      <c r="Q1938" s="116">
        <v>770.95</v>
      </c>
      <c r="R1938">
        <v>292558</v>
      </c>
    </row>
    <row r="1939" spans="1:18" x14ac:dyDescent="0.25">
      <c r="A1939" s="170">
        <v>44859</v>
      </c>
      <c r="B1939" s="116">
        <v>767.41054480296498</v>
      </c>
      <c r="C1939" s="116">
        <v>757.63209780695604</v>
      </c>
      <c r="D1939" s="116">
        <v>755.60726787343901</v>
      </c>
      <c r="E1939" s="116">
        <v>758.91613630138102</v>
      </c>
      <c r="F1939" s="116">
        <v>767.05</v>
      </c>
      <c r="G1939">
        <v>542378</v>
      </c>
      <c r="H1939" s="116"/>
      <c r="I1939" s="116"/>
      <c r="L1939" s="170">
        <v>44859</v>
      </c>
      <c r="M1939" s="116">
        <v>757.53410155824304</v>
      </c>
      <c r="N1939" s="116">
        <v>767.26317242381299</v>
      </c>
      <c r="O1939" s="116">
        <v>755.26233881806002</v>
      </c>
      <c r="P1939" s="116">
        <v>760.54665649631295</v>
      </c>
      <c r="Q1939" s="116">
        <v>766.95</v>
      </c>
      <c r="R1939">
        <v>871995</v>
      </c>
    </row>
    <row r="1940" spans="1:18" x14ac:dyDescent="0.25">
      <c r="A1940" s="170">
        <v>44861</v>
      </c>
      <c r="B1940" s="116">
        <v>769.92923569587595</v>
      </c>
      <c r="C1940" s="116">
        <v>761.23728281053502</v>
      </c>
      <c r="D1940" s="116">
        <v>750.17479732009997</v>
      </c>
      <c r="E1940" s="116">
        <v>765.48448706132694</v>
      </c>
      <c r="F1940" s="116">
        <v>770.7</v>
      </c>
      <c r="G1940">
        <v>81946</v>
      </c>
      <c r="H1940" s="116"/>
      <c r="I1940" s="116"/>
      <c r="L1940" s="170">
        <v>44861</v>
      </c>
      <c r="M1940" s="116">
        <v>760.59604264283905</v>
      </c>
      <c r="N1940" s="116">
        <v>769.93002433620302</v>
      </c>
      <c r="O1940" s="116">
        <v>750.27433801896098</v>
      </c>
      <c r="P1940" s="116">
        <v>765.23834041625798</v>
      </c>
      <c r="Q1940" s="116">
        <v>770.05</v>
      </c>
      <c r="R1940">
        <v>1692389</v>
      </c>
    </row>
    <row r="1941" spans="1:18" x14ac:dyDescent="0.25">
      <c r="A1941" s="170">
        <v>44862</v>
      </c>
      <c r="B1941" s="116">
        <v>765.28694267756896</v>
      </c>
      <c r="C1941" s="116">
        <v>751.95269677392002</v>
      </c>
      <c r="D1941" s="116">
        <v>749.97725293634198</v>
      </c>
      <c r="E1941" s="116">
        <v>765.28694267756896</v>
      </c>
      <c r="F1941" s="116">
        <v>761.3</v>
      </c>
      <c r="G1941">
        <v>37692</v>
      </c>
      <c r="H1941" s="116"/>
      <c r="I1941" s="116"/>
      <c r="L1941" s="170">
        <v>44862</v>
      </c>
      <c r="M1941" s="116">
        <v>752.00285314736095</v>
      </c>
      <c r="N1941" s="116">
        <v>763.95430060658896</v>
      </c>
      <c r="O1941" s="116">
        <v>750.175565725909</v>
      </c>
      <c r="P1941" s="116">
        <v>763.95430060658896</v>
      </c>
      <c r="Q1941" s="116">
        <v>761.35</v>
      </c>
      <c r="R1941">
        <v>1598314</v>
      </c>
    </row>
    <row r="1942" spans="1:18" x14ac:dyDescent="0.25">
      <c r="A1942" s="170">
        <v>44865</v>
      </c>
      <c r="B1942" s="116">
        <v>762.71886568871798</v>
      </c>
      <c r="C1942" s="116">
        <v>760.64464965926197</v>
      </c>
      <c r="D1942" s="116">
        <v>752.347785541436</v>
      </c>
      <c r="E1942" s="116">
        <v>752.64410211707195</v>
      </c>
      <c r="F1942" s="116">
        <v>770.1</v>
      </c>
      <c r="G1942">
        <v>23704</v>
      </c>
      <c r="H1942" s="116"/>
      <c r="I1942" s="116"/>
      <c r="L1942" s="170">
        <v>44865</v>
      </c>
      <c r="M1942" s="116">
        <v>760.69481493589001</v>
      </c>
      <c r="N1942" s="116">
        <v>762.96657767607405</v>
      </c>
      <c r="O1942" s="116">
        <v>752.546100759144</v>
      </c>
      <c r="P1942" s="116">
        <v>755.80558642984295</v>
      </c>
      <c r="Q1942" s="116">
        <v>770.15</v>
      </c>
      <c r="R1942">
        <v>997865</v>
      </c>
    </row>
    <row r="1943" spans="1:18" x14ac:dyDescent="0.25">
      <c r="A1943" s="170">
        <v>44866</v>
      </c>
      <c r="B1943" s="116">
        <v>774.96661748169902</v>
      </c>
      <c r="C1943" s="116">
        <v>765.23755658162997</v>
      </c>
      <c r="D1943" s="116">
        <v>758.52104753386595</v>
      </c>
      <c r="E1943" s="116">
        <v>761.533599386172</v>
      </c>
      <c r="F1943" s="116">
        <v>774.75</v>
      </c>
      <c r="G1943">
        <v>36209</v>
      </c>
      <c r="H1943" s="116"/>
      <c r="I1943" s="116"/>
      <c r="L1943" s="170">
        <v>44866</v>
      </c>
      <c r="M1943" s="116">
        <v>765.33711270930996</v>
      </c>
      <c r="N1943" s="116">
        <v>774.86863898877596</v>
      </c>
      <c r="O1943" s="116">
        <v>757.97857687697501</v>
      </c>
      <c r="P1943" s="116">
        <v>763.50982528785698</v>
      </c>
      <c r="Q1943" s="116">
        <v>774.85</v>
      </c>
      <c r="R1943">
        <v>1893673</v>
      </c>
    </row>
    <row r="1944" spans="1:18" x14ac:dyDescent="0.25">
      <c r="A1944" s="170">
        <v>44867</v>
      </c>
      <c r="B1944" s="116">
        <v>768.34888062581399</v>
      </c>
      <c r="C1944" s="116">
        <v>758.61981972574404</v>
      </c>
      <c r="D1944" s="116">
        <v>755.26156520186305</v>
      </c>
      <c r="E1944" s="116">
        <v>763.75597370344599</v>
      </c>
      <c r="F1944" s="116">
        <v>768.05</v>
      </c>
      <c r="G1944">
        <v>167709</v>
      </c>
      <c r="H1944" s="116"/>
      <c r="I1944" s="116"/>
      <c r="L1944" s="170">
        <v>44867</v>
      </c>
      <c r="M1944" s="116">
        <v>758.62059678181004</v>
      </c>
      <c r="N1944" s="116">
        <v>768.64598452653399</v>
      </c>
      <c r="O1944" s="116">
        <v>755.31172496458498</v>
      </c>
      <c r="P1944" s="116">
        <v>766.47299407940102</v>
      </c>
      <c r="Q1944" s="116">
        <v>768.05</v>
      </c>
      <c r="R1944">
        <v>1073726</v>
      </c>
    </row>
    <row r="1945" spans="1:18" x14ac:dyDescent="0.25">
      <c r="A1945" s="170">
        <v>44868</v>
      </c>
      <c r="B1945" s="116">
        <v>760.05201650798801</v>
      </c>
      <c r="C1945" s="116">
        <v>753.28612136428501</v>
      </c>
      <c r="D1945" s="116">
        <v>747.40917594749203</v>
      </c>
      <c r="E1945" s="116">
        <v>758.57043362980505</v>
      </c>
      <c r="F1945" s="116">
        <v>762.65</v>
      </c>
      <c r="G1945">
        <v>38066</v>
      </c>
      <c r="H1945" s="116"/>
      <c r="I1945" s="116"/>
      <c r="L1945" s="170">
        <v>44868</v>
      </c>
      <c r="M1945" s="116">
        <v>753.38566525008196</v>
      </c>
      <c r="N1945" s="116">
        <v>760.54665649631295</v>
      </c>
      <c r="O1945" s="116">
        <v>747.36055537394202</v>
      </c>
      <c r="P1945" s="116">
        <v>758.62059678181004</v>
      </c>
      <c r="Q1945" s="116">
        <v>762.75</v>
      </c>
      <c r="R1945">
        <v>1573795</v>
      </c>
    </row>
    <row r="1946" spans="1:18" x14ac:dyDescent="0.25">
      <c r="A1946" s="170">
        <v>44869</v>
      </c>
      <c r="B1946" s="116">
        <v>757.03946465568299</v>
      </c>
      <c r="C1946" s="116">
        <v>755.45910958562001</v>
      </c>
      <c r="D1946" s="116">
        <v>747.70549252312799</v>
      </c>
      <c r="E1946" s="116">
        <v>747.70549252312799</v>
      </c>
      <c r="F1946" s="116">
        <v>764.85</v>
      </c>
      <c r="G1946">
        <v>15397</v>
      </c>
      <c r="H1946" s="116"/>
      <c r="I1946" s="116"/>
      <c r="L1946" s="170">
        <v>44869</v>
      </c>
      <c r="M1946" s="116">
        <v>754.916635792379</v>
      </c>
      <c r="N1946" s="116">
        <v>757.58348770476903</v>
      </c>
      <c r="O1946" s="116">
        <v>749.87924884675499</v>
      </c>
      <c r="P1946" s="116">
        <v>751.65715012168096</v>
      </c>
      <c r="Q1946" s="116">
        <v>764.3</v>
      </c>
      <c r="R1946">
        <v>940199</v>
      </c>
    </row>
    <row r="1947" spans="1:18" x14ac:dyDescent="0.25">
      <c r="A1947" s="170">
        <v>44872</v>
      </c>
      <c r="B1947" s="116">
        <v>766.81791165169204</v>
      </c>
      <c r="C1947" s="116">
        <v>762.422549113081</v>
      </c>
      <c r="D1947" s="116">
        <v>754.37261547495302</v>
      </c>
      <c r="E1947" s="116">
        <v>756.10112883283296</v>
      </c>
      <c r="F1947" s="116">
        <v>771.9</v>
      </c>
      <c r="G1947">
        <v>90216</v>
      </c>
      <c r="H1947" s="116"/>
      <c r="I1947" s="116"/>
      <c r="L1947" s="170">
        <v>44872</v>
      </c>
      <c r="M1947" s="116">
        <v>762.67026079692005</v>
      </c>
      <c r="N1947" s="116">
        <v>766.91746939813299</v>
      </c>
      <c r="O1947" s="116">
        <v>754.916635792379</v>
      </c>
      <c r="P1947" s="116">
        <v>758.71936907486099</v>
      </c>
      <c r="Q1947" s="116">
        <v>772.15</v>
      </c>
      <c r="R1947">
        <v>1004208</v>
      </c>
    </row>
    <row r="1948" spans="1:18" x14ac:dyDescent="0.25">
      <c r="A1948" s="170">
        <v>44874</v>
      </c>
      <c r="B1948" s="116">
        <v>772.25038220502995</v>
      </c>
      <c r="C1948" s="116">
        <v>760.79280794707995</v>
      </c>
      <c r="D1948" s="116">
        <v>756.59498979222701</v>
      </c>
      <c r="E1948" s="116">
        <v>766.47220898011597</v>
      </c>
      <c r="F1948" s="116">
        <v>770.25</v>
      </c>
      <c r="G1948">
        <v>27696</v>
      </c>
      <c r="H1948" s="116"/>
      <c r="I1948" s="116"/>
      <c r="L1948" s="170">
        <v>44874</v>
      </c>
      <c r="M1948" s="116">
        <v>760.69481493589001</v>
      </c>
      <c r="N1948" s="116">
        <v>772.20178707638695</v>
      </c>
      <c r="O1948" s="116">
        <v>756.44760633467695</v>
      </c>
      <c r="P1948" s="116">
        <v>768.942301405688</v>
      </c>
      <c r="Q1948" s="116">
        <v>770.15</v>
      </c>
      <c r="R1948">
        <v>1256533</v>
      </c>
    </row>
    <row r="1949" spans="1:18" x14ac:dyDescent="0.25">
      <c r="A1949" s="170">
        <v>44875</v>
      </c>
      <c r="B1949" s="116">
        <v>762.02746034556606</v>
      </c>
      <c r="C1949" s="116">
        <v>759.113680685139</v>
      </c>
      <c r="D1949" s="116">
        <v>753.23673526834602</v>
      </c>
      <c r="E1949" s="116">
        <v>756.39744540847005</v>
      </c>
      <c r="F1949" s="116">
        <v>768.55</v>
      </c>
      <c r="G1949">
        <v>38018</v>
      </c>
      <c r="H1949" s="116"/>
      <c r="I1949" s="116"/>
      <c r="L1949" s="170">
        <v>44875</v>
      </c>
      <c r="M1949" s="116">
        <v>759.26261668664404</v>
      </c>
      <c r="N1949" s="116">
        <v>762.22578547818796</v>
      </c>
      <c r="O1949" s="116">
        <v>752.69425919872106</v>
      </c>
      <c r="P1949" s="116">
        <v>760.54665649631295</v>
      </c>
      <c r="Q1949" s="116">
        <v>768.7</v>
      </c>
      <c r="R1949">
        <v>839329</v>
      </c>
    </row>
    <row r="1950" spans="1:18" x14ac:dyDescent="0.25">
      <c r="A1950" s="170">
        <v>44876</v>
      </c>
      <c r="B1950" s="116">
        <v>770.17616617557405</v>
      </c>
      <c r="C1950" s="116">
        <v>763.85474589532498</v>
      </c>
      <c r="D1950" s="116">
        <v>760.59526356332196</v>
      </c>
      <c r="E1950" s="116">
        <v>760.59526356332196</v>
      </c>
      <c r="F1950" s="116">
        <v>773.35</v>
      </c>
      <c r="G1950">
        <v>29031</v>
      </c>
      <c r="H1950" s="116"/>
      <c r="I1950" s="116"/>
      <c r="L1950" s="170">
        <v>44876</v>
      </c>
      <c r="M1950" s="116">
        <v>763.70736987396003</v>
      </c>
      <c r="N1950" s="116">
        <v>770.27572736188301</v>
      </c>
      <c r="O1950" s="116">
        <v>760.59604264283905</v>
      </c>
      <c r="P1950" s="116">
        <v>763.06534996912603</v>
      </c>
      <c r="Q1950" s="116">
        <v>773.2</v>
      </c>
      <c r="R1950">
        <v>921004</v>
      </c>
    </row>
    <row r="1951" spans="1:18" x14ac:dyDescent="0.25">
      <c r="A1951" s="170">
        <v>44879</v>
      </c>
      <c r="B1951" s="116">
        <v>765.978348020721</v>
      </c>
      <c r="C1951" s="116">
        <v>758.37288924604695</v>
      </c>
      <c r="D1951" s="116">
        <v>757.08885075162198</v>
      </c>
      <c r="E1951" s="116">
        <v>760.59526356332196</v>
      </c>
      <c r="F1951" s="116">
        <v>767.8</v>
      </c>
      <c r="G1951">
        <v>65136</v>
      </c>
      <c r="H1951" s="116"/>
      <c r="I1951" s="116"/>
      <c r="L1951" s="170">
        <v>44879</v>
      </c>
      <c r="M1951" s="116">
        <v>758.32427990265501</v>
      </c>
      <c r="N1951" s="116">
        <v>765.48527114888702</v>
      </c>
      <c r="O1951" s="116">
        <v>757.08962623951197</v>
      </c>
      <c r="P1951" s="116">
        <v>763.855528313538</v>
      </c>
      <c r="Q1951" s="116">
        <v>767.75</v>
      </c>
      <c r="R1951">
        <v>708750</v>
      </c>
    </row>
    <row r="1952" spans="1:18" x14ac:dyDescent="0.25">
      <c r="A1952" s="170">
        <v>44880</v>
      </c>
      <c r="B1952" s="116">
        <v>764.05229027908297</v>
      </c>
      <c r="C1952" s="116">
        <v>763.36088493593104</v>
      </c>
      <c r="D1952" s="116">
        <v>752.69348821301196</v>
      </c>
      <c r="E1952" s="116">
        <v>752.69348821301196</v>
      </c>
      <c r="F1952" s="116">
        <v>772.85</v>
      </c>
      <c r="G1952">
        <v>66281</v>
      </c>
      <c r="H1952" s="116"/>
      <c r="I1952" s="116"/>
      <c r="L1952" s="170">
        <v>44880</v>
      </c>
      <c r="M1952" s="116">
        <v>763.26289455522897</v>
      </c>
      <c r="N1952" s="116">
        <v>764.497548218372</v>
      </c>
      <c r="O1952" s="116">
        <v>754.12645744796805</v>
      </c>
      <c r="P1952" s="116">
        <v>758.32427990265501</v>
      </c>
      <c r="Q1952" s="116">
        <v>772.75</v>
      </c>
      <c r="R1952">
        <v>756436</v>
      </c>
    </row>
    <row r="1953" spans="1:18" x14ac:dyDescent="0.25">
      <c r="A1953" s="170">
        <v>44881</v>
      </c>
      <c r="B1953" s="116">
        <v>763.85474589532498</v>
      </c>
      <c r="C1953" s="116">
        <v>760.05201650798801</v>
      </c>
      <c r="D1953" s="116">
        <v>755.21217910592304</v>
      </c>
      <c r="E1953" s="116">
        <v>762.52132130496</v>
      </c>
      <c r="F1953" s="116">
        <v>769.5</v>
      </c>
      <c r="G1953">
        <v>44559</v>
      </c>
      <c r="H1953" s="116"/>
      <c r="I1953" s="116"/>
      <c r="L1953" s="170">
        <v>44881</v>
      </c>
      <c r="M1953" s="116">
        <v>760.102181177582</v>
      </c>
      <c r="N1953" s="116">
        <v>764.69509280447505</v>
      </c>
      <c r="O1953" s="116">
        <v>755.41049725763696</v>
      </c>
      <c r="P1953" s="116">
        <v>763.26289455522897</v>
      </c>
      <c r="Q1953" s="116">
        <v>769.55</v>
      </c>
      <c r="R1953">
        <v>1071710</v>
      </c>
    </row>
    <row r="1954" spans="1:18" x14ac:dyDescent="0.25">
      <c r="A1954" s="170">
        <v>44882</v>
      </c>
      <c r="B1954" s="116">
        <v>779.75706878782501</v>
      </c>
      <c r="C1954" s="116">
        <v>776.59635864770098</v>
      </c>
      <c r="D1954" s="116">
        <v>753.28612136428501</v>
      </c>
      <c r="E1954" s="116">
        <v>753.28612136428501</v>
      </c>
      <c r="F1954" s="116">
        <v>786.25</v>
      </c>
      <c r="G1954">
        <v>77447</v>
      </c>
      <c r="H1954" s="116"/>
      <c r="I1954" s="116"/>
      <c r="L1954" s="170">
        <v>44882</v>
      </c>
      <c r="M1954" s="116">
        <v>776.35022338454803</v>
      </c>
      <c r="N1954" s="116">
        <v>779.75786749482404</v>
      </c>
      <c r="O1954" s="116">
        <v>756.59576477425401</v>
      </c>
      <c r="P1954" s="116">
        <v>756.59576477425401</v>
      </c>
      <c r="Q1954" s="116">
        <v>786</v>
      </c>
      <c r="R1954">
        <v>2944879</v>
      </c>
    </row>
    <row r="1955" spans="1:18" x14ac:dyDescent="0.25">
      <c r="A1955" s="170">
        <v>44883</v>
      </c>
      <c r="B1955" s="116">
        <v>783.26348159952499</v>
      </c>
      <c r="C1955" s="116">
        <v>766.17589240447899</v>
      </c>
      <c r="D1955" s="116">
        <v>759.95324431610902</v>
      </c>
      <c r="E1955" s="116">
        <v>779.70768269188602</v>
      </c>
      <c r="F1955" s="116">
        <v>775.7</v>
      </c>
      <c r="G1955">
        <v>71301</v>
      </c>
      <c r="H1955" s="116"/>
      <c r="I1955" s="116"/>
      <c r="L1955" s="170">
        <v>44883</v>
      </c>
      <c r="M1955" s="116">
        <v>766.17667720024701</v>
      </c>
      <c r="N1955" s="116">
        <v>783.26428389815101</v>
      </c>
      <c r="O1955" s="116">
        <v>759.80586429842697</v>
      </c>
      <c r="P1955" s="116">
        <v>779.65909520177297</v>
      </c>
      <c r="Q1955" s="116">
        <v>775.7</v>
      </c>
      <c r="R1955">
        <v>1417103</v>
      </c>
    </row>
    <row r="1956" spans="1:18" x14ac:dyDescent="0.25">
      <c r="A1956" s="170">
        <v>44886</v>
      </c>
      <c r="B1956" s="116">
        <v>766.91668384357104</v>
      </c>
      <c r="C1956" s="116">
        <v>760.64464965926197</v>
      </c>
      <c r="D1956" s="116">
        <v>752.89103259676904</v>
      </c>
      <c r="E1956" s="116">
        <v>766.91668384357104</v>
      </c>
      <c r="F1956" s="116">
        <v>770.1</v>
      </c>
      <c r="G1956">
        <v>43995</v>
      </c>
      <c r="H1956" s="116"/>
      <c r="I1956" s="116"/>
      <c r="L1956" s="170">
        <v>44886</v>
      </c>
      <c r="M1956" s="116">
        <v>761.48499328030198</v>
      </c>
      <c r="N1956" s="116">
        <v>765.92974646761797</v>
      </c>
      <c r="O1956" s="116">
        <v>752.94118993134998</v>
      </c>
      <c r="P1956" s="116">
        <v>764.79386509752601</v>
      </c>
      <c r="Q1956" s="116">
        <v>770.95</v>
      </c>
      <c r="R1956">
        <v>760664</v>
      </c>
    </row>
    <row r="1957" spans="1:18" x14ac:dyDescent="0.25">
      <c r="A1957" s="170">
        <v>44887</v>
      </c>
      <c r="B1957" s="116">
        <v>767.16361432326801</v>
      </c>
      <c r="C1957" s="116">
        <v>761.87930205774796</v>
      </c>
      <c r="D1957" s="116">
        <v>757.28639513537996</v>
      </c>
      <c r="E1957" s="116">
        <v>759.36061116483597</v>
      </c>
      <c r="F1957" s="116">
        <v>771.35</v>
      </c>
      <c r="G1957">
        <v>22466</v>
      </c>
      <c r="H1957" s="116"/>
      <c r="I1957" s="116"/>
      <c r="L1957" s="170">
        <v>44887</v>
      </c>
      <c r="M1957" s="116">
        <v>761.83069630598197</v>
      </c>
      <c r="N1957" s="116">
        <v>767.36194471686497</v>
      </c>
      <c r="O1957" s="116">
        <v>756.79330936035797</v>
      </c>
      <c r="P1957" s="116">
        <v>761.53437942682797</v>
      </c>
      <c r="Q1957" s="116">
        <v>771.3</v>
      </c>
      <c r="R1957">
        <v>868523</v>
      </c>
    </row>
    <row r="1958" spans="1:18" x14ac:dyDescent="0.25">
      <c r="A1958" s="170">
        <v>44888</v>
      </c>
      <c r="B1958" s="116">
        <v>766.37343678823697</v>
      </c>
      <c r="C1958" s="116">
        <v>761.33605500241401</v>
      </c>
      <c r="D1958" s="116">
        <v>755.40972348968103</v>
      </c>
      <c r="E1958" s="116">
        <v>761.87930205774796</v>
      </c>
      <c r="F1958" s="116">
        <v>770.8</v>
      </c>
      <c r="G1958">
        <v>69106</v>
      </c>
      <c r="H1958" s="116"/>
      <c r="I1958" s="116"/>
      <c r="L1958" s="170">
        <v>44888</v>
      </c>
      <c r="M1958" s="116">
        <v>760.69481493589001</v>
      </c>
      <c r="N1958" s="116">
        <v>766.47299407940102</v>
      </c>
      <c r="O1958" s="116">
        <v>755.60804184374001</v>
      </c>
      <c r="P1958" s="116">
        <v>763.60859758090896</v>
      </c>
      <c r="Q1958" s="116">
        <v>770.15</v>
      </c>
      <c r="R1958">
        <v>875779</v>
      </c>
    </row>
    <row r="1959" spans="1:18" x14ac:dyDescent="0.25">
      <c r="A1959" s="170">
        <v>44889</v>
      </c>
      <c r="B1959" s="116">
        <v>785.14015324522404</v>
      </c>
      <c r="C1959" s="116">
        <v>782.86839283201004</v>
      </c>
      <c r="D1959" s="116">
        <v>767.45993089890396</v>
      </c>
      <c r="E1959" s="116">
        <v>780.30031584315896</v>
      </c>
      <c r="F1959" s="116">
        <v>792.6</v>
      </c>
      <c r="G1959">
        <v>247083</v>
      </c>
      <c r="H1959" s="116"/>
      <c r="I1959" s="116"/>
      <c r="L1959" s="170">
        <v>44889</v>
      </c>
      <c r="M1959" s="116">
        <v>783.01735316552299</v>
      </c>
      <c r="N1959" s="116">
        <v>785.23972975918105</v>
      </c>
      <c r="O1959" s="116">
        <v>771.65853946460402</v>
      </c>
      <c r="P1959" s="116">
        <v>778.17751080600101</v>
      </c>
      <c r="Q1959" s="116">
        <v>792.75</v>
      </c>
      <c r="R1959">
        <v>6211909</v>
      </c>
    </row>
    <row r="1960" spans="1:18" x14ac:dyDescent="0.25">
      <c r="A1960" s="170">
        <v>44890</v>
      </c>
      <c r="B1960" s="116">
        <v>789.18981311225798</v>
      </c>
      <c r="C1960" s="116">
        <v>779.06566344467296</v>
      </c>
      <c r="D1960" s="116">
        <v>770.52186884715002</v>
      </c>
      <c r="E1960" s="116">
        <v>787.905774617833</v>
      </c>
      <c r="F1960" s="116">
        <v>788.75</v>
      </c>
      <c r="G1960">
        <v>67696</v>
      </c>
      <c r="H1960" s="116"/>
      <c r="I1960" s="116"/>
      <c r="L1960" s="170">
        <v>44890</v>
      </c>
      <c r="M1960" s="116">
        <v>779.46155061567003</v>
      </c>
      <c r="N1960" s="116">
        <v>789.68448294649704</v>
      </c>
      <c r="O1960" s="116">
        <v>770.42388580145996</v>
      </c>
      <c r="P1960" s="116">
        <v>788.94369074861095</v>
      </c>
      <c r="Q1960" s="116">
        <v>789.15</v>
      </c>
      <c r="R1960">
        <v>2385612</v>
      </c>
    </row>
    <row r="1961" spans="1:18" x14ac:dyDescent="0.25">
      <c r="A1961" s="170">
        <v>44893</v>
      </c>
      <c r="B1961" s="116">
        <v>798.62255743669095</v>
      </c>
      <c r="C1961" s="116">
        <v>794.47412537777802</v>
      </c>
      <c r="D1961" s="116">
        <v>776.05311159236703</v>
      </c>
      <c r="E1961" s="116">
        <v>780.30031584315896</v>
      </c>
      <c r="F1961" s="116">
        <v>804.35</v>
      </c>
      <c r="G1961">
        <v>126639</v>
      </c>
      <c r="H1961" s="116"/>
      <c r="I1961" s="116"/>
      <c r="L1961" s="170">
        <v>44893</v>
      </c>
      <c r="M1961" s="116">
        <v>794.42555301296704</v>
      </c>
      <c r="N1961" s="116">
        <v>798.96907849333502</v>
      </c>
      <c r="O1961" s="116">
        <v>775.36250045403403</v>
      </c>
      <c r="P1961" s="116">
        <v>779.31339217609195</v>
      </c>
      <c r="Q1961" s="116">
        <v>804.3</v>
      </c>
      <c r="R1961">
        <v>2043706</v>
      </c>
    </row>
    <row r="1962" spans="1:18" x14ac:dyDescent="0.25">
      <c r="A1962" s="170">
        <v>44894</v>
      </c>
      <c r="B1962" s="116">
        <v>801.98081196057296</v>
      </c>
      <c r="C1962" s="116">
        <v>795.01737243311197</v>
      </c>
      <c r="D1962" s="116">
        <v>793.04192859553496</v>
      </c>
      <c r="E1962" s="116">
        <v>794.62228366559702</v>
      </c>
      <c r="F1962" s="116">
        <v>804.9</v>
      </c>
      <c r="G1962">
        <v>107812</v>
      </c>
      <c r="H1962" s="116"/>
      <c r="I1962" s="116"/>
      <c r="L1962" s="170">
        <v>44894</v>
      </c>
      <c r="M1962" s="116">
        <v>795.16634521085302</v>
      </c>
      <c r="N1962" s="116">
        <v>801.93224728487905</v>
      </c>
      <c r="O1962" s="116">
        <v>793.19089934982401</v>
      </c>
      <c r="P1962" s="116">
        <v>795.06757291780195</v>
      </c>
      <c r="Q1962" s="116">
        <v>805.05</v>
      </c>
      <c r="R1962">
        <v>1278339</v>
      </c>
    </row>
    <row r="1963" spans="1:18" x14ac:dyDescent="0.25">
      <c r="A1963" s="170">
        <v>44895</v>
      </c>
      <c r="B1963" s="116">
        <v>811.41355628500605</v>
      </c>
      <c r="C1963" s="116">
        <v>807.95652956924596</v>
      </c>
      <c r="D1963" s="116">
        <v>795.06675852905198</v>
      </c>
      <c r="E1963" s="116">
        <v>795.06675852905198</v>
      </c>
      <c r="F1963" s="116">
        <v>818</v>
      </c>
      <c r="G1963">
        <v>57186</v>
      </c>
      <c r="H1963" s="116"/>
      <c r="I1963" s="116"/>
      <c r="L1963" s="170">
        <v>44895</v>
      </c>
      <c r="M1963" s="116">
        <v>808.00674330754396</v>
      </c>
      <c r="N1963" s="116">
        <v>811.85886273655206</v>
      </c>
      <c r="O1963" s="116">
        <v>794.37616686644196</v>
      </c>
      <c r="P1963" s="116">
        <v>795.16634521085302</v>
      </c>
      <c r="Q1963" s="116">
        <v>818.05</v>
      </c>
      <c r="R1963">
        <v>3390682</v>
      </c>
    </row>
    <row r="1964" spans="1:18" x14ac:dyDescent="0.25">
      <c r="A1964" s="170">
        <v>44896</v>
      </c>
      <c r="B1964" s="116">
        <v>811.90741724440102</v>
      </c>
      <c r="C1964" s="116">
        <v>803.41300874281706</v>
      </c>
      <c r="D1964" s="116">
        <v>800.15352641081404</v>
      </c>
      <c r="E1964" s="116">
        <v>810.22828998245996</v>
      </c>
      <c r="F1964" s="116">
        <v>813.4</v>
      </c>
      <c r="G1964">
        <v>25344</v>
      </c>
      <c r="H1964" s="116"/>
      <c r="I1964" s="116"/>
      <c r="L1964" s="170">
        <v>44896</v>
      </c>
      <c r="M1964" s="116">
        <v>803.21628709454797</v>
      </c>
      <c r="N1964" s="116">
        <v>811.80947659002595</v>
      </c>
      <c r="O1964" s="116">
        <v>800.20373215647805</v>
      </c>
      <c r="P1964" s="116">
        <v>811.80947659002595</v>
      </c>
      <c r="Q1964" s="116">
        <v>813.2</v>
      </c>
      <c r="R1964">
        <v>966282</v>
      </c>
    </row>
    <row r="1965" spans="1:18" x14ac:dyDescent="0.25">
      <c r="A1965" s="170">
        <v>44897</v>
      </c>
      <c r="B1965" s="116">
        <v>801.28940661742104</v>
      </c>
      <c r="C1965" s="116">
        <v>786.32541954777105</v>
      </c>
      <c r="D1965" s="116">
        <v>783.26348159952499</v>
      </c>
      <c r="E1965" s="116">
        <v>797.33851894226598</v>
      </c>
      <c r="F1965" s="116">
        <v>796.1</v>
      </c>
      <c r="G1965">
        <v>102701</v>
      </c>
      <c r="H1965" s="116"/>
      <c r="I1965" s="116"/>
      <c r="L1965" s="170">
        <v>44897</v>
      </c>
      <c r="M1965" s="116">
        <v>785.78297737096398</v>
      </c>
      <c r="N1965" s="116">
        <v>802.52488104318797</v>
      </c>
      <c r="O1965" s="116">
        <v>782.47410555373904</v>
      </c>
      <c r="P1965" s="116">
        <v>800.05557371690099</v>
      </c>
      <c r="Q1965" s="116">
        <v>795.55</v>
      </c>
      <c r="R1965">
        <v>2882169</v>
      </c>
    </row>
    <row r="1966" spans="1:18" x14ac:dyDescent="0.25">
      <c r="A1966" s="170">
        <v>44900</v>
      </c>
      <c r="B1966" s="116">
        <v>792.74561201989798</v>
      </c>
      <c r="C1966" s="116">
        <v>789.88121845541002</v>
      </c>
      <c r="D1966" s="116">
        <v>778.91750515685499</v>
      </c>
      <c r="E1966" s="116">
        <v>786.81928050716499</v>
      </c>
      <c r="F1966" s="116">
        <v>799.7</v>
      </c>
      <c r="G1966">
        <v>76622</v>
      </c>
      <c r="H1966" s="116"/>
      <c r="I1966" s="116"/>
      <c r="L1966" s="170">
        <v>44900</v>
      </c>
      <c r="M1966" s="116">
        <v>790.67220587701104</v>
      </c>
      <c r="N1966" s="116">
        <v>793.14151320329802</v>
      </c>
      <c r="O1966" s="116">
        <v>778.91830300388699</v>
      </c>
      <c r="P1966" s="116">
        <v>785.78297737096398</v>
      </c>
      <c r="Q1966" s="116">
        <v>800.5</v>
      </c>
      <c r="R1966">
        <v>1540201</v>
      </c>
    </row>
    <row r="1967" spans="1:18" x14ac:dyDescent="0.25">
      <c r="A1967" s="170">
        <v>44901</v>
      </c>
      <c r="B1967" s="116">
        <v>789.88121845541002</v>
      </c>
      <c r="C1967" s="116">
        <v>787.856388521893</v>
      </c>
      <c r="D1967" s="116">
        <v>783.85611475079895</v>
      </c>
      <c r="E1967" s="116">
        <v>788.25147728940897</v>
      </c>
      <c r="F1967" s="116">
        <v>797.65</v>
      </c>
      <c r="G1967">
        <v>15667</v>
      </c>
      <c r="H1967" s="116"/>
      <c r="I1967" s="116"/>
      <c r="L1967" s="170">
        <v>44901</v>
      </c>
      <c r="M1967" s="116">
        <v>787.85719552504497</v>
      </c>
      <c r="N1967" s="116">
        <v>790.17834441175398</v>
      </c>
      <c r="O1967" s="116">
        <v>783.80753150993405</v>
      </c>
      <c r="P1967" s="116">
        <v>790.17834441175398</v>
      </c>
      <c r="Q1967" s="116">
        <v>797.65</v>
      </c>
      <c r="R1967">
        <v>826214</v>
      </c>
    </row>
    <row r="1968" spans="1:18" x14ac:dyDescent="0.25">
      <c r="A1968" s="170">
        <v>44902</v>
      </c>
      <c r="B1968" s="116">
        <v>796.59772750317404</v>
      </c>
      <c r="C1968" s="116">
        <v>789.58490187977395</v>
      </c>
      <c r="D1968" s="116">
        <v>787.80700242595401</v>
      </c>
      <c r="E1968" s="116">
        <v>787.905774617833</v>
      </c>
      <c r="F1968" s="116">
        <v>799.4</v>
      </c>
      <c r="G1968">
        <v>77075</v>
      </c>
      <c r="H1968" s="116"/>
      <c r="I1968" s="116"/>
      <c r="L1968" s="170">
        <v>44902</v>
      </c>
      <c r="M1968" s="116">
        <v>789.53632450691998</v>
      </c>
      <c r="N1968" s="116">
        <v>796.59854346010002</v>
      </c>
      <c r="O1968" s="116">
        <v>787.26456176673605</v>
      </c>
      <c r="P1968" s="116">
        <v>790.07957211870303</v>
      </c>
      <c r="Q1968" s="116">
        <v>799.35</v>
      </c>
      <c r="R1968">
        <v>2020441</v>
      </c>
    </row>
    <row r="1969" spans="1:18" x14ac:dyDescent="0.25">
      <c r="A1969" s="170">
        <v>44903</v>
      </c>
      <c r="B1969" s="116">
        <v>797.33851894226598</v>
      </c>
      <c r="C1969" s="116">
        <v>793.93087832244396</v>
      </c>
      <c r="D1969" s="116">
        <v>787.06621098686196</v>
      </c>
      <c r="E1969" s="116">
        <v>789.58490187977395</v>
      </c>
      <c r="F1969" s="116">
        <v>803.8</v>
      </c>
      <c r="G1969">
        <v>70089</v>
      </c>
      <c r="H1969" s="116"/>
      <c r="I1969" s="116"/>
      <c r="L1969" s="170">
        <v>44903</v>
      </c>
      <c r="M1969" s="116">
        <v>794.32678071991597</v>
      </c>
      <c r="N1969" s="116">
        <v>798.03074170934599</v>
      </c>
      <c r="O1969" s="116">
        <v>786.72131415495301</v>
      </c>
      <c r="P1969" s="116">
        <v>790.72159202353703</v>
      </c>
      <c r="Q1969" s="116">
        <v>804.2</v>
      </c>
      <c r="R1969">
        <v>805216</v>
      </c>
    </row>
    <row r="1970" spans="1:18" x14ac:dyDescent="0.25">
      <c r="A1970" s="170">
        <v>44904</v>
      </c>
      <c r="B1970" s="116">
        <v>799.95598202705605</v>
      </c>
      <c r="C1970" s="116">
        <v>793.93087832244396</v>
      </c>
      <c r="D1970" s="116">
        <v>791.26402914171501</v>
      </c>
      <c r="E1970" s="116">
        <v>791.26402914171501</v>
      </c>
      <c r="F1970" s="116">
        <v>803.8</v>
      </c>
      <c r="G1970">
        <v>33004</v>
      </c>
      <c r="H1970" s="116"/>
      <c r="I1970" s="116"/>
      <c r="L1970" s="170">
        <v>44904</v>
      </c>
      <c r="M1970" s="116">
        <v>793.43783008245202</v>
      </c>
      <c r="N1970" s="116">
        <v>799.95680142384902</v>
      </c>
      <c r="O1970" s="116">
        <v>791.166067342269</v>
      </c>
      <c r="P1970" s="116">
        <v>794.32678071991597</v>
      </c>
      <c r="Q1970" s="116">
        <v>803.3</v>
      </c>
      <c r="R1970">
        <v>1080966</v>
      </c>
    </row>
    <row r="1971" spans="1:18" x14ac:dyDescent="0.25">
      <c r="A1971" s="170">
        <v>44907</v>
      </c>
      <c r="B1971" s="116">
        <v>802.03019805651297</v>
      </c>
      <c r="C1971" s="116">
        <v>800.05475421893505</v>
      </c>
      <c r="D1971" s="116">
        <v>789.18981311225798</v>
      </c>
      <c r="E1971" s="116">
        <v>791.16525694983602</v>
      </c>
      <c r="F1971" s="116">
        <v>810</v>
      </c>
      <c r="G1971">
        <v>107973</v>
      </c>
      <c r="H1971" s="116"/>
      <c r="I1971" s="116"/>
      <c r="L1971" s="170">
        <v>44907</v>
      </c>
      <c r="M1971" s="116">
        <v>800.10495986342698</v>
      </c>
      <c r="N1971" s="116">
        <v>803.01874250844503</v>
      </c>
      <c r="O1971" s="116">
        <v>789.38816606734201</v>
      </c>
      <c r="P1971" s="116">
        <v>793.14151320329802</v>
      </c>
      <c r="Q1971" s="116">
        <v>810.05</v>
      </c>
      <c r="R1971">
        <v>948219</v>
      </c>
    </row>
    <row r="1972" spans="1:18" x14ac:dyDescent="0.25">
      <c r="A1972" s="170">
        <v>44908</v>
      </c>
      <c r="B1972" s="116">
        <v>804.10441408596898</v>
      </c>
      <c r="C1972" s="116">
        <v>797.48667723008396</v>
      </c>
      <c r="D1972" s="116">
        <v>795.11614462499097</v>
      </c>
      <c r="E1972" s="116">
        <v>800.15352641081404</v>
      </c>
      <c r="F1972" s="116">
        <v>807.4</v>
      </c>
      <c r="G1972">
        <v>24469</v>
      </c>
      <c r="H1972" s="116"/>
      <c r="I1972" s="116"/>
      <c r="L1972" s="170">
        <v>44908</v>
      </c>
      <c r="M1972" s="116">
        <v>797.68503868366599</v>
      </c>
      <c r="N1972" s="116">
        <v>804.450940757691</v>
      </c>
      <c r="O1972" s="116">
        <v>794.82064218517303</v>
      </c>
      <c r="P1972" s="116">
        <v>802.03101957793001</v>
      </c>
      <c r="Q1972" s="116">
        <v>807.6</v>
      </c>
      <c r="R1972">
        <v>1224742</v>
      </c>
    </row>
    <row r="1973" spans="1:18" x14ac:dyDescent="0.25">
      <c r="A1973" s="170">
        <v>44909</v>
      </c>
      <c r="B1973" s="116">
        <v>807.01819374639604</v>
      </c>
      <c r="C1973" s="116">
        <v>806.62310497888097</v>
      </c>
      <c r="D1973" s="116">
        <v>797.09158846256901</v>
      </c>
      <c r="E1973" s="116">
        <v>797.09158846256901</v>
      </c>
      <c r="F1973" s="116">
        <v>816.65</v>
      </c>
      <c r="G1973">
        <v>140765</v>
      </c>
      <c r="H1973" s="116"/>
      <c r="I1973" s="116"/>
      <c r="L1973" s="170">
        <v>44909</v>
      </c>
      <c r="M1973" s="116">
        <v>805.43866368820602</v>
      </c>
      <c r="N1973" s="116">
        <v>806.96963423050397</v>
      </c>
      <c r="O1973" s="116">
        <v>797.43810795103695</v>
      </c>
      <c r="P1973" s="116">
        <v>798.47521702807705</v>
      </c>
      <c r="Q1973" s="116">
        <v>815.45</v>
      </c>
      <c r="R1973">
        <v>971275</v>
      </c>
    </row>
    <row r="1974" spans="1:18" x14ac:dyDescent="0.25">
      <c r="A1974" s="170">
        <v>44910</v>
      </c>
      <c r="B1974" s="116">
        <v>804.99336381287901</v>
      </c>
      <c r="C1974" s="116">
        <v>794.72105585747602</v>
      </c>
      <c r="D1974" s="116">
        <v>791.51095962141198</v>
      </c>
      <c r="E1974" s="116">
        <v>802.96853387936198</v>
      </c>
      <c r="F1974" s="116">
        <v>804.6</v>
      </c>
      <c r="G1974">
        <v>40895</v>
      </c>
      <c r="H1974" s="116"/>
      <c r="I1974" s="116"/>
      <c r="L1974" s="170">
        <v>44910</v>
      </c>
      <c r="M1974" s="116">
        <v>795.01818677127596</v>
      </c>
      <c r="N1974" s="116">
        <v>805.43866368820602</v>
      </c>
      <c r="O1974" s="116">
        <v>792.20317641930899</v>
      </c>
      <c r="P1974" s="116">
        <v>805.38927754168003</v>
      </c>
      <c r="Q1974" s="116">
        <v>804.9</v>
      </c>
      <c r="R1974">
        <v>783051</v>
      </c>
    </row>
    <row r="1975" spans="1:18" x14ac:dyDescent="0.25">
      <c r="A1975" s="170">
        <v>44911</v>
      </c>
      <c r="B1975" s="116">
        <v>795.11614462499097</v>
      </c>
      <c r="C1975" s="116">
        <v>791.56034571735097</v>
      </c>
      <c r="D1975" s="116">
        <v>785.09076714928506</v>
      </c>
      <c r="E1975" s="116">
        <v>794.12842270620195</v>
      </c>
      <c r="F1975" s="116">
        <v>801.4</v>
      </c>
      <c r="G1975">
        <v>26979</v>
      </c>
      <c r="H1975" s="116"/>
      <c r="I1975" s="116"/>
      <c r="L1975" s="170">
        <v>44911</v>
      </c>
      <c r="M1975" s="116">
        <v>791.70931495405205</v>
      </c>
      <c r="N1975" s="116">
        <v>795.06757291780195</v>
      </c>
      <c r="O1975" s="116">
        <v>785.23972975918105</v>
      </c>
      <c r="P1975" s="116">
        <v>793.43783008245202</v>
      </c>
      <c r="Q1975" s="116">
        <v>801.55</v>
      </c>
      <c r="R1975">
        <v>849333</v>
      </c>
    </row>
    <row r="1976" spans="1:18" x14ac:dyDescent="0.25">
      <c r="A1976" s="170">
        <v>44914</v>
      </c>
      <c r="B1976" s="116">
        <v>799.90659593111695</v>
      </c>
      <c r="C1976" s="116">
        <v>798.86948791638804</v>
      </c>
      <c r="D1976" s="116">
        <v>789.53551578383394</v>
      </c>
      <c r="E1976" s="116">
        <v>791.11587085389601</v>
      </c>
      <c r="F1976" s="116">
        <v>808.8</v>
      </c>
      <c r="G1976">
        <v>60455</v>
      </c>
      <c r="H1976" s="116"/>
      <c r="I1976" s="116"/>
      <c r="L1976" s="170">
        <v>44914</v>
      </c>
      <c r="M1976" s="116">
        <v>798.91969234680903</v>
      </c>
      <c r="N1976" s="116">
        <v>800.05557371690099</v>
      </c>
      <c r="O1976" s="116">
        <v>788.64737386945603</v>
      </c>
      <c r="P1976" s="116">
        <v>791.31422578184595</v>
      </c>
      <c r="Q1976" s="116">
        <v>808.85</v>
      </c>
      <c r="R1976">
        <v>1120217</v>
      </c>
    </row>
    <row r="1977" spans="1:18" x14ac:dyDescent="0.25">
      <c r="A1977" s="170">
        <v>44915</v>
      </c>
      <c r="B1977" s="116">
        <v>799.56089325954099</v>
      </c>
      <c r="C1977" s="116">
        <v>798.37562695699398</v>
      </c>
      <c r="D1977" s="116">
        <v>790.77016818232005</v>
      </c>
      <c r="E1977" s="116">
        <v>795.16553072092995</v>
      </c>
      <c r="F1977" s="116">
        <v>808.3</v>
      </c>
      <c r="G1977">
        <v>13462</v>
      </c>
      <c r="H1977" s="116"/>
      <c r="I1977" s="116"/>
      <c r="L1977" s="170">
        <v>44915</v>
      </c>
      <c r="M1977" s="116">
        <v>798.37644473502598</v>
      </c>
      <c r="N1977" s="116">
        <v>800.006187570375</v>
      </c>
      <c r="O1977" s="116">
        <v>790.27711670480596</v>
      </c>
      <c r="P1977" s="116">
        <v>798.57398932112903</v>
      </c>
      <c r="Q1977" s="116">
        <v>808.3</v>
      </c>
      <c r="R1977">
        <v>677159</v>
      </c>
    </row>
    <row r="1978" spans="1:18" x14ac:dyDescent="0.25">
      <c r="A1978" s="170">
        <v>44916</v>
      </c>
      <c r="B1978" s="116">
        <v>801.58572319305802</v>
      </c>
      <c r="C1978" s="116">
        <v>792.449295444261</v>
      </c>
      <c r="D1978" s="116">
        <v>790.96771256607803</v>
      </c>
      <c r="E1978" s="116">
        <v>792.449295444261</v>
      </c>
      <c r="F1978" s="116">
        <v>802.3</v>
      </c>
      <c r="G1978">
        <v>45520</v>
      </c>
      <c r="H1978" s="116"/>
      <c r="I1978" s="116"/>
      <c r="L1978" s="170">
        <v>44916</v>
      </c>
      <c r="M1978" s="116">
        <v>792.74642403109203</v>
      </c>
      <c r="N1978" s="116">
        <v>801.93224728487905</v>
      </c>
      <c r="O1978" s="116">
        <v>791.166067342269</v>
      </c>
      <c r="P1978" s="116">
        <v>799.06785078638597</v>
      </c>
      <c r="Q1978" s="116">
        <v>802.6</v>
      </c>
      <c r="R1978">
        <v>811513</v>
      </c>
    </row>
    <row r="1979" spans="1:18" x14ac:dyDescent="0.25">
      <c r="A1979" s="170">
        <v>44917</v>
      </c>
      <c r="B1979" s="116">
        <v>798.62255743669095</v>
      </c>
      <c r="C1979" s="116">
        <v>788.89349653662202</v>
      </c>
      <c r="D1979" s="116">
        <v>777.63346666242899</v>
      </c>
      <c r="E1979" s="116">
        <v>791.21464304577501</v>
      </c>
      <c r="F1979" s="116">
        <v>798.7</v>
      </c>
      <c r="G1979">
        <v>23256</v>
      </c>
      <c r="H1979" s="116"/>
      <c r="I1979" s="116"/>
      <c r="L1979" s="170">
        <v>44917</v>
      </c>
      <c r="M1979" s="116">
        <v>788.84491845555897</v>
      </c>
      <c r="N1979" s="116">
        <v>799.06785078638597</v>
      </c>
      <c r="O1979" s="116">
        <v>777.33794631506305</v>
      </c>
      <c r="P1979" s="116">
        <v>792.89458247066898</v>
      </c>
      <c r="Q1979" s="116">
        <v>798.65</v>
      </c>
      <c r="R1979">
        <v>1017965</v>
      </c>
    </row>
    <row r="1980" spans="1:18" x14ac:dyDescent="0.25">
      <c r="A1980" s="170">
        <v>44918</v>
      </c>
      <c r="B1980" s="116">
        <v>787.41191365843804</v>
      </c>
      <c r="C1980" s="116">
        <v>769.13905816084502</v>
      </c>
      <c r="D1980" s="116">
        <v>765.978348020721</v>
      </c>
      <c r="E1980" s="116">
        <v>780.64601851473503</v>
      </c>
      <c r="F1980" s="116">
        <v>778.7</v>
      </c>
      <c r="G1980">
        <v>105051</v>
      </c>
      <c r="H1980" s="116"/>
      <c r="I1980" s="116"/>
      <c r="L1980" s="170">
        <v>44918</v>
      </c>
      <c r="M1980" s="116">
        <v>769.43616287094596</v>
      </c>
      <c r="N1980" s="116">
        <v>788.10412625767299</v>
      </c>
      <c r="O1980" s="116">
        <v>766.27544949329797</v>
      </c>
      <c r="P1980" s="116">
        <v>783.313670044677</v>
      </c>
      <c r="Q1980" s="116">
        <v>779</v>
      </c>
      <c r="R1980">
        <v>1216647</v>
      </c>
    </row>
    <row r="1981" spans="1:18" x14ac:dyDescent="0.25">
      <c r="A1981" s="170">
        <v>44921</v>
      </c>
      <c r="B1981" s="116">
        <v>774.22582604260799</v>
      </c>
      <c r="C1981" s="116">
        <v>766.12650630853898</v>
      </c>
      <c r="D1981" s="116">
        <v>761.63237157804997</v>
      </c>
      <c r="E1981" s="116">
        <v>761.63237157804997</v>
      </c>
      <c r="F1981" s="116">
        <v>775.65</v>
      </c>
      <c r="G1981">
        <v>38463</v>
      </c>
      <c r="H1981" s="116"/>
      <c r="I1981" s="116"/>
      <c r="L1981" s="170">
        <v>44921</v>
      </c>
      <c r="M1981" s="116">
        <v>765.78158802804103</v>
      </c>
      <c r="N1981" s="116">
        <v>774.07846064436501</v>
      </c>
      <c r="O1981" s="116">
        <v>763.50982528785698</v>
      </c>
      <c r="P1981" s="116">
        <v>769.43616287094596</v>
      </c>
      <c r="Q1981" s="116">
        <v>775.3</v>
      </c>
      <c r="R1981">
        <v>1014226</v>
      </c>
    </row>
    <row r="1982" spans="1:18" x14ac:dyDescent="0.25">
      <c r="A1982" s="170">
        <v>44922</v>
      </c>
      <c r="B1982" s="116">
        <v>771.50959076593904</v>
      </c>
      <c r="C1982" s="116">
        <v>768.29949452987501</v>
      </c>
      <c r="D1982" s="116">
        <v>761.13851061865603</v>
      </c>
      <c r="E1982" s="116">
        <v>766.52159507605495</v>
      </c>
      <c r="F1982" s="116">
        <v>777.85</v>
      </c>
      <c r="G1982">
        <v>33365</v>
      </c>
      <c r="H1982" s="116"/>
      <c r="I1982" s="116"/>
      <c r="L1982" s="170">
        <v>44922</v>
      </c>
      <c r="M1982" s="116">
        <v>768.300281500854</v>
      </c>
      <c r="N1982" s="116">
        <v>771.41160873197498</v>
      </c>
      <c r="O1982" s="116">
        <v>761.13929025462198</v>
      </c>
      <c r="P1982" s="116">
        <v>769.238618284842</v>
      </c>
      <c r="Q1982" s="116">
        <v>777.85</v>
      </c>
      <c r="R1982">
        <v>601101</v>
      </c>
    </row>
    <row r="1983" spans="1:18" x14ac:dyDescent="0.25">
      <c r="A1983" s="170">
        <v>44923</v>
      </c>
      <c r="B1983" s="116">
        <v>773.18871802787896</v>
      </c>
      <c r="C1983" s="116">
        <v>770.32432446339203</v>
      </c>
      <c r="D1983" s="116">
        <v>763.657201511567</v>
      </c>
      <c r="E1983" s="116">
        <v>770.37371055933102</v>
      </c>
      <c r="F1983" s="116">
        <v>779.9</v>
      </c>
      <c r="G1983">
        <v>26280</v>
      </c>
      <c r="H1983" s="116"/>
      <c r="I1983" s="116"/>
      <c r="L1983" s="170">
        <v>44923</v>
      </c>
      <c r="M1983" s="116">
        <v>770.57204424103702</v>
      </c>
      <c r="N1983" s="116">
        <v>773.28828229995304</v>
      </c>
      <c r="O1983" s="116">
        <v>763.65798372743495</v>
      </c>
      <c r="P1983" s="116">
        <v>768.44843994043094</v>
      </c>
      <c r="Q1983" s="116">
        <v>780.15</v>
      </c>
      <c r="R1983">
        <v>610240</v>
      </c>
    </row>
    <row r="1984" spans="1:18" x14ac:dyDescent="0.25">
      <c r="A1984" s="170">
        <v>44924</v>
      </c>
      <c r="B1984" s="116">
        <v>770.22555227151304</v>
      </c>
      <c r="C1984" s="116">
        <v>767.06484213138901</v>
      </c>
      <c r="D1984" s="116">
        <v>754.12568499525503</v>
      </c>
      <c r="E1984" s="116">
        <v>770.22555227151304</v>
      </c>
      <c r="F1984" s="116">
        <v>776.6</v>
      </c>
      <c r="G1984">
        <v>28973</v>
      </c>
      <c r="H1984" s="116"/>
      <c r="I1984" s="116"/>
      <c r="L1984" s="170">
        <v>44924</v>
      </c>
      <c r="M1984" s="116">
        <v>766.571766372453</v>
      </c>
      <c r="N1984" s="116">
        <v>769.43616287094596</v>
      </c>
      <c r="O1984" s="116">
        <v>753.73136827576195</v>
      </c>
      <c r="P1984" s="116">
        <v>769.43616287094596</v>
      </c>
      <c r="Q1984" s="116">
        <v>776.1</v>
      </c>
      <c r="R1984">
        <v>1691955</v>
      </c>
    </row>
    <row r="1985" spans="1:18" x14ac:dyDescent="0.25">
      <c r="A1985" s="170">
        <v>44925</v>
      </c>
      <c r="B1985" s="116">
        <v>772.843015356303</v>
      </c>
      <c r="C1985" s="116">
        <v>757.73086999883503</v>
      </c>
      <c r="D1985" s="116">
        <v>755.60726787343901</v>
      </c>
      <c r="E1985" s="116">
        <v>765.53387315726604</v>
      </c>
      <c r="F1985" s="116">
        <v>767.15</v>
      </c>
      <c r="G1985">
        <v>42112</v>
      </c>
      <c r="H1985" s="116"/>
      <c r="I1985" s="116"/>
      <c r="L1985" s="170">
        <v>44925</v>
      </c>
      <c r="M1985" s="116">
        <v>757.53410155824304</v>
      </c>
      <c r="N1985" s="116">
        <v>772.695648541644</v>
      </c>
      <c r="O1985" s="116">
        <v>755.60804184374001</v>
      </c>
      <c r="P1985" s="116">
        <v>768.44843994043094</v>
      </c>
      <c r="Q1985" s="116">
        <v>766.95</v>
      </c>
      <c r="R1985">
        <v>715796</v>
      </c>
    </row>
    <row r="1986" spans="1:18" x14ac:dyDescent="0.25">
      <c r="A1986" s="170">
        <v>44928</v>
      </c>
      <c r="B1986" s="116">
        <v>761.58298548211098</v>
      </c>
      <c r="C1986" s="116">
        <v>753.03919088458804</v>
      </c>
      <c r="D1986" s="116">
        <v>748.69321444191701</v>
      </c>
      <c r="E1986" s="116">
        <v>759.21245287701799</v>
      </c>
      <c r="F1986" s="116">
        <v>762.4</v>
      </c>
      <c r="G1986">
        <v>137255</v>
      </c>
      <c r="H1986" s="116"/>
      <c r="I1986" s="116"/>
      <c r="L1986" s="170">
        <v>44928</v>
      </c>
      <c r="M1986" s="116">
        <v>752.94118993134998</v>
      </c>
      <c r="N1986" s="116">
        <v>761.53437942682797</v>
      </c>
      <c r="O1986" s="116">
        <v>748.79275362318799</v>
      </c>
      <c r="P1986" s="116">
        <v>760.44788420326199</v>
      </c>
      <c r="Q1986" s="116">
        <v>762.3</v>
      </c>
      <c r="R1986">
        <v>1061086</v>
      </c>
    </row>
    <row r="1987" spans="1:18" x14ac:dyDescent="0.25">
      <c r="A1987" s="170">
        <v>44929</v>
      </c>
      <c r="B1987" s="116">
        <v>758.57043362980505</v>
      </c>
      <c r="C1987" s="116">
        <v>757.87902828665301</v>
      </c>
      <c r="D1987" s="116">
        <v>749.77970855258502</v>
      </c>
      <c r="E1987" s="116">
        <v>753.23673526834602</v>
      </c>
      <c r="F1987" s="116">
        <v>767.3</v>
      </c>
      <c r="G1987">
        <v>40073</v>
      </c>
      <c r="H1987" s="116"/>
      <c r="I1987" s="116"/>
      <c r="L1987" s="170">
        <v>44929</v>
      </c>
      <c r="M1987" s="116">
        <v>757.73164614434597</v>
      </c>
      <c r="N1987" s="116">
        <v>758.47243834223195</v>
      </c>
      <c r="O1987" s="116">
        <v>749.78047655370301</v>
      </c>
      <c r="P1987" s="116">
        <v>755.60804184374001</v>
      </c>
      <c r="Q1987" s="116">
        <v>767.15</v>
      </c>
      <c r="R1987">
        <v>785495</v>
      </c>
    </row>
    <row r="1988" spans="1:18" x14ac:dyDescent="0.25">
      <c r="A1988" s="170">
        <v>44930</v>
      </c>
      <c r="B1988" s="116">
        <v>760.49649137144297</v>
      </c>
      <c r="C1988" s="116">
        <v>753.58243793992199</v>
      </c>
      <c r="D1988" s="116">
        <v>749.927866840403</v>
      </c>
      <c r="E1988" s="116">
        <v>760.49649137144297</v>
      </c>
      <c r="F1988" s="116">
        <v>762.95</v>
      </c>
      <c r="G1988">
        <v>93830</v>
      </c>
      <c r="H1988" s="116"/>
      <c r="I1988" s="116"/>
      <c r="L1988" s="170">
        <v>44930</v>
      </c>
      <c r="M1988" s="116">
        <v>752.89180378482399</v>
      </c>
      <c r="N1988" s="116">
        <v>758.07734917002699</v>
      </c>
      <c r="O1988" s="116">
        <v>750.07679343285702</v>
      </c>
      <c r="P1988" s="116">
        <v>758.07734917002699</v>
      </c>
      <c r="Q1988" s="116">
        <v>762.25</v>
      </c>
      <c r="R1988">
        <v>1004383</v>
      </c>
    </row>
    <row r="1989" spans="1:18" x14ac:dyDescent="0.25">
      <c r="A1989" s="170">
        <v>44931</v>
      </c>
      <c r="B1989" s="116">
        <v>771.21327419030195</v>
      </c>
      <c r="C1989" s="116">
        <v>754.71831814652899</v>
      </c>
      <c r="D1989" s="116">
        <v>751.01436095107101</v>
      </c>
      <c r="E1989" s="116">
        <v>753.58243793992199</v>
      </c>
      <c r="F1989" s="116">
        <v>764.1</v>
      </c>
      <c r="G1989">
        <v>84785</v>
      </c>
      <c r="H1989" s="116"/>
      <c r="I1989" s="116"/>
      <c r="L1989" s="170">
        <v>44931</v>
      </c>
      <c r="M1989" s="116">
        <v>754.47216047364805</v>
      </c>
      <c r="N1989" s="116">
        <v>771.41160873197498</v>
      </c>
      <c r="O1989" s="116">
        <v>750.76819948421803</v>
      </c>
      <c r="P1989" s="116">
        <v>752.64487305219598</v>
      </c>
      <c r="Q1989" s="116">
        <v>763.85</v>
      </c>
      <c r="R1989">
        <v>3198519</v>
      </c>
    </row>
    <row r="1990" spans="1:18" x14ac:dyDescent="0.25">
      <c r="A1990" s="170">
        <v>44932</v>
      </c>
      <c r="B1990" s="116">
        <v>761.33605500241401</v>
      </c>
      <c r="C1990" s="116">
        <v>751.85392458204103</v>
      </c>
      <c r="D1990" s="116">
        <v>750.17479732009997</v>
      </c>
      <c r="E1990" s="116">
        <v>755.50849568156002</v>
      </c>
      <c r="F1990" s="116">
        <v>761.2</v>
      </c>
      <c r="G1990">
        <v>35340</v>
      </c>
      <c r="H1990" s="116"/>
      <c r="I1990" s="116"/>
      <c r="L1990" s="170">
        <v>44932</v>
      </c>
      <c r="M1990" s="116">
        <v>752.00285314736095</v>
      </c>
      <c r="N1990" s="116">
        <v>761.38622098725102</v>
      </c>
      <c r="O1990" s="116">
        <v>749.73109040717702</v>
      </c>
      <c r="P1990" s="116">
        <v>754.42277432712206</v>
      </c>
      <c r="Q1990" s="116">
        <v>761.35</v>
      </c>
      <c r="R1990">
        <v>603050</v>
      </c>
    </row>
    <row r="1991" spans="1:18" x14ac:dyDescent="0.25">
      <c r="A1991" s="170">
        <v>44935</v>
      </c>
      <c r="B1991" s="116">
        <v>759.36061116483597</v>
      </c>
      <c r="C1991" s="116">
        <v>757.63209780695604</v>
      </c>
      <c r="D1991" s="116">
        <v>751.85392458204103</v>
      </c>
      <c r="E1991" s="116">
        <v>752.69348821301196</v>
      </c>
      <c r="F1991" s="116">
        <v>767.05</v>
      </c>
      <c r="G1991">
        <v>19631</v>
      </c>
      <c r="H1991" s="116"/>
      <c r="I1991" s="116"/>
      <c r="L1991" s="170">
        <v>44935</v>
      </c>
      <c r="M1991" s="116">
        <v>757.53410155824304</v>
      </c>
      <c r="N1991" s="116">
        <v>759.36138897969602</v>
      </c>
      <c r="O1991" s="116">
        <v>751.75592241473203</v>
      </c>
      <c r="P1991" s="116">
        <v>755.80558642984295</v>
      </c>
      <c r="Q1991" s="116">
        <v>766.95</v>
      </c>
      <c r="R1991">
        <v>729173</v>
      </c>
    </row>
    <row r="1992" spans="1:18" x14ac:dyDescent="0.25">
      <c r="A1992" s="170">
        <v>44936</v>
      </c>
      <c r="B1992" s="116">
        <v>763.01518226435496</v>
      </c>
      <c r="C1992" s="116">
        <v>759.45938335671497</v>
      </c>
      <c r="D1992" s="116">
        <v>755.36033739374102</v>
      </c>
      <c r="E1992" s="116">
        <v>755.656653969378</v>
      </c>
      <c r="F1992" s="116">
        <v>768.9</v>
      </c>
      <c r="G1992">
        <v>147866</v>
      </c>
      <c r="H1992" s="116"/>
      <c r="I1992" s="116"/>
      <c r="L1992" s="170">
        <v>44936</v>
      </c>
      <c r="M1992" s="116">
        <v>759.80586429842697</v>
      </c>
      <c r="N1992" s="116">
        <v>763.31228070175405</v>
      </c>
      <c r="O1992" s="116">
        <v>755.16356652500804</v>
      </c>
      <c r="P1992" s="116">
        <v>757.53410155824304</v>
      </c>
      <c r="Q1992" s="116">
        <v>769.25</v>
      </c>
      <c r="R1992">
        <v>873061</v>
      </c>
    </row>
    <row r="1993" spans="1:18" x14ac:dyDescent="0.25">
      <c r="A1993" s="170">
        <v>44937</v>
      </c>
      <c r="B1993" s="116">
        <v>765.48448706132694</v>
      </c>
      <c r="C1993" s="116">
        <v>749.927866840403</v>
      </c>
      <c r="D1993" s="116">
        <v>746.42145402870301</v>
      </c>
      <c r="E1993" s="116">
        <v>765.48448706132694</v>
      </c>
      <c r="F1993" s="116">
        <v>759.25</v>
      </c>
      <c r="G1993">
        <v>20284</v>
      </c>
      <c r="H1993" s="116"/>
      <c r="I1993" s="116"/>
      <c r="L1993" s="170">
        <v>44937</v>
      </c>
      <c r="M1993" s="116">
        <v>749.97802113980595</v>
      </c>
      <c r="N1993" s="116">
        <v>763.26289455522897</v>
      </c>
      <c r="O1993" s="116">
        <v>746.22467400385005</v>
      </c>
      <c r="P1993" s="116">
        <v>762.52210235734299</v>
      </c>
      <c r="Q1993" s="116">
        <v>759.3</v>
      </c>
      <c r="R1993">
        <v>688374</v>
      </c>
    </row>
    <row r="1994" spans="1:18" x14ac:dyDescent="0.25">
      <c r="A1994" s="170">
        <v>44938</v>
      </c>
      <c r="B1994" s="116">
        <v>754.32322937901301</v>
      </c>
      <c r="C1994" s="116">
        <v>745.53250430179298</v>
      </c>
      <c r="D1994" s="116">
        <v>742.56933854542604</v>
      </c>
      <c r="E1994" s="116">
        <v>752.64410211707195</v>
      </c>
      <c r="F1994" s="116">
        <v>754.8</v>
      </c>
      <c r="G1994">
        <v>21409</v>
      </c>
      <c r="H1994" s="116"/>
      <c r="I1994" s="116"/>
      <c r="L1994" s="170">
        <v>44938</v>
      </c>
      <c r="M1994" s="116">
        <v>744.99002034070702</v>
      </c>
      <c r="N1994" s="116">
        <v>754.47216047364805</v>
      </c>
      <c r="O1994" s="116">
        <v>742.76764374704896</v>
      </c>
      <c r="P1994" s="116">
        <v>750.66942719116605</v>
      </c>
      <c r="Q1994" s="116">
        <v>754.25</v>
      </c>
      <c r="R1994">
        <v>763021</v>
      </c>
    </row>
    <row r="1995" spans="1:18" x14ac:dyDescent="0.25">
      <c r="A1995" s="170">
        <v>44939</v>
      </c>
      <c r="B1995" s="116">
        <v>748.34751177034104</v>
      </c>
      <c r="C1995" s="116">
        <v>743.70521875203406</v>
      </c>
      <c r="D1995" s="116">
        <v>740.643280803788</v>
      </c>
      <c r="E1995" s="116">
        <v>744.74232676676195</v>
      </c>
      <c r="F1995" s="116">
        <v>752.95</v>
      </c>
      <c r="G1995">
        <v>25027</v>
      </c>
      <c r="H1995" s="116"/>
      <c r="I1995" s="116"/>
      <c r="L1995" s="170">
        <v>44939</v>
      </c>
      <c r="M1995" s="116">
        <v>743.656594384512</v>
      </c>
      <c r="N1995" s="116">
        <v>748.29889215793105</v>
      </c>
      <c r="O1995" s="116">
        <v>740.79219788601904</v>
      </c>
      <c r="P1995" s="116">
        <v>745.82958483164396</v>
      </c>
      <c r="Q1995" s="116">
        <v>752.9</v>
      </c>
      <c r="R1995">
        <v>1067599</v>
      </c>
    </row>
    <row r="1996" spans="1:18" x14ac:dyDescent="0.25">
      <c r="A1996" s="170">
        <v>44942</v>
      </c>
      <c r="B1996" s="116">
        <v>745.43373210991399</v>
      </c>
      <c r="C1996" s="116">
        <v>737.58134285554297</v>
      </c>
      <c r="D1996" s="116">
        <v>735.85282949766201</v>
      </c>
      <c r="E1996" s="116">
        <v>741.779161010395</v>
      </c>
      <c r="F1996" s="116">
        <v>746.75</v>
      </c>
      <c r="G1996">
        <v>35577</v>
      </c>
      <c r="H1996" s="116"/>
      <c r="I1996" s="116"/>
      <c r="L1996" s="170">
        <v>44942</v>
      </c>
      <c r="M1996" s="116">
        <v>738.07595982710404</v>
      </c>
      <c r="N1996" s="116">
        <v>745.730812538593</v>
      </c>
      <c r="O1996" s="116">
        <v>735.95235552649694</v>
      </c>
      <c r="P1996" s="116">
        <v>742.86641604010003</v>
      </c>
      <c r="Q1996" s="116">
        <v>747.25</v>
      </c>
      <c r="R1996">
        <v>838829</v>
      </c>
    </row>
    <row r="1997" spans="1:18" x14ac:dyDescent="0.25">
      <c r="A1997" s="170">
        <v>44943</v>
      </c>
      <c r="B1997" s="116">
        <v>743.16197169669999</v>
      </c>
      <c r="C1997" s="116">
        <v>740.59389470784902</v>
      </c>
      <c r="D1997" s="116">
        <v>731.95132791844696</v>
      </c>
      <c r="E1997" s="116">
        <v>731.95132791844696</v>
      </c>
      <c r="F1997" s="116">
        <v>749.8</v>
      </c>
      <c r="G1997">
        <v>24225</v>
      </c>
      <c r="H1997" s="116"/>
      <c r="I1997" s="116"/>
      <c r="L1997" s="170">
        <v>44943</v>
      </c>
      <c r="M1997" s="116">
        <v>740.84158403254503</v>
      </c>
      <c r="N1997" s="116">
        <v>743.55782209146003</v>
      </c>
      <c r="O1997" s="116">
        <v>732.49532526969597</v>
      </c>
      <c r="P1997" s="116">
        <v>734.86586030293097</v>
      </c>
      <c r="Q1997" s="116">
        <v>750.05</v>
      </c>
      <c r="R1997">
        <v>1427736</v>
      </c>
    </row>
    <row r="1998" spans="1:18" x14ac:dyDescent="0.25">
      <c r="A1998" s="170">
        <v>44944</v>
      </c>
      <c r="B1998" s="116">
        <v>742.96442731294201</v>
      </c>
      <c r="C1998" s="116">
        <v>741.23591395506196</v>
      </c>
      <c r="D1998" s="116">
        <v>737.82827333524006</v>
      </c>
      <c r="E1998" s="116">
        <v>741.779161010395</v>
      </c>
      <c r="F1998" s="116">
        <v>750.45</v>
      </c>
      <c r="G1998">
        <v>16933</v>
      </c>
      <c r="H1998" s="116"/>
      <c r="I1998" s="116"/>
      <c r="L1998" s="170">
        <v>44944</v>
      </c>
      <c r="M1998" s="116">
        <v>741.286059351277</v>
      </c>
      <c r="N1998" s="116">
        <v>743.45904979840896</v>
      </c>
      <c r="O1998" s="116">
        <v>737.38455377574405</v>
      </c>
      <c r="P1998" s="116">
        <v>740.79219788601904</v>
      </c>
      <c r="Q1998" s="116">
        <v>750.5</v>
      </c>
      <c r="R1998">
        <v>747592</v>
      </c>
    </row>
    <row r="1999" spans="1:18" x14ac:dyDescent="0.25">
      <c r="A1999" s="170">
        <v>44945</v>
      </c>
      <c r="B1999" s="116">
        <v>745.58189039773197</v>
      </c>
      <c r="C1999" s="116">
        <v>729.72895360117195</v>
      </c>
      <c r="D1999" s="116">
        <v>728.39552901080697</v>
      </c>
      <c r="E1999" s="116">
        <v>745.58189039773197</v>
      </c>
      <c r="F1999" s="116">
        <v>738.8</v>
      </c>
      <c r="G1999">
        <v>31262</v>
      </c>
      <c r="H1999" s="116"/>
      <c r="I1999" s="116"/>
      <c r="L1999" s="170">
        <v>44945</v>
      </c>
      <c r="M1999" s="116">
        <v>729.43338418509995</v>
      </c>
      <c r="N1999" s="116">
        <v>743.50843594493494</v>
      </c>
      <c r="O1999" s="116">
        <v>728.54443354763703</v>
      </c>
      <c r="P1999" s="116">
        <v>740.98974247212197</v>
      </c>
      <c r="Q1999" s="116">
        <v>738.5</v>
      </c>
      <c r="R1999">
        <v>1140422</v>
      </c>
    </row>
    <row r="2000" spans="1:18" x14ac:dyDescent="0.25">
      <c r="A2000" s="170">
        <v>44946</v>
      </c>
      <c r="B2000" s="116">
        <v>733.67984127632701</v>
      </c>
      <c r="C2000" s="116">
        <v>728.93877606614103</v>
      </c>
      <c r="D2000" s="116">
        <v>726.96333222856299</v>
      </c>
      <c r="E2000" s="116">
        <v>733.08720812505396</v>
      </c>
      <c r="F2000" s="116">
        <v>738</v>
      </c>
      <c r="G2000">
        <v>44687</v>
      </c>
      <c r="H2000" s="116"/>
      <c r="I2000" s="116"/>
      <c r="L2000" s="170">
        <v>44946</v>
      </c>
      <c r="M2000" s="116">
        <v>729.38399803857499</v>
      </c>
      <c r="N2000" s="116">
        <v>733.77936507936499</v>
      </c>
      <c r="O2000" s="116">
        <v>726.964076858814</v>
      </c>
      <c r="P2000" s="116">
        <v>728.93952271984301</v>
      </c>
      <c r="Q2000" s="116">
        <v>738.45</v>
      </c>
      <c r="R2000">
        <v>878832</v>
      </c>
    </row>
    <row r="2001" spans="1:18" x14ac:dyDescent="0.25">
      <c r="A2001" s="170">
        <v>44949</v>
      </c>
      <c r="B2001" s="116">
        <v>734.37124661947905</v>
      </c>
      <c r="C2001" s="116">
        <v>732.93904983723598</v>
      </c>
      <c r="D2001" s="116">
        <v>724.98788839098597</v>
      </c>
      <c r="E2001" s="116">
        <v>728.19798462704898</v>
      </c>
      <c r="F2001" s="116">
        <v>742.05</v>
      </c>
      <c r="G2001">
        <v>18416</v>
      </c>
      <c r="H2001" s="116"/>
      <c r="I2001" s="116"/>
      <c r="L2001" s="170">
        <v>44949</v>
      </c>
      <c r="M2001" s="116">
        <v>733.33488976063302</v>
      </c>
      <c r="N2001" s="116">
        <v>734.76708800988001</v>
      </c>
      <c r="O2001" s="116">
        <v>724.98863099778396</v>
      </c>
      <c r="P2001" s="116">
        <v>730.07540408993498</v>
      </c>
      <c r="Q2001" s="116">
        <v>742.45</v>
      </c>
      <c r="R2001">
        <v>682160</v>
      </c>
    </row>
    <row r="2002" spans="1:18" x14ac:dyDescent="0.25">
      <c r="A2002" s="170">
        <v>44950</v>
      </c>
      <c r="B2002" s="116">
        <v>739.80371717281798</v>
      </c>
      <c r="C2002" s="116">
        <v>731.70439743874999</v>
      </c>
      <c r="D2002" s="116">
        <v>730.91421990371896</v>
      </c>
      <c r="E2002" s="116">
        <v>734.86510757887402</v>
      </c>
      <c r="F2002" s="116">
        <v>740.8</v>
      </c>
      <c r="G2002">
        <v>27102</v>
      </c>
      <c r="H2002" s="116"/>
      <c r="I2002" s="116"/>
      <c r="L2002" s="170">
        <v>44950</v>
      </c>
      <c r="M2002" s="116">
        <v>731.80391921833598</v>
      </c>
      <c r="N2002" s="116">
        <v>740.29833642076198</v>
      </c>
      <c r="O2002" s="116">
        <v>730.91496858087203</v>
      </c>
      <c r="P2002" s="116">
        <v>734.71770186335402</v>
      </c>
      <c r="Q2002" s="116">
        <v>740.9</v>
      </c>
      <c r="R2002">
        <v>653737</v>
      </c>
    </row>
    <row r="2003" spans="1:18" x14ac:dyDescent="0.25">
      <c r="A2003" s="170">
        <v>44951</v>
      </c>
      <c r="B2003" s="116">
        <v>735.75405730578404</v>
      </c>
      <c r="C2003" s="116">
        <v>730.56851723214197</v>
      </c>
      <c r="D2003" s="116">
        <v>721.97533653868004</v>
      </c>
      <c r="E2003" s="116">
        <v>735.75405730578404</v>
      </c>
      <c r="F2003" s="116">
        <v>739.65</v>
      </c>
      <c r="G2003">
        <v>37091</v>
      </c>
      <c r="H2003" s="116"/>
      <c r="I2003" s="116"/>
      <c r="L2003" s="170">
        <v>44951</v>
      </c>
      <c r="M2003" s="116">
        <v>730.96435472739802</v>
      </c>
      <c r="N2003" s="116">
        <v>733.38427590715901</v>
      </c>
      <c r="O2003" s="116">
        <v>722.22300679234297</v>
      </c>
      <c r="P2003" s="116">
        <v>731.26067160655305</v>
      </c>
      <c r="Q2003" s="116">
        <v>740.05</v>
      </c>
      <c r="R2003">
        <v>868627</v>
      </c>
    </row>
    <row r="2004" spans="1:18" x14ac:dyDescent="0.25">
      <c r="A2004" s="170">
        <v>44953</v>
      </c>
      <c r="B2004" s="116">
        <v>736.34669045705698</v>
      </c>
      <c r="C2004" s="116">
        <v>726.37069907729006</v>
      </c>
      <c r="D2004" s="116">
        <v>717.08611304067495</v>
      </c>
      <c r="E2004" s="116">
        <v>730.71667551996097</v>
      </c>
      <c r="F2004" s="116">
        <v>735.4</v>
      </c>
      <c r="G2004">
        <v>30224</v>
      </c>
      <c r="H2004" s="116"/>
      <c r="I2004" s="116"/>
      <c r="L2004" s="170">
        <v>44953</v>
      </c>
      <c r="M2004" s="116">
        <v>726.22328466092802</v>
      </c>
      <c r="N2004" s="116">
        <v>736.74253387090903</v>
      </c>
      <c r="O2004" s="116">
        <v>716.79053067451196</v>
      </c>
      <c r="P2004" s="116">
        <v>730.96435472739802</v>
      </c>
      <c r="Q2004" s="116">
        <v>735.25</v>
      </c>
      <c r="R2004">
        <v>772860</v>
      </c>
    </row>
    <row r="2005" spans="1:18" x14ac:dyDescent="0.25">
      <c r="A2005" s="170">
        <v>44956</v>
      </c>
      <c r="B2005" s="116">
        <v>731.25992257529504</v>
      </c>
      <c r="C2005" s="116">
        <v>726.51885736510803</v>
      </c>
      <c r="D2005" s="116">
        <v>718.41953763104004</v>
      </c>
      <c r="E2005" s="116">
        <v>726.37069907729006</v>
      </c>
      <c r="F2005" s="116">
        <v>735.55</v>
      </c>
      <c r="G2005">
        <v>42856</v>
      </c>
      <c r="H2005" s="116"/>
      <c r="I2005" s="116"/>
      <c r="L2005" s="170">
        <v>44956</v>
      </c>
      <c r="M2005" s="116">
        <v>726.618373833134</v>
      </c>
      <c r="N2005" s="116">
        <v>731.26067160655305</v>
      </c>
      <c r="O2005" s="116">
        <v>718.61781809596403</v>
      </c>
      <c r="P2005" s="116">
        <v>726.964076858814</v>
      </c>
      <c r="Q2005" s="116">
        <v>735.65</v>
      </c>
      <c r="R2005">
        <v>1295677</v>
      </c>
    </row>
    <row r="2006" spans="1:18" x14ac:dyDescent="0.25">
      <c r="A2006" s="170">
        <v>44957</v>
      </c>
      <c r="B2006" s="116">
        <v>729.92649798493005</v>
      </c>
      <c r="C2006" s="116">
        <v>720.44436756455696</v>
      </c>
      <c r="D2006" s="116">
        <v>716.444093793462</v>
      </c>
      <c r="E2006" s="116">
        <v>726.51885736510803</v>
      </c>
      <c r="F2006" s="116">
        <v>729.4</v>
      </c>
      <c r="G2006">
        <v>18118</v>
      </c>
      <c r="H2006" s="116"/>
      <c r="I2006" s="116"/>
      <c r="L2006" s="170">
        <v>44957</v>
      </c>
      <c r="M2006" s="116">
        <v>720.54387781046796</v>
      </c>
      <c r="N2006" s="116">
        <v>730.32233482256402</v>
      </c>
      <c r="O2006" s="116">
        <v>716.14851076967796</v>
      </c>
      <c r="P2006" s="116">
        <v>726.964076858814</v>
      </c>
      <c r="Q2006" s="116">
        <v>729.5</v>
      </c>
      <c r="R2006">
        <v>2189899</v>
      </c>
    </row>
    <row r="2007" spans="1:18" x14ac:dyDescent="0.25">
      <c r="A2007" s="170">
        <v>44958</v>
      </c>
      <c r="B2007" s="116">
        <v>739.11231182966606</v>
      </c>
      <c r="C2007" s="116">
        <v>731.40808086311301</v>
      </c>
      <c r="D2007" s="116">
        <v>722.91367236152905</v>
      </c>
      <c r="E2007" s="116">
        <v>724.24709695189404</v>
      </c>
      <c r="F2007" s="116">
        <v>740.5</v>
      </c>
      <c r="G2007">
        <v>30422</v>
      </c>
      <c r="H2007" s="116"/>
      <c r="I2007" s="116"/>
      <c r="L2007" s="170">
        <v>44958</v>
      </c>
      <c r="M2007" s="116">
        <v>731.705146925284</v>
      </c>
      <c r="N2007" s="116">
        <v>739.21184119719601</v>
      </c>
      <c r="O2007" s="116">
        <v>722.27239293886896</v>
      </c>
      <c r="P2007" s="116">
        <v>728.19873052195703</v>
      </c>
      <c r="Q2007" s="116">
        <v>740.8</v>
      </c>
      <c r="R2007">
        <v>933031</v>
      </c>
    </row>
    <row r="2008" spans="1:18" x14ac:dyDescent="0.25">
      <c r="A2008" s="170">
        <v>44959</v>
      </c>
      <c r="B2008" s="116">
        <v>733.38352470069003</v>
      </c>
      <c r="C2008" s="116">
        <v>728.000440243291</v>
      </c>
      <c r="D2008" s="116">
        <v>724.00016647219695</v>
      </c>
      <c r="E2008" s="116">
        <v>731.70439743874999</v>
      </c>
      <c r="F2008" s="116">
        <v>737.05</v>
      </c>
      <c r="G2008">
        <v>17847</v>
      </c>
      <c r="H2008" s="116"/>
      <c r="I2008" s="116"/>
      <c r="L2008" s="170">
        <v>44959</v>
      </c>
      <c r="M2008" s="116">
        <v>728.09995822890596</v>
      </c>
      <c r="N2008" s="116">
        <v>733.63120663978805</v>
      </c>
      <c r="O2008" s="116">
        <v>723.80336348116703</v>
      </c>
      <c r="P2008" s="116">
        <v>729.72970106425498</v>
      </c>
      <c r="Q2008" s="116">
        <v>737.15</v>
      </c>
      <c r="R2008">
        <v>704702</v>
      </c>
    </row>
    <row r="2009" spans="1:18" x14ac:dyDescent="0.25">
      <c r="A2009" s="170">
        <v>44960</v>
      </c>
      <c r="B2009" s="116">
        <v>732.05010011032596</v>
      </c>
      <c r="C2009" s="116">
        <v>716.83918256097797</v>
      </c>
      <c r="D2009" s="116">
        <v>711.55487029545804</v>
      </c>
      <c r="E2009" s="116">
        <v>730.321586752445</v>
      </c>
      <c r="F2009" s="116">
        <v>725.75</v>
      </c>
      <c r="G2009">
        <v>52960</v>
      </c>
      <c r="H2009" s="116"/>
      <c r="I2009" s="116"/>
      <c r="L2009" s="170">
        <v>44960</v>
      </c>
      <c r="M2009" s="116">
        <v>717.67948131197602</v>
      </c>
      <c r="N2009" s="116">
        <v>731.90269151138705</v>
      </c>
      <c r="O2009" s="116">
        <v>711.60498528930998</v>
      </c>
      <c r="P2009" s="116">
        <v>728.09995822890596</v>
      </c>
      <c r="Q2009" s="116">
        <v>726.6</v>
      </c>
      <c r="R2009">
        <v>1752697</v>
      </c>
    </row>
    <row r="2010" spans="1:18" x14ac:dyDescent="0.25">
      <c r="A2010" s="170">
        <v>44963</v>
      </c>
      <c r="B2010" s="116">
        <v>723.456919416863</v>
      </c>
      <c r="C2010" s="116">
        <v>720.83945633207304</v>
      </c>
      <c r="D2010" s="116">
        <v>712.39443392642795</v>
      </c>
      <c r="E2010" s="116">
        <v>718.32076543916105</v>
      </c>
      <c r="F2010" s="116">
        <v>729.8</v>
      </c>
      <c r="G2010">
        <v>40558</v>
      </c>
      <c r="H2010" s="116"/>
      <c r="I2010" s="116"/>
      <c r="L2010" s="170">
        <v>44963</v>
      </c>
      <c r="M2010" s="116">
        <v>720.790808543097</v>
      </c>
      <c r="N2010" s="116">
        <v>723.507046602012</v>
      </c>
      <c r="O2010" s="116">
        <v>712.14823290109302</v>
      </c>
      <c r="P2010" s="116">
        <v>719.45738258690199</v>
      </c>
      <c r="Q2010" s="116">
        <v>729.75</v>
      </c>
      <c r="R2010">
        <v>852170</v>
      </c>
    </row>
    <row r="2011" spans="1:18" x14ac:dyDescent="0.25">
      <c r="A2011" s="170">
        <v>44964</v>
      </c>
      <c r="B2011" s="116">
        <v>725.62990763819801</v>
      </c>
      <c r="C2011" s="116">
        <v>719.11094297419197</v>
      </c>
      <c r="D2011" s="116">
        <v>713.13522536552</v>
      </c>
      <c r="E2011" s="116">
        <v>724.98788839098597</v>
      </c>
      <c r="F2011" s="116">
        <v>728.05</v>
      </c>
      <c r="G2011">
        <v>73869</v>
      </c>
      <c r="H2011" s="116"/>
      <c r="I2011" s="116"/>
      <c r="L2011" s="170">
        <v>44964</v>
      </c>
      <c r="M2011" s="116">
        <v>719.25983800079905</v>
      </c>
      <c r="N2011" s="116">
        <v>725.92696778177299</v>
      </c>
      <c r="O2011" s="116">
        <v>713.13595583160804</v>
      </c>
      <c r="P2011" s="116">
        <v>722.81564055065201</v>
      </c>
      <c r="Q2011" s="116">
        <v>728.2</v>
      </c>
      <c r="R2011">
        <v>1244247</v>
      </c>
    </row>
    <row r="2012" spans="1:18" x14ac:dyDescent="0.25">
      <c r="A2012" s="170">
        <v>44965</v>
      </c>
      <c r="B2012" s="116">
        <v>723.01244455340805</v>
      </c>
      <c r="C2012" s="116">
        <v>715.308213586855</v>
      </c>
      <c r="D2012" s="116">
        <v>712.29566173454896</v>
      </c>
      <c r="E2012" s="116">
        <v>723.01244455340805</v>
      </c>
      <c r="F2012" s="116">
        <v>724.2</v>
      </c>
      <c r="G2012">
        <v>25504</v>
      </c>
      <c r="H2012" s="116"/>
      <c r="I2012" s="116"/>
      <c r="L2012" s="170">
        <v>44965</v>
      </c>
      <c r="M2012" s="116">
        <v>715.50649086484304</v>
      </c>
      <c r="N2012" s="116">
        <v>722.865026697178</v>
      </c>
      <c r="O2012" s="116">
        <v>712.247005194145</v>
      </c>
      <c r="P2012" s="116">
        <v>722.865026697178</v>
      </c>
      <c r="Q2012" s="116">
        <v>724.4</v>
      </c>
      <c r="R2012">
        <v>1521104</v>
      </c>
    </row>
    <row r="2013" spans="1:18" x14ac:dyDescent="0.25">
      <c r="A2013" s="170">
        <v>44966</v>
      </c>
      <c r="B2013" s="116">
        <v>717.18488523255405</v>
      </c>
      <c r="C2013" s="116">
        <v>712.98706707770202</v>
      </c>
      <c r="D2013" s="116">
        <v>711.999345158913</v>
      </c>
      <c r="E2013" s="116">
        <v>715.308213586855</v>
      </c>
      <c r="F2013" s="116">
        <v>721.85</v>
      </c>
      <c r="G2013">
        <v>13610</v>
      </c>
      <c r="H2013" s="116"/>
      <c r="I2013" s="116"/>
      <c r="L2013" s="170">
        <v>44966</v>
      </c>
      <c r="M2013" s="116">
        <v>713.08656968508205</v>
      </c>
      <c r="N2013" s="116">
        <v>717.43255057934698</v>
      </c>
      <c r="O2013" s="116">
        <v>711.95068831498997</v>
      </c>
      <c r="P2013" s="116">
        <v>715.60526315789502</v>
      </c>
      <c r="Q2013" s="116">
        <v>721.95</v>
      </c>
      <c r="R2013">
        <v>688243</v>
      </c>
    </row>
    <row r="2014" spans="1:18" x14ac:dyDescent="0.25">
      <c r="A2014" s="170">
        <v>44967</v>
      </c>
      <c r="B2014" s="116">
        <v>719.06155687825299</v>
      </c>
      <c r="C2014" s="116">
        <v>717.48120180819103</v>
      </c>
      <c r="D2014" s="116">
        <v>710.66592056854802</v>
      </c>
      <c r="E2014" s="116">
        <v>713.13522536552</v>
      </c>
      <c r="F2014" s="116">
        <v>726.4</v>
      </c>
      <c r="G2014">
        <v>22618</v>
      </c>
      <c r="H2014" s="116"/>
      <c r="I2014" s="116"/>
      <c r="L2014" s="170">
        <v>44967</v>
      </c>
      <c r="M2014" s="116">
        <v>717.67948131197602</v>
      </c>
      <c r="N2014" s="116">
        <v>719.062293414696</v>
      </c>
      <c r="O2014" s="116">
        <v>710.32094547964095</v>
      </c>
      <c r="P2014" s="116">
        <v>713.13595583160804</v>
      </c>
      <c r="Q2014" s="116">
        <v>726.6</v>
      </c>
      <c r="R2014">
        <v>651630</v>
      </c>
    </row>
    <row r="2015" spans="1:18" x14ac:dyDescent="0.25">
      <c r="A2015" s="170">
        <v>44970</v>
      </c>
      <c r="B2015" s="116">
        <v>720.19743708485998</v>
      </c>
      <c r="C2015" s="116">
        <v>708.78924892284897</v>
      </c>
      <c r="D2015" s="116">
        <v>707.70275481218198</v>
      </c>
      <c r="E2015" s="116">
        <v>718.07383495946397</v>
      </c>
      <c r="F2015" s="116">
        <v>717.6</v>
      </c>
      <c r="G2015">
        <v>22628</v>
      </c>
      <c r="H2015" s="116"/>
      <c r="I2015" s="116"/>
      <c r="L2015" s="170">
        <v>44970</v>
      </c>
      <c r="M2015" s="116">
        <v>708.98751952344605</v>
      </c>
      <c r="N2015" s="116">
        <v>720.54387781046796</v>
      </c>
      <c r="O2015" s="116">
        <v>707.20961824851997</v>
      </c>
      <c r="P2015" s="116">
        <v>717.67948131197602</v>
      </c>
      <c r="Q2015" s="116">
        <v>717.8</v>
      </c>
      <c r="R2015">
        <v>599763</v>
      </c>
    </row>
    <row r="2016" spans="1:18" x14ac:dyDescent="0.25">
      <c r="A2016" s="170">
        <v>44971</v>
      </c>
      <c r="B2016" s="116">
        <v>714.66619433964297</v>
      </c>
      <c r="C2016" s="116">
        <v>711.75241467921603</v>
      </c>
      <c r="D2016" s="116">
        <v>706.76441898933194</v>
      </c>
      <c r="E2016" s="116">
        <v>707.75214090812096</v>
      </c>
      <c r="F2016" s="116">
        <v>720.6</v>
      </c>
      <c r="G2016">
        <v>20422</v>
      </c>
      <c r="H2016" s="116"/>
      <c r="I2016" s="116"/>
      <c r="L2016" s="170">
        <v>44971</v>
      </c>
      <c r="M2016" s="116">
        <v>712.14823290109302</v>
      </c>
      <c r="N2016" s="116">
        <v>714.86447096000904</v>
      </c>
      <c r="O2016" s="116">
        <v>706.22189531800495</v>
      </c>
      <c r="P2016" s="116">
        <v>709.18506410954899</v>
      </c>
      <c r="Q2016" s="116">
        <v>721</v>
      </c>
      <c r="R2016">
        <v>563171</v>
      </c>
    </row>
    <row r="2017" spans="1:18" x14ac:dyDescent="0.25">
      <c r="A2017" s="170">
        <v>44972</v>
      </c>
      <c r="B2017" s="116">
        <v>721.03700071583</v>
      </c>
      <c r="C2017" s="116">
        <v>719.65419002952603</v>
      </c>
      <c r="D2017" s="116">
        <v>708.64109063503099</v>
      </c>
      <c r="E2017" s="116">
        <v>708.78924892284897</v>
      </c>
      <c r="F2017" s="116">
        <v>728.6</v>
      </c>
      <c r="G2017">
        <v>11750</v>
      </c>
      <c r="H2017" s="116"/>
      <c r="I2017" s="116"/>
      <c r="L2017" s="170">
        <v>44972</v>
      </c>
      <c r="M2017" s="116">
        <v>719.16106570774798</v>
      </c>
      <c r="N2017" s="116">
        <v>720.84019468962299</v>
      </c>
      <c r="O2017" s="116">
        <v>708.39488576513804</v>
      </c>
      <c r="P2017" s="116">
        <v>712.19761904761901</v>
      </c>
      <c r="Q2017" s="116">
        <v>728.1</v>
      </c>
      <c r="R2017">
        <v>727403</v>
      </c>
    </row>
    <row r="2018" spans="1:18" x14ac:dyDescent="0.25">
      <c r="A2018" s="170">
        <v>44973</v>
      </c>
      <c r="B2018" s="116">
        <v>726.46947126916905</v>
      </c>
      <c r="C2018" s="116">
        <v>723.25937503310502</v>
      </c>
      <c r="D2018" s="116">
        <v>719.01217078231298</v>
      </c>
      <c r="E2018" s="116">
        <v>724.93850229504596</v>
      </c>
      <c r="F2018" s="116">
        <v>732.25</v>
      </c>
      <c r="G2018">
        <v>60142</v>
      </c>
      <c r="H2018" s="116"/>
      <c r="I2018" s="116"/>
      <c r="L2018" s="170">
        <v>44973</v>
      </c>
      <c r="M2018" s="116">
        <v>723.60581889506398</v>
      </c>
      <c r="N2018" s="116">
        <v>726.47021539355603</v>
      </c>
      <c r="O2018" s="116">
        <v>719.16106570774798</v>
      </c>
      <c r="P2018" s="116">
        <v>723.21072972285799</v>
      </c>
      <c r="Q2018" s="116">
        <v>732.6</v>
      </c>
      <c r="R2018">
        <v>837121</v>
      </c>
    </row>
    <row r="2019" spans="1:18" x14ac:dyDescent="0.25">
      <c r="A2019" s="170">
        <v>44974</v>
      </c>
      <c r="B2019" s="116">
        <v>725.38297715850103</v>
      </c>
      <c r="C2019" s="116">
        <v>717.67874619194799</v>
      </c>
      <c r="D2019" s="116">
        <v>715.16005529903703</v>
      </c>
      <c r="E2019" s="116">
        <v>723.16060284122602</v>
      </c>
      <c r="F2019" s="116">
        <v>726.6</v>
      </c>
      <c r="G2019">
        <v>22485</v>
      </c>
      <c r="H2019" s="116"/>
      <c r="I2019" s="116"/>
      <c r="L2019" s="170">
        <v>44974</v>
      </c>
      <c r="M2019" s="116">
        <v>717.333778286295</v>
      </c>
      <c r="N2019" s="116">
        <v>725.77880934219604</v>
      </c>
      <c r="O2019" s="116">
        <v>715.25956013221503</v>
      </c>
      <c r="P2019" s="116">
        <v>722.22300679234297</v>
      </c>
      <c r="Q2019" s="116">
        <v>726.25</v>
      </c>
      <c r="R2019">
        <v>624402</v>
      </c>
    </row>
    <row r="2020" spans="1:18" x14ac:dyDescent="0.25">
      <c r="A2020" s="170">
        <v>44977</v>
      </c>
      <c r="B2020" s="116">
        <v>718.41953763104004</v>
      </c>
      <c r="C2020" s="116">
        <v>713.03645317364101</v>
      </c>
      <c r="D2020" s="116">
        <v>709.92512912945597</v>
      </c>
      <c r="E2020" s="116">
        <v>716.14777721782605</v>
      </c>
      <c r="F2020" s="116">
        <v>721.9</v>
      </c>
      <c r="G2020">
        <v>34910</v>
      </c>
      <c r="H2020" s="116"/>
      <c r="I2020" s="116"/>
      <c r="L2020" s="170">
        <v>44977</v>
      </c>
      <c r="M2020" s="116">
        <v>712.93841124550499</v>
      </c>
      <c r="N2020" s="116">
        <v>720.49449166394299</v>
      </c>
      <c r="O2020" s="116">
        <v>709.77769786785802</v>
      </c>
      <c r="P2020" s="116">
        <v>718.02518433765601</v>
      </c>
      <c r="Q2020" s="116">
        <v>721.8</v>
      </c>
      <c r="R2020">
        <v>1316763</v>
      </c>
    </row>
    <row r="2021" spans="1:18" x14ac:dyDescent="0.25">
      <c r="A2021" s="170">
        <v>44978</v>
      </c>
      <c r="B2021" s="116">
        <v>720.93822852395101</v>
      </c>
      <c r="C2021" s="116">
        <v>717.08611304067495</v>
      </c>
      <c r="D2021" s="116">
        <v>711.30793981576096</v>
      </c>
      <c r="E2021" s="116">
        <v>711.30793981576096</v>
      </c>
      <c r="F2021" s="116">
        <v>726</v>
      </c>
      <c r="G2021">
        <v>42025</v>
      </c>
      <c r="H2021" s="116"/>
      <c r="I2021" s="116"/>
      <c r="L2021" s="170">
        <v>44978</v>
      </c>
      <c r="M2021" s="116">
        <v>717.28439213977003</v>
      </c>
      <c r="N2021" s="116">
        <v>721.03773927572604</v>
      </c>
      <c r="O2021" s="116">
        <v>713.18534197813403</v>
      </c>
      <c r="P2021" s="116">
        <v>716.54359994188405</v>
      </c>
      <c r="Q2021" s="116">
        <v>726.2</v>
      </c>
      <c r="R2021">
        <v>673449</v>
      </c>
    </row>
    <row r="2022" spans="1:18" x14ac:dyDescent="0.25">
      <c r="A2022" s="170">
        <v>44979</v>
      </c>
      <c r="B2022" s="116">
        <v>725.03727448692496</v>
      </c>
      <c r="C2022" s="116">
        <v>713.13522536552</v>
      </c>
      <c r="D2022" s="116">
        <v>710.863464952306</v>
      </c>
      <c r="E2022" s="116">
        <v>717.13549913661495</v>
      </c>
      <c r="F2022" s="116">
        <v>722</v>
      </c>
      <c r="G2022">
        <v>182148</v>
      </c>
      <c r="H2022" s="116"/>
      <c r="I2022" s="116"/>
      <c r="L2022" s="170">
        <v>44979</v>
      </c>
      <c r="M2022" s="116">
        <v>712.592708219825</v>
      </c>
      <c r="N2022" s="116">
        <v>724.98863099778396</v>
      </c>
      <c r="O2022" s="116">
        <v>711.01235153100095</v>
      </c>
      <c r="P2022" s="116">
        <v>717.08684755366698</v>
      </c>
      <c r="Q2022" s="116">
        <v>721.45</v>
      </c>
      <c r="R2022">
        <v>1690647</v>
      </c>
    </row>
    <row r="2023" spans="1:18" x14ac:dyDescent="0.25">
      <c r="A2023" s="170">
        <v>44980</v>
      </c>
      <c r="B2023" s="116">
        <v>714.81435262746095</v>
      </c>
      <c r="C2023" s="116">
        <v>707.406438236545</v>
      </c>
      <c r="D2023" s="116">
        <v>706.22117193399799</v>
      </c>
      <c r="E2023" s="116">
        <v>711.20916762388197</v>
      </c>
      <c r="F2023" s="116">
        <v>716.2</v>
      </c>
      <c r="G2023">
        <v>307865</v>
      </c>
      <c r="H2023" s="116"/>
      <c r="I2023" s="116"/>
      <c r="L2023" s="170">
        <v>44980</v>
      </c>
      <c r="M2023" s="116">
        <v>707.30839054157104</v>
      </c>
      <c r="N2023" s="116">
        <v>716.04973847662598</v>
      </c>
      <c r="O2023" s="116">
        <v>706.22189531800495</v>
      </c>
      <c r="P2023" s="116">
        <v>714.07429261559696</v>
      </c>
      <c r="Q2023" s="116">
        <v>716.1</v>
      </c>
      <c r="R2023">
        <v>1165270</v>
      </c>
    </row>
    <row r="2024" spans="1:18" x14ac:dyDescent="0.25">
      <c r="A2024" s="170">
        <v>44981</v>
      </c>
      <c r="B2024" s="116">
        <v>712.54259221424695</v>
      </c>
      <c r="C2024" s="116">
        <v>707.406438236545</v>
      </c>
      <c r="D2024" s="116">
        <v>705.085291727391</v>
      </c>
      <c r="E2024" s="116">
        <v>707.406438236545</v>
      </c>
      <c r="F2024" s="116">
        <v>716.2</v>
      </c>
      <c r="G2024">
        <v>103359</v>
      </c>
      <c r="H2024" s="116"/>
      <c r="I2024" s="116"/>
      <c r="L2024" s="170">
        <v>44981</v>
      </c>
      <c r="M2024" s="116">
        <v>707.35777668809703</v>
      </c>
      <c r="N2024" s="116">
        <v>712.49393592677302</v>
      </c>
      <c r="O2024" s="116">
        <v>704.83908321528497</v>
      </c>
      <c r="P2024" s="116">
        <v>708.19734117903499</v>
      </c>
      <c r="Q2024" s="116">
        <v>716.15</v>
      </c>
      <c r="R2024">
        <v>1040351</v>
      </c>
    </row>
    <row r="2025" spans="1:18" x14ac:dyDescent="0.25">
      <c r="A2025" s="170">
        <v>44984</v>
      </c>
      <c r="B2025" s="116">
        <v>710.715306664487</v>
      </c>
      <c r="C2025" s="116">
        <v>701.62826501162999</v>
      </c>
      <c r="D2025" s="116">
        <v>691.50411534404498</v>
      </c>
      <c r="E2025" s="116">
        <v>708.24600186751502</v>
      </c>
      <c r="F2025" s="116">
        <v>710.35</v>
      </c>
      <c r="G2025">
        <v>81451</v>
      </c>
      <c r="H2025" s="116"/>
      <c r="I2025" s="116"/>
      <c r="L2025" s="170">
        <v>44984</v>
      </c>
      <c r="M2025" s="116">
        <v>701.57959754458602</v>
      </c>
      <c r="N2025" s="116">
        <v>711.65437143583597</v>
      </c>
      <c r="O2025" s="116">
        <v>691.40605136028501</v>
      </c>
      <c r="P2025" s="116">
        <v>711.16050997057903</v>
      </c>
      <c r="Q2025" s="116">
        <v>710.3</v>
      </c>
      <c r="R2025">
        <v>1064436</v>
      </c>
    </row>
    <row r="2026" spans="1:18" x14ac:dyDescent="0.25">
      <c r="A2026" s="170">
        <v>44985</v>
      </c>
      <c r="B2026" s="116">
        <v>709.13495159442505</v>
      </c>
      <c r="C2026" s="116">
        <v>705.62853878272495</v>
      </c>
      <c r="D2026" s="116">
        <v>697.084744185202</v>
      </c>
      <c r="E2026" s="116">
        <v>701.67765110757</v>
      </c>
      <c r="F2026" s="116">
        <v>714.4</v>
      </c>
      <c r="G2026">
        <v>36437</v>
      </c>
      <c r="H2026" s="116"/>
      <c r="I2026" s="116"/>
      <c r="L2026" s="170">
        <v>44985</v>
      </c>
      <c r="M2026" s="116">
        <v>706.51821219715998</v>
      </c>
      <c r="N2026" s="116">
        <v>708.93813337692097</v>
      </c>
      <c r="O2026" s="116">
        <v>696.88791362464099</v>
      </c>
      <c r="P2026" s="116">
        <v>703.25872652646103</v>
      </c>
      <c r="Q2026" s="116">
        <v>715.3</v>
      </c>
      <c r="R2026">
        <v>2395442</v>
      </c>
    </row>
    <row r="2027" spans="1:18" x14ac:dyDescent="0.25">
      <c r="A2027" s="170">
        <v>44986</v>
      </c>
      <c r="B2027" s="116">
        <v>708.19661577157603</v>
      </c>
      <c r="C2027" s="116">
        <v>706.41871631775598</v>
      </c>
      <c r="D2027" s="116">
        <v>701.08501795629604</v>
      </c>
      <c r="E2027" s="116">
        <v>708.09784357969704</v>
      </c>
      <c r="F2027" s="116">
        <v>715.2</v>
      </c>
      <c r="G2027">
        <v>40927</v>
      </c>
      <c r="H2027" s="116"/>
      <c r="I2027" s="116"/>
      <c r="L2027" s="170">
        <v>44986</v>
      </c>
      <c r="M2027" s="116">
        <v>706.46882605063399</v>
      </c>
      <c r="N2027" s="116">
        <v>708.09856888598301</v>
      </c>
      <c r="O2027" s="116">
        <v>700.83880534670004</v>
      </c>
      <c r="P2027" s="116">
        <v>704.19706331044995</v>
      </c>
      <c r="Q2027" s="116">
        <v>715.25</v>
      </c>
      <c r="R2027">
        <v>991540</v>
      </c>
    </row>
    <row r="2028" spans="1:18" x14ac:dyDescent="0.25">
      <c r="A2028" s="170">
        <v>44987</v>
      </c>
      <c r="B2028" s="116">
        <v>709.18433769036506</v>
      </c>
      <c r="C2028" s="116">
        <v>699.85036555781005</v>
      </c>
      <c r="D2028" s="116">
        <v>697.33167466489897</v>
      </c>
      <c r="E2028" s="116">
        <v>706.22117193399799</v>
      </c>
      <c r="F2028" s="116">
        <v>708.55</v>
      </c>
      <c r="G2028">
        <v>12913</v>
      </c>
      <c r="H2028" s="116"/>
      <c r="I2028" s="116"/>
      <c r="L2028" s="170">
        <v>44987</v>
      </c>
      <c r="M2028" s="116">
        <v>698.66581489956798</v>
      </c>
      <c r="N2028" s="116">
        <v>709.53076713522898</v>
      </c>
      <c r="O2028" s="116">
        <v>697.18423050379602</v>
      </c>
      <c r="P2028" s="116">
        <v>708.04918273945702</v>
      </c>
      <c r="Q2028" s="116">
        <v>707.35</v>
      </c>
      <c r="R2028">
        <v>969963</v>
      </c>
    </row>
    <row r="2029" spans="1:18" x14ac:dyDescent="0.25">
      <c r="A2029" s="170">
        <v>44988</v>
      </c>
      <c r="B2029" s="116">
        <v>704.54204467205705</v>
      </c>
      <c r="C2029" s="116">
        <v>700.68992918878098</v>
      </c>
      <c r="D2029" s="116">
        <v>697.87492172023303</v>
      </c>
      <c r="E2029" s="116">
        <v>701.28256234005403</v>
      </c>
      <c r="F2029" s="116">
        <v>709.4</v>
      </c>
      <c r="G2029">
        <v>42554</v>
      </c>
      <c r="H2029" s="116"/>
      <c r="I2029" s="116"/>
      <c r="L2029" s="170">
        <v>44988</v>
      </c>
      <c r="M2029" s="116">
        <v>701.13512222585496</v>
      </c>
      <c r="N2029" s="116">
        <v>704.49338018960395</v>
      </c>
      <c r="O2029" s="116">
        <v>697.52993352947601</v>
      </c>
      <c r="P2029" s="116">
        <v>700.295557734917</v>
      </c>
      <c r="Q2029" s="116">
        <v>709.85</v>
      </c>
      <c r="R2029">
        <v>873264</v>
      </c>
    </row>
    <row r="2030" spans="1:18" x14ac:dyDescent="0.25">
      <c r="A2030" s="170">
        <v>44991</v>
      </c>
      <c r="B2030" s="116">
        <v>709.97451522539598</v>
      </c>
      <c r="C2030" s="116">
        <v>704.78897515175402</v>
      </c>
      <c r="D2030" s="116">
        <v>701.97396768320596</v>
      </c>
      <c r="E2030" s="116">
        <v>706.96196337309004</v>
      </c>
      <c r="F2030" s="116">
        <v>713.55</v>
      </c>
      <c r="G2030">
        <v>13851</v>
      </c>
      <c r="H2030" s="116"/>
      <c r="I2030" s="116"/>
      <c r="L2030" s="170">
        <v>44991</v>
      </c>
      <c r="M2030" s="116">
        <v>704.83908321528497</v>
      </c>
      <c r="N2030" s="116">
        <v>709.92585630743497</v>
      </c>
      <c r="O2030" s="116">
        <v>701.23389451890603</v>
      </c>
      <c r="P2030" s="116">
        <v>704.24644945697605</v>
      </c>
      <c r="Q2030" s="116">
        <v>713.6</v>
      </c>
      <c r="R2030">
        <v>739338</v>
      </c>
    </row>
    <row r="2031" spans="1:18" x14ac:dyDescent="0.25">
      <c r="A2031" s="170">
        <v>44993</v>
      </c>
      <c r="B2031" s="116">
        <v>714.07356118836901</v>
      </c>
      <c r="C2031" s="116">
        <v>711.50548419951804</v>
      </c>
      <c r="D2031" s="116">
        <v>702.27028425884305</v>
      </c>
      <c r="E2031" s="116">
        <v>704.24572809642098</v>
      </c>
      <c r="F2031" s="116">
        <v>720.35</v>
      </c>
      <c r="G2031">
        <v>127264</v>
      </c>
      <c r="H2031" s="116"/>
      <c r="I2031" s="116"/>
      <c r="L2031" s="170">
        <v>44993</v>
      </c>
      <c r="M2031" s="116">
        <v>711.65437143583597</v>
      </c>
      <c r="N2031" s="116">
        <v>714.321223348226</v>
      </c>
      <c r="O2031" s="116">
        <v>702.07345900984296</v>
      </c>
      <c r="P2031" s="116">
        <v>704.24644945697605</v>
      </c>
      <c r="Q2031" s="116">
        <v>720.5</v>
      </c>
      <c r="R2031">
        <v>1026628</v>
      </c>
    </row>
    <row r="2032" spans="1:18" x14ac:dyDescent="0.25">
      <c r="A2032" s="170">
        <v>44994</v>
      </c>
      <c r="B2032" s="116">
        <v>713.13522536552</v>
      </c>
      <c r="C2032" s="116">
        <v>700.19606822938601</v>
      </c>
      <c r="D2032" s="116">
        <v>697.47983295271695</v>
      </c>
      <c r="E2032" s="116">
        <v>711.25855371982095</v>
      </c>
      <c r="F2032" s="116">
        <v>708.9</v>
      </c>
      <c r="G2032">
        <v>17698</v>
      </c>
      <c r="H2032" s="116"/>
      <c r="I2032" s="116"/>
      <c r="L2032" s="170">
        <v>44994</v>
      </c>
      <c r="M2032" s="116">
        <v>700.54248846754604</v>
      </c>
      <c r="N2032" s="116">
        <v>713.975520322546</v>
      </c>
      <c r="O2032" s="116">
        <v>699.40660709745396</v>
      </c>
      <c r="P2032" s="116">
        <v>713.975520322546</v>
      </c>
      <c r="Q2032" s="116">
        <v>709.25</v>
      </c>
      <c r="R2032">
        <v>905544</v>
      </c>
    </row>
    <row r="2033" spans="1:18" x14ac:dyDescent="0.25">
      <c r="A2033" s="170">
        <v>44995</v>
      </c>
      <c r="B2033" s="116">
        <v>701.28256234005403</v>
      </c>
      <c r="C2033" s="116">
        <v>695.85009178671601</v>
      </c>
      <c r="D2033" s="116">
        <v>692.83753993440996</v>
      </c>
      <c r="E2033" s="116">
        <v>699.30711850247701</v>
      </c>
      <c r="F2033" s="116">
        <v>704.5</v>
      </c>
      <c r="G2033">
        <v>143093</v>
      </c>
      <c r="H2033" s="116"/>
      <c r="I2033" s="116"/>
      <c r="L2033" s="170">
        <v>44995</v>
      </c>
      <c r="M2033" s="116">
        <v>695.75203225454902</v>
      </c>
      <c r="N2033" s="116">
        <v>701.48082525153495</v>
      </c>
      <c r="O2033" s="116">
        <v>692.73947731648002</v>
      </c>
      <c r="P2033" s="116">
        <v>698.32011187388798</v>
      </c>
      <c r="Q2033" s="116">
        <v>704.4</v>
      </c>
      <c r="R2033">
        <v>970983</v>
      </c>
    </row>
    <row r="2034" spans="1:18" x14ac:dyDescent="0.25">
      <c r="A2034" s="170">
        <v>44998</v>
      </c>
      <c r="B2034" s="116">
        <v>698.51694096744598</v>
      </c>
      <c r="C2034" s="116">
        <v>686.81243622979798</v>
      </c>
      <c r="D2034" s="116">
        <v>683.40479560997699</v>
      </c>
      <c r="E2034" s="116">
        <v>695.89947788265499</v>
      </c>
      <c r="F2034" s="116">
        <v>695.35</v>
      </c>
      <c r="G2034">
        <v>239948</v>
      </c>
      <c r="H2034" s="116"/>
      <c r="I2034" s="116"/>
      <c r="L2034" s="170">
        <v>44998</v>
      </c>
      <c r="M2034" s="116">
        <v>685.62787221677399</v>
      </c>
      <c r="N2034" s="116">
        <v>698.61642875304199</v>
      </c>
      <c r="O2034" s="116">
        <v>683.25733718353899</v>
      </c>
      <c r="P2034" s="116">
        <v>696.34466601285806</v>
      </c>
      <c r="Q2034" s="116">
        <v>694.15</v>
      </c>
      <c r="R2034">
        <v>1158330</v>
      </c>
    </row>
    <row r="2035" spans="1:18" x14ac:dyDescent="0.25">
      <c r="A2035" s="170">
        <v>44999</v>
      </c>
      <c r="B2035" s="116">
        <v>691.40534315216598</v>
      </c>
      <c r="C2035" s="116">
        <v>684.98515068003906</v>
      </c>
      <c r="D2035" s="116">
        <v>681.52812396427805</v>
      </c>
      <c r="E2035" s="116">
        <v>686.46673355822202</v>
      </c>
      <c r="F2035" s="116">
        <v>693.5</v>
      </c>
      <c r="G2035">
        <v>113261</v>
      </c>
      <c r="H2035" s="116"/>
      <c r="I2035" s="116"/>
      <c r="L2035" s="170">
        <v>44999</v>
      </c>
      <c r="M2035" s="116">
        <v>684.78830772583603</v>
      </c>
      <c r="N2035" s="116">
        <v>691.40605136028501</v>
      </c>
      <c r="O2035" s="116">
        <v>680.98557444335495</v>
      </c>
      <c r="P2035" s="116">
        <v>687.45515963822595</v>
      </c>
      <c r="Q2035" s="116">
        <v>693.3</v>
      </c>
      <c r="R2035">
        <v>1501579</v>
      </c>
    </row>
    <row r="2036" spans="1:18" x14ac:dyDescent="0.25">
      <c r="A2036" s="170">
        <v>45000</v>
      </c>
      <c r="B2036" s="116">
        <v>691.60288753592397</v>
      </c>
      <c r="C2036" s="116">
        <v>679.00943307136697</v>
      </c>
      <c r="D2036" s="116">
        <v>677.72539457694097</v>
      </c>
      <c r="E2036" s="116">
        <v>685.08392287191805</v>
      </c>
      <c r="F2036" s="116">
        <v>687.45</v>
      </c>
      <c r="G2036">
        <v>61290</v>
      </c>
      <c r="H2036" s="116"/>
      <c r="I2036" s="116"/>
      <c r="L2036" s="170">
        <v>45000</v>
      </c>
      <c r="M2036" s="116">
        <v>679.108900875377</v>
      </c>
      <c r="N2036" s="116">
        <v>691.35666521375902</v>
      </c>
      <c r="O2036" s="116">
        <v>678.17056409138797</v>
      </c>
      <c r="P2036" s="116">
        <v>687.45515963822595</v>
      </c>
      <c r="Q2036" s="116">
        <v>687.55</v>
      </c>
      <c r="R2036">
        <v>1119482</v>
      </c>
    </row>
    <row r="2037" spans="1:18" x14ac:dyDescent="0.25">
      <c r="A2037" s="170">
        <v>45001</v>
      </c>
      <c r="B2037" s="116">
        <v>687.75077205264699</v>
      </c>
      <c r="C2037" s="116">
        <v>685.23208115973603</v>
      </c>
      <c r="D2037" s="116">
        <v>676.58951437033397</v>
      </c>
      <c r="E2037" s="116">
        <v>677.13276142566804</v>
      </c>
      <c r="F2037" s="116">
        <v>693.75</v>
      </c>
      <c r="G2037">
        <v>50318</v>
      </c>
      <c r="H2037" s="116"/>
      <c r="I2037" s="116"/>
      <c r="L2037" s="170">
        <v>45001</v>
      </c>
      <c r="M2037" s="116">
        <v>685.47971377719705</v>
      </c>
      <c r="N2037" s="116">
        <v>687.89963495695804</v>
      </c>
      <c r="O2037" s="116">
        <v>680.54109912462297</v>
      </c>
      <c r="P2037" s="116">
        <v>680.54109912462297</v>
      </c>
      <c r="Q2037" s="116">
        <v>694</v>
      </c>
      <c r="R2037">
        <v>974834</v>
      </c>
    </row>
    <row r="2038" spans="1:18" x14ac:dyDescent="0.25">
      <c r="A2038" s="170">
        <v>45002</v>
      </c>
      <c r="B2038" s="116">
        <v>700.19606822938601</v>
      </c>
      <c r="C2038" s="116">
        <v>697.43044685677796</v>
      </c>
      <c r="D2038" s="116">
        <v>686.12103088664605</v>
      </c>
      <c r="E2038" s="116">
        <v>687.00998061355597</v>
      </c>
      <c r="F2038" s="116">
        <v>706.1</v>
      </c>
      <c r="G2038">
        <v>24543</v>
      </c>
      <c r="H2038" s="116"/>
      <c r="I2038" s="116"/>
      <c r="L2038" s="170">
        <v>45002</v>
      </c>
      <c r="M2038" s="116">
        <v>697.52993352947601</v>
      </c>
      <c r="N2038" s="116">
        <v>699.949854709237</v>
      </c>
      <c r="O2038" s="116">
        <v>685.87480294940201</v>
      </c>
      <c r="P2038" s="116">
        <v>689.43060549925497</v>
      </c>
      <c r="Q2038" s="116">
        <v>706.2</v>
      </c>
      <c r="R2038">
        <v>2111478</v>
      </c>
    </row>
    <row r="2039" spans="1:18" x14ac:dyDescent="0.25">
      <c r="A2039" s="170">
        <v>45005</v>
      </c>
      <c r="B2039" s="116">
        <v>695.15868644356397</v>
      </c>
      <c r="C2039" s="116">
        <v>693.57833137350201</v>
      </c>
      <c r="D2039" s="116">
        <v>683.00970684246101</v>
      </c>
      <c r="E2039" s="116">
        <v>690.36823513743798</v>
      </c>
      <c r="F2039" s="116">
        <v>702.2</v>
      </c>
      <c r="G2039">
        <v>47646</v>
      </c>
      <c r="H2039" s="116"/>
      <c r="I2039" s="116"/>
      <c r="L2039" s="170">
        <v>45005</v>
      </c>
      <c r="M2039" s="116">
        <v>693.97413097962306</v>
      </c>
      <c r="N2039" s="116">
        <v>698.07318114125906</v>
      </c>
      <c r="O2039" s="116">
        <v>682.51654498565301</v>
      </c>
      <c r="P2039" s="116">
        <v>682.51654498565301</v>
      </c>
      <c r="Q2039" s="116">
        <v>702.6</v>
      </c>
      <c r="R2039">
        <v>1018438</v>
      </c>
    </row>
    <row r="2040" spans="1:18" x14ac:dyDescent="0.25">
      <c r="A2040" s="170">
        <v>45006</v>
      </c>
      <c r="B2040" s="116">
        <v>697.33167466489897</v>
      </c>
      <c r="C2040" s="116">
        <v>692.59060945471299</v>
      </c>
      <c r="D2040" s="116">
        <v>691.355957056227</v>
      </c>
      <c r="E2040" s="116">
        <v>693.627717469441</v>
      </c>
      <c r="F2040" s="116">
        <v>701.2</v>
      </c>
      <c r="G2040">
        <v>52519</v>
      </c>
      <c r="H2040" s="116"/>
      <c r="I2040" s="116"/>
      <c r="L2040" s="170">
        <v>45006</v>
      </c>
      <c r="M2040" s="116">
        <v>692.29500199774805</v>
      </c>
      <c r="N2040" s="116">
        <v>697.33238894337296</v>
      </c>
      <c r="O2040" s="116">
        <v>691.40605136028501</v>
      </c>
      <c r="P2040" s="116">
        <v>695.45571537539502</v>
      </c>
      <c r="Q2040" s="116">
        <v>700.9</v>
      </c>
      <c r="R2040">
        <v>721243</v>
      </c>
    </row>
    <row r="2041" spans="1:18" x14ac:dyDescent="0.25">
      <c r="A2041" s="170">
        <v>45007</v>
      </c>
      <c r="B2041" s="116">
        <v>707.30766604466601</v>
      </c>
      <c r="C2041" s="116">
        <v>702.02335377914596</v>
      </c>
      <c r="D2041" s="116">
        <v>692.393065070955</v>
      </c>
      <c r="E2041" s="116">
        <v>692.393065070955</v>
      </c>
      <c r="F2041" s="116">
        <v>710.75</v>
      </c>
      <c r="G2041">
        <v>79665</v>
      </c>
      <c r="H2041" s="116"/>
      <c r="I2041" s="116"/>
      <c r="L2041" s="170">
        <v>45007</v>
      </c>
      <c r="M2041" s="116">
        <v>702.17223130289506</v>
      </c>
      <c r="N2041" s="116">
        <v>707.40716283462302</v>
      </c>
      <c r="O2041" s="116">
        <v>692.393774290799</v>
      </c>
      <c r="P2041" s="116">
        <v>692.393774290799</v>
      </c>
      <c r="Q2041" s="116">
        <v>710.9</v>
      </c>
      <c r="R2041">
        <v>776214</v>
      </c>
    </row>
    <row r="2042" spans="1:18" x14ac:dyDescent="0.25">
      <c r="A2042" s="170">
        <v>45008</v>
      </c>
      <c r="B2042" s="116">
        <v>704.34450028829997</v>
      </c>
      <c r="C2042" s="116">
        <v>698.41816877556698</v>
      </c>
      <c r="D2042" s="116">
        <v>697.33167466489897</v>
      </c>
      <c r="E2042" s="116">
        <v>702.17151206696406</v>
      </c>
      <c r="F2042" s="116">
        <v>707.1</v>
      </c>
      <c r="G2042">
        <v>15519</v>
      </c>
      <c r="H2042" s="116"/>
      <c r="I2042" s="116"/>
      <c r="L2042" s="170">
        <v>45008</v>
      </c>
      <c r="M2042" s="116">
        <v>698.46827031346504</v>
      </c>
      <c r="N2042" s="116">
        <v>705.18478624096497</v>
      </c>
      <c r="O2042" s="116">
        <v>697.13484435727003</v>
      </c>
      <c r="P2042" s="116">
        <v>702.81425120772894</v>
      </c>
      <c r="Q2042" s="116">
        <v>707.15</v>
      </c>
      <c r="R2042">
        <v>587643</v>
      </c>
    </row>
    <row r="2043" spans="1:18" x14ac:dyDescent="0.25">
      <c r="A2043" s="170">
        <v>45009</v>
      </c>
      <c r="B2043" s="116">
        <v>700.04790994156804</v>
      </c>
      <c r="C2043" s="116">
        <v>693.528945277562</v>
      </c>
      <c r="D2043" s="116">
        <v>690.56577952119596</v>
      </c>
      <c r="E2043" s="116">
        <v>696.39333884204996</v>
      </c>
      <c r="F2043" s="116">
        <v>702.15</v>
      </c>
      <c r="G2043">
        <v>106225</v>
      </c>
      <c r="H2043" s="116"/>
      <c r="I2043" s="116"/>
      <c r="L2043" s="170">
        <v>45009</v>
      </c>
      <c r="M2043" s="116">
        <v>693.72720024699402</v>
      </c>
      <c r="N2043" s="116">
        <v>700.98696378627699</v>
      </c>
      <c r="O2043" s="116">
        <v>690.27016999019304</v>
      </c>
      <c r="P2043" s="116">
        <v>698.32011187388798</v>
      </c>
      <c r="Q2043" s="116">
        <v>702.35</v>
      </c>
      <c r="R2043">
        <v>960470</v>
      </c>
    </row>
    <row r="2044" spans="1:18" x14ac:dyDescent="0.25">
      <c r="A2044" s="170">
        <v>45012</v>
      </c>
      <c r="B2044" s="116">
        <v>698.46755487150597</v>
      </c>
      <c r="C2044" s="116">
        <v>690.56577952119596</v>
      </c>
      <c r="D2044" s="116">
        <v>688.54094958767905</v>
      </c>
      <c r="E2044" s="116">
        <v>697.33167466489897</v>
      </c>
      <c r="F2044" s="116">
        <v>699.15</v>
      </c>
      <c r="G2044">
        <v>65654</v>
      </c>
      <c r="H2044" s="116"/>
      <c r="I2044" s="116"/>
      <c r="L2044" s="170">
        <v>45012</v>
      </c>
      <c r="M2044" s="116">
        <v>690.76403145544998</v>
      </c>
      <c r="N2044" s="116">
        <v>698.71520104609397</v>
      </c>
      <c r="O2044" s="116">
        <v>688.64042715484402</v>
      </c>
      <c r="P2044" s="116">
        <v>698.221339580836</v>
      </c>
      <c r="Q2044" s="116">
        <v>699.35</v>
      </c>
      <c r="R2044">
        <v>3695292</v>
      </c>
    </row>
    <row r="2045" spans="1:18" x14ac:dyDescent="0.25">
      <c r="A2045" s="170">
        <v>45013</v>
      </c>
      <c r="B2045" s="116">
        <v>691.30657096028699</v>
      </c>
      <c r="C2045" s="116">
        <v>687.50384157295002</v>
      </c>
      <c r="D2045" s="116">
        <v>681.52812396427805</v>
      </c>
      <c r="E2045" s="116">
        <v>681.52812396427805</v>
      </c>
      <c r="F2045" s="116">
        <v>696.05</v>
      </c>
      <c r="G2045">
        <v>29338</v>
      </c>
      <c r="H2045" s="116"/>
      <c r="I2045" s="116"/>
      <c r="L2045" s="170">
        <v>45013</v>
      </c>
      <c r="M2045" s="116">
        <v>687.50454578475205</v>
      </c>
      <c r="N2045" s="116">
        <v>691.06034833460501</v>
      </c>
      <c r="O2045" s="116">
        <v>681.52882205513799</v>
      </c>
      <c r="P2045" s="116">
        <v>681.52882205513799</v>
      </c>
      <c r="Q2045" s="116">
        <v>696.05</v>
      </c>
      <c r="R2045">
        <v>1113702</v>
      </c>
    </row>
    <row r="2046" spans="1:18" x14ac:dyDescent="0.25">
      <c r="A2046" s="170">
        <v>45014</v>
      </c>
      <c r="B2046" s="116">
        <v>694.31912281259304</v>
      </c>
      <c r="C2046" s="116">
        <v>689.03481054707299</v>
      </c>
      <c r="D2046" s="116">
        <v>682.56523197900594</v>
      </c>
      <c r="E2046" s="116">
        <v>682.56523197900594</v>
      </c>
      <c r="F2046" s="116">
        <v>697.6</v>
      </c>
      <c r="G2046">
        <v>17789</v>
      </c>
      <c r="H2046" s="116"/>
      <c r="I2046" s="116"/>
      <c r="L2046" s="170">
        <v>45014</v>
      </c>
      <c r="M2046" s="116">
        <v>688.98613018052401</v>
      </c>
      <c r="N2046" s="116">
        <v>694.36922015182904</v>
      </c>
      <c r="O2046" s="116">
        <v>686.269892121608</v>
      </c>
      <c r="P2046" s="116">
        <v>687.50454578475205</v>
      </c>
      <c r="Q2046" s="116">
        <v>697.55</v>
      </c>
      <c r="R2046">
        <v>1160832</v>
      </c>
    </row>
    <row r="2047" spans="1:18" x14ac:dyDescent="0.25">
      <c r="A2047" s="170">
        <v>45016</v>
      </c>
      <c r="B2047" s="116">
        <v>704.14695590454198</v>
      </c>
      <c r="C2047" s="116">
        <v>701.33194843599404</v>
      </c>
      <c r="D2047" s="116">
        <v>689.42989931458897</v>
      </c>
      <c r="E2047" s="116">
        <v>689.42989931458897</v>
      </c>
      <c r="F2047" s="116">
        <v>710.05</v>
      </c>
      <c r="G2047">
        <v>105589</v>
      </c>
      <c r="H2047" s="116"/>
      <c r="I2047" s="116"/>
      <c r="L2047" s="170">
        <v>45016</v>
      </c>
      <c r="M2047" s="116">
        <v>700.14739929534005</v>
      </c>
      <c r="N2047" s="116">
        <v>702.27100359594601</v>
      </c>
      <c r="O2047" s="116">
        <v>689.97385311103801</v>
      </c>
      <c r="P2047" s="116">
        <v>691.55420979986195</v>
      </c>
      <c r="Q2047" s="116">
        <v>708.85</v>
      </c>
      <c r="R2047">
        <v>972962</v>
      </c>
    </row>
    <row r="2048" spans="1:18" x14ac:dyDescent="0.25">
      <c r="A2048" s="170">
        <v>45019</v>
      </c>
      <c r="B2048" s="116">
        <v>709.87574303351698</v>
      </c>
      <c r="C2048" s="116">
        <v>708.14722967563603</v>
      </c>
      <c r="D2048" s="116">
        <v>700.14668213344703</v>
      </c>
      <c r="E2048" s="116">
        <v>700.14668213344703</v>
      </c>
      <c r="F2048" s="116">
        <v>716.95</v>
      </c>
      <c r="G2048">
        <v>73694</v>
      </c>
      <c r="H2048" s="116"/>
      <c r="I2048" s="116"/>
      <c r="L2048" s="170">
        <v>45019</v>
      </c>
      <c r="M2048" s="116">
        <v>708.24672732555996</v>
      </c>
      <c r="N2048" s="116">
        <v>709.67892557480695</v>
      </c>
      <c r="O2048" s="116">
        <v>700.591874614071</v>
      </c>
      <c r="P2048" s="116">
        <v>701.28328066543202</v>
      </c>
      <c r="Q2048" s="116">
        <v>717.05</v>
      </c>
      <c r="R2048">
        <v>797533</v>
      </c>
    </row>
    <row r="2049" spans="1:18" x14ac:dyDescent="0.25">
      <c r="A2049" s="170">
        <v>45021</v>
      </c>
      <c r="B2049" s="116">
        <v>719.50603174170794</v>
      </c>
      <c r="C2049" s="116">
        <v>718.22199324728194</v>
      </c>
      <c r="D2049" s="116">
        <v>706.270558029938</v>
      </c>
      <c r="E2049" s="116">
        <v>706.270558029938</v>
      </c>
      <c r="F2049" s="116">
        <v>727.15</v>
      </c>
      <c r="G2049">
        <v>21430</v>
      </c>
      <c r="H2049" s="116"/>
      <c r="I2049" s="116"/>
      <c r="L2049" s="170">
        <v>45021</v>
      </c>
      <c r="M2049" s="116">
        <v>718.46965965638697</v>
      </c>
      <c r="N2049" s="116">
        <v>719.45738258690199</v>
      </c>
      <c r="O2049" s="116">
        <v>706.22189531800495</v>
      </c>
      <c r="P2049" s="116">
        <v>708.19734117903499</v>
      </c>
      <c r="Q2049" s="116">
        <v>727.4</v>
      </c>
      <c r="R2049">
        <v>947741</v>
      </c>
    </row>
    <row r="2050" spans="1:18" x14ac:dyDescent="0.25">
      <c r="A2050" s="170">
        <v>45022</v>
      </c>
      <c r="B2050" s="116">
        <v>722.419811402135</v>
      </c>
      <c r="C2050" s="116">
        <v>721.283931195528</v>
      </c>
      <c r="D2050" s="116">
        <v>713.92540290055103</v>
      </c>
      <c r="E2050" s="116">
        <v>717.92567667164599</v>
      </c>
      <c r="F2050" s="116">
        <v>730.25</v>
      </c>
      <c r="G2050">
        <v>23315</v>
      </c>
      <c r="H2050" s="116"/>
      <c r="I2050" s="116"/>
      <c r="L2050" s="170">
        <v>45022</v>
      </c>
      <c r="M2050" s="116">
        <v>721.53160074098298</v>
      </c>
      <c r="N2050" s="116">
        <v>722.46993752497201</v>
      </c>
      <c r="O2050" s="116">
        <v>713.62981729686499</v>
      </c>
      <c r="P2050" s="116">
        <v>718.37088736333601</v>
      </c>
      <c r="Q2050" s="116">
        <v>730.5</v>
      </c>
      <c r="R2050">
        <v>738748</v>
      </c>
    </row>
    <row r="2051" spans="1:18" x14ac:dyDescent="0.25">
      <c r="A2051" s="170">
        <v>45026</v>
      </c>
      <c r="B2051" s="116">
        <v>721.72840605898296</v>
      </c>
      <c r="C2051" s="116">
        <v>711.80180077515502</v>
      </c>
      <c r="D2051" s="116">
        <v>711.15978152794196</v>
      </c>
      <c r="E2051" s="116">
        <v>716.14777721782605</v>
      </c>
      <c r="F2051" s="116">
        <v>720.65</v>
      </c>
      <c r="G2051">
        <v>20796</v>
      </c>
      <c r="H2051" s="116"/>
      <c r="I2051" s="116"/>
      <c r="L2051" s="170">
        <v>45026</v>
      </c>
      <c r="M2051" s="116">
        <v>711.80252987541303</v>
      </c>
      <c r="N2051" s="116">
        <v>721.67975918056004</v>
      </c>
      <c r="O2051" s="116">
        <v>711.16050997057903</v>
      </c>
      <c r="P2051" s="116">
        <v>718.07457048418098</v>
      </c>
      <c r="Q2051" s="116">
        <v>720.65</v>
      </c>
      <c r="R2051">
        <v>916628</v>
      </c>
    </row>
    <row r="2052" spans="1:18" x14ac:dyDescent="0.25">
      <c r="A2052" s="170">
        <v>45027</v>
      </c>
      <c r="B2052" s="116">
        <v>716.04900502594705</v>
      </c>
      <c r="C2052" s="116">
        <v>708.39416015533402</v>
      </c>
      <c r="D2052" s="116">
        <v>707.01134946902903</v>
      </c>
      <c r="E2052" s="116">
        <v>715.16005529903703</v>
      </c>
      <c r="F2052" s="116">
        <v>717.2</v>
      </c>
      <c r="G2052">
        <v>16181</v>
      </c>
      <c r="H2052" s="116"/>
      <c r="I2052" s="116"/>
      <c r="L2052" s="170">
        <v>45027</v>
      </c>
      <c r="M2052" s="116">
        <v>708.493658058189</v>
      </c>
      <c r="N2052" s="116">
        <v>717.037461407141</v>
      </c>
      <c r="O2052" s="116">
        <v>706.91330136936597</v>
      </c>
      <c r="P2052" s="116">
        <v>717.037461407141</v>
      </c>
      <c r="Q2052" s="116">
        <v>717.3</v>
      </c>
      <c r="R2052">
        <v>776167</v>
      </c>
    </row>
    <row r="2053" spans="1:18" x14ac:dyDescent="0.25">
      <c r="A2053" s="170">
        <v>45028</v>
      </c>
      <c r="B2053" s="116">
        <v>714.41926385994498</v>
      </c>
      <c r="C2053" s="116">
        <v>709.678198649759</v>
      </c>
      <c r="D2053" s="116">
        <v>707.80152700405995</v>
      </c>
      <c r="E2053" s="116">
        <v>708.542318443152</v>
      </c>
      <c r="F2053" s="116">
        <v>718.5</v>
      </c>
      <c r="G2053">
        <v>12037</v>
      </c>
      <c r="H2053" s="116"/>
      <c r="I2053" s="116"/>
      <c r="L2053" s="170">
        <v>45028</v>
      </c>
      <c r="M2053" s="116">
        <v>709.58015328175497</v>
      </c>
      <c r="N2053" s="116">
        <v>714.71631252043198</v>
      </c>
      <c r="O2053" s="116">
        <v>707.55532127419997</v>
      </c>
      <c r="P2053" s="116">
        <v>712.04946060804195</v>
      </c>
      <c r="Q2053" s="116">
        <v>718.4</v>
      </c>
      <c r="R2053">
        <v>702063</v>
      </c>
    </row>
    <row r="2054" spans="1:18" x14ac:dyDescent="0.25">
      <c r="A2054" s="170">
        <v>45029</v>
      </c>
      <c r="B2054" s="116">
        <v>714.22171947618801</v>
      </c>
      <c r="C2054" s="116">
        <v>710.66592056854802</v>
      </c>
      <c r="D2054" s="116">
        <v>706.31994412587699</v>
      </c>
      <c r="E2054" s="116">
        <v>706.31994412587699</v>
      </c>
      <c r="F2054" s="116">
        <v>719.5</v>
      </c>
      <c r="G2054">
        <v>24573</v>
      </c>
      <c r="H2054" s="116"/>
      <c r="I2054" s="116"/>
      <c r="L2054" s="170">
        <v>45029</v>
      </c>
      <c r="M2054" s="116">
        <v>710.76542079837304</v>
      </c>
      <c r="N2054" s="116">
        <v>714.81508481348305</v>
      </c>
      <c r="O2054" s="116">
        <v>708.83936108386899</v>
      </c>
      <c r="P2054" s="116">
        <v>713.13595583160804</v>
      </c>
      <c r="Q2054" s="116">
        <v>719.6</v>
      </c>
      <c r="R2054">
        <v>502380</v>
      </c>
    </row>
    <row r="2055" spans="1:18" x14ac:dyDescent="0.25">
      <c r="A2055" s="170">
        <v>45033</v>
      </c>
      <c r="B2055" s="116">
        <v>710.36960399291104</v>
      </c>
      <c r="C2055" s="116">
        <v>704.34450028829997</v>
      </c>
      <c r="D2055" s="116">
        <v>703.20862008169195</v>
      </c>
      <c r="E2055" s="116">
        <v>706.270558029938</v>
      </c>
      <c r="F2055" s="116">
        <v>713.1</v>
      </c>
      <c r="G2055">
        <v>18498</v>
      </c>
      <c r="H2055" s="116"/>
      <c r="I2055" s="116"/>
      <c r="L2055" s="170">
        <v>45033</v>
      </c>
      <c r="M2055" s="116">
        <v>704.44399404307899</v>
      </c>
      <c r="N2055" s="116">
        <v>710.41971777269305</v>
      </c>
      <c r="O2055" s="116">
        <v>702.76486506120398</v>
      </c>
      <c r="P2055" s="116">
        <v>708.19734117903499</v>
      </c>
      <c r="Q2055" s="116">
        <v>713.2</v>
      </c>
      <c r="R2055">
        <v>1180651</v>
      </c>
    </row>
    <row r="2056" spans="1:18" x14ac:dyDescent="0.25">
      <c r="A2056" s="170">
        <v>45034</v>
      </c>
      <c r="B2056" s="116">
        <v>711.11039543200297</v>
      </c>
      <c r="C2056" s="116">
        <v>698.41816877556698</v>
      </c>
      <c r="D2056" s="116">
        <v>697.97369391211203</v>
      </c>
      <c r="E2056" s="116">
        <v>711.11039543200297</v>
      </c>
      <c r="F2056" s="116">
        <v>707.1</v>
      </c>
      <c r="G2056">
        <v>23236</v>
      </c>
      <c r="H2056" s="116"/>
      <c r="I2056" s="116"/>
      <c r="L2056" s="170">
        <v>45034</v>
      </c>
      <c r="M2056" s="116">
        <v>698.36949802041295</v>
      </c>
      <c r="N2056" s="116">
        <v>711.06173767752705</v>
      </c>
      <c r="O2056" s="116">
        <v>698.02379499473295</v>
      </c>
      <c r="P2056" s="116">
        <v>707.40716283462302</v>
      </c>
      <c r="Q2056" s="116">
        <v>707.05</v>
      </c>
      <c r="R2056">
        <v>1323608</v>
      </c>
    </row>
    <row r="2057" spans="1:18" x14ac:dyDescent="0.25">
      <c r="A2057" s="170">
        <v>45035</v>
      </c>
      <c r="B2057" s="116">
        <v>699.30711850247701</v>
      </c>
      <c r="C2057" s="116">
        <v>692.393065070955</v>
      </c>
      <c r="D2057" s="116">
        <v>689.67682979428605</v>
      </c>
      <c r="E2057" s="116">
        <v>695.40561692326105</v>
      </c>
      <c r="F2057" s="116">
        <v>701</v>
      </c>
      <c r="G2057">
        <v>45954</v>
      </c>
      <c r="H2057" s="116"/>
      <c r="I2057" s="116"/>
      <c r="L2057" s="170">
        <v>45035</v>
      </c>
      <c r="M2057" s="116">
        <v>692.24561585122206</v>
      </c>
      <c r="N2057" s="116">
        <v>700.19678544186502</v>
      </c>
      <c r="O2057" s="116">
        <v>689.67753623188401</v>
      </c>
      <c r="P2057" s="116">
        <v>699.30783480440198</v>
      </c>
      <c r="Q2057" s="116">
        <v>700.85</v>
      </c>
      <c r="R2057">
        <v>1235220</v>
      </c>
    </row>
    <row r="2058" spans="1:18" x14ac:dyDescent="0.25">
      <c r="A2058" s="170">
        <v>45036</v>
      </c>
      <c r="B2058" s="116">
        <v>695.85009178671601</v>
      </c>
      <c r="C2058" s="116">
        <v>694.664825484169</v>
      </c>
      <c r="D2058" s="116">
        <v>687.94831643640498</v>
      </c>
      <c r="E2058" s="116">
        <v>689.42989931458897</v>
      </c>
      <c r="F2058" s="116">
        <v>703.3</v>
      </c>
      <c r="G2058">
        <v>38760</v>
      </c>
      <c r="H2058" s="116"/>
      <c r="I2058" s="116"/>
      <c r="L2058" s="170">
        <v>45036</v>
      </c>
      <c r="M2058" s="116">
        <v>694.76430932403503</v>
      </c>
      <c r="N2058" s="116">
        <v>695.75203225454902</v>
      </c>
      <c r="O2058" s="116">
        <v>687.89963495695804</v>
      </c>
      <c r="P2058" s="116">
        <v>690.41832842976999</v>
      </c>
      <c r="Q2058" s="116">
        <v>703.4</v>
      </c>
      <c r="R2058">
        <v>1263116</v>
      </c>
    </row>
    <row r="2059" spans="1:18" x14ac:dyDescent="0.25">
      <c r="A2059" s="170">
        <v>45037</v>
      </c>
      <c r="B2059" s="116">
        <v>696.59088322580703</v>
      </c>
      <c r="C2059" s="116">
        <v>691.45472924810599</v>
      </c>
      <c r="D2059" s="116">
        <v>688.49156349173904</v>
      </c>
      <c r="E2059" s="116">
        <v>691.50411534404498</v>
      </c>
      <c r="F2059" s="116">
        <v>700.05</v>
      </c>
      <c r="G2059">
        <v>20856</v>
      </c>
      <c r="H2059" s="116"/>
      <c r="I2059" s="116"/>
      <c r="L2059" s="170">
        <v>45037</v>
      </c>
      <c r="M2059" s="116">
        <v>691.80114053249099</v>
      </c>
      <c r="N2059" s="116">
        <v>696.34466601285806</v>
      </c>
      <c r="O2059" s="116">
        <v>688.44288256874097</v>
      </c>
      <c r="P2059" s="116">
        <v>694.76430932403503</v>
      </c>
      <c r="Q2059" s="116">
        <v>700.4</v>
      </c>
      <c r="R2059">
        <v>966029</v>
      </c>
    </row>
    <row r="2060" spans="1:18" x14ac:dyDescent="0.25">
      <c r="A2060" s="170">
        <v>45040</v>
      </c>
      <c r="B2060" s="116">
        <v>725.876838117896</v>
      </c>
      <c r="C2060" s="116">
        <v>723.456919416863</v>
      </c>
      <c r="D2060" s="116">
        <v>691.84981801562105</v>
      </c>
      <c r="E2060" s="116">
        <v>691.84981801562105</v>
      </c>
      <c r="F2060" s="116">
        <v>732.45</v>
      </c>
      <c r="G2060">
        <v>141488</v>
      </c>
      <c r="H2060" s="116"/>
      <c r="I2060" s="116"/>
      <c r="L2060" s="170">
        <v>45040</v>
      </c>
      <c r="M2060" s="116">
        <v>723.55643274853799</v>
      </c>
      <c r="N2060" s="116">
        <v>725.97635392829898</v>
      </c>
      <c r="O2060" s="116">
        <v>697.33238894337296</v>
      </c>
      <c r="P2060" s="116">
        <v>697.33238894337296</v>
      </c>
      <c r="Q2060" s="116">
        <v>732.55</v>
      </c>
      <c r="R2060">
        <v>6009290</v>
      </c>
    </row>
    <row r="2061" spans="1:18" x14ac:dyDescent="0.25">
      <c r="A2061" s="170">
        <v>45041</v>
      </c>
      <c r="B2061" s="116">
        <v>728.64245949050405</v>
      </c>
      <c r="C2061" s="116">
        <v>725.28420496662204</v>
      </c>
      <c r="D2061" s="116">
        <v>719.75296222140503</v>
      </c>
      <c r="E2061" s="116">
        <v>726.07438250165296</v>
      </c>
      <c r="F2061" s="116">
        <v>734.3</v>
      </c>
      <c r="G2061">
        <v>56958</v>
      </c>
      <c r="H2061" s="116"/>
      <c r="I2061" s="116"/>
      <c r="L2061" s="170">
        <v>45041</v>
      </c>
      <c r="M2061" s="116">
        <v>725.43310631651605</v>
      </c>
      <c r="N2061" s="116">
        <v>728.93952271984301</v>
      </c>
      <c r="O2061" s="116">
        <v>719.407996440376</v>
      </c>
      <c r="P2061" s="116">
        <v>726.964076858814</v>
      </c>
      <c r="Q2061" s="116">
        <v>734.45</v>
      </c>
      <c r="R2061">
        <v>1783879</v>
      </c>
    </row>
    <row r="2062" spans="1:18" x14ac:dyDescent="0.25">
      <c r="A2062" s="170">
        <v>45042</v>
      </c>
      <c r="B2062" s="116">
        <v>739.30985621342302</v>
      </c>
      <c r="C2062" s="116">
        <v>737.186254088027</v>
      </c>
      <c r="D2062" s="116">
        <v>715.35759968279501</v>
      </c>
      <c r="E2062" s="116">
        <v>728.44491510674595</v>
      </c>
      <c r="F2062" s="116">
        <v>746.35</v>
      </c>
      <c r="G2062">
        <v>108481</v>
      </c>
      <c r="H2062" s="116"/>
      <c r="I2062" s="116"/>
      <c r="L2062" s="170">
        <v>45042</v>
      </c>
      <c r="M2062" s="116">
        <v>737.532712215321</v>
      </c>
      <c r="N2062" s="116">
        <v>739.80447495550504</v>
      </c>
      <c r="O2062" s="116">
        <v>715.11140169263695</v>
      </c>
      <c r="P2062" s="116">
        <v>724.93924485125899</v>
      </c>
      <c r="Q2062" s="116">
        <v>746.7</v>
      </c>
      <c r="R2062">
        <v>3725680</v>
      </c>
    </row>
    <row r="2063" spans="1:18" x14ac:dyDescent="0.25">
      <c r="A2063" s="170">
        <v>45043</v>
      </c>
      <c r="B2063" s="116">
        <v>745.73004868555097</v>
      </c>
      <c r="C2063" s="116">
        <v>744.64355457488296</v>
      </c>
      <c r="D2063" s="116">
        <v>734.27247442759995</v>
      </c>
      <c r="E2063" s="116">
        <v>735.85282949766201</v>
      </c>
      <c r="F2063" s="116">
        <v>753.9</v>
      </c>
      <c r="G2063">
        <v>51342</v>
      </c>
      <c r="H2063" s="116"/>
      <c r="I2063" s="116"/>
      <c r="L2063" s="170">
        <v>45043</v>
      </c>
      <c r="M2063" s="116">
        <v>744.74308960807798</v>
      </c>
      <c r="N2063" s="116">
        <v>745.97774327122204</v>
      </c>
      <c r="O2063" s="116">
        <v>733.03857288147901</v>
      </c>
      <c r="P2063" s="116">
        <v>733.87813737241697</v>
      </c>
      <c r="Q2063" s="116">
        <v>754</v>
      </c>
      <c r="R2063">
        <v>1664942</v>
      </c>
    </row>
    <row r="2064" spans="1:18" x14ac:dyDescent="0.25">
      <c r="A2064" s="170">
        <v>45044</v>
      </c>
      <c r="B2064" s="116">
        <v>755.50849568156002</v>
      </c>
      <c r="C2064" s="116">
        <v>754.07629889931604</v>
      </c>
      <c r="D2064" s="116">
        <v>742.61872464136604</v>
      </c>
      <c r="E2064" s="116">
        <v>748.69321444191701</v>
      </c>
      <c r="F2064" s="116">
        <v>763.45</v>
      </c>
      <c r="G2064">
        <v>33148</v>
      </c>
      <c r="H2064" s="116"/>
      <c r="I2064" s="116"/>
      <c r="L2064" s="170">
        <v>45044</v>
      </c>
      <c r="M2064" s="116">
        <v>754.47216047364805</v>
      </c>
      <c r="N2064" s="116">
        <v>755.60804184374001</v>
      </c>
      <c r="O2064" s="116">
        <v>742.273782281791</v>
      </c>
      <c r="P2064" s="116">
        <v>748.69398133013704</v>
      </c>
      <c r="Q2064" s="116">
        <v>763.85</v>
      </c>
      <c r="R2064">
        <v>1261145</v>
      </c>
    </row>
    <row r="2065" spans="1:18" x14ac:dyDescent="0.25">
      <c r="A2065" s="170">
        <v>45048</v>
      </c>
      <c r="B2065" s="116">
        <v>773.38626241163695</v>
      </c>
      <c r="C2065" s="116">
        <v>769.83046350399798</v>
      </c>
      <c r="D2065" s="116">
        <v>755.60726787343901</v>
      </c>
      <c r="E2065" s="116">
        <v>755.60726787343901</v>
      </c>
      <c r="F2065" s="116">
        <v>779.4</v>
      </c>
      <c r="G2065">
        <v>44456</v>
      </c>
      <c r="H2065" s="116"/>
      <c r="I2065" s="116"/>
      <c r="L2065" s="170">
        <v>45048</v>
      </c>
      <c r="M2065" s="116">
        <v>770.02879662925397</v>
      </c>
      <c r="N2065" s="116">
        <v>773.43644073952998</v>
      </c>
      <c r="O2065" s="116">
        <v>755.55865569721402</v>
      </c>
      <c r="P2065" s="116">
        <v>758.52182448875806</v>
      </c>
      <c r="Q2065" s="116">
        <v>779.6</v>
      </c>
      <c r="R2065">
        <v>1438425</v>
      </c>
    </row>
    <row r="2066" spans="1:18" x14ac:dyDescent="0.25">
      <c r="A2066" s="170">
        <v>45049</v>
      </c>
      <c r="B2066" s="116">
        <v>777.23837789491404</v>
      </c>
      <c r="C2066" s="116">
        <v>771.41081857406004</v>
      </c>
      <c r="D2066" s="116">
        <v>764.79308171817502</v>
      </c>
      <c r="E2066" s="116">
        <v>769.435374736482</v>
      </c>
      <c r="F2066" s="116">
        <v>781</v>
      </c>
      <c r="G2066">
        <v>49185</v>
      </c>
      <c r="H2066" s="116"/>
      <c r="I2066" s="116"/>
      <c r="L2066" s="170">
        <v>45049</v>
      </c>
      <c r="M2066" s="116">
        <v>771.80669790418096</v>
      </c>
      <c r="N2066" s="116">
        <v>777.18978787548599</v>
      </c>
      <c r="O2066" s="116">
        <v>765.18895426973199</v>
      </c>
      <c r="P2066" s="116">
        <v>768.34966764737896</v>
      </c>
      <c r="Q2066" s="116">
        <v>781.4</v>
      </c>
      <c r="R2066">
        <v>1189150</v>
      </c>
    </row>
    <row r="2067" spans="1:18" x14ac:dyDescent="0.25">
      <c r="A2067" s="170">
        <v>45050</v>
      </c>
      <c r="B2067" s="116">
        <v>772.991173644122</v>
      </c>
      <c r="C2067" s="116">
        <v>765.58325925320605</v>
      </c>
      <c r="D2067" s="116">
        <v>762.07684644150504</v>
      </c>
      <c r="E2067" s="116">
        <v>765.48448706132694</v>
      </c>
      <c r="F2067" s="116">
        <v>775.1</v>
      </c>
      <c r="G2067">
        <v>35376</v>
      </c>
      <c r="H2067" s="116"/>
      <c r="I2067" s="116"/>
      <c r="L2067" s="170">
        <v>45050</v>
      </c>
      <c r="M2067" s="116">
        <v>765.97913261414396</v>
      </c>
      <c r="N2067" s="116">
        <v>773.041351567324</v>
      </c>
      <c r="O2067" s="116">
        <v>759.46016127274697</v>
      </c>
      <c r="P2067" s="116">
        <v>763.50982528785698</v>
      </c>
      <c r="Q2067" s="116">
        <v>775.5</v>
      </c>
      <c r="R2067">
        <v>1001352</v>
      </c>
    </row>
    <row r="2068" spans="1:18" x14ac:dyDescent="0.25">
      <c r="A2068" s="170">
        <v>45051</v>
      </c>
      <c r="B2068" s="116">
        <v>772.69485706848502</v>
      </c>
      <c r="C2068" s="116">
        <v>766.62036726793394</v>
      </c>
      <c r="D2068" s="116">
        <v>765.63264534914504</v>
      </c>
      <c r="E2068" s="116">
        <v>769.38598864054302</v>
      </c>
      <c r="F2068" s="116">
        <v>776.15</v>
      </c>
      <c r="G2068">
        <v>28065</v>
      </c>
      <c r="H2068" s="116"/>
      <c r="I2068" s="116"/>
      <c r="L2068" s="170">
        <v>45051</v>
      </c>
      <c r="M2068" s="116">
        <v>766.71992481202994</v>
      </c>
      <c r="N2068" s="116">
        <v>772.59687624859305</v>
      </c>
      <c r="O2068" s="116">
        <v>765.48527114888702</v>
      </c>
      <c r="P2068" s="116">
        <v>768.34966764737896</v>
      </c>
      <c r="Q2068" s="116">
        <v>776.25</v>
      </c>
      <c r="R2068">
        <v>617459</v>
      </c>
    </row>
    <row r="2069" spans="1:18" x14ac:dyDescent="0.25">
      <c r="A2069" s="170">
        <v>45054</v>
      </c>
      <c r="B2069" s="116">
        <v>779.80645488376501</v>
      </c>
      <c r="C2069" s="116">
        <v>778.86811906091498</v>
      </c>
      <c r="D2069" s="116">
        <v>765.53387315726604</v>
      </c>
      <c r="E2069" s="116">
        <v>765.53387315726604</v>
      </c>
      <c r="F2069" s="116">
        <v>788.55</v>
      </c>
      <c r="G2069">
        <v>27796</v>
      </c>
      <c r="H2069" s="116"/>
      <c r="I2069" s="116"/>
      <c r="L2069" s="170">
        <v>45054</v>
      </c>
      <c r="M2069" s="116">
        <v>779.214619883041</v>
      </c>
      <c r="N2069" s="116">
        <v>780.10357052050404</v>
      </c>
      <c r="O2069" s="116">
        <v>766.868083251607</v>
      </c>
      <c r="P2069" s="116">
        <v>767.26317242381299</v>
      </c>
      <c r="Q2069" s="116">
        <v>788.9</v>
      </c>
      <c r="R2069">
        <v>1048005</v>
      </c>
    </row>
    <row r="2070" spans="1:18" x14ac:dyDescent="0.25">
      <c r="A2070" s="170">
        <v>45055</v>
      </c>
      <c r="B2070" s="116">
        <v>781.97944310510002</v>
      </c>
      <c r="C2070" s="116">
        <v>779.16443563655196</v>
      </c>
      <c r="D2070" s="116">
        <v>775.46047844109398</v>
      </c>
      <c r="E2070" s="116">
        <v>779.31259392437005</v>
      </c>
      <c r="F2070" s="116">
        <v>788.85</v>
      </c>
      <c r="G2070">
        <v>22756</v>
      </c>
      <c r="H2070" s="116"/>
      <c r="I2070" s="116"/>
      <c r="L2070" s="170">
        <v>45055</v>
      </c>
      <c r="M2070" s="116">
        <v>779.31339217609195</v>
      </c>
      <c r="N2070" s="116">
        <v>782.47410555373904</v>
      </c>
      <c r="O2070" s="116">
        <v>775.36250045403403</v>
      </c>
      <c r="P2070" s="116">
        <v>779.95541208092698</v>
      </c>
      <c r="Q2070" s="116">
        <v>789</v>
      </c>
      <c r="R2070">
        <v>652399</v>
      </c>
    </row>
    <row r="2071" spans="1:18" x14ac:dyDescent="0.25">
      <c r="A2071" s="170">
        <v>45056</v>
      </c>
      <c r="B2071" s="116">
        <v>782.275759680737</v>
      </c>
      <c r="C2071" s="116">
        <v>781.23865166600797</v>
      </c>
      <c r="D2071" s="116">
        <v>773.92950946697101</v>
      </c>
      <c r="E2071" s="116">
        <v>773.92950946697101</v>
      </c>
      <c r="F2071" s="116">
        <v>790.95</v>
      </c>
      <c r="G2071">
        <v>15350</v>
      </c>
      <c r="H2071" s="116"/>
      <c r="I2071" s="116"/>
      <c r="L2071" s="170">
        <v>45056</v>
      </c>
      <c r="M2071" s="116">
        <v>781.43699647669905</v>
      </c>
      <c r="N2071" s="116">
        <v>782.27656096763599</v>
      </c>
      <c r="O2071" s="116">
        <v>775.16495586793098</v>
      </c>
      <c r="P2071" s="116">
        <v>779.31339217609195</v>
      </c>
      <c r="Q2071" s="116">
        <v>791.15</v>
      </c>
      <c r="R2071">
        <v>476497</v>
      </c>
    </row>
    <row r="2072" spans="1:18" x14ac:dyDescent="0.25">
      <c r="A2072" s="170">
        <v>45057</v>
      </c>
      <c r="B2072" s="116">
        <v>782.275759680737</v>
      </c>
      <c r="C2072" s="116">
        <v>779.21382173249106</v>
      </c>
      <c r="D2072" s="116">
        <v>776.398814263943</v>
      </c>
      <c r="E2072" s="116">
        <v>782.275759680737</v>
      </c>
      <c r="F2072" s="116">
        <v>788.9</v>
      </c>
      <c r="G2072">
        <v>24764</v>
      </c>
      <c r="H2072" s="116"/>
      <c r="I2072" s="116"/>
      <c r="L2072" s="170">
        <v>45057</v>
      </c>
      <c r="M2072" s="116">
        <v>779.75786749482404</v>
      </c>
      <c r="N2072" s="116">
        <v>781.78269950237905</v>
      </c>
      <c r="O2072" s="116">
        <v>776.35022338454803</v>
      </c>
      <c r="P2072" s="116">
        <v>781.43699647669905</v>
      </c>
      <c r="Q2072" s="116">
        <v>789.45</v>
      </c>
      <c r="R2072">
        <v>968940</v>
      </c>
    </row>
    <row r="2073" spans="1:18" x14ac:dyDescent="0.25">
      <c r="A2073" s="170">
        <v>45058</v>
      </c>
      <c r="B2073" s="116">
        <v>785.63401420461798</v>
      </c>
      <c r="C2073" s="116">
        <v>779.01627734873398</v>
      </c>
      <c r="D2073" s="116">
        <v>775.36170624921499</v>
      </c>
      <c r="E2073" s="116">
        <v>778.32487200558103</v>
      </c>
      <c r="F2073" s="116">
        <v>788.7</v>
      </c>
      <c r="G2073">
        <v>19689</v>
      </c>
      <c r="H2073" s="116"/>
      <c r="I2073" s="116"/>
      <c r="L2073" s="170">
        <v>45058</v>
      </c>
      <c r="M2073" s="116">
        <v>779.36277832261806</v>
      </c>
      <c r="N2073" s="116">
        <v>785.48666049180895</v>
      </c>
      <c r="O2073" s="116">
        <v>775.16495586793098</v>
      </c>
      <c r="P2073" s="116">
        <v>778.32566924557796</v>
      </c>
      <c r="Q2073" s="116">
        <v>789.05</v>
      </c>
      <c r="R2073">
        <v>747655</v>
      </c>
    </row>
    <row r="2074" spans="1:18" x14ac:dyDescent="0.25">
      <c r="A2074" s="170">
        <v>45061</v>
      </c>
      <c r="B2074" s="116">
        <v>781.68312652946304</v>
      </c>
      <c r="C2074" s="116">
        <v>777.09021960709504</v>
      </c>
      <c r="D2074" s="116">
        <v>770.42309665527102</v>
      </c>
      <c r="E2074" s="116">
        <v>770.42309665527102</v>
      </c>
      <c r="F2074" s="116">
        <v>786.75</v>
      </c>
      <c r="G2074">
        <v>27471</v>
      </c>
      <c r="H2074" s="116"/>
      <c r="I2074" s="116"/>
      <c r="L2074" s="170">
        <v>45061</v>
      </c>
      <c r="M2074" s="116">
        <v>777.28856016853695</v>
      </c>
      <c r="N2074" s="116">
        <v>781.68392720932798</v>
      </c>
      <c r="O2074" s="116">
        <v>774.57232210962195</v>
      </c>
      <c r="P2074" s="116">
        <v>779.31339217609195</v>
      </c>
      <c r="Q2074" s="116">
        <v>786.95</v>
      </c>
      <c r="R2074">
        <v>803643</v>
      </c>
    </row>
    <row r="2075" spans="1:18" x14ac:dyDescent="0.25">
      <c r="A2075" s="170">
        <v>45062</v>
      </c>
      <c r="B2075" s="116">
        <v>779.95461317158299</v>
      </c>
      <c r="C2075" s="116">
        <v>776.34942816800401</v>
      </c>
      <c r="D2075" s="116">
        <v>774.81845919388104</v>
      </c>
      <c r="E2075" s="116">
        <v>775.41109234515397</v>
      </c>
      <c r="F2075" s="116">
        <v>786</v>
      </c>
      <c r="G2075">
        <v>15121</v>
      </c>
      <c r="H2075" s="116"/>
      <c r="I2075" s="116"/>
      <c r="L2075" s="170">
        <v>45062</v>
      </c>
      <c r="M2075" s="116">
        <v>776.59715411717696</v>
      </c>
      <c r="N2075" s="116">
        <v>780.00479822745297</v>
      </c>
      <c r="O2075" s="116">
        <v>775.16495586793098</v>
      </c>
      <c r="P2075" s="116">
        <v>777.83180778031999</v>
      </c>
      <c r="Q2075" s="116">
        <v>786.25</v>
      </c>
      <c r="R2075">
        <v>658173</v>
      </c>
    </row>
    <row r="2076" spans="1:18" x14ac:dyDescent="0.25">
      <c r="A2076" s="170">
        <v>45063</v>
      </c>
      <c r="B2076" s="116">
        <v>776.300042072064</v>
      </c>
      <c r="C2076" s="116">
        <v>768.29949452987501</v>
      </c>
      <c r="D2076" s="116">
        <v>763.60781541562801</v>
      </c>
      <c r="E2076" s="116">
        <v>771.707135149696</v>
      </c>
      <c r="F2076" s="116">
        <v>777.85</v>
      </c>
      <c r="G2076">
        <v>16562</v>
      </c>
      <c r="H2076" s="116"/>
      <c r="I2076" s="116"/>
      <c r="L2076" s="170">
        <v>45063</v>
      </c>
      <c r="M2076" s="116">
        <v>768.69537067305896</v>
      </c>
      <c r="N2076" s="116">
        <v>776.94285714285695</v>
      </c>
      <c r="O2076" s="116">
        <v>763.36166684828004</v>
      </c>
      <c r="P2076" s="116">
        <v>776.59715411717696</v>
      </c>
      <c r="Q2076" s="116">
        <v>778.25</v>
      </c>
      <c r="R2076">
        <v>907649</v>
      </c>
    </row>
    <row r="2077" spans="1:18" x14ac:dyDescent="0.25">
      <c r="A2077" s="170">
        <v>45064</v>
      </c>
      <c r="B2077" s="116">
        <v>776.99144741521604</v>
      </c>
      <c r="C2077" s="116">
        <v>766.47220898011597</v>
      </c>
      <c r="D2077" s="116">
        <v>765.68203144508504</v>
      </c>
      <c r="E2077" s="116">
        <v>776.99144741521604</v>
      </c>
      <c r="F2077" s="116">
        <v>776</v>
      </c>
      <c r="G2077">
        <v>31319</v>
      </c>
      <c r="H2077" s="116"/>
      <c r="I2077" s="116"/>
      <c r="L2077" s="170">
        <v>45064</v>
      </c>
      <c r="M2077" s="116">
        <v>766.76931095855605</v>
      </c>
      <c r="N2077" s="116">
        <v>776.35022338454803</v>
      </c>
      <c r="O2077" s="116">
        <v>765.48527114888702</v>
      </c>
      <c r="P2077" s="116">
        <v>773.78214376520998</v>
      </c>
      <c r="Q2077" s="116">
        <v>776.3</v>
      </c>
      <c r="R2077">
        <v>1004449</v>
      </c>
    </row>
    <row r="2078" spans="1:18" x14ac:dyDescent="0.25">
      <c r="A2078" s="170">
        <v>45065</v>
      </c>
      <c r="B2078" s="116">
        <v>760.64464965926197</v>
      </c>
      <c r="C2078" s="116">
        <v>755.804812257197</v>
      </c>
      <c r="D2078" s="116">
        <v>747.31040375561304</v>
      </c>
      <c r="E2078" s="116">
        <v>760.54587746738298</v>
      </c>
      <c r="F2078" s="116">
        <v>765.2</v>
      </c>
      <c r="G2078">
        <v>27984</v>
      </c>
      <c r="H2078" s="116"/>
      <c r="I2078" s="116"/>
      <c r="L2078" s="170">
        <v>45065</v>
      </c>
      <c r="M2078" s="116">
        <v>756.05251716247096</v>
      </c>
      <c r="N2078" s="116">
        <v>762.42333006429101</v>
      </c>
      <c r="O2078" s="116">
        <v>747.16301078783897</v>
      </c>
      <c r="P2078" s="116">
        <v>762.42333006429101</v>
      </c>
      <c r="Q2078" s="116">
        <v>765.45</v>
      </c>
      <c r="R2078">
        <v>1233831</v>
      </c>
    </row>
    <row r="2079" spans="1:18" x14ac:dyDescent="0.25">
      <c r="A2079" s="170">
        <v>45068</v>
      </c>
      <c r="B2079" s="116">
        <v>758.57043362980505</v>
      </c>
      <c r="C2079" s="116">
        <v>756.64437588816702</v>
      </c>
      <c r="D2079" s="116">
        <v>750.86620266325201</v>
      </c>
      <c r="E2079" s="116">
        <v>750.86620266325201</v>
      </c>
      <c r="F2079" s="116">
        <v>766.05</v>
      </c>
      <c r="G2079">
        <v>63223</v>
      </c>
      <c r="H2079" s="116"/>
      <c r="I2079" s="116"/>
      <c r="L2079" s="170">
        <v>45068</v>
      </c>
      <c r="M2079" s="116">
        <v>756.69453706730599</v>
      </c>
      <c r="N2079" s="116">
        <v>758.57121063528405</v>
      </c>
      <c r="O2079" s="116">
        <v>750.86697177726899</v>
      </c>
      <c r="P2079" s="116">
        <v>756.05251716247096</v>
      </c>
      <c r="Q2079" s="116">
        <v>766.1</v>
      </c>
      <c r="R2079">
        <v>548104</v>
      </c>
    </row>
    <row r="2080" spans="1:18" x14ac:dyDescent="0.25">
      <c r="A2080" s="170">
        <v>45069</v>
      </c>
      <c r="B2080" s="116">
        <v>761.87930205774796</v>
      </c>
      <c r="C2080" s="116">
        <v>760.39771917956398</v>
      </c>
      <c r="D2080" s="116">
        <v>752.84164650083005</v>
      </c>
      <c r="E2080" s="116">
        <v>756.64437588816702</v>
      </c>
      <c r="F2080" s="116">
        <v>769.85</v>
      </c>
      <c r="G2080">
        <v>20611</v>
      </c>
      <c r="H2080" s="116"/>
      <c r="I2080" s="116"/>
      <c r="L2080" s="170">
        <v>45069</v>
      </c>
      <c r="M2080" s="116">
        <v>760.59604264283905</v>
      </c>
      <c r="N2080" s="116">
        <v>762.07762703861101</v>
      </c>
      <c r="O2080" s="116">
        <v>752.69425919872106</v>
      </c>
      <c r="P2080" s="116">
        <v>756.64515092078</v>
      </c>
      <c r="Q2080" s="116">
        <v>770.05</v>
      </c>
      <c r="R2080">
        <v>826476</v>
      </c>
    </row>
    <row r="2081" spans="1:18" x14ac:dyDescent="0.25">
      <c r="A2081" s="170">
        <v>45070</v>
      </c>
      <c r="B2081" s="116">
        <v>764.842467814114</v>
      </c>
      <c r="C2081" s="116">
        <v>761.43482719429301</v>
      </c>
      <c r="D2081" s="116">
        <v>755.656653969378</v>
      </c>
      <c r="E2081" s="116">
        <v>755.656653969378</v>
      </c>
      <c r="F2081" s="116">
        <v>770.9</v>
      </c>
      <c r="G2081">
        <v>12628</v>
      </c>
      <c r="H2081" s="116"/>
      <c r="I2081" s="116"/>
      <c r="L2081" s="170">
        <v>45070</v>
      </c>
      <c r="M2081" s="116">
        <v>761.68253786640503</v>
      </c>
      <c r="N2081" s="116">
        <v>765.09018197668104</v>
      </c>
      <c r="O2081" s="116">
        <v>756.15128945552306</v>
      </c>
      <c r="P2081" s="116">
        <v>757.97857687697501</v>
      </c>
      <c r="Q2081" s="116">
        <v>771.15</v>
      </c>
      <c r="R2081">
        <v>861728</v>
      </c>
    </row>
    <row r="2082" spans="1:18" x14ac:dyDescent="0.25">
      <c r="A2082" s="170">
        <v>45071</v>
      </c>
      <c r="B2082" s="116">
        <v>772.843015356303</v>
      </c>
      <c r="C2082" s="116">
        <v>770.37371055933102</v>
      </c>
      <c r="D2082" s="116">
        <v>757.03946465568299</v>
      </c>
      <c r="E2082" s="116">
        <v>757.03946465568299</v>
      </c>
      <c r="F2082" s="116">
        <v>779.95</v>
      </c>
      <c r="G2082">
        <v>30191</v>
      </c>
      <c r="H2082" s="116"/>
      <c r="I2082" s="116"/>
      <c r="L2082" s="170">
        <v>45071</v>
      </c>
      <c r="M2082" s="116">
        <v>770.72020268061499</v>
      </c>
      <c r="N2082" s="116">
        <v>772.84380698122095</v>
      </c>
      <c r="O2082" s="116">
        <v>755.65742799026498</v>
      </c>
      <c r="P2082" s="116">
        <v>755.65742799026498</v>
      </c>
      <c r="Q2082" s="116">
        <v>780.3</v>
      </c>
      <c r="R2082">
        <v>980266</v>
      </c>
    </row>
    <row r="2083" spans="1:18" x14ac:dyDescent="0.25">
      <c r="A2083" s="170">
        <v>45072</v>
      </c>
      <c r="B2083" s="116">
        <v>781.23865166600797</v>
      </c>
      <c r="C2083" s="116">
        <v>780.05338536346198</v>
      </c>
      <c r="D2083" s="116">
        <v>770.47248275121001</v>
      </c>
      <c r="E2083" s="116">
        <v>770.47248275121001</v>
      </c>
      <c r="F2083" s="116">
        <v>789.75</v>
      </c>
      <c r="G2083">
        <v>25985</v>
      </c>
      <c r="H2083" s="116"/>
      <c r="I2083" s="116"/>
      <c r="L2083" s="170">
        <v>45072</v>
      </c>
      <c r="M2083" s="116">
        <v>780.00479822745297</v>
      </c>
      <c r="N2083" s="116">
        <v>781.28883803712199</v>
      </c>
      <c r="O2083" s="116">
        <v>771.55976717155204</v>
      </c>
      <c r="P2083" s="116">
        <v>774.37477752351901</v>
      </c>
      <c r="Q2083" s="116">
        <v>789.7</v>
      </c>
      <c r="R2083">
        <v>961268</v>
      </c>
    </row>
    <row r="2084" spans="1:18" x14ac:dyDescent="0.25">
      <c r="A2084" s="170">
        <v>45075</v>
      </c>
      <c r="B2084" s="116">
        <v>787.06621098686196</v>
      </c>
      <c r="C2084" s="116">
        <v>784.05365913455603</v>
      </c>
      <c r="D2084" s="116">
        <v>780.20154365127996</v>
      </c>
      <c r="E2084" s="116">
        <v>780.30031584315896</v>
      </c>
      <c r="F2084" s="116">
        <v>793.8</v>
      </c>
      <c r="G2084">
        <v>70005</v>
      </c>
      <c r="H2084" s="116"/>
      <c r="I2084" s="116"/>
      <c r="L2084" s="170">
        <v>45075</v>
      </c>
      <c r="M2084" s="116">
        <v>784.49893756129495</v>
      </c>
      <c r="N2084" s="116">
        <v>787.21517562020995</v>
      </c>
      <c r="O2084" s="116">
        <v>780.54804583923601</v>
      </c>
      <c r="P2084" s="116">
        <v>781.28883803712199</v>
      </c>
      <c r="Q2084" s="116">
        <v>794.25</v>
      </c>
      <c r="R2084">
        <v>1171159</v>
      </c>
    </row>
    <row r="2085" spans="1:18" x14ac:dyDescent="0.25">
      <c r="A2085" s="170">
        <v>45076</v>
      </c>
      <c r="B2085" s="116">
        <v>787.01682489092298</v>
      </c>
      <c r="C2085" s="116">
        <v>780.991721186311</v>
      </c>
      <c r="D2085" s="116">
        <v>779.11504954061195</v>
      </c>
      <c r="E2085" s="116">
        <v>784.74506447770898</v>
      </c>
      <c r="F2085" s="116">
        <v>790.7</v>
      </c>
      <c r="G2085">
        <v>12088</v>
      </c>
      <c r="H2085" s="116"/>
      <c r="I2085" s="116"/>
      <c r="L2085" s="170">
        <v>45076</v>
      </c>
      <c r="M2085" s="116">
        <v>781.19006574407001</v>
      </c>
      <c r="N2085" s="116">
        <v>787.21517562020995</v>
      </c>
      <c r="O2085" s="116">
        <v>778.57259997820597</v>
      </c>
      <c r="P2085" s="116">
        <v>782.81980857941903</v>
      </c>
      <c r="Q2085" s="116">
        <v>790.9</v>
      </c>
      <c r="R2085">
        <v>601270</v>
      </c>
    </row>
    <row r="2086" spans="1:18" x14ac:dyDescent="0.25">
      <c r="A2086" s="170">
        <v>45077</v>
      </c>
      <c r="B2086" s="116">
        <v>790.07876283916801</v>
      </c>
      <c r="C2086" s="116">
        <v>786.91805269904398</v>
      </c>
      <c r="D2086" s="116">
        <v>774.86784528982002</v>
      </c>
      <c r="E2086" s="116">
        <v>774.86784528982002</v>
      </c>
      <c r="F2086" s="116">
        <v>796.7</v>
      </c>
      <c r="G2086">
        <v>32335</v>
      </c>
      <c r="H2086" s="116"/>
      <c r="I2086" s="116"/>
      <c r="L2086" s="170">
        <v>45077</v>
      </c>
      <c r="M2086" s="116">
        <v>788.84491845555897</v>
      </c>
      <c r="N2086" s="116">
        <v>790.17834441175398</v>
      </c>
      <c r="O2086" s="116">
        <v>777.38733246158904</v>
      </c>
      <c r="P2086" s="116">
        <v>777.38733246158904</v>
      </c>
      <c r="Q2086" s="116">
        <v>798.65</v>
      </c>
      <c r="R2086">
        <v>2201928</v>
      </c>
    </row>
    <row r="2087" spans="1:18" x14ac:dyDescent="0.25">
      <c r="A2087" s="170">
        <v>45078</v>
      </c>
      <c r="B2087" s="116">
        <v>791.46157352547198</v>
      </c>
      <c r="C2087" s="116">
        <v>783.164709407646</v>
      </c>
      <c r="D2087" s="116">
        <v>780.34970193909805</v>
      </c>
      <c r="E2087" s="116">
        <v>787.26375537061995</v>
      </c>
      <c r="F2087" s="116">
        <v>792.9</v>
      </c>
      <c r="G2087">
        <v>28859</v>
      </c>
      <c r="H2087" s="116"/>
      <c r="I2087" s="116"/>
      <c r="L2087" s="170">
        <v>45078</v>
      </c>
      <c r="M2087" s="116">
        <v>783.90630380298603</v>
      </c>
      <c r="N2087" s="116">
        <v>791.61054266099995</v>
      </c>
      <c r="O2087" s="116">
        <v>779.65909520177297</v>
      </c>
      <c r="P2087" s="116">
        <v>789.09184918818801</v>
      </c>
      <c r="Q2087" s="116">
        <v>793.65</v>
      </c>
      <c r="R2087">
        <v>703293</v>
      </c>
    </row>
    <row r="2088" spans="1:18" x14ac:dyDescent="0.25">
      <c r="A2088" s="170">
        <v>45079</v>
      </c>
      <c r="B2088" s="116">
        <v>789.88121845541002</v>
      </c>
      <c r="C2088" s="116">
        <v>785.93033078025496</v>
      </c>
      <c r="D2088" s="116">
        <v>783.36225379140399</v>
      </c>
      <c r="E2088" s="116">
        <v>789.14042701631899</v>
      </c>
      <c r="F2088" s="116">
        <v>795.7</v>
      </c>
      <c r="G2088">
        <v>15510</v>
      </c>
      <c r="H2088" s="116"/>
      <c r="I2088" s="116"/>
      <c r="L2088" s="170">
        <v>45079</v>
      </c>
      <c r="M2088" s="116">
        <v>786.27683883622103</v>
      </c>
      <c r="N2088" s="116">
        <v>790.03018597217704</v>
      </c>
      <c r="O2088" s="116">
        <v>783.26428389815101</v>
      </c>
      <c r="P2088" s="116">
        <v>785.73359122443799</v>
      </c>
      <c r="Q2088" s="116">
        <v>796.05</v>
      </c>
      <c r="R2088">
        <v>697200</v>
      </c>
    </row>
    <row r="2089" spans="1:18" x14ac:dyDescent="0.25">
      <c r="A2089" s="170">
        <v>45082</v>
      </c>
      <c r="B2089" s="116">
        <v>790.57262379856297</v>
      </c>
      <c r="C2089" s="116">
        <v>782.67084844825195</v>
      </c>
      <c r="D2089" s="116">
        <v>781.23865166600797</v>
      </c>
      <c r="E2089" s="116">
        <v>785.97971687619497</v>
      </c>
      <c r="F2089" s="116">
        <v>792.4</v>
      </c>
      <c r="G2089">
        <v>23272</v>
      </c>
      <c r="H2089" s="116"/>
      <c r="I2089" s="116"/>
      <c r="L2089" s="170">
        <v>45082</v>
      </c>
      <c r="M2089" s="116">
        <v>782.72103628636796</v>
      </c>
      <c r="N2089" s="116">
        <v>790.62281973048596</v>
      </c>
      <c r="O2089" s="116">
        <v>780.89374886491601</v>
      </c>
      <c r="P2089" s="116">
        <v>787.16578947368396</v>
      </c>
      <c r="Q2089" s="116">
        <v>792.45</v>
      </c>
      <c r="R2089">
        <v>774985</v>
      </c>
    </row>
    <row r="2090" spans="1:18" x14ac:dyDescent="0.25">
      <c r="A2090" s="170">
        <v>45083</v>
      </c>
      <c r="B2090" s="116">
        <v>784.64629228582999</v>
      </c>
      <c r="C2090" s="116">
        <v>781.97944310510002</v>
      </c>
      <c r="D2090" s="116">
        <v>774.02828165885001</v>
      </c>
      <c r="E2090" s="116">
        <v>781.58435433758405</v>
      </c>
      <c r="F2090" s="116">
        <v>791.7</v>
      </c>
      <c r="G2090">
        <v>17518</v>
      </c>
      <c r="H2090" s="116"/>
      <c r="I2090" s="116"/>
      <c r="L2090" s="170">
        <v>45083</v>
      </c>
      <c r="M2090" s="116">
        <v>782.37533326068797</v>
      </c>
      <c r="N2090" s="116">
        <v>786.17806654316996</v>
      </c>
      <c r="O2090" s="116">
        <v>774.81925284225099</v>
      </c>
      <c r="P2090" s="116">
        <v>783.21489775162502</v>
      </c>
      <c r="Q2090" s="116">
        <v>792.1</v>
      </c>
      <c r="R2090">
        <v>744002</v>
      </c>
    </row>
    <row r="2091" spans="1:18" x14ac:dyDescent="0.25">
      <c r="A2091" s="170">
        <v>45084</v>
      </c>
      <c r="B2091" s="116">
        <v>813.88286108197804</v>
      </c>
      <c r="C2091" s="116">
        <v>812.45066429973497</v>
      </c>
      <c r="D2091" s="116">
        <v>780.34970193909805</v>
      </c>
      <c r="E2091" s="116">
        <v>780.34970193909805</v>
      </c>
      <c r="F2091" s="116">
        <v>822.55</v>
      </c>
      <c r="G2091">
        <v>97905</v>
      </c>
      <c r="H2091" s="116"/>
      <c r="I2091" s="116"/>
      <c r="L2091" s="170">
        <v>45084</v>
      </c>
      <c r="M2091" s="116">
        <v>812.994744106643</v>
      </c>
      <c r="N2091" s="116">
        <v>813.88369474410695</v>
      </c>
      <c r="O2091" s="116">
        <v>781.78269950237905</v>
      </c>
      <c r="P2091" s="116">
        <v>784.25200682866603</v>
      </c>
      <c r="Q2091" s="116">
        <v>823.1</v>
      </c>
      <c r="R2091">
        <v>3971089</v>
      </c>
    </row>
    <row r="2092" spans="1:18" x14ac:dyDescent="0.25">
      <c r="A2092" s="170">
        <v>45085</v>
      </c>
      <c r="B2092" s="116">
        <v>814.57426642513099</v>
      </c>
      <c r="C2092" s="116">
        <v>797.38790503820496</v>
      </c>
      <c r="D2092" s="116">
        <v>795.36307510468805</v>
      </c>
      <c r="E2092" s="116">
        <v>813.04329745100802</v>
      </c>
      <c r="F2092" s="116">
        <v>807.3</v>
      </c>
      <c r="G2092">
        <v>43602</v>
      </c>
      <c r="H2092" s="116"/>
      <c r="I2092" s="116"/>
      <c r="L2092" s="170">
        <v>45085</v>
      </c>
      <c r="M2092" s="116">
        <v>797.19117721840803</v>
      </c>
      <c r="N2092" s="116">
        <v>814.67387308851801</v>
      </c>
      <c r="O2092" s="116">
        <v>795.31450365042997</v>
      </c>
      <c r="P2092" s="116">
        <v>814.67387308851801</v>
      </c>
      <c r="Q2092" s="116">
        <v>807.1</v>
      </c>
      <c r="R2092">
        <v>1117198</v>
      </c>
    </row>
    <row r="2093" spans="1:18" x14ac:dyDescent="0.25">
      <c r="A2093" s="170">
        <v>45086</v>
      </c>
      <c r="B2093" s="116">
        <v>804.94397771694003</v>
      </c>
      <c r="C2093" s="116">
        <v>790.77016818232005</v>
      </c>
      <c r="D2093" s="116">
        <v>788.99226872849999</v>
      </c>
      <c r="E2093" s="116">
        <v>804.94397771694003</v>
      </c>
      <c r="F2093" s="116">
        <v>800.6</v>
      </c>
      <c r="G2093">
        <v>54031</v>
      </c>
      <c r="H2093" s="116"/>
      <c r="I2093" s="116"/>
      <c r="L2093" s="170">
        <v>45086</v>
      </c>
      <c r="M2093" s="116">
        <v>791.166067342269</v>
      </c>
      <c r="N2093" s="116">
        <v>801.88286113835295</v>
      </c>
      <c r="O2093" s="116">
        <v>789.19062148123896</v>
      </c>
      <c r="P2093" s="116">
        <v>800.74697976826099</v>
      </c>
      <c r="Q2093" s="116">
        <v>801</v>
      </c>
      <c r="R2093">
        <v>835145</v>
      </c>
    </row>
    <row r="2094" spans="1:18" x14ac:dyDescent="0.25">
      <c r="A2094" s="170">
        <v>45089</v>
      </c>
      <c r="B2094" s="116">
        <v>798.72132962856995</v>
      </c>
      <c r="C2094" s="116">
        <v>790.91832647013905</v>
      </c>
      <c r="D2094" s="116">
        <v>785.28831153304202</v>
      </c>
      <c r="E2094" s="116">
        <v>785.28831153304202</v>
      </c>
      <c r="F2094" s="116">
        <v>800.75</v>
      </c>
      <c r="G2094">
        <v>23417</v>
      </c>
      <c r="H2094" s="116"/>
      <c r="I2094" s="116"/>
      <c r="L2094" s="170">
        <v>45089</v>
      </c>
      <c r="M2094" s="116">
        <v>790.91913660963996</v>
      </c>
      <c r="N2094" s="116">
        <v>797.93196941629401</v>
      </c>
      <c r="O2094" s="116">
        <v>789.53632450691998</v>
      </c>
      <c r="P2094" s="116">
        <v>793.09212705677203</v>
      </c>
      <c r="Q2094" s="116">
        <v>800.75</v>
      </c>
      <c r="R2094">
        <v>3168760</v>
      </c>
    </row>
    <row r="2095" spans="1:18" x14ac:dyDescent="0.25">
      <c r="A2095" s="170">
        <v>45090</v>
      </c>
      <c r="B2095" s="116">
        <v>810.919695325612</v>
      </c>
      <c r="C2095" s="116">
        <v>809.33934025555004</v>
      </c>
      <c r="D2095" s="116">
        <v>786.27603345183104</v>
      </c>
      <c r="E2095" s="116">
        <v>786.27603345183104</v>
      </c>
      <c r="F2095" s="116">
        <v>819.4</v>
      </c>
      <c r="G2095">
        <v>112311</v>
      </c>
      <c r="H2095" s="116"/>
      <c r="I2095" s="116"/>
      <c r="L2095" s="170">
        <v>45090</v>
      </c>
      <c r="M2095" s="116">
        <v>809.83403072899603</v>
      </c>
      <c r="N2095" s="116">
        <v>811.01929824561398</v>
      </c>
      <c r="O2095" s="116">
        <v>792.49949329846402</v>
      </c>
      <c r="P2095" s="116">
        <v>792.49949329846402</v>
      </c>
      <c r="Q2095" s="116">
        <v>819.9</v>
      </c>
      <c r="R2095">
        <v>2697513</v>
      </c>
    </row>
    <row r="2096" spans="1:18" x14ac:dyDescent="0.25">
      <c r="A2096" s="170">
        <v>45091</v>
      </c>
      <c r="B2096" s="116">
        <v>854.18191536856204</v>
      </c>
      <c r="C2096" s="116">
        <v>851.86076885940804</v>
      </c>
      <c r="D2096" s="116">
        <v>806.37617449918298</v>
      </c>
      <c r="E2096" s="116">
        <v>811.90741724440102</v>
      </c>
      <c r="F2096" s="116">
        <v>862.45</v>
      </c>
      <c r="G2096">
        <v>264728</v>
      </c>
      <c r="H2096" s="116"/>
      <c r="I2096" s="116"/>
      <c r="L2096" s="170">
        <v>45091</v>
      </c>
      <c r="M2096" s="116">
        <v>851.91102756892201</v>
      </c>
      <c r="N2096" s="116">
        <v>854.38033489520899</v>
      </c>
      <c r="O2096" s="116">
        <v>805.98191129998895</v>
      </c>
      <c r="P2096" s="116">
        <v>812.69842722748899</v>
      </c>
      <c r="Q2096" s="116">
        <v>862.5</v>
      </c>
      <c r="R2096">
        <v>7652583</v>
      </c>
    </row>
    <row r="2097" spans="1:18" x14ac:dyDescent="0.25">
      <c r="A2097" s="170">
        <v>45092</v>
      </c>
      <c r="B2097" s="116">
        <v>861.491057567599</v>
      </c>
      <c r="C2097" s="116">
        <v>854.03375708074395</v>
      </c>
      <c r="D2097" s="116">
        <v>845.39119029134099</v>
      </c>
      <c r="E2097" s="116">
        <v>854.37945975232003</v>
      </c>
      <c r="F2097" s="116">
        <v>864.65</v>
      </c>
      <c r="G2097">
        <v>97416</v>
      </c>
      <c r="H2097" s="116"/>
      <c r="I2097" s="116"/>
      <c r="L2097" s="170">
        <v>45092</v>
      </c>
      <c r="M2097" s="116">
        <v>854.38033489520899</v>
      </c>
      <c r="N2097" s="116">
        <v>861.68948458101795</v>
      </c>
      <c r="O2097" s="116">
        <v>845.490828520577</v>
      </c>
      <c r="P2097" s="116">
        <v>853.39261196469397</v>
      </c>
      <c r="Q2097" s="116">
        <v>865</v>
      </c>
      <c r="R2097">
        <v>3106263</v>
      </c>
    </row>
    <row r="2098" spans="1:18" x14ac:dyDescent="0.25">
      <c r="A2098" s="170">
        <v>45093</v>
      </c>
      <c r="B2098" s="116">
        <v>860.30579126505199</v>
      </c>
      <c r="C2098" s="116">
        <v>851.95954105128703</v>
      </c>
      <c r="D2098" s="116">
        <v>842.13170795933797</v>
      </c>
      <c r="E2098" s="116">
        <v>856.35490358989705</v>
      </c>
      <c r="F2098" s="116">
        <v>862.55</v>
      </c>
      <c r="G2098">
        <v>54283</v>
      </c>
      <c r="H2098" s="116"/>
      <c r="I2098" s="116"/>
      <c r="L2098" s="170">
        <v>45093</v>
      </c>
      <c r="M2098" s="116">
        <v>852.15795830155105</v>
      </c>
      <c r="N2098" s="116">
        <v>859.76342486651401</v>
      </c>
      <c r="O2098" s="116">
        <v>841.58932294504405</v>
      </c>
      <c r="P2098" s="116">
        <v>857.34350368675302</v>
      </c>
      <c r="Q2098" s="116">
        <v>862.75</v>
      </c>
      <c r="R2098">
        <v>1754715</v>
      </c>
    </row>
    <row r="2099" spans="1:18" x14ac:dyDescent="0.25">
      <c r="A2099" s="170">
        <v>45096</v>
      </c>
      <c r="B2099" s="116">
        <v>859.26868325032399</v>
      </c>
      <c r="C2099" s="116">
        <v>846.23075392231203</v>
      </c>
      <c r="D2099" s="116">
        <v>844.55162666037097</v>
      </c>
      <c r="E2099" s="116">
        <v>859.26868325032399</v>
      </c>
      <c r="F2099" s="116">
        <v>856.75</v>
      </c>
      <c r="G2099">
        <v>32049</v>
      </c>
      <c r="H2099" s="116"/>
      <c r="I2099" s="116"/>
      <c r="L2099" s="170">
        <v>45096</v>
      </c>
      <c r="M2099" s="116">
        <v>846.47855145109099</v>
      </c>
      <c r="N2099" s="116">
        <v>859.31894954778204</v>
      </c>
      <c r="O2099" s="116">
        <v>844.35494715048503</v>
      </c>
      <c r="P2099" s="116">
        <v>855.81253314445496</v>
      </c>
      <c r="Q2099" s="116">
        <v>857</v>
      </c>
      <c r="R2099">
        <v>1308412</v>
      </c>
    </row>
    <row r="2100" spans="1:18" x14ac:dyDescent="0.25">
      <c r="A2100" s="170">
        <v>45097</v>
      </c>
      <c r="B2100" s="116">
        <v>854.87332071171397</v>
      </c>
      <c r="C2100" s="116">
        <v>848.20619775988996</v>
      </c>
      <c r="D2100" s="116">
        <v>836.89678178975805</v>
      </c>
      <c r="E2100" s="116">
        <v>845.48996248321998</v>
      </c>
      <c r="F2100" s="116">
        <v>858.75</v>
      </c>
      <c r="G2100">
        <v>26390</v>
      </c>
      <c r="H2100" s="116"/>
      <c r="I2100" s="116"/>
      <c r="L2100" s="170">
        <v>45097</v>
      </c>
      <c r="M2100" s="116">
        <v>848.35522501906905</v>
      </c>
      <c r="N2100" s="116">
        <v>856.355780756238</v>
      </c>
      <c r="O2100" s="116">
        <v>836.89763902509901</v>
      </c>
      <c r="P2100" s="116">
        <v>846.47855145109099</v>
      </c>
      <c r="Q2100" s="116">
        <v>858.9</v>
      </c>
      <c r="R2100">
        <v>1178858</v>
      </c>
    </row>
    <row r="2101" spans="1:18" x14ac:dyDescent="0.25">
      <c r="A2101" s="170">
        <v>45098</v>
      </c>
      <c r="B2101" s="116">
        <v>866.23212277778498</v>
      </c>
      <c r="C2101" s="116">
        <v>849.44085015837595</v>
      </c>
      <c r="D2101" s="116">
        <v>842.52679672685395</v>
      </c>
      <c r="E2101" s="116">
        <v>842.52679672685395</v>
      </c>
      <c r="F2101" s="116">
        <v>860</v>
      </c>
      <c r="G2101">
        <v>38997</v>
      </c>
      <c r="H2101" s="116"/>
      <c r="I2101" s="116"/>
      <c r="L2101" s="170">
        <v>45098</v>
      </c>
      <c r="M2101" s="116">
        <v>849.589878682213</v>
      </c>
      <c r="N2101" s="116">
        <v>866.43055464748795</v>
      </c>
      <c r="O2101" s="116">
        <v>842.57704587555804</v>
      </c>
      <c r="P2101" s="116">
        <v>848.45399731212103</v>
      </c>
      <c r="Q2101" s="116">
        <v>860.15</v>
      </c>
      <c r="R2101">
        <v>1439299</v>
      </c>
    </row>
    <row r="2102" spans="1:18" x14ac:dyDescent="0.25">
      <c r="A2102" s="170">
        <v>45099</v>
      </c>
      <c r="B2102" s="116">
        <v>849.93471111777001</v>
      </c>
      <c r="C2102" s="116">
        <v>832.10633048363195</v>
      </c>
      <c r="D2102" s="116">
        <v>830.427203221691</v>
      </c>
      <c r="E2102" s="116">
        <v>844.55162666037097</v>
      </c>
      <c r="F2102" s="116">
        <v>842.45</v>
      </c>
      <c r="G2102">
        <v>20531</v>
      </c>
      <c r="H2102" s="116"/>
      <c r="I2102" s="116"/>
      <c r="L2102" s="170">
        <v>45099</v>
      </c>
      <c r="M2102" s="116">
        <v>831.56393520031997</v>
      </c>
      <c r="N2102" s="116">
        <v>851.41716610366495</v>
      </c>
      <c r="O2102" s="116">
        <v>830.27989539065095</v>
      </c>
      <c r="P2102" s="116">
        <v>851.41716610366495</v>
      </c>
      <c r="Q2102" s="116">
        <v>841.9</v>
      </c>
      <c r="R2102">
        <v>988651</v>
      </c>
    </row>
    <row r="2103" spans="1:18" x14ac:dyDescent="0.25">
      <c r="A2103" s="170">
        <v>45100</v>
      </c>
      <c r="B2103" s="116">
        <v>835.61274329533205</v>
      </c>
      <c r="C2103" s="116">
        <v>830.37781712575202</v>
      </c>
      <c r="D2103" s="116">
        <v>821.78463643228895</v>
      </c>
      <c r="E2103" s="116">
        <v>832.10633048363195</v>
      </c>
      <c r="F2103" s="116">
        <v>840.7</v>
      </c>
      <c r="G2103">
        <v>65035</v>
      </c>
      <c r="H2103" s="116"/>
      <c r="I2103" s="116"/>
      <c r="L2103" s="170">
        <v>45100</v>
      </c>
      <c r="M2103" s="116">
        <v>830.52682612327897</v>
      </c>
      <c r="N2103" s="116">
        <v>835.81114380153304</v>
      </c>
      <c r="O2103" s="116">
        <v>821.43977516254404</v>
      </c>
      <c r="P2103" s="116">
        <v>831.66270749337104</v>
      </c>
      <c r="Q2103" s="116">
        <v>840.85</v>
      </c>
      <c r="R2103">
        <v>806171</v>
      </c>
    </row>
    <row r="2104" spans="1:18" x14ac:dyDescent="0.25">
      <c r="A2104" s="170">
        <v>45103</v>
      </c>
      <c r="B2104" s="116">
        <v>855.61411215080602</v>
      </c>
      <c r="C2104" s="116">
        <v>851.86076885940804</v>
      </c>
      <c r="D2104" s="116">
        <v>838.62529514763798</v>
      </c>
      <c r="E2104" s="116">
        <v>840.79828336897299</v>
      </c>
      <c r="F2104" s="116">
        <v>862.45</v>
      </c>
      <c r="G2104">
        <v>80791</v>
      </c>
      <c r="H2104" s="116"/>
      <c r="I2104" s="116"/>
      <c r="L2104" s="170">
        <v>45103</v>
      </c>
      <c r="M2104" s="116">
        <v>851.960413715448</v>
      </c>
      <c r="N2104" s="116">
        <v>855.36805782572401</v>
      </c>
      <c r="O2104" s="116">
        <v>837.44088663688206</v>
      </c>
      <c r="P2104" s="116">
        <v>843.51538265954696</v>
      </c>
      <c r="Q2104" s="116">
        <v>862.55</v>
      </c>
      <c r="R2104">
        <v>3022935</v>
      </c>
    </row>
    <row r="2105" spans="1:18" x14ac:dyDescent="0.25">
      <c r="A2105" s="170">
        <v>45104</v>
      </c>
      <c r="B2105" s="116">
        <v>857.24385331680696</v>
      </c>
      <c r="C2105" s="116">
        <v>842.97127159030902</v>
      </c>
      <c r="D2105" s="116">
        <v>841.98354967152</v>
      </c>
      <c r="E2105" s="116">
        <v>849.49023625431505</v>
      </c>
      <c r="F2105" s="116">
        <v>853.45</v>
      </c>
      <c r="G2105">
        <v>27576</v>
      </c>
      <c r="H2105" s="116"/>
      <c r="I2105" s="116"/>
      <c r="L2105" s="170">
        <v>45104</v>
      </c>
      <c r="M2105" s="116">
        <v>843.71292724565001</v>
      </c>
      <c r="N2105" s="116">
        <v>857.442275979805</v>
      </c>
      <c r="O2105" s="116">
        <v>842.13257055682698</v>
      </c>
      <c r="P2105" s="116">
        <v>853.343225818169</v>
      </c>
      <c r="Q2105" s="116">
        <v>854.2</v>
      </c>
      <c r="R2105">
        <v>1131450</v>
      </c>
    </row>
    <row r="2106" spans="1:18" x14ac:dyDescent="0.25">
      <c r="A2106" s="170">
        <v>45105</v>
      </c>
      <c r="B2106" s="116">
        <v>849.34207796649696</v>
      </c>
      <c r="C2106" s="116">
        <v>844.45285446849198</v>
      </c>
      <c r="D2106" s="116">
        <v>840.35380850551803</v>
      </c>
      <c r="E2106" s="116">
        <v>843.51451864564297</v>
      </c>
      <c r="F2106" s="116">
        <v>854.95</v>
      </c>
      <c r="G2106">
        <v>14415</v>
      </c>
      <c r="H2106" s="116"/>
      <c r="I2106" s="116"/>
      <c r="L2106" s="170">
        <v>45105</v>
      </c>
      <c r="M2106" s="116">
        <v>844.45371944353599</v>
      </c>
      <c r="N2106" s="116">
        <v>849.44172024263605</v>
      </c>
      <c r="O2106" s="116">
        <v>840.55221386800304</v>
      </c>
      <c r="P2106" s="116">
        <v>844.00924412480504</v>
      </c>
      <c r="Q2106" s="116">
        <v>854.95</v>
      </c>
      <c r="R2106">
        <v>914411</v>
      </c>
    </row>
    <row r="2107" spans="1:18" x14ac:dyDescent="0.25">
      <c r="A2107" s="170">
        <v>45107</v>
      </c>
      <c r="B2107" s="116">
        <v>852.55217420255997</v>
      </c>
      <c r="C2107" s="116">
        <v>849.78655282995203</v>
      </c>
      <c r="D2107" s="116">
        <v>839.90933364206398</v>
      </c>
      <c r="E2107" s="116">
        <v>844.40346837255299</v>
      </c>
      <c r="F2107" s="116">
        <v>860.35</v>
      </c>
      <c r="G2107">
        <v>40765</v>
      </c>
      <c r="H2107" s="116"/>
      <c r="I2107" s="116"/>
      <c r="L2107" s="170">
        <v>45107</v>
      </c>
      <c r="M2107" s="116">
        <v>850.33067088009898</v>
      </c>
      <c r="N2107" s="116">
        <v>852.94813664596302</v>
      </c>
      <c r="O2107" s="116">
        <v>839.61387708401401</v>
      </c>
      <c r="P2107" s="116">
        <v>839.61387708401401</v>
      </c>
      <c r="Q2107" s="116">
        <v>860.9</v>
      </c>
      <c r="R2107">
        <v>1394632</v>
      </c>
    </row>
    <row r="2108" spans="1:18" x14ac:dyDescent="0.25">
      <c r="A2108" s="170">
        <v>45110</v>
      </c>
      <c r="B2108" s="116">
        <v>856.05858701426098</v>
      </c>
      <c r="C2108" s="116">
        <v>848.10742556801097</v>
      </c>
      <c r="D2108" s="116">
        <v>845.98382344261495</v>
      </c>
      <c r="E2108" s="116">
        <v>851.91015495534805</v>
      </c>
      <c r="F2108" s="116">
        <v>858.65</v>
      </c>
      <c r="G2108">
        <v>27633</v>
      </c>
      <c r="H2108" s="116"/>
      <c r="I2108" s="116"/>
      <c r="L2108" s="170">
        <v>45110</v>
      </c>
      <c r="M2108" s="116">
        <v>848.30583887254397</v>
      </c>
      <c r="N2108" s="116">
        <v>856.30639460971304</v>
      </c>
      <c r="O2108" s="116">
        <v>845.93530383930897</v>
      </c>
      <c r="P2108" s="116">
        <v>856.30639460971304</v>
      </c>
      <c r="Q2108" s="116">
        <v>858.85</v>
      </c>
      <c r="R2108">
        <v>1226135</v>
      </c>
    </row>
    <row r="2109" spans="1:18" x14ac:dyDescent="0.25">
      <c r="A2109" s="170">
        <v>45111</v>
      </c>
      <c r="B2109" s="116">
        <v>851.02120522843802</v>
      </c>
      <c r="C2109" s="116">
        <v>845.48996248321998</v>
      </c>
      <c r="D2109" s="116">
        <v>841.34153042430705</v>
      </c>
      <c r="E2109" s="116">
        <v>841.34153042430705</v>
      </c>
      <c r="F2109" s="116">
        <v>856</v>
      </c>
      <c r="G2109">
        <v>21368</v>
      </c>
      <c r="H2109" s="116"/>
      <c r="I2109" s="116"/>
      <c r="L2109" s="170">
        <v>45111</v>
      </c>
      <c r="M2109" s="116">
        <v>845.04635320184502</v>
      </c>
      <c r="N2109" s="116">
        <v>851.12084922451095</v>
      </c>
      <c r="O2109" s="116">
        <v>841.73748138462099</v>
      </c>
      <c r="P2109" s="116">
        <v>848.10829428644104</v>
      </c>
      <c r="Q2109" s="116">
        <v>855.55</v>
      </c>
      <c r="R2109">
        <v>759030</v>
      </c>
    </row>
    <row r="2110" spans="1:18" x14ac:dyDescent="0.25">
      <c r="A2110" s="170">
        <v>45112</v>
      </c>
      <c r="B2110" s="116">
        <v>850.37918598122496</v>
      </c>
      <c r="C2110" s="116">
        <v>835.46458500751396</v>
      </c>
      <c r="D2110" s="116">
        <v>830.77290589326697</v>
      </c>
      <c r="E2110" s="116">
        <v>846.97154536140397</v>
      </c>
      <c r="F2110" s="116">
        <v>845.85</v>
      </c>
      <c r="G2110">
        <v>61943</v>
      </c>
      <c r="H2110" s="116"/>
      <c r="I2110" s="116"/>
      <c r="L2110" s="170">
        <v>45112</v>
      </c>
      <c r="M2110" s="116">
        <v>835.51482692237801</v>
      </c>
      <c r="N2110" s="116">
        <v>850.67637390577897</v>
      </c>
      <c r="O2110" s="116">
        <v>830.82314300243399</v>
      </c>
      <c r="P2110" s="116">
        <v>848.45399731212103</v>
      </c>
      <c r="Q2110" s="116">
        <v>845.9</v>
      </c>
      <c r="R2110">
        <v>2537154</v>
      </c>
    </row>
    <row r="2111" spans="1:18" x14ac:dyDescent="0.25">
      <c r="A2111" s="170">
        <v>45113</v>
      </c>
      <c r="B2111" s="116">
        <v>836.74862350193905</v>
      </c>
      <c r="C2111" s="116">
        <v>834.52624918466404</v>
      </c>
      <c r="D2111" s="116">
        <v>831.31615294860103</v>
      </c>
      <c r="E2111" s="116">
        <v>835.46458500751396</v>
      </c>
      <c r="F2111" s="116">
        <v>844.9</v>
      </c>
      <c r="G2111">
        <v>23075</v>
      </c>
      <c r="H2111" s="116"/>
      <c r="I2111" s="116"/>
      <c r="L2111" s="170">
        <v>45113</v>
      </c>
      <c r="M2111" s="116">
        <v>834.67526243144096</v>
      </c>
      <c r="N2111" s="116">
        <v>837.14456975772805</v>
      </c>
      <c r="O2111" s="116">
        <v>831.07007373506201</v>
      </c>
      <c r="P2111" s="116">
        <v>835.51482692237801</v>
      </c>
      <c r="Q2111" s="116">
        <v>845.05</v>
      </c>
      <c r="R2111">
        <v>2363769</v>
      </c>
    </row>
    <row r="2112" spans="1:18" x14ac:dyDescent="0.25">
      <c r="A2112" s="170">
        <v>45114</v>
      </c>
      <c r="B2112" s="116">
        <v>842.03293576745898</v>
      </c>
      <c r="C2112" s="116">
        <v>823.01928883077505</v>
      </c>
      <c r="D2112" s="116">
        <v>821.88340862416806</v>
      </c>
      <c r="E2112" s="116">
        <v>835.41519891157395</v>
      </c>
      <c r="F2112" s="116">
        <v>833.25</v>
      </c>
      <c r="G2112">
        <v>58885</v>
      </c>
      <c r="H2112" s="116"/>
      <c r="I2112" s="116"/>
      <c r="L2112" s="170">
        <v>45114</v>
      </c>
      <c r="M2112" s="116">
        <v>823.02013185136798</v>
      </c>
      <c r="N2112" s="116">
        <v>842.033798263775</v>
      </c>
      <c r="O2112" s="116">
        <v>821.58793360212098</v>
      </c>
      <c r="P2112" s="116">
        <v>834.67526243144096</v>
      </c>
      <c r="Q2112" s="116">
        <v>833.25</v>
      </c>
      <c r="R2112">
        <v>1811594</v>
      </c>
    </row>
    <row r="2113" spans="1:18" x14ac:dyDescent="0.25">
      <c r="A2113" s="170">
        <v>45117</v>
      </c>
      <c r="B2113" s="116">
        <v>829.68641178259895</v>
      </c>
      <c r="C2113" s="116">
        <v>815.75953272767697</v>
      </c>
      <c r="D2113" s="116">
        <v>812.00618943628001</v>
      </c>
      <c r="E2113" s="116">
        <v>824.79718828459499</v>
      </c>
      <c r="F2113" s="116">
        <v>825.9</v>
      </c>
      <c r="G2113">
        <v>52016</v>
      </c>
      <c r="H2113" s="116"/>
      <c r="I2113" s="116"/>
      <c r="L2113" s="170">
        <v>45117</v>
      </c>
      <c r="M2113" s="116">
        <v>815.51343757945597</v>
      </c>
      <c r="N2113" s="116">
        <v>831.16884602811399</v>
      </c>
      <c r="O2113" s="116">
        <v>811.90824888307702</v>
      </c>
      <c r="P2113" s="116">
        <v>831.16884602811399</v>
      </c>
      <c r="Q2113" s="116">
        <v>825.65</v>
      </c>
      <c r="R2113">
        <v>1177214</v>
      </c>
    </row>
    <row r="2114" spans="1:18" x14ac:dyDescent="0.25">
      <c r="A2114" s="170">
        <v>45118</v>
      </c>
      <c r="B2114" s="116">
        <v>833.29159678617896</v>
      </c>
      <c r="C2114" s="116">
        <v>830.22965883793302</v>
      </c>
      <c r="D2114" s="116">
        <v>812.055575532219</v>
      </c>
      <c r="E2114" s="116">
        <v>812.055575532219</v>
      </c>
      <c r="F2114" s="116">
        <v>840.55</v>
      </c>
      <c r="G2114">
        <v>119093</v>
      </c>
      <c r="H2114" s="116"/>
      <c r="I2114" s="116"/>
      <c r="L2114" s="170">
        <v>45118</v>
      </c>
      <c r="M2114" s="116">
        <v>829.98357851149603</v>
      </c>
      <c r="N2114" s="116">
        <v>832.65043042388595</v>
      </c>
      <c r="O2114" s="116">
        <v>815.61220987250704</v>
      </c>
      <c r="P2114" s="116">
        <v>815.85914060513596</v>
      </c>
      <c r="Q2114" s="116">
        <v>840.3</v>
      </c>
      <c r="R2114">
        <v>2167322</v>
      </c>
    </row>
    <row r="2115" spans="1:18" x14ac:dyDescent="0.25">
      <c r="A2115" s="170">
        <v>45119</v>
      </c>
      <c r="B2115" s="116">
        <v>837.04494007757603</v>
      </c>
      <c r="C2115" s="116">
        <v>832.25448877145004</v>
      </c>
      <c r="D2115" s="116">
        <v>828.55053157599195</v>
      </c>
      <c r="E2115" s="116">
        <v>835.61274329533205</v>
      </c>
      <c r="F2115" s="116">
        <v>842.6</v>
      </c>
      <c r="G2115">
        <v>48439</v>
      </c>
      <c r="H2115" s="116"/>
      <c r="I2115" s="116"/>
      <c r="L2115" s="170">
        <v>45119</v>
      </c>
      <c r="M2115" s="116">
        <v>832.89736115651499</v>
      </c>
      <c r="N2115" s="116">
        <v>837.39150049035595</v>
      </c>
      <c r="O2115" s="116">
        <v>828.50199411572396</v>
      </c>
      <c r="P2115" s="116">
        <v>834.57649013839</v>
      </c>
      <c r="Q2115" s="116">
        <v>843.25</v>
      </c>
      <c r="R2115">
        <v>1435731</v>
      </c>
    </row>
    <row r="2116" spans="1:18" x14ac:dyDescent="0.25">
      <c r="A2116" s="170">
        <v>45120</v>
      </c>
      <c r="B2116" s="116">
        <v>838.575909051699</v>
      </c>
      <c r="C2116" s="116">
        <v>826.87140431405101</v>
      </c>
      <c r="D2116" s="116">
        <v>825.14289095617096</v>
      </c>
      <c r="E2116" s="116">
        <v>829.78518397447795</v>
      </c>
      <c r="F2116" s="116">
        <v>837.15</v>
      </c>
      <c r="G2116">
        <v>255570</v>
      </c>
      <c r="H2116" s="116"/>
      <c r="I2116" s="116"/>
      <c r="L2116" s="170">
        <v>45120</v>
      </c>
      <c r="M2116" s="116">
        <v>827.06979586647799</v>
      </c>
      <c r="N2116" s="116">
        <v>838.57676800697402</v>
      </c>
      <c r="O2116" s="116">
        <v>824.946191565871</v>
      </c>
      <c r="P2116" s="116">
        <v>836.60132214594501</v>
      </c>
      <c r="Q2116" s="116">
        <v>837.35</v>
      </c>
      <c r="R2116">
        <v>985928</v>
      </c>
    </row>
    <row r="2117" spans="1:18" x14ac:dyDescent="0.25">
      <c r="A2117" s="170">
        <v>45121</v>
      </c>
      <c r="B2117" s="116">
        <v>842.23048015121697</v>
      </c>
      <c r="C2117" s="116">
        <v>840.847669464913</v>
      </c>
      <c r="D2117" s="116">
        <v>823.76008026986699</v>
      </c>
      <c r="E2117" s="116">
        <v>827.11833479374798</v>
      </c>
      <c r="F2117" s="116">
        <v>851.3</v>
      </c>
      <c r="G2117">
        <v>31064</v>
      </c>
      <c r="H2117" s="116"/>
      <c r="I2117" s="116"/>
      <c r="L2117" s="170">
        <v>45121</v>
      </c>
      <c r="M2117" s="116">
        <v>841.046075333261</v>
      </c>
      <c r="N2117" s="116">
        <v>842.28072899640404</v>
      </c>
      <c r="O2117" s="116">
        <v>823.36583487704797</v>
      </c>
      <c r="P2117" s="116">
        <v>828.65015255530102</v>
      </c>
      <c r="Q2117" s="116">
        <v>851.5</v>
      </c>
      <c r="R2117">
        <v>1705168</v>
      </c>
    </row>
    <row r="2118" spans="1:18" x14ac:dyDescent="0.25">
      <c r="A2118" s="170">
        <v>45124</v>
      </c>
      <c r="B2118" s="116">
        <v>849.53962235025404</v>
      </c>
      <c r="C2118" s="116">
        <v>842.13170795933797</v>
      </c>
      <c r="D2118" s="116">
        <v>838.97099781921395</v>
      </c>
      <c r="E2118" s="116">
        <v>841.73661919182302</v>
      </c>
      <c r="F2118" s="116">
        <v>852.6</v>
      </c>
      <c r="G2118">
        <v>33284</v>
      </c>
      <c r="H2118" s="116"/>
      <c r="I2118" s="116"/>
      <c r="L2118" s="170">
        <v>45124</v>
      </c>
      <c r="M2118" s="116">
        <v>842.13257055682698</v>
      </c>
      <c r="N2118" s="116">
        <v>850.13312629399604</v>
      </c>
      <c r="O2118" s="116">
        <v>838.92247103265402</v>
      </c>
      <c r="P2118" s="116">
        <v>844.60187788311396</v>
      </c>
      <c r="Q2118" s="116">
        <v>852.6</v>
      </c>
      <c r="R2118">
        <v>1200820</v>
      </c>
    </row>
    <row r="2119" spans="1:18" x14ac:dyDescent="0.25">
      <c r="A2119" s="170">
        <v>45125</v>
      </c>
      <c r="B2119" s="116">
        <v>852.05831324316603</v>
      </c>
      <c r="C2119" s="116">
        <v>848.00865337613197</v>
      </c>
      <c r="D2119" s="116">
        <v>831.71124171611598</v>
      </c>
      <c r="E2119" s="116">
        <v>831.71124171611598</v>
      </c>
      <c r="F2119" s="116">
        <v>858.55</v>
      </c>
      <c r="G2119">
        <v>102922</v>
      </c>
      <c r="H2119" s="116"/>
      <c r="I2119" s="116"/>
      <c r="L2119" s="170">
        <v>45125</v>
      </c>
      <c r="M2119" s="116">
        <v>848.15768043296703</v>
      </c>
      <c r="N2119" s="116">
        <v>852.40488903417997</v>
      </c>
      <c r="O2119" s="116">
        <v>838.03352039519098</v>
      </c>
      <c r="P2119" s="116">
        <v>843.71292724565001</v>
      </c>
      <c r="Q2119" s="116">
        <v>858.7</v>
      </c>
      <c r="R2119">
        <v>1412514</v>
      </c>
    </row>
    <row r="2120" spans="1:18" x14ac:dyDescent="0.25">
      <c r="A2120" s="170">
        <v>45126</v>
      </c>
      <c r="B2120" s="116">
        <v>853.39173783353101</v>
      </c>
      <c r="C2120" s="116">
        <v>848.99637529492099</v>
      </c>
      <c r="D2120" s="116">
        <v>844.35408227661298</v>
      </c>
      <c r="E2120" s="116">
        <v>849.44085015837595</v>
      </c>
      <c r="F2120" s="116">
        <v>859.55</v>
      </c>
      <c r="G2120">
        <v>29983</v>
      </c>
      <c r="H2120" s="116"/>
      <c r="I2120" s="116"/>
      <c r="L2120" s="170">
        <v>45126</v>
      </c>
      <c r="M2120" s="116">
        <v>849.886195561367</v>
      </c>
      <c r="N2120" s="116">
        <v>854.330948748683</v>
      </c>
      <c r="O2120" s="116">
        <v>843.91047183175294</v>
      </c>
      <c r="P2120" s="116">
        <v>854.330948748683</v>
      </c>
      <c r="Q2120" s="116">
        <v>860.45</v>
      </c>
      <c r="R2120">
        <v>952601</v>
      </c>
    </row>
    <row r="2121" spans="1:18" x14ac:dyDescent="0.25">
      <c r="A2121" s="170">
        <v>45127</v>
      </c>
      <c r="B2121" s="116">
        <v>864.25667894020796</v>
      </c>
      <c r="C2121" s="116">
        <v>862.33062119856902</v>
      </c>
      <c r="D2121" s="116">
        <v>844.45285446849198</v>
      </c>
      <c r="E2121" s="116">
        <v>845.53934857915999</v>
      </c>
      <c r="F2121" s="116">
        <v>873.05</v>
      </c>
      <c r="G2121">
        <v>42622</v>
      </c>
      <c r="H2121" s="116"/>
      <c r="I2121" s="116"/>
      <c r="L2121" s="170">
        <v>45127</v>
      </c>
      <c r="M2121" s="116">
        <v>862.38089063237805</v>
      </c>
      <c r="N2121" s="116">
        <v>864.257564200356</v>
      </c>
      <c r="O2121" s="116">
        <v>844.05863027133</v>
      </c>
      <c r="P2121" s="116">
        <v>849.44172024263605</v>
      </c>
      <c r="Q2121" s="116">
        <v>873.1</v>
      </c>
      <c r="R2121">
        <v>1381298</v>
      </c>
    </row>
    <row r="2122" spans="1:18" x14ac:dyDescent="0.25">
      <c r="A2122" s="170">
        <v>45128</v>
      </c>
      <c r="B2122" s="116">
        <v>864.75053989960202</v>
      </c>
      <c r="C2122" s="116">
        <v>841.93416357558101</v>
      </c>
      <c r="D2122" s="116">
        <v>838.92161172327496</v>
      </c>
      <c r="E2122" s="116">
        <v>864.70115380366303</v>
      </c>
      <c r="F2122" s="116">
        <v>852.4</v>
      </c>
      <c r="G2122">
        <v>36262</v>
      </c>
      <c r="H2122" s="116"/>
      <c r="I2122" s="116"/>
      <c r="L2122" s="170">
        <v>45128</v>
      </c>
      <c r="M2122" s="116">
        <v>841.88563982419805</v>
      </c>
      <c r="N2122" s="116">
        <v>865.64037630307701</v>
      </c>
      <c r="O2122" s="116">
        <v>839.16940176528306</v>
      </c>
      <c r="P2122" s="116">
        <v>862.97352439068698</v>
      </c>
      <c r="Q2122" s="116">
        <v>852.35</v>
      </c>
      <c r="R2122">
        <v>1230534</v>
      </c>
    </row>
    <row r="2123" spans="1:18" x14ac:dyDescent="0.25">
      <c r="A2123" s="170">
        <v>45131</v>
      </c>
      <c r="B2123" s="116">
        <v>855.86104263050299</v>
      </c>
      <c r="C2123" s="116">
        <v>852.05831324316603</v>
      </c>
      <c r="D2123" s="116">
        <v>838.575909051699</v>
      </c>
      <c r="E2123" s="116">
        <v>842.08232186339899</v>
      </c>
      <c r="F2123" s="116">
        <v>862.65</v>
      </c>
      <c r="G2123">
        <v>58353</v>
      </c>
      <c r="H2123" s="116"/>
      <c r="I2123" s="116"/>
      <c r="L2123" s="170">
        <v>45131</v>
      </c>
      <c r="M2123" s="116">
        <v>852.50366132723104</v>
      </c>
      <c r="N2123" s="116">
        <v>856.355780756238</v>
      </c>
      <c r="O2123" s="116">
        <v>838.47799571392295</v>
      </c>
      <c r="P2123" s="116">
        <v>843.51538265954696</v>
      </c>
      <c r="Q2123" s="116">
        <v>863.1</v>
      </c>
      <c r="R2123">
        <v>1149904</v>
      </c>
    </row>
    <row r="2124" spans="1:18" x14ac:dyDescent="0.25">
      <c r="A2124" s="170">
        <v>45132</v>
      </c>
      <c r="B2124" s="116">
        <v>858.67605009905105</v>
      </c>
      <c r="C2124" s="116">
        <v>857.58955598838304</v>
      </c>
      <c r="D2124" s="116">
        <v>845.24303200352301</v>
      </c>
      <c r="E2124" s="116">
        <v>849.49023625431505</v>
      </c>
      <c r="F2124" s="116">
        <v>868.25</v>
      </c>
      <c r="G2124">
        <v>68242</v>
      </c>
      <c r="H2124" s="116"/>
      <c r="I2124" s="116"/>
      <c r="L2124" s="170">
        <v>45132</v>
      </c>
      <c r="M2124" s="116">
        <v>857.88675129853596</v>
      </c>
      <c r="N2124" s="116">
        <v>858.82508808252499</v>
      </c>
      <c r="O2124" s="116">
        <v>845.490828520577</v>
      </c>
      <c r="P2124" s="116">
        <v>852.50366132723104</v>
      </c>
      <c r="Q2124" s="116">
        <v>868.55</v>
      </c>
      <c r="R2124">
        <v>873678</v>
      </c>
    </row>
    <row r="2125" spans="1:18" x14ac:dyDescent="0.25">
      <c r="A2125" s="170">
        <v>45133</v>
      </c>
      <c r="B2125" s="116">
        <v>872.99801792148901</v>
      </c>
      <c r="C2125" s="116">
        <v>863.36772921329805</v>
      </c>
      <c r="D2125" s="116">
        <v>859.12052496250601</v>
      </c>
      <c r="E2125" s="116">
        <v>862.28123510263003</v>
      </c>
      <c r="F2125" s="116">
        <v>874.1</v>
      </c>
      <c r="G2125">
        <v>63871</v>
      </c>
      <c r="H2125" s="116"/>
      <c r="I2125" s="116"/>
      <c r="L2125" s="170">
        <v>45133</v>
      </c>
      <c r="M2125" s="116">
        <v>863.17106897679002</v>
      </c>
      <c r="N2125" s="116">
        <v>873.097684428462</v>
      </c>
      <c r="O2125" s="116">
        <v>858.87447422905097</v>
      </c>
      <c r="P2125" s="116">
        <v>863.22045512331601</v>
      </c>
      <c r="Q2125" s="116">
        <v>873.9</v>
      </c>
      <c r="R2125">
        <v>1940116</v>
      </c>
    </row>
    <row r="2126" spans="1:18" x14ac:dyDescent="0.25">
      <c r="A2126" s="170">
        <v>45134</v>
      </c>
      <c r="B2126" s="116">
        <v>867.96063613566605</v>
      </c>
      <c r="C2126" s="116">
        <v>839.81056145018499</v>
      </c>
      <c r="D2126" s="116">
        <v>837.58818713290998</v>
      </c>
      <c r="E2126" s="116">
        <v>867.96063613566605</v>
      </c>
      <c r="F2126" s="116">
        <v>850.25</v>
      </c>
      <c r="G2126">
        <v>127337</v>
      </c>
      <c r="H2126" s="116"/>
      <c r="I2126" s="116"/>
      <c r="L2126" s="170">
        <v>45134</v>
      </c>
      <c r="M2126" s="116">
        <v>839.61387708401401</v>
      </c>
      <c r="N2126" s="116">
        <v>869.19617885292905</v>
      </c>
      <c r="O2126" s="116">
        <v>837.292728197305</v>
      </c>
      <c r="P2126" s="116">
        <v>865.19590098434503</v>
      </c>
      <c r="Q2126" s="116">
        <v>850.05</v>
      </c>
      <c r="R2126">
        <v>3203072</v>
      </c>
    </row>
    <row r="2127" spans="1:18" x14ac:dyDescent="0.25">
      <c r="A2127" s="170">
        <v>45135</v>
      </c>
      <c r="B2127" s="116">
        <v>849.88532502183102</v>
      </c>
      <c r="C2127" s="116">
        <v>848.35435604770805</v>
      </c>
      <c r="D2127" s="116">
        <v>831.76062781205599</v>
      </c>
      <c r="E2127" s="116">
        <v>840.55135288927602</v>
      </c>
      <c r="F2127" s="116">
        <v>858.9</v>
      </c>
      <c r="G2127">
        <v>57270</v>
      </c>
      <c r="H2127" s="116"/>
      <c r="I2127" s="116"/>
      <c r="L2127" s="170">
        <v>45135</v>
      </c>
      <c r="M2127" s="116">
        <v>848.79970033780103</v>
      </c>
      <c r="N2127" s="116">
        <v>849.83680941484101</v>
      </c>
      <c r="O2127" s="116">
        <v>831.66270749337104</v>
      </c>
      <c r="P2127" s="116">
        <v>843.762313392176</v>
      </c>
      <c r="Q2127" s="116">
        <v>859.35</v>
      </c>
      <c r="R2127">
        <v>2365708</v>
      </c>
    </row>
    <row r="2128" spans="1:18" x14ac:dyDescent="0.25">
      <c r="A2128" s="170">
        <v>45138</v>
      </c>
      <c r="B2128" s="116">
        <v>849.83593892589101</v>
      </c>
      <c r="C2128" s="116">
        <v>848.65067262334503</v>
      </c>
      <c r="D2128" s="116">
        <v>842.27986624715697</v>
      </c>
      <c r="E2128" s="116">
        <v>848.35435604770805</v>
      </c>
      <c r="F2128" s="116">
        <v>859.2</v>
      </c>
      <c r="G2128">
        <v>26022</v>
      </c>
      <c r="H2128" s="116"/>
      <c r="I2128" s="116"/>
      <c r="L2128" s="170">
        <v>45138</v>
      </c>
      <c r="M2128" s="116">
        <v>848.75031419127504</v>
      </c>
      <c r="N2128" s="116">
        <v>850.28128473357299</v>
      </c>
      <c r="O2128" s="116">
        <v>842.033798263775</v>
      </c>
      <c r="P2128" s="116">
        <v>848.79970033780103</v>
      </c>
      <c r="Q2128" s="116">
        <v>859.3</v>
      </c>
      <c r="R2128">
        <v>1454789</v>
      </c>
    </row>
    <row r="2129" spans="1:18" x14ac:dyDescent="0.25">
      <c r="A2129" s="170">
        <v>45139</v>
      </c>
      <c r="B2129" s="116">
        <v>852.40401591474199</v>
      </c>
      <c r="C2129" s="116">
        <v>845.78627905885696</v>
      </c>
      <c r="D2129" s="116">
        <v>842.77372720655103</v>
      </c>
      <c r="E2129" s="116">
        <v>852.40401591474199</v>
      </c>
      <c r="F2129" s="116">
        <v>856.3</v>
      </c>
      <c r="G2129">
        <v>88216</v>
      </c>
      <c r="H2129" s="116"/>
      <c r="I2129" s="116"/>
      <c r="L2129" s="170">
        <v>45139</v>
      </c>
      <c r="M2129" s="116">
        <v>846.23162071846298</v>
      </c>
      <c r="N2129" s="116">
        <v>852.70120591333398</v>
      </c>
      <c r="O2129" s="116">
        <v>842.62643202208403</v>
      </c>
      <c r="P2129" s="116">
        <v>851.31839381061297</v>
      </c>
      <c r="Q2129" s="116">
        <v>856.75</v>
      </c>
      <c r="R2129">
        <v>987812</v>
      </c>
    </row>
    <row r="2130" spans="1:18" x14ac:dyDescent="0.25">
      <c r="A2130" s="170">
        <v>45140</v>
      </c>
      <c r="B2130" s="116">
        <v>842.32925234309596</v>
      </c>
      <c r="C2130" s="116">
        <v>831.71124171611598</v>
      </c>
      <c r="D2130" s="116">
        <v>828.20482890441599</v>
      </c>
      <c r="E2130" s="116">
        <v>840.60073898521603</v>
      </c>
      <c r="F2130" s="116">
        <v>842.05</v>
      </c>
      <c r="G2130">
        <v>44853</v>
      </c>
      <c r="H2130" s="116"/>
      <c r="I2130" s="116"/>
      <c r="L2130" s="170">
        <v>45140</v>
      </c>
      <c r="M2130" s="116">
        <v>832.69981657041103</v>
      </c>
      <c r="N2130" s="116">
        <v>844.50310559006198</v>
      </c>
      <c r="O2130" s="116">
        <v>827.90936035741504</v>
      </c>
      <c r="P2130" s="116">
        <v>844.50310559006198</v>
      </c>
      <c r="Q2130" s="116">
        <v>843.05</v>
      </c>
      <c r="R2130">
        <v>1604731</v>
      </c>
    </row>
    <row r="2131" spans="1:18" x14ac:dyDescent="0.25">
      <c r="A2131" s="170">
        <v>45141</v>
      </c>
      <c r="B2131" s="116">
        <v>831.41492514048002</v>
      </c>
      <c r="C2131" s="116">
        <v>824.89596047647399</v>
      </c>
      <c r="D2131" s="116">
        <v>822.57481396731998</v>
      </c>
      <c r="E2131" s="116">
        <v>824.79718828459499</v>
      </c>
      <c r="F2131" s="116">
        <v>835.15</v>
      </c>
      <c r="G2131">
        <v>86326</v>
      </c>
      <c r="H2131" s="116"/>
      <c r="I2131" s="116"/>
      <c r="L2131" s="170">
        <v>45141</v>
      </c>
      <c r="M2131" s="116">
        <v>825.14373615197405</v>
      </c>
      <c r="N2131" s="116">
        <v>831.31700446769105</v>
      </c>
      <c r="O2131" s="116">
        <v>822.32872580000696</v>
      </c>
      <c r="P2131" s="116">
        <v>829.68726163234203</v>
      </c>
      <c r="Q2131" s="116">
        <v>835.4</v>
      </c>
      <c r="R2131">
        <v>1375222</v>
      </c>
    </row>
    <row r="2132" spans="1:18" x14ac:dyDescent="0.25">
      <c r="A2132" s="170">
        <v>45142</v>
      </c>
      <c r="B2132" s="116">
        <v>832.15571657957105</v>
      </c>
      <c r="C2132" s="116">
        <v>824.550257804897</v>
      </c>
      <c r="D2132" s="116">
        <v>821.88340862416806</v>
      </c>
      <c r="E2132" s="116">
        <v>824.94534657241297</v>
      </c>
      <c r="F2132" s="116">
        <v>834.8</v>
      </c>
      <c r="G2132">
        <v>13108</v>
      </c>
      <c r="H2132" s="116"/>
      <c r="I2132" s="116"/>
      <c r="L2132" s="170">
        <v>45142</v>
      </c>
      <c r="M2132" s="116">
        <v>824.55110239366502</v>
      </c>
      <c r="N2132" s="116">
        <v>831.26761832116495</v>
      </c>
      <c r="O2132" s="116">
        <v>822.08179506737895</v>
      </c>
      <c r="P2132" s="116">
        <v>826.77347898732296</v>
      </c>
      <c r="Q2132" s="116">
        <v>834.8</v>
      </c>
      <c r="R2132">
        <v>887582</v>
      </c>
    </row>
    <row r="2133" spans="1:18" x14ac:dyDescent="0.25">
      <c r="A2133" s="170">
        <v>45145</v>
      </c>
      <c r="B2133" s="116">
        <v>830.18027274199403</v>
      </c>
      <c r="C2133" s="116">
        <v>827.56280965720305</v>
      </c>
      <c r="D2133" s="116">
        <v>819.01901505967999</v>
      </c>
      <c r="E2133" s="116">
        <v>824.84657438053398</v>
      </c>
      <c r="F2133" s="116">
        <v>837.85</v>
      </c>
      <c r="G2133">
        <v>297364</v>
      </c>
      <c r="H2133" s="116"/>
      <c r="I2133" s="116"/>
      <c r="L2133" s="170">
        <v>45145</v>
      </c>
      <c r="M2133" s="116">
        <v>827.51427118520905</v>
      </c>
      <c r="N2133" s="116">
        <v>830.32928153717603</v>
      </c>
      <c r="O2133" s="116">
        <v>819.31617086193796</v>
      </c>
      <c r="P2133" s="116">
        <v>826.674706694272</v>
      </c>
      <c r="Q2133" s="116">
        <v>837.8</v>
      </c>
      <c r="R2133">
        <v>1106208</v>
      </c>
    </row>
    <row r="2134" spans="1:18" x14ac:dyDescent="0.25">
      <c r="A2134" s="170">
        <v>45146</v>
      </c>
      <c r="B2134" s="116">
        <v>842.52679672685395</v>
      </c>
      <c r="C2134" s="116">
        <v>836.94616788569704</v>
      </c>
      <c r="D2134" s="116">
        <v>821.83402252822805</v>
      </c>
      <c r="E2134" s="116">
        <v>821.83402252822805</v>
      </c>
      <c r="F2134" s="116">
        <v>847.35</v>
      </c>
      <c r="G2134">
        <v>53151</v>
      </c>
      <c r="H2134" s="116"/>
      <c r="I2134" s="116"/>
      <c r="L2134" s="170">
        <v>45146</v>
      </c>
      <c r="M2134" s="116">
        <v>837.04579746467596</v>
      </c>
      <c r="N2134" s="116">
        <v>842.62643202208403</v>
      </c>
      <c r="O2134" s="116">
        <v>823.51399331662503</v>
      </c>
      <c r="P2134" s="116">
        <v>828.69953870182701</v>
      </c>
      <c r="Q2134" s="116">
        <v>847.45</v>
      </c>
      <c r="R2134">
        <v>1252297</v>
      </c>
    </row>
    <row r="2135" spans="1:18" x14ac:dyDescent="0.25">
      <c r="A2135" s="170">
        <v>45147</v>
      </c>
      <c r="B2135" s="116">
        <v>851.56445228377095</v>
      </c>
      <c r="C2135" s="116">
        <v>849.09514748679896</v>
      </c>
      <c r="D2135" s="116">
        <v>837.440028845092</v>
      </c>
      <c r="E2135" s="116">
        <v>837.58818713290998</v>
      </c>
      <c r="F2135" s="116">
        <v>859.65</v>
      </c>
      <c r="G2135">
        <v>38047</v>
      </c>
      <c r="H2135" s="116"/>
      <c r="I2135" s="116"/>
      <c r="L2135" s="170">
        <v>45147</v>
      </c>
      <c r="M2135" s="116">
        <v>849.63926482873899</v>
      </c>
      <c r="N2135" s="116">
        <v>851.86164142239704</v>
      </c>
      <c r="O2135" s="116">
        <v>837.24334205077901</v>
      </c>
      <c r="P2135" s="116">
        <v>840.55221386800304</v>
      </c>
      <c r="Q2135" s="116">
        <v>860.2</v>
      </c>
      <c r="R2135">
        <v>1704615</v>
      </c>
    </row>
    <row r="2136" spans="1:18" x14ac:dyDescent="0.25">
      <c r="A2136" s="170">
        <v>45148</v>
      </c>
      <c r="B2136" s="116">
        <v>850.033483309649</v>
      </c>
      <c r="C2136" s="116">
        <v>839.563630970487</v>
      </c>
      <c r="D2136" s="116">
        <v>835.06949623999799</v>
      </c>
      <c r="E2136" s="116">
        <v>844.35408227661298</v>
      </c>
      <c r="F2136" s="116">
        <v>850</v>
      </c>
      <c r="G2136">
        <v>104310</v>
      </c>
      <c r="H2136" s="116"/>
      <c r="I2136" s="116"/>
      <c r="L2136" s="170">
        <v>45148</v>
      </c>
      <c r="M2136" s="116">
        <v>840.10773854927197</v>
      </c>
      <c r="N2136" s="116">
        <v>852.60243362028302</v>
      </c>
      <c r="O2136" s="116">
        <v>837.589045076459</v>
      </c>
      <c r="P2136" s="116">
        <v>850.57760161272699</v>
      </c>
      <c r="Q2136" s="116">
        <v>850.55</v>
      </c>
      <c r="R2136">
        <v>941390</v>
      </c>
    </row>
    <row r="2137" spans="1:18" x14ac:dyDescent="0.25">
      <c r="A2137" s="170">
        <v>45149</v>
      </c>
      <c r="B2137" s="116">
        <v>842.47741063091496</v>
      </c>
      <c r="C2137" s="116">
        <v>825.78491020338402</v>
      </c>
      <c r="D2137" s="116">
        <v>824.74780218865499</v>
      </c>
      <c r="E2137" s="116">
        <v>842.47741063091496</v>
      </c>
      <c r="F2137" s="116">
        <v>836.05</v>
      </c>
      <c r="G2137">
        <v>34406</v>
      </c>
      <c r="H2137" s="116"/>
      <c r="I2137" s="116"/>
      <c r="L2137" s="170">
        <v>45149</v>
      </c>
      <c r="M2137" s="116">
        <v>826.62532054774601</v>
      </c>
      <c r="N2137" s="116">
        <v>843.36722421997001</v>
      </c>
      <c r="O2137" s="116">
        <v>824.74864697976795</v>
      </c>
      <c r="P2137" s="116">
        <v>839.26817405833401</v>
      </c>
      <c r="Q2137" s="116">
        <v>836.9</v>
      </c>
      <c r="R2137">
        <v>909080</v>
      </c>
    </row>
    <row r="2138" spans="1:18" x14ac:dyDescent="0.25">
      <c r="A2138" s="170">
        <v>45152</v>
      </c>
      <c r="B2138" s="116">
        <v>835.41519891157395</v>
      </c>
      <c r="C2138" s="116">
        <v>834.27931870496695</v>
      </c>
      <c r="D2138" s="116">
        <v>819.61164821095304</v>
      </c>
      <c r="E2138" s="116">
        <v>826.67385993029404</v>
      </c>
      <c r="F2138" s="116">
        <v>844.65</v>
      </c>
      <c r="G2138">
        <v>17482</v>
      </c>
      <c r="H2138" s="116"/>
      <c r="I2138" s="116"/>
      <c r="L2138" s="170">
        <v>45152</v>
      </c>
      <c r="M2138" s="116">
        <v>834.32955940576096</v>
      </c>
      <c r="N2138" s="116">
        <v>835.51482692237801</v>
      </c>
      <c r="O2138" s="116">
        <v>819.46432930151502</v>
      </c>
      <c r="P2138" s="116">
        <v>828.55138026224995</v>
      </c>
      <c r="Q2138" s="116">
        <v>844.7</v>
      </c>
      <c r="R2138">
        <v>754694</v>
      </c>
    </row>
    <row r="2139" spans="1:18" x14ac:dyDescent="0.25">
      <c r="A2139" s="170">
        <v>45154</v>
      </c>
      <c r="B2139" s="116">
        <v>834.62502137654303</v>
      </c>
      <c r="C2139" s="116">
        <v>828.55053157599195</v>
      </c>
      <c r="D2139" s="116">
        <v>823.80946636580597</v>
      </c>
      <c r="E2139" s="116">
        <v>830.27904493387302</v>
      </c>
      <c r="F2139" s="116">
        <v>838.85</v>
      </c>
      <c r="G2139">
        <v>21246</v>
      </c>
      <c r="H2139" s="116"/>
      <c r="I2139" s="116"/>
      <c r="L2139" s="170">
        <v>45154</v>
      </c>
      <c r="M2139" s="116">
        <v>830.37866768370202</v>
      </c>
      <c r="N2139" s="116">
        <v>833.09490574261702</v>
      </c>
      <c r="O2139" s="116">
        <v>826.52654825469494</v>
      </c>
      <c r="P2139" s="116">
        <v>830.57621226980496</v>
      </c>
      <c r="Q2139" s="116">
        <v>840.7</v>
      </c>
      <c r="R2139">
        <v>360863</v>
      </c>
    </row>
    <row r="2140" spans="1:18" x14ac:dyDescent="0.25">
      <c r="A2140" s="170">
        <v>45155</v>
      </c>
      <c r="B2140" s="116">
        <v>835.36581281563497</v>
      </c>
      <c r="C2140" s="116">
        <v>833.14343849835996</v>
      </c>
      <c r="D2140" s="116">
        <v>825.09350486023095</v>
      </c>
      <c r="E2140" s="116">
        <v>828.55053157599195</v>
      </c>
      <c r="F2140" s="116">
        <v>843.5</v>
      </c>
      <c r="G2140">
        <v>14157</v>
      </c>
      <c r="H2140" s="116"/>
      <c r="I2140" s="116"/>
      <c r="L2140" s="170">
        <v>45155</v>
      </c>
      <c r="M2140" s="116">
        <v>833.88508408702899</v>
      </c>
      <c r="N2140" s="116">
        <v>835.564213068904</v>
      </c>
      <c r="O2140" s="116">
        <v>824.74864697976795</v>
      </c>
      <c r="P2140" s="116">
        <v>824.74864697976795</v>
      </c>
      <c r="Q2140" s="116">
        <v>844.25</v>
      </c>
      <c r="R2140">
        <v>1105325</v>
      </c>
    </row>
    <row r="2141" spans="1:18" x14ac:dyDescent="0.25">
      <c r="A2141" s="170">
        <v>45156</v>
      </c>
      <c r="B2141" s="116">
        <v>838.03266199636505</v>
      </c>
      <c r="C2141" s="116">
        <v>832.30387486739005</v>
      </c>
      <c r="D2141" s="116">
        <v>825.29104924398905</v>
      </c>
      <c r="E2141" s="116">
        <v>825.834296299323</v>
      </c>
      <c r="F2141" s="116">
        <v>842.65</v>
      </c>
      <c r="G2141">
        <v>18261</v>
      </c>
      <c r="H2141" s="116"/>
      <c r="I2141" s="116"/>
      <c r="L2141" s="170">
        <v>45156</v>
      </c>
      <c r="M2141" s="116">
        <v>832.20595510515398</v>
      </c>
      <c r="N2141" s="116">
        <v>838.52738186044803</v>
      </c>
      <c r="O2141" s="116">
        <v>825.24250844502603</v>
      </c>
      <c r="P2141" s="116">
        <v>834.62587628491497</v>
      </c>
      <c r="Q2141" s="116">
        <v>842.55</v>
      </c>
      <c r="R2141">
        <v>1145798</v>
      </c>
    </row>
    <row r="2142" spans="1:18" x14ac:dyDescent="0.25">
      <c r="A2142" s="170">
        <v>45159</v>
      </c>
      <c r="B2142" s="116">
        <v>838.97099781921395</v>
      </c>
      <c r="C2142" s="116">
        <v>838.13143418824404</v>
      </c>
      <c r="D2142" s="116">
        <v>830.18027274199403</v>
      </c>
      <c r="E2142" s="116">
        <v>832.35326096332903</v>
      </c>
      <c r="F2142" s="116">
        <v>848.55</v>
      </c>
      <c r="G2142">
        <v>31879</v>
      </c>
      <c r="H2142" s="116"/>
      <c r="I2142" s="116"/>
      <c r="L2142" s="170">
        <v>45159</v>
      </c>
      <c r="M2142" s="116">
        <v>838.08290654171697</v>
      </c>
      <c r="N2142" s="116">
        <v>838.97185717918001</v>
      </c>
      <c r="O2142" s="116">
        <v>830.47743997675298</v>
      </c>
      <c r="P2142" s="116">
        <v>835.61359921542999</v>
      </c>
      <c r="Q2142" s="116">
        <v>848.5</v>
      </c>
      <c r="R2142">
        <v>680778</v>
      </c>
    </row>
    <row r="2143" spans="1:18" x14ac:dyDescent="0.25">
      <c r="A2143" s="170">
        <v>45160</v>
      </c>
      <c r="B2143" s="116">
        <v>841.04521384867098</v>
      </c>
      <c r="C2143" s="116">
        <v>838.62529514763798</v>
      </c>
      <c r="D2143" s="116">
        <v>833.43975507399705</v>
      </c>
      <c r="E2143" s="116">
        <v>838.08204809230403</v>
      </c>
      <c r="F2143" s="116">
        <v>849.05</v>
      </c>
      <c r="G2143">
        <v>54219</v>
      </c>
      <c r="H2143" s="116"/>
      <c r="I2143" s="116"/>
      <c r="L2143" s="170">
        <v>45160</v>
      </c>
      <c r="M2143" s="116">
        <v>838.37922342087097</v>
      </c>
      <c r="N2143" s="116">
        <v>841.09546147978597</v>
      </c>
      <c r="O2143" s="116">
        <v>833.63815335440097</v>
      </c>
      <c r="P2143" s="116">
        <v>836.60132214594501</v>
      </c>
      <c r="Q2143" s="116">
        <v>848.8</v>
      </c>
      <c r="R2143">
        <v>782931</v>
      </c>
    </row>
    <row r="2144" spans="1:18" x14ac:dyDescent="0.25">
      <c r="A2144" s="170">
        <v>45161</v>
      </c>
      <c r="B2144" s="116">
        <v>836.79800959787894</v>
      </c>
      <c r="C2144" s="116">
        <v>833.88422993745201</v>
      </c>
      <c r="D2144" s="116">
        <v>830.08150055011504</v>
      </c>
      <c r="E2144" s="116">
        <v>834.67440747248304</v>
      </c>
      <c r="F2144" s="116">
        <v>844.25</v>
      </c>
      <c r="G2144">
        <v>33367</v>
      </c>
      <c r="H2144" s="116"/>
      <c r="I2144" s="116"/>
      <c r="L2144" s="170">
        <v>45161</v>
      </c>
      <c r="M2144" s="116">
        <v>834.18140096618401</v>
      </c>
      <c r="N2144" s="116">
        <v>837.589045076459</v>
      </c>
      <c r="O2144" s="116">
        <v>830.03296465802202</v>
      </c>
      <c r="P2144" s="116">
        <v>837.589045076459</v>
      </c>
      <c r="Q2144" s="116">
        <v>844.55</v>
      </c>
      <c r="R2144">
        <v>516482</v>
      </c>
    </row>
    <row r="2145" spans="1:18" x14ac:dyDescent="0.25">
      <c r="A2145" s="170">
        <v>45162</v>
      </c>
      <c r="B2145" s="116">
        <v>844.74917104412896</v>
      </c>
      <c r="C2145" s="116">
        <v>833.14343849835996</v>
      </c>
      <c r="D2145" s="116">
        <v>829.78518397447795</v>
      </c>
      <c r="E2145" s="116">
        <v>829.78518397447795</v>
      </c>
      <c r="F2145" s="116">
        <v>843.5</v>
      </c>
      <c r="G2145">
        <v>28453</v>
      </c>
      <c r="H2145" s="116"/>
      <c r="I2145" s="116"/>
      <c r="L2145" s="170">
        <v>45162</v>
      </c>
      <c r="M2145" s="116">
        <v>833.835697940503</v>
      </c>
      <c r="N2145" s="116">
        <v>844.30556100395904</v>
      </c>
      <c r="O2145" s="116">
        <v>831.76147978642302</v>
      </c>
      <c r="P2145" s="116">
        <v>834.62587628491497</v>
      </c>
      <c r="Q2145" s="116">
        <v>844.2</v>
      </c>
      <c r="R2145">
        <v>1482572</v>
      </c>
    </row>
    <row r="2146" spans="1:18" x14ac:dyDescent="0.25">
      <c r="A2146" s="170">
        <v>45163</v>
      </c>
      <c r="B2146" s="116">
        <v>835.56335719939295</v>
      </c>
      <c r="C2146" s="116">
        <v>821.93279472010704</v>
      </c>
      <c r="D2146" s="116">
        <v>819.80919259471102</v>
      </c>
      <c r="E2146" s="116">
        <v>830.67413370138797</v>
      </c>
      <c r="F2146" s="116">
        <v>832.15</v>
      </c>
      <c r="G2146">
        <v>23200</v>
      </c>
      <c r="H2146" s="116"/>
      <c r="I2146" s="116"/>
      <c r="L2146" s="170">
        <v>45163</v>
      </c>
      <c r="M2146" s="116">
        <v>822.32872580000696</v>
      </c>
      <c r="N2146" s="116">
        <v>835.76175765500705</v>
      </c>
      <c r="O2146" s="116">
        <v>819.95819076677196</v>
      </c>
      <c r="P2146" s="116">
        <v>829.68726163234203</v>
      </c>
      <c r="Q2146" s="116">
        <v>832.55</v>
      </c>
      <c r="R2146">
        <v>1149261</v>
      </c>
    </row>
    <row r="2147" spans="1:18" x14ac:dyDescent="0.25">
      <c r="A2147" s="170">
        <v>45166</v>
      </c>
      <c r="B2147" s="116">
        <v>832.45203315520803</v>
      </c>
      <c r="C2147" s="116">
        <v>831.21738075672204</v>
      </c>
      <c r="D2147" s="116">
        <v>817.09295731804195</v>
      </c>
      <c r="E2147" s="116">
        <v>819.85857869065103</v>
      </c>
      <c r="F2147" s="116">
        <v>841.55</v>
      </c>
      <c r="G2147">
        <v>25566</v>
      </c>
      <c r="H2147" s="116"/>
      <c r="I2147" s="116"/>
      <c r="L2147" s="170">
        <v>45166</v>
      </c>
      <c r="M2147" s="116">
        <v>831.465162907268</v>
      </c>
      <c r="N2147" s="116">
        <v>832.60104427735996</v>
      </c>
      <c r="O2147" s="116">
        <v>818.08151719879402</v>
      </c>
      <c r="P2147" s="116">
        <v>822.279339653482</v>
      </c>
      <c r="Q2147" s="116">
        <v>841.8</v>
      </c>
      <c r="R2147">
        <v>649996</v>
      </c>
    </row>
    <row r="2148" spans="1:18" x14ac:dyDescent="0.25">
      <c r="A2148" s="170">
        <v>45167</v>
      </c>
      <c r="B2148" s="116">
        <v>833.39036897805704</v>
      </c>
      <c r="C2148" s="116">
        <v>827.76035404096103</v>
      </c>
      <c r="D2148" s="116">
        <v>825.73552410744401</v>
      </c>
      <c r="E2148" s="116">
        <v>827.76035404096103</v>
      </c>
      <c r="F2148" s="116">
        <v>838.05</v>
      </c>
      <c r="G2148">
        <v>15760</v>
      </c>
      <c r="H2148" s="116"/>
      <c r="I2148" s="116"/>
      <c r="L2148" s="170">
        <v>45167</v>
      </c>
      <c r="M2148" s="116">
        <v>827.95874650394103</v>
      </c>
      <c r="N2148" s="116">
        <v>833.58876720787498</v>
      </c>
      <c r="O2148" s="116">
        <v>825.73636991028297</v>
      </c>
      <c r="P2148" s="116">
        <v>830.67498456285603</v>
      </c>
      <c r="Q2148" s="116">
        <v>838.25</v>
      </c>
      <c r="R2148">
        <v>606053</v>
      </c>
    </row>
    <row r="2149" spans="1:18" x14ac:dyDescent="0.25">
      <c r="A2149" s="170">
        <v>45168</v>
      </c>
      <c r="B2149" s="116">
        <v>838.575909051699</v>
      </c>
      <c r="C2149" s="116">
        <v>837.68695932478897</v>
      </c>
      <c r="D2149" s="116">
        <v>821.83402252822805</v>
      </c>
      <c r="E2149" s="116">
        <v>821.83402252822805</v>
      </c>
      <c r="F2149" s="116">
        <v>848.1</v>
      </c>
      <c r="G2149">
        <v>16446</v>
      </c>
      <c r="H2149" s="116"/>
      <c r="I2149" s="116"/>
      <c r="L2149" s="170">
        <v>45168</v>
      </c>
      <c r="M2149" s="116">
        <v>837.934748102139</v>
      </c>
      <c r="N2149" s="116">
        <v>838.87308488612803</v>
      </c>
      <c r="O2149" s="116">
        <v>828.403221822673</v>
      </c>
      <c r="P2149" s="116">
        <v>830.67498456285603</v>
      </c>
      <c r="Q2149" s="116">
        <v>848.35</v>
      </c>
      <c r="R2149">
        <v>604884</v>
      </c>
    </row>
    <row r="2150" spans="1:18" x14ac:dyDescent="0.25">
      <c r="A2150" s="170">
        <v>45169</v>
      </c>
      <c r="B2150" s="116">
        <v>841.48968871212605</v>
      </c>
      <c r="C2150" s="116">
        <v>824.64902999677599</v>
      </c>
      <c r="D2150" s="116">
        <v>819.16717334749899</v>
      </c>
      <c r="E2150" s="116">
        <v>841.48968871212605</v>
      </c>
      <c r="F2150" s="116">
        <v>834.9</v>
      </c>
      <c r="G2150">
        <v>32472</v>
      </c>
      <c r="H2150" s="116"/>
      <c r="I2150" s="116"/>
      <c r="L2150" s="170">
        <v>45169</v>
      </c>
      <c r="M2150" s="116">
        <v>824.10662707493395</v>
      </c>
      <c r="N2150" s="116">
        <v>840.99668918673501</v>
      </c>
      <c r="O2150" s="116">
        <v>818.87169554320599</v>
      </c>
      <c r="P2150" s="116">
        <v>837.934748102139</v>
      </c>
      <c r="Q2150" s="116">
        <v>834.35</v>
      </c>
      <c r="R2150">
        <v>2025392</v>
      </c>
    </row>
    <row r="2151" spans="1:18" x14ac:dyDescent="0.25">
      <c r="A2151" s="170">
        <v>45170</v>
      </c>
      <c r="B2151" s="116">
        <v>836.60046521412096</v>
      </c>
      <c r="C2151" s="116">
        <v>833.78545774557301</v>
      </c>
      <c r="D2151" s="116">
        <v>820.84630060943903</v>
      </c>
      <c r="E2151" s="116">
        <v>820.84630060943903</v>
      </c>
      <c r="F2151" s="116">
        <v>844.15</v>
      </c>
      <c r="G2151">
        <v>44968</v>
      </c>
      <c r="H2151" s="116"/>
      <c r="I2151" s="116"/>
      <c r="L2151" s="170">
        <v>45170</v>
      </c>
      <c r="M2151" s="116">
        <v>833.78631179397803</v>
      </c>
      <c r="N2151" s="116">
        <v>836.99641131814997</v>
      </c>
      <c r="O2151" s="116">
        <v>822.77320111873905</v>
      </c>
      <c r="P2151" s="116">
        <v>822.77320111873905</v>
      </c>
      <c r="Q2151" s="116">
        <v>844.15</v>
      </c>
      <c r="R2151">
        <v>661741</v>
      </c>
    </row>
    <row r="2152" spans="1:18" x14ac:dyDescent="0.25">
      <c r="A2152" s="170">
        <v>45173</v>
      </c>
      <c r="B2152" s="116">
        <v>838.92161172327496</v>
      </c>
      <c r="C2152" s="116">
        <v>835.21765452781699</v>
      </c>
      <c r="D2152" s="116">
        <v>826.72324602623303</v>
      </c>
      <c r="E2152" s="116">
        <v>833.63729945775503</v>
      </c>
      <c r="F2152" s="116">
        <v>845.6</v>
      </c>
      <c r="G2152">
        <v>27576</v>
      </c>
      <c r="H2152" s="116"/>
      <c r="I2152" s="116"/>
      <c r="L2152" s="170">
        <v>45173</v>
      </c>
      <c r="M2152" s="116">
        <v>835.66298536195598</v>
      </c>
      <c r="N2152" s="116">
        <v>838.57676800697402</v>
      </c>
      <c r="O2152" s="116">
        <v>826.72409284079799</v>
      </c>
      <c r="P2152" s="116">
        <v>833.63815335440097</v>
      </c>
      <c r="Q2152" s="116">
        <v>846.05</v>
      </c>
      <c r="R2152">
        <v>705024</v>
      </c>
    </row>
    <row r="2153" spans="1:18" x14ac:dyDescent="0.25">
      <c r="A2153" s="170">
        <v>45174</v>
      </c>
      <c r="B2153" s="116">
        <v>841.98354967152</v>
      </c>
      <c r="C2153" s="116">
        <v>835.36581281563497</v>
      </c>
      <c r="D2153" s="116">
        <v>832.94589411460197</v>
      </c>
      <c r="E2153" s="116">
        <v>837.98327590042504</v>
      </c>
      <c r="F2153" s="116">
        <v>845.75</v>
      </c>
      <c r="G2153">
        <v>24102</v>
      </c>
      <c r="H2153" s="116"/>
      <c r="I2153" s="116"/>
      <c r="L2153" s="170">
        <v>45174</v>
      </c>
      <c r="M2153" s="116">
        <v>835.90991609458399</v>
      </c>
      <c r="N2153" s="116">
        <v>841.93502597072404</v>
      </c>
      <c r="O2153" s="116">
        <v>832.69981657041103</v>
      </c>
      <c r="P2153" s="116">
        <v>836.60132214594501</v>
      </c>
      <c r="Q2153" s="116">
        <v>846.3</v>
      </c>
      <c r="R2153">
        <v>745626</v>
      </c>
    </row>
    <row r="2154" spans="1:18" x14ac:dyDescent="0.25">
      <c r="A2154" s="170">
        <v>45175</v>
      </c>
      <c r="B2154" s="116">
        <v>872.15845429051797</v>
      </c>
      <c r="C2154" s="116">
        <v>869.09651634227305</v>
      </c>
      <c r="D2154" s="116">
        <v>832.74834973084501</v>
      </c>
      <c r="E2154" s="116">
        <v>832.74834973084501</v>
      </c>
      <c r="F2154" s="116">
        <v>879.9</v>
      </c>
      <c r="G2154">
        <v>97632</v>
      </c>
      <c r="H2154" s="116"/>
      <c r="I2154" s="116"/>
      <c r="L2154" s="170">
        <v>45175</v>
      </c>
      <c r="M2154" s="116">
        <v>868.10968362936296</v>
      </c>
      <c r="N2154" s="116">
        <v>872.159347644474</v>
      </c>
      <c r="O2154" s="116">
        <v>835.11973775017304</v>
      </c>
      <c r="P2154" s="116">
        <v>835.41605462932705</v>
      </c>
      <c r="Q2154" s="116">
        <v>878.9</v>
      </c>
      <c r="R2154">
        <v>3618782</v>
      </c>
    </row>
    <row r="2155" spans="1:18" x14ac:dyDescent="0.25">
      <c r="A2155" s="170">
        <v>45176</v>
      </c>
      <c r="B2155" s="116">
        <v>856.35490358989705</v>
      </c>
      <c r="C2155" s="116">
        <v>847.86049508831297</v>
      </c>
      <c r="D2155" s="116">
        <v>843.36636035782396</v>
      </c>
      <c r="E2155" s="116">
        <v>855.26840947922904</v>
      </c>
      <c r="F2155" s="116">
        <v>858.4</v>
      </c>
      <c r="G2155">
        <v>190201</v>
      </c>
      <c r="H2155" s="116"/>
      <c r="I2155" s="116"/>
      <c r="L2155" s="170">
        <v>45176</v>
      </c>
      <c r="M2155" s="116">
        <v>848.15768043296703</v>
      </c>
      <c r="N2155" s="116">
        <v>856.30639460971304</v>
      </c>
      <c r="O2155" s="116">
        <v>843.51538265954696</v>
      </c>
      <c r="P2155" s="116">
        <v>855.07174094656898</v>
      </c>
      <c r="Q2155" s="116">
        <v>858.7</v>
      </c>
      <c r="R2155">
        <v>3458930</v>
      </c>
    </row>
    <row r="2156" spans="1:18" x14ac:dyDescent="0.25">
      <c r="A2156" s="170">
        <v>45177</v>
      </c>
      <c r="B2156" s="116">
        <v>853.24357954571201</v>
      </c>
      <c r="C2156" s="116">
        <v>842.18109405527798</v>
      </c>
      <c r="D2156" s="116">
        <v>841.48968871212605</v>
      </c>
      <c r="E2156" s="116">
        <v>851.91015495534805</v>
      </c>
      <c r="F2156" s="116">
        <v>852.65</v>
      </c>
      <c r="G2156">
        <v>47493</v>
      </c>
      <c r="H2156" s="116"/>
      <c r="I2156" s="116"/>
      <c r="L2156" s="170">
        <v>45177</v>
      </c>
      <c r="M2156" s="116">
        <v>842.62643202208403</v>
      </c>
      <c r="N2156" s="116">
        <v>854.23217645563204</v>
      </c>
      <c r="O2156" s="116">
        <v>841.29300606588902</v>
      </c>
      <c r="P2156" s="116">
        <v>853.39261196469397</v>
      </c>
      <c r="Q2156" s="116">
        <v>853.1</v>
      </c>
      <c r="R2156">
        <v>901217</v>
      </c>
    </row>
    <row r="2157" spans="1:18" x14ac:dyDescent="0.25">
      <c r="A2157" s="170">
        <v>45180</v>
      </c>
      <c r="B2157" s="116">
        <v>853.98437098480395</v>
      </c>
      <c r="C2157" s="116">
        <v>851.61383837971096</v>
      </c>
      <c r="D2157" s="116">
        <v>843.61329083752196</v>
      </c>
      <c r="E2157" s="116">
        <v>843.61329083752196</v>
      </c>
      <c r="F2157" s="116">
        <v>862.2</v>
      </c>
      <c r="G2157">
        <v>36841</v>
      </c>
      <c r="H2157" s="116"/>
      <c r="I2157" s="116"/>
      <c r="L2157" s="170">
        <v>45180</v>
      </c>
      <c r="M2157" s="116">
        <v>852.00979986197399</v>
      </c>
      <c r="N2157" s="116">
        <v>854.330948748683</v>
      </c>
      <c r="O2157" s="116">
        <v>844.25617485743305</v>
      </c>
      <c r="P2157" s="116">
        <v>844.99696705531903</v>
      </c>
      <c r="Q2157" s="116">
        <v>862.6</v>
      </c>
      <c r="R2157">
        <v>1039583</v>
      </c>
    </row>
    <row r="2158" spans="1:18" x14ac:dyDescent="0.25">
      <c r="A2158" s="170">
        <v>45181</v>
      </c>
      <c r="B2158" s="116">
        <v>862.57755167826701</v>
      </c>
      <c r="C2158" s="116">
        <v>853.93498488886496</v>
      </c>
      <c r="D2158" s="116">
        <v>845.48996248321998</v>
      </c>
      <c r="E2158" s="116">
        <v>858.57727790717195</v>
      </c>
      <c r="F2158" s="116">
        <v>864.55</v>
      </c>
      <c r="G2158">
        <v>51029</v>
      </c>
      <c r="H2158" s="116"/>
      <c r="I2158" s="116"/>
      <c r="L2158" s="170">
        <v>45181</v>
      </c>
      <c r="M2158" s="116">
        <v>854.13340416257995</v>
      </c>
      <c r="N2158" s="116">
        <v>863.26984126984098</v>
      </c>
      <c r="O2158" s="116">
        <v>845.490828520577</v>
      </c>
      <c r="P2158" s="116">
        <v>856.355780756238</v>
      </c>
      <c r="Q2158" s="116">
        <v>864.75</v>
      </c>
      <c r="R2158">
        <v>1795152</v>
      </c>
    </row>
    <row r="2159" spans="1:18" x14ac:dyDescent="0.25">
      <c r="A2159" s="170">
        <v>45182</v>
      </c>
      <c r="B2159" s="116">
        <v>880.20838792864697</v>
      </c>
      <c r="C2159" s="116">
        <v>878.13417189919005</v>
      </c>
      <c r="D2159" s="116">
        <v>848.99637529492099</v>
      </c>
      <c r="E2159" s="116">
        <v>858.28096133153497</v>
      </c>
      <c r="F2159" s="116">
        <v>889.05</v>
      </c>
      <c r="G2159">
        <v>107860</v>
      </c>
      <c r="H2159" s="116"/>
      <c r="I2159" s="116"/>
      <c r="L2159" s="170">
        <v>45182</v>
      </c>
      <c r="M2159" s="116">
        <v>878.38200210671596</v>
      </c>
      <c r="N2159" s="116">
        <v>880.30806182122001</v>
      </c>
      <c r="O2159" s="116">
        <v>849.589878682213</v>
      </c>
      <c r="P2159" s="116">
        <v>851.41716610366495</v>
      </c>
      <c r="Q2159" s="116">
        <v>889.3</v>
      </c>
      <c r="R2159">
        <v>2812359</v>
      </c>
    </row>
    <row r="2160" spans="1:18" x14ac:dyDescent="0.25">
      <c r="A2160" s="170">
        <v>45183</v>
      </c>
      <c r="B2160" s="116">
        <v>887.962004991139</v>
      </c>
      <c r="C2160" s="116">
        <v>873.59065107276194</v>
      </c>
      <c r="D2160" s="116">
        <v>870.18301045294004</v>
      </c>
      <c r="E2160" s="116">
        <v>887.962004991139</v>
      </c>
      <c r="F2160" s="116">
        <v>884.45</v>
      </c>
      <c r="G2160">
        <v>60501</v>
      </c>
      <c r="H2160" s="116"/>
      <c r="I2160" s="116"/>
      <c r="L2160" s="170">
        <v>45183</v>
      </c>
      <c r="M2160" s="116">
        <v>873.69031818677104</v>
      </c>
      <c r="N2160" s="116">
        <v>886.67887472303903</v>
      </c>
      <c r="O2160" s="116">
        <v>870.18390178344396</v>
      </c>
      <c r="P2160" s="116">
        <v>884.01202281065002</v>
      </c>
      <c r="Q2160" s="116">
        <v>884.55</v>
      </c>
      <c r="R2160">
        <v>2205160</v>
      </c>
    </row>
    <row r="2161" spans="1:18" x14ac:dyDescent="0.25">
      <c r="A2161" s="170">
        <v>45184</v>
      </c>
      <c r="B2161" s="116">
        <v>877.09706388446205</v>
      </c>
      <c r="C2161" s="116">
        <v>865.046856475239</v>
      </c>
      <c r="D2161" s="116">
        <v>863.02202654172197</v>
      </c>
      <c r="E2161" s="116">
        <v>875.91179758191595</v>
      </c>
      <c r="F2161" s="116">
        <v>875.8</v>
      </c>
      <c r="G2161">
        <v>29403</v>
      </c>
      <c r="H2161" s="116"/>
      <c r="I2161" s="116"/>
      <c r="L2161" s="170">
        <v>45184</v>
      </c>
      <c r="M2161" s="116">
        <v>865.14651483781904</v>
      </c>
      <c r="N2161" s="116">
        <v>878.82647742544805</v>
      </c>
      <c r="O2161" s="116">
        <v>862.77597980458404</v>
      </c>
      <c r="P2161" s="116">
        <v>876.65348697831496</v>
      </c>
      <c r="Q2161" s="116">
        <v>875.9</v>
      </c>
      <c r="R2161">
        <v>1104866</v>
      </c>
    </row>
    <row r="2162" spans="1:18" x14ac:dyDescent="0.25">
      <c r="A2162" s="170">
        <v>45187</v>
      </c>
      <c r="B2162" s="116">
        <v>874.77591737530895</v>
      </c>
      <c r="C2162" s="116">
        <v>869.78792168542498</v>
      </c>
      <c r="D2162" s="116">
        <v>866.42966716154297</v>
      </c>
      <c r="E2162" s="116">
        <v>871.17073237172895</v>
      </c>
      <c r="F2162" s="116">
        <v>880.6</v>
      </c>
      <c r="G2162">
        <v>30248</v>
      </c>
      <c r="H2162" s="116"/>
      <c r="I2162" s="116"/>
      <c r="L2162" s="170">
        <v>45187</v>
      </c>
      <c r="M2162" s="116">
        <v>870.13451563691797</v>
      </c>
      <c r="N2162" s="116">
        <v>875.07313028949204</v>
      </c>
      <c r="O2162" s="116">
        <v>865.14651483781904</v>
      </c>
      <c r="P2162" s="116">
        <v>872.159347644474</v>
      </c>
      <c r="Q2162" s="116">
        <v>880.95</v>
      </c>
      <c r="R2162">
        <v>1084407</v>
      </c>
    </row>
    <row r="2163" spans="1:18" x14ac:dyDescent="0.25">
      <c r="A2163" s="170">
        <v>45189</v>
      </c>
      <c r="B2163" s="116">
        <v>869.83730778136396</v>
      </c>
      <c r="C2163" s="116">
        <v>858.82420838686903</v>
      </c>
      <c r="D2163" s="116">
        <v>854.37945975232003</v>
      </c>
      <c r="E2163" s="116">
        <v>869.78792168542498</v>
      </c>
      <c r="F2163" s="116">
        <v>869.5</v>
      </c>
      <c r="G2163">
        <v>23561</v>
      </c>
      <c r="H2163" s="116"/>
      <c r="I2163" s="116"/>
      <c r="L2163" s="170">
        <v>45189</v>
      </c>
      <c r="M2163" s="116">
        <v>859.02263266862803</v>
      </c>
      <c r="N2163" s="116">
        <v>870.085129490393</v>
      </c>
      <c r="O2163" s="116">
        <v>854.38033489520899</v>
      </c>
      <c r="P2163" s="116">
        <v>869.98635719734102</v>
      </c>
      <c r="Q2163" s="116">
        <v>869.7</v>
      </c>
      <c r="R2163">
        <v>924868</v>
      </c>
    </row>
    <row r="2164" spans="1:18" x14ac:dyDescent="0.25">
      <c r="A2164" s="170">
        <v>45190</v>
      </c>
      <c r="B2164" s="116">
        <v>863.26895702141906</v>
      </c>
      <c r="C2164" s="116">
        <v>860.45394955287099</v>
      </c>
      <c r="D2164" s="116">
        <v>851.11997742031701</v>
      </c>
      <c r="E2164" s="116">
        <v>858.82420838686903</v>
      </c>
      <c r="F2164" s="116">
        <v>871.15</v>
      </c>
      <c r="G2164">
        <v>16912</v>
      </c>
      <c r="H2164" s="116"/>
      <c r="I2164" s="116"/>
      <c r="L2164" s="170">
        <v>45190</v>
      </c>
      <c r="M2164" s="116">
        <v>860.30667247829695</v>
      </c>
      <c r="N2164" s="116">
        <v>863.26984126984098</v>
      </c>
      <c r="O2164" s="116">
        <v>850.62698775925298</v>
      </c>
      <c r="P2164" s="116">
        <v>858.33122661726804</v>
      </c>
      <c r="Q2164" s="116">
        <v>871</v>
      </c>
      <c r="R2164">
        <v>1165593</v>
      </c>
    </row>
    <row r="2165" spans="1:18" x14ac:dyDescent="0.25">
      <c r="A2165" s="170">
        <v>45191</v>
      </c>
      <c r="B2165" s="116">
        <v>879.07250772203997</v>
      </c>
      <c r="C2165" s="116">
        <v>866.72598373717994</v>
      </c>
      <c r="D2165" s="116">
        <v>859.318069346264</v>
      </c>
      <c r="E2165" s="116">
        <v>861.19474099196202</v>
      </c>
      <c r="F2165" s="116">
        <v>877.5</v>
      </c>
      <c r="G2165">
        <v>90874</v>
      </c>
      <c r="H2165" s="116"/>
      <c r="I2165" s="116"/>
      <c r="L2165" s="170">
        <v>45191</v>
      </c>
      <c r="M2165" s="116">
        <v>866.973802259271</v>
      </c>
      <c r="N2165" s="116">
        <v>878.925249718499</v>
      </c>
      <c r="O2165" s="116">
        <v>859.36833569430803</v>
      </c>
      <c r="P2165" s="116">
        <v>860.30667247829695</v>
      </c>
      <c r="Q2165" s="116">
        <v>877.75</v>
      </c>
      <c r="R2165">
        <v>1518828</v>
      </c>
    </row>
    <row r="2166" spans="1:18" x14ac:dyDescent="0.25">
      <c r="A2166" s="170">
        <v>45194</v>
      </c>
      <c r="B2166" s="116">
        <v>894.28342527138705</v>
      </c>
      <c r="C2166" s="116">
        <v>890.33253759623199</v>
      </c>
      <c r="D2166" s="116">
        <v>860.10824688129503</v>
      </c>
      <c r="E2166" s="116">
        <v>871.17073237172895</v>
      </c>
      <c r="F2166" s="116">
        <v>901.4</v>
      </c>
      <c r="G2166">
        <v>77348</v>
      </c>
      <c r="H2166" s="116"/>
      <c r="I2166" s="116"/>
      <c r="L2166" s="170">
        <v>45194</v>
      </c>
      <c r="M2166" s="116">
        <v>889.543271221532</v>
      </c>
      <c r="N2166" s="116">
        <v>894.48188587410596</v>
      </c>
      <c r="O2166" s="116">
        <v>859.86219715956599</v>
      </c>
      <c r="P2166" s="116">
        <v>871.12223856743299</v>
      </c>
      <c r="Q2166" s="116">
        <v>900.6</v>
      </c>
      <c r="R2166">
        <v>2700627</v>
      </c>
    </row>
    <row r="2167" spans="1:18" x14ac:dyDescent="0.25">
      <c r="A2167" s="170">
        <v>45195</v>
      </c>
      <c r="B2167" s="116">
        <v>898.62940171405796</v>
      </c>
      <c r="C2167" s="116">
        <v>884.60375046725699</v>
      </c>
      <c r="D2167" s="116">
        <v>881.29488203931498</v>
      </c>
      <c r="E2167" s="116">
        <v>893.93772259981097</v>
      </c>
      <c r="F2167" s="116">
        <v>895.6</v>
      </c>
      <c r="G2167">
        <v>161798</v>
      </c>
      <c r="H2167" s="116"/>
      <c r="I2167" s="116"/>
      <c r="L2167" s="170">
        <v>45195</v>
      </c>
      <c r="M2167" s="116">
        <v>884.20956739675296</v>
      </c>
      <c r="N2167" s="116">
        <v>898.72909447531902</v>
      </c>
      <c r="O2167" s="116">
        <v>880.55499255384802</v>
      </c>
      <c r="P2167" s="116">
        <v>896.45733173513497</v>
      </c>
      <c r="Q2167" s="116">
        <v>895.2</v>
      </c>
      <c r="R2167">
        <v>2064298</v>
      </c>
    </row>
    <row r="2168" spans="1:18" x14ac:dyDescent="0.25">
      <c r="A2168" s="170">
        <v>45196</v>
      </c>
      <c r="B2168" s="116">
        <v>892.60429800944701</v>
      </c>
      <c r="C2168" s="116">
        <v>877.73908313167499</v>
      </c>
      <c r="D2168" s="116">
        <v>876.01056977379403</v>
      </c>
      <c r="E2168" s="116">
        <v>887.962004991139</v>
      </c>
      <c r="F2168" s="116">
        <v>888.65</v>
      </c>
      <c r="G2168">
        <v>72143</v>
      </c>
      <c r="H2168" s="116"/>
      <c r="I2168" s="116"/>
      <c r="L2168" s="170">
        <v>45196</v>
      </c>
      <c r="M2168" s="116">
        <v>877.93752678798398</v>
      </c>
      <c r="N2168" s="116">
        <v>892.90152918528202</v>
      </c>
      <c r="O2168" s="116">
        <v>876.01146707348096</v>
      </c>
      <c r="P2168" s="116">
        <v>887.96291453270896</v>
      </c>
      <c r="Q2168" s="116">
        <v>888.85</v>
      </c>
      <c r="R2168">
        <v>1233749</v>
      </c>
    </row>
    <row r="2169" spans="1:18" x14ac:dyDescent="0.25">
      <c r="A2169" s="170">
        <v>45197</v>
      </c>
      <c r="B2169" s="116">
        <v>886.826124784532</v>
      </c>
      <c r="C2169" s="116">
        <v>866.82475592905905</v>
      </c>
      <c r="D2169" s="116">
        <v>860.20701907317402</v>
      </c>
      <c r="E2169" s="116">
        <v>886.826124784532</v>
      </c>
      <c r="F2169" s="116">
        <v>877.6</v>
      </c>
      <c r="G2169">
        <v>33874</v>
      </c>
      <c r="H2169" s="116"/>
      <c r="I2169" s="116"/>
      <c r="L2169" s="170">
        <v>45197</v>
      </c>
      <c r="M2169" s="116">
        <v>865.73914859612796</v>
      </c>
      <c r="N2169" s="116">
        <v>884.99974574116402</v>
      </c>
      <c r="O2169" s="116">
        <v>859.41772184083402</v>
      </c>
      <c r="P2169" s="116">
        <v>883.81447822454697</v>
      </c>
      <c r="Q2169" s="116">
        <v>876.5</v>
      </c>
      <c r="R2169">
        <v>1801983</v>
      </c>
    </row>
    <row r="2170" spans="1:18" x14ac:dyDescent="0.25">
      <c r="A2170" s="170">
        <v>45198</v>
      </c>
      <c r="B2170" s="116">
        <v>875.07223395094502</v>
      </c>
      <c r="C2170" s="116">
        <v>865.98519229808801</v>
      </c>
      <c r="D2170" s="116">
        <v>862.57755167826701</v>
      </c>
      <c r="E2170" s="116">
        <v>869.491605109788</v>
      </c>
      <c r="F2170" s="116">
        <v>876.75</v>
      </c>
      <c r="G2170">
        <v>46000</v>
      </c>
      <c r="H2170" s="116"/>
      <c r="I2170" s="116"/>
      <c r="L2170" s="170">
        <v>45198</v>
      </c>
      <c r="M2170" s="116">
        <v>866.13423776833395</v>
      </c>
      <c r="N2170" s="116">
        <v>875.02374414296605</v>
      </c>
      <c r="O2170" s="116">
        <v>862.97352439068698</v>
      </c>
      <c r="P2170" s="116">
        <v>875.02374414296605</v>
      </c>
      <c r="Q2170" s="116">
        <v>876.9</v>
      </c>
      <c r="R2170">
        <v>817204</v>
      </c>
    </row>
    <row r="2171" spans="1:18" x14ac:dyDescent="0.25">
      <c r="A2171" s="170">
        <v>45202</v>
      </c>
      <c r="B2171" s="116">
        <v>868.65204147881798</v>
      </c>
      <c r="C2171" s="116">
        <v>861.68860195135699</v>
      </c>
      <c r="D2171" s="116">
        <v>853.44112392947</v>
      </c>
      <c r="E2171" s="116">
        <v>862.28123510263003</v>
      </c>
      <c r="F2171" s="116">
        <v>872.4</v>
      </c>
      <c r="G2171">
        <v>15663</v>
      </c>
      <c r="H2171" s="116"/>
      <c r="I2171" s="116"/>
      <c r="L2171" s="170">
        <v>45202</v>
      </c>
      <c r="M2171" s="116">
        <v>861.19562311575999</v>
      </c>
      <c r="N2171" s="116">
        <v>868.75170353419799</v>
      </c>
      <c r="O2171" s="116">
        <v>853.49138425774595</v>
      </c>
      <c r="P2171" s="116">
        <v>859.31894954778204</v>
      </c>
      <c r="Q2171" s="116">
        <v>871.9</v>
      </c>
      <c r="R2171">
        <v>1183376</v>
      </c>
    </row>
    <row r="2172" spans="1:18" x14ac:dyDescent="0.25">
      <c r="A2172" s="170">
        <v>45203</v>
      </c>
      <c r="B2172" s="116">
        <v>859.12052496250601</v>
      </c>
      <c r="C2172" s="116">
        <v>853.83621269698597</v>
      </c>
      <c r="D2172" s="116">
        <v>844.50224056443199</v>
      </c>
      <c r="E2172" s="116">
        <v>855.41656776704804</v>
      </c>
      <c r="F2172" s="116">
        <v>864.45</v>
      </c>
      <c r="G2172">
        <v>71121</v>
      </c>
      <c r="H2172" s="116"/>
      <c r="I2172" s="116"/>
      <c r="L2172" s="170">
        <v>45203</v>
      </c>
      <c r="M2172" s="116">
        <v>854.13340416257995</v>
      </c>
      <c r="N2172" s="116">
        <v>859.17079110820498</v>
      </c>
      <c r="O2172" s="116">
        <v>844.50310559006198</v>
      </c>
      <c r="P2172" s="116">
        <v>856.355780756238</v>
      </c>
      <c r="Q2172" s="116">
        <v>864.75</v>
      </c>
      <c r="R2172">
        <v>623081</v>
      </c>
    </row>
    <row r="2173" spans="1:18" x14ac:dyDescent="0.25">
      <c r="A2173" s="170">
        <v>45204</v>
      </c>
      <c r="B2173" s="116">
        <v>858.33034742747498</v>
      </c>
      <c r="C2173" s="116">
        <v>849.49023625431505</v>
      </c>
      <c r="D2173" s="116">
        <v>847.46540632079802</v>
      </c>
      <c r="E2173" s="116">
        <v>854.42884584825902</v>
      </c>
      <c r="F2173" s="116">
        <v>860.05</v>
      </c>
      <c r="G2173">
        <v>15757</v>
      </c>
      <c r="H2173" s="116"/>
      <c r="I2173" s="116"/>
      <c r="L2173" s="170">
        <v>45204</v>
      </c>
      <c r="M2173" s="116">
        <v>849.63926482873899</v>
      </c>
      <c r="N2173" s="116">
        <v>858.57815734989697</v>
      </c>
      <c r="O2173" s="116">
        <v>846.97241291634896</v>
      </c>
      <c r="P2173" s="116">
        <v>855.41744397224898</v>
      </c>
      <c r="Q2173" s="116">
        <v>860.2</v>
      </c>
      <c r="R2173">
        <v>749977</v>
      </c>
    </row>
    <row r="2174" spans="1:18" x14ac:dyDescent="0.25">
      <c r="A2174" s="170">
        <v>45205</v>
      </c>
      <c r="B2174" s="116">
        <v>866.23212277778498</v>
      </c>
      <c r="C2174" s="116">
        <v>863.762817980813</v>
      </c>
      <c r="D2174" s="116">
        <v>851.31752180407398</v>
      </c>
      <c r="E2174" s="116">
        <v>851.31752180407398</v>
      </c>
      <c r="F2174" s="116">
        <v>874.5</v>
      </c>
      <c r="G2174">
        <v>22637</v>
      </c>
      <c r="H2174" s="116"/>
      <c r="I2174" s="116"/>
      <c r="L2174" s="170">
        <v>45205</v>
      </c>
      <c r="M2174" s="116">
        <v>864.01063346772696</v>
      </c>
      <c r="N2174" s="116">
        <v>866.72687152664298</v>
      </c>
      <c r="O2174" s="116">
        <v>850.42944317315005</v>
      </c>
      <c r="P2174" s="116">
        <v>850.42944317315005</v>
      </c>
      <c r="Q2174" s="116">
        <v>874.75</v>
      </c>
      <c r="R2174">
        <v>960117</v>
      </c>
    </row>
    <row r="2175" spans="1:18" x14ac:dyDescent="0.25">
      <c r="A2175" s="170">
        <v>45208</v>
      </c>
      <c r="B2175" s="116">
        <v>873.096790113368</v>
      </c>
      <c r="C2175" s="116">
        <v>868.80019976663596</v>
      </c>
      <c r="D2175" s="116">
        <v>855.56472605486601</v>
      </c>
      <c r="E2175" s="116">
        <v>862.23184900669105</v>
      </c>
      <c r="F2175" s="116">
        <v>879.6</v>
      </c>
      <c r="G2175">
        <v>25287</v>
      </c>
      <c r="H2175" s="116"/>
      <c r="I2175" s="116"/>
      <c r="L2175" s="170">
        <v>45208</v>
      </c>
      <c r="M2175" s="116">
        <v>869.83819875776396</v>
      </c>
      <c r="N2175" s="116">
        <v>872.99891213541105</v>
      </c>
      <c r="O2175" s="116">
        <v>856.15823617013496</v>
      </c>
      <c r="P2175" s="116">
        <v>857.34350368675302</v>
      </c>
      <c r="Q2175" s="116">
        <v>880.65</v>
      </c>
      <c r="R2175">
        <v>1200788</v>
      </c>
    </row>
    <row r="2176" spans="1:18" x14ac:dyDescent="0.25">
      <c r="A2176" s="170">
        <v>45209</v>
      </c>
      <c r="B2176" s="116">
        <v>881.34426813525397</v>
      </c>
      <c r="C2176" s="116">
        <v>877.640310939796</v>
      </c>
      <c r="D2176" s="116">
        <v>871.17073237172895</v>
      </c>
      <c r="E2176" s="116">
        <v>877.04767778852295</v>
      </c>
      <c r="F2176" s="116">
        <v>888.55</v>
      </c>
      <c r="G2176">
        <v>30093</v>
      </c>
      <c r="H2176" s="116"/>
      <c r="I2176" s="116"/>
      <c r="L2176" s="170">
        <v>45209</v>
      </c>
      <c r="M2176" s="116">
        <v>877.83875449493303</v>
      </c>
      <c r="N2176" s="116">
        <v>881.44394319131197</v>
      </c>
      <c r="O2176" s="116">
        <v>870.92469398133005</v>
      </c>
      <c r="P2176" s="116">
        <v>874.13479350550301</v>
      </c>
      <c r="Q2176" s="116">
        <v>888.75</v>
      </c>
      <c r="R2176">
        <v>870512</v>
      </c>
    </row>
    <row r="2177" spans="1:18" x14ac:dyDescent="0.25">
      <c r="A2177" s="170">
        <v>45210</v>
      </c>
      <c r="B2177" s="116">
        <v>885.98656115356096</v>
      </c>
      <c r="C2177" s="116">
        <v>877.59092484385701</v>
      </c>
      <c r="D2177" s="116">
        <v>875.31916443064199</v>
      </c>
      <c r="E2177" s="116">
        <v>879.31943820173694</v>
      </c>
      <c r="F2177" s="116">
        <v>888.5</v>
      </c>
      <c r="G2177">
        <v>113980</v>
      </c>
      <c r="H2177" s="116"/>
      <c r="I2177" s="116"/>
      <c r="L2177" s="170">
        <v>45210</v>
      </c>
      <c r="M2177" s="116">
        <v>877.49305146925303</v>
      </c>
      <c r="N2177" s="116">
        <v>886.18501325778197</v>
      </c>
      <c r="O2177" s="116">
        <v>875.32006102212097</v>
      </c>
      <c r="P2177" s="116">
        <v>884.01202281065002</v>
      </c>
      <c r="Q2177" s="116">
        <v>888.4</v>
      </c>
      <c r="R2177">
        <v>1062565</v>
      </c>
    </row>
    <row r="2178" spans="1:18" x14ac:dyDescent="0.25">
      <c r="A2178" s="170">
        <v>45211</v>
      </c>
      <c r="B2178" s="116">
        <v>882.97400930125605</v>
      </c>
      <c r="C2178" s="116">
        <v>880.99856546367801</v>
      </c>
      <c r="D2178" s="116">
        <v>871.71397942706301</v>
      </c>
      <c r="E2178" s="116">
        <v>874.18328422403499</v>
      </c>
      <c r="F2178" s="116">
        <v>891.95</v>
      </c>
      <c r="G2178">
        <v>34527</v>
      </c>
      <c r="H2178" s="116"/>
      <c r="I2178" s="116"/>
      <c r="L2178" s="170">
        <v>45211</v>
      </c>
      <c r="M2178" s="116">
        <v>881.39455704478598</v>
      </c>
      <c r="N2178" s="116">
        <v>883.17245831971195</v>
      </c>
      <c r="O2178" s="116">
        <v>872.35689223057602</v>
      </c>
      <c r="P2178" s="116">
        <v>877.98691293450997</v>
      </c>
      <c r="Q2178" s="116">
        <v>892.35</v>
      </c>
      <c r="R2178">
        <v>775364</v>
      </c>
    </row>
    <row r="2179" spans="1:18" x14ac:dyDescent="0.25">
      <c r="A2179" s="170">
        <v>45212</v>
      </c>
      <c r="B2179" s="116">
        <v>906.43240487249</v>
      </c>
      <c r="C2179" s="116">
        <v>902.13581452575897</v>
      </c>
      <c r="D2179" s="116">
        <v>877.39338046009902</v>
      </c>
      <c r="E2179" s="116">
        <v>880.06022964082899</v>
      </c>
      <c r="F2179" s="116">
        <v>913.35</v>
      </c>
      <c r="G2179">
        <v>138391</v>
      </c>
      <c r="H2179" s="116"/>
      <c r="I2179" s="116"/>
      <c r="L2179" s="170">
        <v>45212</v>
      </c>
      <c r="M2179" s="116">
        <v>902.136738585594</v>
      </c>
      <c r="N2179" s="116">
        <v>906.72965021248797</v>
      </c>
      <c r="O2179" s="116">
        <v>877.93752678798398</v>
      </c>
      <c r="P2179" s="116">
        <v>879.32033889070499</v>
      </c>
      <c r="Q2179" s="116">
        <v>913.35</v>
      </c>
      <c r="R2179">
        <v>5120134</v>
      </c>
    </row>
    <row r="2180" spans="1:18" x14ac:dyDescent="0.25">
      <c r="A2180" s="170">
        <v>45215</v>
      </c>
      <c r="B2180" s="116">
        <v>905.24713856994299</v>
      </c>
      <c r="C2180" s="116">
        <v>896.70334397242004</v>
      </c>
      <c r="D2180" s="116">
        <v>894.28342527138705</v>
      </c>
      <c r="E2180" s="116">
        <v>903.91371397957801</v>
      </c>
      <c r="F2180" s="116">
        <v>907.85</v>
      </c>
      <c r="G2180">
        <v>72597</v>
      </c>
      <c r="H2180" s="116"/>
      <c r="I2180" s="116"/>
      <c r="L2180" s="170">
        <v>45215</v>
      </c>
      <c r="M2180" s="116">
        <v>897.44505466564999</v>
      </c>
      <c r="N2180" s="116">
        <v>906.53210562638503</v>
      </c>
      <c r="O2180" s="116">
        <v>894.92636119283702</v>
      </c>
      <c r="P2180" s="116">
        <v>906.53210562638503</v>
      </c>
      <c r="Q2180" s="116">
        <v>908.6</v>
      </c>
      <c r="R2180">
        <v>1524935</v>
      </c>
    </row>
    <row r="2181" spans="1:18" x14ac:dyDescent="0.25">
      <c r="A2181" s="170">
        <v>45216</v>
      </c>
      <c r="B2181" s="116">
        <v>916.60594063601502</v>
      </c>
      <c r="C2181" s="116">
        <v>896.60457178054105</v>
      </c>
      <c r="D2181" s="116">
        <v>894.53035575108504</v>
      </c>
      <c r="E2181" s="116">
        <v>902.67906158109201</v>
      </c>
      <c r="F2181" s="116">
        <v>907.75</v>
      </c>
      <c r="G2181">
        <v>63090</v>
      </c>
      <c r="H2181" s="116"/>
      <c r="I2181" s="116"/>
      <c r="L2181" s="170">
        <v>45216</v>
      </c>
      <c r="M2181" s="116">
        <v>896.70426246776401</v>
      </c>
      <c r="N2181" s="116">
        <v>916.60687951763498</v>
      </c>
      <c r="O2181" s="116">
        <v>894.03741055537398</v>
      </c>
      <c r="P2181" s="116">
        <v>900.85269877592498</v>
      </c>
      <c r="Q2181" s="116">
        <v>907.85</v>
      </c>
      <c r="R2181">
        <v>3228492</v>
      </c>
    </row>
    <row r="2182" spans="1:18" x14ac:dyDescent="0.25">
      <c r="A2182" s="170">
        <v>45217</v>
      </c>
      <c r="B2182" s="116">
        <v>903.71616959582104</v>
      </c>
      <c r="C2182" s="116">
        <v>884.99883923477296</v>
      </c>
      <c r="D2182" s="116">
        <v>881.73935690277006</v>
      </c>
      <c r="E2182" s="116">
        <v>903.71616959582104</v>
      </c>
      <c r="F2182" s="116">
        <v>896</v>
      </c>
      <c r="G2182">
        <v>37464</v>
      </c>
      <c r="H2182" s="116"/>
      <c r="I2182" s="116"/>
      <c r="L2182" s="170">
        <v>45217</v>
      </c>
      <c r="M2182" s="116">
        <v>884.70342886201001</v>
      </c>
      <c r="N2182" s="116">
        <v>903.76648142094405</v>
      </c>
      <c r="O2182" s="116">
        <v>881.14762631215694</v>
      </c>
      <c r="P2182" s="116">
        <v>901.24778794813096</v>
      </c>
      <c r="Q2182" s="116">
        <v>895.7</v>
      </c>
      <c r="R2182">
        <v>1218914</v>
      </c>
    </row>
    <row r="2183" spans="1:18" x14ac:dyDescent="0.25">
      <c r="A2183" s="170">
        <v>45218</v>
      </c>
      <c r="B2183" s="116">
        <v>889.147271293686</v>
      </c>
      <c r="C2183" s="116">
        <v>883.81357293222595</v>
      </c>
      <c r="D2183" s="116">
        <v>868.15818051942301</v>
      </c>
      <c r="E2183" s="116">
        <v>884.70252265913598</v>
      </c>
      <c r="F2183" s="116">
        <v>894.8</v>
      </c>
      <c r="G2183">
        <v>58904</v>
      </c>
      <c r="H2183" s="116"/>
      <c r="I2183" s="116"/>
      <c r="L2183" s="170">
        <v>45218</v>
      </c>
      <c r="M2183" s="116">
        <v>884.40711198285601</v>
      </c>
      <c r="N2183" s="116">
        <v>889.34572663542895</v>
      </c>
      <c r="O2183" s="116">
        <v>868.25784206894002</v>
      </c>
      <c r="P2183" s="116">
        <v>884.99974574116402</v>
      </c>
      <c r="Q2183" s="116">
        <v>895.4</v>
      </c>
      <c r="R2183">
        <v>1430475</v>
      </c>
    </row>
    <row r="2184" spans="1:18" x14ac:dyDescent="0.25">
      <c r="A2184" s="170">
        <v>45219</v>
      </c>
      <c r="B2184" s="116">
        <v>890.97455684344504</v>
      </c>
      <c r="C2184" s="116">
        <v>888.20893547083597</v>
      </c>
      <c r="D2184" s="116">
        <v>878.08478580325095</v>
      </c>
      <c r="E2184" s="116">
        <v>882.97400930125605</v>
      </c>
      <c r="F2184" s="116">
        <v>899.25</v>
      </c>
      <c r="G2184">
        <v>18537</v>
      </c>
      <c r="H2184" s="116"/>
      <c r="I2184" s="116"/>
      <c r="L2184" s="170">
        <v>45219</v>
      </c>
      <c r="M2184" s="116">
        <v>887.91352838618297</v>
      </c>
      <c r="N2184" s="116">
        <v>890.72853873814995</v>
      </c>
      <c r="O2184" s="116">
        <v>877.73998220188196</v>
      </c>
      <c r="P2184" s="116">
        <v>880.99946787258</v>
      </c>
      <c r="Q2184" s="116">
        <v>898.95</v>
      </c>
      <c r="R2184">
        <v>2295312</v>
      </c>
    </row>
    <row r="2185" spans="1:18" x14ac:dyDescent="0.25">
      <c r="A2185" s="170">
        <v>45222</v>
      </c>
      <c r="B2185" s="116">
        <v>894.77728623078201</v>
      </c>
      <c r="C2185" s="116">
        <v>871.911523810821</v>
      </c>
      <c r="D2185" s="116">
        <v>869.19528853415204</v>
      </c>
      <c r="E2185" s="116">
        <v>888.90034081398801</v>
      </c>
      <c r="F2185" s="116">
        <v>882.75</v>
      </c>
      <c r="G2185">
        <v>69307</v>
      </c>
      <c r="H2185" s="116"/>
      <c r="I2185" s="116"/>
      <c r="L2185" s="170">
        <v>45222</v>
      </c>
      <c r="M2185" s="116">
        <v>872.25811993752495</v>
      </c>
      <c r="N2185" s="116">
        <v>894.92636119283702</v>
      </c>
      <c r="O2185" s="116">
        <v>869.44310958555798</v>
      </c>
      <c r="P2185" s="116">
        <v>887.71598380008004</v>
      </c>
      <c r="Q2185" s="116">
        <v>883.1</v>
      </c>
      <c r="R2185">
        <v>973113</v>
      </c>
    </row>
    <row r="2186" spans="1:18" x14ac:dyDescent="0.25">
      <c r="A2186" s="170">
        <v>45224</v>
      </c>
      <c r="B2186" s="116">
        <v>883.02339539719503</v>
      </c>
      <c r="C2186" s="116">
        <v>879.07250772203997</v>
      </c>
      <c r="D2186" s="116">
        <v>871.17073237172895</v>
      </c>
      <c r="E2186" s="116">
        <v>871.17073237172895</v>
      </c>
      <c r="F2186" s="116">
        <v>890</v>
      </c>
      <c r="G2186">
        <v>91813</v>
      </c>
      <c r="H2186" s="116"/>
      <c r="I2186" s="116"/>
      <c r="L2186" s="170">
        <v>45224</v>
      </c>
      <c r="M2186" s="116">
        <v>879.07340815807595</v>
      </c>
      <c r="N2186" s="116">
        <v>883.46877519886698</v>
      </c>
      <c r="O2186" s="116">
        <v>871.51732773963897</v>
      </c>
      <c r="P2186" s="116">
        <v>872.455664523628</v>
      </c>
      <c r="Q2186" s="116">
        <v>890</v>
      </c>
      <c r="R2186">
        <v>1531972</v>
      </c>
    </row>
    <row r="2187" spans="1:18" x14ac:dyDescent="0.25">
      <c r="A2187" s="170">
        <v>45225</v>
      </c>
      <c r="B2187" s="116">
        <v>879.02312162609996</v>
      </c>
      <c r="C2187" s="116">
        <v>869.54099120572801</v>
      </c>
      <c r="D2187" s="116">
        <v>861.14535489602304</v>
      </c>
      <c r="E2187" s="116">
        <v>879.02312162609996</v>
      </c>
      <c r="F2187" s="116">
        <v>880.35</v>
      </c>
      <c r="G2187">
        <v>266445</v>
      </c>
      <c r="H2187" s="116"/>
      <c r="I2187" s="116"/>
      <c r="L2187" s="170">
        <v>45225</v>
      </c>
      <c r="M2187" s="116">
        <v>869.54188187860996</v>
      </c>
      <c r="N2187" s="116">
        <v>876.06085322000695</v>
      </c>
      <c r="O2187" s="116">
        <v>861.29439540881197</v>
      </c>
      <c r="P2187" s="116">
        <v>872.40627837710201</v>
      </c>
      <c r="Q2187" s="116">
        <v>880.35</v>
      </c>
      <c r="R2187">
        <v>1966650</v>
      </c>
    </row>
    <row r="2188" spans="1:18" x14ac:dyDescent="0.25">
      <c r="A2188" s="170">
        <v>45226</v>
      </c>
      <c r="B2188" s="116">
        <v>883.56664245252898</v>
      </c>
      <c r="C2188" s="116">
        <v>879.41821039361605</v>
      </c>
      <c r="D2188" s="116">
        <v>866.23212277778498</v>
      </c>
      <c r="E2188" s="116">
        <v>870.28178264481903</v>
      </c>
      <c r="F2188" s="116">
        <v>890.35</v>
      </c>
      <c r="G2188">
        <v>29223</v>
      </c>
      <c r="H2188" s="116"/>
      <c r="I2188" s="116"/>
      <c r="L2188" s="170">
        <v>45226</v>
      </c>
      <c r="M2188" s="116">
        <v>880.15990338164204</v>
      </c>
      <c r="N2188" s="116">
        <v>883.51816134539297</v>
      </c>
      <c r="O2188" s="116">
        <v>865.24528713087102</v>
      </c>
      <c r="P2188" s="116">
        <v>869.19617885292905</v>
      </c>
      <c r="Q2188" s="116">
        <v>891.1</v>
      </c>
      <c r="R2188">
        <v>797507</v>
      </c>
    </row>
    <row r="2189" spans="1:18" x14ac:dyDescent="0.25">
      <c r="A2189" s="170">
        <v>45229</v>
      </c>
      <c r="B2189" s="116">
        <v>884.01111731598405</v>
      </c>
      <c r="C2189" s="116">
        <v>882.38137614998197</v>
      </c>
      <c r="D2189" s="116">
        <v>869.44221901384901</v>
      </c>
      <c r="E2189" s="116">
        <v>875.07223395094502</v>
      </c>
      <c r="F2189" s="116">
        <v>893.35</v>
      </c>
      <c r="G2189">
        <v>15135</v>
      </c>
      <c r="H2189" s="116"/>
      <c r="I2189" s="116"/>
      <c r="L2189" s="170">
        <v>45229</v>
      </c>
      <c r="M2189" s="116">
        <v>882.57982456140303</v>
      </c>
      <c r="N2189" s="116">
        <v>884.99974574116402</v>
      </c>
      <c r="O2189" s="116">
        <v>869.39372343903199</v>
      </c>
      <c r="P2189" s="116">
        <v>875.12251643601803</v>
      </c>
      <c r="Q2189" s="116">
        <v>893.55</v>
      </c>
      <c r="R2189">
        <v>1147541</v>
      </c>
    </row>
    <row r="2190" spans="1:18" x14ac:dyDescent="0.25">
      <c r="A2190" s="170">
        <v>45230</v>
      </c>
      <c r="B2190" s="116">
        <v>892.60429800944701</v>
      </c>
      <c r="C2190" s="116">
        <v>889.54236006120095</v>
      </c>
      <c r="D2190" s="116">
        <v>879.91207135300999</v>
      </c>
      <c r="E2190" s="116">
        <v>892.60429800944701</v>
      </c>
      <c r="F2190" s="116">
        <v>900.6</v>
      </c>
      <c r="G2190">
        <v>57359</v>
      </c>
      <c r="H2190" s="116"/>
      <c r="I2190" s="116"/>
      <c r="L2190" s="170">
        <v>45230</v>
      </c>
      <c r="M2190" s="116">
        <v>889.44449892848104</v>
      </c>
      <c r="N2190" s="116">
        <v>892.30889542697298</v>
      </c>
      <c r="O2190" s="116">
        <v>881.04885401910599</v>
      </c>
      <c r="P2190" s="116">
        <v>888.45677599796602</v>
      </c>
      <c r="Q2190" s="116">
        <v>900.5</v>
      </c>
      <c r="R2190">
        <v>1082510</v>
      </c>
    </row>
    <row r="2191" spans="1:18" x14ac:dyDescent="0.25">
      <c r="A2191" s="170">
        <v>45231</v>
      </c>
      <c r="B2191" s="116">
        <v>908.65477918976501</v>
      </c>
      <c r="C2191" s="116">
        <v>891.91289266629406</v>
      </c>
      <c r="D2191" s="116">
        <v>884.25804779568102</v>
      </c>
      <c r="E2191" s="116">
        <v>892.95000068102297</v>
      </c>
      <c r="F2191" s="116">
        <v>903</v>
      </c>
      <c r="G2191">
        <v>109420</v>
      </c>
      <c r="H2191" s="116"/>
      <c r="I2191" s="116"/>
      <c r="L2191" s="170">
        <v>45231</v>
      </c>
      <c r="M2191" s="116">
        <v>892.06196469434497</v>
      </c>
      <c r="N2191" s="116">
        <v>908.70509607351698</v>
      </c>
      <c r="O2191" s="116">
        <v>884.70342886201001</v>
      </c>
      <c r="P2191" s="116">
        <v>894.87697504631103</v>
      </c>
      <c r="Q2191" s="116">
        <v>903.15</v>
      </c>
      <c r="R2191">
        <v>2678745</v>
      </c>
    </row>
    <row r="2192" spans="1:18" x14ac:dyDescent="0.25">
      <c r="A2192" s="170">
        <v>45232</v>
      </c>
      <c r="B2192" s="116">
        <v>906.38301877654999</v>
      </c>
      <c r="C2192" s="116">
        <v>899.567737536908</v>
      </c>
      <c r="D2192" s="116">
        <v>892.75245629726498</v>
      </c>
      <c r="E2192" s="116">
        <v>893.93772259981097</v>
      </c>
      <c r="F2192" s="116">
        <v>910.75</v>
      </c>
      <c r="G2192">
        <v>25869</v>
      </c>
      <c r="H2192" s="116"/>
      <c r="I2192" s="116"/>
      <c r="L2192" s="170">
        <v>45232</v>
      </c>
      <c r="M2192" s="116">
        <v>900.06252043151403</v>
      </c>
      <c r="N2192" s="116">
        <v>906.43333333333305</v>
      </c>
      <c r="O2192" s="116">
        <v>892.45705386655004</v>
      </c>
      <c r="P2192" s="116">
        <v>898.97602520794703</v>
      </c>
      <c r="Q2192" s="116">
        <v>911.25</v>
      </c>
      <c r="R2192">
        <v>1082513</v>
      </c>
    </row>
    <row r="2193" spans="1:18" x14ac:dyDescent="0.25">
      <c r="A2193" s="170">
        <v>45233</v>
      </c>
      <c r="B2193" s="116">
        <v>907.71644336691497</v>
      </c>
      <c r="C2193" s="116">
        <v>901.740725758243</v>
      </c>
      <c r="D2193" s="116">
        <v>900.11098459224104</v>
      </c>
      <c r="E2193" s="116">
        <v>900.80238993539399</v>
      </c>
      <c r="F2193" s="116">
        <v>912.95</v>
      </c>
      <c r="G2193">
        <v>19537</v>
      </c>
      <c r="H2193" s="116"/>
      <c r="I2193" s="116"/>
      <c r="L2193" s="170">
        <v>45233</v>
      </c>
      <c r="M2193" s="116">
        <v>902.48244161127502</v>
      </c>
      <c r="N2193" s="116">
        <v>908.01369002215699</v>
      </c>
      <c r="O2193" s="116">
        <v>900.06252043151403</v>
      </c>
      <c r="P2193" s="116">
        <v>900.80331262940001</v>
      </c>
      <c r="Q2193" s="116">
        <v>913.7</v>
      </c>
      <c r="R2193">
        <v>901911</v>
      </c>
    </row>
    <row r="2194" spans="1:18" x14ac:dyDescent="0.25">
      <c r="A2194" s="170">
        <v>45236</v>
      </c>
      <c r="B2194" s="116">
        <v>912.35873638522298</v>
      </c>
      <c r="C2194" s="116">
        <v>906.62994925624798</v>
      </c>
      <c r="D2194" s="116">
        <v>904.70389151460904</v>
      </c>
      <c r="E2194" s="116">
        <v>908.65477918976501</v>
      </c>
      <c r="F2194" s="116">
        <v>917.9</v>
      </c>
      <c r="G2194">
        <v>22402</v>
      </c>
      <c r="H2194" s="116"/>
      <c r="I2194" s="116"/>
      <c r="L2194" s="170">
        <v>45236</v>
      </c>
      <c r="M2194" s="116">
        <v>907.37167011732197</v>
      </c>
      <c r="N2194" s="116">
        <v>912.35967091642203</v>
      </c>
      <c r="O2194" s="116">
        <v>904.75420435145804</v>
      </c>
      <c r="P2194" s="116">
        <v>905.49499654934402</v>
      </c>
      <c r="Q2194" s="116">
        <v>918.65</v>
      </c>
      <c r="R2194">
        <v>742374</v>
      </c>
    </row>
    <row r="2195" spans="1:18" x14ac:dyDescent="0.25">
      <c r="A2195" s="170">
        <v>45237</v>
      </c>
      <c r="B2195" s="116">
        <v>912.65505296085905</v>
      </c>
      <c r="C2195" s="116">
        <v>910.58083693140304</v>
      </c>
      <c r="D2195" s="116">
        <v>901.98765623793997</v>
      </c>
      <c r="E2195" s="116">
        <v>907.76582946285498</v>
      </c>
      <c r="F2195" s="116">
        <v>921.9</v>
      </c>
      <c r="G2195">
        <v>112031</v>
      </c>
      <c r="H2195" s="116"/>
      <c r="I2195" s="116"/>
      <c r="L2195" s="170">
        <v>45237</v>
      </c>
      <c r="M2195" s="116">
        <v>910.72992808107199</v>
      </c>
      <c r="N2195" s="116">
        <v>912.35967091642203</v>
      </c>
      <c r="O2195" s="116">
        <v>901.79103555991401</v>
      </c>
      <c r="P2195" s="116">
        <v>908.70509607351698</v>
      </c>
      <c r="Q2195" s="116">
        <v>922.05</v>
      </c>
      <c r="R2195">
        <v>819721</v>
      </c>
    </row>
    <row r="2196" spans="1:18" x14ac:dyDescent="0.25">
      <c r="A2196" s="170">
        <v>45238</v>
      </c>
      <c r="B2196" s="116">
        <v>918.08752351419798</v>
      </c>
      <c r="C2196" s="116">
        <v>904.90143589836703</v>
      </c>
      <c r="D2196" s="116">
        <v>902.77783377297101</v>
      </c>
      <c r="E2196" s="116">
        <v>910.58083693140304</v>
      </c>
      <c r="F2196" s="116">
        <v>916.15</v>
      </c>
      <c r="G2196">
        <v>18179</v>
      </c>
      <c r="H2196" s="116"/>
      <c r="I2196" s="116"/>
      <c r="L2196" s="170">
        <v>45238</v>
      </c>
      <c r="M2196" s="116">
        <v>905.05052123061296</v>
      </c>
      <c r="N2196" s="116">
        <v>918.03907776688095</v>
      </c>
      <c r="O2196" s="116">
        <v>902.92691693000597</v>
      </c>
      <c r="P2196" s="116">
        <v>911.17440339980396</v>
      </c>
      <c r="Q2196" s="116">
        <v>916.3</v>
      </c>
      <c r="R2196">
        <v>1090425</v>
      </c>
    </row>
    <row r="2197" spans="1:18" x14ac:dyDescent="0.25">
      <c r="A2197" s="170">
        <v>45239</v>
      </c>
      <c r="B2197" s="116">
        <v>908.65477918976501</v>
      </c>
      <c r="C2197" s="116">
        <v>891.22148732314201</v>
      </c>
      <c r="D2197" s="116">
        <v>887.71507451144203</v>
      </c>
      <c r="E2197" s="116">
        <v>908.65477918976501</v>
      </c>
      <c r="F2197" s="116">
        <v>902.3</v>
      </c>
      <c r="G2197">
        <v>29572</v>
      </c>
      <c r="H2197" s="116"/>
      <c r="I2197" s="116"/>
      <c r="L2197" s="170">
        <v>45239</v>
      </c>
      <c r="M2197" s="116">
        <v>891.76564781519005</v>
      </c>
      <c r="N2197" s="116">
        <v>907.667986996477</v>
      </c>
      <c r="O2197" s="116">
        <v>887.32089462787405</v>
      </c>
      <c r="P2197" s="116">
        <v>905.05052123061296</v>
      </c>
      <c r="Q2197" s="116">
        <v>902.85</v>
      </c>
      <c r="R2197">
        <v>3194352</v>
      </c>
    </row>
    <row r="2198" spans="1:18" x14ac:dyDescent="0.25">
      <c r="A2198" s="170">
        <v>45240</v>
      </c>
      <c r="B2198" s="116">
        <v>905.49406904963996</v>
      </c>
      <c r="C2198" s="116">
        <v>901.740725758243</v>
      </c>
      <c r="D2198" s="116">
        <v>886.03594724950096</v>
      </c>
      <c r="E2198" s="116">
        <v>898.77756000187696</v>
      </c>
      <c r="F2198" s="116">
        <v>912.95</v>
      </c>
      <c r="G2198">
        <v>26282</v>
      </c>
      <c r="H2198" s="116"/>
      <c r="I2198" s="116"/>
      <c r="L2198" s="170">
        <v>45240</v>
      </c>
      <c r="M2198" s="116">
        <v>901.49471868076</v>
      </c>
      <c r="N2198" s="116">
        <v>905.593768842396</v>
      </c>
      <c r="O2198" s="116">
        <v>885.49360720642198</v>
      </c>
      <c r="P2198" s="116">
        <v>891.76564781519005</v>
      </c>
      <c r="Q2198" s="116">
        <v>912.7</v>
      </c>
      <c r="R2198">
        <v>3846444</v>
      </c>
    </row>
    <row r="2199" spans="1:18" x14ac:dyDescent="0.25">
      <c r="A2199" s="170">
        <v>45242</v>
      </c>
      <c r="B2199" s="116">
        <v>911.81548932988903</v>
      </c>
      <c r="C2199" s="116">
        <v>903.91371397957801</v>
      </c>
      <c r="D2199" s="116">
        <v>902.13581452575897</v>
      </c>
      <c r="E2199" s="116">
        <v>909.69188720449301</v>
      </c>
      <c r="F2199" s="116">
        <v>915.15</v>
      </c>
      <c r="G2199">
        <v>22619</v>
      </c>
      <c r="H2199" s="116"/>
      <c r="I2199" s="116"/>
      <c r="L2199" s="170">
        <v>45242</v>
      </c>
      <c r="M2199" s="116">
        <v>904.06279830009805</v>
      </c>
      <c r="N2199" s="116">
        <v>910.68054193454702</v>
      </c>
      <c r="O2199" s="116">
        <v>902.77875849042903</v>
      </c>
      <c r="P2199" s="116">
        <v>910.68054193454702</v>
      </c>
      <c r="Q2199" s="116">
        <v>915.3</v>
      </c>
      <c r="R2199">
        <v>157797</v>
      </c>
    </row>
    <row r="2200" spans="1:18" x14ac:dyDescent="0.25">
      <c r="A2200" s="170">
        <v>45243</v>
      </c>
      <c r="B2200" s="116">
        <v>909.19802624509896</v>
      </c>
      <c r="C2200" s="116">
        <v>905.19775247400401</v>
      </c>
      <c r="D2200" s="116">
        <v>896.16009691708598</v>
      </c>
      <c r="E2200" s="116">
        <v>896.90088835617803</v>
      </c>
      <c r="F2200" s="116">
        <v>916.45</v>
      </c>
      <c r="G2200">
        <v>164153</v>
      </c>
      <c r="H2200" s="116"/>
      <c r="I2200" s="116"/>
      <c r="L2200" s="170">
        <v>45243</v>
      </c>
      <c r="M2200" s="116">
        <v>905.29745196324097</v>
      </c>
      <c r="N2200" s="116">
        <v>909.14957139224896</v>
      </c>
      <c r="O2200" s="116">
        <v>895.96347026987803</v>
      </c>
      <c r="P2200" s="116">
        <v>902.77875849042903</v>
      </c>
      <c r="Q2200" s="116">
        <v>916.55</v>
      </c>
      <c r="R2200">
        <v>904887</v>
      </c>
    </row>
    <row r="2201" spans="1:18" x14ac:dyDescent="0.25">
      <c r="A2201" s="170">
        <v>45245</v>
      </c>
      <c r="B2201" s="116">
        <v>920.211125639594</v>
      </c>
      <c r="C2201" s="116">
        <v>917.98875132231899</v>
      </c>
      <c r="D2201" s="116">
        <v>905.34591076182198</v>
      </c>
      <c r="E2201" s="116">
        <v>908.85232357352197</v>
      </c>
      <c r="F2201" s="116">
        <v>929.4</v>
      </c>
      <c r="G2201">
        <v>45138</v>
      </c>
      <c r="H2201" s="116"/>
      <c r="I2201" s="116"/>
      <c r="L2201" s="170">
        <v>45245</v>
      </c>
      <c r="M2201" s="116">
        <v>918.18723620645801</v>
      </c>
      <c r="N2201" s="116">
        <v>920.55777123969301</v>
      </c>
      <c r="O2201" s="116">
        <v>905.09990737713804</v>
      </c>
      <c r="P2201" s="116">
        <v>910.08790817623799</v>
      </c>
      <c r="Q2201" s="116">
        <v>929.6</v>
      </c>
      <c r="R2201">
        <v>1564164</v>
      </c>
    </row>
    <row r="2202" spans="1:18" x14ac:dyDescent="0.25">
      <c r="A2202" s="170">
        <v>45246</v>
      </c>
      <c r="B2202" s="116">
        <v>920.55682831116997</v>
      </c>
      <c r="C2202" s="116">
        <v>907.91398775067296</v>
      </c>
      <c r="D2202" s="116">
        <v>906.72872144812595</v>
      </c>
      <c r="E2202" s="116">
        <v>916.65532673195401</v>
      </c>
      <c r="F2202" s="116">
        <v>919.2</v>
      </c>
      <c r="G2202">
        <v>38710</v>
      </c>
      <c r="H2202" s="116"/>
      <c r="I2202" s="116"/>
      <c r="L2202" s="170">
        <v>45246</v>
      </c>
      <c r="M2202" s="116">
        <v>908.75448222004297</v>
      </c>
      <c r="N2202" s="116">
        <v>921.54549417020803</v>
      </c>
      <c r="O2202" s="116">
        <v>906.72965021248797</v>
      </c>
      <c r="P2202" s="116">
        <v>921.54549417020803</v>
      </c>
      <c r="Q2202" s="116">
        <v>920.05</v>
      </c>
      <c r="R2202">
        <v>1315309</v>
      </c>
    </row>
    <row r="2203" spans="1:18" x14ac:dyDescent="0.25">
      <c r="A2203" s="170">
        <v>45247</v>
      </c>
      <c r="B2203" s="116">
        <v>922.43349995686799</v>
      </c>
      <c r="C2203" s="116">
        <v>919.075245432987</v>
      </c>
      <c r="D2203" s="116">
        <v>908.80293747758299</v>
      </c>
      <c r="E2203" s="116">
        <v>908.80293747758299</v>
      </c>
      <c r="F2203" s="116">
        <v>930.5</v>
      </c>
      <c r="G2203">
        <v>47372</v>
      </c>
      <c r="H2203" s="116"/>
      <c r="I2203" s="116"/>
      <c r="L2203" s="170">
        <v>45247</v>
      </c>
      <c r="M2203" s="116">
        <v>919.42188986960196</v>
      </c>
      <c r="N2203" s="116">
        <v>922.53321710072305</v>
      </c>
      <c r="O2203" s="116">
        <v>909.692819004032</v>
      </c>
      <c r="P2203" s="116">
        <v>910.68054193454702</v>
      </c>
      <c r="Q2203" s="116">
        <v>930.85</v>
      </c>
      <c r="R2203">
        <v>961365</v>
      </c>
    </row>
    <row r="2204" spans="1:18" x14ac:dyDescent="0.25">
      <c r="A2204" s="170">
        <v>45250</v>
      </c>
      <c r="B2204" s="116">
        <v>929.00185071681403</v>
      </c>
      <c r="C2204" s="116">
        <v>919.27278981674397</v>
      </c>
      <c r="D2204" s="116">
        <v>916.80348501977198</v>
      </c>
      <c r="E2204" s="116">
        <v>926.43377372796294</v>
      </c>
      <c r="F2204" s="116">
        <v>930.7</v>
      </c>
      <c r="G2204">
        <v>33027</v>
      </c>
      <c r="H2204" s="116"/>
      <c r="I2204" s="116"/>
      <c r="L2204" s="170">
        <v>45250</v>
      </c>
      <c r="M2204" s="116">
        <v>919.42188986960196</v>
      </c>
      <c r="N2204" s="116">
        <v>929.29911917474897</v>
      </c>
      <c r="O2204" s="116">
        <v>916.80442410373803</v>
      </c>
      <c r="P2204" s="116">
        <v>924.01480149649501</v>
      </c>
      <c r="Q2204" s="116">
        <v>930.85</v>
      </c>
      <c r="R2204">
        <v>1169030</v>
      </c>
    </row>
    <row r="2205" spans="1:18" x14ac:dyDescent="0.25">
      <c r="A2205" s="170">
        <v>45251</v>
      </c>
      <c r="B2205" s="116">
        <v>920.01358125583602</v>
      </c>
      <c r="C2205" s="116">
        <v>915.42067433346801</v>
      </c>
      <c r="D2205" s="116">
        <v>908.75355138164298</v>
      </c>
      <c r="E2205" s="116">
        <v>918.43322618577395</v>
      </c>
      <c r="F2205" s="116">
        <v>926.8</v>
      </c>
      <c r="G2205">
        <v>17317</v>
      </c>
      <c r="H2205" s="116"/>
      <c r="I2205" s="116"/>
      <c r="L2205" s="170">
        <v>45251</v>
      </c>
      <c r="M2205" s="116">
        <v>916.31056263847995</v>
      </c>
      <c r="N2205" s="116">
        <v>920.06390977443596</v>
      </c>
      <c r="O2205" s="116">
        <v>894.87697504631103</v>
      </c>
      <c r="P2205" s="116">
        <v>894.87697504631103</v>
      </c>
      <c r="Q2205" s="116">
        <v>927.7</v>
      </c>
      <c r="R2205">
        <v>804344</v>
      </c>
    </row>
    <row r="2206" spans="1:18" x14ac:dyDescent="0.25">
      <c r="A2206" s="170">
        <v>45252</v>
      </c>
      <c r="B2206" s="116">
        <v>928.35983146960098</v>
      </c>
      <c r="C2206" s="116">
        <v>916.754098923833</v>
      </c>
      <c r="D2206" s="116">
        <v>911.37101446643396</v>
      </c>
      <c r="E2206" s="116">
        <v>918.58138447359204</v>
      </c>
      <c r="F2206" s="116">
        <v>928.15</v>
      </c>
      <c r="G2206">
        <v>32788</v>
      </c>
      <c r="H2206" s="116"/>
      <c r="I2206" s="116"/>
      <c r="L2206" s="170">
        <v>45252</v>
      </c>
      <c r="M2206" s="116">
        <v>916.853810250263</v>
      </c>
      <c r="N2206" s="116">
        <v>928.26201009770796</v>
      </c>
      <c r="O2206" s="116">
        <v>910.92747266717504</v>
      </c>
      <c r="P2206" s="116">
        <v>920.01452362790997</v>
      </c>
      <c r="Q2206" s="116">
        <v>928.25</v>
      </c>
      <c r="R2206">
        <v>885449</v>
      </c>
    </row>
    <row r="2207" spans="1:18" x14ac:dyDescent="0.25">
      <c r="A2207" s="170">
        <v>45253</v>
      </c>
      <c r="B2207" s="116">
        <v>925.939912768569</v>
      </c>
      <c r="C2207" s="116">
        <v>921.39639194213999</v>
      </c>
      <c r="D2207" s="116">
        <v>911.51917275425205</v>
      </c>
      <c r="E2207" s="116">
        <v>918.53199837765305</v>
      </c>
      <c r="F2207" s="116">
        <v>932.85</v>
      </c>
      <c r="G2207">
        <v>10817</v>
      </c>
      <c r="H2207" s="116"/>
      <c r="I2207" s="116"/>
      <c r="L2207" s="170">
        <v>45253</v>
      </c>
      <c r="M2207" s="116">
        <v>921.54549417020803</v>
      </c>
      <c r="N2207" s="116">
        <v>926.18779194362696</v>
      </c>
      <c r="O2207" s="116">
        <v>915.61915658711996</v>
      </c>
      <c r="P2207" s="116">
        <v>917.74276088772604</v>
      </c>
      <c r="Q2207" s="116">
        <v>933</v>
      </c>
      <c r="R2207">
        <v>907511</v>
      </c>
    </row>
    <row r="2208" spans="1:18" x14ac:dyDescent="0.25">
      <c r="A2208" s="170">
        <v>45254</v>
      </c>
      <c r="B2208" s="116">
        <v>924.50771598632502</v>
      </c>
      <c r="C2208" s="116">
        <v>916.26023796443803</v>
      </c>
      <c r="D2208" s="116">
        <v>912.90198344055602</v>
      </c>
      <c r="E2208" s="116">
        <v>924.40894379444603</v>
      </c>
      <c r="F2208" s="116">
        <v>927.65</v>
      </c>
      <c r="G2208">
        <v>16648</v>
      </c>
      <c r="H2208" s="116"/>
      <c r="I2208" s="116"/>
      <c r="L2208" s="170">
        <v>45254</v>
      </c>
      <c r="M2208" s="116">
        <v>915.52038429406798</v>
      </c>
      <c r="N2208" s="116">
        <v>925.34822745269003</v>
      </c>
      <c r="O2208" s="116">
        <v>912.65598779557604</v>
      </c>
      <c r="P2208" s="116">
        <v>923.22462315208304</v>
      </c>
      <c r="Q2208" s="116">
        <v>926.9</v>
      </c>
      <c r="R2208">
        <v>521207</v>
      </c>
    </row>
    <row r="2209" spans="1:18" x14ac:dyDescent="0.25">
      <c r="A2209" s="170">
        <v>45258</v>
      </c>
      <c r="B2209" s="116">
        <v>923.42122187565701</v>
      </c>
      <c r="C2209" s="116">
        <v>920.35928392741198</v>
      </c>
      <c r="D2209" s="116">
        <v>913.297072208072</v>
      </c>
      <c r="E2209" s="116">
        <v>913.84031926340595</v>
      </c>
      <c r="F2209" s="116">
        <v>931.8</v>
      </c>
      <c r="G2209">
        <v>51546</v>
      </c>
      <c r="H2209" s="116"/>
      <c r="I2209" s="116"/>
      <c r="L2209" s="170">
        <v>45258</v>
      </c>
      <c r="M2209" s="116">
        <v>920.40961280011595</v>
      </c>
      <c r="N2209" s="116">
        <v>923.47155388471197</v>
      </c>
      <c r="O2209" s="116">
        <v>913.39677999346202</v>
      </c>
      <c r="P2209" s="116">
        <v>913.64371072609094</v>
      </c>
      <c r="Q2209" s="116">
        <v>931.85</v>
      </c>
      <c r="R2209">
        <v>904835</v>
      </c>
    </row>
    <row r="2210" spans="1:18" x14ac:dyDescent="0.25">
      <c r="A2210" s="170">
        <v>45259</v>
      </c>
      <c r="B2210" s="116">
        <v>926.23622934420496</v>
      </c>
      <c r="C2210" s="116">
        <v>921.84086680559506</v>
      </c>
      <c r="D2210" s="116">
        <v>918.23568180201596</v>
      </c>
      <c r="E2210" s="116">
        <v>921.89025290153495</v>
      </c>
      <c r="F2210" s="116">
        <v>933.3</v>
      </c>
      <c r="G2210">
        <v>14850</v>
      </c>
      <c r="H2210" s="116"/>
      <c r="I2210" s="116"/>
      <c r="L2210" s="170">
        <v>45259</v>
      </c>
      <c r="M2210" s="116">
        <v>922.08874178199096</v>
      </c>
      <c r="N2210" s="116">
        <v>926.38533652973001</v>
      </c>
      <c r="O2210" s="116">
        <v>918.582325378664</v>
      </c>
      <c r="P2210" s="116">
        <v>923.47155388471197</v>
      </c>
      <c r="Q2210" s="116">
        <v>933.55</v>
      </c>
      <c r="R2210">
        <v>1047897</v>
      </c>
    </row>
    <row r="2211" spans="1:18" x14ac:dyDescent="0.25">
      <c r="A2211" s="170">
        <v>45260</v>
      </c>
      <c r="B2211" s="116">
        <v>936.16283462803301</v>
      </c>
      <c r="C2211" s="116">
        <v>929.49571167620797</v>
      </c>
      <c r="D2211" s="116">
        <v>918.63077056953205</v>
      </c>
      <c r="E2211" s="116">
        <v>918.63077056953205</v>
      </c>
      <c r="F2211" s="116">
        <v>941.05</v>
      </c>
      <c r="G2211">
        <v>31725</v>
      </c>
      <c r="H2211" s="116"/>
      <c r="I2211" s="116"/>
      <c r="L2211" s="170">
        <v>45260</v>
      </c>
      <c r="M2211" s="116">
        <v>929.20034688169699</v>
      </c>
      <c r="N2211" s="116">
        <v>936.55888271403103</v>
      </c>
      <c r="O2211" s="116">
        <v>920.55777123969301</v>
      </c>
      <c r="P2211" s="116">
        <v>920.55777123969301</v>
      </c>
      <c r="Q2211" s="116">
        <v>940.75</v>
      </c>
      <c r="R2211">
        <v>2982505</v>
      </c>
    </row>
    <row r="2212" spans="1:18" x14ac:dyDescent="0.25">
      <c r="A2212" s="170">
        <v>45261</v>
      </c>
      <c r="B2212" s="116">
        <v>941.00267203009798</v>
      </c>
      <c r="C2212" s="116">
        <v>931.47115551378602</v>
      </c>
      <c r="D2212" s="116">
        <v>928.45860366147997</v>
      </c>
      <c r="E2212" s="116">
        <v>929.54509777214798</v>
      </c>
      <c r="F2212" s="116">
        <v>943.05</v>
      </c>
      <c r="G2212">
        <v>70082</v>
      </c>
      <c r="H2212" s="116"/>
      <c r="I2212" s="116"/>
      <c r="L2212" s="170">
        <v>45261</v>
      </c>
      <c r="M2212" s="116">
        <v>931.27456503577798</v>
      </c>
      <c r="N2212" s="116">
        <v>941.20118048745098</v>
      </c>
      <c r="O2212" s="116">
        <v>928.21262395118197</v>
      </c>
      <c r="P2212" s="116">
        <v>934.28711997384801</v>
      </c>
      <c r="Q2212" s="116">
        <v>942.85</v>
      </c>
      <c r="R2212">
        <v>1129388</v>
      </c>
    </row>
    <row r="2213" spans="1:18" x14ac:dyDescent="0.25">
      <c r="A2213" s="170">
        <v>45264</v>
      </c>
      <c r="B2213" s="116">
        <v>944.80540141743495</v>
      </c>
      <c r="C2213" s="116">
        <v>934.87879613360701</v>
      </c>
      <c r="D2213" s="116">
        <v>931.56992770566501</v>
      </c>
      <c r="E2213" s="116">
        <v>944.80540141743495</v>
      </c>
      <c r="F2213" s="116">
        <v>946.5</v>
      </c>
      <c r="G2213">
        <v>140078</v>
      </c>
      <c r="H2213" s="116"/>
      <c r="I2213" s="116"/>
      <c r="L2213" s="170">
        <v>45264</v>
      </c>
      <c r="M2213" s="116">
        <v>935.02791217173399</v>
      </c>
      <c r="N2213" s="116">
        <v>944.75698303730303</v>
      </c>
      <c r="O2213" s="116">
        <v>930.38561439831506</v>
      </c>
      <c r="P2213" s="116">
        <v>942.28767571101696</v>
      </c>
      <c r="Q2213" s="116">
        <v>946.65</v>
      </c>
      <c r="R2213">
        <v>1112904</v>
      </c>
    </row>
    <row r="2214" spans="1:18" x14ac:dyDescent="0.25">
      <c r="A2214" s="170">
        <v>45265</v>
      </c>
      <c r="B2214" s="116">
        <v>942.28671052452398</v>
      </c>
      <c r="C2214" s="116">
        <v>937.74318969809497</v>
      </c>
      <c r="D2214" s="116">
        <v>932.50826352851402</v>
      </c>
      <c r="E2214" s="116">
        <v>936.31099291585099</v>
      </c>
      <c r="F2214" s="116">
        <v>949.4</v>
      </c>
      <c r="G2214">
        <v>25945</v>
      </c>
      <c r="H2214" s="116"/>
      <c r="I2214" s="116"/>
      <c r="L2214" s="170">
        <v>45265</v>
      </c>
      <c r="M2214" s="116">
        <v>938.38617013548401</v>
      </c>
      <c r="N2214" s="116">
        <v>942.43583415059402</v>
      </c>
      <c r="O2214" s="116">
        <v>932.55860484544701</v>
      </c>
      <c r="P2214" s="116">
        <v>935.07729831825998</v>
      </c>
      <c r="Q2214" s="116">
        <v>950.05</v>
      </c>
      <c r="R2214">
        <v>792716</v>
      </c>
    </row>
    <row r="2215" spans="1:18" x14ac:dyDescent="0.25">
      <c r="A2215" s="170">
        <v>45266</v>
      </c>
      <c r="B2215" s="116">
        <v>951.17620779362301</v>
      </c>
      <c r="C2215" s="116">
        <v>939.57047524785401</v>
      </c>
      <c r="D2215" s="116">
        <v>937.64441750621597</v>
      </c>
      <c r="E2215" s="116">
        <v>941.29898860573496</v>
      </c>
      <c r="F2215" s="116">
        <v>951.25</v>
      </c>
      <c r="G2215">
        <v>73482</v>
      </c>
      <c r="H2215" s="116"/>
      <c r="I2215" s="116"/>
      <c r="L2215" s="170">
        <v>45266</v>
      </c>
      <c r="M2215" s="116">
        <v>940.01591297083303</v>
      </c>
      <c r="N2215" s="116">
        <v>951.17718208564895</v>
      </c>
      <c r="O2215" s="116">
        <v>937.25028876539204</v>
      </c>
      <c r="P2215" s="116">
        <v>942.28767571101696</v>
      </c>
      <c r="Q2215" s="116">
        <v>951.7</v>
      </c>
      <c r="R2215">
        <v>982484</v>
      </c>
    </row>
    <row r="2216" spans="1:18" x14ac:dyDescent="0.25">
      <c r="A2216" s="170">
        <v>45267</v>
      </c>
      <c r="B2216" s="116">
        <v>947.42286450222502</v>
      </c>
      <c r="C2216" s="116">
        <v>944.41031264991898</v>
      </c>
      <c r="D2216" s="116">
        <v>938.92845600064197</v>
      </c>
      <c r="E2216" s="116">
        <v>944.21276826616202</v>
      </c>
      <c r="F2216" s="116">
        <v>956.15</v>
      </c>
      <c r="G2216">
        <v>32296</v>
      </c>
      <c r="H2216" s="116"/>
      <c r="I2216" s="116"/>
      <c r="L2216" s="170">
        <v>45267</v>
      </c>
      <c r="M2216" s="116">
        <v>945.15207220950902</v>
      </c>
      <c r="N2216" s="116">
        <v>947.76953797537305</v>
      </c>
      <c r="O2216" s="116">
        <v>938.38617013548401</v>
      </c>
      <c r="P2216" s="116">
        <v>940.31222984998703</v>
      </c>
      <c r="Q2216" s="116">
        <v>956.9</v>
      </c>
      <c r="R2216">
        <v>933106</v>
      </c>
    </row>
    <row r="2217" spans="1:18" x14ac:dyDescent="0.25">
      <c r="A2217" s="170">
        <v>45268</v>
      </c>
      <c r="B2217" s="116">
        <v>949.990941491076</v>
      </c>
      <c r="C2217" s="116">
        <v>935.17511270924399</v>
      </c>
      <c r="D2217" s="116">
        <v>932.06378866505895</v>
      </c>
      <c r="E2217" s="116">
        <v>949.20076395604497</v>
      </c>
      <c r="F2217" s="116">
        <v>946.8</v>
      </c>
      <c r="G2217">
        <v>12666</v>
      </c>
      <c r="H2217" s="116"/>
      <c r="I2217" s="116"/>
      <c r="L2217" s="170">
        <v>45268</v>
      </c>
      <c r="M2217" s="116">
        <v>934.978526025208</v>
      </c>
      <c r="N2217" s="116">
        <v>950.04130071555699</v>
      </c>
      <c r="O2217" s="116">
        <v>932.21290181976701</v>
      </c>
      <c r="P2217" s="116">
        <v>948.21401329410503</v>
      </c>
      <c r="Q2217" s="116">
        <v>946.6</v>
      </c>
      <c r="R2217">
        <v>649090</v>
      </c>
    </row>
    <row r="2218" spans="1:18" x14ac:dyDescent="0.25">
      <c r="A2218" s="170">
        <v>45271</v>
      </c>
      <c r="B2218" s="116">
        <v>941.24960250979495</v>
      </c>
      <c r="C2218" s="116">
        <v>938.43459504124701</v>
      </c>
      <c r="D2218" s="116">
        <v>932.40949133663503</v>
      </c>
      <c r="E2218" s="116">
        <v>938.33582284936801</v>
      </c>
      <c r="F2218" s="116">
        <v>950.1</v>
      </c>
      <c r="G2218">
        <v>33051</v>
      </c>
      <c r="H2218" s="116"/>
      <c r="I2218" s="116"/>
      <c r="L2218" s="170">
        <v>45271</v>
      </c>
      <c r="M2218" s="116">
        <v>938.78125930768999</v>
      </c>
      <c r="N2218" s="116">
        <v>941.29995278050205</v>
      </c>
      <c r="O2218" s="116">
        <v>932.45983255239503</v>
      </c>
      <c r="P2218" s="116">
        <v>938.23801169590604</v>
      </c>
      <c r="Q2218" s="116">
        <v>950.45</v>
      </c>
      <c r="R2218">
        <v>476174</v>
      </c>
    </row>
    <row r="2219" spans="1:18" x14ac:dyDescent="0.25">
      <c r="A2219" s="170">
        <v>45272</v>
      </c>
      <c r="B2219" s="116">
        <v>950.97866340986502</v>
      </c>
      <c r="C2219" s="116">
        <v>936.65669558742695</v>
      </c>
      <c r="D2219" s="116">
        <v>932.40949133663503</v>
      </c>
      <c r="E2219" s="116">
        <v>942.28671052452398</v>
      </c>
      <c r="F2219" s="116">
        <v>948.3</v>
      </c>
      <c r="G2219">
        <v>18437</v>
      </c>
      <c r="H2219" s="116"/>
      <c r="I2219" s="116"/>
      <c r="L2219" s="170">
        <v>45272</v>
      </c>
      <c r="M2219" s="116">
        <v>937.10213032581498</v>
      </c>
      <c r="N2219" s="116">
        <v>950.14007300860897</v>
      </c>
      <c r="O2219" s="116">
        <v>932.01535723366396</v>
      </c>
      <c r="P2219" s="116">
        <v>941.34933892702804</v>
      </c>
      <c r="Q2219" s="116">
        <v>948.75</v>
      </c>
      <c r="R2219">
        <v>732063</v>
      </c>
    </row>
    <row r="2220" spans="1:18" x14ac:dyDescent="0.25">
      <c r="A2220" s="170">
        <v>45273</v>
      </c>
      <c r="B2220" s="116">
        <v>946.533914775315</v>
      </c>
      <c r="C2220" s="116">
        <v>945.546192856527</v>
      </c>
      <c r="D2220" s="116">
        <v>934.13800469451598</v>
      </c>
      <c r="E2220" s="116">
        <v>935.32327099706299</v>
      </c>
      <c r="F2220" s="116">
        <v>957.3</v>
      </c>
      <c r="G2220">
        <v>12282</v>
      </c>
      <c r="H2220" s="116"/>
      <c r="I2220" s="116"/>
      <c r="L2220" s="170">
        <v>45273</v>
      </c>
      <c r="M2220" s="116">
        <v>945.547161381715</v>
      </c>
      <c r="N2220" s="116">
        <v>947.91769641495</v>
      </c>
      <c r="O2220" s="116">
        <v>934.87975373215602</v>
      </c>
      <c r="P2220" s="116">
        <v>936.361338127929</v>
      </c>
      <c r="Q2220" s="116">
        <v>957.3</v>
      </c>
      <c r="R2220">
        <v>899820</v>
      </c>
    </row>
    <row r="2221" spans="1:18" x14ac:dyDescent="0.25">
      <c r="A2221" s="170">
        <v>45274</v>
      </c>
      <c r="B2221" s="116">
        <v>949.15137786010598</v>
      </c>
      <c r="C2221" s="116">
        <v>939.52108915191502</v>
      </c>
      <c r="D2221" s="116">
        <v>932.45887743257504</v>
      </c>
      <c r="E2221" s="116">
        <v>947.91672546161999</v>
      </c>
      <c r="F2221" s="116">
        <v>951.2</v>
      </c>
      <c r="G2221">
        <v>29061</v>
      </c>
      <c r="H2221" s="116"/>
      <c r="I2221" s="116"/>
      <c r="L2221" s="170">
        <v>45274</v>
      </c>
      <c r="M2221" s="116">
        <v>938.78125930768999</v>
      </c>
      <c r="N2221" s="116">
        <v>949.004191638517</v>
      </c>
      <c r="O2221" s="116">
        <v>932.50921869892102</v>
      </c>
      <c r="P2221" s="116">
        <v>949.004191638517</v>
      </c>
      <c r="Q2221" s="116">
        <v>950.45</v>
      </c>
      <c r="R2221">
        <v>1980762</v>
      </c>
    </row>
    <row r="2222" spans="1:18" x14ac:dyDescent="0.25">
      <c r="A2222" s="170">
        <v>45275</v>
      </c>
      <c r="B2222" s="116">
        <v>948.01549765349898</v>
      </c>
      <c r="C2222" s="116">
        <v>942.97811586767602</v>
      </c>
      <c r="D2222" s="116">
        <v>938.13827846561003</v>
      </c>
      <c r="E2222" s="116">
        <v>944.31154045804101</v>
      </c>
      <c r="F2222" s="116">
        <v>954.7</v>
      </c>
      <c r="G2222">
        <v>29671</v>
      </c>
      <c r="H2222" s="116"/>
      <c r="I2222" s="116"/>
      <c r="L2222" s="170">
        <v>45275</v>
      </c>
      <c r="M2222" s="116">
        <v>942.97908176237695</v>
      </c>
      <c r="N2222" s="116">
        <v>948.16462714757904</v>
      </c>
      <c r="O2222" s="116">
        <v>937.25028876539204</v>
      </c>
      <c r="P2222" s="116">
        <v>948.16462714757904</v>
      </c>
      <c r="Q2222" s="116">
        <v>954.7</v>
      </c>
      <c r="R2222">
        <v>1155502</v>
      </c>
    </row>
    <row r="2223" spans="1:18" x14ac:dyDescent="0.25">
      <c r="A2223" s="170">
        <v>45278</v>
      </c>
      <c r="B2223" s="116">
        <v>945.29926237682901</v>
      </c>
      <c r="C2223" s="116">
        <v>937.84196188997396</v>
      </c>
      <c r="D2223" s="116">
        <v>933.69352983106103</v>
      </c>
      <c r="E2223" s="116">
        <v>943.27443244331198</v>
      </c>
      <c r="F2223" s="116">
        <v>949.5</v>
      </c>
      <c r="G2223">
        <v>38763</v>
      </c>
      <c r="H2223" s="116"/>
      <c r="I2223" s="116"/>
      <c r="L2223" s="170">
        <v>45278</v>
      </c>
      <c r="M2223" s="116">
        <v>938.04046710980401</v>
      </c>
      <c r="N2223" s="116">
        <v>946.43611201917804</v>
      </c>
      <c r="O2223" s="116">
        <v>933.69448621553897</v>
      </c>
      <c r="P2223" s="116">
        <v>944.26312157204597</v>
      </c>
      <c r="Q2223" s="116">
        <v>949.7</v>
      </c>
      <c r="R2223">
        <v>999922</v>
      </c>
    </row>
    <row r="2224" spans="1:18" x14ac:dyDescent="0.25">
      <c r="A2224" s="170">
        <v>45279</v>
      </c>
      <c r="B2224" s="116">
        <v>965.79449219169703</v>
      </c>
      <c r="C2224" s="116">
        <v>954.43569012562602</v>
      </c>
      <c r="D2224" s="116">
        <v>937.79257579403497</v>
      </c>
      <c r="E2224" s="116">
        <v>939.61986134379401</v>
      </c>
      <c r="F2224" s="116">
        <v>966.3</v>
      </c>
      <c r="G2224">
        <v>101824</v>
      </c>
      <c r="H2224" s="116"/>
      <c r="I2224" s="116"/>
      <c r="L2224" s="170">
        <v>45279</v>
      </c>
      <c r="M2224" s="116">
        <v>954.28850931677005</v>
      </c>
      <c r="N2224" s="116">
        <v>965.99302604336901</v>
      </c>
      <c r="O2224" s="116">
        <v>937.49721949801994</v>
      </c>
      <c r="P2224" s="116">
        <v>941.29995278050205</v>
      </c>
      <c r="Q2224" s="116">
        <v>966.15</v>
      </c>
      <c r="R2224">
        <v>3897491</v>
      </c>
    </row>
    <row r="2225" spans="1:18" x14ac:dyDescent="0.25">
      <c r="A2225" s="170">
        <v>45280</v>
      </c>
      <c r="B2225" s="116">
        <v>997.35220749699999</v>
      </c>
      <c r="C2225" s="116">
        <v>964.16475102569598</v>
      </c>
      <c r="D2225" s="116">
        <v>959.275527527691</v>
      </c>
      <c r="E2225" s="116">
        <v>972.70854562321904</v>
      </c>
      <c r="F2225" s="116">
        <v>976.15</v>
      </c>
      <c r="G2225">
        <v>278396</v>
      </c>
      <c r="H2225" s="116"/>
      <c r="I2225" s="116"/>
      <c r="L2225" s="170">
        <v>45280</v>
      </c>
      <c r="M2225" s="116">
        <v>964.313897061494</v>
      </c>
      <c r="N2225" s="116">
        <v>997.60015981983895</v>
      </c>
      <c r="O2225" s="116">
        <v>954.28850931677005</v>
      </c>
      <c r="P2225" s="116">
        <v>963.02985725182498</v>
      </c>
      <c r="Q2225" s="116">
        <v>976.3</v>
      </c>
      <c r="R2225">
        <v>4465789</v>
      </c>
    </row>
    <row r="2226" spans="1:18" x14ac:dyDescent="0.25">
      <c r="A2226" s="170">
        <v>45281</v>
      </c>
      <c r="B2226" s="116">
        <v>971.918368088188</v>
      </c>
      <c r="C2226" s="116">
        <v>966.88098630236505</v>
      </c>
      <c r="D2226" s="116">
        <v>951.42313827331998</v>
      </c>
      <c r="E2226" s="116">
        <v>965.004314656666</v>
      </c>
      <c r="F2226" s="116">
        <v>978.9</v>
      </c>
      <c r="G2226">
        <v>83609</v>
      </c>
      <c r="H2226" s="116"/>
      <c r="I2226" s="116"/>
      <c r="L2226" s="170">
        <v>45281</v>
      </c>
      <c r="M2226" s="116">
        <v>967.27706585303804</v>
      </c>
      <c r="N2226" s="116">
        <v>971.82059133340601</v>
      </c>
      <c r="O2226" s="116">
        <v>951.22656823217505</v>
      </c>
      <c r="P2226" s="116">
        <v>964.01758018234</v>
      </c>
      <c r="Q2226" s="116">
        <v>979.3</v>
      </c>
      <c r="R2226">
        <v>1588905</v>
      </c>
    </row>
    <row r="2227" spans="1:18" x14ac:dyDescent="0.25">
      <c r="A2227" s="170">
        <v>45282</v>
      </c>
      <c r="B2227" s="116">
        <v>985.74647495123099</v>
      </c>
      <c r="C2227" s="116">
        <v>979.62259905474002</v>
      </c>
      <c r="D2227" s="116">
        <v>967.96748041303294</v>
      </c>
      <c r="E2227" s="116">
        <v>972.85670391103702</v>
      </c>
      <c r="F2227" s="116">
        <v>991.8</v>
      </c>
      <c r="G2227">
        <v>45386</v>
      </c>
      <c r="H2227" s="116"/>
      <c r="I2227" s="116"/>
      <c r="L2227" s="170">
        <v>45282</v>
      </c>
      <c r="M2227" s="116">
        <v>980.61132541498705</v>
      </c>
      <c r="N2227" s="116">
        <v>986.04380153281795</v>
      </c>
      <c r="O2227" s="116">
        <v>967.62276887871803</v>
      </c>
      <c r="P2227" s="116">
        <v>973.89480948748701</v>
      </c>
      <c r="Q2227" s="116">
        <v>992.8</v>
      </c>
      <c r="R2227">
        <v>1491449</v>
      </c>
    </row>
    <row r="2228" spans="1:18" x14ac:dyDescent="0.25">
      <c r="A2228" s="170">
        <v>45286</v>
      </c>
      <c r="B2228" s="116">
        <v>1004.51319140822</v>
      </c>
      <c r="C2228" s="116">
        <v>994.38904174063305</v>
      </c>
      <c r="D2228" s="116">
        <v>982.78330919486496</v>
      </c>
      <c r="E2228" s="116">
        <v>986.53665248626203</v>
      </c>
      <c r="F2228" s="116">
        <v>1006.75</v>
      </c>
      <c r="G2228">
        <v>71923</v>
      </c>
      <c r="H2228" s="116"/>
      <c r="I2228" s="116"/>
      <c r="L2228" s="170">
        <v>45286</v>
      </c>
      <c r="M2228" s="116">
        <v>994.98269405397605</v>
      </c>
      <c r="N2228" s="116">
        <v>1004.51422033344</v>
      </c>
      <c r="O2228" s="116">
        <v>980.61132541498705</v>
      </c>
      <c r="P2228" s="116">
        <v>980.80887000108999</v>
      </c>
      <c r="Q2228" s="116">
        <v>1007.35</v>
      </c>
      <c r="R2228">
        <v>1804990</v>
      </c>
    </row>
    <row r="2229" spans="1:18" x14ac:dyDescent="0.25">
      <c r="A2229" s="170">
        <v>45287</v>
      </c>
      <c r="B2229" s="116">
        <v>1016.3658544336801</v>
      </c>
      <c r="C2229" s="116">
        <v>1014.43979669205</v>
      </c>
      <c r="D2229" s="116">
        <v>997.74729626451494</v>
      </c>
      <c r="E2229" s="116">
        <v>1003.62424168131</v>
      </c>
      <c r="F2229" s="116">
        <v>1027.05</v>
      </c>
      <c r="G2229">
        <v>36199</v>
      </c>
      <c r="H2229" s="116"/>
      <c r="I2229" s="116"/>
      <c r="L2229" s="170">
        <v>45287</v>
      </c>
      <c r="M2229" s="116">
        <v>1014.14451890596</v>
      </c>
      <c r="N2229" s="116">
        <v>1016.36689549962</v>
      </c>
      <c r="O2229" s="116">
        <v>997.69893211289104</v>
      </c>
      <c r="P2229" s="116">
        <v>1002.48938832589</v>
      </c>
      <c r="Q2229" s="116">
        <v>1026.75</v>
      </c>
      <c r="R2229">
        <v>1799498</v>
      </c>
    </row>
    <row r="2230" spans="1:18" x14ac:dyDescent="0.25">
      <c r="A2230" s="170">
        <v>45288</v>
      </c>
      <c r="B2230" s="116">
        <v>1037.1080147282501</v>
      </c>
      <c r="C2230" s="116">
        <v>1029.30501156982</v>
      </c>
      <c r="D2230" s="116">
        <v>1012.90882771792</v>
      </c>
      <c r="E2230" s="116">
        <v>1016.5140127215</v>
      </c>
      <c r="F2230" s="116">
        <v>1042.0999999999999</v>
      </c>
      <c r="G2230">
        <v>76540</v>
      </c>
      <c r="H2230" s="116"/>
      <c r="I2230" s="116"/>
      <c r="L2230" s="170">
        <v>45288</v>
      </c>
      <c r="M2230" s="116">
        <v>1028.2195706657899</v>
      </c>
      <c r="N2230" s="116">
        <v>1037.1090770404301</v>
      </c>
      <c r="O2230" s="116">
        <v>1012.7123206567099</v>
      </c>
      <c r="P2230" s="116">
        <v>1018.09541062802</v>
      </c>
      <c r="Q2230" s="116">
        <v>1041</v>
      </c>
      <c r="R2230">
        <v>2052402</v>
      </c>
    </row>
    <row r="2231" spans="1:18" x14ac:dyDescent="0.25">
      <c r="A2231" s="170">
        <v>45289</v>
      </c>
      <c r="B2231" s="116">
        <v>1080.5677791549599</v>
      </c>
      <c r="C2231" s="116">
        <v>1073.4561813396799</v>
      </c>
      <c r="D2231" s="116">
        <v>1035.33011527443</v>
      </c>
      <c r="E2231" s="116">
        <v>1049.9483996725</v>
      </c>
      <c r="F2231" s="116">
        <v>1086.8</v>
      </c>
      <c r="G2231">
        <v>239485</v>
      </c>
      <c r="H2231" s="116"/>
      <c r="I2231" s="116"/>
      <c r="L2231" s="170">
        <v>45289</v>
      </c>
      <c r="M2231" s="116">
        <v>1073.45728088337</v>
      </c>
      <c r="N2231" s="116">
        <v>1080.56888598307</v>
      </c>
      <c r="O2231" s="116">
        <v>1034.83731430024</v>
      </c>
      <c r="P2231" s="116">
        <v>1041.0105826159599</v>
      </c>
      <c r="Q2231" s="116">
        <v>1086.8</v>
      </c>
      <c r="R2231">
        <v>5017576</v>
      </c>
    </row>
    <row r="2232" spans="1:18" x14ac:dyDescent="0.25">
      <c r="A2232" s="170">
        <v>45292</v>
      </c>
      <c r="B2232" s="116">
        <v>1083.4815588153799</v>
      </c>
      <c r="C2232" s="116">
        <v>1066.5915140041</v>
      </c>
      <c r="D2232" s="116">
        <v>1062.8381707127</v>
      </c>
      <c r="E2232" s="116">
        <v>1083.4815588153799</v>
      </c>
      <c r="F2232" s="116">
        <v>1079.8499999999999</v>
      </c>
      <c r="G2232">
        <v>70939</v>
      </c>
      <c r="H2232" s="116"/>
      <c r="I2232" s="116"/>
      <c r="L2232" s="170">
        <v>45292</v>
      </c>
      <c r="M2232" s="116">
        <v>1066.8395372489199</v>
      </c>
      <c r="N2232" s="116">
        <v>1080.4207275435001</v>
      </c>
      <c r="O2232" s="116">
        <v>1062.7898732338101</v>
      </c>
      <c r="P2232" s="116">
        <v>1080.4207275435001</v>
      </c>
      <c r="Q2232" s="116">
        <v>1080.0999999999999</v>
      </c>
      <c r="R2232">
        <v>936544</v>
      </c>
    </row>
    <row r="2233" spans="1:18" x14ac:dyDescent="0.25">
      <c r="A2233" s="170">
        <v>45293</v>
      </c>
      <c r="B2233" s="116">
        <v>1089.60543471187</v>
      </c>
      <c r="C2233" s="116">
        <v>1084.02480587072</v>
      </c>
      <c r="D2233" s="116">
        <v>1066.3445835243999</v>
      </c>
      <c r="E2233" s="116">
        <v>1074.6414476422201</v>
      </c>
      <c r="F2233" s="116">
        <v>1097.5</v>
      </c>
      <c r="G2233">
        <v>53482</v>
      </c>
      <c r="H2233" s="116"/>
      <c r="I2233" s="116"/>
      <c r="L2233" s="170">
        <v>45293</v>
      </c>
      <c r="M2233" s="116">
        <v>1084.2728469725</v>
      </c>
      <c r="N2233" s="116">
        <v>1089.5077785042299</v>
      </c>
      <c r="O2233" s="116">
        <v>1066.2469034906101</v>
      </c>
      <c r="P2233" s="116">
        <v>1073.0128055646401</v>
      </c>
      <c r="Q2233" s="116">
        <v>1097.75</v>
      </c>
      <c r="R2233">
        <v>2635193</v>
      </c>
    </row>
    <row r="2234" spans="1:18" x14ac:dyDescent="0.25">
      <c r="A2234" s="170">
        <v>45294</v>
      </c>
      <c r="B2234" s="116">
        <v>1085.65454703672</v>
      </c>
      <c r="C2234" s="116">
        <v>1072.1227567493099</v>
      </c>
      <c r="D2234" s="116">
        <v>1069.70283804828</v>
      </c>
      <c r="E2234" s="116">
        <v>1085.65454703672</v>
      </c>
      <c r="F2234" s="116">
        <v>1085.45</v>
      </c>
      <c r="G2234">
        <v>22834</v>
      </c>
      <c r="H2234" s="116"/>
      <c r="I2234" s="116"/>
      <c r="L2234" s="170">
        <v>45294</v>
      </c>
      <c r="M2234" s="116">
        <v>1071.6299934619201</v>
      </c>
      <c r="N2234" s="116">
        <v>1085.6062729287</v>
      </c>
      <c r="O2234" s="116">
        <v>1069.40761686826</v>
      </c>
      <c r="P2234" s="116">
        <v>1084.4703915586099</v>
      </c>
      <c r="Q2234" s="116">
        <v>1084.95</v>
      </c>
      <c r="R2234">
        <v>1100701</v>
      </c>
    </row>
    <row r="2235" spans="1:18" x14ac:dyDescent="0.25">
      <c r="A2235" s="170">
        <v>45295</v>
      </c>
      <c r="B2235" s="116">
        <v>1114.7429575450501</v>
      </c>
      <c r="C2235" s="116">
        <v>1111.43408911711</v>
      </c>
      <c r="D2235" s="116">
        <v>1072.1227567493099</v>
      </c>
      <c r="E2235" s="116">
        <v>1072.1227567493099</v>
      </c>
      <c r="F2235" s="116">
        <v>1125.25</v>
      </c>
      <c r="G2235">
        <v>122614</v>
      </c>
      <c r="H2235" s="116"/>
      <c r="I2235" s="116"/>
      <c r="L2235" s="170">
        <v>45295</v>
      </c>
      <c r="M2235" s="116">
        <v>1111.73154444081</v>
      </c>
      <c r="N2235" s="116">
        <v>1114.74409937888</v>
      </c>
      <c r="O2235" s="116">
        <v>1072.81526097853</v>
      </c>
      <c r="P2235" s="116">
        <v>1074.7413206930401</v>
      </c>
      <c r="Q2235" s="116">
        <v>1125.55</v>
      </c>
      <c r="R2235">
        <v>2777186</v>
      </c>
    </row>
    <row r="2236" spans="1:18" x14ac:dyDescent="0.25">
      <c r="A2236" s="170">
        <v>45296</v>
      </c>
      <c r="B2236" s="116">
        <v>1117.11349015014</v>
      </c>
      <c r="C2236" s="116">
        <v>1108.56969555262</v>
      </c>
      <c r="D2236" s="116">
        <v>1103.1866110952201</v>
      </c>
      <c r="E2236" s="116">
        <v>1113.1132163790501</v>
      </c>
      <c r="F2236" s="116">
        <v>1122.3499999999999</v>
      </c>
      <c r="G2236">
        <v>41906</v>
      </c>
      <c r="H2236" s="116"/>
      <c r="I2236" s="116"/>
      <c r="L2236" s="170">
        <v>45296</v>
      </c>
      <c r="M2236" s="116">
        <v>1109.1634648214699</v>
      </c>
      <c r="N2236" s="116">
        <v>1117.2627928516899</v>
      </c>
      <c r="O2236" s="116">
        <v>1103.33589953144</v>
      </c>
      <c r="P2236" s="116">
        <v>1111.1882968290299</v>
      </c>
      <c r="Q2236" s="116">
        <v>1122.95</v>
      </c>
      <c r="R2236">
        <v>1207155</v>
      </c>
    </row>
    <row r="2237" spans="1:18" x14ac:dyDescent="0.25">
      <c r="A2237" s="170">
        <v>45299</v>
      </c>
      <c r="B2237" s="116">
        <v>1113.2613746668701</v>
      </c>
      <c r="C2237" s="116">
        <v>1090.7413149184799</v>
      </c>
      <c r="D2237" s="116">
        <v>1081.35795668999</v>
      </c>
      <c r="E2237" s="116">
        <v>1109.3598730876499</v>
      </c>
      <c r="F2237" s="116">
        <v>1104.3</v>
      </c>
      <c r="G2237">
        <v>31909</v>
      </c>
      <c r="H2237" s="116"/>
      <c r="I2237" s="116"/>
      <c r="L2237" s="170">
        <v>45299</v>
      </c>
      <c r="M2237" s="116">
        <v>1091.38445207221</v>
      </c>
      <c r="N2237" s="116">
        <v>1115.13918855109</v>
      </c>
      <c r="O2237" s="116">
        <v>1081.21090588791</v>
      </c>
      <c r="P2237" s="116">
        <v>1111.2376829755499</v>
      </c>
      <c r="Q2237" s="116">
        <v>1104.95</v>
      </c>
      <c r="R2237">
        <v>1722755</v>
      </c>
    </row>
    <row r="2238" spans="1:18" x14ac:dyDescent="0.25">
      <c r="A2238" s="170">
        <v>45300</v>
      </c>
      <c r="B2238" s="116">
        <v>1106.4460934272199</v>
      </c>
      <c r="C2238" s="116">
        <v>1098.29738759722</v>
      </c>
      <c r="D2238" s="116">
        <v>1090.98824539818</v>
      </c>
      <c r="E2238" s="116">
        <v>1090.98824539818</v>
      </c>
      <c r="F2238" s="116">
        <v>1111.95</v>
      </c>
      <c r="G2238">
        <v>21003</v>
      </c>
      <c r="H2238" s="116"/>
      <c r="I2238" s="116"/>
      <c r="L2238" s="170">
        <v>45300</v>
      </c>
      <c r="M2238" s="116">
        <v>1098.0021957066599</v>
      </c>
      <c r="N2238" s="116">
        <v>1106.39784061603</v>
      </c>
      <c r="O2238" s="116">
        <v>1092.42156114925</v>
      </c>
      <c r="P2238" s="116">
        <v>1092.42156114925</v>
      </c>
      <c r="Q2238" s="116">
        <v>1111.6500000000001</v>
      </c>
      <c r="R2238">
        <v>998355</v>
      </c>
    </row>
    <row r="2239" spans="1:18" x14ac:dyDescent="0.25">
      <c r="A2239" s="170">
        <v>45301</v>
      </c>
      <c r="B2239" s="116">
        <v>1103.77924424649</v>
      </c>
      <c r="C2239" s="116">
        <v>1099.1863373241299</v>
      </c>
      <c r="D2239" s="116">
        <v>1087.3336742986601</v>
      </c>
      <c r="E2239" s="116">
        <v>1098.29738759722</v>
      </c>
      <c r="F2239" s="116">
        <v>1112.8499999999999</v>
      </c>
      <c r="G2239">
        <v>35798</v>
      </c>
      <c r="H2239" s="116"/>
      <c r="I2239" s="116"/>
      <c r="L2239" s="170">
        <v>45301</v>
      </c>
      <c r="M2239" s="116">
        <v>1100.27395844684</v>
      </c>
      <c r="N2239" s="116">
        <v>1103.97791943627</v>
      </c>
      <c r="O2239" s="116">
        <v>1087.4829464966799</v>
      </c>
      <c r="P2239" s="116">
        <v>1098.3478987323399</v>
      </c>
      <c r="Q2239" s="116">
        <v>1113.95</v>
      </c>
      <c r="R2239">
        <v>933127</v>
      </c>
    </row>
    <row r="2240" spans="1:18" x14ac:dyDescent="0.25">
      <c r="A2240" s="170">
        <v>45302</v>
      </c>
      <c r="B2240" s="116">
        <v>1110.5451393901999</v>
      </c>
      <c r="C2240" s="116">
        <v>1105.9522324678301</v>
      </c>
      <c r="D2240" s="116">
        <v>1098.9394068444301</v>
      </c>
      <c r="E2240" s="116">
        <v>1106.0016185637701</v>
      </c>
      <c r="F2240" s="116">
        <v>1119.7</v>
      </c>
      <c r="G2240">
        <v>70962</v>
      </c>
      <c r="H2240" s="116"/>
      <c r="I2240" s="116"/>
      <c r="L2240" s="170">
        <v>45302</v>
      </c>
      <c r="M2240" s="116">
        <v>1105.5088899785701</v>
      </c>
      <c r="N2240" s="116">
        <v>1111.1389106825</v>
      </c>
      <c r="O2240" s="116">
        <v>1098.3972848788601</v>
      </c>
      <c r="P2240" s="116">
        <v>1103.28651338491</v>
      </c>
      <c r="Q2240" s="116">
        <v>1119.25</v>
      </c>
      <c r="R2240">
        <v>1084035</v>
      </c>
    </row>
    <row r="2241" spans="1:18" x14ac:dyDescent="0.25">
      <c r="A2241" s="170">
        <v>45303</v>
      </c>
      <c r="B2241" s="116">
        <v>1150.6960353889599</v>
      </c>
      <c r="C2241" s="116">
        <v>1144.47338730059</v>
      </c>
      <c r="D2241" s="116">
        <v>1110.3969811023801</v>
      </c>
      <c r="E2241" s="116">
        <v>1110.3969811023801</v>
      </c>
      <c r="F2241" s="116">
        <v>1158.7</v>
      </c>
      <c r="G2241">
        <v>166971</v>
      </c>
      <c r="H2241" s="116"/>
      <c r="I2241" s="116"/>
      <c r="L2241" s="170">
        <v>45303</v>
      </c>
      <c r="M2241" s="116">
        <v>1144.7708764665299</v>
      </c>
      <c r="N2241" s="116">
        <v>1151.2404616614001</v>
      </c>
      <c r="O2241" s="116">
        <v>1110.05241545894</v>
      </c>
      <c r="P2241" s="116">
        <v>1111.6327721477601</v>
      </c>
      <c r="Q2241" s="116">
        <v>1159</v>
      </c>
      <c r="R2241">
        <v>6018282</v>
      </c>
    </row>
    <row r="2242" spans="1:18" x14ac:dyDescent="0.25">
      <c r="A2242" s="170">
        <v>45306</v>
      </c>
      <c r="B2242" s="116">
        <v>1201.36616982283</v>
      </c>
      <c r="C2242" s="116">
        <v>1136.81854242998</v>
      </c>
      <c r="D2242" s="116">
        <v>1121.0643778253</v>
      </c>
      <c r="E2242" s="116">
        <v>1201.36616982283</v>
      </c>
      <c r="F2242" s="116">
        <v>1150.95</v>
      </c>
      <c r="G2242">
        <v>217431</v>
      </c>
      <c r="H2242" s="116"/>
      <c r="I2242" s="116"/>
      <c r="L2242" s="170">
        <v>45306</v>
      </c>
      <c r="M2242" s="116">
        <v>1136.6715484363101</v>
      </c>
      <c r="N2242" s="116">
        <v>1176.3286240964701</v>
      </c>
      <c r="O2242" s="116">
        <v>1120.8185954015501</v>
      </c>
      <c r="P2242" s="116">
        <v>1175.39028731248</v>
      </c>
      <c r="Q2242" s="116">
        <v>1150.8</v>
      </c>
      <c r="R2242">
        <v>4237485</v>
      </c>
    </row>
    <row r="2243" spans="1:18" x14ac:dyDescent="0.25">
      <c r="A2243" s="170">
        <v>45307</v>
      </c>
      <c r="B2243" s="116">
        <v>1147.7822557285399</v>
      </c>
      <c r="C2243" s="116">
        <v>1129.75633071064</v>
      </c>
      <c r="D2243" s="116">
        <v>1128.0278173527599</v>
      </c>
      <c r="E2243" s="116">
        <v>1142.74487394271</v>
      </c>
      <c r="F2243" s="116">
        <v>1143.8</v>
      </c>
      <c r="G2243">
        <v>98548</v>
      </c>
      <c r="H2243" s="116"/>
      <c r="I2243" s="116"/>
      <c r="L2243" s="170">
        <v>45307</v>
      </c>
      <c r="M2243" s="116">
        <v>1129.65871562965</v>
      </c>
      <c r="N2243" s="116">
        <v>1148.27729286986</v>
      </c>
      <c r="O2243" s="116">
        <v>1127.97958664778</v>
      </c>
      <c r="P2243" s="116">
        <v>1138.4000635647101</v>
      </c>
      <c r="Q2243" s="116">
        <v>1143.7</v>
      </c>
      <c r="R2243">
        <v>1449691</v>
      </c>
    </row>
    <row r="2244" spans="1:18" x14ac:dyDescent="0.25">
      <c r="A2244" s="170">
        <v>45308</v>
      </c>
      <c r="B2244" s="116">
        <v>1138.49766969192</v>
      </c>
      <c r="C2244" s="116">
        <v>1124.0769296776</v>
      </c>
      <c r="D2244" s="116">
        <v>1118.10121206893</v>
      </c>
      <c r="E2244" s="116">
        <v>1125.9042152273601</v>
      </c>
      <c r="F2244" s="116">
        <v>1138.05</v>
      </c>
      <c r="G2244">
        <v>68585</v>
      </c>
      <c r="H2244" s="116"/>
      <c r="I2244" s="116"/>
      <c r="L2244" s="170">
        <v>45308</v>
      </c>
      <c r="M2244" s="116">
        <v>1124.62132868403</v>
      </c>
      <c r="N2244" s="116">
        <v>1138.79515273691</v>
      </c>
      <c r="O2244" s="116">
        <v>1118.0035850495799</v>
      </c>
      <c r="P2244" s="116">
        <v>1120.0778032036601</v>
      </c>
      <c r="Q2244" s="116">
        <v>1138.5999999999999</v>
      </c>
      <c r="R2244">
        <v>1272932</v>
      </c>
    </row>
    <row r="2245" spans="1:18" x14ac:dyDescent="0.25">
      <c r="A2245" s="170">
        <v>45309</v>
      </c>
      <c r="B2245" s="116">
        <v>1135.0900290720999</v>
      </c>
      <c r="C2245" s="116">
        <v>1132.9664269467</v>
      </c>
      <c r="D2245" s="116">
        <v>1108.52030945668</v>
      </c>
      <c r="E2245" s="116">
        <v>1131.089755301</v>
      </c>
      <c r="F2245" s="116">
        <v>1147.05</v>
      </c>
      <c r="G2245">
        <v>39303</v>
      </c>
      <c r="H2245" s="116"/>
      <c r="I2245" s="116"/>
      <c r="L2245" s="170">
        <v>45309</v>
      </c>
      <c r="M2245" s="116">
        <v>1132.72065671425</v>
      </c>
      <c r="N2245" s="116">
        <v>1135.8813700919</v>
      </c>
      <c r="O2245" s="116">
        <v>1108.71898950274</v>
      </c>
      <c r="P2245" s="116">
        <v>1121.0161399876499</v>
      </c>
      <c r="Q2245" s="116">
        <v>1146.8</v>
      </c>
      <c r="R2245">
        <v>1218211</v>
      </c>
    </row>
    <row r="2246" spans="1:18" x14ac:dyDescent="0.25">
      <c r="A2246" s="170">
        <v>45310</v>
      </c>
      <c r="B2246" s="116">
        <v>1150.6960353889599</v>
      </c>
      <c r="C2246" s="116">
        <v>1147.2390086732</v>
      </c>
      <c r="D2246" s="116">
        <v>1132.81826865888</v>
      </c>
      <c r="E2246" s="116">
        <v>1144.07829853308</v>
      </c>
      <c r="F2246" s="116">
        <v>1161.5</v>
      </c>
      <c r="G2246">
        <v>73791</v>
      </c>
      <c r="H2246" s="116"/>
      <c r="I2246" s="116"/>
      <c r="L2246" s="170">
        <v>45310</v>
      </c>
      <c r="M2246" s="116">
        <v>1147.4377283789199</v>
      </c>
      <c r="N2246" s="116">
        <v>1151.2898478079301</v>
      </c>
      <c r="O2246" s="116">
        <v>1132.6218844212001</v>
      </c>
      <c r="P2246" s="116">
        <v>1142.54849987287</v>
      </c>
      <c r="Q2246" s="116">
        <v>1161.7</v>
      </c>
      <c r="R2246">
        <v>900162</v>
      </c>
    </row>
    <row r="2247" spans="1:18" x14ac:dyDescent="0.25">
      <c r="A2247" s="170">
        <v>45311</v>
      </c>
      <c r="B2247" s="116">
        <v>1152.81963751436</v>
      </c>
      <c r="C2247" s="116">
        <v>1136.3740675665199</v>
      </c>
      <c r="D2247" s="116">
        <v>1133.95414886549</v>
      </c>
      <c r="E2247" s="116">
        <v>1148.27611668793</v>
      </c>
      <c r="F2247" s="116">
        <v>1150.5</v>
      </c>
      <c r="G2247">
        <v>18680</v>
      </c>
      <c r="H2247" s="116"/>
      <c r="I2247" s="116"/>
      <c r="L2247" s="170">
        <v>45311</v>
      </c>
      <c r="M2247" s="116">
        <v>1135.9801423849501</v>
      </c>
      <c r="N2247" s="116">
        <v>1154.6481057716801</v>
      </c>
      <c r="O2247" s="116">
        <v>1134.0046965239201</v>
      </c>
      <c r="P2247" s="116">
        <v>1153.6603828411601</v>
      </c>
      <c r="Q2247" s="116">
        <v>1150.0999999999999</v>
      </c>
      <c r="R2247">
        <v>332777</v>
      </c>
    </row>
    <row r="2248" spans="1:18" x14ac:dyDescent="0.25">
      <c r="A2248" s="170">
        <v>45314</v>
      </c>
      <c r="B2248" s="116">
        <v>1151.6837573077501</v>
      </c>
      <c r="C2248" s="116">
        <v>1131.089755301</v>
      </c>
      <c r="D2248" s="116">
        <v>1123.6324548141499</v>
      </c>
      <c r="E2248" s="116">
        <v>1137.01608681374</v>
      </c>
      <c r="F2248" s="116">
        <v>1145.1500000000001</v>
      </c>
      <c r="G2248">
        <v>64769</v>
      </c>
      <c r="H2248" s="116"/>
      <c r="I2248" s="116"/>
      <c r="L2248" s="170">
        <v>45314</v>
      </c>
      <c r="M2248" s="116">
        <v>1131.5847753441601</v>
      </c>
      <c r="N2248" s="116">
        <v>1151.68493698013</v>
      </c>
      <c r="O2248" s="116">
        <v>1124.27562565835</v>
      </c>
      <c r="P2248" s="116">
        <v>1144.7214903199999</v>
      </c>
      <c r="Q2248" s="116">
        <v>1145.6500000000001</v>
      </c>
      <c r="R2248">
        <v>933643</v>
      </c>
    </row>
    <row r="2249" spans="1:18" x14ac:dyDescent="0.25">
      <c r="A2249" s="170">
        <v>45315</v>
      </c>
      <c r="B2249" s="116">
        <v>1146.5476033300499</v>
      </c>
      <c r="C2249" s="116">
        <v>1144.5721594924701</v>
      </c>
      <c r="D2249" s="116">
        <v>1120.07665590651</v>
      </c>
      <c r="E2249" s="116">
        <v>1130.1514194781601</v>
      </c>
      <c r="F2249" s="116">
        <v>1158.8</v>
      </c>
      <c r="G2249">
        <v>19740</v>
      </c>
      <c r="H2249" s="116"/>
      <c r="I2249" s="116"/>
      <c r="L2249" s="170">
        <v>45315</v>
      </c>
      <c r="M2249" s="116">
        <v>1144.7708764665299</v>
      </c>
      <c r="N2249" s="116">
        <v>1146.7463223275599</v>
      </c>
      <c r="O2249" s="116">
        <v>1120.0778032036601</v>
      </c>
      <c r="P2249" s="116">
        <v>1131.5353891976299</v>
      </c>
      <c r="Q2249" s="116">
        <v>1159</v>
      </c>
      <c r="R2249">
        <v>1040096</v>
      </c>
    </row>
    <row r="2250" spans="1:18" x14ac:dyDescent="0.25">
      <c r="A2250" s="170">
        <v>45316</v>
      </c>
      <c r="B2250" s="116">
        <v>1149.70831347017</v>
      </c>
      <c r="C2250" s="116">
        <v>1122.6941189913</v>
      </c>
      <c r="D2250" s="116">
        <v>1119.0889339877201</v>
      </c>
      <c r="E2250" s="116">
        <v>1144.5721594924701</v>
      </c>
      <c r="F2250" s="116">
        <v>1136.6500000000001</v>
      </c>
      <c r="G2250">
        <v>19032</v>
      </c>
      <c r="H2250" s="116"/>
      <c r="I2250" s="116"/>
      <c r="L2250" s="170">
        <v>45316</v>
      </c>
      <c r="M2250" s="116">
        <v>1122.7940412625801</v>
      </c>
      <c r="N2250" s="116">
        <v>1149.36378809342</v>
      </c>
      <c r="O2250" s="116">
        <v>1118.4480603683101</v>
      </c>
      <c r="P2250" s="116">
        <v>1145.7585993970399</v>
      </c>
      <c r="Q2250" s="116">
        <v>1136.75</v>
      </c>
      <c r="R2250">
        <v>1125321</v>
      </c>
    </row>
    <row r="2251" spans="1:18" x14ac:dyDescent="0.25">
      <c r="A2251" s="170">
        <v>45320</v>
      </c>
      <c r="B2251" s="116">
        <v>1134.8924846883399</v>
      </c>
      <c r="C2251" s="116">
        <v>1127.08948152991</v>
      </c>
      <c r="D2251" s="116">
        <v>1122.0520997440899</v>
      </c>
      <c r="E2251" s="116">
        <v>1122.6941189913</v>
      </c>
      <c r="F2251" s="116">
        <v>1141.0999999999999</v>
      </c>
      <c r="G2251">
        <v>20736</v>
      </c>
      <c r="H2251" s="116"/>
      <c r="I2251" s="116"/>
      <c r="L2251" s="170">
        <v>45320</v>
      </c>
      <c r="M2251" s="116">
        <v>1127.04124986379</v>
      </c>
      <c r="N2251" s="116">
        <v>1135.09119174748</v>
      </c>
      <c r="O2251" s="116">
        <v>1121.0655261341799</v>
      </c>
      <c r="P2251" s="116">
        <v>1122.7940412625801</v>
      </c>
      <c r="Q2251" s="116">
        <v>1141.05</v>
      </c>
      <c r="R2251">
        <v>1588430</v>
      </c>
    </row>
    <row r="2252" spans="1:18" x14ac:dyDescent="0.25">
      <c r="A2252" s="170">
        <v>45321</v>
      </c>
      <c r="B2252" s="116">
        <v>1132.9664269467</v>
      </c>
      <c r="C2252" s="116">
        <v>1109.0141704160701</v>
      </c>
      <c r="D2252" s="116">
        <v>1106.98934048256</v>
      </c>
      <c r="E2252" s="116">
        <v>1128.12658954464</v>
      </c>
      <c r="F2252" s="116">
        <v>1122.8</v>
      </c>
      <c r="G2252">
        <v>44840</v>
      </c>
      <c r="H2252" s="116"/>
      <c r="I2252" s="116"/>
      <c r="L2252" s="170">
        <v>45321</v>
      </c>
      <c r="M2252" s="116">
        <v>1109.11407867495</v>
      </c>
      <c r="N2252" s="116">
        <v>1133.11574588646</v>
      </c>
      <c r="O2252" s="116">
        <v>1106.8917020812901</v>
      </c>
      <c r="P2252" s="116">
        <v>1130.8933692927999</v>
      </c>
      <c r="Q2252" s="116">
        <v>1122.9000000000001</v>
      </c>
      <c r="R2252">
        <v>798009</v>
      </c>
    </row>
    <row r="2253" spans="1:18" x14ac:dyDescent="0.25">
      <c r="A2253" s="170">
        <v>45322</v>
      </c>
      <c r="B2253" s="116">
        <v>1113.7552356262599</v>
      </c>
      <c r="C2253" s="116">
        <v>1103.6804720546099</v>
      </c>
      <c r="D2253" s="116">
        <v>1098.64309026879</v>
      </c>
      <c r="E2253" s="116">
        <v>1109.80434795111</v>
      </c>
      <c r="F2253" s="116">
        <v>1117.4000000000001</v>
      </c>
      <c r="G2253">
        <v>215207</v>
      </c>
      <c r="H2253" s="116"/>
      <c r="I2253" s="116"/>
      <c r="L2253" s="170">
        <v>45322</v>
      </c>
      <c r="M2253" s="116">
        <v>1104.27423631543</v>
      </c>
      <c r="N2253" s="116">
        <v>1113.6576041553201</v>
      </c>
      <c r="O2253" s="116">
        <v>1098.3478987323399</v>
      </c>
      <c r="P2253" s="116">
        <v>1111.1882968290299</v>
      </c>
      <c r="Q2253" s="116">
        <v>1118</v>
      </c>
      <c r="R2253">
        <v>2428738</v>
      </c>
    </row>
    <row r="2254" spans="1:18" x14ac:dyDescent="0.25">
      <c r="A2254" s="170">
        <v>45323</v>
      </c>
      <c r="B2254" s="116">
        <v>1121.11376392124</v>
      </c>
      <c r="C2254" s="116">
        <v>1116.0763821354101</v>
      </c>
      <c r="D2254" s="116">
        <v>1094.3958860180001</v>
      </c>
      <c r="E2254" s="116">
        <v>1105.65591589219</v>
      </c>
      <c r="F2254" s="116">
        <v>1129.95</v>
      </c>
      <c r="G2254">
        <v>1032260</v>
      </c>
      <c r="H2254" s="116"/>
      <c r="I2254" s="116"/>
      <c r="L2254" s="170">
        <v>45323</v>
      </c>
      <c r="M2254" s="116">
        <v>1115.78120845592</v>
      </c>
      <c r="N2254" s="116">
        <v>1120.96675384112</v>
      </c>
      <c r="O2254" s="116">
        <v>1094.39700701028</v>
      </c>
      <c r="P2254" s="116">
        <v>1104.27423631543</v>
      </c>
      <c r="Q2254" s="116">
        <v>1129.6500000000001</v>
      </c>
      <c r="R2254">
        <v>4728358</v>
      </c>
    </row>
    <row r="2255" spans="1:18" x14ac:dyDescent="0.25">
      <c r="A2255" s="170">
        <v>45324</v>
      </c>
      <c r="B2255" s="116">
        <v>1155.63464498291</v>
      </c>
      <c r="C2255" s="116">
        <v>1148.17734449605</v>
      </c>
      <c r="D2255" s="116">
        <v>1120.1754280983901</v>
      </c>
      <c r="E2255" s="116">
        <v>1124.8671072126299</v>
      </c>
      <c r="F2255" s="116">
        <v>1162.45</v>
      </c>
      <c r="G2255">
        <v>108040</v>
      </c>
      <c r="H2255" s="116"/>
      <c r="I2255" s="116"/>
      <c r="L2255" s="170">
        <v>45324</v>
      </c>
      <c r="M2255" s="116">
        <v>1148.4748374559599</v>
      </c>
      <c r="N2255" s="116">
        <v>1156.3272347535501</v>
      </c>
      <c r="O2255" s="116">
        <v>1118.1023573426301</v>
      </c>
      <c r="P2255" s="116">
        <v>1118.1023573426301</v>
      </c>
      <c r="Q2255" s="116">
        <v>1162.75</v>
      </c>
      <c r="R2255">
        <v>1741322</v>
      </c>
    </row>
    <row r="2256" spans="1:18" x14ac:dyDescent="0.25">
      <c r="A2256" s="170">
        <v>45327</v>
      </c>
      <c r="B2256" s="116">
        <v>1162.2523818387899</v>
      </c>
      <c r="C2256" s="116">
        <v>1136.1271370868301</v>
      </c>
      <c r="D2256" s="116">
        <v>1133.01581304264</v>
      </c>
      <c r="E2256" s="116">
        <v>1153.8567455290899</v>
      </c>
      <c r="F2256" s="116">
        <v>1150.25</v>
      </c>
      <c r="G2256">
        <v>250083</v>
      </c>
      <c r="H2256" s="116"/>
      <c r="I2256" s="116"/>
      <c r="L2256" s="170">
        <v>45327</v>
      </c>
      <c r="M2256" s="116">
        <v>1136.6221622897799</v>
      </c>
      <c r="N2256" s="116">
        <v>1162.54988921579</v>
      </c>
      <c r="O2256" s="116">
        <v>1132.2267952489899</v>
      </c>
      <c r="P2256" s="116">
        <v>1155.53705640914</v>
      </c>
      <c r="Q2256" s="116">
        <v>1150.75</v>
      </c>
      <c r="R2256">
        <v>1266268</v>
      </c>
    </row>
    <row r="2257" spans="1:18" x14ac:dyDescent="0.25">
      <c r="A2257" s="170">
        <v>45328</v>
      </c>
      <c r="B2257" s="116">
        <v>1152.1776182671499</v>
      </c>
      <c r="C2257" s="116">
        <v>1148.47366107169</v>
      </c>
      <c r="D2257" s="116">
        <v>1133.6084461939199</v>
      </c>
      <c r="E2257" s="116">
        <v>1135.38634564774</v>
      </c>
      <c r="F2257" s="116">
        <v>1162.75</v>
      </c>
      <c r="G2257">
        <v>28073</v>
      </c>
      <c r="H2257" s="116"/>
      <c r="I2257" s="116"/>
      <c r="L2257" s="170">
        <v>45328</v>
      </c>
      <c r="M2257" s="116">
        <v>1149.2650158003701</v>
      </c>
      <c r="N2257" s="116">
        <v>1152.47511532454</v>
      </c>
      <c r="O2257" s="116">
        <v>1128.07835894083</v>
      </c>
      <c r="P2257" s="116">
        <v>1128.07835894083</v>
      </c>
      <c r="Q2257" s="116">
        <v>1163.55</v>
      </c>
      <c r="R2257">
        <v>1219085</v>
      </c>
    </row>
    <row r="2258" spans="1:18" x14ac:dyDescent="0.25">
      <c r="A2258" s="170">
        <v>45329</v>
      </c>
      <c r="B2258" s="116">
        <v>1161.0177294403099</v>
      </c>
      <c r="C2258" s="116">
        <v>1151.8319155955701</v>
      </c>
      <c r="D2258" s="116">
        <v>1138.9421445553801</v>
      </c>
      <c r="E2258" s="116">
        <v>1151.8319155955701</v>
      </c>
      <c r="F2258" s="116">
        <v>1166.1500000000001</v>
      </c>
      <c r="G2258">
        <v>56913</v>
      </c>
      <c r="H2258" s="116"/>
      <c r="I2258" s="116"/>
      <c r="L2258" s="170">
        <v>45329</v>
      </c>
      <c r="M2258" s="116">
        <v>1151.8824815662299</v>
      </c>
      <c r="N2258" s="116">
        <v>1160.57444335476</v>
      </c>
      <c r="O2258" s="116">
        <v>1138.89392502997</v>
      </c>
      <c r="P2258" s="116">
        <v>1153.70976898769</v>
      </c>
      <c r="Q2258" s="116">
        <v>1166.2</v>
      </c>
      <c r="R2258">
        <v>864874</v>
      </c>
    </row>
    <row r="2259" spans="1:18" x14ac:dyDescent="0.25">
      <c r="A2259" s="170">
        <v>45330</v>
      </c>
      <c r="B2259" s="116">
        <v>1147.9304140163499</v>
      </c>
      <c r="C2259" s="116">
        <v>1124.5214045410601</v>
      </c>
      <c r="D2259" s="116">
        <v>1111.38470302117</v>
      </c>
      <c r="E2259" s="116">
        <v>1138.8927584594401</v>
      </c>
      <c r="F2259" s="116">
        <v>1138.5</v>
      </c>
      <c r="G2259">
        <v>119170</v>
      </c>
      <c r="H2259" s="116"/>
      <c r="I2259" s="116"/>
      <c r="L2259" s="170">
        <v>45330</v>
      </c>
      <c r="M2259" s="116">
        <v>1123.92992263267</v>
      </c>
      <c r="N2259" s="116">
        <v>1148.62299589554</v>
      </c>
      <c r="O2259" s="116">
        <v>1111.1882968290299</v>
      </c>
      <c r="P2259" s="116">
        <v>1145.7585993970399</v>
      </c>
      <c r="Q2259" s="116">
        <v>1137.9000000000001</v>
      </c>
      <c r="R2259">
        <v>2477973</v>
      </c>
    </row>
    <row r="2260" spans="1:18" x14ac:dyDescent="0.25">
      <c r="A2260" s="170">
        <v>45331</v>
      </c>
      <c r="B2260" s="116">
        <v>1135.58389003149</v>
      </c>
      <c r="C2260" s="116">
        <v>1117.5085789176601</v>
      </c>
      <c r="D2260" s="116">
        <v>1105.9028463718901</v>
      </c>
      <c r="E2260" s="116">
        <v>1129.4106280390599</v>
      </c>
      <c r="F2260" s="116">
        <v>1131.4000000000001</v>
      </c>
      <c r="G2260">
        <v>71133</v>
      </c>
      <c r="H2260" s="116"/>
      <c r="I2260" s="116"/>
      <c r="L2260" s="170">
        <v>45331</v>
      </c>
      <c r="M2260" s="116">
        <v>1115.3861192837201</v>
      </c>
      <c r="N2260" s="116">
        <v>1135.2887363335899</v>
      </c>
      <c r="O2260" s="116">
        <v>1106.1015237368799</v>
      </c>
      <c r="P2260" s="116">
        <v>1127.97958664778</v>
      </c>
      <c r="Q2260" s="116">
        <v>1129.25</v>
      </c>
      <c r="R2260">
        <v>917196</v>
      </c>
    </row>
    <row r="2261" spans="1:18" x14ac:dyDescent="0.25">
      <c r="A2261" s="170">
        <v>45334</v>
      </c>
      <c r="B2261" s="116">
        <v>1120.07665590651</v>
      </c>
      <c r="C2261" s="116">
        <v>1108.56969555262</v>
      </c>
      <c r="D2261" s="116">
        <v>1098.7912485566101</v>
      </c>
      <c r="E2261" s="116">
        <v>1117.5085789176601</v>
      </c>
      <c r="F2261" s="116">
        <v>1122.3499999999999</v>
      </c>
      <c r="G2261">
        <v>107874</v>
      </c>
      <c r="H2261" s="116"/>
      <c r="I2261" s="116"/>
      <c r="L2261" s="170">
        <v>45334</v>
      </c>
      <c r="M2261" s="116">
        <v>1108.42267262359</v>
      </c>
      <c r="N2261" s="116">
        <v>1120.4728923758701</v>
      </c>
      <c r="O2261" s="116">
        <v>1061.8021503032901</v>
      </c>
      <c r="P2261" s="116">
        <v>1116.17629762813</v>
      </c>
      <c r="Q2261" s="116">
        <v>1122.2</v>
      </c>
      <c r="R2261">
        <v>898953</v>
      </c>
    </row>
    <row r="2262" spans="1:18" x14ac:dyDescent="0.25">
      <c r="A2262" s="170">
        <v>45335</v>
      </c>
      <c r="B2262" s="116">
        <v>1126.2993039948799</v>
      </c>
      <c r="C2262" s="116">
        <v>1123.1879799506901</v>
      </c>
      <c r="D2262" s="116">
        <v>1104.5694217815201</v>
      </c>
      <c r="E2262" s="116">
        <v>1106.3967073312799</v>
      </c>
      <c r="F2262" s="116">
        <v>1137.1500000000001</v>
      </c>
      <c r="G2262">
        <v>65304</v>
      </c>
      <c r="H2262" s="116"/>
      <c r="I2262" s="116"/>
      <c r="L2262" s="170">
        <v>45335</v>
      </c>
      <c r="M2262" s="116">
        <v>1123.8311503396201</v>
      </c>
      <c r="N2262" s="116">
        <v>1127.28818059642</v>
      </c>
      <c r="O2262" s="116">
        <v>1104.4717809015301</v>
      </c>
      <c r="P2262" s="116">
        <v>1109.2128509680001</v>
      </c>
      <c r="Q2262" s="116">
        <v>1137.8</v>
      </c>
      <c r="R2262">
        <v>886148</v>
      </c>
    </row>
    <row r="2263" spans="1:18" x14ac:dyDescent="0.25">
      <c r="A2263" s="170">
        <v>45336</v>
      </c>
      <c r="B2263" s="116">
        <v>1126.0029874192401</v>
      </c>
      <c r="C2263" s="116">
        <v>1121.01499172936</v>
      </c>
      <c r="D2263" s="116">
        <v>1106.5942517150399</v>
      </c>
      <c r="E2263" s="116">
        <v>1122.49657460754</v>
      </c>
      <c r="F2263" s="116">
        <v>1134.95</v>
      </c>
      <c r="G2263">
        <v>27948</v>
      </c>
      <c r="H2263" s="116"/>
      <c r="I2263" s="116"/>
      <c r="L2263" s="170">
        <v>45336</v>
      </c>
      <c r="M2263" s="116">
        <v>1121.6581598924799</v>
      </c>
      <c r="N2263" s="116">
        <v>1125.8559823471701</v>
      </c>
      <c r="O2263" s="116">
        <v>1106.2496821764601</v>
      </c>
      <c r="P2263" s="116">
        <v>1121.1149122807001</v>
      </c>
      <c r="Q2263" s="116">
        <v>1135.5999999999999</v>
      </c>
      <c r="R2263">
        <v>1206706</v>
      </c>
    </row>
    <row r="2264" spans="1:18" x14ac:dyDescent="0.25">
      <c r="A2264" s="170">
        <v>45337</v>
      </c>
      <c r="B2264" s="116">
        <v>1131.9293189319701</v>
      </c>
      <c r="C2264" s="116">
        <v>1118.29875645269</v>
      </c>
      <c r="D2264" s="116">
        <v>1113.4095329546799</v>
      </c>
      <c r="E2264" s="116">
        <v>1124.5707906370001</v>
      </c>
      <c r="F2264" s="116">
        <v>1132.2</v>
      </c>
      <c r="G2264">
        <v>17314</v>
      </c>
      <c r="H2264" s="116"/>
      <c r="I2264" s="116"/>
      <c r="L2264" s="170">
        <v>45337</v>
      </c>
      <c r="M2264" s="116">
        <v>1117.50972358432</v>
      </c>
      <c r="N2264" s="116">
        <v>1132.6712705677201</v>
      </c>
      <c r="O2264" s="116">
        <v>1113.41067342269</v>
      </c>
      <c r="P2264" s="116">
        <v>1126.05352693328</v>
      </c>
      <c r="Q2264" s="116">
        <v>1131.4000000000001</v>
      </c>
      <c r="R2264">
        <v>1278358</v>
      </c>
    </row>
    <row r="2265" spans="1:18" x14ac:dyDescent="0.25">
      <c r="A2265" s="170">
        <v>45338</v>
      </c>
      <c r="B2265" s="116">
        <v>1135.73204831931</v>
      </c>
      <c r="C2265" s="116">
        <v>1133.0651991385801</v>
      </c>
      <c r="D2265" s="116">
        <v>1118.29875645269</v>
      </c>
      <c r="E2265" s="116">
        <v>1127.8302729689999</v>
      </c>
      <c r="F2265" s="116">
        <v>1147.1500000000001</v>
      </c>
      <c r="G2265">
        <v>48239</v>
      </c>
      <c r="H2265" s="116"/>
      <c r="I2265" s="116"/>
      <c r="L2265" s="170">
        <v>45338</v>
      </c>
      <c r="M2265" s="116">
        <v>1133.36267661908</v>
      </c>
      <c r="N2265" s="116">
        <v>1135.2887363335899</v>
      </c>
      <c r="O2265" s="116">
        <v>1118.49744651484</v>
      </c>
      <c r="P2265" s="116">
        <v>1121.0655261341799</v>
      </c>
      <c r="Q2265" s="116">
        <v>1147.45</v>
      </c>
      <c r="R2265">
        <v>1213292</v>
      </c>
    </row>
    <row r="2266" spans="1:18" x14ac:dyDescent="0.25">
      <c r="A2266" s="170">
        <v>45341</v>
      </c>
      <c r="B2266" s="116">
        <v>1149.90585785393</v>
      </c>
      <c r="C2266" s="116">
        <v>1139.4360055147699</v>
      </c>
      <c r="D2266" s="116">
        <v>1130.7934387253699</v>
      </c>
      <c r="E2266" s="116">
        <v>1134.4480098248901</v>
      </c>
      <c r="F2266" s="116">
        <v>1153.5999999999999</v>
      </c>
      <c r="G2266">
        <v>27687</v>
      </c>
      <c r="H2266" s="116"/>
      <c r="I2266" s="116"/>
      <c r="L2266" s="170">
        <v>45341</v>
      </c>
      <c r="M2266" s="116">
        <v>1140.81998474447</v>
      </c>
      <c r="N2266" s="116">
        <v>1149.9564218517301</v>
      </c>
      <c r="O2266" s="116">
        <v>1130.44889397407</v>
      </c>
      <c r="P2266" s="116">
        <v>1135.8813700919</v>
      </c>
      <c r="Q2266" s="116">
        <v>1155</v>
      </c>
      <c r="R2266">
        <v>961914</v>
      </c>
    </row>
    <row r="2267" spans="1:18" x14ac:dyDescent="0.25">
      <c r="A2267" s="170">
        <v>45342</v>
      </c>
      <c r="B2267" s="116">
        <v>1144.07829853308</v>
      </c>
      <c r="C2267" s="116">
        <v>1140.12741085792</v>
      </c>
      <c r="D2267" s="116">
        <v>1125.2128098842099</v>
      </c>
      <c r="E2267" s="116">
        <v>1140.3249552416801</v>
      </c>
      <c r="F2267" s="116">
        <v>1154.3</v>
      </c>
      <c r="G2267">
        <v>15554</v>
      </c>
      <c r="H2267" s="116"/>
      <c r="I2267" s="116"/>
      <c r="L2267" s="170">
        <v>45342</v>
      </c>
      <c r="M2267" s="116">
        <v>1140.22735098616</v>
      </c>
      <c r="N2267" s="116">
        <v>1144.7708764665299</v>
      </c>
      <c r="O2267" s="116">
        <v>1124.8188732701301</v>
      </c>
      <c r="P2267" s="116">
        <v>1140.3261232792099</v>
      </c>
      <c r="Q2267" s="116">
        <v>1154.4000000000001</v>
      </c>
      <c r="R2267">
        <v>1056193</v>
      </c>
    </row>
    <row r="2268" spans="1:18" x14ac:dyDescent="0.25">
      <c r="A2268" s="170">
        <v>45343</v>
      </c>
      <c r="B2268" s="116">
        <v>1157.21500005297</v>
      </c>
      <c r="C2268" s="116">
        <v>1145.70803969908</v>
      </c>
      <c r="D2268" s="116">
        <v>1135.63327612743</v>
      </c>
      <c r="E2268" s="116">
        <v>1136.5222258543399</v>
      </c>
      <c r="F2268" s="116">
        <v>1159.95</v>
      </c>
      <c r="G2268">
        <v>64913</v>
      </c>
      <c r="H2268" s="116"/>
      <c r="I2268" s="116"/>
      <c r="L2268" s="170">
        <v>45343</v>
      </c>
      <c r="M2268" s="116">
        <v>1146.4993915949301</v>
      </c>
      <c r="N2268" s="116">
        <v>1157.51250227017</v>
      </c>
      <c r="O2268" s="116">
        <v>1135.9307562384199</v>
      </c>
      <c r="P2268" s="116">
        <v>1140.81998474447</v>
      </c>
      <c r="Q2268" s="116">
        <v>1160.75</v>
      </c>
      <c r="R2268">
        <v>1445959</v>
      </c>
    </row>
    <row r="2269" spans="1:18" x14ac:dyDescent="0.25">
      <c r="A2269" s="170">
        <v>45344</v>
      </c>
      <c r="B2269" s="116">
        <v>1150.05401614175</v>
      </c>
      <c r="C2269" s="116">
        <v>1144.7203177802901</v>
      </c>
      <c r="D2269" s="116">
        <v>1128.9661531756101</v>
      </c>
      <c r="E2269" s="116">
        <v>1150.05401614175</v>
      </c>
      <c r="F2269" s="116">
        <v>1158.95</v>
      </c>
      <c r="G2269">
        <v>19800</v>
      </c>
      <c r="H2269" s="116"/>
      <c r="I2269" s="116"/>
      <c r="L2269" s="170">
        <v>45344</v>
      </c>
      <c r="M2269" s="116">
        <v>1145.26473793179</v>
      </c>
      <c r="N2269" s="116">
        <v>1150.45028331699</v>
      </c>
      <c r="O2269" s="116">
        <v>1128.42406196651</v>
      </c>
      <c r="P2269" s="116">
        <v>1146.7463223275599</v>
      </c>
      <c r="Q2269" s="116">
        <v>1159.5</v>
      </c>
      <c r="R2269">
        <v>1689403</v>
      </c>
    </row>
    <row r="2270" spans="1:18" x14ac:dyDescent="0.25">
      <c r="A2270" s="170">
        <v>45345</v>
      </c>
      <c r="B2270" s="116">
        <v>1150.8935797727199</v>
      </c>
      <c r="C2270" s="116">
        <v>1146.0537423706501</v>
      </c>
      <c r="D2270" s="116">
        <v>1141.11513277671</v>
      </c>
      <c r="E2270" s="116">
        <v>1144.7697038762301</v>
      </c>
      <c r="F2270" s="116">
        <v>1160.3</v>
      </c>
      <c r="G2270">
        <v>18367</v>
      </c>
      <c r="H2270" s="116"/>
      <c r="I2270" s="116"/>
      <c r="L2270" s="170">
        <v>45345</v>
      </c>
      <c r="M2270" s="116">
        <v>1146.0549162761999</v>
      </c>
      <c r="N2270" s="116">
        <v>1151.2898478079301</v>
      </c>
      <c r="O2270" s="116">
        <v>1141.0175293305699</v>
      </c>
      <c r="P2270" s="116">
        <v>1143.7831535360101</v>
      </c>
      <c r="Q2270" s="116">
        <v>1160.3</v>
      </c>
      <c r="R2270">
        <v>1280859</v>
      </c>
    </row>
    <row r="2271" spans="1:18" x14ac:dyDescent="0.25">
      <c r="A2271" s="170">
        <v>45348</v>
      </c>
      <c r="B2271" s="116">
        <v>1167.9317828718299</v>
      </c>
      <c r="C2271" s="116">
        <v>1162.1536096469099</v>
      </c>
      <c r="D2271" s="116">
        <v>1135.88020660713</v>
      </c>
      <c r="E2271" s="116">
        <v>1145.65865360314</v>
      </c>
      <c r="F2271" s="116">
        <v>1176.5999999999999</v>
      </c>
      <c r="G2271">
        <v>63690</v>
      </c>
      <c r="H2271" s="116"/>
      <c r="I2271" s="116"/>
      <c r="L2271" s="170">
        <v>45348</v>
      </c>
      <c r="M2271" s="116">
        <v>1162.64866150884</v>
      </c>
      <c r="N2271" s="116">
        <v>1168.27868221278</v>
      </c>
      <c r="O2271" s="116">
        <v>1135.3381224801101</v>
      </c>
      <c r="P2271" s="116">
        <v>1144.7708764665299</v>
      </c>
      <c r="Q2271" s="116">
        <v>1177.0999999999999</v>
      </c>
      <c r="R2271">
        <v>1292210</v>
      </c>
    </row>
    <row r="2272" spans="1:18" x14ac:dyDescent="0.25">
      <c r="A2272" s="170">
        <v>45349</v>
      </c>
      <c r="B2272" s="116">
        <v>1174.40136143989</v>
      </c>
      <c r="C2272" s="116">
        <v>1168.8207325987401</v>
      </c>
      <c r="D2272" s="116">
        <v>1159.93123532964</v>
      </c>
      <c r="E2272" s="116">
        <v>1167.28976362461</v>
      </c>
      <c r="F2272" s="116">
        <v>1183.3499999999999</v>
      </c>
      <c r="G2272">
        <v>37386</v>
      </c>
      <c r="H2272" s="116"/>
      <c r="I2272" s="116"/>
      <c r="L2272" s="170">
        <v>45349</v>
      </c>
      <c r="M2272" s="116">
        <v>1169.06886055719</v>
      </c>
      <c r="N2272" s="116">
        <v>1175.09397043333</v>
      </c>
      <c r="O2272" s="116">
        <v>1160.52505720824</v>
      </c>
      <c r="P2272" s="116">
        <v>1167.4885038683699</v>
      </c>
      <c r="Q2272" s="116">
        <v>1183.5999999999999</v>
      </c>
      <c r="R2272">
        <v>1584564</v>
      </c>
    </row>
    <row r="2273" spans="1:18" x14ac:dyDescent="0.25">
      <c r="A2273" s="170">
        <v>45350</v>
      </c>
      <c r="B2273" s="116">
        <v>1190.20491214051</v>
      </c>
      <c r="C2273" s="116">
        <v>1153.5110428575099</v>
      </c>
      <c r="D2273" s="116">
        <v>1148.76997764732</v>
      </c>
      <c r="E2273" s="116">
        <v>1169.0182769824901</v>
      </c>
      <c r="F2273" s="116">
        <v>1167.8499999999999</v>
      </c>
      <c r="G2273">
        <v>63709</v>
      </c>
      <c r="H2273" s="116"/>
      <c r="I2273" s="116"/>
      <c r="L2273" s="170">
        <v>45350</v>
      </c>
      <c r="M2273" s="116">
        <v>1153.6109966946401</v>
      </c>
      <c r="N2273" s="116">
        <v>1190.2061312702001</v>
      </c>
      <c r="O2273" s="116">
        <v>1148.8205404816399</v>
      </c>
      <c r="P2273" s="116">
        <v>1175.14335657986</v>
      </c>
      <c r="Q2273" s="116">
        <v>1167.95</v>
      </c>
      <c r="R2273">
        <v>2170054</v>
      </c>
    </row>
    <row r="2274" spans="1:18" x14ac:dyDescent="0.25">
      <c r="A2274" s="170">
        <v>45351</v>
      </c>
      <c r="B2274" s="116">
        <v>1183.1920865171101</v>
      </c>
      <c r="C2274" s="116">
        <v>1176.7225079490499</v>
      </c>
      <c r="D2274" s="116">
        <v>1137.11485900562</v>
      </c>
      <c r="E2274" s="116">
        <v>1150.8441936767799</v>
      </c>
      <c r="F2274" s="116">
        <v>1191.3499999999999</v>
      </c>
      <c r="G2274">
        <v>46558</v>
      </c>
      <c r="H2274" s="116"/>
      <c r="I2274" s="116"/>
      <c r="L2274" s="170">
        <v>45351</v>
      </c>
      <c r="M2274" s="116">
        <v>1175.43967345901</v>
      </c>
      <c r="N2274" s="116">
        <v>1184.27979368712</v>
      </c>
      <c r="O2274" s="116">
        <v>1136.47400385021</v>
      </c>
      <c r="P2274" s="116">
        <v>1152.6232737641201</v>
      </c>
      <c r="Q2274" s="116">
        <v>1190.05</v>
      </c>
      <c r="R2274">
        <v>2722341</v>
      </c>
    </row>
    <row r="2275" spans="1:18" x14ac:dyDescent="0.25">
      <c r="A2275" s="170">
        <v>45352</v>
      </c>
      <c r="B2275" s="116">
        <v>1198.35361797052</v>
      </c>
      <c r="C2275" s="116">
        <v>1185.3156886425099</v>
      </c>
      <c r="D2275" s="116">
        <v>1179.4881293216599</v>
      </c>
      <c r="E2275" s="116">
        <v>1185.2663025465699</v>
      </c>
      <c r="F2275" s="116">
        <v>1200.05</v>
      </c>
      <c r="G2275">
        <v>78564</v>
      </c>
      <c r="H2275" s="116"/>
      <c r="I2275" s="116"/>
      <c r="L2275" s="170">
        <v>45352</v>
      </c>
      <c r="M2275" s="116">
        <v>1186.25523954815</v>
      </c>
      <c r="N2275" s="116">
        <v>1198.7499346191601</v>
      </c>
      <c r="O2275" s="116">
        <v>1179.58810976717</v>
      </c>
      <c r="P2275" s="116">
        <v>1189.2184083396901</v>
      </c>
      <c r="Q2275" s="116">
        <v>1201</v>
      </c>
      <c r="R2275">
        <v>1804771</v>
      </c>
    </row>
    <row r="2276" spans="1:18" x14ac:dyDescent="0.25">
      <c r="A2276" s="170">
        <v>45353</v>
      </c>
      <c r="B2276" s="116">
        <v>1197.36589605173</v>
      </c>
      <c r="C2276" s="116">
        <v>1192.0321976902701</v>
      </c>
      <c r="D2276" s="116">
        <v>1185.3650747384499</v>
      </c>
      <c r="E2276" s="116">
        <v>1196.1312436532501</v>
      </c>
      <c r="F2276" s="116">
        <v>1206.8499999999999</v>
      </c>
      <c r="G2276">
        <v>3345</v>
      </c>
      <c r="H2276" s="116"/>
      <c r="I2276" s="116"/>
      <c r="L2276" s="170">
        <v>45353</v>
      </c>
      <c r="M2276" s="116">
        <v>1192.42850786386</v>
      </c>
      <c r="N2276" s="116">
        <v>1198.10791471432</v>
      </c>
      <c r="O2276" s="116">
        <v>1185.26751661763</v>
      </c>
      <c r="P2276" s="116">
        <v>1194.15702299226</v>
      </c>
      <c r="Q2276" s="116">
        <v>1207.25</v>
      </c>
      <c r="R2276">
        <v>149379</v>
      </c>
    </row>
    <row r="2277" spans="1:18" x14ac:dyDescent="0.25">
      <c r="A2277" s="170">
        <v>45355</v>
      </c>
      <c r="B2277" s="116">
        <v>1197.46466824361</v>
      </c>
      <c r="C2277" s="116">
        <v>1187.6368351516601</v>
      </c>
      <c r="D2277" s="116">
        <v>1174.9939945911699</v>
      </c>
      <c r="E2277" s="116">
        <v>1192.3285142659099</v>
      </c>
      <c r="F2277" s="116">
        <v>1202.4000000000001</v>
      </c>
      <c r="G2277">
        <v>27377</v>
      </c>
      <c r="H2277" s="116"/>
      <c r="I2277" s="116"/>
      <c r="L2277" s="170">
        <v>45355</v>
      </c>
      <c r="M2277" s="116">
        <v>1188.4776161417999</v>
      </c>
      <c r="N2277" s="116">
        <v>1199.0956376448401</v>
      </c>
      <c r="O2277" s="116">
        <v>1175.39028731248</v>
      </c>
      <c r="P2277" s="116">
        <v>1192.13219098471</v>
      </c>
      <c r="Q2277" s="116">
        <v>1203.25</v>
      </c>
      <c r="R2277">
        <v>790960</v>
      </c>
    </row>
    <row r="2278" spans="1:18" x14ac:dyDescent="0.25">
      <c r="A2278" s="170">
        <v>45356</v>
      </c>
      <c r="B2278" s="116">
        <v>1197.0695794761</v>
      </c>
      <c r="C2278" s="116">
        <v>1185.46384693033</v>
      </c>
      <c r="D2278" s="116">
        <v>1181.31541487142</v>
      </c>
      <c r="E2278" s="116">
        <v>1190.5012287161501</v>
      </c>
      <c r="F2278" s="116">
        <v>1200.2</v>
      </c>
      <c r="G2278">
        <v>21177</v>
      </c>
      <c r="H2278" s="116"/>
      <c r="I2278" s="116"/>
      <c r="L2278" s="170">
        <v>45356</v>
      </c>
      <c r="M2278" s="116">
        <v>1185.8601503759401</v>
      </c>
      <c r="N2278" s="116">
        <v>1197.0214194907601</v>
      </c>
      <c r="O2278" s="116">
        <v>1181.3166248955699</v>
      </c>
      <c r="P2278" s="116">
        <v>1192.03341869166</v>
      </c>
      <c r="Q2278" s="116">
        <v>1200.5999999999999</v>
      </c>
      <c r="R2278">
        <v>867925</v>
      </c>
    </row>
    <row r="2279" spans="1:18" x14ac:dyDescent="0.25">
      <c r="A2279" s="170">
        <v>45357</v>
      </c>
      <c r="B2279" s="116">
        <v>1206.99618475992</v>
      </c>
      <c r="C2279" s="116">
        <v>1204.8725826345301</v>
      </c>
      <c r="D2279" s="116">
        <v>1177.8090020597199</v>
      </c>
      <c r="E2279" s="116">
        <v>1198.55116235428</v>
      </c>
      <c r="F2279" s="116">
        <v>1219.8499999999999</v>
      </c>
      <c r="G2279">
        <v>40500</v>
      </c>
      <c r="H2279" s="116"/>
      <c r="I2279" s="116"/>
      <c r="L2279" s="170">
        <v>45357</v>
      </c>
      <c r="M2279" s="116">
        <v>1205.0713613744499</v>
      </c>
      <c r="N2279" s="116">
        <v>1207.98514401947</v>
      </c>
      <c r="O2279" s="116">
        <v>1177.3657331735101</v>
      </c>
      <c r="P2279" s="116">
        <v>1189.02086375359</v>
      </c>
      <c r="Q2279" s="116">
        <v>1220.05</v>
      </c>
      <c r="R2279">
        <v>1367260</v>
      </c>
    </row>
    <row r="2280" spans="1:18" x14ac:dyDescent="0.25">
      <c r="A2280" s="170">
        <v>45358</v>
      </c>
      <c r="B2280" s="116">
        <v>1254.0117480942699</v>
      </c>
      <c r="C2280" s="116">
        <v>1245.51733959269</v>
      </c>
      <c r="D2280" s="116">
        <v>1202.94652489289</v>
      </c>
      <c r="E2280" s="116">
        <v>1220.13288627982</v>
      </c>
      <c r="F2280" s="116">
        <v>1261</v>
      </c>
      <c r="G2280">
        <v>83103</v>
      </c>
      <c r="H2280" s="116"/>
      <c r="I2280" s="116"/>
      <c r="L2280" s="170">
        <v>45358</v>
      </c>
      <c r="M2280" s="116">
        <v>1246.0618629908099</v>
      </c>
      <c r="N2280" s="116">
        <v>1253.32162653009</v>
      </c>
      <c r="O2280" s="116">
        <v>1201.81187570375</v>
      </c>
      <c r="P2280" s="116">
        <v>1212.9237586720401</v>
      </c>
      <c r="Q2280" s="116">
        <v>1261.55</v>
      </c>
      <c r="R2280">
        <v>3522952</v>
      </c>
    </row>
    <row r="2281" spans="1:18" x14ac:dyDescent="0.25">
      <c r="A2281" s="170">
        <v>45362</v>
      </c>
      <c r="B2281" s="116">
        <v>1249.3694550759601</v>
      </c>
      <c r="C2281" s="116">
        <v>1206.05784893707</v>
      </c>
      <c r="D2281" s="116">
        <v>1194.8965912547601</v>
      </c>
      <c r="E2281" s="116">
        <v>1249.3694550759601</v>
      </c>
      <c r="F2281" s="116">
        <v>1221.05</v>
      </c>
      <c r="G2281">
        <v>63830</v>
      </c>
      <c r="H2281" s="116"/>
      <c r="I2281" s="116"/>
      <c r="L2281" s="170">
        <v>45362</v>
      </c>
      <c r="M2281" s="116">
        <v>1205.66399513276</v>
      </c>
      <c r="N2281" s="116">
        <v>1253.42039882314</v>
      </c>
      <c r="O2281" s="116">
        <v>1194.15702299226</v>
      </c>
      <c r="P2281" s="116">
        <v>1247.4940612400601</v>
      </c>
      <c r="Q2281" s="116">
        <v>1220.6500000000001</v>
      </c>
      <c r="R2281">
        <v>2609165</v>
      </c>
    </row>
    <row r="2282" spans="1:18" x14ac:dyDescent="0.25">
      <c r="A2282" s="170">
        <v>45363</v>
      </c>
      <c r="B2282" s="116">
        <v>1210.6507558594401</v>
      </c>
      <c r="C2282" s="116">
        <v>1199.4894981771299</v>
      </c>
      <c r="D2282" s="116">
        <v>1193.3162361847001</v>
      </c>
      <c r="E2282" s="116">
        <v>1209.95935051629</v>
      </c>
      <c r="F2282" s="116">
        <v>1214.4000000000001</v>
      </c>
      <c r="G2282">
        <v>51704</v>
      </c>
      <c r="H2282" s="116"/>
      <c r="I2282" s="116"/>
      <c r="L2282" s="170">
        <v>45363</v>
      </c>
      <c r="M2282" s="116">
        <v>1200.2809051614499</v>
      </c>
      <c r="N2282" s="116">
        <v>1212.77560023247</v>
      </c>
      <c r="O2282" s="116">
        <v>1194.3051814318401</v>
      </c>
      <c r="P2282" s="116">
        <v>1212.38051106026</v>
      </c>
      <c r="Q2282" s="116">
        <v>1215.2</v>
      </c>
      <c r="R2282">
        <v>1089396</v>
      </c>
    </row>
    <row r="2283" spans="1:18" x14ac:dyDescent="0.25">
      <c r="A2283" s="170">
        <v>45364</v>
      </c>
      <c r="B2283" s="116">
        <v>1203.04529708477</v>
      </c>
      <c r="C2283" s="116">
        <v>1164.17843958043</v>
      </c>
      <c r="D2283" s="116">
        <v>1155.93096155854</v>
      </c>
      <c r="E2283" s="116">
        <v>1197.5634404354901</v>
      </c>
      <c r="F2283" s="116">
        <v>1178.6500000000001</v>
      </c>
      <c r="G2283">
        <v>86543</v>
      </c>
      <c r="H2283" s="116"/>
      <c r="I2283" s="116"/>
      <c r="L2283" s="170">
        <v>45364</v>
      </c>
      <c r="M2283" s="116">
        <v>1164.4759489303001</v>
      </c>
      <c r="N2283" s="116">
        <v>1202.4538956085901</v>
      </c>
      <c r="O2283" s="116">
        <v>1156.3272347535501</v>
      </c>
      <c r="P2283" s="116">
        <v>1200.57722204061</v>
      </c>
      <c r="Q2283" s="116">
        <v>1178.95</v>
      </c>
      <c r="R2283">
        <v>2050756</v>
      </c>
    </row>
    <row r="2284" spans="1:18" x14ac:dyDescent="0.25">
      <c r="A2284" s="170">
        <v>45365</v>
      </c>
      <c r="B2284" s="116">
        <v>1190.20491214051</v>
      </c>
      <c r="C2284" s="116">
        <v>1180.2783068566901</v>
      </c>
      <c r="D2284" s="116">
        <v>1149.3132247026599</v>
      </c>
      <c r="E2284" s="116">
        <v>1150.6466492930199</v>
      </c>
      <c r="F2284" s="116">
        <v>1194.95</v>
      </c>
      <c r="G2284">
        <v>91331</v>
      </c>
      <c r="H2284" s="116"/>
      <c r="I2284" s="116"/>
      <c r="L2284" s="170">
        <v>45365</v>
      </c>
      <c r="M2284" s="116">
        <v>1183.63777378228</v>
      </c>
      <c r="N2284" s="116">
        <v>1190.2555174167301</v>
      </c>
      <c r="O2284" s="116">
        <v>1145.8079855435701</v>
      </c>
      <c r="P2284" s="116">
        <v>1145.8079855435701</v>
      </c>
      <c r="Q2284" s="116">
        <v>1198.3499999999999</v>
      </c>
      <c r="R2284">
        <v>2211062</v>
      </c>
    </row>
    <row r="2285" spans="1:18" x14ac:dyDescent="0.25">
      <c r="A2285" s="170">
        <v>45366</v>
      </c>
      <c r="B2285" s="116">
        <v>1204.47749386701</v>
      </c>
      <c r="C2285" s="116">
        <v>1198.8968650258601</v>
      </c>
      <c r="D2285" s="116">
        <v>1161.56097649564</v>
      </c>
      <c r="E2285" s="116">
        <v>1193.11869180094</v>
      </c>
      <c r="F2285" s="116">
        <v>1213.8</v>
      </c>
      <c r="G2285">
        <v>105519</v>
      </c>
      <c r="H2285" s="116"/>
      <c r="I2285" s="116"/>
      <c r="L2285" s="170">
        <v>45366</v>
      </c>
      <c r="M2285" s="116">
        <v>1197.2683502233799</v>
      </c>
      <c r="N2285" s="116">
        <v>1204.87381678835</v>
      </c>
      <c r="O2285" s="116">
        <v>1161.4633939922301</v>
      </c>
      <c r="P2285" s="116">
        <v>1185.26751661763</v>
      </c>
      <c r="Q2285" s="116">
        <v>1212.1500000000001</v>
      </c>
      <c r="R2285">
        <v>2843465</v>
      </c>
    </row>
    <row r="2286" spans="1:18" x14ac:dyDescent="0.25">
      <c r="A2286" s="170">
        <v>45369</v>
      </c>
      <c r="B2286" s="116">
        <v>1199.6376564649499</v>
      </c>
      <c r="C2286" s="116">
        <v>1172.0308288348001</v>
      </c>
      <c r="D2286" s="116">
        <v>1169.4627518459499</v>
      </c>
      <c r="E2286" s="116">
        <v>1199.6376564649499</v>
      </c>
      <c r="F2286" s="116">
        <v>1186.5999999999999</v>
      </c>
      <c r="G2286">
        <v>63144</v>
      </c>
      <c r="H2286" s="116"/>
      <c r="I2286" s="116"/>
      <c r="L2286" s="170">
        <v>45369</v>
      </c>
      <c r="M2286" s="116">
        <v>1172.37773237441</v>
      </c>
      <c r="N2286" s="116">
        <v>1202.7008263412199</v>
      </c>
      <c r="O2286" s="116">
        <v>1169.76026660855</v>
      </c>
      <c r="P2286" s="116">
        <v>1198.15730086085</v>
      </c>
      <c r="Q2286" s="116">
        <v>1186.95</v>
      </c>
      <c r="R2286">
        <v>803158</v>
      </c>
    </row>
    <row r="2287" spans="1:18" x14ac:dyDescent="0.25">
      <c r="A2287" s="170">
        <v>45370</v>
      </c>
      <c r="B2287" s="116">
        <v>1170.3023154769201</v>
      </c>
      <c r="C2287" s="116">
        <v>1131.9293189319701</v>
      </c>
      <c r="D2287" s="116">
        <v>1125.60789865173</v>
      </c>
      <c r="E2287" s="116">
        <v>1168.42564383122</v>
      </c>
      <c r="F2287" s="116">
        <v>1146</v>
      </c>
      <c r="G2287">
        <v>25138</v>
      </c>
      <c r="H2287" s="116"/>
      <c r="I2287" s="116"/>
      <c r="L2287" s="170">
        <v>45370</v>
      </c>
      <c r="M2287" s="116">
        <v>1132.1774091024699</v>
      </c>
      <c r="N2287" s="116">
        <v>1170.35290036686</v>
      </c>
      <c r="O2287" s="116">
        <v>1125.8559823471701</v>
      </c>
      <c r="P2287" s="116">
        <v>1170.35290036686</v>
      </c>
      <c r="Q2287" s="116">
        <v>1146.25</v>
      </c>
      <c r="R2287">
        <v>2152306</v>
      </c>
    </row>
    <row r="2288" spans="1:18" x14ac:dyDescent="0.25">
      <c r="A2288" s="170">
        <v>45371</v>
      </c>
      <c r="B2288" s="116">
        <v>1138.39889750004</v>
      </c>
      <c r="C2288" s="116">
        <v>1109.4586452795299</v>
      </c>
      <c r="D2288" s="116">
        <v>1098.34677369316</v>
      </c>
      <c r="E2288" s="116">
        <v>1131.23791358882</v>
      </c>
      <c r="F2288" s="116">
        <v>1123.25</v>
      </c>
      <c r="G2288">
        <v>61184</v>
      </c>
      <c r="H2288" s="116"/>
      <c r="I2288" s="116"/>
      <c r="L2288" s="170">
        <v>45371</v>
      </c>
      <c r="M2288" s="116">
        <v>1110.2499600450401</v>
      </c>
      <c r="N2288" s="116">
        <v>1139.23962805565</v>
      </c>
      <c r="O2288" s="116">
        <v>1098.0515818531801</v>
      </c>
      <c r="P2288" s="116">
        <v>1129.06608187135</v>
      </c>
      <c r="Q2288" s="116">
        <v>1124.05</v>
      </c>
      <c r="R2288">
        <v>2070193</v>
      </c>
    </row>
    <row r="2289" spans="1:18" x14ac:dyDescent="0.25">
      <c r="A2289" s="170">
        <v>45372</v>
      </c>
      <c r="B2289" s="116">
        <v>1124.7683350207601</v>
      </c>
      <c r="C2289" s="116">
        <v>1120.2742002902701</v>
      </c>
      <c r="D2289" s="116">
        <v>1107.6807458257099</v>
      </c>
      <c r="E2289" s="116">
        <v>1121.0643778253</v>
      </c>
      <c r="F2289" s="116">
        <v>1134.2</v>
      </c>
      <c r="G2289">
        <v>53612</v>
      </c>
      <c r="H2289" s="116"/>
      <c r="I2289" s="116"/>
      <c r="L2289" s="170">
        <v>45372</v>
      </c>
      <c r="M2289" s="116">
        <v>1120.0284170571399</v>
      </c>
      <c r="N2289" s="116">
        <v>1124.96703170971</v>
      </c>
      <c r="O2289" s="116">
        <v>1107.73126657223</v>
      </c>
      <c r="P2289" s="116">
        <v>1120.0778032036601</v>
      </c>
      <c r="Q2289" s="116">
        <v>1133.95</v>
      </c>
      <c r="R2289">
        <v>1901034</v>
      </c>
    </row>
    <row r="2290" spans="1:18" x14ac:dyDescent="0.25">
      <c r="A2290" s="170">
        <v>45373</v>
      </c>
      <c r="B2290" s="116">
        <v>1126.0029874192401</v>
      </c>
      <c r="C2290" s="116">
        <v>1108.0264484972899</v>
      </c>
      <c r="D2290" s="116">
        <v>1104.9645105490399</v>
      </c>
      <c r="E2290" s="116">
        <v>1120.2742002902701</v>
      </c>
      <c r="F2290" s="116">
        <v>1121.8</v>
      </c>
      <c r="G2290">
        <v>50803</v>
      </c>
      <c r="H2290" s="116"/>
      <c r="I2290" s="116"/>
      <c r="L2290" s="170">
        <v>45373</v>
      </c>
      <c r="M2290" s="116">
        <v>1108.96592023537</v>
      </c>
      <c r="N2290" s="116">
        <v>1126.00414078675</v>
      </c>
      <c r="O2290" s="116">
        <v>1105.26195924594</v>
      </c>
      <c r="P2290" s="116">
        <v>1120.0284170571399</v>
      </c>
      <c r="Q2290" s="116">
        <v>1122.75</v>
      </c>
      <c r="R2290">
        <v>1696377</v>
      </c>
    </row>
    <row r="2291" spans="1:18" x14ac:dyDescent="0.25">
      <c r="A2291" s="170">
        <v>45377</v>
      </c>
      <c r="B2291" s="116">
        <v>1106.0016185637701</v>
      </c>
      <c r="C2291" s="116">
        <v>1098.7418624606701</v>
      </c>
      <c r="D2291" s="116">
        <v>1092.46982827636</v>
      </c>
      <c r="E2291" s="116">
        <v>1097.11212129467</v>
      </c>
      <c r="F2291" s="116">
        <v>1112.4000000000001</v>
      </c>
      <c r="G2291">
        <v>51939</v>
      </c>
      <c r="H2291" s="116"/>
      <c r="I2291" s="116"/>
      <c r="L2291" s="170">
        <v>45377</v>
      </c>
      <c r="M2291" s="116">
        <v>1098.89114634412</v>
      </c>
      <c r="N2291" s="116">
        <v>1107.33617740002</v>
      </c>
      <c r="O2291" s="116">
        <v>1091.77954124442</v>
      </c>
      <c r="P2291" s="116">
        <v>1091.77954124442</v>
      </c>
      <c r="Q2291" s="116">
        <v>1112.55</v>
      </c>
      <c r="R2291">
        <v>2407110</v>
      </c>
    </row>
    <row r="2292" spans="1:18" x14ac:dyDescent="0.25">
      <c r="A2292" s="170">
        <v>45378</v>
      </c>
      <c r="B2292" s="116">
        <v>1101.30993944952</v>
      </c>
      <c r="C2292" s="116">
        <v>1075.9748722325901</v>
      </c>
      <c r="D2292" s="116">
        <v>1071.7276679818001</v>
      </c>
      <c r="E2292" s="116">
        <v>1100.3222175307301</v>
      </c>
      <c r="F2292" s="116">
        <v>1089.3499999999999</v>
      </c>
      <c r="G2292">
        <v>56826</v>
      </c>
      <c r="H2292" s="116"/>
      <c r="I2292" s="116"/>
      <c r="L2292" s="170">
        <v>45378</v>
      </c>
      <c r="M2292" s="116">
        <v>1077.6551033380599</v>
      </c>
      <c r="N2292" s="116">
        <v>1103.28651338491</v>
      </c>
      <c r="O2292" s="116">
        <v>1070.79042897098</v>
      </c>
      <c r="P2292" s="116">
        <v>1101.65677054956</v>
      </c>
      <c r="Q2292" s="116">
        <v>1091.05</v>
      </c>
      <c r="R2292">
        <v>1962948</v>
      </c>
    </row>
    <row r="2293" spans="1:18" x14ac:dyDescent="0.25">
      <c r="A2293" s="170">
        <v>45379</v>
      </c>
      <c r="B2293" s="116">
        <v>1094.8897469773899</v>
      </c>
      <c r="C2293" s="116">
        <v>1081.9505898412599</v>
      </c>
      <c r="D2293" s="116">
        <v>1080.2220764833801</v>
      </c>
      <c r="E2293" s="116">
        <v>1091.6302646453901</v>
      </c>
      <c r="F2293" s="116">
        <v>1095.4000000000001</v>
      </c>
      <c r="G2293">
        <v>103372</v>
      </c>
      <c r="H2293" s="116"/>
      <c r="I2293" s="116"/>
      <c r="L2293" s="170">
        <v>45379</v>
      </c>
      <c r="M2293" s="116">
        <v>1082.7418764302099</v>
      </c>
      <c r="N2293" s="116">
        <v>1095.3847299407901</v>
      </c>
      <c r="O2293" s="116">
        <v>1080.22318295739</v>
      </c>
      <c r="P2293" s="116">
        <v>1090.34734299517</v>
      </c>
      <c r="Q2293" s="116">
        <v>1096.2</v>
      </c>
      <c r="R2293">
        <v>6721940</v>
      </c>
    </row>
    <row r="2294" spans="1:18" x14ac:dyDescent="0.25">
      <c r="A2294" s="170">
        <v>45383</v>
      </c>
      <c r="B2294" s="116">
        <v>1089.70420690375</v>
      </c>
      <c r="C2294" s="116">
        <v>1073.5055674356199</v>
      </c>
      <c r="D2294" s="116">
        <v>1069.45590756858</v>
      </c>
      <c r="E2294" s="116">
        <v>1086.4941106676899</v>
      </c>
      <c r="F2294" s="116">
        <v>1086.8499999999999</v>
      </c>
      <c r="G2294">
        <v>135201</v>
      </c>
      <c r="H2294" s="116"/>
      <c r="I2294" s="116"/>
      <c r="L2294" s="170">
        <v>45383</v>
      </c>
      <c r="M2294" s="116">
        <v>1073.5560531764199</v>
      </c>
      <c r="N2294" s="116">
        <v>1090.8412044604299</v>
      </c>
      <c r="O2294" s="116">
        <v>1069.80270604046</v>
      </c>
      <c r="P2294" s="116">
        <v>1086.4952235661599</v>
      </c>
      <c r="Q2294" s="116">
        <v>1086.9000000000001</v>
      </c>
      <c r="R2294">
        <v>2229535</v>
      </c>
    </row>
    <row r="2295" spans="1:18" x14ac:dyDescent="0.25">
      <c r="A2295" s="170">
        <v>45384</v>
      </c>
      <c r="B2295" s="116">
        <v>1119.1877061795999</v>
      </c>
      <c r="C2295" s="116">
        <v>1116.96533186232</v>
      </c>
      <c r="D2295" s="116">
        <v>1071.7770540777401</v>
      </c>
      <c r="E2295" s="116">
        <v>1078.7404936052001</v>
      </c>
      <c r="F2295" s="116">
        <v>1130.8499999999999</v>
      </c>
      <c r="G2295">
        <v>143217</v>
      </c>
      <c r="H2295" s="116"/>
      <c r="I2295" s="116"/>
      <c r="L2295" s="170">
        <v>45384</v>
      </c>
      <c r="M2295" s="116">
        <v>1117.2627928516899</v>
      </c>
      <c r="N2295" s="116">
        <v>1119.48516944535</v>
      </c>
      <c r="O2295" s="116">
        <v>1071.77815190149</v>
      </c>
      <c r="P2295" s="116">
        <v>1078.3958955359401</v>
      </c>
      <c r="Q2295" s="116">
        <v>1131.1500000000001</v>
      </c>
      <c r="R2295">
        <v>5107047</v>
      </c>
    </row>
    <row r="2296" spans="1:18" x14ac:dyDescent="0.25">
      <c r="A2296" s="170">
        <v>45385</v>
      </c>
      <c r="B2296" s="116">
        <v>1116.6196291907499</v>
      </c>
      <c r="C2296" s="116">
        <v>1105.60652979625</v>
      </c>
      <c r="D2296" s="116">
        <v>1098.8900207484901</v>
      </c>
      <c r="E2296" s="116">
        <v>1116.6196291907499</v>
      </c>
      <c r="F2296" s="116">
        <v>1119.3499999999999</v>
      </c>
      <c r="G2296">
        <v>54779</v>
      </c>
      <c r="H2296" s="116"/>
      <c r="I2296" s="116"/>
      <c r="L2296" s="170">
        <v>45385</v>
      </c>
      <c r="M2296" s="116">
        <v>1105.7558207111999</v>
      </c>
      <c r="N2296" s="116">
        <v>1115.13918855109</v>
      </c>
      <c r="O2296" s="116">
        <v>1099.1380770767501</v>
      </c>
      <c r="P2296" s="116">
        <v>1115.13918855109</v>
      </c>
      <c r="Q2296" s="116">
        <v>1119.5</v>
      </c>
      <c r="R2296">
        <v>1133287</v>
      </c>
    </row>
    <row r="2297" spans="1:18" x14ac:dyDescent="0.25">
      <c r="A2297" s="170">
        <v>45386</v>
      </c>
      <c r="B2297" s="116">
        <v>1125.36096817203</v>
      </c>
      <c r="C2297" s="116">
        <v>1103.97678863025</v>
      </c>
      <c r="D2297" s="116">
        <v>1095.0379052652099</v>
      </c>
      <c r="E2297" s="116">
        <v>1125.36096817203</v>
      </c>
      <c r="F2297" s="116">
        <v>1117.7</v>
      </c>
      <c r="G2297">
        <v>43014</v>
      </c>
      <c r="H2297" s="116"/>
      <c r="I2297" s="116"/>
      <c r="L2297" s="170">
        <v>45386</v>
      </c>
      <c r="M2297" s="116">
        <v>1104.2248501689</v>
      </c>
      <c r="N2297" s="116">
        <v>1118.9913079800999</v>
      </c>
      <c r="O2297" s="116">
        <v>1094.9402546220599</v>
      </c>
      <c r="P2297" s="116">
        <v>1118.89253568704</v>
      </c>
      <c r="Q2297" s="116">
        <v>1117.95</v>
      </c>
      <c r="R2297">
        <v>2403608</v>
      </c>
    </row>
    <row r="2298" spans="1:18" x14ac:dyDescent="0.25">
      <c r="A2298" s="170">
        <v>45387</v>
      </c>
      <c r="B2298" s="116">
        <v>1111.9279500765001</v>
      </c>
      <c r="C2298" s="116">
        <v>1101.26055335358</v>
      </c>
      <c r="D2298" s="116">
        <v>1097.16150739061</v>
      </c>
      <c r="E2298" s="116">
        <v>1106.1991629475301</v>
      </c>
      <c r="F2298" s="116">
        <v>1114.95</v>
      </c>
      <c r="G2298">
        <v>35899</v>
      </c>
      <c r="H2298" s="116"/>
      <c r="I2298" s="116"/>
      <c r="L2298" s="170">
        <v>45387</v>
      </c>
      <c r="M2298" s="116">
        <v>1101.85431513567</v>
      </c>
      <c r="N2298" s="116">
        <v>1111.08952453598</v>
      </c>
      <c r="O2298" s="116">
        <v>1097.3601758018201</v>
      </c>
      <c r="P2298" s="116">
        <v>1102.2987904544</v>
      </c>
      <c r="Q2298" s="116">
        <v>1115.55</v>
      </c>
      <c r="R2298">
        <v>627856</v>
      </c>
    </row>
    <row r="2299" spans="1:18" x14ac:dyDescent="0.25">
      <c r="A2299" s="170">
        <v>45390</v>
      </c>
      <c r="B2299" s="116">
        <v>1126.0029874192401</v>
      </c>
      <c r="C2299" s="116">
        <v>1122.9904355669401</v>
      </c>
      <c r="D2299" s="116">
        <v>1103.6310859586799</v>
      </c>
      <c r="E2299" s="116">
        <v>1110.98961425365</v>
      </c>
      <c r="F2299" s="116">
        <v>1136.95</v>
      </c>
      <c r="G2299">
        <v>47254</v>
      </c>
      <c r="H2299" s="116"/>
      <c r="I2299" s="116"/>
      <c r="L2299" s="170">
        <v>45390</v>
      </c>
      <c r="M2299" s="116">
        <v>1123.3866750208899</v>
      </c>
      <c r="N2299" s="116">
        <v>1126.4486161054799</v>
      </c>
      <c r="O2299" s="116">
        <v>1103.28651338491</v>
      </c>
      <c r="P2299" s="116">
        <v>1106.2496821764601</v>
      </c>
      <c r="Q2299" s="116">
        <v>1137.3499999999999</v>
      </c>
      <c r="R2299">
        <v>1833218</v>
      </c>
    </row>
    <row r="2300" spans="1:18" x14ac:dyDescent="0.25">
      <c r="A2300" s="170">
        <v>45391</v>
      </c>
      <c r="B2300" s="116">
        <v>1127.4351842014901</v>
      </c>
      <c r="C2300" s="116">
        <v>1111.33531692523</v>
      </c>
      <c r="D2300" s="116">
        <v>1108.22399288104</v>
      </c>
      <c r="E2300" s="116">
        <v>1126.0029874192401</v>
      </c>
      <c r="F2300" s="116">
        <v>1125.1500000000001</v>
      </c>
      <c r="G2300">
        <v>16158</v>
      </c>
      <c r="H2300" s="116"/>
      <c r="I2300" s="116"/>
      <c r="L2300" s="170">
        <v>45391</v>
      </c>
      <c r="M2300" s="116">
        <v>1111.78093058734</v>
      </c>
      <c r="N2300" s="116">
        <v>1126.99186371726</v>
      </c>
      <c r="O2300" s="116">
        <v>1107.73126657223</v>
      </c>
      <c r="P2300" s="116">
        <v>1126.99186371726</v>
      </c>
      <c r="Q2300" s="116">
        <v>1125.5999999999999</v>
      </c>
      <c r="R2300">
        <v>1184800</v>
      </c>
    </row>
    <row r="2301" spans="1:18" x14ac:dyDescent="0.25">
      <c r="A2301" s="170">
        <v>45392</v>
      </c>
      <c r="B2301" s="116">
        <v>1136.86792852592</v>
      </c>
      <c r="C2301" s="116">
        <v>1132.1268633157299</v>
      </c>
      <c r="D2301" s="116">
        <v>1105.35959931656</v>
      </c>
      <c r="E2301" s="116">
        <v>1121.45946659281</v>
      </c>
      <c r="F2301" s="116">
        <v>1146.2</v>
      </c>
      <c r="G2301">
        <v>34058</v>
      </c>
      <c r="H2301" s="116"/>
      <c r="I2301" s="116"/>
      <c r="L2301" s="170">
        <v>45392</v>
      </c>
      <c r="M2301" s="116">
        <v>1131.2390723184801</v>
      </c>
      <c r="N2301" s="116">
        <v>1137.3629544876701</v>
      </c>
      <c r="O2301" s="116">
        <v>1104.96564236679</v>
      </c>
      <c r="P2301" s="116">
        <v>1116.1269114816</v>
      </c>
      <c r="Q2301" s="116">
        <v>1145.3</v>
      </c>
      <c r="R2301">
        <v>1374918</v>
      </c>
    </row>
    <row r="2302" spans="1:18" x14ac:dyDescent="0.25">
      <c r="A2302" s="170">
        <v>45394</v>
      </c>
      <c r="B2302" s="116">
        <v>1141.8065381198601</v>
      </c>
      <c r="C2302" s="116">
        <v>1132.52195208325</v>
      </c>
      <c r="D2302" s="116">
        <v>1120.6199029618399</v>
      </c>
      <c r="E2302" s="116">
        <v>1131.48484406852</v>
      </c>
      <c r="F2302" s="116">
        <v>1146.5999999999999</v>
      </c>
      <c r="G2302">
        <v>134571</v>
      </c>
      <c r="H2302" s="116"/>
      <c r="I2302" s="116"/>
      <c r="L2302" s="170">
        <v>45394</v>
      </c>
      <c r="M2302" s="116">
        <v>1135.3381224801101</v>
      </c>
      <c r="N2302" s="116">
        <v>1142.4497275798201</v>
      </c>
      <c r="O2302" s="116">
        <v>1120.52227852239</v>
      </c>
      <c r="P2302" s="116">
        <v>1130.3007355344901</v>
      </c>
      <c r="Q2302" s="116">
        <v>1149.45</v>
      </c>
      <c r="R2302">
        <v>2006949</v>
      </c>
    </row>
    <row r="2303" spans="1:18" x14ac:dyDescent="0.25">
      <c r="A2303" s="170">
        <v>45397</v>
      </c>
      <c r="B2303" s="116">
        <v>1121.0643778253</v>
      </c>
      <c r="C2303" s="116">
        <v>1116.3726987110499</v>
      </c>
      <c r="D2303" s="116">
        <v>1097.3590517743701</v>
      </c>
      <c r="E2303" s="116">
        <v>1112.61935541965</v>
      </c>
      <c r="F2303" s="116">
        <v>1130.25</v>
      </c>
      <c r="G2303">
        <v>34405</v>
      </c>
      <c r="H2303" s="116"/>
      <c r="I2303" s="116"/>
      <c r="L2303" s="170">
        <v>45397</v>
      </c>
      <c r="M2303" s="116">
        <v>1116.76893138644</v>
      </c>
      <c r="N2303" s="116">
        <v>1122.7446551160499</v>
      </c>
      <c r="O2303" s="116">
        <v>1097.3601758018201</v>
      </c>
      <c r="P2303" s="116">
        <v>1111.1882968290299</v>
      </c>
      <c r="Q2303" s="116">
        <v>1130.6500000000001</v>
      </c>
      <c r="R2303">
        <v>1990224</v>
      </c>
    </row>
    <row r="2304" spans="1:18" x14ac:dyDescent="0.25">
      <c r="A2304" s="170">
        <v>45398</v>
      </c>
      <c r="B2304" s="116">
        <v>1125.1140376923299</v>
      </c>
      <c r="C2304" s="116">
        <v>1121.8051692643901</v>
      </c>
      <c r="D2304" s="116">
        <v>1102.34704746425</v>
      </c>
      <c r="E2304" s="116">
        <v>1108.52030945668</v>
      </c>
      <c r="F2304" s="116">
        <v>1135.75</v>
      </c>
      <c r="G2304">
        <v>21104</v>
      </c>
      <c r="H2304" s="116"/>
      <c r="I2304" s="116"/>
      <c r="L2304" s="170">
        <v>45398</v>
      </c>
      <c r="M2304" s="116">
        <v>1121.7075460390099</v>
      </c>
      <c r="N2304" s="116">
        <v>1124.91764556318</v>
      </c>
      <c r="O2304" s="116">
        <v>1100.27395844684</v>
      </c>
      <c r="P2304" s="116">
        <v>1103.28651338491</v>
      </c>
      <c r="Q2304" s="116">
        <v>1135.6500000000001</v>
      </c>
      <c r="R2304">
        <v>1051408</v>
      </c>
    </row>
    <row r="2305" spans="1:18" x14ac:dyDescent="0.25">
      <c r="A2305" s="170">
        <v>45400</v>
      </c>
      <c r="B2305" s="116">
        <v>1144.6215455884101</v>
      </c>
      <c r="C2305" s="116">
        <v>1120.2742002902701</v>
      </c>
      <c r="D2305" s="116">
        <v>1096.3713298555799</v>
      </c>
      <c r="E2305" s="116">
        <v>1123.4349104303899</v>
      </c>
      <c r="F2305" s="116">
        <v>1134.2</v>
      </c>
      <c r="G2305">
        <v>245234</v>
      </c>
      <c r="H2305" s="116"/>
      <c r="I2305" s="116"/>
      <c r="L2305" s="170">
        <v>45400</v>
      </c>
      <c r="M2305" s="116">
        <v>1120.62105081544</v>
      </c>
      <c r="N2305" s="116">
        <v>1144.7708764665299</v>
      </c>
      <c r="O2305" s="116">
        <v>1113.7069903018401</v>
      </c>
      <c r="P2305" s="116">
        <v>1128.96730957829</v>
      </c>
      <c r="Q2305" s="116">
        <v>1134.55</v>
      </c>
      <c r="R2305">
        <v>2573549</v>
      </c>
    </row>
    <row r="2306" spans="1:18" x14ac:dyDescent="0.25">
      <c r="A2306" s="170">
        <v>45401</v>
      </c>
      <c r="B2306" s="116">
        <v>1135.88020660713</v>
      </c>
      <c r="C2306" s="116">
        <v>1123.5336826222699</v>
      </c>
      <c r="D2306" s="116">
        <v>1093.0130753317001</v>
      </c>
      <c r="E2306" s="116">
        <v>1114.0515522019</v>
      </c>
      <c r="F2306" s="116">
        <v>1137.5</v>
      </c>
      <c r="G2306">
        <v>37706</v>
      </c>
      <c r="H2306" s="116"/>
      <c r="I2306" s="116"/>
      <c r="L2306" s="170">
        <v>45401</v>
      </c>
      <c r="M2306" s="116">
        <v>1124.1274672187701</v>
      </c>
      <c r="N2306" s="116">
        <v>1136.47400385021</v>
      </c>
      <c r="O2306" s="116">
        <v>1090.4955014347499</v>
      </c>
      <c r="P2306" s="116">
        <v>1090.9399767534801</v>
      </c>
      <c r="Q2306" s="116">
        <v>1138.0999999999999</v>
      </c>
      <c r="R2306">
        <v>2160942</v>
      </c>
    </row>
    <row r="2307" spans="1:18" x14ac:dyDescent="0.25">
      <c r="A2307" s="170">
        <v>45404</v>
      </c>
      <c r="B2307" s="116">
        <v>1163.1907176616401</v>
      </c>
      <c r="C2307" s="116">
        <v>1158.0545636839399</v>
      </c>
      <c r="D2307" s="116">
        <v>1128.47229221621</v>
      </c>
      <c r="E2307" s="116">
        <v>1129.85510290252</v>
      </c>
      <c r="F2307" s="116">
        <v>1172.45</v>
      </c>
      <c r="G2307">
        <v>125888</v>
      </c>
      <c r="H2307" s="116"/>
      <c r="I2307" s="116"/>
      <c r="L2307" s="170">
        <v>45404</v>
      </c>
      <c r="M2307" s="116">
        <v>1156.5741654861799</v>
      </c>
      <c r="N2307" s="116">
        <v>1163.3400675601999</v>
      </c>
      <c r="O2307" s="116">
        <v>1126.94247757074</v>
      </c>
      <c r="P2307" s="116">
        <v>1126.94247757074</v>
      </c>
      <c r="Q2307" s="116">
        <v>1170.95</v>
      </c>
      <c r="R2307">
        <v>2299311</v>
      </c>
    </row>
    <row r="2308" spans="1:18" x14ac:dyDescent="0.25">
      <c r="A2308" s="170">
        <v>45405</v>
      </c>
      <c r="B2308" s="116">
        <v>1165.51186417079</v>
      </c>
      <c r="C2308" s="116">
        <v>1158.8447412189701</v>
      </c>
      <c r="D2308" s="116">
        <v>1137.8556504447099</v>
      </c>
      <c r="E2308" s="116">
        <v>1161.56097649564</v>
      </c>
      <c r="F2308" s="116">
        <v>1173.25</v>
      </c>
      <c r="G2308">
        <v>72420</v>
      </c>
      <c r="H2308" s="116"/>
      <c r="I2308" s="116"/>
      <c r="L2308" s="170">
        <v>45405</v>
      </c>
      <c r="M2308" s="116">
        <v>1158.9447005194099</v>
      </c>
      <c r="N2308" s="116">
        <v>1165.4142857142899</v>
      </c>
      <c r="O2308" s="116">
        <v>1137.85681595293</v>
      </c>
      <c r="P2308" s="116">
        <v>1158.5989974937299</v>
      </c>
      <c r="Q2308" s="116">
        <v>1173.3499999999999</v>
      </c>
      <c r="R2308">
        <v>1930671</v>
      </c>
    </row>
    <row r="2309" spans="1:18" x14ac:dyDescent="0.25">
      <c r="A2309" s="170">
        <v>45406</v>
      </c>
      <c r="B2309" s="116">
        <v>1123.97815748573</v>
      </c>
      <c r="C2309" s="116">
        <v>1096.2231715677599</v>
      </c>
      <c r="D2309" s="116">
        <v>1090.4449983428401</v>
      </c>
      <c r="E2309" s="116">
        <v>1099.2357234200699</v>
      </c>
      <c r="F2309" s="116">
        <v>1109.8499999999999</v>
      </c>
      <c r="G2309">
        <v>318660</v>
      </c>
      <c r="H2309" s="116"/>
      <c r="I2309" s="116"/>
      <c r="L2309" s="170">
        <v>45406</v>
      </c>
      <c r="M2309" s="116">
        <v>1096.52061131089</v>
      </c>
      <c r="N2309" s="116">
        <v>1123.7323780465699</v>
      </c>
      <c r="O2309" s="116">
        <v>1090.44611528822</v>
      </c>
      <c r="P2309" s="116">
        <v>1092.42156114925</v>
      </c>
      <c r="Q2309" s="116">
        <v>1110.1500000000001</v>
      </c>
      <c r="R2309">
        <v>6447489</v>
      </c>
    </row>
    <row r="2310" spans="1:18" x14ac:dyDescent="0.25">
      <c r="A2310" s="170">
        <v>45407</v>
      </c>
      <c r="B2310" s="116">
        <v>1102.0507308886099</v>
      </c>
      <c r="C2310" s="116">
        <v>1092.37105608448</v>
      </c>
      <c r="D2310" s="116">
        <v>1064.7642284543399</v>
      </c>
      <c r="E2310" s="116">
        <v>1097.8035266378199</v>
      </c>
      <c r="F2310" s="116">
        <v>1105.95</v>
      </c>
      <c r="G2310">
        <v>132627</v>
      </c>
      <c r="H2310" s="116"/>
      <c r="I2310" s="116"/>
      <c r="L2310" s="170">
        <v>45407</v>
      </c>
      <c r="M2310" s="116">
        <v>1092.6684918818801</v>
      </c>
      <c r="N2310" s="116">
        <v>1102.2987904544</v>
      </c>
      <c r="O2310" s="116">
        <v>1064.1726853365301</v>
      </c>
      <c r="P2310" s="116">
        <v>1102.2987904544</v>
      </c>
      <c r="Q2310" s="116">
        <v>1106.25</v>
      </c>
      <c r="R2310">
        <v>6233672</v>
      </c>
    </row>
    <row r="2311" spans="1:18" x14ac:dyDescent="0.25">
      <c r="A2311" s="170">
        <v>45408</v>
      </c>
      <c r="B2311" s="116">
        <v>1097.2602795824901</v>
      </c>
      <c r="C2311" s="116">
        <v>1089.3585042321799</v>
      </c>
      <c r="D2311" s="116">
        <v>1070.7893321589499</v>
      </c>
      <c r="E2311" s="116">
        <v>1093.5563223870299</v>
      </c>
      <c r="F2311" s="116">
        <v>1102.9000000000001</v>
      </c>
      <c r="G2311">
        <v>58441</v>
      </c>
      <c r="H2311" s="116"/>
      <c r="I2311" s="116"/>
      <c r="L2311" s="170">
        <v>45408</v>
      </c>
      <c r="M2311" s="116">
        <v>1089.11268933203</v>
      </c>
      <c r="N2311" s="116">
        <v>1098.15035414624</v>
      </c>
      <c r="O2311" s="116">
        <v>1070.74104282445</v>
      </c>
      <c r="P2311" s="116">
        <v>1098.15035414624</v>
      </c>
      <c r="Q2311" s="116">
        <v>1102.6500000000001</v>
      </c>
      <c r="R2311">
        <v>3426210</v>
      </c>
    </row>
    <row r="2312" spans="1:18" x14ac:dyDescent="0.25">
      <c r="A2312" s="170">
        <v>45411</v>
      </c>
      <c r="B2312" s="116">
        <v>1096.3713298555799</v>
      </c>
      <c r="C2312" s="116">
        <v>1085.40761655702</v>
      </c>
      <c r="D2312" s="116">
        <v>1075.67855565695</v>
      </c>
      <c r="E2312" s="116">
        <v>1090.04990957533</v>
      </c>
      <c r="F2312" s="116">
        <v>1098.9000000000001</v>
      </c>
      <c r="G2312">
        <v>193403</v>
      </c>
      <c r="H2312" s="116"/>
      <c r="I2312" s="116"/>
      <c r="L2312" s="170">
        <v>45411</v>
      </c>
      <c r="M2312" s="116">
        <v>1085.01363917039</v>
      </c>
      <c r="N2312" s="116">
        <v>1096.76754204351</v>
      </c>
      <c r="O2312" s="116">
        <v>1075.53149903745</v>
      </c>
      <c r="P2312" s="116">
        <v>1095.2859576477399</v>
      </c>
      <c r="Q2312" s="116">
        <v>1098.5</v>
      </c>
      <c r="R2312">
        <v>2254895</v>
      </c>
    </row>
    <row r="2313" spans="1:18" x14ac:dyDescent="0.25">
      <c r="A2313" s="170">
        <v>45412</v>
      </c>
      <c r="B2313" s="116">
        <v>1100.3222175307301</v>
      </c>
      <c r="C2313" s="116">
        <v>1094.24772773018</v>
      </c>
      <c r="D2313" s="116">
        <v>1082.44445080066</v>
      </c>
      <c r="E2313" s="116">
        <v>1085.40761655702</v>
      </c>
      <c r="F2313" s="116">
        <v>1107.8499999999999</v>
      </c>
      <c r="G2313">
        <v>107967</v>
      </c>
      <c r="H2313" s="116"/>
      <c r="I2313" s="116"/>
      <c r="L2313" s="170">
        <v>45412</v>
      </c>
      <c r="M2313" s="116">
        <v>1094.74271003596</v>
      </c>
      <c r="N2313" s="116">
        <v>1100.570275326</v>
      </c>
      <c r="O2313" s="116">
        <v>1082.19862881842</v>
      </c>
      <c r="P2313" s="116">
        <v>1086.39645127311</v>
      </c>
      <c r="Q2313" s="116">
        <v>1108.3499999999999</v>
      </c>
      <c r="R2313">
        <v>2504796</v>
      </c>
    </row>
    <row r="2314" spans="1:18" x14ac:dyDescent="0.25">
      <c r="A2314" s="170">
        <v>45414</v>
      </c>
      <c r="B2314" s="116">
        <v>1099.0875651322499</v>
      </c>
      <c r="C2314" s="116">
        <v>1077.7527716864099</v>
      </c>
      <c r="D2314" s="116">
        <v>1068.12248297822</v>
      </c>
      <c r="E2314" s="116">
        <v>1099.0875651322499</v>
      </c>
      <c r="F2314" s="116">
        <v>1091.1500000000001</v>
      </c>
      <c r="G2314">
        <v>56930</v>
      </c>
      <c r="H2314" s="116"/>
      <c r="I2314" s="116"/>
      <c r="L2314" s="170">
        <v>45414</v>
      </c>
      <c r="M2314" s="116">
        <v>1077.7538756311101</v>
      </c>
      <c r="N2314" s="116">
        <v>1100.3233445933699</v>
      </c>
      <c r="O2314" s="116">
        <v>1067.8272601794299</v>
      </c>
      <c r="P2314" s="116">
        <v>1100.3233445933699</v>
      </c>
      <c r="Q2314" s="116">
        <v>1091.1500000000001</v>
      </c>
      <c r="R2314">
        <v>3423995</v>
      </c>
    </row>
    <row r="2315" spans="1:18" x14ac:dyDescent="0.25">
      <c r="A2315" s="170">
        <v>45415</v>
      </c>
      <c r="B2315" s="116">
        <v>1101.26055335358</v>
      </c>
      <c r="C2315" s="116">
        <v>1080.5183930590199</v>
      </c>
      <c r="D2315" s="116">
        <v>1076.4193470960399</v>
      </c>
      <c r="E2315" s="116">
        <v>1085.45700265296</v>
      </c>
      <c r="F2315" s="116">
        <v>1093.95</v>
      </c>
      <c r="G2315">
        <v>97956</v>
      </c>
      <c r="H2315" s="116"/>
      <c r="I2315" s="116"/>
      <c r="L2315" s="170">
        <v>45415</v>
      </c>
      <c r="M2315" s="116">
        <v>1080.86520286223</v>
      </c>
      <c r="N2315" s="116">
        <v>1101.21229523083</v>
      </c>
      <c r="O2315" s="116">
        <v>1076.4204496749101</v>
      </c>
      <c r="P2315" s="116">
        <v>1081.55660891359</v>
      </c>
      <c r="Q2315" s="116">
        <v>1094.3</v>
      </c>
      <c r="R2315">
        <v>2935813</v>
      </c>
    </row>
    <row r="2316" spans="1:18" x14ac:dyDescent="0.25">
      <c r="A2316" s="170">
        <v>45418</v>
      </c>
      <c r="B2316" s="116">
        <v>1100.2728314347901</v>
      </c>
      <c r="C2316" s="116">
        <v>1084.8149834057499</v>
      </c>
      <c r="D2316" s="116">
        <v>1077.7033855904699</v>
      </c>
      <c r="E2316" s="116">
        <v>1100.2728314347901</v>
      </c>
      <c r="F2316" s="116">
        <v>1098.3</v>
      </c>
      <c r="G2316">
        <v>23482</v>
      </c>
      <c r="H2316" s="116"/>
      <c r="I2316" s="116"/>
      <c r="L2316" s="170">
        <v>45418</v>
      </c>
      <c r="M2316" s="116">
        <v>1084.66793614471</v>
      </c>
      <c r="N2316" s="116">
        <v>1096.0267498456301</v>
      </c>
      <c r="O2316" s="116">
        <v>1076.6673804075399</v>
      </c>
      <c r="P2316" s="116">
        <v>1091.43383821874</v>
      </c>
      <c r="Q2316" s="116">
        <v>1098.1500000000001</v>
      </c>
      <c r="R2316">
        <v>1076304</v>
      </c>
    </row>
    <row r="2317" spans="1:18" x14ac:dyDescent="0.25">
      <c r="A2317" s="170">
        <v>45419</v>
      </c>
      <c r="B2317" s="116">
        <v>1107.23627096225</v>
      </c>
      <c r="C2317" s="116">
        <v>1085.7533192286</v>
      </c>
      <c r="D2317" s="116">
        <v>1076.8638219595</v>
      </c>
      <c r="E2317" s="116">
        <v>1080.5183930590199</v>
      </c>
      <c r="F2317" s="116">
        <v>1099.25</v>
      </c>
      <c r="G2317">
        <v>128216</v>
      </c>
      <c r="H2317" s="116"/>
      <c r="I2317" s="116"/>
      <c r="L2317" s="170">
        <v>45419</v>
      </c>
      <c r="M2317" s="116">
        <v>1085.9025898078501</v>
      </c>
      <c r="N2317" s="116">
        <v>1107.7806527187499</v>
      </c>
      <c r="O2317" s="116">
        <v>1076.7167665540701</v>
      </c>
      <c r="P2317" s="116">
        <v>1081.60599506011</v>
      </c>
      <c r="Q2317" s="116">
        <v>1099.4000000000001</v>
      </c>
      <c r="R2317">
        <v>2614541</v>
      </c>
    </row>
    <row r="2318" spans="1:18" x14ac:dyDescent="0.25">
      <c r="A2318" s="170">
        <v>45420</v>
      </c>
      <c r="B2318" s="116">
        <v>1104.22371910995</v>
      </c>
      <c r="C2318" s="116">
        <v>1100.91485068201</v>
      </c>
      <c r="D2318" s="116">
        <v>1082.1975203209599</v>
      </c>
      <c r="E2318" s="116">
        <v>1086.64226895551</v>
      </c>
      <c r="F2318" s="116">
        <v>1114.5999999999999</v>
      </c>
      <c r="G2318">
        <v>31159</v>
      </c>
      <c r="H2318" s="116"/>
      <c r="I2318" s="116"/>
      <c r="L2318" s="170">
        <v>45420</v>
      </c>
      <c r="M2318" s="116">
        <v>1101.3604536704099</v>
      </c>
      <c r="N2318" s="116">
        <v>1104.1260778758499</v>
      </c>
      <c r="O2318" s="116">
        <v>1081.7047673531699</v>
      </c>
      <c r="P2318" s="116">
        <v>1088.8657585993999</v>
      </c>
      <c r="Q2318" s="116">
        <v>1115.05</v>
      </c>
      <c r="R2318">
        <v>1071294</v>
      </c>
    </row>
    <row r="2319" spans="1:18" x14ac:dyDescent="0.25">
      <c r="A2319" s="170">
        <v>45421</v>
      </c>
      <c r="B2319" s="116">
        <v>1099.1863373241299</v>
      </c>
      <c r="C2319" s="116">
        <v>1069.40652147264</v>
      </c>
      <c r="D2319" s="116">
        <v>1064.17159530306</v>
      </c>
      <c r="E2319" s="116">
        <v>1079.58005723617</v>
      </c>
      <c r="F2319" s="116">
        <v>1082.7</v>
      </c>
      <c r="G2319">
        <v>27775</v>
      </c>
      <c r="H2319" s="116"/>
      <c r="I2319" s="116"/>
      <c r="L2319" s="170">
        <v>45421</v>
      </c>
      <c r="M2319" s="116">
        <v>1071.72876575497</v>
      </c>
      <c r="N2319" s="116">
        <v>1101.0147506447299</v>
      </c>
      <c r="O2319" s="116">
        <v>1064.7653190948399</v>
      </c>
      <c r="P2319" s="116">
        <v>1100.3233445933699</v>
      </c>
      <c r="Q2319" s="116">
        <v>1085.05</v>
      </c>
      <c r="R2319">
        <v>1743688</v>
      </c>
    </row>
    <row r="2320" spans="1:18" x14ac:dyDescent="0.25">
      <c r="A2320" s="170">
        <v>45422</v>
      </c>
      <c r="B2320" s="116">
        <v>1080.5677791549599</v>
      </c>
      <c r="C2320" s="116">
        <v>1077.06136634326</v>
      </c>
      <c r="D2320" s="116">
        <v>1055.47964241772</v>
      </c>
      <c r="E2320" s="116">
        <v>1067.8755524985199</v>
      </c>
      <c r="F2320" s="116">
        <v>1090.45</v>
      </c>
      <c r="G2320">
        <v>29516</v>
      </c>
      <c r="H2320" s="116"/>
      <c r="I2320" s="116"/>
      <c r="L2320" s="170">
        <v>45422</v>
      </c>
      <c r="M2320" s="116">
        <v>1077.556331045</v>
      </c>
      <c r="N2320" s="116">
        <v>1080.51949983655</v>
      </c>
      <c r="O2320" s="116">
        <v>1054.54238676401</v>
      </c>
      <c r="P2320" s="116">
        <v>1074.5931622534599</v>
      </c>
      <c r="Q2320" s="116">
        <v>1090.95</v>
      </c>
      <c r="R2320">
        <v>1080599</v>
      </c>
    </row>
    <row r="2321" spans="1:18" x14ac:dyDescent="0.25">
      <c r="A2321" s="170">
        <v>45425</v>
      </c>
      <c r="B2321" s="116">
        <v>1088.61771279309</v>
      </c>
      <c r="C2321" s="116">
        <v>1082.9876978559901</v>
      </c>
      <c r="D2321" s="116">
        <v>1063.1838733842701</v>
      </c>
      <c r="E2321" s="116">
        <v>1073.80188401125</v>
      </c>
      <c r="F2321" s="116">
        <v>1096.45</v>
      </c>
      <c r="G2321">
        <v>32109</v>
      </c>
      <c r="H2321" s="116"/>
      <c r="I2321" s="116"/>
      <c r="L2321" s="170">
        <v>45425</v>
      </c>
      <c r="M2321" s="116">
        <v>1083.4826686280901</v>
      </c>
      <c r="N2321" s="116">
        <v>1087.4829464966799</v>
      </c>
      <c r="O2321" s="116">
        <v>1062.8392593803301</v>
      </c>
      <c r="P2321" s="116">
        <v>1072.76587483201</v>
      </c>
      <c r="Q2321" s="116">
        <v>1096.95</v>
      </c>
      <c r="R2321">
        <v>933422</v>
      </c>
    </row>
    <row r="2322" spans="1:18" x14ac:dyDescent="0.25">
      <c r="A2322" s="170">
        <v>45426</v>
      </c>
      <c r="B2322" s="116">
        <v>1084.4692807341701</v>
      </c>
      <c r="C2322" s="116">
        <v>1071.9252123655499</v>
      </c>
      <c r="D2322" s="116">
        <v>1068.7151161294901</v>
      </c>
      <c r="E2322" s="116">
        <v>1082.9876978559901</v>
      </c>
      <c r="F2322" s="116">
        <v>1085.25</v>
      </c>
      <c r="G2322">
        <v>13891</v>
      </c>
      <c r="H2322" s="116"/>
      <c r="I2322" s="116"/>
      <c r="L2322" s="170">
        <v>45426</v>
      </c>
      <c r="M2322" s="116">
        <v>1072.12385492717</v>
      </c>
      <c r="N2322" s="116">
        <v>1084.91486687734</v>
      </c>
      <c r="O2322" s="116">
        <v>1068.9137554030001</v>
      </c>
      <c r="P2322" s="116">
        <v>1082.5443318441</v>
      </c>
      <c r="Q2322" s="116">
        <v>1085.45</v>
      </c>
      <c r="R2322">
        <v>1194960</v>
      </c>
    </row>
    <row r="2323" spans="1:18" x14ac:dyDescent="0.25">
      <c r="A2323" s="170">
        <v>45427</v>
      </c>
      <c r="B2323" s="116">
        <v>1076.56750538386</v>
      </c>
      <c r="C2323" s="116">
        <v>1055.23271193802</v>
      </c>
      <c r="D2323" s="116">
        <v>1050.4916467278399</v>
      </c>
      <c r="E2323" s="116">
        <v>1070.83871825489</v>
      </c>
      <c r="F2323" s="116">
        <v>1068.3499999999999</v>
      </c>
      <c r="G2323">
        <v>42378</v>
      </c>
      <c r="H2323" s="116"/>
      <c r="I2323" s="116"/>
      <c r="L2323" s="170">
        <v>45427</v>
      </c>
      <c r="M2323" s="116">
        <v>1055.77704042716</v>
      </c>
      <c r="N2323" s="116">
        <v>1077.45755875195</v>
      </c>
      <c r="O2323" s="116">
        <v>1043.03541462352</v>
      </c>
      <c r="P2323" s="116">
        <v>1072.6671025389601</v>
      </c>
      <c r="Q2323" s="116">
        <v>1068.9000000000001</v>
      </c>
      <c r="R2323">
        <v>1920081</v>
      </c>
    </row>
    <row r="2324" spans="1:18" x14ac:dyDescent="0.25">
      <c r="A2324" s="170">
        <v>45428</v>
      </c>
      <c r="B2324" s="116">
        <v>1089.1115737524799</v>
      </c>
      <c r="C2324" s="116">
        <v>1086.2471801879899</v>
      </c>
      <c r="D2324" s="116">
        <v>1045.0097900785599</v>
      </c>
      <c r="E2324" s="116">
        <v>1055.43025632178</v>
      </c>
      <c r="F2324" s="116">
        <v>1099.75</v>
      </c>
      <c r="G2324">
        <v>74283</v>
      </c>
      <c r="H2324" s="116"/>
      <c r="I2324" s="116"/>
      <c r="L2324" s="170">
        <v>45428</v>
      </c>
      <c r="M2324" s="116">
        <v>1086.2482928335301</v>
      </c>
      <c r="N2324" s="116">
        <v>1089.01391703897</v>
      </c>
      <c r="O2324" s="116">
        <v>1044.8627020449701</v>
      </c>
      <c r="P2324" s="116">
        <v>1057.85125858124</v>
      </c>
      <c r="Q2324" s="116">
        <v>1099.75</v>
      </c>
      <c r="R2324">
        <v>2665288</v>
      </c>
    </row>
    <row r="2325" spans="1:18" x14ac:dyDescent="0.25">
      <c r="A2325" s="170">
        <v>45429</v>
      </c>
      <c r="B2325" s="116">
        <v>1087.2842882027201</v>
      </c>
      <c r="C2325" s="116">
        <v>1080.0739181955601</v>
      </c>
      <c r="D2325" s="116">
        <v>1075.43162517726</v>
      </c>
      <c r="E2325" s="116">
        <v>1080.7159374427799</v>
      </c>
      <c r="F2325" s="116">
        <v>1093.5</v>
      </c>
      <c r="G2325">
        <v>58542</v>
      </c>
      <c r="H2325" s="116"/>
      <c r="I2325" s="116"/>
      <c r="L2325" s="170">
        <v>45429</v>
      </c>
      <c r="M2325" s="116">
        <v>1081.7541534996899</v>
      </c>
      <c r="N2325" s="116">
        <v>1087.68049108278</v>
      </c>
      <c r="O2325" s="116">
        <v>1075.77842977008</v>
      </c>
      <c r="P2325" s="116">
        <v>1079.58116305256</v>
      </c>
      <c r="Q2325" s="116">
        <v>1095.2</v>
      </c>
      <c r="R2325">
        <v>1069069</v>
      </c>
    </row>
    <row r="2326" spans="1:18" x14ac:dyDescent="0.25">
      <c r="A2326" s="170">
        <v>45430</v>
      </c>
      <c r="B2326" s="116">
        <v>1086.5434967636299</v>
      </c>
      <c r="C2326" s="116">
        <v>1081.5061149778101</v>
      </c>
      <c r="D2326" s="116">
        <v>1078.2466326458</v>
      </c>
      <c r="E2326" s="116">
        <v>1079.62944333211</v>
      </c>
      <c r="F2326" s="116">
        <v>1094.95</v>
      </c>
      <c r="G2326">
        <v>2290</v>
      </c>
      <c r="H2326" s="116"/>
      <c r="I2326" s="116"/>
      <c r="L2326" s="170">
        <v>45430</v>
      </c>
      <c r="M2326" s="116">
        <v>1081.7541534996899</v>
      </c>
      <c r="N2326" s="116">
        <v>1084.7667084377599</v>
      </c>
      <c r="O2326" s="116">
        <v>1076.86492499364</v>
      </c>
      <c r="P2326" s="116">
        <v>1081.55660891359</v>
      </c>
      <c r="Q2326" s="116">
        <v>1095.2</v>
      </c>
      <c r="R2326">
        <v>70507</v>
      </c>
    </row>
    <row r="2327" spans="1:18" x14ac:dyDescent="0.25">
      <c r="A2327" s="170">
        <v>45433</v>
      </c>
      <c r="B2327" s="116">
        <v>1086.4447245717499</v>
      </c>
      <c r="C2327" s="116">
        <v>1080.86409573059</v>
      </c>
      <c r="D2327" s="116">
        <v>1075.62916956101</v>
      </c>
      <c r="E2327" s="116">
        <v>1086.4447245717499</v>
      </c>
      <c r="F2327" s="116">
        <v>1094.3</v>
      </c>
      <c r="G2327">
        <v>15608</v>
      </c>
      <c r="H2327" s="116"/>
      <c r="I2327" s="116"/>
      <c r="L2327" s="170">
        <v>45433</v>
      </c>
      <c r="M2327" s="116">
        <v>1080.51949983655</v>
      </c>
      <c r="N2327" s="116">
        <v>1084.1246885329299</v>
      </c>
      <c r="O2327" s="116">
        <v>1075.5808851839699</v>
      </c>
      <c r="P2327" s="116">
        <v>1075.6302713304999</v>
      </c>
      <c r="Q2327" s="116">
        <v>1093.95</v>
      </c>
      <c r="R2327">
        <v>906092</v>
      </c>
    </row>
    <row r="2328" spans="1:18" x14ac:dyDescent="0.25">
      <c r="A2328" s="170">
        <v>45434</v>
      </c>
      <c r="B2328" s="116">
        <v>1108.22399288104</v>
      </c>
      <c r="C2328" s="116">
        <v>1106.84118219474</v>
      </c>
      <c r="D2328" s="116">
        <v>1080.2220764833801</v>
      </c>
      <c r="E2328" s="116">
        <v>1089.90175128751</v>
      </c>
      <c r="F2328" s="116">
        <v>1120.5999999999999</v>
      </c>
      <c r="G2328">
        <v>118262</v>
      </c>
      <c r="H2328" s="116"/>
      <c r="I2328" s="116"/>
      <c r="L2328" s="170">
        <v>45434</v>
      </c>
      <c r="M2328" s="116">
        <v>1106.5953852021401</v>
      </c>
      <c r="N2328" s="116">
        <v>1108.2251280374901</v>
      </c>
      <c r="O2328" s="116">
        <v>1080.51949983655</v>
      </c>
      <c r="P2328" s="116">
        <v>1086.4952235661599</v>
      </c>
      <c r="Q2328" s="116">
        <v>1120.3499999999999</v>
      </c>
      <c r="R2328">
        <v>2032291</v>
      </c>
    </row>
    <row r="2329" spans="1:18" x14ac:dyDescent="0.25">
      <c r="A2329" s="170">
        <v>45435</v>
      </c>
      <c r="B2329" s="116">
        <v>1115.33559069632</v>
      </c>
      <c r="C2329" s="116">
        <v>1103.82863034243</v>
      </c>
      <c r="D2329" s="116">
        <v>1090.5437705347199</v>
      </c>
      <c r="E2329" s="116">
        <v>1115.0392741206899</v>
      </c>
      <c r="F2329" s="116">
        <v>1117.55</v>
      </c>
      <c r="G2329">
        <v>85126</v>
      </c>
      <c r="H2329" s="116"/>
      <c r="I2329" s="116"/>
      <c r="L2329" s="170">
        <v>45435</v>
      </c>
      <c r="M2329" s="116">
        <v>1104.2248501689</v>
      </c>
      <c r="N2329" s="116">
        <v>1117.3121789982199</v>
      </c>
      <c r="O2329" s="116">
        <v>1090.44611528822</v>
      </c>
      <c r="P2329" s="116">
        <v>1113.6082180087899</v>
      </c>
      <c r="Q2329" s="116">
        <v>1117.95</v>
      </c>
      <c r="R2329">
        <v>2087340</v>
      </c>
    </row>
    <row r="2330" spans="1:18" x14ac:dyDescent="0.25">
      <c r="A2330" s="170">
        <v>45436</v>
      </c>
      <c r="B2330" s="116">
        <v>1098.09984321346</v>
      </c>
      <c r="C2330" s="116">
        <v>1084.8643695016899</v>
      </c>
      <c r="D2330" s="116">
        <v>1082.1481342250199</v>
      </c>
      <c r="E2330" s="116">
        <v>1096.3713298555799</v>
      </c>
      <c r="F2330" s="116">
        <v>1098.3499999999999</v>
      </c>
      <c r="G2330">
        <v>31474</v>
      </c>
      <c r="H2330" s="116"/>
      <c r="I2330" s="116"/>
      <c r="L2330" s="170">
        <v>45436</v>
      </c>
      <c r="M2330" s="116">
        <v>1084.7667084377599</v>
      </c>
      <c r="N2330" s="116">
        <v>1097.3601758018201</v>
      </c>
      <c r="O2330" s="116">
        <v>1082.5443318441</v>
      </c>
      <c r="P2330" s="116">
        <v>1097.3601758018201</v>
      </c>
      <c r="Q2330" s="116">
        <v>1098.25</v>
      </c>
      <c r="R2330">
        <v>1424791</v>
      </c>
    </row>
    <row r="2331" spans="1:18" x14ac:dyDescent="0.25">
      <c r="A2331" s="170">
        <v>45439</v>
      </c>
      <c r="B2331" s="116">
        <v>1095.63053841649</v>
      </c>
      <c r="C2331" s="116">
        <v>1074.6414476422201</v>
      </c>
      <c r="D2331" s="116">
        <v>1073.0117064762201</v>
      </c>
      <c r="E2331" s="116">
        <v>1085.5063887489</v>
      </c>
      <c r="F2331" s="116">
        <v>1088</v>
      </c>
      <c r="G2331">
        <v>46759</v>
      </c>
      <c r="H2331" s="116"/>
      <c r="I2331" s="116"/>
      <c r="L2331" s="170">
        <v>45439</v>
      </c>
      <c r="M2331" s="116">
        <v>1074.54377610693</v>
      </c>
      <c r="N2331" s="116">
        <v>1096.3724528713101</v>
      </c>
      <c r="O2331" s="116">
        <v>1073.3091224437901</v>
      </c>
      <c r="P2331" s="116">
        <v>1085.5075006356501</v>
      </c>
      <c r="Q2331" s="116">
        <v>1087.9000000000001</v>
      </c>
      <c r="R2331">
        <v>1881215</v>
      </c>
    </row>
    <row r="2332" spans="1:18" x14ac:dyDescent="0.25">
      <c r="A2332" s="170">
        <v>45440</v>
      </c>
      <c r="B2332" s="116">
        <v>1084.5186668301101</v>
      </c>
      <c r="C2332" s="116">
        <v>1081.7036593615601</v>
      </c>
      <c r="D2332" s="116">
        <v>1066.78905838785</v>
      </c>
      <c r="E2332" s="116">
        <v>1081.5061149778101</v>
      </c>
      <c r="F2332" s="116">
        <v>1095.1500000000001</v>
      </c>
      <c r="G2332">
        <v>53801</v>
      </c>
      <c r="H2332" s="116"/>
      <c r="I2332" s="116"/>
      <c r="L2332" s="170">
        <v>45440</v>
      </c>
      <c r="M2332" s="116">
        <v>1082.0998565253699</v>
      </c>
      <c r="N2332" s="116">
        <v>1084.4703915586099</v>
      </c>
      <c r="O2332" s="116">
        <v>1066.74076495587</v>
      </c>
      <c r="P2332" s="116">
        <v>1075.6302713304999</v>
      </c>
      <c r="Q2332" s="116">
        <v>1095.55</v>
      </c>
      <c r="R2332">
        <v>981637</v>
      </c>
    </row>
    <row r="2333" spans="1:18" x14ac:dyDescent="0.25">
      <c r="A2333" s="170">
        <v>45441</v>
      </c>
      <c r="B2333" s="116">
        <v>1077.6046133985899</v>
      </c>
      <c r="C2333" s="116">
        <v>1057.8007889268699</v>
      </c>
      <c r="D2333" s="116">
        <v>1054.9363953623899</v>
      </c>
      <c r="E2333" s="116">
        <v>1077.6046133985899</v>
      </c>
      <c r="F2333" s="116">
        <v>1070.95</v>
      </c>
      <c r="G2333">
        <v>16829</v>
      </c>
      <c r="H2333" s="116"/>
      <c r="I2333" s="116"/>
      <c r="L2333" s="170">
        <v>45441</v>
      </c>
      <c r="M2333" s="116">
        <v>1058.14757546039</v>
      </c>
      <c r="N2333" s="116">
        <v>1076.6179942610099</v>
      </c>
      <c r="O2333" s="116">
        <v>1054.88808978969</v>
      </c>
      <c r="P2333" s="116">
        <v>1071.6793796084401</v>
      </c>
      <c r="Q2333" s="116">
        <v>1071.3</v>
      </c>
      <c r="R2333">
        <v>1526469</v>
      </c>
    </row>
    <row r="2334" spans="1:18" x14ac:dyDescent="0.25">
      <c r="A2334" s="170">
        <v>45442</v>
      </c>
      <c r="B2334" s="116">
        <v>1060.81334077918</v>
      </c>
      <c r="C2334" s="116">
        <v>1054.3437622111101</v>
      </c>
      <c r="D2334" s="116">
        <v>1039.0834585658299</v>
      </c>
      <c r="E2334" s="116">
        <v>1054.9363953623899</v>
      </c>
      <c r="F2334" s="116">
        <v>1067.45</v>
      </c>
      <c r="G2334">
        <v>21989</v>
      </c>
      <c r="H2334" s="116"/>
      <c r="I2334" s="116"/>
      <c r="L2334" s="170">
        <v>45442</v>
      </c>
      <c r="M2334" s="116">
        <v>1054.09791144528</v>
      </c>
      <c r="N2334" s="116">
        <v>1061.25890269151</v>
      </c>
      <c r="O2334" s="116">
        <v>1039.0845229014601</v>
      </c>
      <c r="P2334" s="116">
        <v>1057.85125858124</v>
      </c>
      <c r="Q2334" s="116">
        <v>1067.2</v>
      </c>
      <c r="R2334">
        <v>2743237</v>
      </c>
    </row>
    <row r="2335" spans="1:18" x14ac:dyDescent="0.25">
      <c r="A2335" s="170">
        <v>45443</v>
      </c>
      <c r="B2335" s="116">
        <v>1059.97377714821</v>
      </c>
      <c r="C2335" s="116">
        <v>1046.2938285729899</v>
      </c>
      <c r="D2335" s="116">
        <v>1037.1080147282501</v>
      </c>
      <c r="E2335" s="116">
        <v>1059.97377714821</v>
      </c>
      <c r="F2335" s="116">
        <v>1059.3</v>
      </c>
      <c r="G2335">
        <v>118326</v>
      </c>
      <c r="H2335" s="116"/>
      <c r="I2335" s="116"/>
      <c r="L2335" s="170">
        <v>45443</v>
      </c>
      <c r="M2335" s="116">
        <v>1047.2332370782001</v>
      </c>
      <c r="N2335" s="116">
        <v>1057.6537139951299</v>
      </c>
      <c r="O2335" s="116">
        <v>1035.4299480585501</v>
      </c>
      <c r="P2335" s="116">
        <v>1056.56721877157</v>
      </c>
      <c r="Q2335" s="116">
        <v>1060.25</v>
      </c>
      <c r="R2335">
        <v>4787041</v>
      </c>
    </row>
    <row r="2336" spans="1:18" x14ac:dyDescent="0.25">
      <c r="A2336" s="170">
        <v>45446</v>
      </c>
      <c r="B2336" s="116">
        <v>1068.7151161294901</v>
      </c>
      <c r="C2336" s="116">
        <v>1055.5784146096</v>
      </c>
      <c r="D2336" s="116">
        <v>1050.5904189197199</v>
      </c>
      <c r="E2336" s="116">
        <v>1067.1841471553701</v>
      </c>
      <c r="F2336" s="116">
        <v>1068.7</v>
      </c>
      <c r="G2336">
        <v>29049</v>
      </c>
      <c r="H2336" s="116"/>
      <c r="I2336" s="116"/>
      <c r="L2336" s="170">
        <v>45446</v>
      </c>
      <c r="M2336" s="116">
        <v>1056.0239711597801</v>
      </c>
      <c r="N2336" s="116">
        <v>1069.6051614543601</v>
      </c>
      <c r="O2336" s="116">
        <v>1050.2951781628001</v>
      </c>
      <c r="P2336" s="116">
        <v>1063.1849624060201</v>
      </c>
      <c r="Q2336" s="116">
        <v>1069.1500000000001</v>
      </c>
      <c r="R2336">
        <v>1323788</v>
      </c>
    </row>
    <row r="2337" spans="1:18" x14ac:dyDescent="0.25">
      <c r="A2337" s="170">
        <v>45447</v>
      </c>
      <c r="B2337" s="116">
        <v>1078.8886518930201</v>
      </c>
      <c r="C2337" s="116">
        <v>1074.09820058689</v>
      </c>
      <c r="D2337" s="116">
        <v>1017.35357635247</v>
      </c>
      <c r="E2337" s="116">
        <v>1055.5784146096</v>
      </c>
      <c r="F2337" s="116">
        <v>1087.45</v>
      </c>
      <c r="G2337">
        <v>63630</v>
      </c>
      <c r="H2337" s="116"/>
      <c r="I2337" s="116"/>
      <c r="L2337" s="170">
        <v>45447</v>
      </c>
      <c r="M2337" s="116">
        <v>1073.6548254694701</v>
      </c>
      <c r="N2337" s="116">
        <v>1079.18607388035</v>
      </c>
      <c r="O2337" s="116">
        <v>1016.26812320657</v>
      </c>
      <c r="P2337" s="116">
        <v>1056.0239711597801</v>
      </c>
      <c r="Q2337" s="116">
        <v>1087</v>
      </c>
      <c r="R2337">
        <v>3223165</v>
      </c>
    </row>
    <row r="2338" spans="1:18" x14ac:dyDescent="0.25">
      <c r="A2338" s="170">
        <v>45448</v>
      </c>
      <c r="B2338" s="116">
        <v>1145.6092675072</v>
      </c>
      <c r="C2338" s="116">
        <v>1128.12658954464</v>
      </c>
      <c r="D2338" s="116">
        <v>1080.02453209962</v>
      </c>
      <c r="E2338" s="116">
        <v>1086.5434967636299</v>
      </c>
      <c r="F2338" s="116">
        <v>1142.1500000000001</v>
      </c>
      <c r="G2338">
        <v>325976</v>
      </c>
      <c r="H2338" s="116"/>
      <c r="I2338" s="116"/>
      <c r="L2338" s="170">
        <v>45448</v>
      </c>
      <c r="M2338" s="116">
        <v>1128.37467581998</v>
      </c>
      <c r="N2338" s="116">
        <v>1145.7585993970399</v>
      </c>
      <c r="O2338" s="116">
        <v>1079.7293214921399</v>
      </c>
      <c r="P2338" s="116">
        <v>1095.3847299407901</v>
      </c>
      <c r="Q2338" s="116">
        <v>1142.4000000000001</v>
      </c>
      <c r="R2338">
        <v>6089603</v>
      </c>
    </row>
    <row r="2339" spans="1:18" x14ac:dyDescent="0.25">
      <c r="A2339" s="170">
        <v>45449</v>
      </c>
      <c r="B2339" s="116">
        <v>1143.6338236696199</v>
      </c>
      <c r="C2339" s="116">
        <v>1126.3980761867599</v>
      </c>
      <c r="D2339" s="116">
        <v>1106.2485490434699</v>
      </c>
      <c r="E2339" s="116">
        <v>1143.6338236696199</v>
      </c>
      <c r="F2339" s="116">
        <v>1140.4000000000001</v>
      </c>
      <c r="G2339">
        <v>55499</v>
      </c>
      <c r="H2339" s="116"/>
      <c r="I2339" s="116"/>
      <c r="L2339" s="170">
        <v>45449</v>
      </c>
      <c r="M2339" s="116">
        <v>1125.9053684937001</v>
      </c>
      <c r="N2339" s="116">
        <v>1133.9059242308699</v>
      </c>
      <c r="O2339" s="116">
        <v>1105.8545930042501</v>
      </c>
      <c r="P2339" s="116">
        <v>1133.9059242308699</v>
      </c>
      <c r="Q2339" s="116">
        <v>1139.9000000000001</v>
      </c>
      <c r="R2339">
        <v>2655137</v>
      </c>
    </row>
    <row r="2340" spans="1:18" x14ac:dyDescent="0.25">
      <c r="A2340" s="170">
        <v>45450</v>
      </c>
      <c r="B2340" s="116">
        <v>1135.1888012639799</v>
      </c>
      <c r="C2340" s="116">
        <v>1121.9533275522101</v>
      </c>
      <c r="D2340" s="116">
        <v>1117.4098067257801</v>
      </c>
      <c r="E2340" s="116">
        <v>1132.81826865888</v>
      </c>
      <c r="F2340" s="116">
        <v>1135.9000000000001</v>
      </c>
      <c r="G2340">
        <v>68361</v>
      </c>
      <c r="H2340" s="116"/>
      <c r="I2340" s="116"/>
      <c r="L2340" s="170">
        <v>45450</v>
      </c>
      <c r="M2340" s="116">
        <v>1121.7075460390099</v>
      </c>
      <c r="N2340" s="116">
        <v>1134.8936471613799</v>
      </c>
      <c r="O2340" s="116">
        <v>1117.7072681704301</v>
      </c>
      <c r="P2340" s="116">
        <v>1134.8936471613799</v>
      </c>
      <c r="Q2340" s="116">
        <v>1135.6500000000001</v>
      </c>
      <c r="R2340">
        <v>1877248</v>
      </c>
    </row>
    <row r="2341" spans="1:18" x14ac:dyDescent="0.25">
      <c r="A2341" s="170">
        <v>45453</v>
      </c>
      <c r="B2341" s="116">
        <v>1128.9167670796701</v>
      </c>
      <c r="C2341" s="116">
        <v>1117.5085789176601</v>
      </c>
      <c r="D2341" s="116">
        <v>1111.9773361724399</v>
      </c>
      <c r="E2341" s="116">
        <v>1128.9167670796701</v>
      </c>
      <c r="F2341" s="116">
        <v>1131.4000000000001</v>
      </c>
      <c r="G2341">
        <v>67600</v>
      </c>
      <c r="H2341" s="116"/>
      <c r="I2341" s="116"/>
      <c r="L2341" s="170">
        <v>45453</v>
      </c>
      <c r="M2341" s="116">
        <v>1119.13946641967</v>
      </c>
      <c r="N2341" s="116">
        <v>1129.41178489703</v>
      </c>
      <c r="O2341" s="116">
        <v>1111.8303167338599</v>
      </c>
      <c r="P2341" s="116">
        <v>1125.01641785623</v>
      </c>
      <c r="Q2341" s="116">
        <v>1133.05</v>
      </c>
      <c r="R2341">
        <v>1392359</v>
      </c>
    </row>
    <row r="2342" spans="1:18" x14ac:dyDescent="0.25">
      <c r="A2342" s="170">
        <v>45454</v>
      </c>
      <c r="B2342" s="116">
        <v>1130.3489638619101</v>
      </c>
      <c r="C2342" s="116">
        <v>1120.8668334415399</v>
      </c>
      <c r="D2342" s="116">
        <v>1112.71812761153</v>
      </c>
      <c r="E2342" s="116">
        <v>1120.07665590651</v>
      </c>
      <c r="F2342" s="116">
        <v>1134.8</v>
      </c>
      <c r="G2342">
        <v>22229</v>
      </c>
      <c r="H2342" s="116"/>
      <c r="I2342" s="116"/>
      <c r="L2342" s="170">
        <v>45454</v>
      </c>
      <c r="M2342" s="116">
        <v>1121.6581598924799</v>
      </c>
      <c r="N2342" s="116">
        <v>1130.74521085322</v>
      </c>
      <c r="O2342" s="116">
        <v>1112.8674258108999</v>
      </c>
      <c r="P2342" s="116">
        <v>1119.13946641967</v>
      </c>
      <c r="Q2342" s="116">
        <v>1135.5999999999999</v>
      </c>
      <c r="R2342">
        <v>805013</v>
      </c>
    </row>
    <row r="2343" spans="1:18" x14ac:dyDescent="0.25">
      <c r="A2343" s="170">
        <v>45455</v>
      </c>
      <c r="B2343" s="116">
        <v>1129.60817242282</v>
      </c>
      <c r="C2343" s="116">
        <v>1111.43408911711</v>
      </c>
      <c r="D2343" s="116">
        <v>1109.80434795111</v>
      </c>
      <c r="E2343" s="116">
        <v>1129.60817242282</v>
      </c>
      <c r="F2343" s="116">
        <v>1125.25</v>
      </c>
      <c r="G2343">
        <v>14112</v>
      </c>
      <c r="H2343" s="116"/>
      <c r="I2343" s="116"/>
      <c r="L2343" s="170">
        <v>45455</v>
      </c>
      <c r="M2343" s="116">
        <v>1110.8425938033499</v>
      </c>
      <c r="N2343" s="116">
        <v>1127.97958664778</v>
      </c>
      <c r="O2343" s="116">
        <v>1109.70671243326</v>
      </c>
      <c r="P2343" s="116">
        <v>1127.97958664778</v>
      </c>
      <c r="Q2343" s="116">
        <v>1124.6500000000001</v>
      </c>
      <c r="R2343">
        <v>773116</v>
      </c>
    </row>
    <row r="2344" spans="1:18" x14ac:dyDescent="0.25">
      <c r="A2344" s="170">
        <v>45456</v>
      </c>
      <c r="B2344" s="116">
        <v>1123.4842965263299</v>
      </c>
      <c r="C2344" s="116">
        <v>1100.7173062982499</v>
      </c>
      <c r="D2344" s="116">
        <v>1090.4449983428401</v>
      </c>
      <c r="E2344" s="116">
        <v>1123.4842965263299</v>
      </c>
      <c r="F2344" s="116">
        <v>1114.4000000000001</v>
      </c>
      <c r="G2344">
        <v>67362</v>
      </c>
      <c r="H2344" s="116"/>
      <c r="I2344" s="116"/>
      <c r="L2344" s="170">
        <v>45456</v>
      </c>
      <c r="M2344" s="116">
        <v>1100.91597835168</v>
      </c>
      <c r="N2344" s="116">
        <v>1119.0900802731501</v>
      </c>
      <c r="O2344" s="116">
        <v>1090.4955014347499</v>
      </c>
      <c r="P2344" s="116">
        <v>1116.1269114816</v>
      </c>
      <c r="Q2344" s="116">
        <v>1114.5999999999999</v>
      </c>
      <c r="R2344">
        <v>1605436</v>
      </c>
    </row>
    <row r="2345" spans="1:18" x14ac:dyDescent="0.25">
      <c r="A2345" s="170">
        <v>45457</v>
      </c>
      <c r="B2345" s="116">
        <v>1110.5451393901999</v>
      </c>
      <c r="C2345" s="116">
        <v>1098.49493198097</v>
      </c>
      <c r="D2345" s="116">
        <v>1096.4207159515199</v>
      </c>
      <c r="E2345" s="116">
        <v>1107.4832014419501</v>
      </c>
      <c r="F2345" s="116">
        <v>1112.1500000000001</v>
      </c>
      <c r="G2345">
        <v>31219</v>
      </c>
      <c r="H2345" s="116"/>
      <c r="I2345" s="116"/>
      <c r="L2345" s="170">
        <v>45457</v>
      </c>
      <c r="M2345" s="116">
        <v>1098.7923740510701</v>
      </c>
      <c r="N2345" s="116">
        <v>1111.1389106825</v>
      </c>
      <c r="O2345" s="116">
        <v>1096.47122516436</v>
      </c>
      <c r="P2345" s="116">
        <v>1100.91597835168</v>
      </c>
      <c r="Q2345" s="116">
        <v>1112.45</v>
      </c>
      <c r="R2345">
        <v>1107470</v>
      </c>
    </row>
    <row r="2346" spans="1:18" x14ac:dyDescent="0.25">
      <c r="A2346" s="170">
        <v>45461</v>
      </c>
      <c r="B2346" s="116">
        <v>1114.5454131612901</v>
      </c>
      <c r="C2346" s="116">
        <v>1111.7797917886801</v>
      </c>
      <c r="D2346" s="116">
        <v>1098.49493198097</v>
      </c>
      <c r="E2346" s="116">
        <v>1100.3222175307301</v>
      </c>
      <c r="F2346" s="116">
        <v>1125.5999999999999</v>
      </c>
      <c r="G2346">
        <v>25010</v>
      </c>
      <c r="H2346" s="116"/>
      <c r="I2346" s="116"/>
      <c r="L2346" s="170">
        <v>45461</v>
      </c>
      <c r="M2346" s="116">
        <v>1113.06497039701</v>
      </c>
      <c r="N2346" s="116">
        <v>1114.44778249973</v>
      </c>
      <c r="O2346" s="116">
        <v>1098.7923740510701</v>
      </c>
      <c r="P2346" s="116">
        <v>1098.7923740510701</v>
      </c>
      <c r="Q2346" s="116">
        <v>1126.9000000000001</v>
      </c>
      <c r="R2346">
        <v>1161864</v>
      </c>
    </row>
    <row r="2347" spans="1:18" x14ac:dyDescent="0.25">
      <c r="A2347" s="170">
        <v>45462</v>
      </c>
      <c r="B2347" s="116">
        <v>1117.6567372054801</v>
      </c>
      <c r="C2347" s="116">
        <v>1092.46982827636</v>
      </c>
      <c r="D2347" s="116">
        <v>1089.45727642406</v>
      </c>
      <c r="E2347" s="116">
        <v>1117.6567372054801</v>
      </c>
      <c r="F2347" s="116">
        <v>1106.05</v>
      </c>
      <c r="G2347">
        <v>21786</v>
      </c>
      <c r="H2347" s="116"/>
      <c r="I2347" s="116"/>
      <c r="L2347" s="170">
        <v>45462</v>
      </c>
      <c r="M2347" s="116">
        <v>1092.02647197704</v>
      </c>
      <c r="N2347" s="116">
        <v>1117.0158621190701</v>
      </c>
      <c r="O2347" s="116">
        <v>1089.45839235771</v>
      </c>
      <c r="P2347" s="116">
        <v>1115.83059460245</v>
      </c>
      <c r="Q2347" s="116">
        <v>1105.5999999999999</v>
      </c>
      <c r="R2347">
        <v>1201455</v>
      </c>
    </row>
    <row r="2348" spans="1:18" x14ac:dyDescent="0.25">
      <c r="A2348" s="170">
        <v>45463</v>
      </c>
      <c r="B2348" s="116">
        <v>1093.7044806748499</v>
      </c>
      <c r="C2348" s="116">
        <v>1089.65482080781</v>
      </c>
      <c r="D2348" s="116">
        <v>1082.64199518441</v>
      </c>
      <c r="E2348" s="116">
        <v>1092.56860046824</v>
      </c>
      <c r="F2348" s="116">
        <v>1103.2</v>
      </c>
      <c r="G2348">
        <v>43898</v>
      </c>
      <c r="H2348" s="116"/>
      <c r="I2348" s="116"/>
      <c r="L2348" s="170">
        <v>45463</v>
      </c>
      <c r="M2348" s="116">
        <v>1089.70532309033</v>
      </c>
      <c r="N2348" s="116">
        <v>1094.74271003596</v>
      </c>
      <c r="O2348" s="116">
        <v>1082.64310413715</v>
      </c>
      <c r="P2348" s="116">
        <v>1094.44639315681</v>
      </c>
      <c r="Q2348" s="116">
        <v>1103.25</v>
      </c>
      <c r="R2348">
        <v>1223872</v>
      </c>
    </row>
    <row r="2349" spans="1:18" x14ac:dyDescent="0.25">
      <c r="A2349" s="170">
        <v>45464</v>
      </c>
      <c r="B2349" s="116">
        <v>1092.0747395088499</v>
      </c>
      <c r="C2349" s="116">
        <v>1071.8758262696199</v>
      </c>
      <c r="D2349" s="116">
        <v>1069.2089770888899</v>
      </c>
      <c r="E2349" s="116">
        <v>1092.0747395088499</v>
      </c>
      <c r="F2349" s="116">
        <v>1085.2</v>
      </c>
      <c r="G2349">
        <v>21219</v>
      </c>
      <c r="H2349" s="116"/>
      <c r="I2349" s="116"/>
      <c r="L2349" s="170">
        <v>45464</v>
      </c>
      <c r="M2349" s="116">
        <v>1071.5806073153899</v>
      </c>
      <c r="N2349" s="116">
        <v>1091.43383821874</v>
      </c>
      <c r="O2349" s="116">
        <v>1068.5186662307899</v>
      </c>
      <c r="P2349" s="116">
        <v>1089.75470923686</v>
      </c>
      <c r="Q2349" s="116">
        <v>1084.9000000000001</v>
      </c>
      <c r="R2349">
        <v>1634958</v>
      </c>
    </row>
    <row r="2350" spans="1:18" x14ac:dyDescent="0.25">
      <c r="A2350" s="170">
        <v>45467</v>
      </c>
      <c r="B2350" s="116">
        <v>1090.4449983428401</v>
      </c>
      <c r="C2350" s="116">
        <v>1087.7287630661799</v>
      </c>
      <c r="D2350" s="116">
        <v>1063.2332594802101</v>
      </c>
      <c r="E2350" s="116">
        <v>1071.5795096939801</v>
      </c>
      <c r="F2350" s="116">
        <v>1101.25</v>
      </c>
      <c r="G2350">
        <v>59480</v>
      </c>
      <c r="H2350" s="116"/>
      <c r="I2350" s="116"/>
      <c r="L2350" s="170">
        <v>45467</v>
      </c>
      <c r="M2350" s="116">
        <v>1088.42128328067</v>
      </c>
      <c r="N2350" s="116">
        <v>1090.44611528822</v>
      </c>
      <c r="O2350" s="116">
        <v>1063.9257546039</v>
      </c>
      <c r="P2350" s="116">
        <v>1066.8889233954501</v>
      </c>
      <c r="Q2350" s="116">
        <v>1101.95</v>
      </c>
      <c r="R2350">
        <v>912255</v>
      </c>
    </row>
    <row r="2351" spans="1:18" x14ac:dyDescent="0.25">
      <c r="A2351" s="170">
        <v>45468</v>
      </c>
      <c r="B2351" s="116">
        <v>1091.6302646453901</v>
      </c>
      <c r="C2351" s="116">
        <v>1080.6665513468399</v>
      </c>
      <c r="D2351" s="116">
        <v>1077.6046133985899</v>
      </c>
      <c r="E2351" s="116">
        <v>1088.46955450527</v>
      </c>
      <c r="F2351" s="116">
        <v>1094.0999999999999</v>
      </c>
      <c r="G2351">
        <v>16059</v>
      </c>
      <c r="H2351" s="116"/>
      <c r="I2351" s="116"/>
      <c r="L2351" s="170">
        <v>45468</v>
      </c>
      <c r="M2351" s="116">
        <v>1081.1615197413801</v>
      </c>
      <c r="N2351" s="116">
        <v>1094.5945515963799</v>
      </c>
      <c r="O2351" s="116">
        <v>1076.6179942610099</v>
      </c>
      <c r="P2351" s="116">
        <v>1094.54516544986</v>
      </c>
      <c r="Q2351" s="116">
        <v>1094.5999999999999</v>
      </c>
      <c r="R2351">
        <v>932314</v>
      </c>
    </row>
    <row r="2352" spans="1:18" x14ac:dyDescent="0.25">
      <c r="A2352" s="170">
        <v>45469</v>
      </c>
      <c r="B2352" s="116">
        <v>1085.8027053245401</v>
      </c>
      <c r="C2352" s="116">
        <v>1073.4561813396799</v>
      </c>
      <c r="D2352" s="116">
        <v>1069.94976852798</v>
      </c>
      <c r="E2352" s="116">
        <v>1080.5677791549599</v>
      </c>
      <c r="F2352" s="116">
        <v>1086.8</v>
      </c>
      <c r="G2352">
        <v>17055</v>
      </c>
      <c r="H2352" s="116"/>
      <c r="I2352" s="116"/>
      <c r="L2352" s="170">
        <v>45469</v>
      </c>
      <c r="M2352" s="116">
        <v>1073.5560531764199</v>
      </c>
      <c r="N2352" s="116">
        <v>1086.29767898006</v>
      </c>
      <c r="O2352" s="116">
        <v>1069.80270604046</v>
      </c>
      <c r="P2352" s="116">
        <v>1081.60599506011</v>
      </c>
      <c r="Q2352" s="116">
        <v>1086.9000000000001</v>
      </c>
      <c r="R2352">
        <v>1003738</v>
      </c>
    </row>
    <row r="2353" spans="1:18" x14ac:dyDescent="0.25">
      <c r="A2353" s="170">
        <v>45470</v>
      </c>
      <c r="B2353" s="116">
        <v>1082.69138128035</v>
      </c>
      <c r="C2353" s="116">
        <v>1071.7276679818001</v>
      </c>
      <c r="D2353" s="116">
        <v>1064.7642284543399</v>
      </c>
      <c r="E2353" s="116">
        <v>1081.5061149778101</v>
      </c>
      <c r="F2353" s="116">
        <v>1085.05</v>
      </c>
      <c r="G2353">
        <v>45335</v>
      </c>
      <c r="H2353" s="116"/>
      <c r="I2353" s="116"/>
      <c r="L2353" s="170">
        <v>45470</v>
      </c>
      <c r="M2353" s="116">
        <v>1072.2720133667499</v>
      </c>
      <c r="N2353" s="116">
        <v>1082.98880716283</v>
      </c>
      <c r="O2353" s="116">
        <v>1064.61716065526</v>
      </c>
      <c r="P2353" s="116">
        <v>1076.7167665540701</v>
      </c>
      <c r="Q2353" s="116">
        <v>1085.5999999999999</v>
      </c>
      <c r="R2353">
        <v>2272855</v>
      </c>
    </row>
    <row r="2354" spans="1:18" x14ac:dyDescent="0.25">
      <c r="A2354" s="170">
        <v>45471</v>
      </c>
      <c r="B2354" s="116">
        <v>1090.00052347939</v>
      </c>
      <c r="C2354" s="116">
        <v>1083.6791031991399</v>
      </c>
      <c r="D2354" s="116">
        <v>1071.13503483052</v>
      </c>
      <c r="E2354" s="116">
        <v>1071.13503483052</v>
      </c>
      <c r="F2354" s="116">
        <v>1097.1500000000001</v>
      </c>
      <c r="G2354">
        <v>18363</v>
      </c>
      <c r="H2354" s="116"/>
      <c r="I2354" s="116"/>
      <c r="L2354" s="170">
        <v>45471</v>
      </c>
      <c r="M2354" s="116">
        <v>1083.97653009335</v>
      </c>
      <c r="N2354" s="116">
        <v>1090.44611528822</v>
      </c>
      <c r="O2354" s="116">
        <v>1071.6793796084401</v>
      </c>
      <c r="P2354" s="116">
        <v>1072.2720133667499</v>
      </c>
      <c r="Q2354" s="116">
        <v>1097.45</v>
      </c>
      <c r="R2354">
        <v>1129490</v>
      </c>
    </row>
    <row r="2355" spans="1:18" x14ac:dyDescent="0.25">
      <c r="A2355" s="170">
        <v>45474</v>
      </c>
      <c r="B2355" s="116">
        <v>1083.6791031991399</v>
      </c>
      <c r="C2355" s="116">
        <v>1080.96286792247</v>
      </c>
      <c r="D2355" s="116">
        <v>1074.7896059300399</v>
      </c>
      <c r="E2355" s="116">
        <v>1081.6542732656201</v>
      </c>
      <c r="F2355" s="116">
        <v>1094.4000000000001</v>
      </c>
      <c r="G2355">
        <v>12837</v>
      </c>
      <c r="H2355" s="116"/>
      <c r="I2355" s="116"/>
      <c r="L2355" s="170">
        <v>45474</v>
      </c>
      <c r="M2355" s="116">
        <v>1081.1121335948601</v>
      </c>
      <c r="N2355" s="116">
        <v>1083.97653009335</v>
      </c>
      <c r="O2355" s="116">
        <v>1074.6425483999899</v>
      </c>
      <c r="P2355" s="116">
        <v>1076.7167665540701</v>
      </c>
      <c r="Q2355" s="116">
        <v>1094.55</v>
      </c>
      <c r="R2355">
        <v>767705</v>
      </c>
    </row>
    <row r="2356" spans="1:18" x14ac:dyDescent="0.25">
      <c r="A2356" s="170">
        <v>45475</v>
      </c>
      <c r="B2356" s="116">
        <v>1097.3590517743701</v>
      </c>
      <c r="C2356" s="116">
        <v>1092.61798656418</v>
      </c>
      <c r="D2356" s="116">
        <v>1066.2458113325199</v>
      </c>
      <c r="E2356" s="116">
        <v>1084.9137555976299</v>
      </c>
      <c r="F2356" s="116">
        <v>1106.2</v>
      </c>
      <c r="G2356">
        <v>29547</v>
      </c>
      <c r="H2356" s="116"/>
      <c r="I2356" s="116"/>
      <c r="L2356" s="170">
        <v>45475</v>
      </c>
      <c r="M2356" s="116">
        <v>1091.43383821874</v>
      </c>
      <c r="N2356" s="116">
        <v>1096.3724528713101</v>
      </c>
      <c r="O2356" s="116">
        <v>1066.74076495587</v>
      </c>
      <c r="P2356" s="116">
        <v>1082.5443318441</v>
      </c>
      <c r="Q2356" s="116">
        <v>1105</v>
      </c>
      <c r="R2356">
        <v>2026189</v>
      </c>
    </row>
    <row r="2357" spans="1:18" x14ac:dyDescent="0.25">
      <c r="A2357" s="170">
        <v>45476</v>
      </c>
      <c r="B2357" s="116">
        <v>1133.8059905776699</v>
      </c>
      <c r="C2357" s="116">
        <v>1131.8305467401001</v>
      </c>
      <c r="D2357" s="116">
        <v>1098.6924763647301</v>
      </c>
      <c r="E2357" s="116">
        <v>1098.6924763647301</v>
      </c>
      <c r="F2357" s="116">
        <v>1145.9000000000001</v>
      </c>
      <c r="G2357">
        <v>261425</v>
      </c>
      <c r="H2357" s="116"/>
      <c r="I2357" s="116"/>
      <c r="L2357" s="170">
        <v>45476</v>
      </c>
      <c r="M2357" s="116">
        <v>1132.2761813955201</v>
      </c>
      <c r="N2357" s="116">
        <v>1134.49855798918</v>
      </c>
      <c r="O2357" s="116">
        <v>1098.3972848788601</v>
      </c>
      <c r="P2357" s="116">
        <v>1100.3233445933699</v>
      </c>
      <c r="Q2357" s="116">
        <v>1146.3499999999999</v>
      </c>
      <c r="R2357">
        <v>4406793</v>
      </c>
    </row>
    <row r="2358" spans="1:18" x14ac:dyDescent="0.25">
      <c r="A2358" s="170">
        <v>45477</v>
      </c>
      <c r="B2358" s="116">
        <v>1140.12741085792</v>
      </c>
      <c r="C2358" s="116">
        <v>1121.6570109765701</v>
      </c>
      <c r="D2358" s="116">
        <v>1119.4840227552399</v>
      </c>
      <c r="E2358" s="116">
        <v>1135.83082051119</v>
      </c>
      <c r="F2358" s="116">
        <v>1135.5999999999999</v>
      </c>
      <c r="G2358">
        <v>121153</v>
      </c>
      <c r="H2358" s="116"/>
      <c r="I2358" s="116"/>
      <c r="L2358" s="170">
        <v>45477</v>
      </c>
      <c r="M2358" s="116">
        <v>1121.26307072028</v>
      </c>
      <c r="N2358" s="116">
        <v>1140.62244015837</v>
      </c>
      <c r="O2358" s="116">
        <v>1119.3863971523001</v>
      </c>
      <c r="P2358" s="116">
        <v>1133.46144891214</v>
      </c>
      <c r="Q2358" s="116">
        <v>1135.2</v>
      </c>
      <c r="R2358">
        <v>2113837</v>
      </c>
    </row>
    <row r="2359" spans="1:18" x14ac:dyDescent="0.25">
      <c r="A2359" s="170">
        <v>45478</v>
      </c>
      <c r="B2359" s="116">
        <v>1137.01608681374</v>
      </c>
      <c r="C2359" s="116">
        <v>1123.2373660466301</v>
      </c>
      <c r="D2359" s="116">
        <v>1118.34814254863</v>
      </c>
      <c r="E2359" s="116">
        <v>1124.6201767329401</v>
      </c>
      <c r="F2359" s="116">
        <v>1137.2</v>
      </c>
      <c r="G2359">
        <v>129317</v>
      </c>
      <c r="H2359" s="116"/>
      <c r="I2359" s="116"/>
      <c r="L2359" s="170">
        <v>45478</v>
      </c>
      <c r="M2359" s="116">
        <v>1123.4360611674099</v>
      </c>
      <c r="N2359" s="116">
        <v>1136.81970687589</v>
      </c>
      <c r="O2359" s="116">
        <v>1118.79376339399</v>
      </c>
      <c r="P2359" s="116">
        <v>1121.4606153063801</v>
      </c>
      <c r="Q2359" s="116">
        <v>1137.4000000000001</v>
      </c>
      <c r="R2359">
        <v>1281630</v>
      </c>
    </row>
    <row r="2360" spans="1:18" x14ac:dyDescent="0.25">
      <c r="A2360" s="170">
        <v>45481</v>
      </c>
      <c r="B2360" s="116">
        <v>1149.95524394987</v>
      </c>
      <c r="C2360" s="116">
        <v>1136.2259092787101</v>
      </c>
      <c r="D2360" s="116">
        <v>1122.39780241566</v>
      </c>
      <c r="E2360" s="116">
        <v>1123.0398216628801</v>
      </c>
      <c r="F2360" s="116">
        <v>1150.3499999999999</v>
      </c>
      <c r="G2360">
        <v>55380</v>
      </c>
      <c r="H2360" s="116"/>
      <c r="I2360" s="116"/>
      <c r="L2360" s="170">
        <v>45481</v>
      </c>
      <c r="M2360" s="116">
        <v>1136.6715484363101</v>
      </c>
      <c r="N2360" s="116">
        <v>1149.7094911191</v>
      </c>
      <c r="O2360" s="116">
        <v>1122.0532490646899</v>
      </c>
      <c r="P2360" s="116">
        <v>1124.0286949257199</v>
      </c>
      <c r="Q2360" s="116">
        <v>1150.8</v>
      </c>
      <c r="R2360">
        <v>1958676</v>
      </c>
    </row>
    <row r="2361" spans="1:18" x14ac:dyDescent="0.25">
      <c r="A2361" s="170">
        <v>45482</v>
      </c>
      <c r="B2361" s="116">
        <v>1150.6466492930199</v>
      </c>
      <c r="C2361" s="116">
        <v>1127.9784312568199</v>
      </c>
      <c r="D2361" s="116">
        <v>1126.0029874192401</v>
      </c>
      <c r="E2361" s="116">
        <v>1150.6466492930199</v>
      </c>
      <c r="F2361" s="116">
        <v>1142</v>
      </c>
      <c r="G2361">
        <v>217194</v>
      </c>
      <c r="H2361" s="116"/>
      <c r="I2361" s="116"/>
      <c r="L2361" s="170">
        <v>45482</v>
      </c>
      <c r="M2361" s="116">
        <v>1128.1771312338799</v>
      </c>
      <c r="N2361" s="116">
        <v>1154.15424430642</v>
      </c>
      <c r="O2361" s="116">
        <v>1126.00414078675</v>
      </c>
      <c r="P2361" s="116">
        <v>1147.1414114997599</v>
      </c>
      <c r="Q2361" s="116">
        <v>1142.2</v>
      </c>
      <c r="R2361">
        <v>1545936</v>
      </c>
    </row>
    <row r="2362" spans="1:18" x14ac:dyDescent="0.25">
      <c r="A2362" s="170">
        <v>45483</v>
      </c>
      <c r="B2362" s="116">
        <v>1142.3991712711399</v>
      </c>
      <c r="C2362" s="116">
        <v>1137.11485900562</v>
      </c>
      <c r="D2362" s="116">
        <v>1115.58252117602</v>
      </c>
      <c r="E2362" s="116">
        <v>1127.9290451608799</v>
      </c>
      <c r="F2362" s="116">
        <v>1151.25</v>
      </c>
      <c r="G2362">
        <v>47779</v>
      </c>
      <c r="H2362" s="116"/>
      <c r="I2362" s="116"/>
      <c r="L2362" s="170">
        <v>45483</v>
      </c>
      <c r="M2362" s="116">
        <v>1136.6715484363101</v>
      </c>
      <c r="N2362" s="116">
        <v>1142.54849987287</v>
      </c>
      <c r="O2362" s="116">
        <v>1116.1269114816</v>
      </c>
      <c r="P2362" s="116">
        <v>1128.1771312338799</v>
      </c>
      <c r="Q2362" s="116">
        <v>1150.8</v>
      </c>
      <c r="R2362">
        <v>1015150</v>
      </c>
    </row>
    <row r="2363" spans="1:18" x14ac:dyDescent="0.25">
      <c r="A2363" s="170">
        <v>45484</v>
      </c>
      <c r="B2363" s="116">
        <v>1138.74460017162</v>
      </c>
      <c r="C2363" s="116">
        <v>1115.73067946384</v>
      </c>
      <c r="D2363" s="116">
        <v>1111.18715863741</v>
      </c>
      <c r="E2363" s="116">
        <v>1138.74460017162</v>
      </c>
      <c r="F2363" s="116">
        <v>1129.5999999999999</v>
      </c>
      <c r="G2363">
        <v>204039</v>
      </c>
      <c r="H2363" s="116"/>
      <c r="I2363" s="116"/>
      <c r="L2363" s="170">
        <v>45484</v>
      </c>
      <c r="M2363" s="116">
        <v>1117.50972358432</v>
      </c>
      <c r="N2363" s="116">
        <v>1139.23962805565</v>
      </c>
      <c r="O2363" s="116">
        <v>1111.68215829429</v>
      </c>
      <c r="P2363" s="116">
        <v>1136.42461770368</v>
      </c>
      <c r="Q2363" s="116">
        <v>1131.4000000000001</v>
      </c>
      <c r="R2363">
        <v>1883264</v>
      </c>
    </row>
    <row r="2364" spans="1:18" x14ac:dyDescent="0.25">
      <c r="A2364" s="170">
        <v>45485</v>
      </c>
      <c r="B2364" s="116">
        <v>1139.73232209041</v>
      </c>
      <c r="C2364" s="116">
        <v>1137.6581060609501</v>
      </c>
      <c r="D2364" s="116">
        <v>1116.2739265191699</v>
      </c>
      <c r="E2364" s="116">
        <v>1125.2128098842099</v>
      </c>
      <c r="F2364" s="116">
        <v>1151.8</v>
      </c>
      <c r="G2364">
        <v>21852</v>
      </c>
      <c r="H2364" s="116"/>
      <c r="I2364" s="116"/>
      <c r="L2364" s="170">
        <v>45485</v>
      </c>
      <c r="M2364" s="116">
        <v>1138.10374668555</v>
      </c>
      <c r="N2364" s="116">
        <v>1139.83226181396</v>
      </c>
      <c r="O2364" s="116">
        <v>1116.17629762813</v>
      </c>
      <c r="P2364" s="116">
        <v>1121.0655261341799</v>
      </c>
      <c r="Q2364" s="116">
        <v>1152.25</v>
      </c>
      <c r="R2364">
        <v>1092749</v>
      </c>
    </row>
    <row r="2365" spans="1:18" x14ac:dyDescent="0.25">
      <c r="A2365" s="170">
        <v>45488</v>
      </c>
      <c r="B2365" s="116">
        <v>1142.0534685995599</v>
      </c>
      <c r="C2365" s="116">
        <v>1134.7937124964601</v>
      </c>
      <c r="D2365" s="116">
        <v>1126.0029874192401</v>
      </c>
      <c r="E2365" s="116">
        <v>1140.6706579132599</v>
      </c>
      <c r="F2365" s="116">
        <v>1148.9000000000001</v>
      </c>
      <c r="G2365">
        <v>21088</v>
      </c>
      <c r="H2365" s="116"/>
      <c r="I2365" s="116"/>
      <c r="L2365" s="170">
        <v>45488</v>
      </c>
      <c r="M2365" s="116">
        <v>1134.6961025752801</v>
      </c>
      <c r="N2365" s="116">
        <v>1142.7954306055001</v>
      </c>
      <c r="O2365" s="116">
        <v>1125.8065962006499</v>
      </c>
      <c r="P2365" s="116">
        <v>1138.3506774181801</v>
      </c>
      <c r="Q2365" s="116">
        <v>1148.8</v>
      </c>
      <c r="R2365">
        <v>1201063</v>
      </c>
    </row>
    <row r="2366" spans="1:18" x14ac:dyDescent="0.25">
      <c r="A2366" s="170">
        <v>45489</v>
      </c>
      <c r="B2366" s="116">
        <v>1164.5241422520101</v>
      </c>
      <c r="C2366" s="116">
        <v>1161.31404601594</v>
      </c>
      <c r="D2366" s="116">
        <v>1128.62045050403</v>
      </c>
      <c r="E2366" s="116">
        <v>1134.7937124964601</v>
      </c>
      <c r="F2366" s="116">
        <v>1175.75</v>
      </c>
      <c r="G2366">
        <v>137526</v>
      </c>
      <c r="H2366" s="116"/>
      <c r="I2366" s="116"/>
      <c r="L2366" s="170">
        <v>45489</v>
      </c>
      <c r="M2366" s="116">
        <v>1161.8090970179101</v>
      </c>
      <c r="N2366" s="116">
        <v>1164.5253350768201</v>
      </c>
      <c r="O2366" s="116">
        <v>1128.72037884567</v>
      </c>
      <c r="P2366" s="116">
        <v>1134.6961025752801</v>
      </c>
      <c r="Q2366" s="116">
        <v>1176.25</v>
      </c>
      <c r="R2366">
        <v>2152821</v>
      </c>
    </row>
    <row r="2367" spans="1:18" x14ac:dyDescent="0.25">
      <c r="A2367" s="170">
        <v>45491</v>
      </c>
      <c r="B2367" s="116">
        <v>1179.98199028105</v>
      </c>
      <c r="C2367" s="116">
        <v>1178.30286301911</v>
      </c>
      <c r="D2367" s="116">
        <v>1155.63464498291</v>
      </c>
      <c r="E2367" s="116">
        <v>1165.46247807486</v>
      </c>
      <c r="F2367" s="116">
        <v>1192.95</v>
      </c>
      <c r="G2367">
        <v>46052</v>
      </c>
      <c r="H2367" s="116"/>
      <c r="I2367" s="116"/>
      <c r="L2367" s="170">
        <v>45491</v>
      </c>
      <c r="M2367" s="116">
        <v>1178.7485452762301</v>
      </c>
      <c r="N2367" s="116">
        <v>1179.9338127928499</v>
      </c>
      <c r="O2367" s="116">
        <v>1155.6358287021901</v>
      </c>
      <c r="P2367" s="116">
        <v>1160.57444335476</v>
      </c>
      <c r="Q2367" s="116">
        <v>1193.4000000000001</v>
      </c>
      <c r="R2367">
        <v>2559563</v>
      </c>
    </row>
    <row r="2368" spans="1:18" x14ac:dyDescent="0.25">
      <c r="A2368" s="170">
        <v>45492</v>
      </c>
      <c r="B2368" s="116">
        <v>1190.8963174836699</v>
      </c>
      <c r="C2368" s="116">
        <v>1173.1667090414101</v>
      </c>
      <c r="D2368" s="116">
        <v>1168.42564383122</v>
      </c>
      <c r="E2368" s="116">
        <v>1190.8963174836699</v>
      </c>
      <c r="F2368" s="116">
        <v>1187.75</v>
      </c>
      <c r="G2368">
        <v>29474</v>
      </c>
      <c r="H2368" s="116"/>
      <c r="I2368" s="116"/>
      <c r="L2368" s="170">
        <v>45492</v>
      </c>
      <c r="M2368" s="116">
        <v>1173.41484145145</v>
      </c>
      <c r="N2368" s="116">
        <v>1185.3662889106799</v>
      </c>
      <c r="O2368" s="116">
        <v>1168.4762267988799</v>
      </c>
      <c r="P2368" s="116">
        <v>1185.26751661763</v>
      </c>
      <c r="Q2368" s="116">
        <v>1188</v>
      </c>
      <c r="R2368">
        <v>1385064</v>
      </c>
    </row>
    <row r="2369" spans="1:18" x14ac:dyDescent="0.25">
      <c r="A2369" s="170">
        <v>45495</v>
      </c>
      <c r="B2369" s="116">
        <v>1196.0324714613701</v>
      </c>
      <c r="C2369" s="116">
        <v>1187.8343795354201</v>
      </c>
      <c r="D2369" s="116">
        <v>1167.5860802002501</v>
      </c>
      <c r="E2369" s="116">
        <v>1172.91977856171</v>
      </c>
      <c r="F2369" s="116">
        <v>1202.5999999999999</v>
      </c>
      <c r="G2369">
        <v>38158</v>
      </c>
      <c r="H2369" s="116"/>
      <c r="I2369" s="116"/>
      <c r="L2369" s="170">
        <v>45495</v>
      </c>
      <c r="M2369" s="116">
        <v>1190.0085866841</v>
      </c>
      <c r="N2369" s="116">
        <v>1196.0336965602401</v>
      </c>
      <c r="O2369" s="116">
        <v>1167.735434601</v>
      </c>
      <c r="P2369" s="116">
        <v>1170.4516726599099</v>
      </c>
      <c r="Q2369" s="116">
        <v>1204.8</v>
      </c>
      <c r="R2369">
        <v>1698551</v>
      </c>
    </row>
    <row r="2370" spans="1:18" x14ac:dyDescent="0.25">
      <c r="A2370" s="170">
        <v>45496</v>
      </c>
      <c r="B2370" s="116">
        <v>1245.71488397645</v>
      </c>
      <c r="C2370" s="116">
        <v>1241.22074924596</v>
      </c>
      <c r="D2370" s="116">
        <v>1185.71077741003</v>
      </c>
      <c r="E2370" s="116">
        <v>1201.0698532471899</v>
      </c>
      <c r="F2370" s="116">
        <v>1256.6500000000001</v>
      </c>
      <c r="G2370">
        <v>149235</v>
      </c>
      <c r="H2370" s="116"/>
      <c r="I2370" s="116"/>
      <c r="L2370" s="170">
        <v>45496</v>
      </c>
      <c r="M2370" s="116">
        <v>1241.46895136392</v>
      </c>
      <c r="N2370" s="116">
        <v>1247.0989720678499</v>
      </c>
      <c r="O2370" s="116">
        <v>1185.5144473502601</v>
      </c>
      <c r="P2370" s="116">
        <v>1200.0833605753501</v>
      </c>
      <c r="Q2370" s="116">
        <v>1256.9000000000001</v>
      </c>
      <c r="R2370">
        <v>5140297</v>
      </c>
    </row>
    <row r="2371" spans="1:18" x14ac:dyDescent="0.25">
      <c r="A2371" s="170">
        <v>45497</v>
      </c>
      <c r="B2371" s="116">
        <v>1247.39401123839</v>
      </c>
      <c r="C2371" s="116">
        <v>1216.1326125087201</v>
      </c>
      <c r="D2371" s="116">
        <v>1203.2428414685301</v>
      </c>
      <c r="E2371" s="116">
        <v>1247.39401123839</v>
      </c>
      <c r="F2371" s="116">
        <v>1231.25</v>
      </c>
      <c r="G2371">
        <v>58391</v>
      </c>
      <c r="H2371" s="116"/>
      <c r="I2371" s="116"/>
      <c r="L2371" s="170">
        <v>45497</v>
      </c>
      <c r="M2371" s="116">
        <v>1216.13385819622</v>
      </c>
      <c r="N2371" s="116">
        <v>1242.25912970833</v>
      </c>
      <c r="O2371" s="116">
        <v>1202.4538956085901</v>
      </c>
      <c r="P2371" s="116">
        <v>1241.56772365697</v>
      </c>
      <c r="Q2371" s="116">
        <v>1231.25</v>
      </c>
      <c r="R2371">
        <v>3325998</v>
      </c>
    </row>
    <row r="2372" spans="1:18" x14ac:dyDescent="0.25">
      <c r="A2372" s="170">
        <v>45498</v>
      </c>
      <c r="B2372" s="116">
        <v>1218.84884778539</v>
      </c>
      <c r="C2372" s="116">
        <v>1208.62592592593</v>
      </c>
      <c r="D2372" s="116">
        <v>1193.9088693359699</v>
      </c>
      <c r="E2372" s="116">
        <v>1216.1326125087201</v>
      </c>
      <c r="F2372" s="116">
        <v>1223.6500000000001</v>
      </c>
      <c r="G2372">
        <v>80667</v>
      </c>
      <c r="H2372" s="116"/>
      <c r="I2372" s="116"/>
      <c r="L2372" s="170">
        <v>45498</v>
      </c>
      <c r="M2372" s="116">
        <v>1208.5777777777801</v>
      </c>
      <c r="N2372" s="116">
        <v>1219.83781918565</v>
      </c>
      <c r="O2372" s="116">
        <v>1194.0088645526901</v>
      </c>
      <c r="P2372" s="116">
        <v>1216.8746503940999</v>
      </c>
      <c r="Q2372" s="116">
        <v>1223.5999999999999</v>
      </c>
      <c r="R2372">
        <v>2498031</v>
      </c>
    </row>
    <row r="2373" spans="1:18" x14ac:dyDescent="0.25">
      <c r="A2373" s="170">
        <v>45499</v>
      </c>
      <c r="B2373" s="116">
        <v>1217.95</v>
      </c>
      <c r="C2373" s="116">
        <v>1213.1500000000001</v>
      </c>
      <c r="D2373" s="116">
        <v>1205.3</v>
      </c>
      <c r="E2373" s="116">
        <v>1217.95</v>
      </c>
      <c r="F2373" s="116">
        <v>1213.1500000000001</v>
      </c>
      <c r="G2373">
        <v>75639</v>
      </c>
      <c r="H2373" s="116"/>
      <c r="I2373" s="116"/>
      <c r="L2373" s="170">
        <v>45499</v>
      </c>
      <c r="M2373" s="116">
        <v>1213.6500000000001</v>
      </c>
      <c r="N2373" s="116">
        <v>1218.95</v>
      </c>
      <c r="O2373" s="116">
        <v>1205.4000000000001</v>
      </c>
      <c r="P2373" s="116">
        <v>1216.05</v>
      </c>
      <c r="Q2373" s="116">
        <v>1213.6500000000001</v>
      </c>
      <c r="R2373">
        <v>802492</v>
      </c>
    </row>
    <row r="2374" spans="1:18" x14ac:dyDescent="0.25">
      <c r="A2374" s="170">
        <v>45502</v>
      </c>
      <c r="B2374" s="116">
        <v>1218</v>
      </c>
      <c r="C2374" s="116">
        <v>1201.5999999999999</v>
      </c>
      <c r="D2374" s="116">
        <v>1185.5</v>
      </c>
      <c r="E2374" s="116">
        <v>1213.2</v>
      </c>
      <c r="F2374" s="116">
        <v>1201.5999999999999</v>
      </c>
      <c r="G2374">
        <v>43638</v>
      </c>
      <c r="H2374" s="116"/>
      <c r="I2374" s="116"/>
      <c r="L2374" s="170">
        <v>45502</v>
      </c>
      <c r="M2374" s="116">
        <v>1201.4000000000001</v>
      </c>
      <c r="N2374" s="116">
        <v>1222</v>
      </c>
      <c r="O2374" s="116">
        <v>1185</v>
      </c>
      <c r="P2374" s="116">
        <v>1215</v>
      </c>
      <c r="Q2374" s="116">
        <v>1201.4000000000001</v>
      </c>
      <c r="R2374">
        <v>1944124</v>
      </c>
    </row>
    <row r="2375" spans="1:18" x14ac:dyDescent="0.25">
      <c r="A2375" s="170">
        <v>45503</v>
      </c>
      <c r="B2375" s="116">
        <v>1212</v>
      </c>
      <c r="C2375" s="116">
        <v>1193.8499999999999</v>
      </c>
      <c r="D2375" s="116">
        <v>1189.8</v>
      </c>
      <c r="E2375" s="116">
        <v>1207.5999999999999</v>
      </c>
      <c r="F2375" s="116">
        <v>1193.8499999999999</v>
      </c>
      <c r="G2375">
        <v>90646</v>
      </c>
      <c r="H2375" s="116"/>
      <c r="I2375" s="116"/>
      <c r="L2375" s="170">
        <v>45503</v>
      </c>
      <c r="M2375" s="116">
        <v>1194.9000000000001</v>
      </c>
      <c r="N2375" s="116">
        <v>1211.4000000000001</v>
      </c>
      <c r="O2375" s="116">
        <v>1189.2</v>
      </c>
      <c r="P2375" s="116">
        <v>1206</v>
      </c>
      <c r="Q2375" s="116">
        <v>1194.9000000000001</v>
      </c>
      <c r="R2375">
        <v>1331004</v>
      </c>
    </row>
    <row r="2376" spans="1:18" x14ac:dyDescent="0.25">
      <c r="A2376" s="170">
        <v>45504</v>
      </c>
      <c r="B2376" s="116">
        <v>1194.75</v>
      </c>
      <c r="C2376" s="116">
        <v>1188.55</v>
      </c>
      <c r="D2376" s="116">
        <v>1166.3</v>
      </c>
      <c r="E2376" s="116">
        <v>1194.75</v>
      </c>
      <c r="F2376" s="116">
        <v>1188.55</v>
      </c>
      <c r="G2376">
        <v>71847</v>
      </c>
      <c r="H2376" s="116"/>
      <c r="I2376" s="116"/>
      <c r="L2376" s="170">
        <v>45504</v>
      </c>
      <c r="M2376" s="116">
        <v>1188.95</v>
      </c>
      <c r="N2376" s="116">
        <v>1193</v>
      </c>
      <c r="O2376" s="116">
        <v>1167</v>
      </c>
      <c r="P2376" s="116">
        <v>1193</v>
      </c>
      <c r="Q2376" s="116">
        <v>1188.95</v>
      </c>
      <c r="R2376">
        <v>2994289</v>
      </c>
    </row>
    <row r="2377" spans="1:18" x14ac:dyDescent="0.25">
      <c r="A2377" s="170">
        <v>45505</v>
      </c>
      <c r="B2377" s="116">
        <v>1215.5999999999999</v>
      </c>
      <c r="C2377" s="116">
        <v>1207.7</v>
      </c>
      <c r="D2377" s="116">
        <v>1188.05</v>
      </c>
      <c r="E2377" s="116">
        <v>1188.55</v>
      </c>
      <c r="F2377" s="116">
        <v>1207.7</v>
      </c>
      <c r="G2377">
        <v>40444</v>
      </c>
      <c r="H2377" s="116"/>
      <c r="I2377" s="116"/>
      <c r="L2377" s="170">
        <v>45505</v>
      </c>
      <c r="M2377" s="116">
        <v>1208.3499999999999</v>
      </c>
      <c r="N2377" s="116">
        <v>1216</v>
      </c>
      <c r="O2377" s="116">
        <v>1188</v>
      </c>
      <c r="P2377" s="116">
        <v>1188.95</v>
      </c>
      <c r="Q2377" s="116">
        <v>1208.3499999999999</v>
      </c>
      <c r="R2377">
        <v>1675363</v>
      </c>
    </row>
    <row r="2378" spans="1:18" x14ac:dyDescent="0.25">
      <c r="A2378" s="170">
        <v>45506</v>
      </c>
      <c r="B2378" s="116">
        <v>1220.9000000000001</v>
      </c>
      <c r="C2378" s="116">
        <v>1193.5999999999999</v>
      </c>
      <c r="D2378" s="116">
        <v>1190</v>
      </c>
      <c r="E2378" s="116">
        <v>1207.55</v>
      </c>
      <c r="F2378" s="116">
        <v>1193.5999999999999</v>
      </c>
      <c r="G2378">
        <v>43839</v>
      </c>
      <c r="H2378" s="116"/>
      <c r="I2378" s="116"/>
      <c r="L2378" s="170">
        <v>45506</v>
      </c>
      <c r="M2378" s="116">
        <v>1193.6500000000001</v>
      </c>
      <c r="N2378" s="116">
        <v>1220</v>
      </c>
      <c r="O2378" s="116">
        <v>1190</v>
      </c>
      <c r="P2378" s="116">
        <v>1200</v>
      </c>
      <c r="Q2378" s="116">
        <v>1193.6500000000001</v>
      </c>
      <c r="R2378">
        <v>1262150</v>
      </c>
    </row>
    <row r="2379" spans="1:18" x14ac:dyDescent="0.25">
      <c r="A2379" s="170">
        <v>45509</v>
      </c>
      <c r="B2379" s="116">
        <v>1213.9000000000001</v>
      </c>
      <c r="C2379" s="116">
        <v>1199.3</v>
      </c>
      <c r="D2379" s="116">
        <v>1160.55</v>
      </c>
      <c r="E2379" s="116">
        <v>1170</v>
      </c>
      <c r="F2379" s="116">
        <v>1199.3</v>
      </c>
      <c r="G2379">
        <v>58250</v>
      </c>
      <c r="H2379" s="116"/>
      <c r="I2379" s="116"/>
      <c r="L2379" s="170">
        <v>45509</v>
      </c>
      <c r="M2379" s="116">
        <v>1199.4000000000001</v>
      </c>
      <c r="N2379" s="116">
        <v>1213.5999999999999</v>
      </c>
      <c r="O2379" s="116">
        <v>1151</v>
      </c>
      <c r="P2379" s="116">
        <v>1176</v>
      </c>
      <c r="Q2379" s="116">
        <v>1199.4000000000001</v>
      </c>
      <c r="R2379">
        <v>3718458</v>
      </c>
    </row>
    <row r="2380" spans="1:18" x14ac:dyDescent="0.25">
      <c r="A2380" s="170">
        <v>45510</v>
      </c>
      <c r="B2380" s="116">
        <v>1212.0999999999999</v>
      </c>
      <c r="C2380" s="116">
        <v>1184.5</v>
      </c>
      <c r="D2380" s="116">
        <v>1182.9000000000001</v>
      </c>
      <c r="E2380" s="116">
        <v>1200</v>
      </c>
      <c r="F2380" s="116">
        <v>1184.5</v>
      </c>
      <c r="G2380">
        <v>34117</v>
      </c>
      <c r="H2380" s="116"/>
      <c r="I2380" s="116"/>
      <c r="L2380" s="170">
        <v>45510</v>
      </c>
      <c r="M2380" s="116">
        <v>1185.5999999999999</v>
      </c>
      <c r="N2380" s="116">
        <v>1212.0999999999999</v>
      </c>
      <c r="O2380" s="116">
        <v>1182.8499999999999</v>
      </c>
      <c r="P2380" s="116">
        <v>1200</v>
      </c>
      <c r="Q2380" s="116">
        <v>1185.5999999999999</v>
      </c>
      <c r="R2380">
        <v>1304014</v>
      </c>
    </row>
    <row r="2381" spans="1:18" x14ac:dyDescent="0.25">
      <c r="A2381" s="170">
        <v>45511</v>
      </c>
      <c r="B2381" s="116">
        <v>1207.5</v>
      </c>
      <c r="C2381" s="116">
        <v>1199.55</v>
      </c>
      <c r="D2381" s="116">
        <v>1187</v>
      </c>
      <c r="E2381" s="116">
        <v>1188.0999999999999</v>
      </c>
      <c r="F2381" s="116">
        <v>1199.55</v>
      </c>
      <c r="G2381">
        <v>63309</v>
      </c>
      <c r="H2381" s="116"/>
      <c r="I2381" s="116"/>
      <c r="L2381" s="170">
        <v>45511</v>
      </c>
      <c r="M2381" s="116">
        <v>1199.5999999999999</v>
      </c>
      <c r="N2381" s="116">
        <v>1207.75</v>
      </c>
      <c r="O2381" s="116">
        <v>1182.55</v>
      </c>
      <c r="P2381" s="116">
        <v>1182.55</v>
      </c>
      <c r="Q2381" s="116">
        <v>1199.5999999999999</v>
      </c>
      <c r="R2381">
        <v>759323</v>
      </c>
    </row>
    <row r="2382" spans="1:18" x14ac:dyDescent="0.25">
      <c r="A2382" s="170">
        <v>45512</v>
      </c>
      <c r="B2382" s="116">
        <v>1198.1500000000001</v>
      </c>
      <c r="C2382" s="116">
        <v>1176.8499999999999</v>
      </c>
      <c r="D2382" s="116">
        <v>1175</v>
      </c>
      <c r="E2382" s="116">
        <v>1194.95</v>
      </c>
      <c r="F2382" s="116">
        <v>1176.8499999999999</v>
      </c>
      <c r="G2382">
        <v>14041</v>
      </c>
      <c r="H2382" s="116"/>
      <c r="I2382" s="116"/>
      <c r="L2382" s="170">
        <v>45512</v>
      </c>
      <c r="M2382" s="116">
        <v>1178.3</v>
      </c>
      <c r="N2382" s="116">
        <v>1195</v>
      </c>
      <c r="O2382" s="116">
        <v>1174</v>
      </c>
      <c r="P2382" s="116">
        <v>1192</v>
      </c>
      <c r="Q2382" s="116">
        <v>1178.3</v>
      </c>
      <c r="R2382">
        <v>1298997</v>
      </c>
    </row>
    <row r="2383" spans="1:18" x14ac:dyDescent="0.25">
      <c r="A2383" s="170">
        <v>45513</v>
      </c>
      <c r="B2383" s="116">
        <v>1187.5</v>
      </c>
      <c r="C2383" s="116">
        <v>1185.95</v>
      </c>
      <c r="D2383" s="116">
        <v>1180.05</v>
      </c>
      <c r="E2383" s="116">
        <v>1180.05</v>
      </c>
      <c r="F2383" s="116">
        <v>1185.95</v>
      </c>
      <c r="G2383">
        <v>12509</v>
      </c>
      <c r="H2383" s="116"/>
      <c r="I2383" s="116"/>
      <c r="L2383" s="170">
        <v>45513</v>
      </c>
      <c r="M2383" s="116">
        <v>1186.1500000000001</v>
      </c>
      <c r="N2383" s="116">
        <v>1188.9000000000001</v>
      </c>
      <c r="O2383" s="116">
        <v>1180</v>
      </c>
      <c r="P2383" s="116">
        <v>1188.9000000000001</v>
      </c>
      <c r="Q2383" s="116">
        <v>1186.1500000000001</v>
      </c>
      <c r="R2383">
        <v>489864</v>
      </c>
    </row>
    <row r="2384" spans="1:18" x14ac:dyDescent="0.25">
      <c r="A2384" s="170">
        <v>45516</v>
      </c>
      <c r="B2384" s="116">
        <v>1184.5999999999999</v>
      </c>
      <c r="C2384" s="116">
        <v>1170.55</v>
      </c>
      <c r="D2384" s="116">
        <v>1166.2</v>
      </c>
      <c r="E2384" s="116">
        <v>1172.45</v>
      </c>
      <c r="F2384" s="116">
        <v>1170.55</v>
      </c>
      <c r="G2384">
        <v>16116</v>
      </c>
      <c r="H2384" s="116"/>
      <c r="I2384" s="116"/>
      <c r="L2384" s="170">
        <v>45516</v>
      </c>
      <c r="M2384" s="116">
        <v>1170.8</v>
      </c>
      <c r="N2384" s="116">
        <v>1184.3499999999999</v>
      </c>
      <c r="O2384" s="116">
        <v>1166.05</v>
      </c>
      <c r="P2384" s="116">
        <v>1176</v>
      </c>
      <c r="Q2384" s="116">
        <v>1170.8</v>
      </c>
      <c r="R2384">
        <v>787584</v>
      </c>
    </row>
    <row r="2385" spans="1:18" x14ac:dyDescent="0.25">
      <c r="A2385" s="170">
        <v>45517</v>
      </c>
      <c r="B2385" s="116">
        <v>1182</v>
      </c>
      <c r="C2385" s="116">
        <v>1178.8499999999999</v>
      </c>
      <c r="D2385" s="116">
        <v>1168.2</v>
      </c>
      <c r="E2385" s="116">
        <v>1176</v>
      </c>
      <c r="F2385" s="116">
        <v>1178.8499999999999</v>
      </c>
      <c r="G2385">
        <v>16971</v>
      </c>
      <c r="H2385" s="116"/>
      <c r="I2385" s="116"/>
      <c r="L2385" s="170">
        <v>45517</v>
      </c>
      <c r="M2385" s="116">
        <v>1178.8</v>
      </c>
      <c r="N2385" s="116">
        <v>1182.75</v>
      </c>
      <c r="O2385" s="116">
        <v>1167.5999999999999</v>
      </c>
      <c r="P2385" s="116">
        <v>1172.7</v>
      </c>
      <c r="Q2385" s="116">
        <v>1178.8</v>
      </c>
      <c r="R2385">
        <v>785371</v>
      </c>
    </row>
    <row r="2386" spans="1:18" x14ac:dyDescent="0.25">
      <c r="A2386" s="170">
        <v>45518</v>
      </c>
      <c r="B2386" s="116">
        <v>1185.9000000000001</v>
      </c>
      <c r="C2386" s="116">
        <v>1167.2</v>
      </c>
      <c r="D2386" s="116">
        <v>1158.9000000000001</v>
      </c>
      <c r="E2386" s="116">
        <v>1181.75</v>
      </c>
      <c r="F2386" s="116">
        <v>1167.2</v>
      </c>
      <c r="G2386">
        <v>31448</v>
      </c>
      <c r="H2386" s="116"/>
      <c r="I2386" s="116"/>
      <c r="L2386" s="170">
        <v>45518</v>
      </c>
      <c r="M2386" s="116">
        <v>1167.55</v>
      </c>
      <c r="N2386" s="116">
        <v>1187.0999999999999</v>
      </c>
      <c r="O2386" s="116">
        <v>1158.7</v>
      </c>
      <c r="P2386" s="116">
        <v>1187</v>
      </c>
      <c r="Q2386" s="116">
        <v>1167.55</v>
      </c>
      <c r="R2386">
        <v>991108</v>
      </c>
    </row>
    <row r="2387" spans="1:18" x14ac:dyDescent="0.25">
      <c r="A2387" s="170">
        <v>45520</v>
      </c>
      <c r="B2387" s="116">
        <v>1190.45</v>
      </c>
      <c r="C2387" s="116">
        <v>1186.55</v>
      </c>
      <c r="D2387" s="116">
        <v>1167</v>
      </c>
      <c r="E2387" s="116">
        <v>1167</v>
      </c>
      <c r="F2387" s="116">
        <v>1186.55</v>
      </c>
      <c r="G2387">
        <v>19974</v>
      </c>
      <c r="H2387" s="116"/>
      <c r="I2387" s="116"/>
      <c r="L2387" s="170">
        <v>45520</v>
      </c>
      <c r="M2387" s="116">
        <v>1187.75</v>
      </c>
      <c r="N2387" s="116">
        <v>1190.6500000000001</v>
      </c>
      <c r="O2387" s="116">
        <v>1168</v>
      </c>
      <c r="P2387" s="116">
        <v>1168</v>
      </c>
      <c r="Q2387" s="116">
        <v>1187.75</v>
      </c>
      <c r="R2387">
        <v>831846</v>
      </c>
    </row>
    <row r="2388" spans="1:18" x14ac:dyDescent="0.25">
      <c r="A2388" s="170">
        <v>45523</v>
      </c>
      <c r="B2388" s="116">
        <v>1198</v>
      </c>
      <c r="C2388" s="116">
        <v>1177.9000000000001</v>
      </c>
      <c r="D2388" s="116">
        <v>1172.1500000000001</v>
      </c>
      <c r="E2388" s="116">
        <v>1192.0999999999999</v>
      </c>
      <c r="F2388" s="116">
        <v>1177.9000000000001</v>
      </c>
      <c r="G2388">
        <v>17244</v>
      </c>
      <c r="H2388" s="116"/>
      <c r="I2388" s="116"/>
      <c r="L2388" s="170">
        <v>45523</v>
      </c>
      <c r="M2388" s="116">
        <v>1177.4000000000001</v>
      </c>
      <c r="N2388" s="116">
        <v>1200</v>
      </c>
      <c r="O2388" s="116">
        <v>1171.55</v>
      </c>
      <c r="P2388" s="116">
        <v>1198</v>
      </c>
      <c r="Q2388" s="116">
        <v>1177.4000000000001</v>
      </c>
      <c r="R2388">
        <v>682374</v>
      </c>
    </row>
    <row r="2389" spans="1:18" x14ac:dyDescent="0.25">
      <c r="A2389" s="170">
        <v>45524</v>
      </c>
      <c r="B2389" s="116">
        <v>1184.95</v>
      </c>
      <c r="C2389" s="116">
        <v>1170.8499999999999</v>
      </c>
      <c r="D2389" s="116">
        <v>1166.7</v>
      </c>
      <c r="E2389" s="116">
        <v>1180.4000000000001</v>
      </c>
      <c r="F2389" s="116">
        <v>1170.8499999999999</v>
      </c>
      <c r="G2389">
        <v>22704</v>
      </c>
      <c r="H2389" s="116"/>
      <c r="I2389" s="116"/>
      <c r="L2389" s="170">
        <v>45524</v>
      </c>
      <c r="M2389" s="116">
        <v>1171.2</v>
      </c>
      <c r="N2389" s="116">
        <v>1182.95</v>
      </c>
      <c r="O2389" s="116">
        <v>1166.75</v>
      </c>
      <c r="P2389" s="116">
        <v>1182.95</v>
      </c>
      <c r="Q2389" s="116">
        <v>1171.2</v>
      </c>
      <c r="R2389">
        <v>673329</v>
      </c>
    </row>
    <row r="2390" spans="1:18" x14ac:dyDescent="0.25">
      <c r="A2390" s="170">
        <v>45525</v>
      </c>
      <c r="B2390" s="116">
        <v>1180.5</v>
      </c>
      <c r="C2390" s="116">
        <v>1177.0999999999999</v>
      </c>
      <c r="D2390" s="116">
        <v>1167.0999999999999</v>
      </c>
      <c r="E2390" s="116">
        <v>1169</v>
      </c>
      <c r="F2390" s="116">
        <v>1177.0999999999999</v>
      </c>
      <c r="G2390">
        <v>15922</v>
      </c>
      <c r="H2390" s="116"/>
      <c r="I2390" s="116"/>
      <c r="L2390" s="170">
        <v>45525</v>
      </c>
      <c r="M2390" s="116">
        <v>1177.55</v>
      </c>
      <c r="N2390" s="116">
        <v>1181</v>
      </c>
      <c r="O2390" s="116">
        <v>1167.05</v>
      </c>
      <c r="P2390" s="116">
        <v>1171.95</v>
      </c>
      <c r="Q2390" s="116">
        <v>1177.55</v>
      </c>
      <c r="R2390">
        <v>802420</v>
      </c>
    </row>
    <row r="2391" spans="1:18" x14ac:dyDescent="0.25">
      <c r="A2391" s="170">
        <v>45526</v>
      </c>
      <c r="B2391" s="116">
        <v>1208.9000000000001</v>
      </c>
      <c r="C2391" s="116">
        <v>1205.3</v>
      </c>
      <c r="D2391" s="116">
        <v>1181.5</v>
      </c>
      <c r="E2391" s="116">
        <v>1185.95</v>
      </c>
      <c r="F2391" s="116">
        <v>1205.3</v>
      </c>
      <c r="G2391">
        <v>53981</v>
      </c>
      <c r="H2391" s="116"/>
      <c r="I2391" s="116"/>
      <c r="L2391" s="170">
        <v>45526</v>
      </c>
      <c r="M2391" s="116">
        <v>1205.8</v>
      </c>
      <c r="N2391" s="116">
        <v>1209.8499999999999</v>
      </c>
      <c r="O2391" s="116">
        <v>1181</v>
      </c>
      <c r="P2391" s="116">
        <v>1184.05</v>
      </c>
      <c r="Q2391" s="116">
        <v>1205.8</v>
      </c>
      <c r="R2391">
        <v>2041300</v>
      </c>
    </row>
    <row r="2392" spans="1:18" x14ac:dyDescent="0.25">
      <c r="A2392" s="170">
        <v>45527</v>
      </c>
      <c r="B2392" s="116">
        <v>1214.6500000000001</v>
      </c>
      <c r="C2392" s="116">
        <v>1197.8</v>
      </c>
      <c r="D2392" s="116">
        <v>1195.5</v>
      </c>
      <c r="E2392" s="116">
        <v>1214.6500000000001</v>
      </c>
      <c r="F2392" s="116">
        <v>1197.8</v>
      </c>
      <c r="G2392">
        <v>25535</v>
      </c>
      <c r="H2392" s="116"/>
      <c r="I2392" s="116"/>
      <c r="L2392" s="170">
        <v>45527</v>
      </c>
      <c r="M2392" s="116">
        <v>1196.8</v>
      </c>
      <c r="N2392" s="116">
        <v>1215</v>
      </c>
      <c r="O2392" s="116">
        <v>1194.9000000000001</v>
      </c>
      <c r="P2392" s="116">
        <v>1212</v>
      </c>
      <c r="Q2392" s="116">
        <v>1196.8</v>
      </c>
      <c r="R2392">
        <v>852159</v>
      </c>
    </row>
    <row r="2393" spans="1:18" x14ac:dyDescent="0.25">
      <c r="A2393" s="170">
        <v>45530</v>
      </c>
      <c r="B2393" s="116">
        <v>1221.5</v>
      </c>
      <c r="C2393" s="116">
        <v>1219.8</v>
      </c>
      <c r="D2393" s="116">
        <v>1194.6500000000001</v>
      </c>
      <c r="E2393" s="116">
        <v>1210.8</v>
      </c>
      <c r="F2393" s="116">
        <v>1219.8</v>
      </c>
      <c r="G2393">
        <v>76461</v>
      </c>
      <c r="H2393" s="116"/>
      <c r="I2393" s="116"/>
      <c r="L2393" s="170">
        <v>45530</v>
      </c>
      <c r="M2393" s="116">
        <v>1220.05</v>
      </c>
      <c r="N2393" s="116">
        <v>1221.8499999999999</v>
      </c>
      <c r="O2393" s="116">
        <v>1194.05</v>
      </c>
      <c r="P2393" s="116">
        <v>1205</v>
      </c>
      <c r="Q2393" s="116">
        <v>1220.05</v>
      </c>
      <c r="R2393">
        <v>1045317</v>
      </c>
    </row>
    <row r="2394" spans="1:18" x14ac:dyDescent="0.25">
      <c r="A2394" s="170">
        <v>45531</v>
      </c>
      <c r="B2394" s="116">
        <v>1221.0999999999999</v>
      </c>
      <c r="C2394" s="116">
        <v>1209.3</v>
      </c>
      <c r="D2394" s="116">
        <v>1208</v>
      </c>
      <c r="E2394" s="116">
        <v>1219.8</v>
      </c>
      <c r="F2394" s="116">
        <v>1209.3</v>
      </c>
      <c r="G2394">
        <v>12826</v>
      </c>
      <c r="H2394" s="116"/>
      <c r="I2394" s="116"/>
      <c r="L2394" s="170">
        <v>45531</v>
      </c>
      <c r="M2394" s="116">
        <v>1209.5999999999999</v>
      </c>
      <c r="N2394" s="116">
        <v>1220.55</v>
      </c>
      <c r="O2394" s="116">
        <v>1208</v>
      </c>
      <c r="P2394" s="116">
        <v>1220</v>
      </c>
      <c r="Q2394" s="116">
        <v>1209.5999999999999</v>
      </c>
      <c r="R2394">
        <v>483025</v>
      </c>
    </row>
    <row r="2395" spans="1:18" x14ac:dyDescent="0.25">
      <c r="A2395" s="170">
        <v>45532</v>
      </c>
      <c r="B2395" s="116">
        <v>1215.75</v>
      </c>
      <c r="C2395" s="116">
        <v>1201.05</v>
      </c>
      <c r="D2395" s="116">
        <v>1198</v>
      </c>
      <c r="E2395" s="116">
        <v>1206.4000000000001</v>
      </c>
      <c r="F2395" s="116">
        <v>1201.05</v>
      </c>
      <c r="G2395">
        <v>14360</v>
      </c>
      <c r="H2395" s="116"/>
      <c r="I2395" s="116"/>
      <c r="L2395" s="170">
        <v>45532</v>
      </c>
      <c r="M2395" s="116">
        <v>1201.1500000000001</v>
      </c>
      <c r="N2395" s="116">
        <v>1215.3499999999999</v>
      </c>
      <c r="O2395" s="116">
        <v>1196.5999999999999</v>
      </c>
      <c r="P2395" s="116">
        <v>1210</v>
      </c>
      <c r="Q2395" s="116">
        <v>1201.1500000000001</v>
      </c>
      <c r="R2395">
        <v>779730</v>
      </c>
    </row>
    <row r="2396" spans="1:18" x14ac:dyDescent="0.25">
      <c r="A2396" s="170">
        <v>45533</v>
      </c>
      <c r="B2396" s="116">
        <v>1208.6500000000001</v>
      </c>
      <c r="C2396" s="116">
        <v>1198.3</v>
      </c>
      <c r="D2396" s="116">
        <v>1185.5999999999999</v>
      </c>
      <c r="E2396" s="116">
        <v>1201.05</v>
      </c>
      <c r="F2396" s="116">
        <v>1198.3</v>
      </c>
      <c r="G2396">
        <v>17728</v>
      </c>
      <c r="H2396" s="116"/>
      <c r="I2396" s="116"/>
      <c r="L2396" s="170">
        <v>45533</v>
      </c>
      <c r="M2396" s="116">
        <v>1198.45</v>
      </c>
      <c r="N2396" s="116">
        <v>1208.9000000000001</v>
      </c>
      <c r="O2396" s="116">
        <v>1185.25</v>
      </c>
      <c r="P2396" s="116">
        <v>1201.1500000000001</v>
      </c>
      <c r="Q2396" s="116">
        <v>1198.45</v>
      </c>
      <c r="R2396">
        <v>1062444</v>
      </c>
    </row>
    <row r="2397" spans="1:18" x14ac:dyDescent="0.25">
      <c r="A2397" s="170">
        <v>45534</v>
      </c>
      <c r="B2397" s="116">
        <v>1206.95</v>
      </c>
      <c r="C2397" s="116">
        <v>1199.2</v>
      </c>
      <c r="D2397" s="116">
        <v>1195</v>
      </c>
      <c r="E2397" s="116">
        <v>1195</v>
      </c>
      <c r="F2397" s="116">
        <v>1199.2</v>
      </c>
      <c r="G2397">
        <v>9651</v>
      </c>
      <c r="H2397" s="116"/>
      <c r="I2397" s="116"/>
      <c r="L2397" s="170">
        <v>45534</v>
      </c>
      <c r="M2397" s="116">
        <v>1200.1500000000001</v>
      </c>
      <c r="N2397" s="116">
        <v>1207.5</v>
      </c>
      <c r="O2397" s="116">
        <v>1195</v>
      </c>
      <c r="P2397" s="116">
        <v>1195</v>
      </c>
      <c r="Q2397" s="116">
        <v>1200.1500000000001</v>
      </c>
      <c r="R2397">
        <v>2550399</v>
      </c>
    </row>
    <row r="2398" spans="1:18" x14ac:dyDescent="0.25">
      <c r="A2398" s="170">
        <v>45537</v>
      </c>
      <c r="B2398" s="116">
        <v>1227</v>
      </c>
      <c r="C2398" s="116">
        <v>1199.1500000000001</v>
      </c>
      <c r="D2398" s="116">
        <v>1196.95</v>
      </c>
      <c r="E2398" s="116">
        <v>1199.2</v>
      </c>
      <c r="F2398" s="116">
        <v>1199.1500000000001</v>
      </c>
      <c r="G2398">
        <v>149961</v>
      </c>
      <c r="H2398" s="116"/>
      <c r="I2398" s="116"/>
      <c r="L2398" s="170">
        <v>45537</v>
      </c>
      <c r="M2398" s="116">
        <v>1199.7</v>
      </c>
      <c r="N2398" s="116">
        <v>1227</v>
      </c>
      <c r="O2398" s="116">
        <v>1197.2</v>
      </c>
      <c r="P2398" s="116">
        <v>1200</v>
      </c>
      <c r="Q2398" s="116">
        <v>1199.7</v>
      </c>
      <c r="R2398">
        <v>1852516</v>
      </c>
    </row>
    <row r="2399" spans="1:18" x14ac:dyDescent="0.25">
      <c r="A2399" s="170">
        <v>45538</v>
      </c>
      <c r="B2399" s="116">
        <v>1218.5999999999999</v>
      </c>
      <c r="C2399" s="116">
        <v>1198.6500000000001</v>
      </c>
      <c r="D2399" s="116">
        <v>1197</v>
      </c>
      <c r="E2399" s="116">
        <v>1210</v>
      </c>
      <c r="F2399" s="116">
        <v>1198.6500000000001</v>
      </c>
      <c r="G2399">
        <v>25376</v>
      </c>
      <c r="H2399" s="116"/>
      <c r="I2399" s="116"/>
      <c r="L2399" s="170">
        <v>45538</v>
      </c>
      <c r="M2399" s="116">
        <v>1199</v>
      </c>
      <c r="N2399" s="116">
        <v>1218.3499999999999</v>
      </c>
      <c r="O2399" s="116">
        <v>1196.3</v>
      </c>
      <c r="P2399" s="116">
        <v>1209</v>
      </c>
      <c r="Q2399" s="116">
        <v>1199</v>
      </c>
      <c r="R2399">
        <v>1884428</v>
      </c>
    </row>
    <row r="2400" spans="1:18" x14ac:dyDescent="0.25">
      <c r="A2400" s="170">
        <v>45539</v>
      </c>
      <c r="B2400" s="116">
        <v>1198.25</v>
      </c>
      <c r="C2400" s="116">
        <v>1194.95</v>
      </c>
      <c r="D2400" s="116">
        <v>1175.55</v>
      </c>
      <c r="E2400" s="116">
        <v>1198.25</v>
      </c>
      <c r="F2400" s="116">
        <v>1194.95</v>
      </c>
      <c r="G2400">
        <v>20026</v>
      </c>
      <c r="H2400" s="116"/>
      <c r="I2400" s="116"/>
      <c r="L2400" s="170">
        <v>45539</v>
      </c>
      <c r="M2400" s="116">
        <v>1194.95</v>
      </c>
      <c r="N2400" s="116">
        <v>1198.95</v>
      </c>
      <c r="O2400" s="116">
        <v>1175</v>
      </c>
      <c r="P2400" s="116">
        <v>1196.05</v>
      </c>
      <c r="Q2400" s="116">
        <v>1194.95</v>
      </c>
      <c r="R2400">
        <v>1633635</v>
      </c>
    </row>
    <row r="2401" spans="1:18" x14ac:dyDescent="0.25">
      <c r="A2401" s="170">
        <v>45540</v>
      </c>
      <c r="B2401" s="116">
        <v>1206.5</v>
      </c>
      <c r="C2401" s="116">
        <v>1188</v>
      </c>
      <c r="D2401" s="116">
        <v>1185</v>
      </c>
      <c r="E2401" s="116">
        <v>1195.3</v>
      </c>
      <c r="F2401" s="116">
        <v>1188</v>
      </c>
      <c r="G2401">
        <v>132431</v>
      </c>
      <c r="H2401" s="116"/>
      <c r="I2401" s="116"/>
      <c r="L2401" s="170">
        <v>45540</v>
      </c>
      <c r="M2401" s="116">
        <v>1188.6500000000001</v>
      </c>
      <c r="N2401" s="116">
        <v>1206.8499999999999</v>
      </c>
      <c r="O2401" s="116">
        <v>1185.6500000000001</v>
      </c>
      <c r="P2401" s="116">
        <v>1199.5</v>
      </c>
      <c r="Q2401" s="116">
        <v>1188.6500000000001</v>
      </c>
      <c r="R2401">
        <v>1062421</v>
      </c>
    </row>
    <row r="2402" spans="1:18" x14ac:dyDescent="0.25">
      <c r="A2402" s="170">
        <v>45541</v>
      </c>
      <c r="B2402" s="116">
        <v>1192</v>
      </c>
      <c r="C2402" s="116">
        <v>1174.3</v>
      </c>
      <c r="D2402" s="116">
        <v>1169.25</v>
      </c>
      <c r="E2402" s="116">
        <v>1181.8499999999999</v>
      </c>
      <c r="F2402" s="116">
        <v>1174.3</v>
      </c>
      <c r="G2402">
        <v>17666</v>
      </c>
      <c r="H2402" s="116"/>
      <c r="I2402" s="116"/>
      <c r="L2402" s="170">
        <v>45541</v>
      </c>
      <c r="M2402" s="116">
        <v>1173.8499999999999</v>
      </c>
      <c r="N2402" s="116">
        <v>1191.75</v>
      </c>
      <c r="O2402" s="116">
        <v>1168.75</v>
      </c>
      <c r="P2402" s="116">
        <v>1188</v>
      </c>
      <c r="Q2402" s="116">
        <v>1173.8499999999999</v>
      </c>
      <c r="R2402">
        <v>989655</v>
      </c>
    </row>
    <row r="2403" spans="1:18" x14ac:dyDescent="0.25">
      <c r="A2403" s="170">
        <v>45544</v>
      </c>
      <c r="B2403" s="116">
        <v>1195.75</v>
      </c>
      <c r="C2403" s="116">
        <v>1188.1500000000001</v>
      </c>
      <c r="D2403" s="116">
        <v>1168.05</v>
      </c>
      <c r="E2403" s="116">
        <v>1168.05</v>
      </c>
      <c r="F2403" s="116">
        <v>1188.1500000000001</v>
      </c>
      <c r="G2403">
        <v>90376</v>
      </c>
      <c r="H2403" s="116"/>
      <c r="I2403" s="116"/>
      <c r="L2403" s="170">
        <v>45544</v>
      </c>
      <c r="M2403" s="116">
        <v>1192.05</v>
      </c>
      <c r="N2403" s="116">
        <v>1195.95</v>
      </c>
      <c r="O2403" s="116">
        <v>1169.9000000000001</v>
      </c>
      <c r="P2403" s="116">
        <v>1173.8499999999999</v>
      </c>
      <c r="Q2403" s="116">
        <v>1192.05</v>
      </c>
      <c r="R2403">
        <v>1969830</v>
      </c>
    </row>
    <row r="2404" spans="1:18" x14ac:dyDescent="0.25">
      <c r="A2404" s="170">
        <v>45545</v>
      </c>
      <c r="B2404" s="116">
        <v>1212.3</v>
      </c>
      <c r="C2404" s="116">
        <v>1202.45</v>
      </c>
      <c r="D2404" s="116">
        <v>1196.05</v>
      </c>
      <c r="E2404" s="116">
        <v>1196.05</v>
      </c>
      <c r="F2404" s="116">
        <v>1202.45</v>
      </c>
      <c r="G2404">
        <v>317932</v>
      </c>
      <c r="H2404" s="116"/>
      <c r="I2404" s="116"/>
      <c r="L2404" s="170">
        <v>45545</v>
      </c>
      <c r="M2404" s="116">
        <v>1204.1500000000001</v>
      </c>
      <c r="N2404" s="116">
        <v>1212.95</v>
      </c>
      <c r="O2404" s="116">
        <v>1196.25</v>
      </c>
      <c r="P2404" s="116">
        <v>1200</v>
      </c>
      <c r="Q2404" s="116">
        <v>1204.1500000000001</v>
      </c>
      <c r="R2404">
        <v>1815998</v>
      </c>
    </row>
    <row r="2405" spans="1:18" x14ac:dyDescent="0.25">
      <c r="A2405" s="170">
        <v>45546</v>
      </c>
      <c r="B2405" s="116">
        <v>1218</v>
      </c>
      <c r="C2405" s="116">
        <v>1204.9000000000001</v>
      </c>
      <c r="D2405" s="116">
        <v>1202</v>
      </c>
      <c r="E2405" s="116">
        <v>1204.3</v>
      </c>
      <c r="F2405" s="116">
        <v>1204.9000000000001</v>
      </c>
      <c r="G2405">
        <v>79062</v>
      </c>
      <c r="H2405" s="116"/>
      <c r="I2405" s="116"/>
      <c r="L2405" s="170">
        <v>45546</v>
      </c>
      <c r="M2405" s="116">
        <v>1204.4000000000001</v>
      </c>
      <c r="N2405" s="116">
        <v>1219</v>
      </c>
      <c r="O2405" s="116">
        <v>1201.25</v>
      </c>
      <c r="P2405" s="116">
        <v>1209.9000000000001</v>
      </c>
      <c r="Q2405" s="116">
        <v>1204.4000000000001</v>
      </c>
      <c r="R2405">
        <v>1837013</v>
      </c>
    </row>
    <row r="2406" spans="1:18" x14ac:dyDescent="0.25">
      <c r="A2406" s="170">
        <v>45547</v>
      </c>
      <c r="B2406" s="116">
        <v>1226</v>
      </c>
      <c r="C2406" s="116">
        <v>1222.9000000000001</v>
      </c>
      <c r="D2406" s="116">
        <v>1199.05</v>
      </c>
      <c r="E2406" s="116">
        <v>1210</v>
      </c>
      <c r="F2406" s="116">
        <v>1222.9000000000001</v>
      </c>
      <c r="G2406">
        <v>324681</v>
      </c>
      <c r="H2406" s="116"/>
      <c r="I2406" s="116"/>
      <c r="L2406" s="170">
        <v>45547</v>
      </c>
      <c r="M2406" s="116">
        <v>1222.75</v>
      </c>
      <c r="N2406" s="116">
        <v>1225.95</v>
      </c>
      <c r="O2406" s="116">
        <v>1199.3499999999999</v>
      </c>
      <c r="P2406" s="116">
        <v>1210</v>
      </c>
      <c r="Q2406" s="116">
        <v>1222.75</v>
      </c>
      <c r="R2406">
        <v>2635403</v>
      </c>
    </row>
    <row r="2407" spans="1:18" x14ac:dyDescent="0.25">
      <c r="A2407" s="170">
        <v>45548</v>
      </c>
      <c r="B2407" s="116">
        <v>1229.3499999999999</v>
      </c>
      <c r="C2407" s="116">
        <v>1209.9000000000001</v>
      </c>
      <c r="D2407" s="116">
        <v>1208.55</v>
      </c>
      <c r="E2407" s="116">
        <v>1229.3499999999999</v>
      </c>
      <c r="F2407" s="116">
        <v>1209.9000000000001</v>
      </c>
      <c r="G2407">
        <v>175708</v>
      </c>
      <c r="H2407" s="116"/>
      <c r="I2407" s="116"/>
      <c r="L2407" s="170">
        <v>45548</v>
      </c>
      <c r="M2407" s="116">
        <v>1210.3</v>
      </c>
      <c r="N2407" s="116">
        <v>1227</v>
      </c>
      <c r="O2407" s="116">
        <v>1208.05</v>
      </c>
      <c r="P2407" s="116">
        <v>1226</v>
      </c>
      <c r="Q2407" s="116">
        <v>1210.3</v>
      </c>
      <c r="R2407">
        <v>1569211</v>
      </c>
    </row>
    <row r="2408" spans="1:18" x14ac:dyDescent="0.25">
      <c r="A2408" s="170">
        <v>45551</v>
      </c>
      <c r="B2408" s="116">
        <v>1223.7</v>
      </c>
      <c r="C2408" s="116">
        <v>1218.75</v>
      </c>
      <c r="D2408" s="116">
        <v>1207.55</v>
      </c>
      <c r="E2408" s="116">
        <v>1212.9000000000001</v>
      </c>
      <c r="F2408" s="116">
        <v>1218.75</v>
      </c>
      <c r="G2408">
        <v>30310</v>
      </c>
      <c r="H2408" s="116"/>
      <c r="I2408" s="116"/>
      <c r="L2408" s="170">
        <v>45551</v>
      </c>
      <c r="M2408" s="116">
        <v>1218.5</v>
      </c>
      <c r="N2408" s="116">
        <v>1223.75</v>
      </c>
      <c r="O2408" s="116">
        <v>1207</v>
      </c>
      <c r="P2408" s="116">
        <v>1220</v>
      </c>
      <c r="Q2408" s="116">
        <v>1218.5</v>
      </c>
      <c r="R2408">
        <v>984584</v>
      </c>
    </row>
    <row r="2409" spans="1:18" x14ac:dyDescent="0.25">
      <c r="A2409" s="170">
        <v>45552</v>
      </c>
      <c r="B2409" s="116">
        <v>1234.5</v>
      </c>
      <c r="C2409" s="116">
        <v>1220.45</v>
      </c>
      <c r="D2409" s="116">
        <v>1212.25</v>
      </c>
      <c r="E2409" s="116">
        <v>1221.2</v>
      </c>
      <c r="F2409" s="116">
        <v>1220.45</v>
      </c>
      <c r="G2409">
        <v>87085</v>
      </c>
      <c r="H2409" s="116"/>
      <c r="I2409" s="116"/>
      <c r="L2409" s="170">
        <v>45552</v>
      </c>
      <c r="M2409" s="116">
        <v>1220.25</v>
      </c>
      <c r="N2409" s="116">
        <v>1234.3</v>
      </c>
      <c r="O2409" s="116">
        <v>1212.1500000000001</v>
      </c>
      <c r="P2409" s="116">
        <v>1223</v>
      </c>
      <c r="Q2409" s="116">
        <v>1220.25</v>
      </c>
      <c r="R2409">
        <v>1450593</v>
      </c>
    </row>
    <row r="2410" spans="1:18" x14ac:dyDescent="0.25">
      <c r="A2410" s="170">
        <v>45553</v>
      </c>
      <c r="B2410" s="116">
        <v>1223.5999999999999</v>
      </c>
      <c r="C2410" s="116">
        <v>1200.6500000000001</v>
      </c>
      <c r="D2410" s="116">
        <v>1194.0999999999999</v>
      </c>
      <c r="E2410" s="116">
        <v>1220</v>
      </c>
      <c r="F2410" s="116">
        <v>1200.6500000000001</v>
      </c>
      <c r="G2410">
        <v>58937</v>
      </c>
      <c r="H2410" s="116"/>
      <c r="I2410" s="116"/>
      <c r="L2410" s="170">
        <v>45553</v>
      </c>
      <c r="M2410" s="116">
        <v>1200.8499999999999</v>
      </c>
      <c r="N2410" s="116">
        <v>1223.4000000000001</v>
      </c>
      <c r="O2410" s="116">
        <v>1194</v>
      </c>
      <c r="P2410" s="116">
        <v>1220.25</v>
      </c>
      <c r="Q2410" s="116">
        <v>1200.8499999999999</v>
      </c>
      <c r="R2410">
        <v>930896</v>
      </c>
    </row>
    <row r="2411" spans="1:18" x14ac:dyDescent="0.25">
      <c r="A2411" s="170">
        <v>45554</v>
      </c>
      <c r="B2411" s="116">
        <v>1225.2</v>
      </c>
      <c r="C2411" s="116">
        <v>1215.0999999999999</v>
      </c>
      <c r="D2411" s="116">
        <v>1202.9000000000001</v>
      </c>
      <c r="E2411" s="116">
        <v>1203.8499999999999</v>
      </c>
      <c r="F2411" s="116">
        <v>1215.0999999999999</v>
      </c>
      <c r="G2411">
        <v>162266</v>
      </c>
      <c r="H2411" s="116"/>
      <c r="I2411" s="116"/>
      <c r="L2411" s="170">
        <v>45554</v>
      </c>
      <c r="M2411" s="116">
        <v>1215.25</v>
      </c>
      <c r="N2411" s="116">
        <v>1225.5999999999999</v>
      </c>
      <c r="O2411" s="116">
        <v>1204.05</v>
      </c>
      <c r="P2411" s="116">
        <v>1207</v>
      </c>
      <c r="Q2411" s="116">
        <v>1215.25</v>
      </c>
      <c r="R2411">
        <v>2737652</v>
      </c>
    </row>
    <row r="2412" spans="1:18" x14ac:dyDescent="0.25">
      <c r="A2412" s="170">
        <v>45555</v>
      </c>
      <c r="B2412" s="116">
        <v>1230.5999999999999</v>
      </c>
      <c r="C2412" s="116">
        <v>1215.9000000000001</v>
      </c>
      <c r="D2412" s="116">
        <v>1214</v>
      </c>
      <c r="E2412" s="116">
        <v>1224.45</v>
      </c>
      <c r="F2412" s="116">
        <v>1215.9000000000001</v>
      </c>
      <c r="G2412">
        <v>277123</v>
      </c>
      <c r="H2412" s="116"/>
      <c r="I2412" s="116"/>
      <c r="L2412" s="170">
        <v>45555</v>
      </c>
      <c r="M2412" s="116">
        <v>1216.8499999999999</v>
      </c>
      <c r="N2412" s="116">
        <v>1230.95</v>
      </c>
      <c r="O2412" s="116">
        <v>1213.3499999999999</v>
      </c>
      <c r="P2412" s="116">
        <v>1220</v>
      </c>
      <c r="Q2412" s="116">
        <v>1216.8499999999999</v>
      </c>
      <c r="R2412">
        <v>3533125</v>
      </c>
    </row>
    <row r="2413" spans="1:18" x14ac:dyDescent="0.25">
      <c r="A2413" s="170">
        <v>45558</v>
      </c>
      <c r="B2413" s="116">
        <v>1234.05</v>
      </c>
      <c r="C2413" s="116">
        <v>1211.3</v>
      </c>
      <c r="D2413" s="116">
        <v>1210.45</v>
      </c>
      <c r="E2413" s="116">
        <v>1223.95</v>
      </c>
      <c r="F2413" s="116">
        <v>1211.3</v>
      </c>
      <c r="G2413">
        <v>80275</v>
      </c>
      <c r="H2413" s="116"/>
      <c r="I2413" s="116"/>
      <c r="L2413" s="170">
        <v>45558</v>
      </c>
      <c r="M2413" s="116">
        <v>1211.55</v>
      </c>
      <c r="N2413" s="116">
        <v>1233.6500000000001</v>
      </c>
      <c r="O2413" s="116">
        <v>1210.25</v>
      </c>
      <c r="P2413" s="116">
        <v>1222</v>
      </c>
      <c r="Q2413" s="116">
        <v>1211.55</v>
      </c>
      <c r="R2413">
        <v>2818001</v>
      </c>
    </row>
    <row r="2414" spans="1:18" x14ac:dyDescent="0.25">
      <c r="A2414" s="170">
        <v>45559</v>
      </c>
      <c r="B2414" s="116">
        <v>1228</v>
      </c>
      <c r="C2414" s="116">
        <v>1210.5999999999999</v>
      </c>
      <c r="D2414" s="116">
        <v>1209.55</v>
      </c>
      <c r="E2414" s="116">
        <v>1213.55</v>
      </c>
      <c r="F2414" s="116">
        <v>1210.5999999999999</v>
      </c>
      <c r="G2414">
        <v>123063</v>
      </c>
      <c r="H2414" s="116"/>
      <c r="I2414" s="116"/>
      <c r="L2414" s="170">
        <v>45559</v>
      </c>
      <c r="M2414" s="116">
        <v>1211.6500000000001</v>
      </c>
      <c r="N2414" s="116">
        <v>1227.9000000000001</v>
      </c>
      <c r="O2414" s="116">
        <v>1210.05</v>
      </c>
      <c r="P2414" s="116">
        <v>1216</v>
      </c>
      <c r="Q2414" s="116">
        <v>1211.6500000000001</v>
      </c>
      <c r="R2414">
        <v>3393528</v>
      </c>
    </row>
    <row r="2415" spans="1:18" x14ac:dyDescent="0.25">
      <c r="A2415" s="170">
        <v>45560</v>
      </c>
      <c r="B2415" s="116">
        <v>1215.05</v>
      </c>
      <c r="C2415" s="116">
        <v>1189.5999999999999</v>
      </c>
      <c r="D2415" s="116">
        <v>1183</v>
      </c>
      <c r="E2415" s="116">
        <v>1215</v>
      </c>
      <c r="F2415" s="116">
        <v>1189.5999999999999</v>
      </c>
      <c r="G2415">
        <v>152941</v>
      </c>
      <c r="H2415" s="116"/>
      <c r="I2415" s="116"/>
      <c r="L2415" s="170">
        <v>45560</v>
      </c>
      <c r="M2415" s="116">
        <v>1189.5999999999999</v>
      </c>
      <c r="N2415" s="116">
        <v>1216</v>
      </c>
      <c r="O2415" s="116">
        <v>1182.05</v>
      </c>
      <c r="P2415" s="116">
        <v>1213.9000000000001</v>
      </c>
      <c r="Q2415" s="116">
        <v>1189.5999999999999</v>
      </c>
      <c r="R2415">
        <v>2448744</v>
      </c>
    </row>
    <row r="2416" spans="1:18" x14ac:dyDescent="0.25">
      <c r="A2416" s="170">
        <v>45561</v>
      </c>
      <c r="B2416" s="116">
        <v>1216.9000000000001</v>
      </c>
      <c r="C2416" s="116">
        <v>1213.7</v>
      </c>
      <c r="D2416" s="116">
        <v>1191.6500000000001</v>
      </c>
      <c r="E2416" s="116">
        <v>1191.6500000000001</v>
      </c>
      <c r="F2416" s="116">
        <v>1213.7</v>
      </c>
      <c r="G2416">
        <v>203272</v>
      </c>
      <c r="H2416" s="116"/>
      <c r="I2416" s="116"/>
      <c r="L2416" s="170">
        <v>45561</v>
      </c>
      <c r="M2416" s="116">
        <v>1213.45</v>
      </c>
      <c r="N2416" s="116">
        <v>1217</v>
      </c>
      <c r="O2416" s="116">
        <v>1191.1500000000001</v>
      </c>
      <c r="P2416" s="116">
        <v>1195</v>
      </c>
      <c r="Q2416" s="116">
        <v>1213.45</v>
      </c>
      <c r="R2416">
        <v>2323705</v>
      </c>
    </row>
    <row r="2417" spans="1:18" x14ac:dyDescent="0.25">
      <c r="A2417" s="170">
        <v>45562</v>
      </c>
      <c r="B2417" s="116">
        <v>1215</v>
      </c>
      <c r="C2417" s="116">
        <v>1201.25</v>
      </c>
      <c r="D2417" s="116">
        <v>1198.5999999999999</v>
      </c>
      <c r="E2417" s="116">
        <v>1212.4000000000001</v>
      </c>
      <c r="F2417" s="116">
        <v>1201.25</v>
      </c>
      <c r="G2417">
        <v>110993</v>
      </c>
      <c r="H2417" s="116"/>
      <c r="I2417" s="116"/>
      <c r="L2417" s="170">
        <v>45562</v>
      </c>
      <c r="M2417" s="116">
        <v>1201.55</v>
      </c>
      <c r="N2417" s="116">
        <v>1215.7</v>
      </c>
      <c r="O2417" s="116">
        <v>1199</v>
      </c>
      <c r="P2417" s="116">
        <v>1213.95</v>
      </c>
      <c r="Q2417" s="116">
        <v>1201.55</v>
      </c>
      <c r="R2417">
        <v>2177204</v>
      </c>
    </row>
    <row r="2418" spans="1:18" x14ac:dyDescent="0.25">
      <c r="A2418" s="170">
        <v>45565</v>
      </c>
      <c r="B2418" s="116">
        <v>1213.5</v>
      </c>
      <c r="C2418" s="116">
        <v>1196.6500000000001</v>
      </c>
      <c r="D2418" s="116">
        <v>1194.2</v>
      </c>
      <c r="E2418" s="116">
        <v>1201.25</v>
      </c>
      <c r="F2418" s="116">
        <v>1196.6500000000001</v>
      </c>
      <c r="G2418">
        <v>92423</v>
      </c>
      <c r="H2418" s="116"/>
      <c r="I2418" s="116"/>
      <c r="L2418" s="170">
        <v>45565</v>
      </c>
      <c r="M2418" s="116">
        <v>1196.95</v>
      </c>
      <c r="N2418" s="116">
        <v>1213.6500000000001</v>
      </c>
      <c r="O2418" s="116">
        <v>1194.95</v>
      </c>
      <c r="P2418" s="116">
        <v>1194.95</v>
      </c>
      <c r="Q2418" s="116">
        <v>1196.95</v>
      </c>
      <c r="R2418">
        <v>1223096</v>
      </c>
    </row>
    <row r="2419" spans="1:18" x14ac:dyDescent="0.25">
      <c r="A2419" s="170">
        <v>45566</v>
      </c>
      <c r="B2419" s="116">
        <v>1205.55</v>
      </c>
      <c r="C2419" s="116">
        <v>1196.6500000000001</v>
      </c>
      <c r="D2419" s="116">
        <v>1192</v>
      </c>
      <c r="E2419" s="116">
        <v>1198</v>
      </c>
      <c r="F2419" s="116">
        <v>1196.6500000000001</v>
      </c>
      <c r="G2419">
        <v>18526</v>
      </c>
      <c r="H2419" s="116"/>
      <c r="I2419" s="116"/>
      <c r="L2419" s="170">
        <v>45566</v>
      </c>
      <c r="M2419" s="116">
        <v>1196.25</v>
      </c>
      <c r="N2419" s="116">
        <v>1205.45</v>
      </c>
      <c r="O2419" s="116">
        <v>1191.5999999999999</v>
      </c>
      <c r="P2419" s="116">
        <v>1196.95</v>
      </c>
      <c r="Q2419" s="116">
        <v>1196.25</v>
      </c>
      <c r="R2419">
        <v>892381</v>
      </c>
    </row>
    <row r="2420" spans="1:18" x14ac:dyDescent="0.25">
      <c r="A2420" s="170">
        <v>45568</v>
      </c>
      <c r="B2420" s="116">
        <v>1187.1500000000001</v>
      </c>
      <c r="C2420" s="116">
        <v>1152.05</v>
      </c>
      <c r="D2420" s="116">
        <v>1149.55</v>
      </c>
      <c r="E2420" s="116">
        <v>1183.05</v>
      </c>
      <c r="F2420" s="116">
        <v>1152.05</v>
      </c>
      <c r="G2420">
        <v>73728</v>
      </c>
      <c r="H2420" s="116"/>
      <c r="I2420" s="116"/>
      <c r="L2420" s="170">
        <v>45568</v>
      </c>
      <c r="M2420" s="116">
        <v>1152.75</v>
      </c>
      <c r="N2420" s="116">
        <v>1190</v>
      </c>
      <c r="O2420" s="116">
        <v>1150.1500000000001</v>
      </c>
      <c r="P2420" s="116">
        <v>1186</v>
      </c>
      <c r="Q2420" s="116">
        <v>1152.75</v>
      </c>
      <c r="R2420">
        <v>1912206</v>
      </c>
    </row>
    <row r="2421" spans="1:18" x14ac:dyDescent="0.25">
      <c r="A2421" s="170">
        <v>45569</v>
      </c>
      <c r="B2421" s="116">
        <v>1153.7</v>
      </c>
      <c r="C2421" s="116">
        <v>1130.8</v>
      </c>
      <c r="D2421" s="116">
        <v>1125.05</v>
      </c>
      <c r="E2421" s="116">
        <v>1147.05</v>
      </c>
      <c r="F2421" s="116">
        <v>1130.8</v>
      </c>
      <c r="G2421">
        <v>22935</v>
      </c>
      <c r="H2421" s="116"/>
      <c r="I2421" s="116"/>
      <c r="L2421" s="170">
        <v>45569</v>
      </c>
      <c r="M2421" s="116">
        <v>1130.4000000000001</v>
      </c>
      <c r="N2421" s="116">
        <v>1154.75</v>
      </c>
      <c r="O2421" s="116">
        <v>1125.2</v>
      </c>
      <c r="P2421" s="116">
        <v>1150</v>
      </c>
      <c r="Q2421" s="116">
        <v>1130.4000000000001</v>
      </c>
      <c r="R2421">
        <v>1773781</v>
      </c>
    </row>
    <row r="2422" spans="1:18" x14ac:dyDescent="0.25">
      <c r="A2422" s="170">
        <v>45572</v>
      </c>
      <c r="B2422" s="116">
        <v>1142.8499999999999</v>
      </c>
      <c r="C2422" s="116">
        <v>1112</v>
      </c>
      <c r="D2422" s="116">
        <v>1106.45</v>
      </c>
      <c r="E2422" s="116">
        <v>1132.5</v>
      </c>
      <c r="F2422" s="116">
        <v>1112</v>
      </c>
      <c r="G2422">
        <v>62213</v>
      </c>
      <c r="H2422" s="116"/>
      <c r="I2422" s="116"/>
      <c r="L2422" s="170">
        <v>45572</v>
      </c>
      <c r="M2422" s="116">
        <v>1111.4000000000001</v>
      </c>
      <c r="N2422" s="116">
        <v>1142.6500000000001</v>
      </c>
      <c r="O2422" s="116">
        <v>1106.95</v>
      </c>
      <c r="P2422" s="116">
        <v>1130.4000000000001</v>
      </c>
      <c r="Q2422" s="116">
        <v>1111.4000000000001</v>
      </c>
      <c r="R2422">
        <v>1542124</v>
      </c>
    </row>
    <row r="2423" spans="1:18" x14ac:dyDescent="0.25">
      <c r="A2423" s="170">
        <v>45573</v>
      </c>
      <c r="B2423" s="116">
        <v>1124.5999999999999</v>
      </c>
      <c r="C2423" s="116">
        <v>1118.8499999999999</v>
      </c>
      <c r="D2423" s="116">
        <v>1100</v>
      </c>
      <c r="E2423" s="116">
        <v>1100</v>
      </c>
      <c r="F2423" s="116">
        <v>1118.8499999999999</v>
      </c>
      <c r="G2423">
        <v>30050</v>
      </c>
      <c r="H2423" s="116"/>
      <c r="I2423" s="116"/>
      <c r="L2423" s="170">
        <v>45573</v>
      </c>
      <c r="M2423" s="116">
        <v>1119.05</v>
      </c>
      <c r="N2423" s="116">
        <v>1124.4000000000001</v>
      </c>
      <c r="O2423" s="116">
        <v>1105.45</v>
      </c>
      <c r="P2423" s="116">
        <v>1111.4000000000001</v>
      </c>
      <c r="Q2423" s="116">
        <v>1119.05</v>
      </c>
      <c r="R2423">
        <v>1738272</v>
      </c>
    </row>
    <row r="2424" spans="1:18" x14ac:dyDescent="0.25">
      <c r="A2424" s="170">
        <v>45574</v>
      </c>
      <c r="B2424" s="116">
        <v>1131.5</v>
      </c>
      <c r="C2424" s="116">
        <v>1118.0999999999999</v>
      </c>
      <c r="D2424" s="116">
        <v>1110.25</v>
      </c>
      <c r="E2424" s="116">
        <v>1129.95</v>
      </c>
      <c r="F2424" s="116">
        <v>1118.0999999999999</v>
      </c>
      <c r="G2424">
        <v>23599</v>
      </c>
      <c r="H2424" s="116"/>
      <c r="I2424" s="116"/>
      <c r="L2424" s="170">
        <v>45574</v>
      </c>
      <c r="M2424" s="116">
        <v>1117.8</v>
      </c>
      <c r="N2424" s="116">
        <v>1132</v>
      </c>
      <c r="O2424" s="116">
        <v>1110</v>
      </c>
      <c r="P2424" s="116">
        <v>1127</v>
      </c>
      <c r="Q2424" s="116">
        <v>1117.8</v>
      </c>
      <c r="R2424">
        <v>1322027</v>
      </c>
    </row>
    <row r="2425" spans="1:18" x14ac:dyDescent="0.25">
      <c r="A2425" s="170">
        <v>45575</v>
      </c>
      <c r="B2425" s="116">
        <v>1129</v>
      </c>
      <c r="C2425" s="116">
        <v>1112.9000000000001</v>
      </c>
      <c r="D2425" s="116">
        <v>1109.8</v>
      </c>
      <c r="E2425" s="116">
        <v>1110.8</v>
      </c>
      <c r="F2425" s="116">
        <v>1112.9000000000001</v>
      </c>
      <c r="G2425">
        <v>52475</v>
      </c>
      <c r="H2425" s="116"/>
      <c r="I2425" s="116"/>
      <c r="L2425" s="170">
        <v>45575</v>
      </c>
      <c r="M2425" s="116">
        <v>1114.1500000000001</v>
      </c>
      <c r="N2425" s="116">
        <v>1129</v>
      </c>
      <c r="O2425" s="116">
        <v>1111.4000000000001</v>
      </c>
      <c r="P2425" s="116">
        <v>1117.8</v>
      </c>
      <c r="Q2425" s="116">
        <v>1114.1500000000001</v>
      </c>
      <c r="R2425">
        <v>1176370</v>
      </c>
    </row>
    <row r="2426" spans="1:18" x14ac:dyDescent="0.25">
      <c r="A2426" s="170">
        <v>45576</v>
      </c>
      <c r="B2426" s="116">
        <v>1124.95</v>
      </c>
      <c r="C2426" s="116">
        <v>1113.1500000000001</v>
      </c>
      <c r="D2426" s="116">
        <v>1102</v>
      </c>
      <c r="E2426" s="116">
        <v>1124.95</v>
      </c>
      <c r="F2426" s="116">
        <v>1113.1500000000001</v>
      </c>
      <c r="G2426">
        <v>13054</v>
      </c>
      <c r="H2426" s="116"/>
      <c r="I2426" s="116"/>
      <c r="L2426" s="170">
        <v>45576</v>
      </c>
      <c r="M2426" s="116">
        <v>1113.0999999999999</v>
      </c>
      <c r="N2426" s="116">
        <v>1122.3499999999999</v>
      </c>
      <c r="O2426" s="116">
        <v>1101.6500000000001</v>
      </c>
      <c r="P2426" s="116">
        <v>1118</v>
      </c>
      <c r="Q2426" s="116">
        <v>1113.0999999999999</v>
      </c>
      <c r="R2426">
        <v>569469</v>
      </c>
    </row>
    <row r="2427" spans="1:18" x14ac:dyDescent="0.25">
      <c r="A2427" s="170">
        <v>45579</v>
      </c>
      <c r="B2427" s="116">
        <v>1129.25</v>
      </c>
      <c r="C2427" s="116">
        <v>1113.4000000000001</v>
      </c>
      <c r="D2427" s="116">
        <v>1106</v>
      </c>
      <c r="E2427" s="116">
        <v>1119.9000000000001</v>
      </c>
      <c r="F2427" s="116">
        <v>1113.4000000000001</v>
      </c>
      <c r="G2427">
        <v>40207</v>
      </c>
      <c r="H2427" s="116"/>
      <c r="I2427" s="116"/>
      <c r="L2427" s="170">
        <v>45579</v>
      </c>
      <c r="M2427" s="116">
        <v>1113.55</v>
      </c>
      <c r="N2427" s="116">
        <v>1138</v>
      </c>
      <c r="O2427" s="116">
        <v>1105.5999999999999</v>
      </c>
      <c r="P2427" s="116">
        <v>1120</v>
      </c>
      <c r="Q2427" s="116">
        <v>1113.55</v>
      </c>
      <c r="R2427">
        <v>513799</v>
      </c>
    </row>
    <row r="2428" spans="1:18" x14ac:dyDescent="0.25">
      <c r="A2428" s="170">
        <v>45580</v>
      </c>
      <c r="B2428" s="116">
        <v>1118</v>
      </c>
      <c r="C2428" s="116">
        <v>1114.3499999999999</v>
      </c>
      <c r="D2428" s="116">
        <v>1106.8</v>
      </c>
      <c r="E2428" s="116">
        <v>1115</v>
      </c>
      <c r="F2428" s="116">
        <v>1114.3499999999999</v>
      </c>
      <c r="G2428">
        <v>17445</v>
      </c>
      <c r="H2428" s="116"/>
      <c r="I2428" s="116"/>
      <c r="L2428" s="170">
        <v>45580</v>
      </c>
      <c r="M2428" s="116">
        <v>1115.25</v>
      </c>
      <c r="N2428" s="116">
        <v>1119</v>
      </c>
      <c r="O2428" s="116">
        <v>1106.0999999999999</v>
      </c>
      <c r="P2428" s="116">
        <v>1116</v>
      </c>
      <c r="Q2428" s="116">
        <v>1115.25</v>
      </c>
      <c r="R2428">
        <v>768815</v>
      </c>
    </row>
    <row r="2429" spans="1:18" x14ac:dyDescent="0.25">
      <c r="A2429" s="170">
        <v>45581</v>
      </c>
      <c r="B2429" s="116">
        <v>1121.8499999999999</v>
      </c>
      <c r="C2429" s="116">
        <v>1113.0999999999999</v>
      </c>
      <c r="D2429" s="116">
        <v>1102.5</v>
      </c>
      <c r="E2429" s="116">
        <v>1121.8499999999999</v>
      </c>
      <c r="F2429" s="116">
        <v>1113.0999999999999</v>
      </c>
      <c r="G2429">
        <v>13832</v>
      </c>
      <c r="H2429" s="116"/>
      <c r="I2429" s="116"/>
      <c r="L2429" s="170">
        <v>45581</v>
      </c>
      <c r="M2429" s="116">
        <v>1113.95</v>
      </c>
      <c r="N2429" s="116">
        <v>1120</v>
      </c>
      <c r="O2429" s="116">
        <v>1102.0999999999999</v>
      </c>
      <c r="P2429" s="116">
        <v>1115.2</v>
      </c>
      <c r="Q2429" s="116">
        <v>1113.95</v>
      </c>
      <c r="R2429">
        <v>738403</v>
      </c>
    </row>
    <row r="2430" spans="1:18" x14ac:dyDescent="0.25">
      <c r="A2430" s="170">
        <v>45582</v>
      </c>
      <c r="B2430" s="116">
        <v>1119.8</v>
      </c>
      <c r="C2430" s="116">
        <v>1090.45</v>
      </c>
      <c r="D2430" s="116">
        <v>1088.05</v>
      </c>
      <c r="E2430" s="116">
        <v>1119.8</v>
      </c>
      <c r="F2430" s="116">
        <v>1090.45</v>
      </c>
      <c r="G2430">
        <v>13285</v>
      </c>
      <c r="H2430" s="116"/>
      <c r="I2430" s="116"/>
      <c r="L2430" s="170">
        <v>45582</v>
      </c>
      <c r="M2430" s="116">
        <v>1090.1500000000001</v>
      </c>
      <c r="N2430" s="116">
        <v>1117</v>
      </c>
      <c r="O2430" s="116">
        <v>1087.6500000000001</v>
      </c>
      <c r="P2430" s="116">
        <v>1113</v>
      </c>
      <c r="Q2430" s="116">
        <v>1090.1500000000001</v>
      </c>
      <c r="R2430">
        <v>975432</v>
      </c>
    </row>
    <row r="2431" spans="1:18" x14ac:dyDescent="0.25">
      <c r="A2431" s="170">
        <v>45583</v>
      </c>
      <c r="B2431" s="116">
        <v>1098</v>
      </c>
      <c r="C2431" s="116">
        <v>1094.6500000000001</v>
      </c>
      <c r="D2431" s="116">
        <v>1072.2</v>
      </c>
      <c r="E2431" s="116">
        <v>1090.45</v>
      </c>
      <c r="F2431" s="116">
        <v>1094.6500000000001</v>
      </c>
      <c r="G2431">
        <v>40472</v>
      </c>
      <c r="H2431" s="116"/>
      <c r="I2431" s="116"/>
      <c r="L2431" s="170">
        <v>45583</v>
      </c>
      <c r="M2431" s="116">
        <v>1093.25</v>
      </c>
      <c r="N2431" s="116">
        <v>1098.1500000000001</v>
      </c>
      <c r="O2431" s="116">
        <v>1072.05</v>
      </c>
      <c r="P2431" s="116">
        <v>1090.1500000000001</v>
      </c>
      <c r="Q2431" s="116">
        <v>1093.25</v>
      </c>
      <c r="R2431">
        <v>953926</v>
      </c>
    </row>
    <row r="2432" spans="1:18" x14ac:dyDescent="0.25">
      <c r="A2432" s="170">
        <v>45586</v>
      </c>
      <c r="B2432" s="116">
        <v>1058.45</v>
      </c>
      <c r="C2432" s="116">
        <v>1016.45</v>
      </c>
      <c r="D2432" s="116">
        <v>987.2</v>
      </c>
      <c r="E2432" s="116">
        <v>1055</v>
      </c>
      <c r="F2432" s="116">
        <v>1016.45</v>
      </c>
      <c r="G2432">
        <v>430653</v>
      </c>
      <c r="H2432" s="116"/>
      <c r="I2432" s="116"/>
      <c r="L2432" s="170">
        <v>45586</v>
      </c>
      <c r="M2432" s="116">
        <v>1017.05</v>
      </c>
      <c r="N2432" s="116">
        <v>1059.45</v>
      </c>
      <c r="O2432" s="116">
        <v>986.35</v>
      </c>
      <c r="P2432" s="116">
        <v>1047</v>
      </c>
      <c r="Q2432" s="116">
        <v>1017.05</v>
      </c>
      <c r="R2432">
        <v>11484692</v>
      </c>
    </row>
    <row r="2433" spans="1:18" x14ac:dyDescent="0.25">
      <c r="A2433" s="170">
        <v>45587</v>
      </c>
      <c r="B2433" s="116">
        <v>1026.45</v>
      </c>
      <c r="C2433" s="116">
        <v>997.75</v>
      </c>
      <c r="D2433" s="116">
        <v>994.85</v>
      </c>
      <c r="E2433" s="116">
        <v>1026.45</v>
      </c>
      <c r="F2433" s="116">
        <v>997.75</v>
      </c>
      <c r="G2433">
        <v>90283</v>
      </c>
      <c r="H2433" s="116"/>
      <c r="I2433" s="116"/>
      <c r="L2433" s="170">
        <v>45587</v>
      </c>
      <c r="M2433" s="116">
        <v>998.25</v>
      </c>
      <c r="N2433" s="116">
        <v>1023.85</v>
      </c>
      <c r="O2433" s="116">
        <v>994.5</v>
      </c>
      <c r="P2433" s="116">
        <v>1023.3</v>
      </c>
      <c r="Q2433" s="116">
        <v>998.25</v>
      </c>
      <c r="R2433">
        <v>2742491</v>
      </c>
    </row>
    <row r="2434" spans="1:18" x14ac:dyDescent="0.25">
      <c r="A2434" s="170">
        <v>45588</v>
      </c>
      <c r="B2434" s="116">
        <v>1016.85</v>
      </c>
      <c r="C2434" s="116">
        <v>1014.85</v>
      </c>
      <c r="D2434" s="116">
        <v>995.05</v>
      </c>
      <c r="E2434" s="116">
        <v>1005.75</v>
      </c>
      <c r="F2434" s="116">
        <v>1014.85</v>
      </c>
      <c r="G2434">
        <v>24399</v>
      </c>
      <c r="H2434" s="116"/>
      <c r="I2434" s="116"/>
      <c r="L2434" s="170">
        <v>45588</v>
      </c>
      <c r="M2434" s="116">
        <v>1014.55</v>
      </c>
      <c r="N2434" s="116">
        <v>1016.8</v>
      </c>
      <c r="O2434" s="116">
        <v>995</v>
      </c>
      <c r="P2434" s="116">
        <v>1000</v>
      </c>
      <c r="Q2434" s="116">
        <v>1014.55</v>
      </c>
      <c r="R2434">
        <v>1936612</v>
      </c>
    </row>
    <row r="2435" spans="1:18" x14ac:dyDescent="0.25">
      <c r="A2435" s="170">
        <v>45589</v>
      </c>
      <c r="B2435" s="116">
        <v>1024.5</v>
      </c>
      <c r="C2435" s="116">
        <v>996.35</v>
      </c>
      <c r="D2435" s="116">
        <v>995</v>
      </c>
      <c r="E2435" s="116">
        <v>1015.05</v>
      </c>
      <c r="F2435" s="116">
        <v>996.35</v>
      </c>
      <c r="G2435">
        <v>47563</v>
      </c>
      <c r="H2435" s="116"/>
      <c r="I2435" s="116"/>
      <c r="L2435" s="170">
        <v>45589</v>
      </c>
      <c r="M2435" s="116">
        <v>996.45</v>
      </c>
      <c r="N2435" s="116">
        <v>1022.1</v>
      </c>
      <c r="O2435" s="116">
        <v>994.9</v>
      </c>
      <c r="P2435" s="116">
        <v>1017.95</v>
      </c>
      <c r="Q2435" s="116">
        <v>996.45</v>
      </c>
      <c r="R2435">
        <v>2014701</v>
      </c>
    </row>
    <row r="2436" spans="1:18" x14ac:dyDescent="0.25">
      <c r="A2436" s="170">
        <v>45590</v>
      </c>
      <c r="B2436" s="116">
        <v>1003.5</v>
      </c>
      <c r="C2436" s="116">
        <v>974</v>
      </c>
      <c r="D2436" s="116">
        <v>970.6</v>
      </c>
      <c r="E2436" s="116">
        <v>995.05</v>
      </c>
      <c r="F2436" s="116">
        <v>974</v>
      </c>
      <c r="G2436">
        <v>39417</v>
      </c>
      <c r="H2436" s="116"/>
      <c r="I2436" s="116"/>
      <c r="L2436" s="170">
        <v>45590</v>
      </c>
      <c r="M2436" s="116">
        <v>973.05</v>
      </c>
      <c r="N2436" s="116">
        <v>1003.55</v>
      </c>
      <c r="O2436" s="116">
        <v>970.5</v>
      </c>
      <c r="P2436" s="116">
        <v>996.9</v>
      </c>
      <c r="Q2436" s="116">
        <v>973.05</v>
      </c>
      <c r="R2436">
        <v>2258366</v>
      </c>
    </row>
    <row r="2437" spans="1:18" x14ac:dyDescent="0.25">
      <c r="A2437" s="170">
        <v>45593</v>
      </c>
      <c r="B2437" s="116">
        <v>983.2</v>
      </c>
      <c r="C2437" s="116">
        <v>975.8</v>
      </c>
      <c r="D2437" s="116">
        <v>964.3</v>
      </c>
      <c r="E2437" s="116">
        <v>975.6</v>
      </c>
      <c r="F2437" s="116">
        <v>975.8</v>
      </c>
      <c r="G2437">
        <v>52644</v>
      </c>
      <c r="H2437" s="116"/>
      <c r="I2437" s="116"/>
      <c r="L2437" s="170">
        <v>45593</v>
      </c>
      <c r="M2437" s="116">
        <v>975.9</v>
      </c>
      <c r="N2437" s="116">
        <v>983.35</v>
      </c>
      <c r="O2437" s="116">
        <v>964</v>
      </c>
      <c r="P2437" s="116">
        <v>973.05</v>
      </c>
      <c r="Q2437" s="116">
        <v>975.9</v>
      </c>
      <c r="R2437">
        <v>2364081</v>
      </c>
    </row>
    <row r="2438" spans="1:18" x14ac:dyDescent="0.25">
      <c r="A2438" s="170">
        <v>45594</v>
      </c>
      <c r="B2438" s="116">
        <v>994.9</v>
      </c>
      <c r="C2438" s="116">
        <v>991.3</v>
      </c>
      <c r="D2438" s="116">
        <v>974.5</v>
      </c>
      <c r="E2438" s="116">
        <v>983.5</v>
      </c>
      <c r="F2438" s="116">
        <v>991.3</v>
      </c>
      <c r="G2438">
        <v>22240</v>
      </c>
      <c r="H2438" s="116"/>
      <c r="I2438" s="116"/>
      <c r="L2438" s="170">
        <v>45594</v>
      </c>
      <c r="M2438" s="116">
        <v>992.05</v>
      </c>
      <c r="N2438" s="116">
        <v>995.3</v>
      </c>
      <c r="O2438" s="116">
        <v>973.8</v>
      </c>
      <c r="P2438" s="116">
        <v>982</v>
      </c>
      <c r="Q2438" s="116">
        <v>992.05</v>
      </c>
      <c r="R2438">
        <v>1256095</v>
      </c>
    </row>
    <row r="2439" spans="1:18" x14ac:dyDescent="0.25">
      <c r="A2439" s="170">
        <v>45595</v>
      </c>
      <c r="B2439" s="116">
        <v>1027</v>
      </c>
      <c r="C2439" s="116">
        <v>1023.3</v>
      </c>
      <c r="D2439" s="116">
        <v>987.35</v>
      </c>
      <c r="E2439" s="116">
        <v>994.9</v>
      </c>
      <c r="F2439" s="116">
        <v>1023.3</v>
      </c>
      <c r="G2439">
        <v>32288</v>
      </c>
      <c r="H2439" s="116"/>
      <c r="I2439" s="116"/>
      <c r="L2439" s="170">
        <v>45595</v>
      </c>
      <c r="M2439" s="116">
        <v>1022.7</v>
      </c>
      <c r="N2439" s="116">
        <v>1027</v>
      </c>
      <c r="O2439" s="116">
        <v>988.15</v>
      </c>
      <c r="P2439" s="116">
        <v>991.25</v>
      </c>
      <c r="Q2439" s="116">
        <v>1022.7</v>
      </c>
      <c r="R2439">
        <v>2048134</v>
      </c>
    </row>
    <row r="2440" spans="1:18" x14ac:dyDescent="0.25">
      <c r="A2440" s="170">
        <v>45596</v>
      </c>
      <c r="B2440" s="116">
        <v>1027.25</v>
      </c>
      <c r="C2440" s="116">
        <v>1002.55</v>
      </c>
      <c r="D2440" s="116">
        <v>997.3</v>
      </c>
      <c r="E2440" s="116">
        <v>1026.8499999999999</v>
      </c>
      <c r="F2440" s="116">
        <v>1002.55</v>
      </c>
      <c r="G2440">
        <v>51843</v>
      </c>
      <c r="H2440" s="116"/>
      <c r="I2440" s="116"/>
      <c r="L2440" s="170">
        <v>45596</v>
      </c>
      <c r="M2440" s="116">
        <v>1002.55</v>
      </c>
      <c r="N2440" s="116">
        <v>1027.9000000000001</v>
      </c>
      <c r="O2440" s="116">
        <v>997.1</v>
      </c>
      <c r="P2440" s="116">
        <v>1025</v>
      </c>
      <c r="Q2440" s="116">
        <v>1002.55</v>
      </c>
      <c r="R2440">
        <v>1381633</v>
      </c>
    </row>
    <row r="2441" spans="1:18" x14ac:dyDescent="0.25">
      <c r="A2441" s="170">
        <v>45597</v>
      </c>
      <c r="B2441" s="116">
        <v>1013.6</v>
      </c>
      <c r="C2441" s="116">
        <v>1005.6</v>
      </c>
      <c r="D2441" s="116">
        <v>1000.2</v>
      </c>
      <c r="E2441" s="116">
        <v>1013.6</v>
      </c>
      <c r="F2441" s="116">
        <v>1005.6</v>
      </c>
      <c r="G2441">
        <v>27919</v>
      </c>
      <c r="H2441" s="116"/>
      <c r="I2441" s="116"/>
      <c r="L2441" s="170">
        <v>45597</v>
      </c>
      <c r="M2441" s="116">
        <v>1004.1</v>
      </c>
      <c r="N2441" s="116">
        <v>1012</v>
      </c>
      <c r="O2441" s="116">
        <v>1000</v>
      </c>
      <c r="P2441" s="116">
        <v>1002.55</v>
      </c>
      <c r="Q2441" s="116">
        <v>1004.1</v>
      </c>
      <c r="R2441">
        <v>212772</v>
      </c>
    </row>
    <row r="2442" spans="1:18" x14ac:dyDescent="0.25">
      <c r="A2442" s="170">
        <v>45600</v>
      </c>
      <c r="B2442" s="116">
        <v>1002.05</v>
      </c>
      <c r="C2442" s="116">
        <v>993.5</v>
      </c>
      <c r="D2442" s="116">
        <v>976.05</v>
      </c>
      <c r="E2442" s="116">
        <v>995.35</v>
      </c>
      <c r="F2442" s="116">
        <v>993.5</v>
      </c>
      <c r="G2442">
        <v>69900</v>
      </c>
      <c r="H2442" s="116"/>
      <c r="I2442" s="116"/>
      <c r="L2442" s="170">
        <v>45600</v>
      </c>
      <c r="M2442" s="116">
        <v>994.6</v>
      </c>
      <c r="N2442" s="116">
        <v>1000.95</v>
      </c>
      <c r="O2442" s="116">
        <v>976.05</v>
      </c>
      <c r="P2442" s="116">
        <v>998</v>
      </c>
      <c r="Q2442" s="116">
        <v>994.6</v>
      </c>
      <c r="R2442">
        <v>1427199</v>
      </c>
    </row>
    <row r="2443" spans="1:18" x14ac:dyDescent="0.25">
      <c r="A2443" s="170">
        <v>45601</v>
      </c>
      <c r="B2443" s="116">
        <v>1012.9</v>
      </c>
      <c r="C2443" s="116">
        <v>1000.9</v>
      </c>
      <c r="D2443" s="116">
        <v>987.95</v>
      </c>
      <c r="E2443" s="116">
        <v>987.95</v>
      </c>
      <c r="F2443" s="116">
        <v>1000.9</v>
      </c>
      <c r="G2443">
        <v>27595</v>
      </c>
      <c r="H2443" s="116"/>
      <c r="I2443" s="116"/>
      <c r="L2443" s="170">
        <v>45601</v>
      </c>
      <c r="M2443" s="116">
        <v>1000.75</v>
      </c>
      <c r="N2443" s="116">
        <v>1013.1</v>
      </c>
      <c r="O2443" s="116">
        <v>985.1</v>
      </c>
      <c r="P2443" s="116">
        <v>985.1</v>
      </c>
      <c r="Q2443" s="116">
        <v>1000.75</v>
      </c>
      <c r="R2443">
        <v>1163041</v>
      </c>
    </row>
    <row r="2444" spans="1:18" x14ac:dyDescent="0.25">
      <c r="A2444" s="170">
        <v>45602</v>
      </c>
      <c r="B2444" s="116">
        <v>1010.75</v>
      </c>
      <c r="C2444" s="116">
        <v>1006.95</v>
      </c>
      <c r="D2444" s="116">
        <v>998</v>
      </c>
      <c r="E2444" s="116">
        <v>1000.9</v>
      </c>
      <c r="F2444" s="116">
        <v>1006.95</v>
      </c>
      <c r="G2444">
        <v>36599</v>
      </c>
      <c r="H2444" s="116"/>
      <c r="I2444" s="116"/>
      <c r="L2444" s="170">
        <v>45602</v>
      </c>
      <c r="M2444" s="116">
        <v>1007.05</v>
      </c>
      <c r="N2444" s="116">
        <v>1010.65</v>
      </c>
      <c r="O2444" s="116">
        <v>997.9</v>
      </c>
      <c r="P2444" s="116">
        <v>1002</v>
      </c>
      <c r="Q2444" s="116">
        <v>1007.05</v>
      </c>
      <c r="R2444">
        <v>683591</v>
      </c>
    </row>
    <row r="2445" spans="1:18" x14ac:dyDescent="0.25">
      <c r="A2445" s="170">
        <v>45603</v>
      </c>
      <c r="B2445" s="116">
        <v>1019</v>
      </c>
      <c r="C2445" s="116">
        <v>985.2</v>
      </c>
      <c r="D2445" s="116">
        <v>983.25</v>
      </c>
      <c r="E2445" s="116">
        <v>1019</v>
      </c>
      <c r="F2445" s="116">
        <v>985.2</v>
      </c>
      <c r="G2445">
        <v>23989</v>
      </c>
      <c r="H2445" s="116"/>
      <c r="I2445" s="116"/>
      <c r="L2445" s="170">
        <v>45603</v>
      </c>
      <c r="M2445" s="116">
        <v>984.85</v>
      </c>
      <c r="N2445" s="116">
        <v>1010</v>
      </c>
      <c r="O2445" s="116">
        <v>983.55</v>
      </c>
      <c r="P2445" s="116">
        <v>1007.5</v>
      </c>
      <c r="Q2445" s="116">
        <v>984.85</v>
      </c>
      <c r="R2445">
        <v>1144864</v>
      </c>
    </row>
    <row r="2446" spans="1:18" x14ac:dyDescent="0.25">
      <c r="A2446" s="170">
        <v>45604</v>
      </c>
      <c r="B2446" s="116">
        <v>997</v>
      </c>
      <c r="C2446" s="116">
        <v>992.85</v>
      </c>
      <c r="D2446" s="116">
        <v>975.15</v>
      </c>
      <c r="E2446" s="116">
        <v>994.55</v>
      </c>
      <c r="F2446" s="116">
        <v>992.85</v>
      </c>
      <c r="G2446">
        <v>43548</v>
      </c>
      <c r="H2446" s="116"/>
      <c r="I2446" s="116"/>
      <c r="L2446" s="170">
        <v>45604</v>
      </c>
      <c r="M2446" s="116">
        <v>992.95</v>
      </c>
      <c r="N2446" s="116">
        <v>997.3</v>
      </c>
      <c r="O2446" s="116">
        <v>975.4</v>
      </c>
      <c r="P2446" s="116">
        <v>989</v>
      </c>
      <c r="Q2446" s="116">
        <v>992.95</v>
      </c>
      <c r="R2446">
        <v>973252</v>
      </c>
    </row>
    <row r="2447" spans="1:18" x14ac:dyDescent="0.25">
      <c r="A2447" s="170">
        <v>45607</v>
      </c>
      <c r="B2447" s="116">
        <v>996.5</v>
      </c>
      <c r="C2447" s="116">
        <v>976.05</v>
      </c>
      <c r="D2447" s="116">
        <v>973.7</v>
      </c>
      <c r="E2447" s="116">
        <v>996.5</v>
      </c>
      <c r="F2447" s="116">
        <v>976.05</v>
      </c>
      <c r="G2447">
        <v>24891</v>
      </c>
      <c r="H2447" s="116"/>
      <c r="I2447" s="116"/>
      <c r="L2447" s="170">
        <v>45607</v>
      </c>
      <c r="M2447" s="116">
        <v>975.95</v>
      </c>
      <c r="N2447" s="116">
        <v>997.95</v>
      </c>
      <c r="O2447" s="116">
        <v>973.25</v>
      </c>
      <c r="P2447" s="116">
        <v>993.2</v>
      </c>
      <c r="Q2447" s="116">
        <v>975.95</v>
      </c>
      <c r="R2447">
        <v>1108758</v>
      </c>
    </row>
    <row r="2448" spans="1:18" x14ac:dyDescent="0.25">
      <c r="A2448" s="170">
        <v>45608</v>
      </c>
      <c r="B2448" s="116">
        <v>985.9</v>
      </c>
      <c r="C2448" s="116">
        <v>966.5</v>
      </c>
      <c r="D2448" s="116">
        <v>965</v>
      </c>
      <c r="E2448" s="116">
        <v>974.05</v>
      </c>
      <c r="F2448" s="116">
        <v>966.5</v>
      </c>
      <c r="G2448">
        <v>43437</v>
      </c>
      <c r="H2448" s="116"/>
      <c r="I2448" s="116"/>
      <c r="L2448" s="170">
        <v>45608</v>
      </c>
      <c r="M2448" s="116">
        <v>967.55</v>
      </c>
      <c r="N2448" s="116">
        <v>986.35</v>
      </c>
      <c r="O2448" s="116">
        <v>965.55</v>
      </c>
      <c r="P2448" s="116">
        <v>975.95</v>
      </c>
      <c r="Q2448" s="116">
        <v>967.55</v>
      </c>
      <c r="R2448">
        <v>968082</v>
      </c>
    </row>
    <row r="2449" spans="1:18" x14ac:dyDescent="0.25">
      <c r="A2449" s="170">
        <v>45609</v>
      </c>
      <c r="B2449" s="116">
        <v>968</v>
      </c>
      <c r="C2449" s="116">
        <v>953.8</v>
      </c>
      <c r="D2449" s="116">
        <v>951</v>
      </c>
      <c r="E2449" s="116">
        <v>965</v>
      </c>
      <c r="F2449" s="116">
        <v>953.8</v>
      </c>
      <c r="G2449">
        <v>48420</v>
      </c>
      <c r="H2449" s="116"/>
      <c r="I2449" s="116"/>
      <c r="L2449" s="170">
        <v>45609</v>
      </c>
      <c r="M2449" s="116">
        <v>952.75</v>
      </c>
      <c r="N2449" s="116">
        <v>969.95</v>
      </c>
      <c r="O2449" s="116">
        <v>950</v>
      </c>
      <c r="P2449" s="116">
        <v>965</v>
      </c>
      <c r="Q2449" s="116">
        <v>952.75</v>
      </c>
      <c r="R2449">
        <v>948691</v>
      </c>
    </row>
    <row r="2450" spans="1:18" x14ac:dyDescent="0.25">
      <c r="A2450" s="170">
        <v>45610</v>
      </c>
      <c r="B2450" s="116">
        <v>959.45</v>
      </c>
      <c r="C2450" s="116">
        <v>925.4</v>
      </c>
      <c r="D2450" s="116">
        <v>921.3</v>
      </c>
      <c r="E2450" s="116">
        <v>959.45</v>
      </c>
      <c r="F2450" s="116">
        <v>925.4</v>
      </c>
      <c r="G2450">
        <v>86590</v>
      </c>
      <c r="H2450" s="116"/>
      <c r="I2450" s="116"/>
      <c r="L2450" s="170">
        <v>45610</v>
      </c>
      <c r="M2450" s="116">
        <v>925</v>
      </c>
      <c r="N2450" s="116">
        <v>955.25</v>
      </c>
      <c r="O2450" s="116">
        <v>922</v>
      </c>
      <c r="P2450" s="116">
        <v>950</v>
      </c>
      <c r="Q2450" s="116">
        <v>925</v>
      </c>
      <c r="R2450">
        <v>1950720</v>
      </c>
    </row>
    <row r="2451" spans="1:18" x14ac:dyDescent="0.25">
      <c r="A2451" s="170">
        <v>45614</v>
      </c>
      <c r="B2451" s="116">
        <v>942.35</v>
      </c>
      <c r="C2451" s="116">
        <v>930.9</v>
      </c>
      <c r="D2451" s="116">
        <v>916.2</v>
      </c>
      <c r="E2451" s="116">
        <v>930</v>
      </c>
      <c r="F2451" s="116">
        <v>930.9</v>
      </c>
      <c r="G2451">
        <v>133436</v>
      </c>
      <c r="H2451" s="116"/>
      <c r="I2451" s="116"/>
      <c r="L2451" s="170">
        <v>45614</v>
      </c>
      <c r="M2451" s="116">
        <v>930.75</v>
      </c>
      <c r="N2451" s="116">
        <v>942.5</v>
      </c>
      <c r="O2451" s="116">
        <v>916</v>
      </c>
      <c r="P2451" s="116">
        <v>929.8</v>
      </c>
      <c r="Q2451" s="116">
        <v>930.75</v>
      </c>
      <c r="R2451">
        <v>2193819</v>
      </c>
    </row>
    <row r="2452" spans="1:18" x14ac:dyDescent="0.25">
      <c r="A2452" s="170">
        <v>45615</v>
      </c>
      <c r="B2452" s="116">
        <v>940.75</v>
      </c>
      <c r="C2452" s="116">
        <v>917.2</v>
      </c>
      <c r="D2452" s="116">
        <v>915.4</v>
      </c>
      <c r="E2452" s="116">
        <v>937.95</v>
      </c>
      <c r="F2452" s="116">
        <v>917.2</v>
      </c>
      <c r="G2452">
        <v>45485</v>
      </c>
      <c r="H2452" s="116"/>
      <c r="I2452" s="116"/>
      <c r="L2452" s="170">
        <v>45615</v>
      </c>
      <c r="M2452" s="116">
        <v>917.15</v>
      </c>
      <c r="N2452" s="116">
        <v>940.5</v>
      </c>
      <c r="O2452" s="116">
        <v>915.05</v>
      </c>
      <c r="P2452" s="116">
        <v>935</v>
      </c>
      <c r="Q2452" s="116">
        <v>917.15</v>
      </c>
      <c r="R2452">
        <v>1844903</v>
      </c>
    </row>
    <row r="2453" spans="1:18" x14ac:dyDescent="0.25">
      <c r="A2453" s="170">
        <v>45617</v>
      </c>
      <c r="B2453" s="116">
        <v>922.15</v>
      </c>
      <c r="C2453" s="116">
        <v>912.2</v>
      </c>
      <c r="D2453" s="116">
        <v>900.3</v>
      </c>
      <c r="E2453" s="116">
        <v>917.2</v>
      </c>
      <c r="F2453" s="116">
        <v>912.2</v>
      </c>
      <c r="G2453">
        <v>54846</v>
      </c>
      <c r="H2453" s="116"/>
      <c r="I2453" s="116"/>
      <c r="L2453" s="170">
        <v>45617</v>
      </c>
      <c r="M2453" s="116">
        <v>911.7</v>
      </c>
      <c r="N2453" s="116">
        <v>922</v>
      </c>
      <c r="O2453" s="116">
        <v>900.5</v>
      </c>
      <c r="P2453" s="116">
        <v>917.15</v>
      </c>
      <c r="Q2453" s="116">
        <v>911.7</v>
      </c>
      <c r="R2453">
        <v>1550618</v>
      </c>
    </row>
    <row r="2454" spans="1:18" x14ac:dyDescent="0.25">
      <c r="A2454" s="170">
        <v>45618</v>
      </c>
      <c r="B2454" s="116">
        <v>948.05</v>
      </c>
      <c r="C2454" s="116">
        <v>944.9</v>
      </c>
      <c r="D2454" s="116">
        <v>913.55</v>
      </c>
      <c r="E2454" s="116">
        <v>916</v>
      </c>
      <c r="F2454" s="116">
        <v>944.9</v>
      </c>
      <c r="G2454">
        <v>47278</v>
      </c>
      <c r="H2454" s="116"/>
      <c r="I2454" s="116"/>
      <c r="L2454" s="170">
        <v>45618</v>
      </c>
      <c r="M2454" s="116">
        <v>945.2</v>
      </c>
      <c r="N2454" s="116">
        <v>948.5</v>
      </c>
      <c r="O2454" s="116">
        <v>912.85</v>
      </c>
      <c r="P2454" s="116">
        <v>916.25</v>
      </c>
      <c r="Q2454" s="116">
        <v>945.2</v>
      </c>
      <c r="R2454">
        <v>1427895</v>
      </c>
    </row>
    <row r="2455" spans="1:18" x14ac:dyDescent="0.25">
      <c r="A2455" s="170">
        <v>45621</v>
      </c>
      <c r="B2455" s="116">
        <v>962.25</v>
      </c>
      <c r="C2455" s="116">
        <v>955.75</v>
      </c>
      <c r="D2455" s="116">
        <v>946.85</v>
      </c>
      <c r="E2455" s="116">
        <v>956.95</v>
      </c>
      <c r="F2455" s="116">
        <v>955.75</v>
      </c>
      <c r="G2455">
        <v>30171</v>
      </c>
      <c r="H2455" s="116"/>
      <c r="I2455" s="116"/>
      <c r="L2455" s="170">
        <v>45621</v>
      </c>
      <c r="M2455" s="116">
        <v>955.7</v>
      </c>
      <c r="N2455" s="116">
        <v>962.75</v>
      </c>
      <c r="O2455" s="116">
        <v>946.6</v>
      </c>
      <c r="P2455" s="116">
        <v>950</v>
      </c>
      <c r="Q2455" s="116">
        <v>955.7</v>
      </c>
      <c r="R2455">
        <v>2468847</v>
      </c>
    </row>
    <row r="2456" spans="1:18" x14ac:dyDescent="0.25">
      <c r="A2456" s="170">
        <v>45622</v>
      </c>
      <c r="B2456" s="116">
        <v>967</v>
      </c>
      <c r="C2456" s="116">
        <v>962.95</v>
      </c>
      <c r="D2456" s="116">
        <v>952.25</v>
      </c>
      <c r="E2456" s="116">
        <v>967</v>
      </c>
      <c r="F2456" s="116">
        <v>962.95</v>
      </c>
      <c r="G2456">
        <v>30664</v>
      </c>
      <c r="H2456" s="116"/>
      <c r="I2456" s="116"/>
      <c r="L2456" s="170">
        <v>45622</v>
      </c>
      <c r="M2456" s="116">
        <v>963.55</v>
      </c>
      <c r="N2456" s="116">
        <v>967.45</v>
      </c>
      <c r="O2456" s="116">
        <v>951.95</v>
      </c>
      <c r="P2456" s="116">
        <v>960</v>
      </c>
      <c r="Q2456" s="116">
        <v>963.55</v>
      </c>
      <c r="R2456">
        <v>638057</v>
      </c>
    </row>
    <row r="2457" spans="1:18" x14ac:dyDescent="0.25">
      <c r="A2457" s="170">
        <v>45623</v>
      </c>
      <c r="B2457" s="116">
        <v>969.9</v>
      </c>
      <c r="C2457" s="116">
        <v>960.25</v>
      </c>
      <c r="D2457" s="116">
        <v>953</v>
      </c>
      <c r="E2457" s="116">
        <v>969.9</v>
      </c>
      <c r="F2457" s="116">
        <v>960.25</v>
      </c>
      <c r="G2457">
        <v>15585</v>
      </c>
      <c r="H2457" s="116"/>
      <c r="I2457" s="116"/>
      <c r="L2457" s="170">
        <v>45623</v>
      </c>
      <c r="M2457" s="116">
        <v>960.05</v>
      </c>
      <c r="N2457" s="116">
        <v>965.1</v>
      </c>
      <c r="O2457" s="116">
        <v>952.7</v>
      </c>
      <c r="P2457" s="116">
        <v>964</v>
      </c>
      <c r="Q2457" s="116">
        <v>960.05</v>
      </c>
      <c r="R2457">
        <v>786040</v>
      </c>
    </row>
    <row r="2458" spans="1:18" x14ac:dyDescent="0.25">
      <c r="A2458" s="170">
        <v>45624</v>
      </c>
      <c r="B2458" s="116">
        <v>972.95</v>
      </c>
      <c r="C2458" s="116">
        <v>941.8</v>
      </c>
      <c r="D2458" s="116">
        <v>938.25</v>
      </c>
      <c r="E2458" s="116">
        <v>961.5</v>
      </c>
      <c r="F2458" s="116">
        <v>941.8</v>
      </c>
      <c r="G2458">
        <v>67183</v>
      </c>
      <c r="H2458" s="116"/>
      <c r="I2458" s="116"/>
      <c r="L2458" s="170">
        <v>45624</v>
      </c>
      <c r="M2458" s="116">
        <v>941.05</v>
      </c>
      <c r="N2458" s="116">
        <v>972.7</v>
      </c>
      <c r="O2458" s="116">
        <v>938.3</v>
      </c>
      <c r="P2458" s="116">
        <v>960</v>
      </c>
      <c r="Q2458" s="116">
        <v>941.05</v>
      </c>
      <c r="R2458">
        <v>1834887</v>
      </c>
    </row>
    <row r="2459" spans="1:18" x14ac:dyDescent="0.25">
      <c r="A2459" s="170">
        <v>45625</v>
      </c>
      <c r="B2459" s="116">
        <v>964.3</v>
      </c>
      <c r="C2459" s="116">
        <v>958.55</v>
      </c>
      <c r="D2459" s="116">
        <v>941</v>
      </c>
      <c r="E2459" s="116">
        <v>941</v>
      </c>
      <c r="F2459" s="116">
        <v>958.55</v>
      </c>
      <c r="G2459">
        <v>40051</v>
      </c>
      <c r="H2459" s="116"/>
      <c r="I2459" s="116"/>
      <c r="L2459" s="170">
        <v>45625</v>
      </c>
      <c r="M2459" s="116">
        <v>958.65</v>
      </c>
      <c r="N2459" s="116">
        <v>964.4</v>
      </c>
      <c r="O2459" s="116">
        <v>941.5</v>
      </c>
      <c r="P2459" s="116">
        <v>941.8</v>
      </c>
      <c r="Q2459" s="116">
        <v>958.65</v>
      </c>
      <c r="R2459">
        <v>1482253</v>
      </c>
    </row>
    <row r="2460" spans="1:18" x14ac:dyDescent="0.25">
      <c r="A2460" s="170">
        <v>45628</v>
      </c>
      <c r="B2460" s="116">
        <v>963.6</v>
      </c>
      <c r="C2460" s="116">
        <v>956.65</v>
      </c>
      <c r="D2460" s="116">
        <v>947.7</v>
      </c>
      <c r="E2460" s="116">
        <v>959.95</v>
      </c>
      <c r="F2460" s="116">
        <v>956.65</v>
      </c>
      <c r="G2460">
        <v>71332</v>
      </c>
      <c r="H2460" s="116"/>
      <c r="I2460" s="116"/>
      <c r="L2460" s="170">
        <v>45628</v>
      </c>
      <c r="M2460" s="116">
        <v>957</v>
      </c>
      <c r="N2460" s="116">
        <v>962.85</v>
      </c>
      <c r="O2460" s="116">
        <v>947.3</v>
      </c>
      <c r="P2460" s="116">
        <v>958.65</v>
      </c>
      <c r="Q2460" s="116">
        <v>957</v>
      </c>
      <c r="R2460">
        <v>916920</v>
      </c>
    </row>
    <row r="2461" spans="1:18" x14ac:dyDescent="0.25">
      <c r="A2461" s="170">
        <v>45629</v>
      </c>
      <c r="B2461" s="116">
        <v>958.55</v>
      </c>
      <c r="C2461" s="116">
        <v>954.1</v>
      </c>
      <c r="D2461" s="116">
        <v>948.9</v>
      </c>
      <c r="E2461" s="116">
        <v>956.65</v>
      </c>
      <c r="F2461" s="116">
        <v>954.1</v>
      </c>
      <c r="G2461">
        <v>27986</v>
      </c>
      <c r="H2461" s="116"/>
      <c r="I2461" s="116"/>
      <c r="L2461" s="170">
        <v>45629</v>
      </c>
      <c r="M2461" s="116">
        <v>955</v>
      </c>
      <c r="N2461" s="116">
        <v>959.75</v>
      </c>
      <c r="O2461" s="116">
        <v>948.65</v>
      </c>
      <c r="P2461" s="116">
        <v>958.05</v>
      </c>
      <c r="Q2461" s="116">
        <v>955</v>
      </c>
      <c r="R2461">
        <v>1346981</v>
      </c>
    </row>
    <row r="2462" spans="1:18" x14ac:dyDescent="0.25">
      <c r="A2462" s="170">
        <v>45630</v>
      </c>
      <c r="B2462" s="116">
        <v>963.75</v>
      </c>
      <c r="C2462" s="116">
        <v>960.85</v>
      </c>
      <c r="D2462" s="116">
        <v>949.65</v>
      </c>
      <c r="E2462" s="116">
        <v>956.65</v>
      </c>
      <c r="F2462" s="116">
        <v>960.85</v>
      </c>
      <c r="G2462">
        <v>40236</v>
      </c>
      <c r="H2462" s="116"/>
      <c r="I2462" s="116"/>
      <c r="L2462" s="170">
        <v>45630</v>
      </c>
      <c r="M2462" s="116">
        <v>961.2</v>
      </c>
      <c r="N2462" s="116">
        <v>963.85</v>
      </c>
      <c r="O2462" s="116">
        <v>949.65</v>
      </c>
      <c r="P2462" s="116">
        <v>956</v>
      </c>
      <c r="Q2462" s="116">
        <v>961.2</v>
      </c>
      <c r="R2462">
        <v>1236061</v>
      </c>
    </row>
    <row r="2463" spans="1:18" x14ac:dyDescent="0.25">
      <c r="A2463" s="170">
        <v>45631</v>
      </c>
      <c r="B2463" s="116">
        <v>970.6</v>
      </c>
      <c r="C2463" s="116">
        <v>966.6</v>
      </c>
      <c r="D2463" s="116">
        <v>946.55</v>
      </c>
      <c r="E2463" s="116">
        <v>963.15</v>
      </c>
      <c r="F2463" s="116">
        <v>966.6</v>
      </c>
      <c r="G2463">
        <v>41808</v>
      </c>
      <c r="H2463" s="116"/>
      <c r="I2463" s="116"/>
      <c r="L2463" s="170">
        <v>45631</v>
      </c>
      <c r="M2463" s="116">
        <v>966.45</v>
      </c>
      <c r="N2463" s="116">
        <v>970.95</v>
      </c>
      <c r="O2463" s="116">
        <v>946.25</v>
      </c>
      <c r="P2463" s="116">
        <v>965</v>
      </c>
      <c r="Q2463" s="116">
        <v>966.45</v>
      </c>
      <c r="R2463">
        <v>2043341</v>
      </c>
    </row>
    <row r="2464" spans="1:18" x14ac:dyDescent="0.25">
      <c r="A2464" s="170">
        <v>45632</v>
      </c>
      <c r="B2464" s="116">
        <v>978.75</v>
      </c>
      <c r="C2464" s="116">
        <v>974.3</v>
      </c>
      <c r="D2464" s="116">
        <v>964.25</v>
      </c>
      <c r="E2464" s="116">
        <v>978.75</v>
      </c>
      <c r="F2464" s="116">
        <v>974.3</v>
      </c>
      <c r="G2464">
        <v>100856</v>
      </c>
      <c r="H2464" s="116"/>
      <c r="I2464" s="116"/>
      <c r="L2464" s="170">
        <v>45632</v>
      </c>
      <c r="M2464" s="116">
        <v>974.45</v>
      </c>
      <c r="N2464" s="116">
        <v>976.4</v>
      </c>
      <c r="O2464" s="116">
        <v>964.1</v>
      </c>
      <c r="P2464" s="116">
        <v>970</v>
      </c>
      <c r="Q2464" s="116">
        <v>974.45</v>
      </c>
      <c r="R2464">
        <v>1893714</v>
      </c>
    </row>
    <row r="2465" spans="1:18" x14ac:dyDescent="0.25">
      <c r="A2465" s="170">
        <v>45635</v>
      </c>
      <c r="B2465" s="116">
        <v>974</v>
      </c>
      <c r="C2465" s="116">
        <v>933.55</v>
      </c>
      <c r="D2465" s="116">
        <v>931.95</v>
      </c>
      <c r="E2465" s="116">
        <v>974</v>
      </c>
      <c r="F2465" s="116">
        <v>933.55</v>
      </c>
      <c r="G2465">
        <v>91354</v>
      </c>
      <c r="H2465" s="116"/>
      <c r="I2465" s="116"/>
      <c r="L2465" s="170">
        <v>45635</v>
      </c>
      <c r="M2465" s="116">
        <v>933.95</v>
      </c>
      <c r="N2465" s="116">
        <v>974</v>
      </c>
      <c r="O2465" s="116">
        <v>931.5</v>
      </c>
      <c r="P2465" s="116">
        <v>974</v>
      </c>
      <c r="Q2465" s="116">
        <v>933.95</v>
      </c>
      <c r="R2465">
        <v>3679131</v>
      </c>
    </row>
    <row r="2466" spans="1:18" x14ac:dyDescent="0.25">
      <c r="A2466" s="170">
        <v>45636</v>
      </c>
      <c r="B2466" s="116">
        <v>941.65</v>
      </c>
      <c r="C2466" s="116">
        <v>926.8</v>
      </c>
      <c r="D2466" s="116">
        <v>924.15</v>
      </c>
      <c r="E2466" s="116">
        <v>941.65</v>
      </c>
      <c r="F2466" s="116">
        <v>926.8</v>
      </c>
      <c r="G2466">
        <v>41222</v>
      </c>
      <c r="H2466" s="116"/>
      <c r="I2466" s="116"/>
      <c r="L2466" s="170">
        <v>45636</v>
      </c>
      <c r="M2466" s="116">
        <v>926.75</v>
      </c>
      <c r="N2466" s="116">
        <v>938.6</v>
      </c>
      <c r="O2466" s="116">
        <v>925.2</v>
      </c>
      <c r="P2466" s="116">
        <v>938.5</v>
      </c>
      <c r="Q2466" s="116">
        <v>926.75</v>
      </c>
      <c r="R2466">
        <v>1990270</v>
      </c>
    </row>
    <row r="2467" spans="1:18" x14ac:dyDescent="0.25">
      <c r="A2467" s="170">
        <v>45637</v>
      </c>
      <c r="B2467" s="116">
        <v>943</v>
      </c>
      <c r="C2467" s="116">
        <v>934.6</v>
      </c>
      <c r="D2467" s="116">
        <v>930</v>
      </c>
      <c r="E2467" s="116">
        <v>933.1</v>
      </c>
      <c r="F2467" s="116">
        <v>934.6</v>
      </c>
      <c r="G2467">
        <v>67053</v>
      </c>
      <c r="H2467" s="116"/>
      <c r="I2467" s="116"/>
      <c r="L2467" s="170">
        <v>45637</v>
      </c>
      <c r="M2467" s="116">
        <v>935.05</v>
      </c>
      <c r="N2467" s="116">
        <v>942.95</v>
      </c>
      <c r="O2467" s="116">
        <v>929.4</v>
      </c>
      <c r="P2467" s="116">
        <v>931.4</v>
      </c>
      <c r="Q2467" s="116">
        <v>935.05</v>
      </c>
      <c r="R2467">
        <v>1356603</v>
      </c>
    </row>
    <row r="2468" spans="1:18" x14ac:dyDescent="0.25">
      <c r="A2468" s="170">
        <v>45638</v>
      </c>
      <c r="B2468" s="116">
        <v>939.95</v>
      </c>
      <c r="C2468" s="116">
        <v>921.9</v>
      </c>
      <c r="D2468" s="116">
        <v>916.1</v>
      </c>
      <c r="E2468" s="116">
        <v>939.95</v>
      </c>
      <c r="F2468" s="116">
        <v>921.9</v>
      </c>
      <c r="G2468">
        <v>57188</v>
      </c>
      <c r="H2468" s="116"/>
      <c r="I2468" s="116"/>
      <c r="L2468" s="170">
        <v>45638</v>
      </c>
      <c r="M2468" s="116">
        <v>921.25</v>
      </c>
      <c r="N2468" s="116">
        <v>938.45</v>
      </c>
      <c r="O2468" s="116">
        <v>916</v>
      </c>
      <c r="P2468" s="116">
        <v>937</v>
      </c>
      <c r="Q2468" s="116">
        <v>921.25</v>
      </c>
      <c r="R2468">
        <v>1913140</v>
      </c>
    </row>
    <row r="2469" spans="1:18" x14ac:dyDescent="0.25">
      <c r="A2469" s="170">
        <v>45639</v>
      </c>
      <c r="B2469" s="116">
        <v>931</v>
      </c>
      <c r="C2469" s="116">
        <v>930</v>
      </c>
      <c r="D2469" s="116">
        <v>907.8</v>
      </c>
      <c r="E2469" s="116">
        <v>922.4</v>
      </c>
      <c r="F2469" s="116">
        <v>930</v>
      </c>
      <c r="G2469">
        <v>67304</v>
      </c>
      <c r="H2469" s="116"/>
      <c r="I2469" s="116"/>
      <c r="L2469" s="170">
        <v>45639</v>
      </c>
      <c r="M2469" s="116">
        <v>929.7</v>
      </c>
      <c r="N2469" s="116">
        <v>931</v>
      </c>
      <c r="O2469" s="116">
        <v>907.4</v>
      </c>
      <c r="P2469" s="116">
        <v>919.25</v>
      </c>
      <c r="Q2469" s="116">
        <v>929.7</v>
      </c>
      <c r="R2469">
        <v>1278151</v>
      </c>
    </row>
    <row r="2470" spans="1:18" x14ac:dyDescent="0.25">
      <c r="A2470" s="170">
        <v>45642</v>
      </c>
      <c r="B2470" s="116">
        <v>934.65</v>
      </c>
      <c r="C2470" s="116">
        <v>920.35</v>
      </c>
      <c r="D2470" s="116">
        <v>917.1</v>
      </c>
      <c r="E2470" s="116">
        <v>930</v>
      </c>
      <c r="F2470" s="116">
        <v>920.35</v>
      </c>
      <c r="G2470">
        <v>52165</v>
      </c>
      <c r="H2470" s="116"/>
      <c r="I2470" s="116"/>
      <c r="L2470" s="170">
        <v>45642</v>
      </c>
      <c r="M2470" s="116">
        <v>920.35</v>
      </c>
      <c r="N2470" s="116">
        <v>934.65</v>
      </c>
      <c r="O2470" s="116">
        <v>917</v>
      </c>
      <c r="P2470" s="116">
        <v>929.7</v>
      </c>
      <c r="Q2470" s="116">
        <v>920.35</v>
      </c>
      <c r="R2470">
        <v>848667</v>
      </c>
    </row>
    <row r="2471" spans="1:18" x14ac:dyDescent="0.25">
      <c r="A2471" s="170">
        <v>45643</v>
      </c>
      <c r="B2471" s="116">
        <v>922.75</v>
      </c>
      <c r="C2471" s="116">
        <v>904.85</v>
      </c>
      <c r="D2471" s="116">
        <v>900.1</v>
      </c>
      <c r="E2471" s="116">
        <v>920</v>
      </c>
      <c r="F2471" s="116">
        <v>904.85</v>
      </c>
      <c r="G2471">
        <v>78077</v>
      </c>
      <c r="H2471" s="116"/>
      <c r="I2471" s="116"/>
      <c r="L2471" s="170">
        <v>45643</v>
      </c>
      <c r="M2471" s="116">
        <v>904.9</v>
      </c>
      <c r="N2471" s="116">
        <v>922</v>
      </c>
      <c r="O2471" s="116">
        <v>900</v>
      </c>
      <c r="P2471" s="116">
        <v>920.35</v>
      </c>
      <c r="Q2471" s="116">
        <v>904.9</v>
      </c>
      <c r="R2471">
        <v>1597108</v>
      </c>
    </row>
    <row r="2472" spans="1:18" x14ac:dyDescent="0.25">
      <c r="A2472" s="170">
        <v>45644</v>
      </c>
      <c r="B2472" s="116">
        <v>917</v>
      </c>
      <c r="C2472" s="116">
        <v>909.3</v>
      </c>
      <c r="D2472" s="116">
        <v>905</v>
      </c>
      <c r="E2472" s="116">
        <v>907.95</v>
      </c>
      <c r="F2472" s="116">
        <v>909.3</v>
      </c>
      <c r="G2472">
        <v>33535</v>
      </c>
      <c r="H2472" s="116"/>
      <c r="I2472" s="116"/>
      <c r="L2472" s="170">
        <v>45644</v>
      </c>
      <c r="M2472" s="116">
        <v>909.35</v>
      </c>
      <c r="N2472" s="116">
        <v>916.9</v>
      </c>
      <c r="O2472" s="116">
        <v>904.45</v>
      </c>
      <c r="P2472" s="116">
        <v>905</v>
      </c>
      <c r="Q2472" s="116">
        <v>909.35</v>
      </c>
      <c r="R2472">
        <v>1154541</v>
      </c>
    </row>
    <row r="2473" spans="1:18" x14ac:dyDescent="0.25">
      <c r="A2473" s="170">
        <v>45645</v>
      </c>
      <c r="B2473" s="116">
        <v>918.15</v>
      </c>
      <c r="C2473" s="116">
        <v>906.65</v>
      </c>
      <c r="D2473" s="116">
        <v>904</v>
      </c>
      <c r="E2473" s="116">
        <v>909</v>
      </c>
      <c r="F2473" s="116">
        <v>906.65</v>
      </c>
      <c r="G2473">
        <v>59189</v>
      </c>
      <c r="H2473" s="116"/>
      <c r="I2473" s="116"/>
      <c r="L2473" s="170">
        <v>45645</v>
      </c>
      <c r="M2473" s="116">
        <v>907.1</v>
      </c>
      <c r="N2473" s="116">
        <v>918</v>
      </c>
      <c r="O2473" s="116">
        <v>901.1</v>
      </c>
      <c r="P2473" s="116">
        <v>908</v>
      </c>
      <c r="Q2473" s="116">
        <v>907.1</v>
      </c>
      <c r="R2473">
        <v>2589001</v>
      </c>
    </row>
    <row r="2474" spans="1:18" x14ac:dyDescent="0.25">
      <c r="A2474" s="170">
        <v>45646</v>
      </c>
      <c r="B2474" s="116">
        <v>916.15</v>
      </c>
      <c r="C2474" s="116">
        <v>889.75</v>
      </c>
      <c r="D2474" s="116">
        <v>884</v>
      </c>
      <c r="E2474" s="116">
        <v>906.8</v>
      </c>
      <c r="F2474" s="116">
        <v>889.75</v>
      </c>
      <c r="G2474">
        <v>38014</v>
      </c>
      <c r="H2474" s="116"/>
      <c r="I2474" s="116"/>
      <c r="L2474" s="170">
        <v>45646</v>
      </c>
      <c r="M2474" s="116">
        <v>889.45</v>
      </c>
      <c r="N2474" s="116">
        <v>916.5</v>
      </c>
      <c r="O2474" s="116">
        <v>882.9</v>
      </c>
      <c r="P2474" s="116">
        <v>907</v>
      </c>
      <c r="Q2474" s="116">
        <v>889.45</v>
      </c>
      <c r="R2474">
        <v>2441036</v>
      </c>
    </row>
    <row r="2475" spans="1:18" x14ac:dyDescent="0.25">
      <c r="A2475" s="170">
        <v>45649</v>
      </c>
      <c r="B2475" s="116">
        <v>906.5</v>
      </c>
      <c r="C2475" s="116">
        <v>901.8</v>
      </c>
      <c r="D2475" s="116">
        <v>890.05</v>
      </c>
      <c r="E2475" s="116">
        <v>891.1</v>
      </c>
      <c r="F2475" s="116">
        <v>901.8</v>
      </c>
      <c r="G2475">
        <v>47638</v>
      </c>
      <c r="H2475" s="116"/>
      <c r="I2475" s="116"/>
      <c r="L2475" s="170">
        <v>45649</v>
      </c>
      <c r="M2475" s="116">
        <v>902.75</v>
      </c>
      <c r="N2475" s="116">
        <v>906</v>
      </c>
      <c r="O2475" s="116">
        <v>890</v>
      </c>
      <c r="P2475" s="116">
        <v>894.95</v>
      </c>
      <c r="Q2475" s="116">
        <v>902.75</v>
      </c>
      <c r="R2475">
        <v>1054695</v>
      </c>
    </row>
    <row r="2476" spans="1:18" x14ac:dyDescent="0.25">
      <c r="A2476" s="170">
        <v>45650</v>
      </c>
      <c r="B2476" s="116">
        <v>912.6</v>
      </c>
      <c r="C2476" s="116">
        <v>907.25</v>
      </c>
      <c r="D2476" s="116">
        <v>897</v>
      </c>
      <c r="E2476" s="116">
        <v>902.05</v>
      </c>
      <c r="F2476" s="116">
        <v>907.25</v>
      </c>
      <c r="G2476">
        <v>19484</v>
      </c>
      <c r="H2476" s="116"/>
      <c r="I2476" s="116"/>
      <c r="L2476" s="170">
        <v>45650</v>
      </c>
      <c r="M2476" s="116">
        <v>907.3</v>
      </c>
      <c r="N2476" s="116">
        <v>912.95</v>
      </c>
      <c r="O2476" s="116">
        <v>896.8</v>
      </c>
      <c r="P2476" s="116">
        <v>904.95</v>
      </c>
      <c r="Q2476" s="116">
        <v>907.3</v>
      </c>
      <c r="R2476">
        <v>1038280</v>
      </c>
    </row>
    <row r="2477" spans="1:18" x14ac:dyDescent="0.25">
      <c r="A2477" s="170">
        <v>45652</v>
      </c>
      <c r="B2477" s="116">
        <v>911</v>
      </c>
      <c r="C2477" s="116">
        <v>900.4</v>
      </c>
      <c r="D2477" s="116">
        <v>899.35</v>
      </c>
      <c r="E2477" s="116">
        <v>908</v>
      </c>
      <c r="F2477" s="116">
        <v>900.4</v>
      </c>
      <c r="G2477">
        <v>24724</v>
      </c>
      <c r="H2477" s="116"/>
      <c r="I2477" s="116"/>
      <c r="L2477" s="170">
        <v>45652</v>
      </c>
      <c r="M2477" s="116">
        <v>900.95</v>
      </c>
      <c r="N2477" s="116">
        <v>911.35</v>
      </c>
      <c r="O2477" s="116">
        <v>898.6</v>
      </c>
      <c r="P2477" s="116">
        <v>908</v>
      </c>
      <c r="Q2477" s="116">
        <v>900.95</v>
      </c>
      <c r="R2477">
        <v>595956</v>
      </c>
    </row>
    <row r="2478" spans="1:18" x14ac:dyDescent="0.25">
      <c r="A2478" s="170">
        <v>45653</v>
      </c>
      <c r="B2478" s="116">
        <v>911</v>
      </c>
      <c r="C2478" s="116">
        <v>907.4</v>
      </c>
      <c r="D2478" s="116">
        <v>899.95</v>
      </c>
      <c r="E2478" s="116">
        <v>905</v>
      </c>
      <c r="F2478" s="116">
        <v>907.4</v>
      </c>
      <c r="G2478">
        <v>27530</v>
      </c>
      <c r="H2478" s="116"/>
      <c r="I2478" s="116"/>
      <c r="L2478" s="170">
        <v>45653</v>
      </c>
      <c r="M2478" s="116">
        <v>907.95</v>
      </c>
      <c r="N2478" s="116">
        <v>911.4</v>
      </c>
      <c r="O2478" s="116">
        <v>899</v>
      </c>
      <c r="P2478" s="116">
        <v>902</v>
      </c>
      <c r="Q2478" s="116">
        <v>907.95</v>
      </c>
      <c r="R2478">
        <v>870974</v>
      </c>
    </row>
    <row r="2479" spans="1:18" x14ac:dyDescent="0.25">
      <c r="A2479" s="170">
        <v>45656</v>
      </c>
      <c r="B2479" s="116">
        <v>911.75</v>
      </c>
      <c r="C2479" s="116">
        <v>903.35</v>
      </c>
      <c r="D2479" s="116">
        <v>899.15</v>
      </c>
      <c r="E2479" s="116">
        <v>908.25</v>
      </c>
      <c r="F2479" s="116">
        <v>903.35</v>
      </c>
      <c r="G2479">
        <v>21092</v>
      </c>
      <c r="H2479" s="116"/>
      <c r="I2479" s="116"/>
      <c r="L2479" s="170">
        <v>45656</v>
      </c>
      <c r="M2479" s="116">
        <v>903.5</v>
      </c>
      <c r="N2479" s="116">
        <v>912</v>
      </c>
      <c r="O2479" s="116">
        <v>898.7</v>
      </c>
      <c r="P2479" s="116">
        <v>907.95</v>
      </c>
      <c r="Q2479" s="116">
        <v>903.5</v>
      </c>
      <c r="R2479">
        <v>1830048</v>
      </c>
    </row>
    <row r="2480" spans="1:18" x14ac:dyDescent="0.25">
      <c r="A2480" s="170">
        <v>45657</v>
      </c>
      <c r="B2480" s="116">
        <v>917.4</v>
      </c>
      <c r="C2480" s="116">
        <v>914.35</v>
      </c>
      <c r="D2480" s="116">
        <v>895</v>
      </c>
      <c r="E2480" s="116">
        <v>900.05</v>
      </c>
      <c r="F2480" s="116">
        <v>914.35</v>
      </c>
      <c r="G2480">
        <v>23181</v>
      </c>
      <c r="H2480" s="116"/>
      <c r="I2480" s="116"/>
      <c r="L2480" s="170">
        <v>45657</v>
      </c>
      <c r="M2480" s="116">
        <v>914.7</v>
      </c>
      <c r="N2480" s="116">
        <v>917.15</v>
      </c>
      <c r="O2480" s="116">
        <v>893.1</v>
      </c>
      <c r="P2480" s="116">
        <v>899</v>
      </c>
      <c r="Q2480" s="116">
        <v>914.7</v>
      </c>
      <c r="R2480">
        <v>1120133</v>
      </c>
    </row>
    <row r="2481" spans="1:18" x14ac:dyDescent="0.25">
      <c r="A2481" s="170">
        <v>45658</v>
      </c>
      <c r="B2481" s="116">
        <v>922.3</v>
      </c>
      <c r="C2481" s="116">
        <v>920.45</v>
      </c>
      <c r="D2481" s="116">
        <v>908.5</v>
      </c>
      <c r="E2481" s="116">
        <v>916.95</v>
      </c>
      <c r="F2481" s="116">
        <v>920.45</v>
      </c>
      <c r="G2481">
        <v>11540</v>
      </c>
      <c r="H2481" s="116"/>
      <c r="I2481" s="116"/>
      <c r="L2481" s="170">
        <v>45658</v>
      </c>
      <c r="M2481" s="116">
        <v>920.3</v>
      </c>
      <c r="N2481" s="116">
        <v>922.5</v>
      </c>
      <c r="O2481" s="116">
        <v>911</v>
      </c>
      <c r="P2481" s="116">
        <v>913</v>
      </c>
      <c r="Q2481" s="116">
        <v>920.3</v>
      </c>
      <c r="R2481">
        <v>641424</v>
      </c>
    </row>
    <row r="2482" spans="1:18" x14ac:dyDescent="0.25">
      <c r="A2482" s="170">
        <v>45659</v>
      </c>
      <c r="B2482" s="116">
        <v>931</v>
      </c>
      <c r="C2482" s="116">
        <v>929.3</v>
      </c>
      <c r="D2482" s="116">
        <v>912.8</v>
      </c>
      <c r="E2482" s="116">
        <v>921</v>
      </c>
      <c r="F2482" s="116">
        <v>929.3</v>
      </c>
      <c r="G2482">
        <v>46422</v>
      </c>
      <c r="H2482" s="116"/>
      <c r="I2482" s="116"/>
      <c r="L2482" s="170">
        <v>45659</v>
      </c>
      <c r="M2482" s="116">
        <v>929.65</v>
      </c>
      <c r="N2482" s="116">
        <v>931.25</v>
      </c>
      <c r="O2482" s="116">
        <v>913.05</v>
      </c>
      <c r="P2482" s="116">
        <v>921</v>
      </c>
      <c r="Q2482" s="116">
        <v>929.65</v>
      </c>
      <c r="R2482">
        <v>1705632</v>
      </c>
    </row>
    <row r="2483" spans="1:18" x14ac:dyDescent="0.25">
      <c r="A2483" s="170">
        <v>45660</v>
      </c>
      <c r="B2483" s="116">
        <v>942</v>
      </c>
      <c r="C2483" s="116">
        <v>938.4</v>
      </c>
      <c r="D2483" s="116">
        <v>926.8</v>
      </c>
      <c r="E2483" s="116">
        <v>930.05</v>
      </c>
      <c r="F2483" s="116">
        <v>938.4</v>
      </c>
      <c r="G2483">
        <v>156341</v>
      </c>
      <c r="H2483" s="116"/>
      <c r="I2483" s="116"/>
      <c r="L2483" s="170">
        <v>45660</v>
      </c>
      <c r="M2483" s="116">
        <v>939.45</v>
      </c>
      <c r="N2483" s="116">
        <v>941.9</v>
      </c>
      <c r="O2483" s="116">
        <v>926</v>
      </c>
      <c r="P2483" s="116">
        <v>932.7</v>
      </c>
      <c r="Q2483" s="116">
        <v>939.45</v>
      </c>
      <c r="R2483">
        <v>1832664</v>
      </c>
    </row>
    <row r="2484" spans="1:18" x14ac:dyDescent="0.25">
      <c r="A2484" s="170">
        <v>45663</v>
      </c>
      <c r="B2484" s="116">
        <v>954.95</v>
      </c>
      <c r="C2484" s="116">
        <v>946.9</v>
      </c>
      <c r="D2484" s="116">
        <v>929.3</v>
      </c>
      <c r="E2484" s="116">
        <v>935.5</v>
      </c>
      <c r="F2484" s="116">
        <v>946.9</v>
      </c>
      <c r="G2484">
        <v>59101</v>
      </c>
      <c r="H2484" s="116"/>
      <c r="I2484" s="116"/>
      <c r="L2484" s="170">
        <v>45663</v>
      </c>
      <c r="M2484" s="116">
        <v>946.9</v>
      </c>
      <c r="N2484" s="116">
        <v>955</v>
      </c>
      <c r="O2484" s="116">
        <v>929.1</v>
      </c>
      <c r="P2484" s="116">
        <v>935</v>
      </c>
      <c r="Q2484" s="116">
        <v>946.9</v>
      </c>
      <c r="R2484">
        <v>2692614</v>
      </c>
    </row>
    <row r="2485" spans="1:18" x14ac:dyDescent="0.25">
      <c r="A2485" s="170">
        <v>45664</v>
      </c>
      <c r="B2485" s="116">
        <v>972.05</v>
      </c>
      <c r="C2485" s="116">
        <v>955.4</v>
      </c>
      <c r="D2485" s="116">
        <v>950.6</v>
      </c>
      <c r="E2485" s="116">
        <v>951.25</v>
      </c>
      <c r="F2485" s="116">
        <v>955.4</v>
      </c>
      <c r="G2485">
        <v>68214</v>
      </c>
      <c r="H2485" s="116"/>
      <c r="I2485" s="116"/>
      <c r="L2485" s="170">
        <v>45664</v>
      </c>
      <c r="M2485" s="116">
        <v>955</v>
      </c>
      <c r="N2485" s="116">
        <v>972</v>
      </c>
      <c r="O2485" s="116">
        <v>949.75</v>
      </c>
      <c r="P2485" s="116">
        <v>952</v>
      </c>
      <c r="Q2485" s="116">
        <v>955</v>
      </c>
      <c r="R2485">
        <v>2413582</v>
      </c>
    </row>
    <row r="2486" spans="1:18" x14ac:dyDescent="0.25">
      <c r="A2486" s="170">
        <v>45665</v>
      </c>
      <c r="B2486" s="116">
        <v>963.85</v>
      </c>
      <c r="C2486" s="116">
        <v>961.05</v>
      </c>
      <c r="D2486" s="116">
        <v>945.15</v>
      </c>
      <c r="E2486" s="116">
        <v>951.6</v>
      </c>
      <c r="F2486" s="116">
        <v>961.05</v>
      </c>
      <c r="G2486">
        <v>48051</v>
      </c>
      <c r="H2486" s="116"/>
      <c r="I2486" s="116"/>
      <c r="L2486" s="170">
        <v>45665</v>
      </c>
      <c r="M2486" s="116">
        <v>961.6</v>
      </c>
      <c r="N2486" s="116">
        <v>963.85</v>
      </c>
      <c r="O2486" s="116">
        <v>945.45</v>
      </c>
      <c r="P2486" s="116">
        <v>955</v>
      </c>
      <c r="Q2486" s="116">
        <v>961.6</v>
      </c>
      <c r="R2486">
        <v>1235226</v>
      </c>
    </row>
    <row r="2487" spans="1:18" x14ac:dyDescent="0.25">
      <c r="A2487" s="170">
        <v>45666</v>
      </c>
      <c r="B2487" s="116">
        <v>982.65</v>
      </c>
      <c r="C2487" s="116">
        <v>969.65</v>
      </c>
      <c r="D2487" s="116">
        <v>954.6</v>
      </c>
      <c r="E2487" s="116">
        <v>960.55</v>
      </c>
      <c r="F2487" s="116">
        <v>969.65</v>
      </c>
      <c r="G2487">
        <v>63663</v>
      </c>
      <c r="H2487" s="116"/>
      <c r="I2487" s="116"/>
      <c r="L2487" s="170">
        <v>45666</v>
      </c>
      <c r="M2487" s="116">
        <v>970.1</v>
      </c>
      <c r="N2487" s="116">
        <v>982.8</v>
      </c>
      <c r="O2487" s="116">
        <v>954.5</v>
      </c>
      <c r="P2487" s="116">
        <v>957.45</v>
      </c>
      <c r="Q2487" s="116">
        <v>970.1</v>
      </c>
      <c r="R2487">
        <v>2130681</v>
      </c>
    </row>
    <row r="2488" spans="1:18" x14ac:dyDescent="0.25">
      <c r="A2488" s="170">
        <v>45667</v>
      </c>
      <c r="B2488" s="116">
        <v>978.2</v>
      </c>
      <c r="C2488" s="116">
        <v>972.35</v>
      </c>
      <c r="D2488" s="116">
        <v>959.4</v>
      </c>
      <c r="E2488" s="116">
        <v>968.2</v>
      </c>
      <c r="F2488" s="116">
        <v>972.35</v>
      </c>
      <c r="G2488">
        <v>23683</v>
      </c>
      <c r="H2488" s="116"/>
      <c r="I2488" s="116"/>
      <c r="L2488" s="170">
        <v>45667</v>
      </c>
      <c r="M2488" s="116">
        <v>972.8</v>
      </c>
      <c r="N2488" s="116">
        <v>980</v>
      </c>
      <c r="O2488" s="116">
        <v>959</v>
      </c>
      <c r="P2488" s="116">
        <v>965.2</v>
      </c>
      <c r="Q2488" s="116">
        <v>972.8</v>
      </c>
      <c r="R2488">
        <v>1443387</v>
      </c>
    </row>
    <row r="2489" spans="1:18" x14ac:dyDescent="0.25">
      <c r="A2489" s="170">
        <v>45670</v>
      </c>
      <c r="B2489" s="116">
        <v>969.65</v>
      </c>
      <c r="C2489" s="116">
        <v>965.4</v>
      </c>
      <c r="D2489" s="116">
        <v>950.05</v>
      </c>
      <c r="E2489" s="116">
        <v>961.75</v>
      </c>
      <c r="F2489" s="116">
        <v>965.4</v>
      </c>
      <c r="G2489">
        <v>35550</v>
      </c>
      <c r="H2489" s="116"/>
      <c r="I2489" s="116"/>
      <c r="L2489" s="170">
        <v>45670</v>
      </c>
      <c r="M2489" s="116">
        <v>965.45</v>
      </c>
      <c r="N2489" s="116">
        <v>969.05</v>
      </c>
      <c r="O2489" s="116">
        <v>945</v>
      </c>
      <c r="P2489" s="116">
        <v>945.2</v>
      </c>
      <c r="Q2489" s="116">
        <v>965.45</v>
      </c>
      <c r="R2489">
        <v>1876479</v>
      </c>
    </row>
    <row r="2490" spans="1:18" x14ac:dyDescent="0.25">
      <c r="A2490" s="170">
        <v>45671</v>
      </c>
      <c r="B2490" s="116">
        <v>977</v>
      </c>
      <c r="C2490" s="116">
        <v>963.15</v>
      </c>
      <c r="D2490" s="116">
        <v>958.5</v>
      </c>
      <c r="E2490" s="116">
        <v>965.75</v>
      </c>
      <c r="F2490" s="116">
        <v>963.15</v>
      </c>
      <c r="G2490">
        <v>76021</v>
      </c>
      <c r="H2490" s="116"/>
      <c r="I2490" s="116"/>
      <c r="L2490" s="170">
        <v>45671</v>
      </c>
      <c r="M2490" s="116">
        <v>963.15</v>
      </c>
      <c r="N2490" s="116">
        <v>977</v>
      </c>
      <c r="O2490" s="116">
        <v>958.6</v>
      </c>
      <c r="P2490" s="116">
        <v>965.7</v>
      </c>
      <c r="Q2490" s="116">
        <v>963.15</v>
      </c>
      <c r="R2490">
        <v>1558290</v>
      </c>
    </row>
    <row r="2491" spans="1:18" x14ac:dyDescent="0.25">
      <c r="A2491" s="170">
        <v>45672</v>
      </c>
      <c r="B2491" s="116">
        <v>965</v>
      </c>
      <c r="C2491" s="116">
        <v>955</v>
      </c>
      <c r="D2491" s="116">
        <v>944.7</v>
      </c>
      <c r="E2491" s="116">
        <v>965</v>
      </c>
      <c r="F2491" s="116">
        <v>955</v>
      </c>
      <c r="G2491">
        <v>173300</v>
      </c>
      <c r="H2491" s="116"/>
      <c r="I2491" s="116"/>
      <c r="L2491" s="170">
        <v>45672</v>
      </c>
      <c r="M2491" s="116">
        <v>955.55</v>
      </c>
      <c r="N2491" s="116">
        <v>963.15</v>
      </c>
      <c r="O2491" s="116">
        <v>944.6</v>
      </c>
      <c r="P2491" s="116">
        <v>963.15</v>
      </c>
      <c r="Q2491" s="116">
        <v>955.55</v>
      </c>
      <c r="R2491">
        <v>3190709</v>
      </c>
    </row>
    <row r="2492" spans="1:18" x14ac:dyDescent="0.25">
      <c r="A2492" s="170">
        <v>45673</v>
      </c>
      <c r="B2492" s="116">
        <v>960.35</v>
      </c>
      <c r="C2492" s="116">
        <v>938.4</v>
      </c>
      <c r="D2492" s="116">
        <v>926.9</v>
      </c>
      <c r="E2492" s="116">
        <v>958</v>
      </c>
      <c r="F2492" s="116">
        <v>938.4</v>
      </c>
      <c r="G2492">
        <v>154392</v>
      </c>
      <c r="H2492" s="116"/>
      <c r="I2492" s="116"/>
      <c r="L2492" s="170">
        <v>45673</v>
      </c>
      <c r="M2492" s="116">
        <v>937.7</v>
      </c>
      <c r="N2492" s="116">
        <v>960</v>
      </c>
      <c r="O2492" s="116">
        <v>926.05</v>
      </c>
      <c r="P2492" s="116">
        <v>960</v>
      </c>
      <c r="Q2492" s="116">
        <v>937.7</v>
      </c>
      <c r="R2492">
        <v>2019985</v>
      </c>
    </row>
    <row r="2493" spans="1:18" x14ac:dyDescent="0.25">
      <c r="A2493" s="170">
        <v>45674</v>
      </c>
      <c r="B2493" s="116">
        <v>958.95</v>
      </c>
      <c r="C2493" s="116">
        <v>954.05</v>
      </c>
      <c r="D2493" s="116">
        <v>935.05</v>
      </c>
      <c r="E2493" s="116">
        <v>944.7</v>
      </c>
      <c r="F2493" s="116">
        <v>954.05</v>
      </c>
      <c r="G2493">
        <v>33884</v>
      </c>
      <c r="H2493" s="116"/>
      <c r="I2493" s="116"/>
      <c r="L2493" s="170">
        <v>45674</v>
      </c>
      <c r="M2493" s="116">
        <v>954.45</v>
      </c>
      <c r="N2493" s="116">
        <v>959.35</v>
      </c>
      <c r="O2493" s="116">
        <v>935.35</v>
      </c>
      <c r="P2493" s="116">
        <v>942</v>
      </c>
      <c r="Q2493" s="116">
        <v>954.45</v>
      </c>
      <c r="R2493">
        <v>677451</v>
      </c>
    </row>
    <row r="2494" spans="1:18" x14ac:dyDescent="0.25">
      <c r="A2494" s="170">
        <v>45677</v>
      </c>
      <c r="B2494" s="116">
        <v>964.5</v>
      </c>
      <c r="C2494" s="116">
        <v>960.7</v>
      </c>
      <c r="D2494" s="116">
        <v>944.9</v>
      </c>
      <c r="E2494" s="116">
        <v>954.75</v>
      </c>
      <c r="F2494" s="116">
        <v>960.7</v>
      </c>
      <c r="G2494">
        <v>24794</v>
      </c>
      <c r="H2494" s="116"/>
      <c r="I2494" s="116"/>
      <c r="L2494" s="170">
        <v>45677</v>
      </c>
      <c r="M2494" s="116">
        <v>960.3</v>
      </c>
      <c r="N2494" s="116">
        <v>968.6</v>
      </c>
      <c r="O2494" s="116">
        <v>944.45</v>
      </c>
      <c r="P2494" s="116">
        <v>960</v>
      </c>
      <c r="Q2494" s="116">
        <v>960.3</v>
      </c>
      <c r="R2494">
        <v>702848</v>
      </c>
    </row>
    <row r="2495" spans="1:18" x14ac:dyDescent="0.25">
      <c r="A2495" s="170">
        <v>45678</v>
      </c>
      <c r="B2495" s="116">
        <v>978</v>
      </c>
      <c r="C2495" s="116">
        <v>972.7</v>
      </c>
      <c r="D2495" s="116">
        <v>958.55</v>
      </c>
      <c r="E2495" s="116">
        <v>963.1</v>
      </c>
      <c r="F2495" s="116">
        <v>972.7</v>
      </c>
      <c r="G2495">
        <v>183874</v>
      </c>
      <c r="H2495" s="116"/>
      <c r="I2495" s="116"/>
      <c r="L2495" s="170">
        <v>45678</v>
      </c>
      <c r="M2495" s="116">
        <v>972.1</v>
      </c>
      <c r="N2495" s="116">
        <v>978</v>
      </c>
      <c r="O2495" s="116">
        <v>957.9</v>
      </c>
      <c r="P2495" s="116">
        <v>961.05</v>
      </c>
      <c r="Q2495" s="116">
        <v>972.1</v>
      </c>
      <c r="R2495">
        <v>2281022</v>
      </c>
    </row>
    <row r="2496" spans="1:18" x14ac:dyDescent="0.25">
      <c r="A2496" s="170">
        <v>45679</v>
      </c>
      <c r="B2496" s="116">
        <v>981.55</v>
      </c>
      <c r="C2496" s="116">
        <v>968.2</v>
      </c>
      <c r="D2496" s="116">
        <v>958</v>
      </c>
      <c r="E2496" s="116">
        <v>979.55</v>
      </c>
      <c r="F2496" s="116">
        <v>968.2</v>
      </c>
      <c r="G2496">
        <v>145393</v>
      </c>
      <c r="H2496" s="116"/>
      <c r="I2496" s="116"/>
      <c r="L2496" s="170">
        <v>45679</v>
      </c>
      <c r="M2496" s="116">
        <v>967.4</v>
      </c>
      <c r="N2496" s="116">
        <v>981.7</v>
      </c>
      <c r="O2496" s="116">
        <v>958.15</v>
      </c>
      <c r="P2496" s="116">
        <v>976.9</v>
      </c>
      <c r="Q2496" s="116">
        <v>967.4</v>
      </c>
      <c r="R2496">
        <v>1759236</v>
      </c>
    </row>
    <row r="2497" spans="1:18" x14ac:dyDescent="0.25">
      <c r="A2497" s="170">
        <v>45680</v>
      </c>
      <c r="B2497" s="116">
        <v>993.15</v>
      </c>
      <c r="C2497" s="116">
        <v>983.25</v>
      </c>
      <c r="D2497" s="116">
        <v>960.55</v>
      </c>
      <c r="E2497" s="116">
        <v>969.85</v>
      </c>
      <c r="F2497" s="116">
        <v>983.25</v>
      </c>
      <c r="G2497">
        <v>74697</v>
      </c>
      <c r="H2497" s="116"/>
      <c r="I2497" s="116"/>
      <c r="L2497" s="170">
        <v>45680</v>
      </c>
      <c r="M2497" s="116">
        <v>983.9</v>
      </c>
      <c r="N2497" s="116">
        <v>993.5</v>
      </c>
      <c r="O2497" s="116">
        <v>961.15</v>
      </c>
      <c r="P2497" s="116">
        <v>967.35</v>
      </c>
      <c r="Q2497" s="116">
        <v>983.9</v>
      </c>
      <c r="R2497">
        <v>1235360</v>
      </c>
    </row>
    <row r="2498" spans="1:18" x14ac:dyDescent="0.25">
      <c r="A2498" s="170">
        <v>45681</v>
      </c>
      <c r="B2498" s="116">
        <v>1004</v>
      </c>
      <c r="C2498" s="116">
        <v>991.8</v>
      </c>
      <c r="D2498" s="116">
        <v>984.05</v>
      </c>
      <c r="E2498" s="116">
        <v>984.05</v>
      </c>
      <c r="F2498" s="116">
        <v>991.8</v>
      </c>
      <c r="G2498">
        <v>52426</v>
      </c>
      <c r="H2498" s="116"/>
      <c r="I2498" s="116"/>
      <c r="L2498" s="170">
        <v>45681</v>
      </c>
      <c r="M2498" s="116">
        <v>992.35</v>
      </c>
      <c r="N2498" s="116">
        <v>1004</v>
      </c>
      <c r="O2498" s="116">
        <v>986.4</v>
      </c>
      <c r="P2498" s="116">
        <v>988.75</v>
      </c>
      <c r="Q2498" s="116">
        <v>992.35</v>
      </c>
      <c r="R2498">
        <v>2201712</v>
      </c>
    </row>
    <row r="2499" spans="1:18" x14ac:dyDescent="0.25">
      <c r="A2499" s="170">
        <v>45684</v>
      </c>
      <c r="B2499" s="116">
        <v>998</v>
      </c>
      <c r="C2499" s="116">
        <v>965.9</v>
      </c>
      <c r="D2499" s="116">
        <v>960.5</v>
      </c>
      <c r="E2499" s="116">
        <v>993.95</v>
      </c>
      <c r="F2499" s="116">
        <v>965.9</v>
      </c>
      <c r="G2499">
        <v>91724</v>
      </c>
      <c r="H2499" s="116"/>
      <c r="I2499" s="116"/>
      <c r="L2499" s="170">
        <v>45684</v>
      </c>
      <c r="M2499" s="116">
        <v>965.8</v>
      </c>
      <c r="N2499" s="116">
        <v>998.4</v>
      </c>
      <c r="O2499" s="116">
        <v>960</v>
      </c>
      <c r="P2499" s="116">
        <v>989.05</v>
      </c>
      <c r="Q2499" s="116">
        <v>965.8</v>
      </c>
      <c r="R2499">
        <v>1806238</v>
      </c>
    </row>
    <row r="2500" spans="1:18" x14ac:dyDescent="0.25">
      <c r="A2500" s="170">
        <v>45685</v>
      </c>
      <c r="B2500" s="116">
        <v>978.55</v>
      </c>
      <c r="C2500" s="116">
        <v>960.35</v>
      </c>
      <c r="D2500" s="116">
        <v>957.75</v>
      </c>
      <c r="E2500" s="116">
        <v>976.95</v>
      </c>
      <c r="F2500" s="116">
        <v>960.35</v>
      </c>
      <c r="G2500">
        <v>52019</v>
      </c>
      <c r="H2500" s="116"/>
      <c r="I2500" s="116"/>
      <c r="L2500" s="170">
        <v>45685</v>
      </c>
      <c r="M2500" s="116">
        <v>961.25</v>
      </c>
      <c r="N2500" s="116">
        <v>979.25</v>
      </c>
      <c r="O2500" s="116">
        <v>958</v>
      </c>
      <c r="P2500" s="116">
        <v>970.95</v>
      </c>
      <c r="Q2500" s="116">
        <v>961.25</v>
      </c>
      <c r="R2500">
        <v>1647098</v>
      </c>
    </row>
    <row r="2501" spans="1:18" x14ac:dyDescent="0.25">
      <c r="A2501" s="170">
        <v>45686</v>
      </c>
      <c r="B2501" s="116">
        <v>963.15</v>
      </c>
      <c r="C2501" s="116">
        <v>960</v>
      </c>
      <c r="D2501" s="116">
        <v>937.95</v>
      </c>
      <c r="E2501" s="116">
        <v>960.35</v>
      </c>
      <c r="F2501" s="116">
        <v>960</v>
      </c>
      <c r="G2501">
        <v>40690</v>
      </c>
      <c r="H2501" s="116"/>
      <c r="I2501" s="116"/>
      <c r="L2501" s="170">
        <v>45686</v>
      </c>
      <c r="M2501" s="116">
        <v>960.5</v>
      </c>
      <c r="N2501" s="116">
        <v>966.65</v>
      </c>
      <c r="O2501" s="116">
        <v>938</v>
      </c>
      <c r="P2501" s="116">
        <v>961.25</v>
      </c>
      <c r="Q2501" s="116">
        <v>960.5</v>
      </c>
      <c r="R2501">
        <v>1479070</v>
      </c>
    </row>
    <row r="2502" spans="1:18" x14ac:dyDescent="0.25">
      <c r="A2502" s="170">
        <v>45687</v>
      </c>
      <c r="B2502" s="116">
        <v>974.35</v>
      </c>
      <c r="C2502" s="116">
        <v>967.6</v>
      </c>
      <c r="D2502" s="116">
        <v>954</v>
      </c>
      <c r="E2502" s="116">
        <v>960.05</v>
      </c>
      <c r="F2502" s="116">
        <v>967.6</v>
      </c>
      <c r="G2502">
        <v>39269</v>
      </c>
      <c r="H2502" s="116"/>
      <c r="I2502" s="116"/>
      <c r="L2502" s="170">
        <v>45687</v>
      </c>
      <c r="M2502" s="116">
        <v>966.7</v>
      </c>
      <c r="N2502" s="116">
        <v>975</v>
      </c>
      <c r="O2502" s="116">
        <v>953</v>
      </c>
      <c r="P2502" s="116">
        <v>965.95</v>
      </c>
      <c r="Q2502" s="116">
        <v>966.7</v>
      </c>
      <c r="R2502">
        <v>1706978</v>
      </c>
    </row>
    <row r="2503" spans="1:18" x14ac:dyDescent="0.25">
      <c r="A2503" s="170">
        <v>45688</v>
      </c>
      <c r="B2503" s="116">
        <v>1031.05</v>
      </c>
      <c r="C2503" s="116">
        <v>1024.5999999999999</v>
      </c>
      <c r="D2503" s="116">
        <v>968.1</v>
      </c>
      <c r="E2503" s="116">
        <v>968.4</v>
      </c>
      <c r="F2503" s="116">
        <v>1024.5999999999999</v>
      </c>
      <c r="G2503">
        <v>281894</v>
      </c>
      <c r="H2503" s="116"/>
      <c r="I2503" s="116"/>
      <c r="L2503" s="170">
        <v>45688</v>
      </c>
      <c r="M2503" s="116">
        <v>1024.6500000000001</v>
      </c>
      <c r="N2503" s="116">
        <v>1031.2</v>
      </c>
      <c r="O2503" s="116">
        <v>967.9</v>
      </c>
      <c r="P2503" s="116">
        <v>970</v>
      </c>
      <c r="Q2503" s="116">
        <v>1024.6500000000001</v>
      </c>
      <c r="R2503">
        <v>5028986</v>
      </c>
    </row>
    <row r="2504" spans="1:18" x14ac:dyDescent="0.25">
      <c r="A2504" s="170">
        <v>45689</v>
      </c>
      <c r="B2504" s="116">
        <v>1073.2</v>
      </c>
      <c r="C2504" s="116">
        <v>1069.5</v>
      </c>
      <c r="D2504" s="116">
        <v>1015.95</v>
      </c>
      <c r="E2504" s="116">
        <v>1029.8499999999999</v>
      </c>
      <c r="F2504" s="116">
        <v>1069.5</v>
      </c>
      <c r="G2504">
        <v>85604</v>
      </c>
      <c r="H2504" s="116"/>
      <c r="I2504" s="116"/>
      <c r="L2504" s="170">
        <v>45689</v>
      </c>
      <c r="M2504" s="116">
        <v>1069.8499999999999</v>
      </c>
      <c r="N2504" s="116">
        <v>1075</v>
      </c>
      <c r="O2504" s="116">
        <v>1014.75</v>
      </c>
      <c r="P2504" s="116">
        <v>1026</v>
      </c>
      <c r="Q2504" s="116">
        <v>1069.8499999999999</v>
      </c>
      <c r="R2504">
        <v>3077657</v>
      </c>
    </row>
    <row r="2505" spans="1:18" x14ac:dyDescent="0.25">
      <c r="A2505" s="170">
        <v>45691</v>
      </c>
      <c r="B2505" s="116">
        <v>1074.8</v>
      </c>
      <c r="C2505" s="116">
        <v>1036.45</v>
      </c>
      <c r="D2505" s="116">
        <v>1034.05</v>
      </c>
      <c r="E2505" s="116">
        <v>1071.6500000000001</v>
      </c>
      <c r="F2505" s="116">
        <v>1036.45</v>
      </c>
      <c r="G2505">
        <v>34271</v>
      </c>
      <c r="H2505" s="116"/>
      <c r="I2505" s="116"/>
      <c r="L2505" s="170">
        <v>45691</v>
      </c>
      <c r="M2505" s="116">
        <v>1036.3</v>
      </c>
      <c r="N2505" s="116">
        <v>1074.45</v>
      </c>
      <c r="O2505" s="116">
        <v>1033.6500000000001</v>
      </c>
      <c r="P2505" s="116">
        <v>1067.3499999999999</v>
      </c>
      <c r="Q2505" s="116">
        <v>1036.3</v>
      </c>
      <c r="R2505">
        <v>1298543</v>
      </c>
    </row>
    <row r="2506" spans="1:18" x14ac:dyDescent="0.25">
      <c r="A2506" s="170">
        <v>45692</v>
      </c>
      <c r="B2506" s="116">
        <v>1046.7</v>
      </c>
      <c r="C2506" s="116">
        <v>1032.8499999999999</v>
      </c>
      <c r="D2506" s="116">
        <v>1019.7</v>
      </c>
      <c r="E2506" s="116">
        <v>1046.7</v>
      </c>
      <c r="F2506" s="116">
        <v>1032.8499999999999</v>
      </c>
      <c r="G2506">
        <v>164674</v>
      </c>
      <c r="H2506" s="116"/>
      <c r="I2506" s="116"/>
      <c r="L2506" s="170">
        <v>45692</v>
      </c>
      <c r="M2506" s="116">
        <v>1034.2</v>
      </c>
      <c r="N2506" s="116">
        <v>1043.8</v>
      </c>
      <c r="O2506" s="116">
        <v>1019.05</v>
      </c>
      <c r="P2506" s="116">
        <v>1040</v>
      </c>
      <c r="Q2506" s="116">
        <v>1034.2</v>
      </c>
      <c r="R2506">
        <v>2251233</v>
      </c>
    </row>
    <row r="2507" spans="1:18" x14ac:dyDescent="0.25">
      <c r="A2507" s="170">
        <v>45693</v>
      </c>
      <c r="B2507" s="116">
        <v>1036.05</v>
      </c>
      <c r="C2507" s="116">
        <v>1015.4</v>
      </c>
      <c r="D2507" s="116">
        <v>1010.9</v>
      </c>
      <c r="E2507" s="116">
        <v>1033.05</v>
      </c>
      <c r="F2507" s="116">
        <v>1015.4</v>
      </c>
      <c r="G2507">
        <v>21981</v>
      </c>
      <c r="H2507" s="116"/>
      <c r="I2507" s="116"/>
      <c r="L2507" s="170">
        <v>45693</v>
      </c>
      <c r="M2507" s="116">
        <v>1015.3</v>
      </c>
      <c r="N2507" s="116">
        <v>1035.25</v>
      </c>
      <c r="O2507" s="116">
        <v>1010.55</v>
      </c>
      <c r="P2507" s="116">
        <v>1035.0999999999999</v>
      </c>
      <c r="Q2507" s="116">
        <v>1015.3</v>
      </c>
      <c r="R2507">
        <v>1628436</v>
      </c>
    </row>
    <row r="2508" spans="1:18" x14ac:dyDescent="0.25">
      <c r="A2508" s="170">
        <v>45694</v>
      </c>
      <c r="B2508" s="116">
        <v>1025.05</v>
      </c>
      <c r="C2508" s="116">
        <v>1022.35</v>
      </c>
      <c r="D2508" s="116">
        <v>1010</v>
      </c>
      <c r="E2508" s="116">
        <v>1023.95</v>
      </c>
      <c r="F2508" s="116">
        <v>1022.35</v>
      </c>
      <c r="G2508">
        <v>39112</v>
      </c>
      <c r="H2508" s="116"/>
      <c r="I2508" s="116"/>
      <c r="L2508" s="170">
        <v>45694</v>
      </c>
      <c r="M2508" s="116">
        <v>1023.35</v>
      </c>
      <c r="N2508" s="116">
        <v>1026.3</v>
      </c>
      <c r="O2508" s="116">
        <v>1010.15</v>
      </c>
      <c r="P2508" s="116">
        <v>1020.4</v>
      </c>
      <c r="Q2508" s="116">
        <v>1023.35</v>
      </c>
      <c r="R2508">
        <v>1172479</v>
      </c>
    </row>
    <row r="2509" spans="1:18" x14ac:dyDescent="0.25">
      <c r="A2509" s="170">
        <v>45695</v>
      </c>
      <c r="B2509" s="116">
        <v>1029.45</v>
      </c>
      <c r="C2509" s="116">
        <v>1021.65</v>
      </c>
      <c r="D2509" s="116">
        <v>1012.55</v>
      </c>
      <c r="E2509" s="116">
        <v>1024.05</v>
      </c>
      <c r="F2509" s="116">
        <v>1021.65</v>
      </c>
      <c r="G2509">
        <v>43237</v>
      </c>
      <c r="H2509" s="116"/>
      <c r="I2509" s="116"/>
      <c r="L2509" s="170">
        <v>45695</v>
      </c>
      <c r="M2509" s="116">
        <v>1021.2</v>
      </c>
      <c r="N2509" s="116">
        <v>1031.9000000000001</v>
      </c>
      <c r="O2509" s="116">
        <v>1012.55</v>
      </c>
      <c r="P2509" s="116">
        <v>1031.9000000000001</v>
      </c>
      <c r="Q2509" s="116">
        <v>1021.2</v>
      </c>
      <c r="R2509">
        <v>941811</v>
      </c>
    </row>
    <row r="2510" spans="1:18" x14ac:dyDescent="0.25">
      <c r="A2510" s="170">
        <v>45698</v>
      </c>
      <c r="B2510" s="116">
        <v>1036.8499999999999</v>
      </c>
      <c r="C2510" s="116">
        <v>1026.3</v>
      </c>
      <c r="D2510" s="116">
        <v>1009.05</v>
      </c>
      <c r="E2510" s="116">
        <v>1009.05</v>
      </c>
      <c r="F2510" s="116">
        <v>1026.3</v>
      </c>
      <c r="G2510">
        <v>59235</v>
      </c>
      <c r="H2510" s="116"/>
      <c r="I2510" s="116"/>
      <c r="L2510" s="170">
        <v>45698</v>
      </c>
      <c r="M2510" s="116">
        <v>1027.5</v>
      </c>
      <c r="N2510" s="116">
        <v>1036.8499999999999</v>
      </c>
      <c r="O2510" s="116">
        <v>1015.8</v>
      </c>
      <c r="P2510" s="116">
        <v>1020</v>
      </c>
      <c r="Q2510" s="116">
        <v>1027.5</v>
      </c>
      <c r="R2510">
        <v>1418998</v>
      </c>
    </row>
    <row r="2511" spans="1:18" x14ac:dyDescent="0.25">
      <c r="A2511" s="170">
        <v>45699</v>
      </c>
      <c r="B2511" s="116">
        <v>1035.45</v>
      </c>
      <c r="C2511" s="116">
        <v>1013.6</v>
      </c>
      <c r="D2511" s="116">
        <v>1009</v>
      </c>
      <c r="E2511" s="116">
        <v>1026.3499999999999</v>
      </c>
      <c r="F2511" s="116">
        <v>1013.6</v>
      </c>
      <c r="G2511">
        <v>33171</v>
      </c>
      <c r="H2511" s="116"/>
      <c r="I2511" s="116"/>
      <c r="L2511" s="170">
        <v>45699</v>
      </c>
      <c r="M2511" s="116">
        <v>1013.8</v>
      </c>
      <c r="N2511" s="116">
        <v>1035.45</v>
      </c>
      <c r="O2511" s="116">
        <v>1009.1</v>
      </c>
      <c r="P2511" s="116">
        <v>1029.9000000000001</v>
      </c>
      <c r="Q2511" s="116">
        <v>1013.8</v>
      </c>
      <c r="R2511">
        <v>1204012</v>
      </c>
    </row>
    <row r="2512" spans="1:18" x14ac:dyDescent="0.25">
      <c r="A2512" s="170">
        <v>45700</v>
      </c>
      <c r="B2512" s="116">
        <v>1038</v>
      </c>
      <c r="C2512" s="116">
        <v>1029.2</v>
      </c>
      <c r="D2512" s="116">
        <v>1009.95</v>
      </c>
      <c r="E2512" s="116">
        <v>1014</v>
      </c>
      <c r="F2512" s="116">
        <v>1029.2</v>
      </c>
      <c r="G2512">
        <v>16993</v>
      </c>
      <c r="H2512" s="116"/>
      <c r="I2512" s="116"/>
      <c r="L2512" s="170">
        <v>45700</v>
      </c>
      <c r="M2512" s="116">
        <v>1029.75</v>
      </c>
      <c r="N2512" s="116">
        <v>1039</v>
      </c>
      <c r="O2512" s="116">
        <v>1010.05</v>
      </c>
      <c r="P2512" s="116">
        <v>1019</v>
      </c>
      <c r="Q2512" s="116">
        <v>1029.75</v>
      </c>
      <c r="R2512">
        <v>1082392</v>
      </c>
    </row>
    <row r="2513" spans="1:18" x14ac:dyDescent="0.25">
      <c r="A2513" s="170">
        <v>45701</v>
      </c>
      <c r="B2513" s="116">
        <v>1037.95</v>
      </c>
      <c r="C2513" s="116">
        <v>1022.8</v>
      </c>
      <c r="D2513" s="116">
        <v>1016.3</v>
      </c>
      <c r="E2513" s="116">
        <v>1037.95</v>
      </c>
      <c r="F2513" s="116">
        <v>1022.8</v>
      </c>
      <c r="G2513">
        <v>78527</v>
      </c>
      <c r="H2513" s="116"/>
      <c r="I2513" s="116"/>
      <c r="L2513" s="170">
        <v>45701</v>
      </c>
      <c r="M2513" s="116">
        <v>1022.8</v>
      </c>
      <c r="N2513" s="116">
        <v>1037</v>
      </c>
      <c r="O2513" s="116">
        <v>1016.85</v>
      </c>
      <c r="P2513" s="116">
        <v>1029.75</v>
      </c>
      <c r="Q2513" s="116">
        <v>1022.8</v>
      </c>
      <c r="R2513">
        <v>1169309</v>
      </c>
    </row>
    <row r="2514" spans="1:18" x14ac:dyDescent="0.25">
      <c r="A2514" s="170">
        <v>45702</v>
      </c>
      <c r="B2514" s="116">
        <v>1037.25</v>
      </c>
      <c r="C2514" s="116">
        <v>1021.7</v>
      </c>
      <c r="D2514" s="116">
        <v>1017.45</v>
      </c>
      <c r="E2514" s="116">
        <v>1025.05</v>
      </c>
      <c r="F2514" s="116">
        <v>1021.7</v>
      </c>
      <c r="G2514">
        <v>29222</v>
      </c>
      <c r="H2514" s="116"/>
      <c r="I2514" s="116"/>
      <c r="L2514" s="170">
        <v>45702</v>
      </c>
      <c r="M2514" s="116">
        <v>1022.55</v>
      </c>
      <c r="N2514" s="116">
        <v>1037.8499999999999</v>
      </c>
      <c r="O2514" s="116">
        <v>1018</v>
      </c>
      <c r="P2514" s="116">
        <v>1027.9000000000001</v>
      </c>
      <c r="Q2514" s="116">
        <v>1022.55</v>
      </c>
      <c r="R2514">
        <v>2032391</v>
      </c>
    </row>
    <row r="2515" spans="1:18" x14ac:dyDescent="0.25">
      <c r="A2515" s="170">
        <v>45705</v>
      </c>
      <c r="B2515" s="116">
        <v>1026</v>
      </c>
      <c r="C2515" s="116">
        <v>1021.85</v>
      </c>
      <c r="D2515" s="116">
        <v>1004.7</v>
      </c>
      <c r="E2515" s="116">
        <v>1021.7</v>
      </c>
      <c r="F2515" s="116">
        <v>1021.85</v>
      </c>
      <c r="G2515">
        <v>24318</v>
      </c>
      <c r="H2515" s="116"/>
      <c r="I2515" s="116"/>
      <c r="L2515" s="170">
        <v>45705</v>
      </c>
      <c r="M2515" s="116">
        <v>1023.25</v>
      </c>
      <c r="N2515" s="116">
        <v>1027.45</v>
      </c>
      <c r="O2515" s="116">
        <v>1005.05</v>
      </c>
      <c r="P2515" s="116">
        <v>1022</v>
      </c>
      <c r="Q2515" s="116">
        <v>1023.25</v>
      </c>
      <c r="R2515">
        <v>925113</v>
      </c>
    </row>
    <row r="2516" spans="1:18" x14ac:dyDescent="0.25">
      <c r="A2516" s="170">
        <v>45706</v>
      </c>
      <c r="B2516" s="116">
        <v>1027.75</v>
      </c>
      <c r="C2516" s="116">
        <v>1026.9000000000001</v>
      </c>
      <c r="D2516" s="116">
        <v>1018.95</v>
      </c>
      <c r="E2516" s="116">
        <v>1022</v>
      </c>
      <c r="F2516" s="116">
        <v>1026.9000000000001</v>
      </c>
      <c r="G2516">
        <v>18428</v>
      </c>
      <c r="H2516" s="116"/>
      <c r="I2516" s="116"/>
      <c r="L2516" s="170">
        <v>45706</v>
      </c>
      <c r="M2516" s="116">
        <v>1026.95</v>
      </c>
      <c r="N2516" s="116">
        <v>1027.95</v>
      </c>
      <c r="O2516" s="116">
        <v>1018.55</v>
      </c>
      <c r="P2516" s="116">
        <v>1019.1</v>
      </c>
      <c r="Q2516" s="116">
        <v>1026.95</v>
      </c>
      <c r="R2516">
        <v>789814</v>
      </c>
    </row>
    <row r="2517" spans="1:18" x14ac:dyDescent="0.25">
      <c r="A2517" s="170">
        <v>45707</v>
      </c>
      <c r="B2517" s="116">
        <v>1032.25</v>
      </c>
      <c r="C2517" s="116">
        <v>1024.5</v>
      </c>
      <c r="D2517" s="116">
        <v>1021.55</v>
      </c>
      <c r="E2517" s="116">
        <v>1025.95</v>
      </c>
      <c r="F2517" s="116">
        <v>1024.5</v>
      </c>
      <c r="G2517">
        <v>10665</v>
      </c>
      <c r="H2517" s="116"/>
      <c r="I2517" s="116"/>
      <c r="L2517" s="170">
        <v>45707</v>
      </c>
      <c r="M2517" s="116">
        <v>1025.3</v>
      </c>
      <c r="N2517" s="116">
        <v>1032.8499999999999</v>
      </c>
      <c r="O2517" s="116">
        <v>1021.3</v>
      </c>
      <c r="P2517" s="116">
        <v>1024</v>
      </c>
      <c r="Q2517" s="116">
        <v>1025.3</v>
      </c>
      <c r="R2517">
        <v>782204</v>
      </c>
    </row>
    <row r="2518" spans="1:18" x14ac:dyDescent="0.25">
      <c r="A2518" s="170">
        <v>45708</v>
      </c>
      <c r="B2518" s="116">
        <v>1028.45</v>
      </c>
      <c r="C2518" s="116">
        <v>1009.15</v>
      </c>
      <c r="D2518" s="116">
        <v>1004</v>
      </c>
      <c r="E2518" s="116">
        <v>1026.5</v>
      </c>
      <c r="F2518" s="116">
        <v>1009.15</v>
      </c>
      <c r="G2518">
        <v>13489</v>
      </c>
      <c r="H2518" s="116"/>
      <c r="I2518" s="116"/>
      <c r="L2518" s="170">
        <v>45708</v>
      </c>
      <c r="M2518" s="116">
        <v>1008.9</v>
      </c>
      <c r="N2518" s="116">
        <v>1030.25</v>
      </c>
      <c r="O2518" s="116">
        <v>1003.65</v>
      </c>
      <c r="P2518" s="116">
        <v>1020</v>
      </c>
      <c r="Q2518" s="116">
        <v>1008.9</v>
      </c>
      <c r="R2518">
        <v>878748</v>
      </c>
    </row>
    <row r="2519" spans="1:18" x14ac:dyDescent="0.25">
      <c r="A2519" s="170">
        <v>45709</v>
      </c>
      <c r="B2519" s="116">
        <v>1013.7</v>
      </c>
      <c r="C2519" s="116">
        <v>1003.3</v>
      </c>
      <c r="D2519" s="116">
        <v>991.35</v>
      </c>
      <c r="E2519" s="116">
        <v>1005.25</v>
      </c>
      <c r="F2519" s="116">
        <v>1003.3</v>
      </c>
      <c r="G2519">
        <v>103848</v>
      </c>
      <c r="H2519" s="116"/>
      <c r="I2519" s="116"/>
      <c r="L2519" s="170">
        <v>45709</v>
      </c>
      <c r="M2519" s="116">
        <v>1004</v>
      </c>
      <c r="N2519" s="116">
        <v>1013.65</v>
      </c>
      <c r="O2519" s="116">
        <v>991.45</v>
      </c>
      <c r="P2519" s="116">
        <v>1008</v>
      </c>
      <c r="Q2519" s="116">
        <v>1004</v>
      </c>
      <c r="R2519">
        <v>1330146</v>
      </c>
    </row>
    <row r="2520" spans="1:18" x14ac:dyDescent="0.25">
      <c r="A2520" s="170">
        <v>45712</v>
      </c>
      <c r="B2520" s="116">
        <v>1011</v>
      </c>
      <c r="C2520" s="116">
        <v>1002.25</v>
      </c>
      <c r="D2520" s="116">
        <v>986.85</v>
      </c>
      <c r="E2520" s="116">
        <v>986.85</v>
      </c>
      <c r="F2520" s="116">
        <v>1002.25</v>
      </c>
      <c r="G2520">
        <v>16133</v>
      </c>
      <c r="H2520" s="116"/>
      <c r="I2520" s="116"/>
      <c r="L2520" s="170">
        <v>45712</v>
      </c>
      <c r="M2520" s="116">
        <v>1002.4</v>
      </c>
      <c r="N2520" s="116">
        <v>1011.1</v>
      </c>
      <c r="O2520" s="116">
        <v>990</v>
      </c>
      <c r="P2520" s="116">
        <v>990</v>
      </c>
      <c r="Q2520" s="116">
        <v>1002.4</v>
      </c>
      <c r="R2520">
        <v>1002365</v>
      </c>
    </row>
    <row r="2521" spans="1:18" x14ac:dyDescent="0.25">
      <c r="A2521" s="170">
        <v>45713</v>
      </c>
      <c r="B2521" s="116">
        <v>1009.35</v>
      </c>
      <c r="C2521" s="116">
        <v>1004.35</v>
      </c>
      <c r="D2521" s="116">
        <v>996.05</v>
      </c>
      <c r="E2521" s="116">
        <v>996.95</v>
      </c>
      <c r="F2521" s="116">
        <v>1004.35</v>
      </c>
      <c r="G2521">
        <v>11874</v>
      </c>
      <c r="H2521" s="116"/>
      <c r="I2521" s="116"/>
      <c r="L2521" s="170">
        <v>45713</v>
      </c>
      <c r="M2521" s="116">
        <v>1004.85</v>
      </c>
      <c r="N2521" s="116">
        <v>1010</v>
      </c>
      <c r="O2521" s="116">
        <v>993.15</v>
      </c>
      <c r="P2521" s="116">
        <v>994</v>
      </c>
      <c r="Q2521" s="116">
        <v>1004.85</v>
      </c>
      <c r="R2521">
        <v>1663313</v>
      </c>
    </row>
    <row r="2522" spans="1:18" x14ac:dyDescent="0.25">
      <c r="A2522" s="170">
        <v>45715</v>
      </c>
      <c r="B2522" s="116">
        <v>1010</v>
      </c>
      <c r="C2522" s="116">
        <v>1008.05</v>
      </c>
      <c r="D2522" s="116">
        <v>998.6</v>
      </c>
      <c r="E2522" s="116">
        <v>1009.8</v>
      </c>
      <c r="F2522" s="116">
        <v>1008.05</v>
      </c>
      <c r="G2522">
        <v>9150</v>
      </c>
      <c r="H2522" s="116"/>
      <c r="I2522" s="116"/>
      <c r="L2522" s="170">
        <v>45715</v>
      </c>
      <c r="M2522" s="116">
        <v>1008</v>
      </c>
      <c r="N2522" s="116">
        <v>1010.15</v>
      </c>
      <c r="O2522" s="116">
        <v>998.25</v>
      </c>
      <c r="P2522" s="116">
        <v>1005</v>
      </c>
      <c r="Q2522" s="116">
        <v>1008</v>
      </c>
      <c r="R2522">
        <v>1362115</v>
      </c>
    </row>
    <row r="2523" spans="1:18" x14ac:dyDescent="0.25">
      <c r="A2523" s="170">
        <v>45716</v>
      </c>
      <c r="B2523" s="116">
        <v>1001.55</v>
      </c>
      <c r="C2523" s="116">
        <v>963.3</v>
      </c>
      <c r="D2523" s="116">
        <v>957.2</v>
      </c>
      <c r="E2523" s="116">
        <v>988.45</v>
      </c>
      <c r="F2523" s="116">
        <v>963.3</v>
      </c>
      <c r="G2523">
        <v>80532</v>
      </c>
      <c r="H2523" s="116"/>
      <c r="I2523" s="116"/>
      <c r="L2523" s="170">
        <v>45716</v>
      </c>
      <c r="M2523" s="116">
        <v>963.7</v>
      </c>
      <c r="N2523" s="116">
        <v>1001.5</v>
      </c>
      <c r="O2523" s="116">
        <v>957.35</v>
      </c>
      <c r="P2523" s="116">
        <v>995</v>
      </c>
      <c r="Q2523" s="116">
        <v>963.7</v>
      </c>
      <c r="R2523">
        <v>5082193</v>
      </c>
    </row>
    <row r="2524" spans="1:18" x14ac:dyDescent="0.25">
      <c r="A2524" s="170">
        <v>45719</v>
      </c>
      <c r="B2524" s="116">
        <v>968</v>
      </c>
      <c r="C2524" s="116">
        <v>954.35</v>
      </c>
      <c r="D2524" s="116">
        <v>948.65</v>
      </c>
      <c r="E2524" s="116">
        <v>965.6</v>
      </c>
      <c r="F2524" s="116">
        <v>954.35</v>
      </c>
      <c r="G2524">
        <v>22626</v>
      </c>
      <c r="H2524" s="116"/>
      <c r="I2524" s="116"/>
      <c r="L2524" s="170">
        <v>45719</v>
      </c>
      <c r="M2524" s="116">
        <v>953.9</v>
      </c>
      <c r="N2524" s="116">
        <v>970</v>
      </c>
      <c r="O2524" s="116">
        <v>948.4</v>
      </c>
      <c r="P2524" s="116">
        <v>963.7</v>
      </c>
      <c r="Q2524" s="116">
        <v>953.9</v>
      </c>
      <c r="R2524">
        <v>1323481</v>
      </c>
    </row>
    <row r="2525" spans="1:18" x14ac:dyDescent="0.25">
      <c r="A2525" s="170">
        <v>45720</v>
      </c>
      <c r="B2525" s="116">
        <v>957.5</v>
      </c>
      <c r="C2525" s="116">
        <v>954.15</v>
      </c>
      <c r="D2525" s="116">
        <v>943.65</v>
      </c>
      <c r="E2525" s="116">
        <v>947.95</v>
      </c>
      <c r="F2525" s="116">
        <v>954.15</v>
      </c>
      <c r="G2525">
        <v>32457</v>
      </c>
      <c r="H2525" s="116"/>
      <c r="I2525" s="116"/>
      <c r="L2525" s="170">
        <v>45720</v>
      </c>
      <c r="M2525" s="116">
        <v>954.55</v>
      </c>
      <c r="N2525" s="116">
        <v>957.85</v>
      </c>
      <c r="O2525" s="116">
        <v>943.15</v>
      </c>
      <c r="P2525" s="116">
        <v>945.1</v>
      </c>
      <c r="Q2525" s="116">
        <v>954.55</v>
      </c>
      <c r="R2525">
        <v>1916433</v>
      </c>
    </row>
    <row r="2526" spans="1:18" x14ac:dyDescent="0.25">
      <c r="A2526" s="170">
        <v>45721</v>
      </c>
      <c r="B2526" s="116">
        <v>965.45</v>
      </c>
      <c r="C2526" s="116">
        <v>956.75</v>
      </c>
      <c r="D2526" s="116">
        <v>945.5</v>
      </c>
      <c r="E2526" s="116">
        <v>945.5</v>
      </c>
      <c r="F2526" s="116">
        <v>956.75</v>
      </c>
      <c r="G2526">
        <v>12659</v>
      </c>
      <c r="H2526" s="116"/>
      <c r="I2526" s="116"/>
      <c r="L2526" s="170">
        <v>45721</v>
      </c>
      <c r="M2526" s="116">
        <v>956.8</v>
      </c>
      <c r="N2526" s="116">
        <v>965.95</v>
      </c>
      <c r="O2526" s="116">
        <v>948</v>
      </c>
      <c r="P2526" s="116">
        <v>948.5</v>
      </c>
      <c r="Q2526" s="116">
        <v>956.8</v>
      </c>
      <c r="R2526">
        <v>2773457</v>
      </c>
    </row>
    <row r="2527" spans="1:18" x14ac:dyDescent="0.25">
      <c r="A2527" s="170">
        <v>45722</v>
      </c>
      <c r="B2527" s="116">
        <v>965</v>
      </c>
      <c r="C2527" s="116">
        <v>957.95</v>
      </c>
      <c r="D2527" s="116">
        <v>943.9</v>
      </c>
      <c r="E2527" s="116">
        <v>965</v>
      </c>
      <c r="F2527" s="116">
        <v>957.95</v>
      </c>
      <c r="G2527">
        <v>18514</v>
      </c>
      <c r="H2527" s="116"/>
      <c r="I2527" s="116"/>
      <c r="L2527" s="170">
        <v>45722</v>
      </c>
      <c r="M2527" s="116">
        <v>958.15</v>
      </c>
      <c r="N2527" s="116">
        <v>965</v>
      </c>
      <c r="O2527" s="116">
        <v>943.05</v>
      </c>
      <c r="P2527" s="116">
        <v>964</v>
      </c>
      <c r="Q2527" s="116">
        <v>958.15</v>
      </c>
      <c r="R2527">
        <v>2421530</v>
      </c>
    </row>
    <row r="2528" spans="1:18" x14ac:dyDescent="0.25">
      <c r="A2528" s="170">
        <v>45723</v>
      </c>
      <c r="B2528" s="116">
        <v>970</v>
      </c>
      <c r="C2528" s="116">
        <v>962.05</v>
      </c>
      <c r="D2528" s="116">
        <v>951</v>
      </c>
      <c r="E2528" s="116">
        <v>958</v>
      </c>
      <c r="F2528" s="116">
        <v>962.05</v>
      </c>
      <c r="G2528">
        <v>9592</v>
      </c>
      <c r="H2528" s="116"/>
      <c r="I2528" s="116"/>
      <c r="L2528" s="170">
        <v>45723</v>
      </c>
      <c r="M2528" s="116">
        <v>962.05</v>
      </c>
      <c r="N2528" s="116">
        <v>967.4</v>
      </c>
      <c r="O2528" s="116">
        <v>950.15</v>
      </c>
      <c r="P2528" s="116">
        <v>957</v>
      </c>
      <c r="Q2528" s="116">
        <v>962.05</v>
      </c>
      <c r="R2528">
        <v>945675</v>
      </c>
    </row>
    <row r="2529" spans="1:18" x14ac:dyDescent="0.25">
      <c r="A2529" s="170">
        <v>45726</v>
      </c>
      <c r="B2529" s="116">
        <v>969.6</v>
      </c>
      <c r="C2529" s="116">
        <v>957</v>
      </c>
      <c r="D2529" s="116">
        <v>953.5</v>
      </c>
      <c r="E2529" s="116">
        <v>957.2</v>
      </c>
      <c r="F2529" s="116">
        <v>957</v>
      </c>
      <c r="G2529">
        <v>22797</v>
      </c>
      <c r="H2529" s="116"/>
      <c r="I2529" s="116"/>
      <c r="L2529" s="170">
        <v>45726</v>
      </c>
      <c r="M2529" s="116">
        <v>957.3</v>
      </c>
      <c r="N2529" s="116">
        <v>969.3</v>
      </c>
      <c r="O2529" s="116">
        <v>953</v>
      </c>
      <c r="P2529" s="116">
        <v>960</v>
      </c>
      <c r="Q2529" s="116">
        <v>957.3</v>
      </c>
      <c r="R2529">
        <v>1660207</v>
      </c>
    </row>
    <row r="2530" spans="1:18" x14ac:dyDescent="0.25">
      <c r="A2530" s="170">
        <v>45727</v>
      </c>
      <c r="B2530" s="116">
        <v>961.25</v>
      </c>
      <c r="C2530" s="116">
        <v>960.2</v>
      </c>
      <c r="D2530" s="116">
        <v>942.8</v>
      </c>
      <c r="E2530" s="116">
        <v>953.05</v>
      </c>
      <c r="F2530" s="116">
        <v>960.2</v>
      </c>
      <c r="G2530">
        <v>25363</v>
      </c>
      <c r="H2530" s="116"/>
      <c r="I2530" s="116"/>
      <c r="L2530" s="170">
        <v>45727</v>
      </c>
      <c r="M2530" s="116">
        <v>959.85</v>
      </c>
      <c r="N2530" s="116">
        <v>962.4</v>
      </c>
      <c r="O2530" s="116">
        <v>930.1</v>
      </c>
      <c r="P2530" s="116">
        <v>956</v>
      </c>
      <c r="Q2530" s="116">
        <v>959.85</v>
      </c>
      <c r="R2530">
        <v>2748541</v>
      </c>
    </row>
    <row r="2531" spans="1:18" x14ac:dyDescent="0.25">
      <c r="A2531" s="170">
        <v>45728</v>
      </c>
      <c r="B2531" s="116">
        <v>960.65</v>
      </c>
      <c r="C2531" s="116">
        <v>945.25</v>
      </c>
      <c r="D2531" s="116">
        <v>943.75</v>
      </c>
      <c r="E2531" s="116">
        <v>956.1</v>
      </c>
      <c r="F2531" s="116">
        <v>945.25</v>
      </c>
      <c r="G2531">
        <v>27476</v>
      </c>
      <c r="H2531" s="116"/>
      <c r="I2531" s="116"/>
      <c r="L2531" s="170">
        <v>45728</v>
      </c>
      <c r="M2531" s="116">
        <v>945.45</v>
      </c>
      <c r="N2531" s="116">
        <v>961.75</v>
      </c>
      <c r="O2531" s="116">
        <v>943.35</v>
      </c>
      <c r="P2531" s="116">
        <v>951.65</v>
      </c>
      <c r="Q2531" s="116">
        <v>945.45</v>
      </c>
      <c r="R2531">
        <v>1619168</v>
      </c>
    </row>
    <row r="2532" spans="1:18" x14ac:dyDescent="0.25">
      <c r="A2532" s="170">
        <v>45729</v>
      </c>
      <c r="B2532" s="116">
        <v>955</v>
      </c>
      <c r="C2532" s="116">
        <v>946.2</v>
      </c>
      <c r="D2532" s="116">
        <v>941</v>
      </c>
      <c r="E2532" s="116">
        <v>946.3</v>
      </c>
      <c r="F2532" s="116">
        <v>946.2</v>
      </c>
      <c r="G2532">
        <v>9237</v>
      </c>
      <c r="H2532" s="116"/>
      <c r="I2532" s="116"/>
      <c r="L2532" s="170">
        <v>45729</v>
      </c>
      <c r="M2532" s="116">
        <v>946.1</v>
      </c>
      <c r="N2532" s="116">
        <v>955</v>
      </c>
      <c r="O2532" s="116">
        <v>940.15</v>
      </c>
      <c r="P2532" s="116">
        <v>950</v>
      </c>
      <c r="Q2532" s="116">
        <v>946.1</v>
      </c>
      <c r="R2532">
        <v>907521</v>
      </c>
    </row>
    <row r="2533" spans="1:18" x14ac:dyDescent="0.25">
      <c r="A2533" s="170">
        <v>45733</v>
      </c>
      <c r="B2533" s="116">
        <v>956</v>
      </c>
      <c r="C2533" s="116">
        <v>940.1</v>
      </c>
      <c r="D2533" s="116">
        <v>934</v>
      </c>
      <c r="E2533" s="116">
        <v>942.3</v>
      </c>
      <c r="F2533" s="116">
        <v>940.1</v>
      </c>
      <c r="G2533">
        <v>23576</v>
      </c>
      <c r="H2533" s="116"/>
      <c r="I2533" s="116"/>
      <c r="L2533" s="170">
        <v>45733</v>
      </c>
      <c r="M2533" s="116">
        <v>940.45</v>
      </c>
      <c r="N2533" s="116">
        <v>956.5</v>
      </c>
      <c r="O2533" s="116">
        <v>934.6</v>
      </c>
      <c r="P2533" s="116">
        <v>946.1</v>
      </c>
      <c r="Q2533" s="116">
        <v>940.45</v>
      </c>
      <c r="R2533">
        <v>993027</v>
      </c>
    </row>
    <row r="2534" spans="1:18" x14ac:dyDescent="0.25">
      <c r="A2534" s="170">
        <v>45734</v>
      </c>
      <c r="B2534" s="116">
        <v>950.2</v>
      </c>
      <c r="C2534" s="116">
        <v>947.5</v>
      </c>
      <c r="D2534" s="116">
        <v>939.1</v>
      </c>
      <c r="E2534" s="116">
        <v>940.05</v>
      </c>
      <c r="F2534" s="116">
        <v>947.5</v>
      </c>
      <c r="G2534">
        <v>16023</v>
      </c>
      <c r="H2534" s="116"/>
      <c r="I2534" s="116"/>
      <c r="L2534" s="170">
        <v>45734</v>
      </c>
      <c r="M2534" s="116">
        <v>946.85</v>
      </c>
      <c r="N2534" s="116">
        <v>950.6</v>
      </c>
      <c r="O2534" s="116">
        <v>938.15</v>
      </c>
      <c r="P2534" s="116">
        <v>941.05</v>
      </c>
      <c r="Q2534" s="116">
        <v>946.85</v>
      </c>
      <c r="R2534">
        <v>2343994</v>
      </c>
    </row>
    <row r="2535" spans="1:18" x14ac:dyDescent="0.25">
      <c r="A2535" s="170">
        <v>45735</v>
      </c>
      <c r="B2535" s="116">
        <v>959.7</v>
      </c>
      <c r="C2535" s="116">
        <v>950.4</v>
      </c>
      <c r="D2535" s="116">
        <v>945.85</v>
      </c>
      <c r="E2535" s="116">
        <v>949.95</v>
      </c>
      <c r="F2535" s="116">
        <v>950.4</v>
      </c>
      <c r="G2535">
        <v>29130</v>
      </c>
      <c r="H2535" s="116"/>
      <c r="I2535" s="116"/>
      <c r="L2535" s="170">
        <v>45735</v>
      </c>
      <c r="M2535" s="116">
        <v>949.85</v>
      </c>
      <c r="N2535" s="116">
        <v>959.85</v>
      </c>
      <c r="O2535" s="116">
        <v>945.25</v>
      </c>
      <c r="P2535" s="116">
        <v>947.5</v>
      </c>
      <c r="Q2535" s="116">
        <v>949.85</v>
      </c>
      <c r="R2535">
        <v>1650477</v>
      </c>
    </row>
    <row r="2536" spans="1:18" x14ac:dyDescent="0.25">
      <c r="A2536" s="170">
        <v>45736</v>
      </c>
      <c r="B2536" s="116">
        <v>967.6</v>
      </c>
      <c r="C2536" s="116">
        <v>965.45</v>
      </c>
      <c r="D2536" s="116">
        <v>950.9</v>
      </c>
      <c r="E2536" s="116">
        <v>952</v>
      </c>
      <c r="F2536" s="116">
        <v>965.45</v>
      </c>
      <c r="G2536">
        <v>53625</v>
      </c>
      <c r="H2536" s="116"/>
      <c r="I2536" s="116"/>
      <c r="L2536" s="170">
        <v>45736</v>
      </c>
      <c r="M2536" s="116">
        <v>965.85</v>
      </c>
      <c r="N2536" s="116">
        <v>967.7</v>
      </c>
      <c r="O2536" s="116">
        <v>950.25</v>
      </c>
      <c r="P2536" s="116">
        <v>953.1</v>
      </c>
      <c r="Q2536" s="116">
        <v>965.85</v>
      </c>
      <c r="R2536">
        <v>2403031</v>
      </c>
    </row>
    <row r="2537" spans="1:18" x14ac:dyDescent="0.25">
      <c r="A2537" s="170">
        <v>45737</v>
      </c>
      <c r="B2537" s="116">
        <v>971.4</v>
      </c>
      <c r="C2537" s="116">
        <v>959.75</v>
      </c>
      <c r="D2537" s="116">
        <v>957.1</v>
      </c>
      <c r="E2537" s="116">
        <v>967.9</v>
      </c>
      <c r="F2537" s="116">
        <v>959.75</v>
      </c>
      <c r="G2537">
        <v>22899</v>
      </c>
      <c r="H2537" s="116"/>
      <c r="I2537" s="116"/>
      <c r="L2537" s="170">
        <v>45737</v>
      </c>
      <c r="M2537" s="116">
        <v>961.2</v>
      </c>
      <c r="N2537" s="116">
        <v>972.15</v>
      </c>
      <c r="O2537" s="116">
        <v>956.6</v>
      </c>
      <c r="P2537" s="116">
        <v>968</v>
      </c>
      <c r="Q2537" s="116">
        <v>961.2</v>
      </c>
      <c r="R2537">
        <v>3155551</v>
      </c>
    </row>
    <row r="2538" spans="1:18" x14ac:dyDescent="0.25">
      <c r="A2538" s="170">
        <v>45740</v>
      </c>
      <c r="B2538" s="116">
        <v>975.4</v>
      </c>
      <c r="C2538" s="116">
        <v>971.6</v>
      </c>
      <c r="D2538" s="116">
        <v>957</v>
      </c>
      <c r="E2538" s="116">
        <v>970.95</v>
      </c>
      <c r="F2538" s="116">
        <v>971.6</v>
      </c>
      <c r="G2538">
        <v>90391</v>
      </c>
      <c r="H2538" s="116"/>
      <c r="I2538" s="116"/>
      <c r="L2538" s="170">
        <v>45740</v>
      </c>
      <c r="M2538" s="116">
        <v>970.45</v>
      </c>
      <c r="N2538" s="116">
        <v>976.15</v>
      </c>
      <c r="O2538" s="116">
        <v>956.5</v>
      </c>
      <c r="P2538" s="116">
        <v>965.25</v>
      </c>
      <c r="Q2538" s="116">
        <v>970.45</v>
      </c>
      <c r="R2538">
        <v>1475967</v>
      </c>
    </row>
    <row r="2539" spans="1:18" x14ac:dyDescent="0.25">
      <c r="A2539" s="170">
        <v>45741</v>
      </c>
      <c r="B2539" s="116">
        <v>980</v>
      </c>
      <c r="C2539" s="116">
        <v>969.6</v>
      </c>
      <c r="D2539" s="116">
        <v>958.45</v>
      </c>
      <c r="E2539" s="116">
        <v>980</v>
      </c>
      <c r="F2539" s="116">
        <v>969.6</v>
      </c>
      <c r="G2539">
        <v>112453</v>
      </c>
      <c r="H2539" s="116"/>
      <c r="I2539" s="116"/>
      <c r="L2539" s="170">
        <v>45741</v>
      </c>
      <c r="M2539" s="116">
        <v>970.7</v>
      </c>
      <c r="N2539" s="116">
        <v>979.9</v>
      </c>
      <c r="O2539" s="116">
        <v>959</v>
      </c>
      <c r="P2539" s="116">
        <v>979</v>
      </c>
      <c r="Q2539" s="116">
        <v>970.7</v>
      </c>
      <c r="R2539">
        <v>1569597</v>
      </c>
    </row>
    <row r="2540" spans="1:18" x14ac:dyDescent="0.25">
      <c r="A2540" s="170">
        <v>45742</v>
      </c>
      <c r="B2540" s="116">
        <v>978</v>
      </c>
      <c r="C2540" s="116">
        <v>959.3</v>
      </c>
      <c r="D2540" s="116">
        <v>957.5</v>
      </c>
      <c r="E2540" s="116">
        <v>972.05</v>
      </c>
      <c r="F2540" s="116">
        <v>959.3</v>
      </c>
      <c r="G2540">
        <v>24123</v>
      </c>
      <c r="H2540" s="116"/>
      <c r="I2540" s="116"/>
      <c r="L2540" s="170">
        <v>45742</v>
      </c>
      <c r="M2540" s="116">
        <v>959.65</v>
      </c>
      <c r="N2540" s="116">
        <v>976.3</v>
      </c>
      <c r="O2540" s="116">
        <v>956.95</v>
      </c>
      <c r="P2540" s="116">
        <v>975</v>
      </c>
      <c r="Q2540" s="116">
        <v>959.65</v>
      </c>
      <c r="R2540">
        <v>1399118</v>
      </c>
    </row>
    <row r="2541" spans="1:18" x14ac:dyDescent="0.25">
      <c r="A2541" s="170">
        <v>45743</v>
      </c>
      <c r="B2541" s="116">
        <v>978.55</v>
      </c>
      <c r="C2541" s="116">
        <v>973.2</v>
      </c>
      <c r="D2541" s="116">
        <v>953.6</v>
      </c>
      <c r="E2541" s="116">
        <v>978.3</v>
      </c>
      <c r="F2541" s="116">
        <v>973.2</v>
      </c>
      <c r="G2541">
        <v>32984</v>
      </c>
      <c r="H2541" s="116"/>
      <c r="I2541" s="116"/>
      <c r="L2541" s="170">
        <v>45743</v>
      </c>
      <c r="M2541" s="116">
        <v>973.55</v>
      </c>
      <c r="N2541" s="116">
        <v>980.4</v>
      </c>
      <c r="O2541" s="116">
        <v>952.5</v>
      </c>
      <c r="P2541" s="116">
        <v>963</v>
      </c>
      <c r="Q2541" s="116">
        <v>973.55</v>
      </c>
      <c r="R2541">
        <v>2585170</v>
      </c>
    </row>
    <row r="2542" spans="1:18" x14ac:dyDescent="0.25">
      <c r="A2542" s="170">
        <v>45744</v>
      </c>
      <c r="B2542" s="116">
        <v>1014.9</v>
      </c>
      <c r="C2542" s="116">
        <v>1001.75</v>
      </c>
      <c r="D2542" s="116">
        <v>975</v>
      </c>
      <c r="E2542" s="116">
        <v>975</v>
      </c>
      <c r="F2542" s="116">
        <v>1001.75</v>
      </c>
      <c r="G2542">
        <v>51077</v>
      </c>
      <c r="H2542" s="116"/>
      <c r="I2542" s="116"/>
      <c r="L2542" s="170">
        <v>45744</v>
      </c>
      <c r="M2542" s="116">
        <v>1001.9</v>
      </c>
      <c r="N2542" s="116">
        <v>1015</v>
      </c>
      <c r="O2542" s="116">
        <v>975</v>
      </c>
      <c r="P2542" s="116">
        <v>975.5</v>
      </c>
      <c r="Q2542" s="116">
        <v>1001.9</v>
      </c>
      <c r="R2542">
        <v>2313101</v>
      </c>
    </row>
    <row r="2543" spans="1:18" x14ac:dyDescent="0.25">
      <c r="A2543" s="170">
        <v>45748</v>
      </c>
      <c r="B2543" s="116">
        <v>1014.45</v>
      </c>
      <c r="C2543" s="116">
        <v>991.9</v>
      </c>
      <c r="D2543" s="116">
        <v>989.1</v>
      </c>
      <c r="E2543" s="116">
        <v>1000.25</v>
      </c>
      <c r="F2543" s="116">
        <v>991.9</v>
      </c>
      <c r="G2543">
        <v>17363</v>
      </c>
      <c r="H2543" s="116"/>
      <c r="I2543" s="116"/>
      <c r="L2543" s="170">
        <v>45748</v>
      </c>
      <c r="M2543" s="116">
        <v>992.25</v>
      </c>
      <c r="N2543" s="116">
        <v>1014.55</v>
      </c>
      <c r="O2543" s="116">
        <v>989.25</v>
      </c>
      <c r="P2543" s="116">
        <v>1003</v>
      </c>
      <c r="Q2543" s="116">
        <v>992.25</v>
      </c>
      <c r="R2543">
        <v>1045548</v>
      </c>
    </row>
    <row r="2544" spans="1:18" x14ac:dyDescent="0.25">
      <c r="A2544" s="170">
        <v>45749</v>
      </c>
      <c r="B2544" s="116">
        <v>1073.55</v>
      </c>
      <c r="C2544" s="116">
        <v>1062.55</v>
      </c>
      <c r="D2544" s="116">
        <v>1010.05</v>
      </c>
      <c r="E2544" s="116">
        <v>1010.05</v>
      </c>
      <c r="F2544" s="116">
        <v>1062.55</v>
      </c>
      <c r="G2544">
        <v>318663</v>
      </c>
      <c r="H2544" s="116"/>
      <c r="I2544" s="116"/>
      <c r="L2544" s="170">
        <v>45749</v>
      </c>
      <c r="M2544" s="116">
        <v>1062.7</v>
      </c>
      <c r="N2544" s="116">
        <v>1073.1500000000001</v>
      </c>
      <c r="O2544" s="116">
        <v>1015</v>
      </c>
      <c r="P2544" s="116">
        <v>1018</v>
      </c>
      <c r="Q2544" s="116">
        <v>1062.7</v>
      </c>
      <c r="R2544">
        <v>8717812</v>
      </c>
    </row>
    <row r="2545" spans="1:18" x14ac:dyDescent="0.25">
      <c r="A2545" s="170">
        <v>45750</v>
      </c>
      <c r="B2545" s="116">
        <v>1075.7</v>
      </c>
      <c r="C2545" s="116">
        <v>1071.5</v>
      </c>
      <c r="D2545" s="116">
        <v>1048.1500000000001</v>
      </c>
      <c r="E2545" s="116">
        <v>1050</v>
      </c>
      <c r="F2545" s="116">
        <v>1071.5</v>
      </c>
      <c r="G2545">
        <v>54903</v>
      </c>
      <c r="H2545" s="116"/>
      <c r="I2545" s="116"/>
      <c r="L2545" s="170">
        <v>45750</v>
      </c>
      <c r="M2545" s="116">
        <v>1071</v>
      </c>
      <c r="N2545" s="116">
        <v>1075.25</v>
      </c>
      <c r="O2545" s="116">
        <v>1048.0999999999999</v>
      </c>
      <c r="P2545" s="116">
        <v>1049.9000000000001</v>
      </c>
      <c r="Q2545" s="116">
        <v>1071</v>
      </c>
      <c r="R2545">
        <v>1595000</v>
      </c>
    </row>
    <row r="2546" spans="1:18" x14ac:dyDescent="0.25">
      <c r="A2546" s="170">
        <v>45751</v>
      </c>
      <c r="B2546" s="116">
        <v>1096.0999999999999</v>
      </c>
      <c r="C2546" s="116">
        <v>1087.8</v>
      </c>
      <c r="D2546" s="116">
        <v>1061.6500000000001</v>
      </c>
      <c r="E2546" s="116">
        <v>1069.8499999999999</v>
      </c>
      <c r="F2546" s="116">
        <v>1087.8</v>
      </c>
      <c r="G2546">
        <v>186470</v>
      </c>
      <c r="H2546" s="116"/>
      <c r="I2546" s="116"/>
      <c r="L2546" s="170">
        <v>45751</v>
      </c>
      <c r="M2546" s="116">
        <v>1087.8499999999999</v>
      </c>
      <c r="N2546" s="116">
        <v>1095.55</v>
      </c>
      <c r="O2546" s="116">
        <v>1062.9000000000001</v>
      </c>
      <c r="P2546" s="116">
        <v>1065.45</v>
      </c>
      <c r="Q2546" s="116">
        <v>1087.8499999999999</v>
      </c>
      <c r="R2546">
        <v>4089261</v>
      </c>
    </row>
    <row r="2547" spans="1:18" x14ac:dyDescent="0.25">
      <c r="A2547" s="170">
        <v>45754</v>
      </c>
      <c r="B2547" s="116">
        <v>1076.5</v>
      </c>
      <c r="C2547" s="116">
        <v>1047.8499999999999</v>
      </c>
      <c r="D2547" s="116">
        <v>1034.7</v>
      </c>
      <c r="E2547" s="116">
        <v>1049.95</v>
      </c>
      <c r="F2547" s="116">
        <v>1047.8499999999999</v>
      </c>
      <c r="G2547">
        <v>103567</v>
      </c>
      <c r="H2547" s="116"/>
      <c r="I2547" s="116"/>
      <c r="L2547" s="170">
        <v>45754</v>
      </c>
      <c r="M2547" s="116">
        <v>1047.3499999999999</v>
      </c>
      <c r="N2547" s="116">
        <v>1077.7</v>
      </c>
      <c r="O2547" s="116">
        <v>1019</v>
      </c>
      <c r="P2547" s="116">
        <v>1019</v>
      </c>
      <c r="Q2547" s="116">
        <v>1047.3499999999999</v>
      </c>
      <c r="R2547">
        <v>3200820</v>
      </c>
    </row>
    <row r="2548" spans="1:18" x14ac:dyDescent="0.25">
      <c r="A2548" s="170">
        <v>45755</v>
      </c>
      <c r="B2548" s="116">
        <v>1073.5</v>
      </c>
      <c r="C2548" s="116">
        <v>1069.25</v>
      </c>
      <c r="D2548" s="116">
        <v>1044.55</v>
      </c>
      <c r="E2548" s="116">
        <v>1055.05</v>
      </c>
      <c r="F2548" s="116">
        <v>1069.25</v>
      </c>
      <c r="G2548">
        <v>43439</v>
      </c>
      <c r="H2548" s="116"/>
      <c r="I2548" s="116"/>
      <c r="L2548" s="170">
        <v>45755</v>
      </c>
      <c r="M2548" s="116">
        <v>1069.75</v>
      </c>
      <c r="N2548" s="116">
        <v>1073.5</v>
      </c>
      <c r="O2548" s="116">
        <v>1044.75</v>
      </c>
      <c r="P2548" s="116">
        <v>1056</v>
      </c>
      <c r="Q2548" s="116">
        <v>1069.75</v>
      </c>
      <c r="R2548">
        <v>1444712</v>
      </c>
    </row>
    <row r="2549" spans="1:18" x14ac:dyDescent="0.25">
      <c r="A2549" s="170">
        <v>45756</v>
      </c>
      <c r="B2549" s="116">
        <v>1093</v>
      </c>
      <c r="C2549" s="116">
        <v>1090.3</v>
      </c>
      <c r="D2549" s="116">
        <v>1061.55</v>
      </c>
      <c r="E2549" s="116">
        <v>1069.0999999999999</v>
      </c>
      <c r="F2549" s="116">
        <v>1090.3</v>
      </c>
      <c r="G2549">
        <v>36045</v>
      </c>
      <c r="H2549" s="116"/>
      <c r="I2549" s="116"/>
      <c r="L2549" s="170">
        <v>45756</v>
      </c>
      <c r="M2549" s="116">
        <v>1089.75</v>
      </c>
      <c r="N2549" s="116">
        <v>1092.95</v>
      </c>
      <c r="O2549" s="116">
        <v>1060.05</v>
      </c>
      <c r="P2549" s="116">
        <v>1062</v>
      </c>
      <c r="Q2549" s="116">
        <v>1089.75</v>
      </c>
      <c r="R2549">
        <v>2274161</v>
      </c>
    </row>
    <row r="2550" spans="1:18" x14ac:dyDescent="0.25">
      <c r="A2550" s="170">
        <v>45758</v>
      </c>
      <c r="B2550" s="116">
        <v>1125</v>
      </c>
      <c r="C2550" s="116">
        <v>1097.5999999999999</v>
      </c>
      <c r="D2550" s="116">
        <v>1094</v>
      </c>
      <c r="E2550" s="116">
        <v>1105.4000000000001</v>
      </c>
      <c r="F2550" s="116">
        <v>1097.5999999999999</v>
      </c>
      <c r="G2550">
        <v>68860</v>
      </c>
      <c r="H2550" s="116"/>
      <c r="I2550" s="116"/>
      <c r="L2550" s="170">
        <v>45758</v>
      </c>
      <c r="M2550" s="116">
        <v>1097.9000000000001</v>
      </c>
      <c r="N2550" s="116">
        <v>1126</v>
      </c>
      <c r="O2550" s="116">
        <v>1093.75</v>
      </c>
      <c r="P2550" s="116">
        <v>1125</v>
      </c>
      <c r="Q2550" s="116">
        <v>1097.9000000000001</v>
      </c>
      <c r="R2550">
        <v>1888677</v>
      </c>
    </row>
    <row r="2551" spans="1:18" x14ac:dyDescent="0.25">
      <c r="A2551" s="170">
        <v>45762</v>
      </c>
      <c r="B2551" s="116">
        <v>1119.55</v>
      </c>
      <c r="C2551" s="116">
        <v>1103.55</v>
      </c>
      <c r="D2551" s="116">
        <v>1094.0999999999999</v>
      </c>
      <c r="E2551" s="116">
        <v>1119.55</v>
      </c>
      <c r="F2551" s="116">
        <v>1103.55</v>
      </c>
      <c r="G2551">
        <v>24603</v>
      </c>
      <c r="H2551" s="116"/>
      <c r="I2551" s="116"/>
      <c r="L2551" s="170">
        <v>45762</v>
      </c>
      <c r="M2551" s="116">
        <v>1103.4000000000001</v>
      </c>
      <c r="N2551" s="116">
        <v>1111</v>
      </c>
      <c r="O2551" s="116">
        <v>1094.0999999999999</v>
      </c>
      <c r="P2551" s="116">
        <v>1108.3</v>
      </c>
      <c r="Q2551" s="116">
        <v>1103.4000000000001</v>
      </c>
      <c r="R2551">
        <v>1023355</v>
      </c>
    </row>
    <row r="2552" spans="1:18" x14ac:dyDescent="0.25">
      <c r="A2552" s="170">
        <v>45763</v>
      </c>
      <c r="B2552" s="116">
        <v>1108.5</v>
      </c>
      <c r="C2552" s="116">
        <v>1105.55</v>
      </c>
      <c r="D2552" s="116">
        <v>1085.9000000000001</v>
      </c>
      <c r="E2552" s="116">
        <v>1104.95</v>
      </c>
      <c r="F2552" s="116">
        <v>1105.55</v>
      </c>
      <c r="G2552">
        <v>31001</v>
      </c>
      <c r="H2552" s="116"/>
      <c r="I2552" s="116"/>
      <c r="L2552" s="170">
        <v>45763</v>
      </c>
      <c r="M2552" s="116">
        <v>1105.9000000000001</v>
      </c>
      <c r="N2552" s="116">
        <v>1108.9000000000001</v>
      </c>
      <c r="O2552" s="116">
        <v>1086.8</v>
      </c>
      <c r="P2552" s="116">
        <v>1094.0999999999999</v>
      </c>
      <c r="Q2552" s="116">
        <v>1105.9000000000001</v>
      </c>
      <c r="R2552">
        <v>679360</v>
      </c>
    </row>
    <row r="2553" spans="1:18" x14ac:dyDescent="0.25">
      <c r="A2553" s="170">
        <v>45764</v>
      </c>
      <c r="B2553" s="116">
        <v>1133.5</v>
      </c>
      <c r="C2553" s="116">
        <v>1120.05</v>
      </c>
      <c r="D2553" s="116">
        <v>1095.1500000000001</v>
      </c>
      <c r="E2553" s="116">
        <v>1106.55</v>
      </c>
      <c r="F2553" s="116">
        <v>1120.05</v>
      </c>
      <c r="G2553">
        <v>44685</v>
      </c>
      <c r="H2553" s="116"/>
      <c r="I2553" s="116"/>
      <c r="L2553" s="170">
        <v>45764</v>
      </c>
      <c r="M2553" s="116">
        <v>1120.2</v>
      </c>
      <c r="N2553" s="116">
        <v>1133.8</v>
      </c>
      <c r="O2553" s="116">
        <v>1094.5</v>
      </c>
      <c r="P2553" s="116">
        <v>1104</v>
      </c>
      <c r="Q2553" s="116">
        <v>1120.2</v>
      </c>
      <c r="R2553">
        <v>1541674</v>
      </c>
    </row>
    <row r="2554" spans="1:18" x14ac:dyDescent="0.25">
      <c r="A2554" s="170">
        <v>45768</v>
      </c>
      <c r="B2554" s="116">
        <v>1129</v>
      </c>
      <c r="C2554" s="116">
        <v>1121.05</v>
      </c>
      <c r="D2554" s="116">
        <v>1102.6500000000001</v>
      </c>
      <c r="E2554" s="116">
        <v>1119.5</v>
      </c>
      <c r="F2554" s="116">
        <v>1121.05</v>
      </c>
      <c r="G2554">
        <v>20898</v>
      </c>
      <c r="H2554" s="116"/>
      <c r="I2554" s="116"/>
      <c r="L2554" s="170">
        <v>45768</v>
      </c>
      <c r="M2554" s="116">
        <v>1121</v>
      </c>
      <c r="N2554" s="116">
        <v>1129.5</v>
      </c>
      <c r="O2554" s="116">
        <v>1102.4000000000001</v>
      </c>
      <c r="P2554" s="116">
        <v>1120.2</v>
      </c>
      <c r="Q2554" s="116">
        <v>1121</v>
      </c>
      <c r="R2554">
        <v>692767</v>
      </c>
    </row>
    <row r="2555" spans="1:18" x14ac:dyDescent="0.25">
      <c r="A2555" s="170">
        <v>45769</v>
      </c>
      <c r="B2555" s="116">
        <v>1148.7</v>
      </c>
      <c r="C2555" s="116">
        <v>1136.0999999999999</v>
      </c>
      <c r="D2555" s="116">
        <v>1117.1500000000001</v>
      </c>
      <c r="E2555" s="116">
        <v>1126.5999999999999</v>
      </c>
      <c r="F2555" s="116">
        <v>1136.0999999999999</v>
      </c>
      <c r="G2555">
        <v>71363</v>
      </c>
      <c r="H2555" s="116"/>
      <c r="I2555" s="116"/>
      <c r="L2555" s="170">
        <v>45769</v>
      </c>
      <c r="M2555" s="116">
        <v>1136.7</v>
      </c>
      <c r="N2555" s="116">
        <v>1149</v>
      </c>
      <c r="O2555" s="116">
        <v>1118.2</v>
      </c>
      <c r="P2555" s="116">
        <v>1121.7</v>
      </c>
      <c r="Q2555" s="116">
        <v>1136.7</v>
      </c>
      <c r="R2555">
        <v>1231830</v>
      </c>
    </row>
    <row r="2556" spans="1:18" x14ac:dyDescent="0.25">
      <c r="A2556" s="170">
        <v>45770</v>
      </c>
      <c r="B2556" s="116">
        <v>1156</v>
      </c>
      <c r="C2556" s="116">
        <v>1150.9000000000001</v>
      </c>
      <c r="D2556" s="116">
        <v>1132.3499999999999</v>
      </c>
      <c r="E2556" s="116">
        <v>1142.25</v>
      </c>
      <c r="F2556" s="116">
        <v>1150.9000000000001</v>
      </c>
      <c r="G2556">
        <v>49372</v>
      </c>
      <c r="H2556" s="116"/>
      <c r="I2556" s="116"/>
      <c r="L2556" s="170">
        <v>45770</v>
      </c>
      <c r="M2556" s="116">
        <v>1150.0999999999999</v>
      </c>
      <c r="N2556" s="116">
        <v>1156.5999999999999</v>
      </c>
      <c r="O2556" s="116">
        <v>1132.5999999999999</v>
      </c>
      <c r="P2556" s="116">
        <v>1143</v>
      </c>
      <c r="Q2556" s="116">
        <v>1150.0999999999999</v>
      </c>
      <c r="R2556">
        <v>1760325</v>
      </c>
    </row>
    <row r="2557" spans="1:18" x14ac:dyDescent="0.25">
      <c r="A2557" s="170">
        <v>45771</v>
      </c>
      <c r="B2557" s="116">
        <v>1168.7</v>
      </c>
      <c r="C2557" s="116">
        <v>1160.45</v>
      </c>
      <c r="D2557" s="116">
        <v>1098.5999999999999</v>
      </c>
      <c r="E2557" s="116">
        <v>1160</v>
      </c>
      <c r="F2557" s="116">
        <v>1160.45</v>
      </c>
      <c r="G2557">
        <v>264174</v>
      </c>
      <c r="H2557" s="116"/>
      <c r="I2557" s="116"/>
      <c r="L2557" s="170">
        <v>45771</v>
      </c>
      <c r="M2557" s="116">
        <v>1161.3</v>
      </c>
      <c r="N2557" s="116">
        <v>1168.9000000000001</v>
      </c>
      <c r="O2557" s="116">
        <v>1098.3</v>
      </c>
      <c r="P2557" s="116">
        <v>1151</v>
      </c>
      <c r="Q2557" s="116">
        <v>1161.3</v>
      </c>
      <c r="R2557">
        <v>5766752</v>
      </c>
    </row>
    <row r="2558" spans="1:18" x14ac:dyDescent="0.25">
      <c r="A2558" s="170">
        <v>45772</v>
      </c>
      <c r="B2558" s="116">
        <v>1164.9000000000001</v>
      </c>
      <c r="C2558" s="116">
        <v>1155.1500000000001</v>
      </c>
      <c r="D2558" s="116">
        <v>1131.4000000000001</v>
      </c>
      <c r="E2558" s="116">
        <v>1156.75</v>
      </c>
      <c r="F2558" s="116">
        <v>1155.1500000000001</v>
      </c>
      <c r="G2558">
        <v>46524</v>
      </c>
      <c r="H2558" s="116"/>
      <c r="I2558" s="116"/>
      <c r="L2558" s="170">
        <v>45772</v>
      </c>
      <c r="M2558" s="116">
        <v>1155.7</v>
      </c>
      <c r="N2558" s="116">
        <v>1165</v>
      </c>
      <c r="O2558" s="116">
        <v>1130.7</v>
      </c>
      <c r="P2558" s="116">
        <v>1160.2</v>
      </c>
      <c r="Q2558" s="116">
        <v>1155.7</v>
      </c>
      <c r="R2558">
        <v>1451946</v>
      </c>
    </row>
    <row r="2559" spans="1:18" x14ac:dyDescent="0.25">
      <c r="A2559" s="170">
        <v>45775</v>
      </c>
      <c r="B2559" s="116">
        <v>1161.95</v>
      </c>
      <c r="C2559" s="116">
        <v>1156.6500000000001</v>
      </c>
      <c r="D2559" s="116">
        <v>1134</v>
      </c>
      <c r="E2559" s="116">
        <v>1134</v>
      </c>
      <c r="F2559" s="116">
        <v>1156.6500000000001</v>
      </c>
      <c r="G2559">
        <v>23430</v>
      </c>
      <c r="H2559" s="116"/>
      <c r="I2559" s="116"/>
      <c r="L2559" s="170">
        <v>45775</v>
      </c>
      <c r="M2559" s="116">
        <v>1155.2</v>
      </c>
      <c r="N2559" s="116">
        <v>1162.5</v>
      </c>
      <c r="O2559" s="116">
        <v>1145</v>
      </c>
      <c r="P2559" s="116">
        <v>1146.0999999999999</v>
      </c>
      <c r="Q2559" s="116">
        <v>1155.2</v>
      </c>
      <c r="R2559">
        <v>663435</v>
      </c>
    </row>
    <row r="2560" spans="1:18" x14ac:dyDescent="0.25">
      <c r="A2560" s="170">
        <v>45776</v>
      </c>
      <c r="B2560" s="116">
        <v>1173.95</v>
      </c>
      <c r="C2560" s="116">
        <v>1169.1500000000001</v>
      </c>
      <c r="D2560" s="116">
        <v>1136.5</v>
      </c>
      <c r="E2560" s="116">
        <v>1136.5</v>
      </c>
      <c r="F2560" s="116">
        <v>1169.1500000000001</v>
      </c>
      <c r="G2560">
        <v>121737</v>
      </c>
      <c r="H2560" s="116"/>
      <c r="I2560" s="116"/>
      <c r="L2560" s="170">
        <v>45776</v>
      </c>
      <c r="M2560" s="116">
        <v>1168.9000000000001</v>
      </c>
      <c r="N2560" s="116">
        <v>1174.0999999999999</v>
      </c>
      <c r="O2560" s="116">
        <v>1149.9000000000001</v>
      </c>
      <c r="P2560" s="116">
        <v>1155.2</v>
      </c>
      <c r="Q2560" s="116">
        <v>1168.9000000000001</v>
      </c>
      <c r="R2560">
        <v>1439143</v>
      </c>
    </row>
    <row r="2561" spans="1:18" x14ac:dyDescent="0.25">
      <c r="A2561" s="170">
        <v>45777</v>
      </c>
      <c r="B2561" s="116">
        <v>1180</v>
      </c>
      <c r="C2561" s="116">
        <v>1164.05</v>
      </c>
      <c r="D2561" s="116">
        <v>1155</v>
      </c>
      <c r="E2561" s="116">
        <v>1170.25</v>
      </c>
      <c r="F2561" s="116">
        <v>1164.05</v>
      </c>
      <c r="G2561">
        <v>57742</v>
      </c>
      <c r="H2561" s="116"/>
      <c r="I2561" s="116"/>
      <c r="L2561" s="170">
        <v>45777</v>
      </c>
      <c r="M2561" s="116">
        <v>1165.8</v>
      </c>
      <c r="N2561" s="116">
        <v>1180.5</v>
      </c>
      <c r="O2561" s="116">
        <v>1152.4000000000001</v>
      </c>
      <c r="P2561" s="116">
        <v>1174.7</v>
      </c>
      <c r="Q2561" s="116">
        <v>1165.8</v>
      </c>
      <c r="R2561">
        <v>1477319</v>
      </c>
    </row>
    <row r="2562" spans="1:18" x14ac:dyDescent="0.25">
      <c r="A2562" s="170">
        <v>45779</v>
      </c>
      <c r="B2562" s="116">
        <v>1176.2</v>
      </c>
      <c r="C2562" s="116">
        <v>1158.55</v>
      </c>
      <c r="D2562" s="116">
        <v>1151.25</v>
      </c>
      <c r="E2562" s="116">
        <v>1152.5</v>
      </c>
      <c r="F2562" s="116">
        <v>1158.55</v>
      </c>
      <c r="G2562">
        <v>18702</v>
      </c>
      <c r="H2562" s="116"/>
      <c r="I2562" s="116"/>
      <c r="L2562" s="170">
        <v>45779</v>
      </c>
      <c r="M2562" s="116">
        <v>1156.8</v>
      </c>
      <c r="N2562" s="116">
        <v>1176.2</v>
      </c>
      <c r="O2562" s="116">
        <v>1151</v>
      </c>
      <c r="P2562" s="116">
        <v>1157</v>
      </c>
      <c r="Q2562" s="116">
        <v>1156.8</v>
      </c>
      <c r="R2562">
        <v>1042342</v>
      </c>
    </row>
    <row r="2563" spans="1:18" x14ac:dyDescent="0.25">
      <c r="A2563" s="170">
        <v>45782</v>
      </c>
      <c r="B2563" s="116">
        <v>1173.7</v>
      </c>
      <c r="C2563" s="116">
        <v>1161.5999999999999</v>
      </c>
      <c r="D2563" s="116">
        <v>1150</v>
      </c>
      <c r="E2563" s="116">
        <v>1150</v>
      </c>
      <c r="F2563" s="116">
        <v>1161.5999999999999</v>
      </c>
      <c r="G2563">
        <v>97654</v>
      </c>
      <c r="H2563" s="116"/>
      <c r="I2563" s="116"/>
      <c r="L2563" s="170">
        <v>45782</v>
      </c>
      <c r="M2563" s="116">
        <v>1161.5</v>
      </c>
      <c r="N2563" s="116">
        <v>1173.5999999999999</v>
      </c>
      <c r="O2563" s="116">
        <v>1153</v>
      </c>
      <c r="P2563" s="116">
        <v>1155.5</v>
      </c>
      <c r="Q2563" s="116">
        <v>1161.5</v>
      </c>
      <c r="R2563">
        <v>1359727</v>
      </c>
    </row>
    <row r="2564" spans="1:18" x14ac:dyDescent="0.25">
      <c r="A2564" s="170">
        <v>45783</v>
      </c>
      <c r="B2564" s="116">
        <v>1173.3499999999999</v>
      </c>
      <c r="C2564" s="116">
        <v>1154.8</v>
      </c>
      <c r="D2564" s="116">
        <v>1152.4000000000001</v>
      </c>
      <c r="E2564" s="116">
        <v>1156.1500000000001</v>
      </c>
      <c r="F2564" s="116">
        <v>1154.8</v>
      </c>
      <c r="G2564">
        <v>44371</v>
      </c>
      <c r="H2564" s="116"/>
      <c r="I2564" s="116"/>
      <c r="L2564" s="170">
        <v>45783</v>
      </c>
      <c r="M2564" s="116">
        <v>1155.3</v>
      </c>
      <c r="N2564" s="116">
        <v>1173.5</v>
      </c>
      <c r="O2564" s="116">
        <v>1152.5999999999999</v>
      </c>
      <c r="P2564" s="116">
        <v>1161.5</v>
      </c>
      <c r="Q2564" s="116">
        <v>1155.3</v>
      </c>
      <c r="R2564">
        <v>1382140</v>
      </c>
    </row>
    <row r="2565" spans="1:18" x14ac:dyDescent="0.25">
      <c r="A2565" s="170">
        <v>45784</v>
      </c>
      <c r="B2565" s="116">
        <v>1161.0999999999999</v>
      </c>
      <c r="C2565" s="116">
        <v>1146.0999999999999</v>
      </c>
      <c r="D2565" s="116">
        <v>1115.7</v>
      </c>
      <c r="E2565" s="116">
        <v>1115.7</v>
      </c>
      <c r="F2565" s="116">
        <v>1146.0999999999999</v>
      </c>
      <c r="G2565">
        <v>19808</v>
      </c>
      <c r="H2565" s="116"/>
      <c r="I2565" s="116"/>
      <c r="L2565" s="170">
        <v>45784</v>
      </c>
      <c r="M2565" s="116">
        <v>1146</v>
      </c>
      <c r="N2565" s="116">
        <v>1162.3</v>
      </c>
      <c r="O2565" s="116">
        <v>1136.4000000000001</v>
      </c>
      <c r="P2565" s="116">
        <v>1140</v>
      </c>
      <c r="Q2565" s="116">
        <v>1146</v>
      </c>
      <c r="R2565">
        <v>1792683</v>
      </c>
    </row>
    <row r="2566" spans="1:18" x14ac:dyDescent="0.25">
      <c r="A2566" s="170">
        <v>45785</v>
      </c>
      <c r="B2566" s="116">
        <v>1145</v>
      </c>
      <c r="C2566" s="116">
        <v>1115.0999999999999</v>
      </c>
      <c r="D2566" s="116">
        <v>1107.05</v>
      </c>
      <c r="E2566" s="116">
        <v>1145</v>
      </c>
      <c r="F2566" s="116">
        <v>1115.0999999999999</v>
      </c>
      <c r="G2566">
        <v>48948</v>
      </c>
      <c r="H2566" s="116"/>
      <c r="I2566" s="116"/>
      <c r="L2566" s="170">
        <v>45785</v>
      </c>
      <c r="M2566" s="116">
        <v>1116</v>
      </c>
      <c r="N2566" s="116">
        <v>1140</v>
      </c>
      <c r="O2566" s="116">
        <v>1107.5</v>
      </c>
      <c r="P2566" s="116">
        <v>1136</v>
      </c>
      <c r="Q2566" s="116">
        <v>1116</v>
      </c>
      <c r="R2566">
        <v>2692162</v>
      </c>
    </row>
    <row r="2567" spans="1:18" x14ac:dyDescent="0.25">
      <c r="A2567" s="170">
        <v>45786</v>
      </c>
      <c r="B2567" s="116">
        <v>1118</v>
      </c>
      <c r="C2567" s="116">
        <v>1113.8</v>
      </c>
      <c r="D2567" s="116">
        <v>1082.4000000000001</v>
      </c>
      <c r="E2567" s="116">
        <v>1082.4000000000001</v>
      </c>
      <c r="F2567" s="116">
        <v>1113.8</v>
      </c>
      <c r="G2567">
        <v>17482</v>
      </c>
      <c r="H2567" s="116"/>
      <c r="I2567" s="116"/>
      <c r="L2567" s="170">
        <v>45786</v>
      </c>
      <c r="M2567" s="116">
        <v>1113.7</v>
      </c>
      <c r="N2567" s="116">
        <v>1118.5999999999999</v>
      </c>
      <c r="O2567" s="116">
        <v>1086.4000000000001</v>
      </c>
      <c r="P2567" s="116">
        <v>1098</v>
      </c>
      <c r="Q2567" s="116">
        <v>1113.7</v>
      </c>
      <c r="R2567">
        <v>815694</v>
      </c>
    </row>
    <row r="2568" spans="1:18" x14ac:dyDescent="0.25">
      <c r="A2568" s="170">
        <v>45789</v>
      </c>
      <c r="B2568" s="116">
        <v>1154.8499999999999</v>
      </c>
      <c r="C2568" s="116">
        <v>1144.9000000000001</v>
      </c>
      <c r="D2568" s="116">
        <v>1122.05</v>
      </c>
      <c r="E2568" s="116">
        <v>1123.8</v>
      </c>
      <c r="F2568" s="116">
        <v>1144.9000000000001</v>
      </c>
      <c r="G2568">
        <v>41991</v>
      </c>
      <c r="H2568" s="116"/>
      <c r="I2568" s="116"/>
      <c r="L2568" s="170">
        <v>45789</v>
      </c>
      <c r="M2568" s="116">
        <v>1145.5999999999999</v>
      </c>
      <c r="N2568" s="116">
        <v>1155</v>
      </c>
      <c r="O2568" s="116">
        <v>1123</v>
      </c>
      <c r="P2568" s="116">
        <v>1123</v>
      </c>
      <c r="Q2568" s="116">
        <v>1145.5999999999999</v>
      </c>
      <c r="R2568">
        <v>748637</v>
      </c>
    </row>
    <row r="2569" spans="1:18" x14ac:dyDescent="0.25">
      <c r="A2569" s="170">
        <v>45790</v>
      </c>
      <c r="B2569" s="116">
        <v>1149.05</v>
      </c>
      <c r="C2569" s="116">
        <v>1118.45</v>
      </c>
      <c r="D2569" s="116">
        <v>1116.1500000000001</v>
      </c>
      <c r="E2569" s="116">
        <v>1148.5999999999999</v>
      </c>
      <c r="F2569" s="116">
        <v>1118.45</v>
      </c>
      <c r="G2569">
        <v>181998</v>
      </c>
      <c r="H2569" s="116"/>
      <c r="I2569" s="116"/>
      <c r="L2569" s="170">
        <v>45790</v>
      </c>
      <c r="M2569" s="116">
        <v>1118.5999999999999</v>
      </c>
      <c r="N2569" s="116">
        <v>1150.3</v>
      </c>
      <c r="O2569" s="116">
        <v>1116.2</v>
      </c>
      <c r="P2569" s="116">
        <v>1145.3</v>
      </c>
      <c r="Q2569" s="116">
        <v>1118.5999999999999</v>
      </c>
      <c r="R2569">
        <v>1096797</v>
      </c>
    </row>
    <row r="2570" spans="1:18" x14ac:dyDescent="0.25">
      <c r="A2570" s="170">
        <v>45791</v>
      </c>
      <c r="B2570" s="116">
        <v>1129.2</v>
      </c>
      <c r="C2570" s="116">
        <v>1120.05</v>
      </c>
      <c r="D2570" s="116">
        <v>1116</v>
      </c>
      <c r="E2570" s="116">
        <v>1118.7</v>
      </c>
      <c r="F2570" s="116">
        <v>1120.05</v>
      </c>
      <c r="G2570">
        <v>172308</v>
      </c>
      <c r="H2570" s="116"/>
      <c r="I2570" s="116"/>
      <c r="L2570" s="170">
        <v>45791</v>
      </c>
      <c r="M2570" s="116">
        <v>1120.4000000000001</v>
      </c>
      <c r="N2570" s="116">
        <v>1128.9000000000001</v>
      </c>
      <c r="O2570" s="116">
        <v>1115.8</v>
      </c>
      <c r="P2570" s="116">
        <v>1118.5999999999999</v>
      </c>
      <c r="Q2570" s="116">
        <v>1120.4000000000001</v>
      </c>
      <c r="R2570">
        <v>1386813</v>
      </c>
    </row>
    <row r="2571" spans="1:18" x14ac:dyDescent="0.25">
      <c r="A2571" s="170">
        <v>45792</v>
      </c>
      <c r="B2571" s="116">
        <v>1159</v>
      </c>
      <c r="C2571" s="116">
        <v>1146.6500000000001</v>
      </c>
      <c r="D2571" s="116">
        <v>1105.8</v>
      </c>
      <c r="E2571" s="116">
        <v>1120.05</v>
      </c>
      <c r="F2571" s="116">
        <v>1146.6500000000001</v>
      </c>
      <c r="G2571">
        <v>36012</v>
      </c>
      <c r="H2571" s="116"/>
      <c r="I2571" s="116"/>
      <c r="L2571" s="170">
        <v>45792</v>
      </c>
      <c r="M2571" s="116">
        <v>1147.2</v>
      </c>
      <c r="N2571" s="116">
        <v>1159.2</v>
      </c>
      <c r="O2571" s="116">
        <v>1105.5</v>
      </c>
      <c r="P2571" s="116">
        <v>1120.4000000000001</v>
      </c>
      <c r="Q2571" s="116">
        <v>1147.2</v>
      </c>
      <c r="R2571">
        <v>2064096</v>
      </c>
    </row>
    <row r="2572" spans="1:18" x14ac:dyDescent="0.25">
      <c r="A2572" s="170">
        <v>45793</v>
      </c>
      <c r="B2572" s="116">
        <v>1173.8499999999999</v>
      </c>
      <c r="C2572" s="116">
        <v>1162.6500000000001</v>
      </c>
      <c r="D2572" s="116">
        <v>1144.95</v>
      </c>
      <c r="E2572" s="116">
        <v>1147.4000000000001</v>
      </c>
      <c r="F2572" s="116">
        <v>1162.6500000000001</v>
      </c>
      <c r="G2572">
        <v>43538</v>
      </c>
      <c r="H2572" s="116"/>
      <c r="I2572" s="116"/>
      <c r="L2572" s="170">
        <v>45793</v>
      </c>
      <c r="M2572" s="116">
        <v>1168</v>
      </c>
      <c r="N2572" s="116">
        <v>1173.5</v>
      </c>
      <c r="O2572" s="116">
        <v>1144</v>
      </c>
      <c r="P2572" s="116">
        <v>1154.9000000000001</v>
      </c>
      <c r="Q2572" s="116">
        <v>1168</v>
      </c>
      <c r="R2572">
        <v>1336653</v>
      </c>
    </row>
    <row r="2573" spans="1:18" x14ac:dyDescent="0.25">
      <c r="A2573" s="170">
        <v>45796</v>
      </c>
      <c r="B2573" s="116">
        <v>1169</v>
      </c>
      <c r="C2573" s="116">
        <v>1149</v>
      </c>
      <c r="D2573" s="116">
        <v>1142.45</v>
      </c>
      <c r="E2573" s="116">
        <v>1163.1500000000001</v>
      </c>
      <c r="F2573" s="116">
        <v>1149</v>
      </c>
      <c r="G2573">
        <v>16454</v>
      </c>
      <c r="H2573" s="116"/>
      <c r="I2573" s="116"/>
      <c r="L2573" s="170">
        <v>45796</v>
      </c>
      <c r="M2573" s="116">
        <v>1149.3</v>
      </c>
      <c r="N2573" s="116">
        <v>1169.7</v>
      </c>
      <c r="O2573" s="116">
        <v>1143</v>
      </c>
      <c r="P2573" s="116">
        <v>1168</v>
      </c>
      <c r="Q2573" s="116">
        <v>1149.3</v>
      </c>
      <c r="R2573">
        <v>786128</v>
      </c>
    </row>
    <row r="2574" spans="1:18" x14ac:dyDescent="0.25">
      <c r="A2574" s="170">
        <v>45797</v>
      </c>
      <c r="B2574" s="116">
        <v>1155.75</v>
      </c>
      <c r="C2574" s="116">
        <v>1128.55</v>
      </c>
      <c r="D2574" s="116">
        <v>1126.75</v>
      </c>
      <c r="E2574" s="116">
        <v>1149</v>
      </c>
      <c r="F2574" s="116">
        <v>1128.55</v>
      </c>
      <c r="G2574">
        <v>11191</v>
      </c>
      <c r="H2574" s="116"/>
      <c r="I2574" s="116"/>
      <c r="L2574" s="170">
        <v>45797</v>
      </c>
      <c r="M2574" s="116">
        <v>1128.5</v>
      </c>
      <c r="N2574" s="116">
        <v>1155.2</v>
      </c>
      <c r="O2574" s="116">
        <v>1126.8</v>
      </c>
      <c r="P2574" s="116">
        <v>1149</v>
      </c>
      <c r="Q2574" s="116">
        <v>1128.5</v>
      </c>
      <c r="R2574">
        <v>825451</v>
      </c>
    </row>
    <row r="2575" spans="1:18" x14ac:dyDescent="0.25">
      <c r="A2575" s="170">
        <v>45798</v>
      </c>
      <c r="B2575" s="116">
        <v>1154</v>
      </c>
      <c r="C2575" s="116">
        <v>1138.05</v>
      </c>
      <c r="D2575" s="116">
        <v>1123.55</v>
      </c>
      <c r="E2575" s="116">
        <v>1128.2</v>
      </c>
      <c r="F2575" s="116">
        <v>1138.05</v>
      </c>
      <c r="G2575">
        <v>107959</v>
      </c>
      <c r="H2575" s="116"/>
      <c r="I2575" s="116"/>
      <c r="L2575" s="170">
        <v>45798</v>
      </c>
      <c r="M2575" s="116">
        <v>1138.8</v>
      </c>
      <c r="N2575" s="116">
        <v>1153.5</v>
      </c>
      <c r="O2575" s="116">
        <v>1123.8</v>
      </c>
      <c r="P2575" s="116">
        <v>1128.5</v>
      </c>
      <c r="Q2575" s="116">
        <v>1138.8</v>
      </c>
      <c r="R2575">
        <v>619421</v>
      </c>
    </row>
    <row r="2576" spans="1:18" x14ac:dyDescent="0.25">
      <c r="A2576" s="170">
        <v>45799</v>
      </c>
      <c r="B2576" s="116">
        <v>1137.2</v>
      </c>
      <c r="C2576" s="116">
        <v>1126.6500000000001</v>
      </c>
      <c r="D2576" s="116">
        <v>1116.9000000000001</v>
      </c>
      <c r="E2576" s="116">
        <v>1127.5</v>
      </c>
      <c r="F2576" s="116">
        <v>1126.6500000000001</v>
      </c>
      <c r="G2576">
        <v>42197</v>
      </c>
      <c r="H2576" s="116"/>
      <c r="I2576" s="116"/>
      <c r="L2576" s="170">
        <v>45799</v>
      </c>
      <c r="M2576" s="116">
        <v>1126.7</v>
      </c>
      <c r="N2576" s="116">
        <v>1138.8</v>
      </c>
      <c r="O2576" s="116">
        <v>1115.5</v>
      </c>
      <c r="P2576" s="116">
        <v>1138.8</v>
      </c>
      <c r="Q2576" s="116">
        <v>1126.7</v>
      </c>
      <c r="R2576">
        <v>1414277</v>
      </c>
    </row>
    <row r="2577" spans="1:18" x14ac:dyDescent="0.25">
      <c r="A2577" s="170">
        <v>45800</v>
      </c>
      <c r="B2577" s="116">
        <v>1151</v>
      </c>
      <c r="C2577" s="116">
        <v>1140.7</v>
      </c>
      <c r="D2577" s="116">
        <v>1124.2</v>
      </c>
      <c r="E2577" s="116">
        <v>1126.6500000000001</v>
      </c>
      <c r="F2577" s="116">
        <v>1140.7</v>
      </c>
      <c r="G2577">
        <v>11480</v>
      </c>
      <c r="H2577" s="116"/>
      <c r="I2577" s="116"/>
      <c r="L2577" s="170">
        <v>45800</v>
      </c>
      <c r="M2577" s="116">
        <v>1140.8</v>
      </c>
      <c r="N2577" s="116">
        <v>1152</v>
      </c>
      <c r="O2577" s="116">
        <v>1124</v>
      </c>
      <c r="P2577" s="116">
        <v>1126.5</v>
      </c>
      <c r="Q2577" s="116">
        <v>1140.8</v>
      </c>
      <c r="R2577">
        <v>897235</v>
      </c>
    </row>
    <row r="2578" spans="1:18" x14ac:dyDescent="0.25">
      <c r="A2578" s="170">
        <v>45803</v>
      </c>
      <c r="B2578" s="116">
        <v>1153.75</v>
      </c>
      <c r="C2578" s="116">
        <v>1145.9000000000001</v>
      </c>
      <c r="D2578" s="116">
        <v>1139</v>
      </c>
      <c r="E2578" s="116">
        <v>1140.7</v>
      </c>
      <c r="F2578" s="116">
        <v>1145.9000000000001</v>
      </c>
      <c r="G2578">
        <v>15969</v>
      </c>
      <c r="H2578" s="116"/>
      <c r="I2578" s="116"/>
      <c r="L2578" s="170">
        <v>45803</v>
      </c>
      <c r="M2578" s="116">
        <v>1146.3</v>
      </c>
      <c r="N2578" s="116">
        <v>1153.4000000000001</v>
      </c>
      <c r="O2578" s="116">
        <v>1137</v>
      </c>
      <c r="P2578" s="116">
        <v>1137</v>
      </c>
      <c r="Q2578" s="116">
        <v>1146.3</v>
      </c>
      <c r="R2578">
        <v>616370</v>
      </c>
    </row>
    <row r="2579" spans="1:18" x14ac:dyDescent="0.25">
      <c r="A2579" s="170">
        <v>45804</v>
      </c>
      <c r="B2579" s="116">
        <v>1149.4000000000001</v>
      </c>
      <c r="C2579" s="116">
        <v>1137.5</v>
      </c>
      <c r="D2579" s="116">
        <v>1127.4000000000001</v>
      </c>
      <c r="E2579" s="116">
        <v>1149.4000000000001</v>
      </c>
      <c r="F2579" s="116">
        <v>1137.5</v>
      </c>
      <c r="G2579">
        <v>13782</v>
      </c>
      <c r="H2579" s="116"/>
      <c r="I2579" s="116"/>
      <c r="L2579" s="170">
        <v>45804</v>
      </c>
      <c r="M2579" s="116">
        <v>1138.4000000000001</v>
      </c>
      <c r="N2579" s="116">
        <v>1149.8</v>
      </c>
      <c r="O2579" s="116">
        <v>1127.2</v>
      </c>
      <c r="P2579" s="116">
        <v>1146.5999999999999</v>
      </c>
      <c r="Q2579" s="116">
        <v>1138.4000000000001</v>
      </c>
      <c r="R2579">
        <v>901912</v>
      </c>
    </row>
    <row r="2580" spans="1:18" x14ac:dyDescent="0.25">
      <c r="A2580" s="170">
        <v>45805</v>
      </c>
      <c r="B2580" s="116">
        <v>1139.45</v>
      </c>
      <c r="C2580" s="116">
        <v>1121.5</v>
      </c>
      <c r="D2580" s="116">
        <v>1119.5</v>
      </c>
      <c r="E2580" s="116">
        <v>1136.2</v>
      </c>
      <c r="F2580" s="116">
        <v>1121.5</v>
      </c>
      <c r="G2580">
        <v>24660</v>
      </c>
      <c r="H2580" s="116"/>
      <c r="I2580" s="116"/>
      <c r="L2580" s="170">
        <v>45805</v>
      </c>
      <c r="M2580" s="116">
        <v>1121.4000000000001</v>
      </c>
      <c r="N2580" s="116">
        <v>1138.8</v>
      </c>
      <c r="O2580" s="116">
        <v>1119</v>
      </c>
      <c r="P2580" s="116">
        <v>1138.4000000000001</v>
      </c>
      <c r="Q2580" s="116">
        <v>1121.4000000000001</v>
      </c>
      <c r="R2580">
        <v>492483</v>
      </c>
    </row>
    <row r="2581" spans="1:18" x14ac:dyDescent="0.25">
      <c r="A2581" s="170">
        <v>45806</v>
      </c>
      <c r="B2581" s="116">
        <v>1124.95</v>
      </c>
      <c r="C2581" s="116">
        <v>1109.8</v>
      </c>
      <c r="D2581" s="116">
        <v>1099</v>
      </c>
      <c r="E2581" s="116">
        <v>1124.95</v>
      </c>
      <c r="F2581" s="116">
        <v>1109.8</v>
      </c>
      <c r="G2581">
        <v>42198</v>
      </c>
      <c r="H2581" s="116"/>
      <c r="I2581" s="116"/>
      <c r="L2581" s="170">
        <v>45806</v>
      </c>
      <c r="M2581" s="116">
        <v>1109.8</v>
      </c>
      <c r="N2581" s="116">
        <v>1118.0999999999999</v>
      </c>
      <c r="O2581" s="116">
        <v>1098.2</v>
      </c>
      <c r="P2581" s="116">
        <v>1115.7</v>
      </c>
      <c r="Q2581" s="116">
        <v>1109.8</v>
      </c>
      <c r="R2581">
        <v>2556089</v>
      </c>
    </row>
    <row r="2582" spans="1:18" x14ac:dyDescent="0.25">
      <c r="A2582" s="170">
        <v>45807</v>
      </c>
      <c r="B2582" s="116">
        <v>1119</v>
      </c>
      <c r="C2582" s="116">
        <v>1108</v>
      </c>
      <c r="D2582" s="116">
        <v>1103.3</v>
      </c>
      <c r="E2582" s="116">
        <v>1103.3</v>
      </c>
      <c r="F2582" s="116">
        <v>1108</v>
      </c>
      <c r="G2582">
        <v>15513</v>
      </c>
      <c r="H2582" s="116"/>
      <c r="I2582" s="116"/>
      <c r="L2582" s="170">
        <v>45807</v>
      </c>
      <c r="M2582" s="116">
        <v>1106.3</v>
      </c>
      <c r="N2582" s="116">
        <v>1119.8</v>
      </c>
      <c r="O2582" s="116">
        <v>1101.5999999999999</v>
      </c>
      <c r="P2582" s="116">
        <v>1109.8</v>
      </c>
      <c r="Q2582" s="116">
        <v>1106.3</v>
      </c>
      <c r="R2582">
        <v>2475644</v>
      </c>
    </row>
    <row r="2583" spans="1:18" x14ac:dyDescent="0.25">
      <c r="A2583" s="170">
        <v>45810</v>
      </c>
      <c r="B2583" s="116">
        <v>1125</v>
      </c>
      <c r="C2583" s="116">
        <v>1119.95</v>
      </c>
      <c r="D2583" s="116">
        <v>1093.25</v>
      </c>
      <c r="E2583" s="116">
        <v>1093.25</v>
      </c>
      <c r="F2583" s="116">
        <v>1119.95</v>
      </c>
      <c r="G2583">
        <v>37817</v>
      </c>
      <c r="H2583" s="116"/>
      <c r="I2583" s="116"/>
      <c r="L2583" s="170">
        <v>45810</v>
      </c>
      <c r="M2583" s="116">
        <v>1120.4000000000001</v>
      </c>
      <c r="N2583" s="116">
        <v>1125</v>
      </c>
      <c r="O2583" s="116">
        <v>1099.2</v>
      </c>
      <c r="P2583" s="116">
        <v>1100</v>
      </c>
      <c r="Q2583" s="116">
        <v>1120.4000000000001</v>
      </c>
      <c r="R2583">
        <v>907133</v>
      </c>
    </row>
    <row r="2584" spans="1:18" x14ac:dyDescent="0.25">
      <c r="A2584" s="170">
        <v>45811</v>
      </c>
      <c r="B2584" s="116">
        <v>1123.0999999999999</v>
      </c>
      <c r="C2584" s="116">
        <v>1114.4000000000001</v>
      </c>
      <c r="D2584" s="116">
        <v>1109.2</v>
      </c>
      <c r="E2584" s="116">
        <v>1109.2</v>
      </c>
      <c r="F2584" s="116">
        <v>1114.4000000000001</v>
      </c>
      <c r="G2584">
        <v>9221</v>
      </c>
      <c r="H2584" s="116"/>
      <c r="I2584" s="116"/>
      <c r="L2584" s="170">
        <v>45811</v>
      </c>
      <c r="M2584" s="116">
        <v>1114.5999999999999</v>
      </c>
      <c r="N2584" s="116">
        <v>1123.2</v>
      </c>
      <c r="O2584" s="116">
        <v>1110.0999999999999</v>
      </c>
      <c r="P2584" s="116">
        <v>1116.0999999999999</v>
      </c>
      <c r="Q2584" s="116">
        <v>1114.5999999999999</v>
      </c>
      <c r="R2584">
        <v>795876</v>
      </c>
    </row>
    <row r="2585" spans="1:18" x14ac:dyDescent="0.25">
      <c r="A2585" s="170">
        <v>45812</v>
      </c>
      <c r="B2585" s="116">
        <v>1125.8</v>
      </c>
      <c r="C2585" s="116">
        <v>1123.5999999999999</v>
      </c>
      <c r="D2585" s="116">
        <v>1112.1500000000001</v>
      </c>
      <c r="E2585" s="116">
        <v>1112.1500000000001</v>
      </c>
      <c r="F2585" s="116">
        <v>1123.5999999999999</v>
      </c>
      <c r="G2585">
        <v>20125</v>
      </c>
      <c r="H2585" s="116"/>
      <c r="I2585" s="116"/>
      <c r="L2585" s="170">
        <v>45812</v>
      </c>
      <c r="M2585" s="116">
        <v>1124.4000000000001</v>
      </c>
      <c r="N2585" s="116">
        <v>1125.9000000000001</v>
      </c>
      <c r="O2585" s="116">
        <v>1110</v>
      </c>
      <c r="P2585" s="116">
        <v>1110</v>
      </c>
      <c r="Q2585" s="116">
        <v>1124.4000000000001</v>
      </c>
      <c r="R2585">
        <v>635699</v>
      </c>
    </row>
    <row r="2586" spans="1:18" x14ac:dyDescent="0.25">
      <c r="A2586" s="170">
        <v>45813</v>
      </c>
      <c r="B2586" s="116">
        <v>1133.2</v>
      </c>
      <c r="C2586" s="116">
        <v>1111.2</v>
      </c>
      <c r="D2586" s="116">
        <v>1109</v>
      </c>
      <c r="E2586" s="116">
        <v>1133.2</v>
      </c>
      <c r="F2586" s="116">
        <v>1111.2</v>
      </c>
      <c r="G2586">
        <v>16965</v>
      </c>
      <c r="H2586" s="116"/>
      <c r="I2586" s="116"/>
      <c r="L2586" s="170">
        <v>45813</v>
      </c>
      <c r="M2586" s="116">
        <v>1111.9000000000001</v>
      </c>
      <c r="N2586" s="116">
        <v>1127.0999999999999</v>
      </c>
      <c r="O2586" s="116">
        <v>1108.2</v>
      </c>
      <c r="P2586" s="116">
        <v>1124.5</v>
      </c>
      <c r="Q2586" s="116">
        <v>1111.9000000000001</v>
      </c>
      <c r="R2586">
        <v>1044950</v>
      </c>
    </row>
    <row r="2587" spans="1:18" x14ac:dyDescent="0.25">
      <c r="A2587" s="170">
        <v>45814</v>
      </c>
      <c r="B2587" s="116">
        <v>1123</v>
      </c>
      <c r="C2587" s="116">
        <v>1115.6500000000001</v>
      </c>
      <c r="D2587" s="116">
        <v>1109.95</v>
      </c>
      <c r="E2587" s="116">
        <v>1111.2</v>
      </c>
      <c r="F2587" s="116">
        <v>1115.6500000000001</v>
      </c>
      <c r="G2587">
        <v>28933</v>
      </c>
      <c r="H2587" s="116"/>
      <c r="I2587" s="116"/>
      <c r="L2587" s="170">
        <v>45814</v>
      </c>
      <c r="M2587" s="116">
        <v>1115.5999999999999</v>
      </c>
      <c r="N2587" s="116">
        <v>1123.9000000000001</v>
      </c>
      <c r="O2587" s="116">
        <v>1109.4000000000001</v>
      </c>
      <c r="P2587" s="116">
        <v>1111.9000000000001</v>
      </c>
      <c r="Q2587" s="116">
        <v>1115.5999999999999</v>
      </c>
      <c r="R2587">
        <v>503186</v>
      </c>
    </row>
    <row r="2588" spans="1:18" x14ac:dyDescent="0.25">
      <c r="A2588" s="170">
        <v>45817</v>
      </c>
      <c r="B2588" s="116">
        <v>1122.7</v>
      </c>
      <c r="C2588" s="116">
        <v>1120.8499999999999</v>
      </c>
      <c r="D2588" s="116">
        <v>1110</v>
      </c>
      <c r="E2588" s="116">
        <v>1115</v>
      </c>
      <c r="F2588" s="116">
        <v>1120.8499999999999</v>
      </c>
      <c r="G2588">
        <v>29173</v>
      </c>
      <c r="H2588" s="116"/>
      <c r="I2588" s="116"/>
      <c r="L2588" s="170">
        <v>45817</v>
      </c>
      <c r="M2588" s="116">
        <v>1121.2</v>
      </c>
      <c r="N2588" s="116">
        <v>1122.5</v>
      </c>
      <c r="O2588" s="116">
        <v>1110.2</v>
      </c>
      <c r="P2588" s="116">
        <v>1115.5999999999999</v>
      </c>
      <c r="Q2588" s="116">
        <v>1121.2</v>
      </c>
      <c r="R2588">
        <v>467790</v>
      </c>
    </row>
    <row r="2589" spans="1:18" x14ac:dyDescent="0.25">
      <c r="A2589" s="170">
        <v>45818</v>
      </c>
      <c r="B2589" s="116">
        <v>1127.2</v>
      </c>
      <c r="C2589" s="116">
        <v>1115.0999999999999</v>
      </c>
      <c r="D2589" s="116">
        <v>1113.05</v>
      </c>
      <c r="E2589" s="116">
        <v>1122.05</v>
      </c>
      <c r="F2589" s="116">
        <v>1115.0999999999999</v>
      </c>
      <c r="G2589">
        <v>11447</v>
      </c>
      <c r="H2589" s="116"/>
      <c r="I2589" s="116"/>
      <c r="L2589" s="170">
        <v>45818</v>
      </c>
      <c r="M2589" s="116">
        <v>1115.0999999999999</v>
      </c>
      <c r="N2589" s="116">
        <v>1128.5999999999999</v>
      </c>
      <c r="O2589" s="116">
        <v>1112.7</v>
      </c>
      <c r="P2589" s="116">
        <v>1121.2</v>
      </c>
      <c r="Q2589" s="116">
        <v>1115.0999999999999</v>
      </c>
      <c r="R2589">
        <v>460271</v>
      </c>
    </row>
    <row r="2590" spans="1:18" x14ac:dyDescent="0.25">
      <c r="A2590" s="170">
        <v>45819</v>
      </c>
      <c r="B2590" s="116">
        <v>1118.95</v>
      </c>
      <c r="C2590" s="116">
        <v>1103.4000000000001</v>
      </c>
      <c r="D2590" s="116">
        <v>1101.9000000000001</v>
      </c>
      <c r="E2590" s="116">
        <v>1118.8</v>
      </c>
      <c r="F2590" s="116">
        <v>1103.4000000000001</v>
      </c>
      <c r="G2590">
        <v>12128</v>
      </c>
      <c r="H2590" s="116"/>
      <c r="I2590" s="116"/>
      <c r="L2590" s="170">
        <v>45819</v>
      </c>
      <c r="M2590" s="116">
        <v>1104.3</v>
      </c>
      <c r="N2590" s="116">
        <v>1119</v>
      </c>
      <c r="O2590" s="116">
        <v>1102</v>
      </c>
      <c r="P2590" s="116">
        <v>1115.2</v>
      </c>
      <c r="Q2590" s="116">
        <v>1104.3</v>
      </c>
      <c r="R2590">
        <v>862130</v>
      </c>
    </row>
    <row r="2591" spans="1:18" x14ac:dyDescent="0.25">
      <c r="A2591" s="170">
        <v>45820</v>
      </c>
      <c r="B2591" s="116">
        <v>1107.45</v>
      </c>
      <c r="C2591" s="116">
        <v>1084.0999999999999</v>
      </c>
      <c r="D2591" s="116">
        <v>1080</v>
      </c>
      <c r="E2591" s="116">
        <v>1100.8</v>
      </c>
      <c r="F2591" s="116">
        <v>1084.0999999999999</v>
      </c>
      <c r="G2591">
        <v>16293</v>
      </c>
      <c r="H2591" s="116"/>
      <c r="I2591" s="116"/>
      <c r="L2591" s="170">
        <v>45820</v>
      </c>
      <c r="M2591" s="116">
        <v>1085.0999999999999</v>
      </c>
      <c r="N2591" s="116">
        <v>1108.9000000000001</v>
      </c>
      <c r="O2591" s="116">
        <v>1080</v>
      </c>
      <c r="P2591" s="116">
        <v>1108.9000000000001</v>
      </c>
      <c r="Q2591" s="116">
        <v>1085.0999999999999</v>
      </c>
      <c r="R2591">
        <v>941294</v>
      </c>
    </row>
    <row r="2592" spans="1:18" x14ac:dyDescent="0.25">
      <c r="A2592" s="170">
        <v>45821</v>
      </c>
      <c r="B2592" s="116">
        <v>1081</v>
      </c>
      <c r="C2592" s="116">
        <v>1078.45</v>
      </c>
      <c r="D2592" s="116">
        <v>1067.6500000000001</v>
      </c>
      <c r="E2592" s="116">
        <v>1077.8499999999999</v>
      </c>
      <c r="F2592" s="116">
        <v>1078.45</v>
      </c>
      <c r="G2592">
        <v>11118</v>
      </c>
      <c r="H2592" s="116"/>
      <c r="I2592" s="116"/>
      <c r="L2592" s="170">
        <v>45821</v>
      </c>
      <c r="M2592" s="116">
        <v>1078.4000000000001</v>
      </c>
      <c r="N2592" s="116">
        <v>1080.5999999999999</v>
      </c>
      <c r="O2592" s="116">
        <v>1066.5999999999999</v>
      </c>
      <c r="P2592" s="116">
        <v>1066.5999999999999</v>
      </c>
      <c r="Q2592" s="116">
        <v>1078.4000000000001</v>
      </c>
      <c r="R2592">
        <v>614108</v>
      </c>
    </row>
    <row r="2593" spans="1:18" x14ac:dyDescent="0.25">
      <c r="A2593" s="170">
        <v>45824</v>
      </c>
      <c r="B2593" s="116">
        <v>1084.95</v>
      </c>
      <c r="C2593" s="116">
        <v>1083.1500000000001</v>
      </c>
      <c r="D2593" s="116">
        <v>1070.55</v>
      </c>
      <c r="E2593" s="116">
        <v>1070.55</v>
      </c>
      <c r="F2593" s="116">
        <v>1083.1500000000001</v>
      </c>
      <c r="G2593">
        <v>18272</v>
      </c>
      <c r="H2593" s="116"/>
      <c r="I2593" s="116"/>
      <c r="L2593" s="170">
        <v>45824</v>
      </c>
      <c r="M2593" s="116">
        <v>1083.4000000000001</v>
      </c>
      <c r="N2593" s="116">
        <v>1085</v>
      </c>
      <c r="O2593" s="116">
        <v>1073.5999999999999</v>
      </c>
      <c r="P2593" s="116">
        <v>1074</v>
      </c>
      <c r="Q2593" s="116">
        <v>1083.4000000000001</v>
      </c>
      <c r="R2593">
        <v>439929</v>
      </c>
    </row>
    <row r="2594" spans="1:18" x14ac:dyDescent="0.25">
      <c r="A2594" s="170">
        <v>45825</v>
      </c>
      <c r="B2594" s="116">
        <v>1090.2</v>
      </c>
      <c r="C2594" s="116">
        <v>1070.8499999999999</v>
      </c>
      <c r="D2594" s="116">
        <v>1065.1500000000001</v>
      </c>
      <c r="E2594" s="116">
        <v>1084.5</v>
      </c>
      <c r="F2594" s="116">
        <v>1070.8499999999999</v>
      </c>
      <c r="G2594">
        <v>11169</v>
      </c>
      <c r="H2594" s="116"/>
      <c r="I2594" s="116"/>
      <c r="L2594" s="170">
        <v>45825</v>
      </c>
      <c r="M2594" s="116">
        <v>1071.5999999999999</v>
      </c>
      <c r="N2594" s="116">
        <v>1094</v>
      </c>
      <c r="O2594" s="116">
        <v>1065.5</v>
      </c>
      <c r="P2594" s="116">
        <v>1083.4000000000001</v>
      </c>
      <c r="Q2594" s="116">
        <v>1071.5999999999999</v>
      </c>
      <c r="R2594">
        <v>664517</v>
      </c>
    </row>
    <row r="2595" spans="1:18" x14ac:dyDescent="0.25">
      <c r="A2595" s="170">
        <v>45826</v>
      </c>
      <c r="B2595" s="116">
        <v>1075.3</v>
      </c>
      <c r="C2595" s="116">
        <v>1064.5</v>
      </c>
      <c r="D2595" s="116">
        <v>1055.8499999999999</v>
      </c>
      <c r="E2595" s="116">
        <v>1068</v>
      </c>
      <c r="F2595" s="116">
        <v>1064.5</v>
      </c>
      <c r="G2595">
        <v>18742</v>
      </c>
      <c r="H2595" s="116"/>
      <c r="I2595" s="116"/>
      <c r="L2595" s="170">
        <v>45826</v>
      </c>
      <c r="M2595" s="116">
        <v>1065.2</v>
      </c>
      <c r="N2595" s="116">
        <v>1075.8</v>
      </c>
      <c r="O2595" s="116">
        <v>1059</v>
      </c>
      <c r="P2595" s="116">
        <v>1066.4000000000001</v>
      </c>
      <c r="Q2595" s="116">
        <v>1065.2</v>
      </c>
      <c r="R2595">
        <v>545933</v>
      </c>
    </row>
    <row r="2596" spans="1:18" x14ac:dyDescent="0.25">
      <c r="A2596" s="170">
        <v>45827</v>
      </c>
      <c r="B2596" s="116">
        <v>1091.0999999999999</v>
      </c>
      <c r="C2596" s="116">
        <v>1088</v>
      </c>
      <c r="D2596" s="116">
        <v>1062.25</v>
      </c>
      <c r="E2596" s="116">
        <v>1067.5</v>
      </c>
      <c r="F2596" s="116">
        <v>1088</v>
      </c>
      <c r="G2596">
        <v>145314</v>
      </c>
      <c r="H2596" s="116"/>
      <c r="I2596" s="116"/>
      <c r="L2596" s="170">
        <v>45827</v>
      </c>
      <c r="M2596" s="116">
        <v>1088.3</v>
      </c>
      <c r="N2596" s="116">
        <v>1091.5999999999999</v>
      </c>
      <c r="O2596" s="116">
        <v>1061.5999999999999</v>
      </c>
      <c r="P2596" s="116">
        <v>1065.2</v>
      </c>
      <c r="Q2596" s="116">
        <v>1088.3</v>
      </c>
      <c r="R2596">
        <v>2816398</v>
      </c>
    </row>
    <row r="2597" spans="1:18" x14ac:dyDescent="0.25">
      <c r="A2597" s="170">
        <v>45828</v>
      </c>
      <c r="B2597" s="116">
        <v>1103.45</v>
      </c>
      <c r="C2597" s="116">
        <v>1099.8</v>
      </c>
      <c r="D2597" s="116">
        <v>1082.2</v>
      </c>
      <c r="E2597" s="116">
        <v>1089.45</v>
      </c>
      <c r="F2597" s="116">
        <v>1099.8</v>
      </c>
      <c r="G2597">
        <v>28515</v>
      </c>
      <c r="H2597" s="116"/>
      <c r="I2597" s="116"/>
      <c r="L2597" s="170">
        <v>45828</v>
      </c>
      <c r="M2597" s="116">
        <v>1100.2</v>
      </c>
      <c r="N2597" s="116">
        <v>1103</v>
      </c>
      <c r="O2597" s="116">
        <v>1082.7</v>
      </c>
      <c r="P2597" s="116">
        <v>1088.3</v>
      </c>
      <c r="Q2597" s="116">
        <v>1100.2</v>
      </c>
      <c r="R2597">
        <v>2084108</v>
      </c>
    </row>
    <row r="2598" spans="1:18" x14ac:dyDescent="0.25">
      <c r="A2598" s="170">
        <v>45831</v>
      </c>
      <c r="B2598" s="116">
        <v>1111.9000000000001</v>
      </c>
      <c r="C2598" s="116">
        <v>1109.75</v>
      </c>
      <c r="D2598" s="116">
        <v>1091</v>
      </c>
      <c r="E2598" s="116">
        <v>1098.95</v>
      </c>
      <c r="F2598" s="116">
        <v>1109.75</v>
      </c>
      <c r="G2598">
        <v>22125</v>
      </c>
      <c r="H2598" s="116"/>
      <c r="I2598" s="116"/>
      <c r="L2598" s="170">
        <v>45831</v>
      </c>
      <c r="M2598" s="116">
        <v>1109.4000000000001</v>
      </c>
      <c r="N2598" s="116">
        <v>1112</v>
      </c>
      <c r="O2598" s="116">
        <v>1090</v>
      </c>
      <c r="P2598" s="116">
        <v>1090</v>
      </c>
      <c r="Q2598" s="116">
        <v>1109.4000000000001</v>
      </c>
      <c r="R2598">
        <v>758904</v>
      </c>
    </row>
    <row r="2599" spans="1:18" x14ac:dyDescent="0.25">
      <c r="A2599" s="170">
        <v>45832</v>
      </c>
      <c r="B2599" s="116">
        <v>1116.9000000000001</v>
      </c>
      <c r="C2599" s="116">
        <v>1108.05</v>
      </c>
      <c r="D2599" s="116">
        <v>1104.05</v>
      </c>
      <c r="E2599" s="116">
        <v>1112</v>
      </c>
      <c r="F2599" s="116">
        <v>1108.05</v>
      </c>
      <c r="G2599">
        <v>55198</v>
      </c>
      <c r="H2599" s="116"/>
      <c r="I2599" s="116"/>
      <c r="L2599" s="170">
        <v>45832</v>
      </c>
      <c r="M2599" s="116">
        <v>1107.7</v>
      </c>
      <c r="N2599" s="116">
        <v>1116.9000000000001</v>
      </c>
      <c r="O2599" s="116">
        <v>1104.4000000000001</v>
      </c>
      <c r="P2599" s="116">
        <v>1112</v>
      </c>
      <c r="Q2599" s="116">
        <v>1107.7</v>
      </c>
      <c r="R2599">
        <v>1134930</v>
      </c>
    </row>
    <row r="2600" spans="1:18" x14ac:dyDescent="0.25">
      <c r="A2600" s="170">
        <v>45833</v>
      </c>
      <c r="B2600" s="116">
        <v>1133.45</v>
      </c>
      <c r="C2600" s="116">
        <v>1126.3</v>
      </c>
      <c r="D2600" s="116">
        <v>1100.2</v>
      </c>
      <c r="E2600" s="116">
        <v>1100.2</v>
      </c>
      <c r="F2600" s="116">
        <v>1126.3</v>
      </c>
      <c r="G2600">
        <v>64834</v>
      </c>
      <c r="H2600" s="116"/>
      <c r="I2600" s="116"/>
      <c r="L2600" s="170">
        <v>45833</v>
      </c>
      <c r="M2600" s="116">
        <v>1126.5</v>
      </c>
      <c r="N2600" s="116">
        <v>1133.9000000000001</v>
      </c>
      <c r="O2600" s="116">
        <v>1106.5999999999999</v>
      </c>
      <c r="P2600" s="116">
        <v>1107.7</v>
      </c>
      <c r="Q2600" s="116">
        <v>1126.5</v>
      </c>
      <c r="R2600">
        <v>1564437</v>
      </c>
    </row>
    <row r="2601" spans="1:18" x14ac:dyDescent="0.25">
      <c r="A2601" s="170">
        <v>45834</v>
      </c>
      <c r="B2601" s="116">
        <v>1150</v>
      </c>
      <c r="C2601" s="116">
        <v>1144.2</v>
      </c>
      <c r="D2601" s="116">
        <v>1119.1500000000001</v>
      </c>
      <c r="E2601" s="116">
        <v>1126.3</v>
      </c>
      <c r="F2601" s="116">
        <v>1144.2</v>
      </c>
      <c r="G2601">
        <v>43657</v>
      </c>
      <c r="H2601" s="116"/>
      <c r="I2601" s="116"/>
      <c r="L2601" s="170">
        <v>45834</v>
      </c>
      <c r="M2601" s="116">
        <v>1145.4000000000001</v>
      </c>
      <c r="N2601" s="116">
        <v>1150</v>
      </c>
      <c r="O2601" s="116">
        <v>1119.0999999999999</v>
      </c>
      <c r="P2601" s="116">
        <v>1122</v>
      </c>
      <c r="Q2601" s="116">
        <v>1145.4000000000001</v>
      </c>
      <c r="R2601">
        <v>2236678</v>
      </c>
    </row>
    <row r="2602" spans="1:18" x14ac:dyDescent="0.25">
      <c r="A2602" s="170">
        <v>45835</v>
      </c>
      <c r="B2602" s="116">
        <v>1147.5999999999999</v>
      </c>
      <c r="C2602" s="116">
        <v>1122.9000000000001</v>
      </c>
      <c r="D2602" s="116">
        <v>1120</v>
      </c>
      <c r="E2602" s="116">
        <v>1135.05</v>
      </c>
      <c r="F2602" s="116">
        <v>1122.9000000000001</v>
      </c>
      <c r="G2602">
        <v>11994</v>
      </c>
      <c r="H2602" s="116"/>
      <c r="I2602" s="116"/>
      <c r="L2602" s="170">
        <v>45835</v>
      </c>
      <c r="M2602" s="116">
        <v>1124.3</v>
      </c>
      <c r="N2602" s="116">
        <v>1147.2</v>
      </c>
      <c r="O2602" s="116">
        <v>1120</v>
      </c>
      <c r="P2602" s="116">
        <v>1144</v>
      </c>
      <c r="Q2602" s="116">
        <v>1124.3</v>
      </c>
      <c r="R2602">
        <v>622376</v>
      </c>
    </row>
    <row r="2603" spans="1:18" x14ac:dyDescent="0.25">
      <c r="A2603" s="170">
        <v>45838</v>
      </c>
      <c r="B2603" s="116">
        <v>1124.45</v>
      </c>
      <c r="C2603" s="116">
        <v>1099.2</v>
      </c>
      <c r="D2603" s="116">
        <v>1090</v>
      </c>
      <c r="E2603" s="116">
        <v>1121.45</v>
      </c>
      <c r="F2603" s="116">
        <v>1099.2</v>
      </c>
      <c r="G2603">
        <v>42782</v>
      </c>
      <c r="H2603" s="116"/>
      <c r="I2603" s="116"/>
      <c r="L2603" s="170">
        <v>45838</v>
      </c>
      <c r="M2603" s="116">
        <v>1098.9000000000001</v>
      </c>
      <c r="N2603" s="116">
        <v>1126.7</v>
      </c>
      <c r="O2603" s="116">
        <v>1090.5999999999999</v>
      </c>
      <c r="P2603" s="116">
        <v>1124</v>
      </c>
      <c r="Q2603" s="116">
        <v>1098.9000000000001</v>
      </c>
      <c r="R2603">
        <v>1836286</v>
      </c>
    </row>
    <row r="2604" spans="1:18" x14ac:dyDescent="0.25">
      <c r="A2604" s="170">
        <v>45839</v>
      </c>
      <c r="B2604" s="116">
        <v>1100</v>
      </c>
      <c r="C2604" s="116">
        <v>1095.4000000000001</v>
      </c>
      <c r="D2604" s="116">
        <v>1086</v>
      </c>
      <c r="E2604" s="116">
        <v>1093.25</v>
      </c>
      <c r="F2604" s="116">
        <v>1095.4000000000001</v>
      </c>
      <c r="G2604">
        <v>29111</v>
      </c>
      <c r="H2604" s="116"/>
      <c r="I2604" s="116"/>
      <c r="L2604" s="170">
        <v>45839</v>
      </c>
      <c r="M2604" s="116">
        <v>1095.5999999999999</v>
      </c>
      <c r="N2604" s="116">
        <v>1100.7</v>
      </c>
      <c r="O2604" s="116">
        <v>1085.9000000000001</v>
      </c>
      <c r="P2604" s="116">
        <v>1098.9000000000001</v>
      </c>
      <c r="Q2604" s="116">
        <v>1095.5999999999999</v>
      </c>
      <c r="R2604">
        <v>971874</v>
      </c>
    </row>
    <row r="2605" spans="1:18" x14ac:dyDescent="0.25">
      <c r="A2605" s="170">
        <v>45840</v>
      </c>
      <c r="B2605" s="116">
        <v>1097.5</v>
      </c>
      <c r="C2605" s="116">
        <v>1095.8499999999999</v>
      </c>
      <c r="D2605" s="116">
        <v>1084.75</v>
      </c>
      <c r="E2605" s="116">
        <v>1095</v>
      </c>
      <c r="F2605" s="116">
        <v>1095.8499999999999</v>
      </c>
      <c r="G2605">
        <v>20325</v>
      </c>
      <c r="H2605" s="116"/>
      <c r="I2605" s="116"/>
      <c r="L2605" s="170">
        <v>45840</v>
      </c>
      <c r="M2605" s="116">
        <v>1095.8</v>
      </c>
      <c r="N2605" s="116">
        <v>1098.3</v>
      </c>
      <c r="O2605" s="116">
        <v>1084</v>
      </c>
      <c r="P2605" s="116">
        <v>1094</v>
      </c>
      <c r="Q2605" s="116">
        <v>1095.8</v>
      </c>
      <c r="R2605">
        <v>1230645</v>
      </c>
    </row>
    <row r="2606" spans="1:18" x14ac:dyDescent="0.25">
      <c r="A2606" s="170">
        <v>45841</v>
      </c>
      <c r="B2606" s="116">
        <v>1105</v>
      </c>
      <c r="C2606" s="116">
        <v>1088.8499999999999</v>
      </c>
      <c r="D2606" s="116">
        <v>1086.3</v>
      </c>
      <c r="E2606" s="116">
        <v>1091.75</v>
      </c>
      <c r="F2606" s="116">
        <v>1088.8499999999999</v>
      </c>
      <c r="G2606">
        <v>42761</v>
      </c>
      <c r="H2606" s="116"/>
      <c r="I2606" s="116"/>
      <c r="L2606" s="170">
        <v>45841</v>
      </c>
      <c r="M2606" s="116">
        <v>1089.4000000000001</v>
      </c>
      <c r="N2606" s="116">
        <v>1105.8</v>
      </c>
      <c r="O2606" s="116">
        <v>1086.7</v>
      </c>
      <c r="P2606" s="116">
        <v>1096</v>
      </c>
      <c r="Q2606" s="116">
        <v>1089.4000000000001</v>
      </c>
      <c r="R2606">
        <v>730322</v>
      </c>
    </row>
    <row r="2607" spans="1:18" x14ac:dyDescent="0.25">
      <c r="A2607" s="170">
        <v>45842</v>
      </c>
      <c r="B2607" s="116">
        <v>1094.3499999999999</v>
      </c>
      <c r="C2607" s="116">
        <v>1089.5999999999999</v>
      </c>
      <c r="D2607" s="116">
        <v>1082</v>
      </c>
      <c r="E2607" s="116">
        <v>1090.2</v>
      </c>
      <c r="F2607" s="116">
        <v>1089.5999999999999</v>
      </c>
      <c r="G2607">
        <v>8520</v>
      </c>
      <c r="H2607" s="116"/>
      <c r="I2607" s="116"/>
      <c r="L2607" s="170">
        <v>45842</v>
      </c>
      <c r="M2607" s="116">
        <v>1089.7</v>
      </c>
      <c r="N2607" s="116">
        <v>1095</v>
      </c>
      <c r="O2607" s="116">
        <v>1082</v>
      </c>
      <c r="P2607" s="116">
        <v>1091</v>
      </c>
      <c r="Q2607" s="116">
        <v>1089.7</v>
      </c>
      <c r="R2607">
        <v>573351</v>
      </c>
    </row>
    <row r="2608" spans="1:18" x14ac:dyDescent="0.25">
      <c r="A2608" s="170">
        <v>45845</v>
      </c>
      <c r="B2608" s="116">
        <v>1108</v>
      </c>
      <c r="C2608" s="116">
        <v>1102.25</v>
      </c>
      <c r="D2608" s="116">
        <v>1086.75</v>
      </c>
      <c r="E2608" s="116">
        <v>1089</v>
      </c>
      <c r="F2608" s="116">
        <v>1102.25</v>
      </c>
      <c r="G2608">
        <v>24943</v>
      </c>
      <c r="H2608" s="116"/>
      <c r="I2608" s="116"/>
      <c r="L2608" s="170">
        <v>45845</v>
      </c>
      <c r="M2608" s="116">
        <v>1101.9000000000001</v>
      </c>
      <c r="N2608" s="116">
        <v>1108.2</v>
      </c>
      <c r="O2608" s="116">
        <v>1085</v>
      </c>
      <c r="P2608" s="116">
        <v>1085</v>
      </c>
      <c r="Q2608" s="116">
        <v>1101.9000000000001</v>
      </c>
      <c r="R2608">
        <v>1152136</v>
      </c>
    </row>
    <row r="2609" spans="1:18" x14ac:dyDescent="0.25">
      <c r="A2609" s="170">
        <v>45846</v>
      </c>
      <c r="B2609" s="116">
        <v>1108.7</v>
      </c>
      <c r="C2609" s="116">
        <v>1098.95</v>
      </c>
      <c r="D2609" s="116">
        <v>1095</v>
      </c>
      <c r="E2609" s="116">
        <v>1105.2</v>
      </c>
      <c r="F2609" s="116">
        <v>1098.95</v>
      </c>
      <c r="G2609">
        <v>22399</v>
      </c>
      <c r="H2609" s="116"/>
      <c r="I2609" s="116"/>
      <c r="L2609" s="170">
        <v>45846</v>
      </c>
      <c r="M2609" s="116">
        <v>1099.9000000000001</v>
      </c>
      <c r="N2609" s="116">
        <v>1108.5999999999999</v>
      </c>
      <c r="O2609" s="116">
        <v>1093.5</v>
      </c>
      <c r="P2609" s="116">
        <v>1108</v>
      </c>
      <c r="Q2609" s="116">
        <v>1099.9000000000001</v>
      </c>
      <c r="R2609">
        <v>605639</v>
      </c>
    </row>
    <row r="2610" spans="1:18" x14ac:dyDescent="0.25">
      <c r="A2610" s="170">
        <v>45847</v>
      </c>
      <c r="B2610" s="116">
        <v>1107</v>
      </c>
      <c r="C2610" s="116">
        <v>1097.45</v>
      </c>
      <c r="D2610" s="116">
        <v>1092.05</v>
      </c>
      <c r="E2610" s="116">
        <v>1097.75</v>
      </c>
      <c r="F2610" s="116">
        <v>1097.45</v>
      </c>
      <c r="G2610">
        <v>84462</v>
      </c>
      <c r="H2610" s="116"/>
      <c r="I2610" s="116"/>
      <c r="L2610" s="170">
        <v>45847</v>
      </c>
      <c r="M2610" s="116">
        <v>1097.9000000000001</v>
      </c>
      <c r="N2610" s="116">
        <v>1107.4000000000001</v>
      </c>
      <c r="O2610" s="116">
        <v>1091.5999999999999</v>
      </c>
      <c r="P2610" s="116">
        <v>1100</v>
      </c>
      <c r="Q2610" s="116">
        <v>1097.9000000000001</v>
      </c>
      <c r="R2610">
        <v>752158</v>
      </c>
    </row>
    <row r="2611" spans="1:18" x14ac:dyDescent="0.25">
      <c r="A2611" s="170">
        <v>45848</v>
      </c>
      <c r="B2611" s="116">
        <v>1102.7</v>
      </c>
      <c r="C2611" s="116">
        <v>1087.8499999999999</v>
      </c>
      <c r="D2611" s="116">
        <v>1081.8499999999999</v>
      </c>
      <c r="E2611" s="116">
        <v>1101.95</v>
      </c>
      <c r="F2611" s="116">
        <v>1087.8499999999999</v>
      </c>
      <c r="G2611">
        <v>6520</v>
      </c>
      <c r="H2611" s="116"/>
      <c r="I2611" s="116"/>
      <c r="L2611" s="170">
        <v>45848</v>
      </c>
      <c r="M2611" s="116">
        <v>1088.9000000000001</v>
      </c>
      <c r="N2611" s="116">
        <v>1103.7</v>
      </c>
      <c r="O2611" s="116">
        <v>1080.0999999999999</v>
      </c>
      <c r="P2611" s="116">
        <v>1097.9000000000001</v>
      </c>
      <c r="Q2611" s="116">
        <v>1088.9000000000001</v>
      </c>
      <c r="R2611">
        <v>533377</v>
      </c>
    </row>
    <row r="2612" spans="1:18" x14ac:dyDescent="0.25">
      <c r="A2612" s="170">
        <v>45849</v>
      </c>
      <c r="B2612" s="116">
        <v>1101.3</v>
      </c>
      <c r="C2612" s="116">
        <v>1076.9000000000001</v>
      </c>
      <c r="D2612" s="116">
        <v>1074.0999999999999</v>
      </c>
      <c r="E2612" s="116">
        <v>1083.3</v>
      </c>
      <c r="F2612" s="116">
        <v>1076.9000000000001</v>
      </c>
      <c r="G2612">
        <v>47346</v>
      </c>
      <c r="H2612" s="116"/>
      <c r="I2612" s="116"/>
      <c r="L2612" s="170">
        <v>45849</v>
      </c>
      <c r="M2612" s="116">
        <v>1076.8</v>
      </c>
      <c r="N2612" s="116">
        <v>1101.8</v>
      </c>
      <c r="O2612" s="116">
        <v>1074</v>
      </c>
      <c r="P2612" s="116">
        <v>1083.9000000000001</v>
      </c>
      <c r="Q2612" s="116">
        <v>1076.8</v>
      </c>
      <c r="R2612">
        <v>983485</v>
      </c>
    </row>
    <row r="2613" spans="1:18" x14ac:dyDescent="0.25">
      <c r="A2613" s="170">
        <v>45852</v>
      </c>
      <c r="B2613" s="116">
        <v>1083.25</v>
      </c>
      <c r="C2613" s="116">
        <v>1071.4000000000001</v>
      </c>
      <c r="D2613" s="116">
        <v>1069.55</v>
      </c>
      <c r="E2613" s="116">
        <v>1074.95</v>
      </c>
      <c r="F2613" s="116">
        <v>1071.4000000000001</v>
      </c>
      <c r="G2613">
        <v>170119</v>
      </c>
      <c r="H2613" s="116"/>
      <c r="I2613" s="116"/>
      <c r="L2613" s="170">
        <v>45852</v>
      </c>
      <c r="M2613" s="116">
        <v>1071.8</v>
      </c>
      <c r="N2613" s="116">
        <v>1083.5</v>
      </c>
      <c r="O2613" s="116">
        <v>1070</v>
      </c>
      <c r="P2613" s="116">
        <v>1076.8</v>
      </c>
      <c r="Q2613" s="116">
        <v>1071.8</v>
      </c>
      <c r="R2613">
        <v>770739</v>
      </c>
    </row>
    <row r="2614" spans="1:18" x14ac:dyDescent="0.25">
      <c r="A2614" s="170">
        <v>45853</v>
      </c>
      <c r="B2614" s="116">
        <v>1085</v>
      </c>
      <c r="C2614" s="116">
        <v>1081.4000000000001</v>
      </c>
      <c r="D2614" s="116">
        <v>1067.0999999999999</v>
      </c>
      <c r="E2614" s="116">
        <v>1071.4000000000001</v>
      </c>
      <c r="F2614" s="116">
        <v>1081.4000000000001</v>
      </c>
      <c r="G2614">
        <v>40252</v>
      </c>
      <c r="H2614" s="116"/>
      <c r="I2614" s="116"/>
      <c r="L2614" s="170">
        <v>45853</v>
      </c>
      <c r="M2614" s="116">
        <v>1081.8</v>
      </c>
      <c r="N2614" s="116">
        <v>1085</v>
      </c>
      <c r="O2614" s="116">
        <v>1067.5</v>
      </c>
      <c r="P2614" s="116">
        <v>1071.8</v>
      </c>
      <c r="Q2614" s="116">
        <v>1081.8</v>
      </c>
      <c r="R2614">
        <v>538506</v>
      </c>
    </row>
    <row r="2615" spans="1:18" x14ac:dyDescent="0.25">
      <c r="A2615" s="170">
        <v>45854</v>
      </c>
      <c r="B2615" s="116">
        <v>1087.55</v>
      </c>
      <c r="C2615" s="116">
        <v>1080.9000000000001</v>
      </c>
      <c r="D2615" s="116">
        <v>1068.6500000000001</v>
      </c>
      <c r="E2615" s="116">
        <v>1085</v>
      </c>
      <c r="F2615" s="116">
        <v>1080.9000000000001</v>
      </c>
      <c r="G2615">
        <v>37315</v>
      </c>
      <c r="H2615" s="116"/>
      <c r="I2615" s="116"/>
      <c r="L2615" s="170">
        <v>45854</v>
      </c>
      <c r="M2615" s="116">
        <v>1081.5</v>
      </c>
      <c r="N2615" s="116">
        <v>1089.9000000000001</v>
      </c>
      <c r="O2615" s="116">
        <v>1068.2</v>
      </c>
      <c r="P2615" s="116">
        <v>1081.8</v>
      </c>
      <c r="Q2615" s="116">
        <v>1081.5</v>
      </c>
      <c r="R2615">
        <v>1753658</v>
      </c>
    </row>
    <row r="2616" spans="1:18" x14ac:dyDescent="0.25">
      <c r="A2616" s="170">
        <v>45855</v>
      </c>
      <c r="B2616" s="116">
        <v>1109.55</v>
      </c>
      <c r="C2616" s="116">
        <v>1105.4000000000001</v>
      </c>
      <c r="D2616" s="116">
        <v>1079.3</v>
      </c>
      <c r="E2616" s="116">
        <v>1081</v>
      </c>
      <c r="F2616" s="116">
        <v>1105.4000000000001</v>
      </c>
      <c r="G2616">
        <v>34419</v>
      </c>
      <c r="H2616" s="116"/>
      <c r="I2616" s="116"/>
      <c r="L2616" s="170">
        <v>45855</v>
      </c>
      <c r="M2616" s="116">
        <v>1105.8</v>
      </c>
      <c r="N2616" s="116">
        <v>1109.7</v>
      </c>
      <c r="O2616" s="116">
        <v>1080</v>
      </c>
      <c r="P2616" s="116">
        <v>1081.5</v>
      </c>
      <c r="Q2616" s="116">
        <v>1105.8</v>
      </c>
      <c r="R2616">
        <v>1193262</v>
      </c>
    </row>
    <row r="2617" spans="1:18" x14ac:dyDescent="0.25">
      <c r="A2617" s="170">
        <v>45856</v>
      </c>
      <c r="B2617" s="116">
        <v>1107.9000000000001</v>
      </c>
      <c r="C2617" s="116">
        <v>1096.25</v>
      </c>
      <c r="D2617" s="116">
        <v>1093.75</v>
      </c>
      <c r="E2617" s="116">
        <v>1107.9000000000001</v>
      </c>
      <c r="F2617" s="116">
        <v>1096.25</v>
      </c>
      <c r="G2617">
        <v>24664</v>
      </c>
      <c r="H2617" s="116"/>
      <c r="I2617" s="116"/>
      <c r="L2617" s="170">
        <v>45856</v>
      </c>
      <c r="M2617" s="116">
        <v>1095.9000000000001</v>
      </c>
      <c r="N2617" s="116">
        <v>1108.3</v>
      </c>
      <c r="O2617" s="116">
        <v>1093.5</v>
      </c>
      <c r="P2617" s="116">
        <v>1106</v>
      </c>
      <c r="Q2617" s="116">
        <v>1095.9000000000001</v>
      </c>
      <c r="R2617">
        <v>844437</v>
      </c>
    </row>
    <row r="2618" spans="1:18" x14ac:dyDescent="0.25">
      <c r="A2618" s="170">
        <v>45859</v>
      </c>
      <c r="B2618" s="116">
        <v>1095.3</v>
      </c>
      <c r="C2618" s="116">
        <v>1090.3499999999999</v>
      </c>
      <c r="D2618" s="116">
        <v>1077.8499999999999</v>
      </c>
      <c r="E2618" s="116">
        <v>1088.1500000000001</v>
      </c>
      <c r="F2618" s="116">
        <v>1090.3499999999999</v>
      </c>
      <c r="G2618">
        <v>33873</v>
      </c>
      <c r="H2618" s="116"/>
      <c r="I2618" s="116"/>
      <c r="L2618" s="170">
        <v>45859</v>
      </c>
      <c r="M2618" s="116">
        <v>1090.3</v>
      </c>
      <c r="N2618" s="116">
        <v>1095.8</v>
      </c>
      <c r="O2618" s="116">
        <v>1077</v>
      </c>
      <c r="P2618" s="116">
        <v>1095.8</v>
      </c>
      <c r="Q2618" s="116">
        <v>1090.3</v>
      </c>
      <c r="R2618">
        <v>805610</v>
      </c>
    </row>
    <row r="2619" spans="1:18" x14ac:dyDescent="0.25">
      <c r="A2619" s="170">
        <v>45860</v>
      </c>
      <c r="B2619" s="116">
        <v>1090.3499999999999</v>
      </c>
      <c r="C2619" s="116">
        <v>1084.25</v>
      </c>
      <c r="D2619" s="116">
        <v>1075.3499999999999</v>
      </c>
      <c r="E2619" s="116">
        <v>1090.3499999999999</v>
      </c>
      <c r="F2619" s="116">
        <v>1084.25</v>
      </c>
      <c r="G2619">
        <v>22485</v>
      </c>
      <c r="H2619" s="116"/>
      <c r="I2619" s="116"/>
      <c r="L2619" s="170">
        <v>45860</v>
      </c>
      <c r="M2619" s="116">
        <v>1084.8</v>
      </c>
      <c r="N2619" s="116">
        <v>1090.3</v>
      </c>
      <c r="O2619" s="116">
        <v>1075.3</v>
      </c>
      <c r="P2619" s="116">
        <v>1089.9000000000001</v>
      </c>
      <c r="Q2619" s="116">
        <v>1084.8</v>
      </c>
      <c r="R2619">
        <v>961735</v>
      </c>
    </row>
    <row r="2620" spans="1:18" x14ac:dyDescent="0.25">
      <c r="A2620" s="170">
        <v>45861</v>
      </c>
      <c r="B2620" s="116">
        <v>1086.05</v>
      </c>
      <c r="C2620" s="116">
        <v>1062.6500000000001</v>
      </c>
      <c r="D2620" s="116">
        <v>1051.45</v>
      </c>
      <c r="E2620" s="116">
        <v>1084.3</v>
      </c>
      <c r="F2620" s="116">
        <v>1062.6500000000001</v>
      </c>
      <c r="G2620">
        <v>51954</v>
      </c>
      <c r="H2620" s="116"/>
      <c r="I2620" s="116"/>
      <c r="L2620" s="170">
        <v>45861</v>
      </c>
      <c r="M2620" s="116">
        <v>1062.5999999999999</v>
      </c>
      <c r="N2620" s="116">
        <v>1087</v>
      </c>
      <c r="O2620" s="116">
        <v>1051</v>
      </c>
      <c r="P2620" s="116">
        <v>1085</v>
      </c>
      <c r="Q2620" s="116">
        <v>1062.5999999999999</v>
      </c>
      <c r="R2620">
        <v>1508414</v>
      </c>
    </row>
    <row r="2621" spans="1:18" x14ac:dyDescent="0.25">
      <c r="A2621" s="170">
        <v>45862</v>
      </c>
      <c r="B2621" s="116">
        <v>1104.8</v>
      </c>
      <c r="C2621" s="116">
        <v>1073.6500000000001</v>
      </c>
      <c r="D2621" s="116">
        <v>1067.9000000000001</v>
      </c>
      <c r="E2621" s="116">
        <v>1080.9000000000001</v>
      </c>
      <c r="F2621" s="116">
        <v>1073.6500000000001</v>
      </c>
      <c r="G2621">
        <v>295600</v>
      </c>
      <c r="H2621" s="116"/>
      <c r="I2621" s="116"/>
      <c r="L2621" s="170">
        <v>45862</v>
      </c>
      <c r="M2621" s="116">
        <v>1072.8</v>
      </c>
      <c r="N2621" s="116">
        <v>1104.5</v>
      </c>
      <c r="O2621" s="116">
        <v>1065.5</v>
      </c>
      <c r="P2621" s="116">
        <v>1084</v>
      </c>
      <c r="Q2621" s="116">
        <v>1072.8</v>
      </c>
      <c r="R2621">
        <v>6264546</v>
      </c>
    </row>
    <row r="2622" spans="1:18" x14ac:dyDescent="0.25">
      <c r="A2622" s="170">
        <v>45863</v>
      </c>
      <c r="B2622" s="116">
        <v>1078.55</v>
      </c>
      <c r="C2622" s="116">
        <v>1054.6500000000001</v>
      </c>
      <c r="D2622" s="116">
        <v>1050</v>
      </c>
      <c r="E2622" s="116">
        <v>1075</v>
      </c>
      <c r="F2622" s="116">
        <v>1054.6500000000001</v>
      </c>
      <c r="G2622">
        <v>34193</v>
      </c>
      <c r="H2622" s="116"/>
      <c r="I2622" s="116"/>
      <c r="L2622" s="170">
        <v>45863</v>
      </c>
      <c r="M2622" s="116">
        <v>1054.4000000000001</v>
      </c>
      <c r="N2622" s="116">
        <v>1079.8</v>
      </c>
      <c r="O2622" s="116">
        <v>1050</v>
      </c>
      <c r="P2622" s="116">
        <v>1078</v>
      </c>
      <c r="Q2622" s="116">
        <v>1054.4000000000001</v>
      </c>
      <c r="R2622">
        <v>1180451</v>
      </c>
    </row>
    <row r="2623" spans="1:18" x14ac:dyDescent="0.25">
      <c r="A2623" s="170">
        <v>45866</v>
      </c>
      <c r="B2623" s="116">
        <v>1070</v>
      </c>
      <c r="C2623" s="116">
        <v>1059.2</v>
      </c>
      <c r="D2623" s="116">
        <v>1045.0999999999999</v>
      </c>
      <c r="E2623" s="116">
        <v>1050</v>
      </c>
      <c r="F2623" s="116">
        <v>1059.2</v>
      </c>
      <c r="G2623">
        <v>41057</v>
      </c>
      <c r="H2623" s="116"/>
      <c r="I2623" s="116"/>
      <c r="L2623" s="170">
        <v>45866</v>
      </c>
      <c r="M2623" s="116">
        <v>1059.9000000000001</v>
      </c>
      <c r="N2623" s="116">
        <v>1071</v>
      </c>
      <c r="O2623" s="116">
        <v>1044.4000000000001</v>
      </c>
      <c r="P2623" s="116">
        <v>1048</v>
      </c>
      <c r="Q2623" s="116">
        <v>1059.9000000000001</v>
      </c>
      <c r="R2623">
        <v>1219854</v>
      </c>
    </row>
    <row r="2624" spans="1:18" x14ac:dyDescent="0.25">
      <c r="A2624" s="170">
        <v>45867</v>
      </c>
      <c r="B2624" s="116">
        <v>1075.2</v>
      </c>
      <c r="C2624" s="116">
        <v>1061.9000000000001</v>
      </c>
      <c r="D2624" s="116">
        <v>1054.8499999999999</v>
      </c>
      <c r="E2624" s="116">
        <v>1058.55</v>
      </c>
      <c r="F2624" s="116">
        <v>1061.9000000000001</v>
      </c>
      <c r="G2624">
        <v>14336</v>
      </c>
      <c r="H2624" s="116"/>
      <c r="I2624" s="116"/>
      <c r="L2624" s="170">
        <v>45867</v>
      </c>
      <c r="M2624" s="116">
        <v>1061.5999999999999</v>
      </c>
      <c r="N2624" s="116">
        <v>1076.2</v>
      </c>
      <c r="O2624" s="116">
        <v>1054</v>
      </c>
      <c r="P2624" s="116">
        <v>1059.9000000000001</v>
      </c>
      <c r="Q2624" s="116">
        <v>1061.5999999999999</v>
      </c>
      <c r="R2624">
        <v>944513</v>
      </c>
    </row>
    <row r="2625" spans="1:18" x14ac:dyDescent="0.25">
      <c r="A2625" s="170">
        <v>45868</v>
      </c>
      <c r="B2625" s="116">
        <v>1083</v>
      </c>
      <c r="C2625" s="116">
        <v>1073.45</v>
      </c>
      <c r="D2625" s="116">
        <v>1057</v>
      </c>
      <c r="E2625" s="116">
        <v>1058</v>
      </c>
      <c r="F2625" s="116">
        <v>1073.45</v>
      </c>
      <c r="G2625">
        <v>58224</v>
      </c>
      <c r="H2625" s="116"/>
      <c r="I2625" s="116"/>
      <c r="L2625" s="170">
        <v>45868</v>
      </c>
      <c r="M2625" s="116">
        <v>1073.0999999999999</v>
      </c>
      <c r="N2625" s="116">
        <v>1083</v>
      </c>
      <c r="O2625" s="116">
        <v>1056</v>
      </c>
      <c r="P2625" s="116">
        <v>1056</v>
      </c>
      <c r="Q2625" s="116">
        <v>1073.0999999999999</v>
      </c>
      <c r="R2625">
        <v>1175543</v>
      </c>
    </row>
    <row r="2626" spans="1:18" x14ac:dyDescent="0.25">
      <c r="A2626" s="170">
        <v>45869</v>
      </c>
      <c r="B2626" s="116">
        <v>1079.6500000000001</v>
      </c>
      <c r="C2626" s="116">
        <v>1072.8499999999999</v>
      </c>
      <c r="D2626" s="116">
        <v>1056.3</v>
      </c>
      <c r="E2626" s="116">
        <v>1069.95</v>
      </c>
      <c r="F2626" s="116">
        <v>1072.8499999999999</v>
      </c>
      <c r="G2626">
        <v>31497</v>
      </c>
      <c r="H2626" s="116"/>
      <c r="I2626" s="116"/>
      <c r="L2626" s="170">
        <v>45869</v>
      </c>
      <c r="M2626" s="116">
        <v>1073.2</v>
      </c>
      <c r="N2626" s="116">
        <v>1079.7</v>
      </c>
      <c r="O2626" s="116">
        <v>1054.5</v>
      </c>
      <c r="P2626" s="116">
        <v>1068.7</v>
      </c>
      <c r="Q2626" s="116">
        <v>1073.2</v>
      </c>
      <c r="R2626">
        <v>1114320</v>
      </c>
    </row>
    <row r="2627" spans="1:18" x14ac:dyDescent="0.25">
      <c r="A2627" s="170">
        <v>45870</v>
      </c>
      <c r="B2627" s="116">
        <v>1088.8499999999999</v>
      </c>
      <c r="C2627" s="116">
        <v>1070</v>
      </c>
      <c r="D2627" s="116">
        <v>1067.3499999999999</v>
      </c>
      <c r="E2627" s="116">
        <v>1072</v>
      </c>
      <c r="F2627" s="116">
        <v>1070</v>
      </c>
      <c r="G2627">
        <v>28091</v>
      </c>
      <c r="H2627" s="116"/>
      <c r="I2627" s="116"/>
      <c r="L2627" s="170">
        <v>45870</v>
      </c>
      <c r="M2627" s="116">
        <v>1070.4000000000001</v>
      </c>
      <c r="N2627" s="116">
        <v>1089.9000000000001</v>
      </c>
      <c r="O2627" s="116">
        <v>1067</v>
      </c>
      <c r="P2627" s="116">
        <v>1067.0999999999999</v>
      </c>
      <c r="Q2627" s="116">
        <v>1070.4000000000001</v>
      </c>
      <c r="R2627">
        <v>1040166</v>
      </c>
    </row>
    <row r="2628" spans="1:18" x14ac:dyDescent="0.25">
      <c r="A2628" s="170">
        <v>45873</v>
      </c>
      <c r="B2628" s="116">
        <v>1075.55</v>
      </c>
      <c r="C2628" s="116">
        <v>1072</v>
      </c>
      <c r="D2628" s="116">
        <v>1060.2</v>
      </c>
      <c r="E2628" s="116">
        <v>1060.3499999999999</v>
      </c>
      <c r="F2628" s="116">
        <v>1072</v>
      </c>
      <c r="G2628">
        <v>11844</v>
      </c>
      <c r="H2628" s="116"/>
      <c r="I2628" s="116"/>
      <c r="L2628" s="170">
        <v>45873</v>
      </c>
      <c r="M2628" s="116">
        <v>1072.5999999999999</v>
      </c>
      <c r="N2628" s="116">
        <v>1075.5999999999999</v>
      </c>
      <c r="O2628" s="116">
        <v>1060</v>
      </c>
      <c r="P2628" s="116">
        <v>1070.4000000000001</v>
      </c>
      <c r="Q2628" s="116">
        <v>1072.5999999999999</v>
      </c>
      <c r="R2628">
        <v>663828</v>
      </c>
    </row>
    <row r="2629" spans="1:18" x14ac:dyDescent="0.25">
      <c r="A2629" s="170">
        <v>45874</v>
      </c>
      <c r="B2629" s="116">
        <v>1070</v>
      </c>
      <c r="C2629" s="116">
        <v>1063.95</v>
      </c>
      <c r="D2629" s="116">
        <v>1059.6500000000001</v>
      </c>
      <c r="E2629" s="116">
        <v>1064.45</v>
      </c>
      <c r="F2629" s="116">
        <v>1063.95</v>
      </c>
      <c r="G2629">
        <v>4924</v>
      </c>
      <c r="H2629" s="116"/>
      <c r="I2629" s="116"/>
      <c r="L2629" s="170">
        <v>45874</v>
      </c>
      <c r="M2629" s="116">
        <v>1064.5999999999999</v>
      </c>
      <c r="N2629" s="116">
        <v>1073</v>
      </c>
      <c r="O2629" s="116">
        <v>1059.0999999999999</v>
      </c>
      <c r="P2629" s="116">
        <v>1072.5999999999999</v>
      </c>
      <c r="Q2629" s="116">
        <v>1064.5999999999999</v>
      </c>
      <c r="R2629">
        <v>861402</v>
      </c>
    </row>
    <row r="2630" spans="1:18" x14ac:dyDescent="0.25">
      <c r="A2630" s="170">
        <v>45875</v>
      </c>
      <c r="B2630" s="116">
        <v>1066.8</v>
      </c>
      <c r="C2630" s="116">
        <v>1053.05</v>
      </c>
      <c r="D2630" s="116">
        <v>1051.2</v>
      </c>
      <c r="E2630" s="116">
        <v>1053.05</v>
      </c>
      <c r="F2630" s="116">
        <v>1053.05</v>
      </c>
      <c r="G2630">
        <v>13617</v>
      </c>
      <c r="H2630" s="116"/>
      <c r="I2630" s="116"/>
      <c r="L2630" s="170">
        <v>45875</v>
      </c>
      <c r="M2630" s="116">
        <v>1052.8</v>
      </c>
      <c r="N2630" s="116">
        <v>1067.3</v>
      </c>
      <c r="O2630" s="116">
        <v>1050.5999999999999</v>
      </c>
      <c r="P2630" s="116">
        <v>1061</v>
      </c>
      <c r="Q2630" s="116">
        <v>1052.8</v>
      </c>
      <c r="R2630">
        <v>598309</v>
      </c>
    </row>
    <row r="2631" spans="1:18" x14ac:dyDescent="0.25">
      <c r="A2631" s="170">
        <v>45876</v>
      </c>
      <c r="B2631" s="116">
        <v>1056</v>
      </c>
      <c r="C2631" s="116">
        <v>1052.8499999999999</v>
      </c>
      <c r="D2631" s="116">
        <v>1039</v>
      </c>
      <c r="E2631" s="116">
        <v>1049.75</v>
      </c>
      <c r="F2631" s="116">
        <v>1052.8499999999999</v>
      </c>
      <c r="G2631">
        <v>21533</v>
      </c>
      <c r="H2631" s="116"/>
      <c r="I2631" s="116"/>
      <c r="L2631" s="170">
        <v>45876</v>
      </c>
      <c r="M2631" s="116">
        <v>1052.8</v>
      </c>
      <c r="N2631" s="116">
        <v>1056.5</v>
      </c>
      <c r="O2631" s="116">
        <v>1038.7</v>
      </c>
      <c r="P2631" s="116">
        <v>1051</v>
      </c>
      <c r="Q2631" s="116">
        <v>1052.8</v>
      </c>
      <c r="R2631">
        <v>600790</v>
      </c>
    </row>
    <row r="2632" spans="1:18" x14ac:dyDescent="0.25">
      <c r="A2632" s="170">
        <v>45877</v>
      </c>
      <c r="B2632" s="116">
        <v>1062</v>
      </c>
      <c r="C2632" s="116">
        <v>1049.5999999999999</v>
      </c>
      <c r="D2632" s="116">
        <v>1043.55</v>
      </c>
      <c r="E2632" s="116">
        <v>1045.25</v>
      </c>
      <c r="F2632" s="116">
        <v>1049.5999999999999</v>
      </c>
      <c r="G2632">
        <v>17920</v>
      </c>
      <c r="H2632" s="116"/>
      <c r="I2632" s="116"/>
      <c r="L2632" s="170">
        <v>45877</v>
      </c>
      <c r="M2632" s="116">
        <v>1051</v>
      </c>
      <c r="N2632" s="116">
        <v>1062</v>
      </c>
      <c r="O2632" s="116">
        <v>1043</v>
      </c>
      <c r="P2632" s="116">
        <v>1052</v>
      </c>
      <c r="Q2632" s="116">
        <v>1051</v>
      </c>
      <c r="R2632">
        <v>843741</v>
      </c>
    </row>
    <row r="2633" spans="1:18" x14ac:dyDescent="0.25">
      <c r="A2633" s="170">
        <v>45880</v>
      </c>
      <c r="B2633" s="116">
        <v>1062.55</v>
      </c>
      <c r="C2633" s="116">
        <v>1058.5</v>
      </c>
      <c r="D2633" s="116">
        <v>1038.3499999999999</v>
      </c>
      <c r="E2633" s="116">
        <v>1045.0999999999999</v>
      </c>
      <c r="F2633" s="116">
        <v>1058.5</v>
      </c>
      <c r="G2633">
        <v>10499</v>
      </c>
      <c r="H2633" s="116"/>
      <c r="I2633" s="116"/>
      <c r="L2633" s="170">
        <v>45880</v>
      </c>
      <c r="M2633" s="116">
        <v>1059.0999999999999</v>
      </c>
      <c r="N2633" s="116">
        <v>1062.9000000000001</v>
      </c>
      <c r="O2633" s="116">
        <v>1037.7</v>
      </c>
      <c r="P2633" s="116">
        <v>1048</v>
      </c>
      <c r="Q2633" s="116">
        <v>1059.0999999999999</v>
      </c>
      <c r="R2633">
        <v>617689</v>
      </c>
    </row>
    <row r="2634" spans="1:18" x14ac:dyDescent="0.25">
      <c r="A2634" s="170">
        <v>45881</v>
      </c>
      <c r="B2634" s="116">
        <v>1062.8</v>
      </c>
      <c r="C2634" s="116">
        <v>1046.3499999999999</v>
      </c>
      <c r="D2634" s="116">
        <v>1045</v>
      </c>
      <c r="E2634" s="116">
        <v>1058.5</v>
      </c>
      <c r="F2634" s="116">
        <v>1046.3499999999999</v>
      </c>
      <c r="G2634">
        <v>7282</v>
      </c>
      <c r="H2634" s="116"/>
      <c r="I2634" s="116"/>
      <c r="L2634" s="170">
        <v>45881</v>
      </c>
      <c r="M2634" s="116">
        <v>1046.8</v>
      </c>
      <c r="N2634" s="116">
        <v>1062.9000000000001</v>
      </c>
      <c r="O2634" s="116">
        <v>1045</v>
      </c>
      <c r="P2634" s="116">
        <v>1055.8</v>
      </c>
      <c r="Q2634" s="116">
        <v>1046.8</v>
      </c>
      <c r="R2634">
        <v>651741</v>
      </c>
    </row>
    <row r="2635" spans="1:18" x14ac:dyDescent="0.25">
      <c r="A2635" s="170">
        <v>45882</v>
      </c>
      <c r="B2635" s="116">
        <v>1058.8</v>
      </c>
      <c r="C2635" s="116">
        <v>1056.55</v>
      </c>
      <c r="D2635" s="116">
        <v>1042.8</v>
      </c>
      <c r="E2635" s="116">
        <v>1046.4000000000001</v>
      </c>
      <c r="F2635" s="116">
        <v>1056.55</v>
      </c>
      <c r="G2635">
        <v>10193</v>
      </c>
      <c r="H2635" s="116"/>
      <c r="I2635" s="116"/>
      <c r="L2635" s="170">
        <v>45882</v>
      </c>
      <c r="M2635" s="116">
        <v>1056.0999999999999</v>
      </c>
      <c r="N2635" s="116">
        <v>1058.7</v>
      </c>
      <c r="O2635" s="116">
        <v>1043.2</v>
      </c>
      <c r="P2635" s="116">
        <v>1047.8</v>
      </c>
      <c r="Q2635" s="116">
        <v>1056.0999999999999</v>
      </c>
      <c r="R2635">
        <v>501792</v>
      </c>
    </row>
    <row r="2636" spans="1:18" x14ac:dyDescent="0.25">
      <c r="A2636" s="170">
        <v>45883</v>
      </c>
      <c r="B2636" s="116">
        <v>1058.0999999999999</v>
      </c>
      <c r="C2636" s="116">
        <v>1049.8</v>
      </c>
      <c r="D2636" s="116">
        <v>1045.3</v>
      </c>
      <c r="E2636" s="116">
        <v>1055.95</v>
      </c>
      <c r="F2636" s="116">
        <v>1049.8</v>
      </c>
      <c r="G2636">
        <v>12209</v>
      </c>
      <c r="H2636" s="116"/>
      <c r="I2636" s="116"/>
      <c r="L2636" s="170">
        <v>45883</v>
      </c>
      <c r="M2636" s="116">
        <v>1051.2</v>
      </c>
      <c r="N2636" s="116">
        <v>1059.4000000000001</v>
      </c>
      <c r="O2636" s="116">
        <v>1045.4000000000001</v>
      </c>
      <c r="P2636" s="116">
        <v>1057.2</v>
      </c>
      <c r="Q2636" s="116">
        <v>1051.2</v>
      </c>
      <c r="R2636">
        <v>767620</v>
      </c>
    </row>
    <row r="2637" spans="1:18" x14ac:dyDescent="0.25">
      <c r="A2637" s="170">
        <v>45887</v>
      </c>
      <c r="B2637" s="116">
        <v>1089</v>
      </c>
      <c r="C2637" s="116">
        <v>1072.1500000000001</v>
      </c>
      <c r="D2637" s="116">
        <v>1060.2</v>
      </c>
      <c r="E2637" s="116">
        <v>1062.8</v>
      </c>
      <c r="F2637" s="116">
        <v>1072.1500000000001</v>
      </c>
      <c r="G2637">
        <v>28002</v>
      </c>
      <c r="H2637" s="116"/>
      <c r="I2637" s="116"/>
      <c r="L2637" s="170">
        <v>45887</v>
      </c>
      <c r="M2637" s="116">
        <v>1071.3</v>
      </c>
      <c r="N2637" s="116">
        <v>1090</v>
      </c>
      <c r="O2637" s="116">
        <v>1059</v>
      </c>
      <c r="P2637" s="116">
        <v>1061</v>
      </c>
      <c r="Q2637" s="116">
        <v>1071.3</v>
      </c>
      <c r="R2637">
        <v>1099268</v>
      </c>
    </row>
    <row r="2638" spans="1:18" x14ac:dyDescent="0.25">
      <c r="A2638" s="170">
        <v>45888</v>
      </c>
      <c r="B2638" s="116">
        <v>1092</v>
      </c>
      <c r="C2638" s="116">
        <v>1086.95</v>
      </c>
      <c r="D2638" s="116">
        <v>1068.75</v>
      </c>
      <c r="E2638" s="116">
        <v>1079</v>
      </c>
      <c r="F2638" s="116">
        <v>1086.95</v>
      </c>
      <c r="G2638">
        <v>56177</v>
      </c>
      <c r="H2638" s="116"/>
      <c r="I2638" s="116"/>
      <c r="L2638" s="170">
        <v>45888</v>
      </c>
      <c r="M2638" s="116">
        <v>1085.8</v>
      </c>
      <c r="N2638" s="116">
        <v>1092.9000000000001</v>
      </c>
      <c r="O2638" s="116">
        <v>1069</v>
      </c>
      <c r="P2638" s="116">
        <v>1076.7</v>
      </c>
      <c r="Q2638" s="116">
        <v>1085.8</v>
      </c>
      <c r="R2638">
        <v>667231</v>
      </c>
    </row>
    <row r="2639" spans="1:18" x14ac:dyDescent="0.25">
      <c r="A2639" s="170">
        <v>45889</v>
      </c>
      <c r="B2639" s="116">
        <v>1108.5</v>
      </c>
      <c r="C2639" s="116">
        <v>1105.5999999999999</v>
      </c>
      <c r="D2639" s="116">
        <v>1079</v>
      </c>
      <c r="E2639" s="116">
        <v>1085.45</v>
      </c>
      <c r="F2639" s="116">
        <v>1105.5999999999999</v>
      </c>
      <c r="G2639">
        <v>47379</v>
      </c>
      <c r="H2639" s="116"/>
      <c r="I2639" s="116"/>
      <c r="L2639" s="170">
        <v>45889</v>
      </c>
      <c r="M2639" s="116">
        <v>1105.3</v>
      </c>
      <c r="N2639" s="116">
        <v>1106.9000000000001</v>
      </c>
      <c r="O2639" s="116">
        <v>1078.9000000000001</v>
      </c>
      <c r="P2639" s="116">
        <v>1086</v>
      </c>
      <c r="Q2639" s="116">
        <v>1105.3</v>
      </c>
      <c r="R2639">
        <v>871108</v>
      </c>
    </row>
    <row r="2640" spans="1:18" x14ac:dyDescent="0.25">
      <c r="A2640" s="170">
        <v>45890</v>
      </c>
      <c r="B2640" s="116">
        <v>1105</v>
      </c>
      <c r="C2640" s="116">
        <v>1087.8499999999999</v>
      </c>
      <c r="D2640" s="116">
        <v>1086.55</v>
      </c>
      <c r="E2640" s="116">
        <v>1105</v>
      </c>
      <c r="F2640" s="116">
        <v>1087.8499999999999</v>
      </c>
      <c r="G2640">
        <v>23921</v>
      </c>
      <c r="H2640" s="116"/>
      <c r="I2640" s="116"/>
      <c r="L2640" s="170">
        <v>45890</v>
      </c>
      <c r="M2640" s="116">
        <v>1088.0999999999999</v>
      </c>
      <c r="N2640" s="116">
        <v>1104</v>
      </c>
      <c r="O2640" s="116">
        <v>1086.5</v>
      </c>
      <c r="P2640" s="116">
        <v>1104</v>
      </c>
      <c r="Q2640" s="116">
        <v>1088.0999999999999</v>
      </c>
      <c r="R2640">
        <v>614098</v>
      </c>
    </row>
    <row r="2641" spans="1:18" x14ac:dyDescent="0.25">
      <c r="A2641" s="170">
        <v>45891</v>
      </c>
      <c r="B2641" s="116">
        <v>1091.25</v>
      </c>
      <c r="C2641" s="116">
        <v>1083.5999999999999</v>
      </c>
      <c r="D2641" s="116">
        <v>1080.1500000000001</v>
      </c>
      <c r="E2641" s="116">
        <v>1091.2</v>
      </c>
      <c r="F2641" s="116">
        <v>1083.5999999999999</v>
      </c>
      <c r="G2641">
        <v>8983</v>
      </c>
      <c r="H2641" s="116"/>
      <c r="I2641" s="116"/>
      <c r="L2641" s="170">
        <v>45891</v>
      </c>
      <c r="M2641" s="116">
        <v>1084.0999999999999</v>
      </c>
      <c r="N2641" s="116">
        <v>1091.7</v>
      </c>
      <c r="O2641" s="116">
        <v>1080</v>
      </c>
      <c r="P2641" s="116">
        <v>1087.2</v>
      </c>
      <c r="Q2641" s="116">
        <v>1084.0999999999999</v>
      </c>
      <c r="R2641">
        <v>394813</v>
      </c>
    </row>
    <row r="2642" spans="1:18" x14ac:dyDescent="0.25">
      <c r="A2642" s="170">
        <v>45894</v>
      </c>
      <c r="B2642" s="116">
        <v>1091.2</v>
      </c>
      <c r="C2642" s="116">
        <v>1081.2</v>
      </c>
      <c r="D2642" s="116">
        <v>1079.5999999999999</v>
      </c>
      <c r="E2642" s="116">
        <v>1082.8</v>
      </c>
      <c r="F2642" s="116">
        <v>1081.2</v>
      </c>
      <c r="G2642">
        <v>12355</v>
      </c>
      <c r="H2642" s="116"/>
      <c r="I2642" s="116"/>
      <c r="L2642" s="170">
        <v>45894</v>
      </c>
      <c r="M2642" s="116">
        <v>1081.5999999999999</v>
      </c>
      <c r="N2642" s="116">
        <v>1091.3</v>
      </c>
      <c r="O2642" s="116">
        <v>1079.0999999999999</v>
      </c>
      <c r="P2642" s="116">
        <v>1085</v>
      </c>
      <c r="Q2642" s="116">
        <v>1081.5999999999999</v>
      </c>
      <c r="R2642">
        <v>444715</v>
      </c>
    </row>
    <row r="2643" spans="1:18" x14ac:dyDescent="0.25">
      <c r="A2643" s="170">
        <v>45895</v>
      </c>
      <c r="B2643" s="116">
        <v>1091.95</v>
      </c>
      <c r="C2643" s="116">
        <v>1079.5</v>
      </c>
      <c r="D2643" s="116">
        <v>1071.5999999999999</v>
      </c>
      <c r="E2643" s="116">
        <v>1081.2</v>
      </c>
      <c r="F2643" s="116">
        <v>1079.5</v>
      </c>
      <c r="G2643">
        <v>15487</v>
      </c>
      <c r="H2643" s="116"/>
      <c r="I2643" s="116"/>
      <c r="L2643" s="170">
        <v>45895</v>
      </c>
      <c r="M2643" s="116">
        <v>1079.9000000000001</v>
      </c>
      <c r="N2643" s="116">
        <v>1091.8</v>
      </c>
      <c r="O2643" s="116">
        <v>1070.0999999999999</v>
      </c>
      <c r="P2643" s="116">
        <v>1074.0999999999999</v>
      </c>
      <c r="Q2643" s="116">
        <v>1079.9000000000001</v>
      </c>
      <c r="R2643">
        <v>1201357</v>
      </c>
    </row>
    <row r="2644" spans="1:18" x14ac:dyDescent="0.25">
      <c r="A2644" s="170">
        <v>45897</v>
      </c>
      <c r="B2644" s="116">
        <v>1085.0999999999999</v>
      </c>
      <c r="C2644" s="116">
        <v>1062.0999999999999</v>
      </c>
      <c r="D2644" s="116">
        <v>1060.05</v>
      </c>
      <c r="E2644" s="116">
        <v>1079.5</v>
      </c>
      <c r="F2644" s="116">
        <v>1062.0999999999999</v>
      </c>
      <c r="G2644">
        <v>8518</v>
      </c>
      <c r="H2644" s="116"/>
      <c r="I2644" s="116"/>
      <c r="L2644" s="170">
        <v>45897</v>
      </c>
      <c r="M2644" s="116">
        <v>1062.4000000000001</v>
      </c>
      <c r="N2644" s="116">
        <v>1085.2</v>
      </c>
      <c r="O2644" s="116">
        <v>1060</v>
      </c>
      <c r="P2644" s="116">
        <v>1081.5</v>
      </c>
      <c r="Q2644" s="116">
        <v>1062.4000000000001</v>
      </c>
      <c r="R2644">
        <v>641975</v>
      </c>
    </row>
    <row r="2645" spans="1:18" x14ac:dyDescent="0.25">
      <c r="A2645" s="170">
        <v>45898</v>
      </c>
      <c r="B2645" s="116">
        <v>1077.95</v>
      </c>
      <c r="C2645" s="116">
        <v>1064.8499999999999</v>
      </c>
      <c r="D2645" s="116">
        <v>1056.5</v>
      </c>
      <c r="E2645" s="116">
        <v>1063.0999999999999</v>
      </c>
      <c r="F2645" s="116">
        <v>1064.8499999999999</v>
      </c>
      <c r="G2645">
        <v>18523</v>
      </c>
      <c r="H2645" s="116"/>
      <c r="I2645" s="116"/>
      <c r="L2645" s="170">
        <v>45898</v>
      </c>
      <c r="M2645" s="116">
        <v>1065.4000000000001</v>
      </c>
      <c r="N2645" s="116">
        <v>1077.5</v>
      </c>
      <c r="O2645" s="116">
        <v>1055.2</v>
      </c>
      <c r="P2645" s="116">
        <v>1065</v>
      </c>
      <c r="Q2645" s="116">
        <v>1065.4000000000001</v>
      </c>
      <c r="R2645">
        <v>1079893</v>
      </c>
    </row>
    <row r="2646" spans="1:18" x14ac:dyDescent="0.25">
      <c r="A2646" s="170">
        <v>45901</v>
      </c>
      <c r="B2646" s="116">
        <v>1076.95</v>
      </c>
      <c r="C2646" s="116">
        <v>1075.55</v>
      </c>
      <c r="D2646" s="116">
        <v>1057.05</v>
      </c>
      <c r="E2646" s="116">
        <v>1060.05</v>
      </c>
      <c r="F2646" s="116">
        <v>1075.55</v>
      </c>
      <c r="G2646">
        <v>28273</v>
      </c>
      <c r="H2646" s="116"/>
      <c r="I2646" s="116"/>
      <c r="L2646" s="170">
        <v>45901</v>
      </c>
      <c r="M2646" s="116">
        <v>1075.7</v>
      </c>
      <c r="N2646" s="116">
        <v>1077</v>
      </c>
      <c r="O2646" s="116">
        <v>1057</v>
      </c>
      <c r="P2646" s="116">
        <v>1059.0999999999999</v>
      </c>
      <c r="Q2646" s="116">
        <v>1075.7</v>
      </c>
      <c r="R2646">
        <v>807324</v>
      </c>
    </row>
    <row r="2647" spans="1:18" x14ac:dyDescent="0.25">
      <c r="A2647" s="170">
        <v>45902</v>
      </c>
      <c r="B2647" s="116">
        <v>1106</v>
      </c>
      <c r="C2647" s="116">
        <v>1099.6500000000001</v>
      </c>
      <c r="D2647" s="116">
        <v>1073.05</v>
      </c>
      <c r="E2647" s="116">
        <v>1073.05</v>
      </c>
      <c r="F2647" s="116">
        <v>1099.6500000000001</v>
      </c>
      <c r="G2647">
        <v>75863</v>
      </c>
      <c r="H2647" s="116"/>
      <c r="I2647" s="116"/>
      <c r="L2647" s="170">
        <v>45902</v>
      </c>
      <c r="M2647" s="116">
        <v>1100.8</v>
      </c>
      <c r="N2647" s="116">
        <v>1105.5999999999999</v>
      </c>
      <c r="O2647" s="116">
        <v>1074.0999999999999</v>
      </c>
      <c r="P2647" s="116">
        <v>1077</v>
      </c>
      <c r="Q2647" s="116">
        <v>1100.8</v>
      </c>
      <c r="R2647">
        <v>1649975</v>
      </c>
    </row>
    <row r="2648" spans="1:18" x14ac:dyDescent="0.25">
      <c r="A2648" s="170">
        <v>45903</v>
      </c>
      <c r="B2648" s="116">
        <v>1106.25</v>
      </c>
      <c r="C2648" s="116">
        <v>1104.55</v>
      </c>
      <c r="D2648" s="116">
        <v>1087</v>
      </c>
      <c r="E2648" s="116">
        <v>1100.3499999999999</v>
      </c>
      <c r="F2648" s="116">
        <v>1104.55</v>
      </c>
      <c r="G2648">
        <v>22022</v>
      </c>
      <c r="H2648" s="116"/>
      <c r="I2648" s="116"/>
      <c r="L2648" s="170">
        <v>45903</v>
      </c>
      <c r="M2648" s="116">
        <v>1104.4000000000001</v>
      </c>
      <c r="N2648" s="116">
        <v>1106.5999999999999</v>
      </c>
      <c r="O2648" s="116">
        <v>1086.5</v>
      </c>
      <c r="P2648" s="116">
        <v>1102.9000000000001</v>
      </c>
      <c r="Q2648" s="116">
        <v>1104.4000000000001</v>
      </c>
      <c r="R2648">
        <v>1244093</v>
      </c>
    </row>
    <row r="2649" spans="1:18" x14ac:dyDescent="0.25">
      <c r="A2649" s="170">
        <v>45904</v>
      </c>
      <c r="B2649" s="116">
        <v>1125.55</v>
      </c>
      <c r="C2649" s="116">
        <v>1070.5</v>
      </c>
      <c r="D2649" s="116">
        <v>1067.45</v>
      </c>
      <c r="E2649" s="116">
        <v>1120.05</v>
      </c>
      <c r="F2649" s="116">
        <v>1070.5</v>
      </c>
      <c r="G2649">
        <v>85166</v>
      </c>
      <c r="H2649" s="116"/>
      <c r="I2649" s="116"/>
      <c r="L2649" s="170">
        <v>45904</v>
      </c>
      <c r="M2649" s="116">
        <v>1071.0999999999999</v>
      </c>
      <c r="N2649" s="116">
        <v>1126</v>
      </c>
      <c r="O2649" s="116">
        <v>1067.2</v>
      </c>
      <c r="P2649" s="116">
        <v>1126</v>
      </c>
      <c r="Q2649" s="116">
        <v>1071.0999999999999</v>
      </c>
      <c r="R2649">
        <v>2407789</v>
      </c>
    </row>
    <row r="2650" spans="1:18" x14ac:dyDescent="0.25">
      <c r="A2650" s="170">
        <v>45905</v>
      </c>
      <c r="B2650" s="116">
        <v>1077.3</v>
      </c>
      <c r="C2650" s="116">
        <v>1072.3499999999999</v>
      </c>
      <c r="D2650" s="116">
        <v>1061.25</v>
      </c>
      <c r="E2650" s="116">
        <v>1072.0999999999999</v>
      </c>
      <c r="F2650" s="116">
        <v>1072.3499999999999</v>
      </c>
      <c r="G2650">
        <v>51219</v>
      </c>
      <c r="H2650" s="116"/>
      <c r="I2650" s="116"/>
      <c r="L2650" s="170">
        <v>45905</v>
      </c>
      <c r="M2650" s="116">
        <v>1072.4000000000001</v>
      </c>
      <c r="N2650" s="116">
        <v>1077.5</v>
      </c>
      <c r="O2650" s="116">
        <v>1061.2</v>
      </c>
      <c r="P2650" s="116">
        <v>1074</v>
      </c>
      <c r="Q2650" s="116">
        <v>1072.4000000000001</v>
      </c>
      <c r="R2650">
        <v>1130356</v>
      </c>
    </row>
    <row r="2651" spans="1:18" x14ac:dyDescent="0.25">
      <c r="A2651" s="170">
        <v>45908</v>
      </c>
      <c r="B2651" s="116">
        <v>1080.8</v>
      </c>
      <c r="C2651" s="116">
        <v>1074.45</v>
      </c>
      <c r="D2651" s="116">
        <v>1069.2</v>
      </c>
      <c r="E2651" s="116">
        <v>1072.5</v>
      </c>
      <c r="F2651" s="116">
        <v>1074.45</v>
      </c>
      <c r="G2651">
        <v>9562</v>
      </c>
      <c r="H2651" s="116"/>
      <c r="I2651" s="116"/>
      <c r="L2651" s="170">
        <v>45908</v>
      </c>
      <c r="M2651" s="116">
        <v>1074.2</v>
      </c>
      <c r="N2651" s="116">
        <v>1081.3</v>
      </c>
      <c r="O2651" s="116">
        <v>1068.7</v>
      </c>
      <c r="P2651" s="116">
        <v>1072.4000000000001</v>
      </c>
      <c r="Q2651" s="116">
        <v>1074.2</v>
      </c>
      <c r="R2651">
        <v>600835</v>
      </c>
    </row>
    <row r="2652" spans="1:18" x14ac:dyDescent="0.25">
      <c r="A2652" s="170">
        <v>45909</v>
      </c>
      <c r="B2652" s="116">
        <v>1085.5</v>
      </c>
      <c r="C2652" s="116">
        <v>1083.75</v>
      </c>
      <c r="D2652" s="116">
        <v>1067.75</v>
      </c>
      <c r="E2652" s="116">
        <v>1071.25</v>
      </c>
      <c r="F2652" s="116">
        <v>1083.75</v>
      </c>
      <c r="G2652">
        <v>21857</v>
      </c>
      <c r="H2652" s="116"/>
      <c r="I2652" s="116"/>
      <c r="L2652" s="170">
        <v>45909</v>
      </c>
      <c r="M2652" s="116">
        <v>1083.5</v>
      </c>
      <c r="N2652" s="116">
        <v>1086</v>
      </c>
      <c r="O2652" s="116">
        <v>1068.0999999999999</v>
      </c>
      <c r="P2652" s="116">
        <v>1074.2</v>
      </c>
      <c r="Q2652" s="116">
        <v>1083.5</v>
      </c>
      <c r="R2652">
        <v>779147</v>
      </c>
    </row>
    <row r="2653" spans="1:18" x14ac:dyDescent="0.25">
      <c r="A2653" s="170">
        <v>45910</v>
      </c>
      <c r="B2653" s="116">
        <v>1102.95</v>
      </c>
      <c r="C2653" s="116">
        <v>1100.55</v>
      </c>
      <c r="D2653" s="116">
        <v>1080.8</v>
      </c>
      <c r="E2653" s="116">
        <v>1080.8499999999999</v>
      </c>
      <c r="F2653" s="116">
        <v>1100.55</v>
      </c>
      <c r="G2653">
        <v>43965</v>
      </c>
      <c r="H2653" s="116"/>
      <c r="I2653" s="116"/>
      <c r="L2653" s="170">
        <v>45910</v>
      </c>
      <c r="M2653" s="116">
        <v>1101</v>
      </c>
      <c r="N2653" s="116">
        <v>1103</v>
      </c>
      <c r="O2653" s="116">
        <v>1081.7</v>
      </c>
      <c r="P2653" s="116">
        <v>1083.5</v>
      </c>
      <c r="Q2653" s="116">
        <v>1101</v>
      </c>
      <c r="R2653">
        <v>1200433</v>
      </c>
    </row>
    <row r="2654" spans="1:18" x14ac:dyDescent="0.25">
      <c r="A2654" s="170">
        <v>45911</v>
      </c>
      <c r="B2654" s="116">
        <v>1107.9000000000001</v>
      </c>
      <c r="C2654" s="116">
        <v>1105.05</v>
      </c>
      <c r="D2654" s="116">
        <v>1095.05</v>
      </c>
      <c r="E2654" s="116">
        <v>1095.05</v>
      </c>
      <c r="F2654" s="116">
        <v>1105.05</v>
      </c>
      <c r="G2654">
        <v>45302</v>
      </c>
      <c r="H2654" s="116"/>
      <c r="I2654" s="116"/>
      <c r="L2654" s="170">
        <v>45911</v>
      </c>
      <c r="M2654" s="116">
        <v>1105.3</v>
      </c>
      <c r="N2654" s="116">
        <v>1107.8</v>
      </c>
      <c r="O2654" s="116">
        <v>1094.3</v>
      </c>
      <c r="P2654" s="116">
        <v>1099</v>
      </c>
      <c r="Q2654" s="116">
        <v>1105.3</v>
      </c>
      <c r="R2654">
        <v>1030547</v>
      </c>
    </row>
    <row r="2655" spans="1:18" x14ac:dyDescent="0.25">
      <c r="A2655" s="170">
        <v>45912</v>
      </c>
      <c r="B2655" s="116">
        <v>1109.8499999999999</v>
      </c>
      <c r="C2655" s="116">
        <v>1103.05</v>
      </c>
      <c r="D2655" s="116">
        <v>1095.1500000000001</v>
      </c>
      <c r="E2655" s="116">
        <v>1109.8499999999999</v>
      </c>
      <c r="F2655" s="116">
        <v>1103.05</v>
      </c>
      <c r="G2655">
        <v>16280</v>
      </c>
      <c r="H2655" s="116"/>
      <c r="I2655" s="116"/>
      <c r="L2655" s="170">
        <v>45912</v>
      </c>
      <c r="M2655" s="116">
        <v>1103.9000000000001</v>
      </c>
      <c r="N2655" s="116">
        <v>1109.3</v>
      </c>
      <c r="O2655" s="116">
        <v>1095.2</v>
      </c>
      <c r="P2655" s="116">
        <v>1105</v>
      </c>
      <c r="Q2655" s="116">
        <v>1103.9000000000001</v>
      </c>
      <c r="R2655">
        <v>1131972</v>
      </c>
    </row>
    <row r="2656" spans="1:18" x14ac:dyDescent="0.25">
      <c r="A2656" s="170">
        <v>45915</v>
      </c>
      <c r="B2656" s="116">
        <v>1106.0999999999999</v>
      </c>
      <c r="C2656" s="116">
        <v>1101.5</v>
      </c>
      <c r="D2656" s="116">
        <v>1090.55</v>
      </c>
      <c r="E2656" s="116">
        <v>1103.05</v>
      </c>
      <c r="F2656" s="116">
        <v>1101.5</v>
      </c>
      <c r="G2656">
        <v>17327</v>
      </c>
      <c r="H2656" s="116"/>
      <c r="I2656" s="116"/>
      <c r="L2656" s="170">
        <v>45915</v>
      </c>
      <c r="M2656" s="116">
        <v>1102.5999999999999</v>
      </c>
      <c r="N2656" s="116">
        <v>1107.9000000000001</v>
      </c>
      <c r="O2656" s="116">
        <v>1090.5999999999999</v>
      </c>
      <c r="P2656" s="116">
        <v>1103.9000000000001</v>
      </c>
      <c r="Q2656" s="116">
        <v>1102.5999999999999</v>
      </c>
      <c r="R2656">
        <v>1491729</v>
      </c>
    </row>
    <row r="2657" spans="1:18" x14ac:dyDescent="0.25">
      <c r="A2657" s="170">
        <v>45916</v>
      </c>
      <c r="B2657" s="116">
        <v>1103.5999999999999</v>
      </c>
      <c r="C2657" s="116">
        <v>1092.6500000000001</v>
      </c>
      <c r="D2657" s="116">
        <v>1087.8</v>
      </c>
      <c r="E2657" s="116">
        <v>1100.3499999999999</v>
      </c>
      <c r="F2657" s="116">
        <v>1092.6500000000001</v>
      </c>
      <c r="G2657">
        <v>19771</v>
      </c>
      <c r="H2657" s="116"/>
      <c r="I2657" s="116"/>
      <c r="L2657" s="170">
        <v>45916</v>
      </c>
      <c r="M2657" s="116">
        <v>1092.0999999999999</v>
      </c>
      <c r="N2657" s="116">
        <v>1105.4000000000001</v>
      </c>
      <c r="O2657" s="116">
        <v>1087</v>
      </c>
      <c r="P2657" s="116">
        <v>1103</v>
      </c>
      <c r="Q2657" s="116">
        <v>1092.0999999999999</v>
      </c>
      <c r="R2657">
        <v>641025</v>
      </c>
    </row>
    <row r="2658" spans="1:18" x14ac:dyDescent="0.25">
      <c r="A2658" s="170">
        <v>45917</v>
      </c>
      <c r="B2658" s="116">
        <v>1138.95</v>
      </c>
      <c r="C2658" s="116">
        <v>1136.2</v>
      </c>
      <c r="D2658" s="116">
        <v>1093.3</v>
      </c>
      <c r="E2658" s="116">
        <v>1093.3</v>
      </c>
      <c r="F2658" s="116">
        <v>1136.2</v>
      </c>
      <c r="G2658">
        <v>227328</v>
      </c>
      <c r="H2658" s="116"/>
      <c r="I2658" s="116"/>
      <c r="L2658" s="170">
        <v>45917</v>
      </c>
      <c r="M2658" s="116">
        <v>1136.3</v>
      </c>
      <c r="N2658" s="116">
        <v>1138.8</v>
      </c>
      <c r="O2658" s="116">
        <v>1103.0999999999999</v>
      </c>
      <c r="P2658" s="116">
        <v>1103.0999999999999</v>
      </c>
      <c r="Q2658" s="116">
        <v>1136.3</v>
      </c>
      <c r="R2658">
        <v>3361334</v>
      </c>
    </row>
    <row r="2659" spans="1:18" x14ac:dyDescent="0.25">
      <c r="A2659" s="170">
        <v>45918</v>
      </c>
      <c r="B2659" s="116">
        <v>1143</v>
      </c>
      <c r="C2659" s="116">
        <v>1128.95</v>
      </c>
      <c r="D2659" s="116">
        <v>1124.2</v>
      </c>
      <c r="E2659" s="116">
        <v>1137.95</v>
      </c>
      <c r="F2659" s="116">
        <v>1128.95</v>
      </c>
      <c r="G2659">
        <v>27302</v>
      </c>
      <c r="H2659" s="116"/>
      <c r="I2659" s="116"/>
      <c r="L2659" s="170">
        <v>45918</v>
      </c>
      <c r="M2659" s="116">
        <v>1129.3</v>
      </c>
      <c r="N2659" s="116">
        <v>1144.4000000000001</v>
      </c>
      <c r="O2659" s="116">
        <v>1123</v>
      </c>
      <c r="P2659" s="116">
        <v>1136.3</v>
      </c>
      <c r="Q2659" s="116">
        <v>1129.3</v>
      </c>
      <c r="R2659">
        <v>1030976</v>
      </c>
    </row>
    <row r="2660" spans="1:18" x14ac:dyDescent="0.25">
      <c r="A2660" s="170">
        <v>45919</v>
      </c>
      <c r="B2660" s="116">
        <v>1132.3499999999999</v>
      </c>
      <c r="C2660" s="116">
        <v>1126.55</v>
      </c>
      <c r="D2660" s="116">
        <v>1115</v>
      </c>
      <c r="E2660" s="116">
        <v>1128.95</v>
      </c>
      <c r="F2660" s="116">
        <v>1126.55</v>
      </c>
      <c r="G2660">
        <v>17273</v>
      </c>
      <c r="H2660" s="116"/>
      <c r="I2660" s="116"/>
      <c r="L2660" s="170">
        <v>45919</v>
      </c>
      <c r="M2660" s="116">
        <v>1126.8</v>
      </c>
      <c r="N2660" s="116">
        <v>1132.5999999999999</v>
      </c>
      <c r="O2660" s="116">
        <v>1114.4000000000001</v>
      </c>
      <c r="P2660" s="116">
        <v>1128.5</v>
      </c>
      <c r="Q2660" s="116">
        <v>1126.8</v>
      </c>
      <c r="R2660">
        <v>1438338</v>
      </c>
    </row>
    <row r="2661" spans="1:18" x14ac:dyDescent="0.25">
      <c r="A2661" s="170">
        <v>45922</v>
      </c>
      <c r="B2661" s="116">
        <v>1137</v>
      </c>
      <c r="C2661" s="116">
        <v>1130.0999999999999</v>
      </c>
      <c r="D2661" s="116">
        <v>1118.75</v>
      </c>
      <c r="E2661" s="116">
        <v>1118.75</v>
      </c>
      <c r="F2661" s="116">
        <v>1130.0999999999999</v>
      </c>
      <c r="G2661">
        <v>91104</v>
      </c>
      <c r="H2661" s="116"/>
      <c r="I2661" s="116"/>
      <c r="L2661" s="170">
        <v>45922</v>
      </c>
      <c r="M2661" s="116">
        <v>1130.0999999999999</v>
      </c>
      <c r="N2661" s="116">
        <v>1136.8</v>
      </c>
      <c r="O2661" s="116">
        <v>1119.9000000000001</v>
      </c>
      <c r="P2661" s="116">
        <v>1120</v>
      </c>
      <c r="Q2661" s="116">
        <v>1130.0999999999999</v>
      </c>
      <c r="R2661">
        <v>701996</v>
      </c>
    </row>
    <row r="2662" spans="1:18" x14ac:dyDescent="0.25">
      <c r="A2662" s="170">
        <v>45923</v>
      </c>
      <c r="B2662" s="116">
        <v>1134</v>
      </c>
      <c r="C2662" s="116">
        <v>1128.6500000000001</v>
      </c>
      <c r="D2662" s="116">
        <v>1118.6500000000001</v>
      </c>
      <c r="E2662" s="116">
        <v>1130.0999999999999</v>
      </c>
      <c r="F2662" s="116">
        <v>1128.6500000000001</v>
      </c>
      <c r="G2662">
        <v>23555</v>
      </c>
      <c r="H2662" s="116"/>
      <c r="I2662" s="116"/>
      <c r="L2662" s="170">
        <v>45923</v>
      </c>
      <c r="M2662" s="116">
        <v>1128.5</v>
      </c>
      <c r="N2662" s="116">
        <v>1134.5999999999999</v>
      </c>
      <c r="O2662" s="116">
        <v>1118.4000000000001</v>
      </c>
      <c r="P2662" s="116">
        <v>1131</v>
      </c>
      <c r="Q2662" s="116">
        <v>1128.5</v>
      </c>
      <c r="R2662">
        <v>1082761</v>
      </c>
    </row>
    <row r="2663" spans="1:18" x14ac:dyDescent="0.25">
      <c r="A2663" s="170">
        <v>45924</v>
      </c>
      <c r="B2663" s="116">
        <v>1147</v>
      </c>
      <c r="C2663" s="116">
        <v>1139.5</v>
      </c>
      <c r="D2663" s="116">
        <v>1114.3</v>
      </c>
      <c r="E2663" s="116">
        <v>1114.3</v>
      </c>
      <c r="F2663" s="116">
        <v>1139.5</v>
      </c>
      <c r="G2663">
        <v>69013</v>
      </c>
      <c r="H2663" s="116"/>
      <c r="I2663" s="116"/>
      <c r="L2663" s="170">
        <v>45924</v>
      </c>
      <c r="M2663" s="116">
        <v>1140.0999999999999</v>
      </c>
      <c r="N2663" s="116">
        <v>1147.0999999999999</v>
      </c>
      <c r="O2663" s="116">
        <v>1118.4000000000001</v>
      </c>
      <c r="P2663" s="116">
        <v>1125</v>
      </c>
      <c r="Q2663" s="116">
        <v>1140.0999999999999</v>
      </c>
      <c r="R2663">
        <v>1100753</v>
      </c>
    </row>
    <row r="2664" spans="1:18" x14ac:dyDescent="0.25">
      <c r="A2664" s="170">
        <v>45925</v>
      </c>
      <c r="B2664" s="116">
        <v>1146.55</v>
      </c>
      <c r="C2664" s="116">
        <v>1133.95</v>
      </c>
      <c r="D2664" s="116">
        <v>1127.5</v>
      </c>
      <c r="E2664" s="116">
        <v>1145.2</v>
      </c>
      <c r="F2664" s="116">
        <v>1133.95</v>
      </c>
      <c r="G2664">
        <v>18766</v>
      </c>
      <c r="H2664" s="116"/>
      <c r="I2664" s="116"/>
      <c r="L2664" s="170">
        <v>45925</v>
      </c>
      <c r="M2664" s="116">
        <v>1134.2</v>
      </c>
      <c r="N2664" s="116">
        <v>1146.5</v>
      </c>
      <c r="O2664" s="116">
        <v>1127.5999999999999</v>
      </c>
      <c r="P2664" s="116">
        <v>1145</v>
      </c>
      <c r="Q2664" s="116">
        <v>1134.2</v>
      </c>
      <c r="R2664">
        <v>1023970</v>
      </c>
    </row>
    <row r="2665" spans="1:18" x14ac:dyDescent="0.25">
      <c r="A2665" s="170">
        <v>45926</v>
      </c>
      <c r="B2665" s="116">
        <v>1137</v>
      </c>
      <c r="C2665" s="116">
        <v>1118.95</v>
      </c>
      <c r="D2665" s="116">
        <v>1116.95</v>
      </c>
      <c r="E2665" s="116">
        <v>1131.2</v>
      </c>
      <c r="F2665" s="116">
        <v>1118.95</v>
      </c>
      <c r="G2665">
        <v>10349</v>
      </c>
      <c r="H2665" s="116"/>
      <c r="I2665" s="116"/>
      <c r="L2665" s="170">
        <v>45926</v>
      </c>
      <c r="M2665" s="116">
        <v>1119</v>
      </c>
      <c r="N2665" s="116">
        <v>1136.9000000000001</v>
      </c>
      <c r="O2665" s="116">
        <v>1117.2</v>
      </c>
      <c r="P2665" s="116">
        <v>1126</v>
      </c>
      <c r="Q2665" s="116">
        <v>1119</v>
      </c>
      <c r="R2665">
        <v>565909</v>
      </c>
    </row>
    <row r="2666" spans="1:18" x14ac:dyDescent="0.25">
      <c r="A2666" s="170">
        <v>45929</v>
      </c>
      <c r="B2666" s="116">
        <v>1130.5</v>
      </c>
      <c r="C2666" s="116">
        <v>1124.4000000000001</v>
      </c>
      <c r="D2666" s="116">
        <v>1103.5</v>
      </c>
      <c r="E2666" s="116">
        <v>1118.95</v>
      </c>
      <c r="F2666" s="116">
        <v>1124.4000000000001</v>
      </c>
      <c r="G2666">
        <v>53455</v>
      </c>
      <c r="H2666" s="116"/>
      <c r="I2666" s="116"/>
      <c r="L2666" s="170">
        <v>45929</v>
      </c>
      <c r="M2666" s="116">
        <v>1123.0999999999999</v>
      </c>
      <c r="N2666" s="116">
        <v>1130.4000000000001</v>
      </c>
      <c r="O2666" s="116">
        <v>1103</v>
      </c>
      <c r="P2666" s="116">
        <v>1119</v>
      </c>
      <c r="Q2666" s="116">
        <v>1123.0999999999999</v>
      </c>
      <c r="R2666">
        <v>1372491</v>
      </c>
    </row>
    <row r="2667" spans="1:18" x14ac:dyDescent="0.25">
      <c r="A2667" s="170">
        <v>45930</v>
      </c>
      <c r="B2667" s="116">
        <v>1132.25</v>
      </c>
      <c r="C2667" s="116">
        <v>1129.1500000000001</v>
      </c>
      <c r="D2667" s="116">
        <v>1113.9000000000001</v>
      </c>
      <c r="E2667" s="116">
        <v>1118.4000000000001</v>
      </c>
      <c r="F2667" s="116">
        <v>1129.1500000000001</v>
      </c>
      <c r="G2667">
        <v>29955</v>
      </c>
      <c r="H2667" s="116"/>
      <c r="I2667" s="116"/>
      <c r="L2667" s="170">
        <v>45930</v>
      </c>
      <c r="M2667" s="116">
        <v>1129.3</v>
      </c>
      <c r="N2667" s="116">
        <v>1133.2</v>
      </c>
      <c r="O2667" s="116">
        <v>1114</v>
      </c>
      <c r="P2667" s="116">
        <v>1123</v>
      </c>
      <c r="Q2667" s="116">
        <v>1129.3</v>
      </c>
      <c r="R2667">
        <v>1377509</v>
      </c>
    </row>
    <row r="2668" spans="1:18" x14ac:dyDescent="0.25">
      <c r="A2668" s="170">
        <v>45931</v>
      </c>
      <c r="B2668" s="116">
        <v>1149</v>
      </c>
      <c r="C2668" s="116">
        <v>1143.55</v>
      </c>
      <c r="D2668" s="116">
        <v>1125.9000000000001</v>
      </c>
      <c r="E2668" s="116">
        <v>1131.95</v>
      </c>
      <c r="F2668" s="116">
        <v>1143.55</v>
      </c>
      <c r="G2668">
        <v>23374</v>
      </c>
      <c r="H2668" s="116"/>
      <c r="I2668" s="116"/>
      <c r="L2668" s="170">
        <v>45931</v>
      </c>
      <c r="M2668" s="116">
        <v>1144.8</v>
      </c>
      <c r="N2668" s="116">
        <v>1149.8</v>
      </c>
      <c r="O2668" s="116">
        <v>1122.0999999999999</v>
      </c>
      <c r="P2668" s="116">
        <v>1129.0999999999999</v>
      </c>
      <c r="Q2668" s="116">
        <v>1144.8</v>
      </c>
      <c r="R2668">
        <v>789835</v>
      </c>
    </row>
    <row r="2669" spans="1:18" x14ac:dyDescent="0.25">
      <c r="A2669" s="170">
        <v>45933</v>
      </c>
      <c r="B2669" s="116">
        <v>1149.3499999999999</v>
      </c>
      <c r="C2669" s="116">
        <v>1137</v>
      </c>
      <c r="D2669" s="116">
        <v>1128.55</v>
      </c>
      <c r="E2669" s="116">
        <v>1149.3499999999999</v>
      </c>
      <c r="F2669" s="116">
        <v>1137</v>
      </c>
      <c r="G2669">
        <v>35801</v>
      </c>
      <c r="H2669" s="116"/>
      <c r="I2669" s="116"/>
      <c r="L2669" s="170">
        <v>45933</v>
      </c>
      <c r="M2669" s="116">
        <v>1137.5</v>
      </c>
      <c r="N2669" s="116">
        <v>1150</v>
      </c>
      <c r="O2669" s="116">
        <v>1129.0999999999999</v>
      </c>
      <c r="P2669" s="116">
        <v>1146</v>
      </c>
      <c r="Q2669" s="116">
        <v>1137.5</v>
      </c>
      <c r="R2669">
        <v>1567152</v>
      </c>
    </row>
    <row r="2670" spans="1:18" x14ac:dyDescent="0.25">
      <c r="A2670" s="170">
        <v>45936</v>
      </c>
      <c r="B2670" s="116">
        <v>1151.25</v>
      </c>
      <c r="C2670" s="116">
        <v>1141.95</v>
      </c>
      <c r="D2670" s="116">
        <v>1132.3</v>
      </c>
      <c r="E2670" s="116">
        <v>1137</v>
      </c>
      <c r="F2670" s="116">
        <v>1141.95</v>
      </c>
      <c r="G2670">
        <v>27443</v>
      </c>
      <c r="H2670" s="116"/>
      <c r="I2670" s="116"/>
      <c r="L2670" s="170">
        <v>45936</v>
      </c>
      <c r="M2670" s="116">
        <v>1142.0999999999999</v>
      </c>
      <c r="N2670" s="116">
        <v>1152</v>
      </c>
      <c r="O2670" s="116">
        <v>1132.3</v>
      </c>
      <c r="P2670" s="116">
        <v>1133</v>
      </c>
      <c r="Q2670" s="116">
        <v>1142.0999999999999</v>
      </c>
      <c r="R2670">
        <v>1472109</v>
      </c>
    </row>
    <row r="2671" spans="1:18" x14ac:dyDescent="0.25">
      <c r="A2671" s="170">
        <v>45937</v>
      </c>
      <c r="B2671" s="116">
        <v>1144.95</v>
      </c>
      <c r="C2671" s="116">
        <v>1120.55</v>
      </c>
      <c r="D2671" s="116">
        <v>1115.45</v>
      </c>
      <c r="E2671" s="116">
        <v>1128.1500000000001</v>
      </c>
      <c r="F2671" s="116">
        <v>1120.55</v>
      </c>
      <c r="G2671">
        <v>95443</v>
      </c>
      <c r="H2671" s="116"/>
      <c r="I2671" s="116"/>
      <c r="L2671" s="170">
        <v>45937</v>
      </c>
      <c r="M2671" s="116">
        <v>1120</v>
      </c>
      <c r="N2671" s="116">
        <v>1144.9000000000001</v>
      </c>
      <c r="O2671" s="116">
        <v>1115.3</v>
      </c>
      <c r="P2671" s="116">
        <v>1136.4000000000001</v>
      </c>
      <c r="Q2671" s="116">
        <v>1120</v>
      </c>
      <c r="R2671">
        <v>1354474</v>
      </c>
    </row>
    <row r="2672" spans="1:18" x14ac:dyDescent="0.25">
      <c r="A2672" s="170">
        <v>45938</v>
      </c>
      <c r="B2672" s="116">
        <v>1126</v>
      </c>
      <c r="C2672" s="116">
        <v>1119.8499999999999</v>
      </c>
      <c r="D2672" s="116">
        <v>1111</v>
      </c>
      <c r="E2672" s="116">
        <v>1111</v>
      </c>
      <c r="F2672" s="116">
        <v>1119.8499999999999</v>
      </c>
      <c r="G2672">
        <v>26960</v>
      </c>
      <c r="H2672" s="116"/>
      <c r="I2672" s="116"/>
      <c r="L2672" s="170">
        <v>45938</v>
      </c>
      <c r="M2672" s="116">
        <v>1120.2</v>
      </c>
      <c r="N2672" s="116">
        <v>1126.7</v>
      </c>
      <c r="O2672" s="116">
        <v>1110</v>
      </c>
      <c r="P2672" s="116">
        <v>1112</v>
      </c>
      <c r="Q2672" s="116">
        <v>1120.2</v>
      </c>
      <c r="R2672">
        <v>963508</v>
      </c>
    </row>
    <row r="2673" spans="1:18" x14ac:dyDescent="0.25">
      <c r="A2673" s="170">
        <v>45939</v>
      </c>
      <c r="B2673" s="116">
        <v>1124.5</v>
      </c>
      <c r="C2673" s="116">
        <v>1119.25</v>
      </c>
      <c r="D2673" s="116">
        <v>1111.75</v>
      </c>
      <c r="E2673" s="116">
        <v>1111.75</v>
      </c>
      <c r="F2673" s="116">
        <v>1119.25</v>
      </c>
      <c r="G2673">
        <v>8966</v>
      </c>
      <c r="H2673" s="116"/>
      <c r="I2673" s="116"/>
      <c r="L2673" s="170">
        <v>45939</v>
      </c>
      <c r="M2673" s="116">
        <v>1118</v>
      </c>
      <c r="N2673" s="116">
        <v>1124.4000000000001</v>
      </c>
      <c r="O2673" s="116">
        <v>1114.5</v>
      </c>
      <c r="P2673" s="116">
        <v>1117</v>
      </c>
      <c r="Q2673" s="116">
        <v>1118</v>
      </c>
      <c r="R2673">
        <v>852898</v>
      </c>
    </row>
    <row r="2674" spans="1:18" x14ac:dyDescent="0.25">
      <c r="A2674" s="170">
        <v>45940</v>
      </c>
      <c r="B2674" s="116">
        <v>1131</v>
      </c>
      <c r="C2674" s="116">
        <v>1126.05</v>
      </c>
      <c r="D2674" s="116">
        <v>1108</v>
      </c>
      <c r="E2674" s="116">
        <v>1112.05</v>
      </c>
      <c r="F2674" s="116">
        <v>1126.05</v>
      </c>
      <c r="G2674">
        <v>29896</v>
      </c>
      <c r="H2674" s="116"/>
      <c r="I2674" s="116"/>
      <c r="L2674" s="170">
        <v>45940</v>
      </c>
      <c r="M2674" s="116">
        <v>1126.5</v>
      </c>
      <c r="N2674" s="116">
        <v>1131.4000000000001</v>
      </c>
      <c r="O2674" s="116">
        <v>1108.4000000000001</v>
      </c>
      <c r="P2674" s="116">
        <v>1116</v>
      </c>
      <c r="Q2674" s="116">
        <v>1126.5</v>
      </c>
      <c r="R2674">
        <v>982270</v>
      </c>
    </row>
    <row r="2675" spans="1:18" x14ac:dyDescent="0.25">
      <c r="A2675" s="170">
        <v>45943</v>
      </c>
      <c r="B2675" s="116">
        <v>1131</v>
      </c>
      <c r="C2675" s="116">
        <v>1116.8499999999999</v>
      </c>
      <c r="D2675" s="116">
        <v>1112.8499999999999</v>
      </c>
      <c r="E2675" s="116">
        <v>1115.8499999999999</v>
      </c>
      <c r="F2675" s="116">
        <v>1116.8499999999999</v>
      </c>
      <c r="G2675">
        <v>19569</v>
      </c>
      <c r="H2675" s="116"/>
      <c r="I2675" s="116"/>
      <c r="L2675" s="170">
        <v>45943</v>
      </c>
      <c r="M2675" s="116">
        <v>1117</v>
      </c>
      <c r="N2675" s="116">
        <v>1132.4000000000001</v>
      </c>
      <c r="O2675" s="116">
        <v>1112.5</v>
      </c>
      <c r="P2675" s="116">
        <v>1120</v>
      </c>
      <c r="Q2675" s="116">
        <v>1117</v>
      </c>
      <c r="R2675">
        <v>832628</v>
      </c>
    </row>
    <row r="2676" spans="1:18" x14ac:dyDescent="0.25">
      <c r="A2676" s="170">
        <v>45944</v>
      </c>
      <c r="B2676" s="116">
        <v>1124</v>
      </c>
      <c r="C2676" s="116">
        <v>1118.9000000000001</v>
      </c>
      <c r="D2676" s="116">
        <v>1105.0999999999999</v>
      </c>
      <c r="E2676" s="116">
        <v>1105.0999999999999</v>
      </c>
      <c r="F2676" s="116">
        <v>1118.9000000000001</v>
      </c>
      <c r="G2676">
        <v>11230</v>
      </c>
      <c r="H2676" s="116"/>
      <c r="I2676" s="116"/>
      <c r="L2676" s="170">
        <v>45944</v>
      </c>
      <c r="M2676" s="116">
        <v>1118.9000000000001</v>
      </c>
      <c r="N2676" s="116">
        <v>1124.5</v>
      </c>
      <c r="O2676" s="116">
        <v>1110.7</v>
      </c>
      <c r="P2676" s="116">
        <v>1115</v>
      </c>
      <c r="Q2676" s="116">
        <v>1118.9000000000001</v>
      </c>
      <c r="R2676">
        <v>1033610</v>
      </c>
    </row>
    <row r="2677" spans="1:18" x14ac:dyDescent="0.25">
      <c r="A2677" s="170">
        <v>45945</v>
      </c>
      <c r="B2677" s="116">
        <v>1122.2</v>
      </c>
      <c r="C2677" s="116">
        <v>1113.9000000000001</v>
      </c>
      <c r="D2677" s="116">
        <v>1112.55</v>
      </c>
      <c r="E2677" s="116">
        <v>1115.05</v>
      </c>
      <c r="F2677" s="116">
        <v>1113.9000000000001</v>
      </c>
      <c r="G2677">
        <v>36126</v>
      </c>
      <c r="H2677" s="116"/>
      <c r="I2677" s="116"/>
      <c r="L2677" s="170">
        <v>45945</v>
      </c>
      <c r="M2677" s="116">
        <v>1114.2</v>
      </c>
      <c r="N2677" s="116">
        <v>1122.0999999999999</v>
      </c>
      <c r="O2677" s="116">
        <v>1112.2</v>
      </c>
      <c r="P2677" s="116">
        <v>1118.9000000000001</v>
      </c>
      <c r="Q2677" s="116">
        <v>1114.2</v>
      </c>
      <c r="R2677">
        <v>1299596</v>
      </c>
    </row>
    <row r="2678" spans="1:18" x14ac:dyDescent="0.25">
      <c r="A2678" s="170">
        <v>45946</v>
      </c>
      <c r="B2678" s="116">
        <v>1153.75</v>
      </c>
      <c r="C2678" s="116">
        <v>1149.3499999999999</v>
      </c>
      <c r="D2678" s="116">
        <v>1108.95</v>
      </c>
      <c r="E2678" s="116">
        <v>1110.25</v>
      </c>
      <c r="F2678" s="116">
        <v>1149.3499999999999</v>
      </c>
      <c r="G2678">
        <v>36727</v>
      </c>
      <c r="H2678" s="116"/>
      <c r="I2678" s="116"/>
      <c r="L2678" s="170">
        <v>45946</v>
      </c>
      <c r="M2678" s="116">
        <v>1149.3</v>
      </c>
      <c r="N2678" s="116">
        <v>1154.2</v>
      </c>
      <c r="O2678" s="116">
        <v>1109</v>
      </c>
      <c r="P2678" s="116">
        <v>1114.2</v>
      </c>
      <c r="Q2678" s="116">
        <v>1149.3</v>
      </c>
      <c r="R2678">
        <v>2383412</v>
      </c>
    </row>
    <row r="2679" spans="1:18" x14ac:dyDescent="0.25">
      <c r="A2679" s="170">
        <v>45947</v>
      </c>
      <c r="B2679" s="116">
        <v>1173</v>
      </c>
      <c r="C2679" s="116">
        <v>1166.2</v>
      </c>
      <c r="D2679" s="116">
        <v>1142.05</v>
      </c>
      <c r="E2679" s="116">
        <v>1153.3</v>
      </c>
      <c r="F2679" s="116">
        <v>1166.2</v>
      </c>
      <c r="G2679">
        <v>145373</v>
      </c>
      <c r="H2679" s="116"/>
      <c r="I2679" s="116"/>
      <c r="L2679" s="170">
        <v>45947</v>
      </c>
      <c r="M2679" s="116">
        <v>1166</v>
      </c>
      <c r="N2679" s="116">
        <v>1173.5</v>
      </c>
      <c r="O2679" s="116">
        <v>1142.5</v>
      </c>
      <c r="P2679" s="116">
        <v>1152.2</v>
      </c>
      <c r="Q2679" s="116">
        <v>1166</v>
      </c>
      <c r="R2679">
        <v>2001759</v>
      </c>
    </row>
    <row r="2680" spans="1:18" x14ac:dyDescent="0.25">
      <c r="A2680" s="170">
        <v>45950</v>
      </c>
      <c r="B2680" s="116">
        <v>1186.2</v>
      </c>
      <c r="C2680" s="116">
        <v>1176.9000000000001</v>
      </c>
      <c r="D2680" s="116">
        <v>1163.5999999999999</v>
      </c>
      <c r="E2680" s="116">
        <v>1166.3</v>
      </c>
      <c r="F2680" s="116">
        <v>1176.9000000000001</v>
      </c>
      <c r="G2680">
        <v>61726</v>
      </c>
      <c r="H2680" s="116"/>
      <c r="I2680" s="116"/>
      <c r="L2680" s="170">
        <v>45950</v>
      </c>
      <c r="M2680" s="116">
        <v>1176.4000000000001</v>
      </c>
      <c r="N2680" s="116">
        <v>1187.5</v>
      </c>
      <c r="O2680" s="116">
        <v>1163.5999999999999</v>
      </c>
      <c r="P2680" s="116">
        <v>1166.9000000000001</v>
      </c>
      <c r="Q2680" s="116">
        <v>1176.4000000000001</v>
      </c>
      <c r="R2680">
        <v>1751305</v>
      </c>
    </row>
    <row r="2681" spans="1:18" x14ac:dyDescent="0.25">
      <c r="A2681" s="170">
        <v>45951</v>
      </c>
      <c r="B2681" s="116">
        <v>1183.55</v>
      </c>
      <c r="C2681" s="116">
        <v>1174.5999999999999</v>
      </c>
      <c r="D2681" s="116">
        <v>1172.45</v>
      </c>
      <c r="E2681" s="116">
        <v>1181</v>
      </c>
      <c r="F2681" s="116">
        <v>1174.5999999999999</v>
      </c>
      <c r="G2681">
        <v>20974</v>
      </c>
      <c r="H2681" s="116"/>
      <c r="I2681" s="116"/>
      <c r="L2681" s="170">
        <v>45951</v>
      </c>
      <c r="M2681" s="116">
        <v>1174.5999999999999</v>
      </c>
      <c r="N2681" s="116">
        <v>1184.4000000000001</v>
      </c>
      <c r="O2681" s="116">
        <v>1172.5</v>
      </c>
      <c r="P2681" s="116">
        <v>1176.4000000000001</v>
      </c>
      <c r="Q2681" s="116">
        <v>1174.5999999999999</v>
      </c>
      <c r="R2681">
        <v>123219</v>
      </c>
    </row>
    <row r="2682" spans="1:18" x14ac:dyDescent="0.25">
      <c r="A2682" s="170">
        <v>45953</v>
      </c>
      <c r="B2682" s="116">
        <v>1191.25</v>
      </c>
      <c r="C2682" s="116">
        <v>1162</v>
      </c>
      <c r="D2682" s="116">
        <v>1158.9000000000001</v>
      </c>
      <c r="E2682" s="116">
        <v>1172.55</v>
      </c>
      <c r="F2682" s="116">
        <v>1162</v>
      </c>
      <c r="G2682">
        <v>114218</v>
      </c>
      <c r="H2682" s="116"/>
      <c r="I2682" s="116"/>
      <c r="L2682" s="170">
        <v>45953</v>
      </c>
      <c r="M2682" s="116">
        <v>1161</v>
      </c>
      <c r="N2682" s="116">
        <v>1191.2</v>
      </c>
      <c r="O2682" s="116">
        <v>1158</v>
      </c>
      <c r="P2682" s="116">
        <v>1174.5999999999999</v>
      </c>
      <c r="Q2682" s="116">
        <v>1161</v>
      </c>
      <c r="R2682">
        <v>1137414</v>
      </c>
    </row>
    <row r="2683" spans="1:18" x14ac:dyDescent="0.25">
      <c r="A2683" s="170">
        <v>45954</v>
      </c>
      <c r="B2683" s="116">
        <v>1164.3499999999999</v>
      </c>
      <c r="C2683" s="116">
        <v>1154.5</v>
      </c>
      <c r="D2683" s="116">
        <v>1143.9000000000001</v>
      </c>
      <c r="E2683" s="116">
        <v>1161.25</v>
      </c>
      <c r="F2683" s="116">
        <v>1154.5</v>
      </c>
      <c r="G2683">
        <v>24905</v>
      </c>
      <c r="H2683" s="116"/>
      <c r="I2683" s="116"/>
      <c r="L2683" s="170">
        <v>45954</v>
      </c>
      <c r="M2683" s="116">
        <v>1155.3</v>
      </c>
      <c r="N2683" s="116">
        <v>1163.3</v>
      </c>
      <c r="O2683" s="116">
        <v>1144.4000000000001</v>
      </c>
      <c r="P2683" s="116">
        <v>1163.3</v>
      </c>
      <c r="Q2683" s="116">
        <v>1155.3</v>
      </c>
      <c r="R2683">
        <v>1103267</v>
      </c>
    </row>
    <row r="2684" spans="1:18" x14ac:dyDescent="0.25">
      <c r="A2684" s="170">
        <v>45957</v>
      </c>
      <c r="B2684" s="116">
        <v>1179.3</v>
      </c>
      <c r="C2684" s="116">
        <v>1170.05</v>
      </c>
      <c r="D2684" s="116">
        <v>1154.6500000000001</v>
      </c>
      <c r="E2684" s="116">
        <v>1154.6500000000001</v>
      </c>
      <c r="F2684" s="116">
        <v>1170.05</v>
      </c>
      <c r="G2684">
        <v>187263</v>
      </c>
      <c r="H2684" s="116"/>
      <c r="I2684" s="116"/>
      <c r="L2684" s="170">
        <v>45957</v>
      </c>
      <c r="M2684" s="116">
        <v>1169.9000000000001</v>
      </c>
      <c r="N2684" s="116">
        <v>1180</v>
      </c>
      <c r="O2684" s="116">
        <v>1155.9000000000001</v>
      </c>
      <c r="P2684" s="116">
        <v>1155.9000000000001</v>
      </c>
      <c r="Q2684" s="116">
        <v>1169.9000000000001</v>
      </c>
      <c r="R2684">
        <v>874449</v>
      </c>
    </row>
    <row r="2685" spans="1:18" x14ac:dyDescent="0.25">
      <c r="A2685" s="170">
        <v>45958</v>
      </c>
      <c r="B2685" s="116">
        <v>1176.2</v>
      </c>
      <c r="C2685" s="116">
        <v>1168.3499999999999</v>
      </c>
      <c r="D2685" s="116">
        <v>1158.0999999999999</v>
      </c>
      <c r="E2685" s="116">
        <v>1165.4000000000001</v>
      </c>
      <c r="F2685" s="116">
        <v>1168.3499999999999</v>
      </c>
      <c r="G2685">
        <v>22469</v>
      </c>
      <c r="H2685" s="116"/>
      <c r="I2685" s="116"/>
      <c r="L2685" s="170">
        <v>45958</v>
      </c>
      <c r="M2685" s="116">
        <v>1168.9000000000001</v>
      </c>
      <c r="N2685" s="116">
        <v>1176.4000000000001</v>
      </c>
      <c r="O2685" s="116">
        <v>1157.8</v>
      </c>
      <c r="P2685" s="116">
        <v>1169.3</v>
      </c>
      <c r="Q2685" s="116">
        <v>1168.9000000000001</v>
      </c>
      <c r="R2685">
        <v>842574</v>
      </c>
    </row>
    <row r="2686" spans="1:18" x14ac:dyDescent="0.25">
      <c r="A2686" s="170">
        <v>45959</v>
      </c>
      <c r="B2686" s="116">
        <v>1187.5</v>
      </c>
      <c r="C2686" s="116">
        <v>1177</v>
      </c>
      <c r="D2686" s="116">
        <v>1168</v>
      </c>
      <c r="E2686" s="116">
        <v>1169</v>
      </c>
      <c r="F2686" s="116">
        <v>1177</v>
      </c>
      <c r="G2686">
        <v>34936</v>
      </c>
      <c r="H2686" s="116"/>
      <c r="I2686" s="116"/>
      <c r="L2686" s="170">
        <v>45959</v>
      </c>
      <c r="M2686" s="116">
        <v>1177.0999999999999</v>
      </c>
      <c r="N2686" s="116">
        <v>1188</v>
      </c>
      <c r="O2686" s="116">
        <v>1167.3</v>
      </c>
      <c r="P2686" s="116">
        <v>1169</v>
      </c>
      <c r="Q2686" s="116">
        <v>1177.0999999999999</v>
      </c>
      <c r="R2686">
        <v>1017034</v>
      </c>
    </row>
    <row r="2687" spans="1:18" x14ac:dyDescent="0.25">
      <c r="A2687" s="170">
        <v>45960</v>
      </c>
      <c r="B2687" s="116">
        <v>1185</v>
      </c>
      <c r="C2687" s="116">
        <v>1176.95</v>
      </c>
      <c r="D2687" s="116">
        <v>1166.9000000000001</v>
      </c>
      <c r="E2687" s="116">
        <v>1185</v>
      </c>
      <c r="F2687" s="116">
        <v>1176.95</v>
      </c>
      <c r="G2687">
        <v>11767</v>
      </c>
      <c r="H2687" s="116"/>
      <c r="I2687" s="116"/>
      <c r="L2687" s="170">
        <v>45960</v>
      </c>
      <c r="M2687" s="116">
        <v>1176.5999999999999</v>
      </c>
      <c r="N2687" s="116">
        <v>1184</v>
      </c>
      <c r="O2687" s="116">
        <v>1167</v>
      </c>
      <c r="P2687" s="116">
        <v>1184</v>
      </c>
      <c r="Q2687" s="116">
        <v>1176.5999999999999</v>
      </c>
      <c r="R2687">
        <v>900192</v>
      </c>
    </row>
    <row r="2688" spans="1:18" x14ac:dyDescent="0.25">
      <c r="A2688" s="170">
        <v>45961</v>
      </c>
      <c r="B2688" s="116">
        <v>1184.4000000000001</v>
      </c>
      <c r="C2688" s="116">
        <v>1165.0999999999999</v>
      </c>
      <c r="D2688" s="116">
        <v>1157.8499999999999</v>
      </c>
      <c r="E2688" s="116">
        <v>1176.5</v>
      </c>
      <c r="F2688" s="116">
        <v>1165.0999999999999</v>
      </c>
      <c r="G2688">
        <v>24528</v>
      </c>
      <c r="H2688" s="116"/>
      <c r="I2688" s="116"/>
      <c r="L2688" s="170">
        <v>45961</v>
      </c>
      <c r="M2688" s="116">
        <v>1165</v>
      </c>
      <c r="N2688" s="116">
        <v>1183.5</v>
      </c>
      <c r="O2688" s="116">
        <v>1157.8</v>
      </c>
      <c r="P2688" s="116">
        <v>1171</v>
      </c>
      <c r="Q2688" s="116">
        <v>1165</v>
      </c>
      <c r="R2688">
        <v>749738</v>
      </c>
    </row>
    <row r="2689" spans="1:18" x14ac:dyDescent="0.25">
      <c r="A2689" s="170">
        <v>45964</v>
      </c>
      <c r="B2689" s="116">
        <v>1202.75</v>
      </c>
      <c r="C2689" s="116">
        <v>1199.5</v>
      </c>
      <c r="D2689" s="116">
        <v>1156.9000000000001</v>
      </c>
      <c r="E2689" s="116">
        <v>1160.6500000000001</v>
      </c>
      <c r="F2689" s="116">
        <v>1199.5</v>
      </c>
      <c r="G2689">
        <v>144875</v>
      </c>
      <c r="H2689" s="116"/>
      <c r="I2689" s="116"/>
      <c r="L2689" s="170">
        <v>45964</v>
      </c>
      <c r="M2689" s="116">
        <v>1197.5</v>
      </c>
      <c r="N2689" s="116">
        <v>1202.8</v>
      </c>
      <c r="O2689" s="116">
        <v>1157.2</v>
      </c>
      <c r="P2689" s="116">
        <v>1164.8</v>
      </c>
      <c r="Q2689" s="116">
        <v>1197.5</v>
      </c>
      <c r="R2689">
        <v>2595111</v>
      </c>
    </row>
    <row r="2690" spans="1:18" x14ac:dyDescent="0.25">
      <c r="A2690" s="170">
        <v>45965</v>
      </c>
      <c r="B2690" s="116">
        <v>1201.95</v>
      </c>
      <c r="C2690" s="116">
        <v>1179.2</v>
      </c>
      <c r="D2690" s="116">
        <v>1143.5</v>
      </c>
      <c r="E2690" s="116">
        <v>1201.9000000000001</v>
      </c>
      <c r="F2690" s="116">
        <v>1179.2</v>
      </c>
      <c r="G2690">
        <v>120615</v>
      </c>
      <c r="H2690" s="116"/>
      <c r="I2690" s="116"/>
      <c r="L2690" s="170">
        <v>45965</v>
      </c>
      <c r="M2690" s="116">
        <v>1179.3</v>
      </c>
      <c r="N2690" s="116">
        <v>1199.8</v>
      </c>
      <c r="O2690" s="116">
        <v>1138.0999999999999</v>
      </c>
      <c r="P2690" s="116">
        <v>1199.8</v>
      </c>
      <c r="Q2690" s="116">
        <v>1179.3</v>
      </c>
      <c r="R2690">
        <v>2886618</v>
      </c>
    </row>
    <row r="2691" spans="1:18" x14ac:dyDescent="0.25">
      <c r="A2691" s="170">
        <v>45967</v>
      </c>
      <c r="B2691" s="116">
        <v>1192.9000000000001</v>
      </c>
      <c r="C2691" s="116">
        <v>1188.05</v>
      </c>
      <c r="D2691" s="116">
        <v>1170.95</v>
      </c>
      <c r="E2691" s="116">
        <v>1174.95</v>
      </c>
      <c r="F2691" s="116">
        <v>1188.05</v>
      </c>
      <c r="G2691">
        <v>61625</v>
      </c>
      <c r="H2691" s="116"/>
      <c r="I2691" s="116"/>
      <c r="L2691" s="170">
        <v>45967</v>
      </c>
      <c r="M2691" s="116">
        <v>1190.4000000000001</v>
      </c>
      <c r="N2691" s="116">
        <v>1192.5</v>
      </c>
      <c r="O2691" s="116">
        <v>1167.4000000000001</v>
      </c>
      <c r="P2691" s="116">
        <v>1172.0999999999999</v>
      </c>
      <c r="Q2691" s="116">
        <v>1190.4000000000001</v>
      </c>
      <c r="R2691">
        <v>2401724</v>
      </c>
    </row>
    <row r="2692" spans="1:18" x14ac:dyDescent="0.25">
      <c r="A2692" s="170">
        <v>45968</v>
      </c>
      <c r="B2692" s="116">
        <v>1192</v>
      </c>
      <c r="C2692" s="116">
        <v>1165.5999999999999</v>
      </c>
      <c r="D2692" s="116">
        <v>1155.8</v>
      </c>
      <c r="E2692" s="116">
        <v>1192</v>
      </c>
      <c r="F2692" s="116">
        <v>1165.5999999999999</v>
      </c>
      <c r="G2692">
        <v>49143</v>
      </c>
      <c r="H2692" s="116"/>
      <c r="I2692" s="116"/>
      <c r="L2692" s="170">
        <v>45968</v>
      </c>
      <c r="M2692" s="116">
        <v>1167.2</v>
      </c>
      <c r="N2692" s="116">
        <v>1187.8</v>
      </c>
      <c r="O2692" s="116">
        <v>1155.8</v>
      </c>
      <c r="P2692" s="116">
        <v>1185</v>
      </c>
      <c r="Q2692" s="116">
        <v>1167.2</v>
      </c>
      <c r="R2692">
        <v>1351606</v>
      </c>
    </row>
    <row r="2693" spans="1:18" x14ac:dyDescent="0.25">
      <c r="A2693" s="170">
        <v>45971</v>
      </c>
      <c r="B2693" s="116">
        <v>1175.6500000000001</v>
      </c>
      <c r="C2693" s="116">
        <v>1143.25</v>
      </c>
      <c r="D2693" s="116">
        <v>1138.6500000000001</v>
      </c>
      <c r="E2693" s="116">
        <v>1175.6500000000001</v>
      </c>
      <c r="F2693" s="116">
        <v>1143.25</v>
      </c>
      <c r="G2693">
        <v>184776</v>
      </c>
      <c r="H2693" s="116"/>
      <c r="I2693" s="116"/>
      <c r="L2693" s="170">
        <v>45971</v>
      </c>
      <c r="M2693" s="116">
        <v>1142.7</v>
      </c>
      <c r="N2693" s="116">
        <v>1173.8</v>
      </c>
      <c r="O2693" s="116">
        <v>1138.5999999999999</v>
      </c>
      <c r="P2693" s="116">
        <v>1167.2</v>
      </c>
      <c r="Q2693" s="116">
        <v>1142.7</v>
      </c>
      <c r="R2693">
        <v>1586398</v>
      </c>
    </row>
    <row r="2694" spans="1:18" x14ac:dyDescent="0.25">
      <c r="A2694" s="170">
        <v>45972</v>
      </c>
      <c r="B2694" s="116">
        <v>1168.75</v>
      </c>
      <c r="C2694" s="116">
        <v>1155.8</v>
      </c>
      <c r="D2694" s="116">
        <v>1134</v>
      </c>
      <c r="E2694" s="116">
        <v>1168.75</v>
      </c>
      <c r="F2694" s="116">
        <v>1155.8</v>
      </c>
      <c r="G2694">
        <v>58591</v>
      </c>
      <c r="H2694" s="116"/>
      <c r="I2694" s="116"/>
      <c r="L2694" s="170">
        <v>45972</v>
      </c>
      <c r="M2694" s="116">
        <v>1156.2</v>
      </c>
      <c r="N2694" s="116">
        <v>1159</v>
      </c>
      <c r="O2694" s="116">
        <v>1134</v>
      </c>
      <c r="P2694" s="116">
        <v>1148</v>
      </c>
      <c r="Q2694" s="116">
        <v>1156.2</v>
      </c>
      <c r="R2694">
        <v>1177071</v>
      </c>
    </row>
    <row r="2695" spans="1:18" x14ac:dyDescent="0.25">
      <c r="A2695" s="170">
        <v>45973</v>
      </c>
      <c r="B2695" s="116">
        <v>1165.5999999999999</v>
      </c>
      <c r="C2695" s="116">
        <v>1162.2</v>
      </c>
      <c r="D2695" s="116">
        <v>1152.5</v>
      </c>
      <c r="E2695" s="116">
        <v>1160</v>
      </c>
      <c r="F2695" s="116">
        <v>1162.2</v>
      </c>
      <c r="G2695">
        <v>87193</v>
      </c>
      <c r="H2695" s="116"/>
      <c r="I2695" s="116"/>
      <c r="L2695" s="170">
        <v>45973</v>
      </c>
      <c r="M2695" s="116">
        <v>1162</v>
      </c>
      <c r="N2695" s="116">
        <v>1165.8</v>
      </c>
      <c r="O2695" s="116">
        <v>1153.0999999999999</v>
      </c>
      <c r="P2695" s="116">
        <v>1156.3</v>
      </c>
      <c r="Q2695" s="116">
        <v>1162</v>
      </c>
      <c r="R2695">
        <v>1168588</v>
      </c>
    </row>
    <row r="2696" spans="1:18" x14ac:dyDescent="0.25">
      <c r="A2696" s="170">
        <v>45974</v>
      </c>
      <c r="B2696" s="116">
        <v>1166.2</v>
      </c>
      <c r="C2696" s="116">
        <v>1155.25</v>
      </c>
      <c r="D2696" s="116">
        <v>1148</v>
      </c>
      <c r="E2696" s="116">
        <v>1166.2</v>
      </c>
      <c r="F2696" s="116">
        <v>1155.25</v>
      </c>
      <c r="G2696">
        <v>82759</v>
      </c>
      <c r="H2696" s="116"/>
      <c r="I2696" s="116"/>
      <c r="L2696" s="170">
        <v>45974</v>
      </c>
      <c r="M2696" s="116">
        <v>1154.8</v>
      </c>
      <c r="N2696" s="116">
        <v>1168</v>
      </c>
      <c r="O2696" s="116">
        <v>1146.5999999999999</v>
      </c>
      <c r="P2696" s="116">
        <v>1168</v>
      </c>
      <c r="Q2696" s="116">
        <v>1154.8</v>
      </c>
      <c r="R2696">
        <v>1603498</v>
      </c>
    </row>
    <row r="2697" spans="1:18" x14ac:dyDescent="0.25">
      <c r="A2697" s="170">
        <v>45975</v>
      </c>
      <c r="B2697" s="116">
        <v>1163.5</v>
      </c>
      <c r="C2697" s="116">
        <v>1157.8</v>
      </c>
      <c r="D2697" s="116">
        <v>1143.45</v>
      </c>
      <c r="E2697" s="116">
        <v>1143.45</v>
      </c>
      <c r="F2697" s="116">
        <v>1157.8</v>
      </c>
      <c r="G2697">
        <v>41604</v>
      </c>
      <c r="H2697" s="116"/>
      <c r="I2697" s="116"/>
      <c r="L2697" s="170">
        <v>45975</v>
      </c>
      <c r="M2697" s="116">
        <v>1157.8</v>
      </c>
      <c r="N2697" s="116">
        <v>1163.5999999999999</v>
      </c>
      <c r="O2697" s="116">
        <v>1146.8</v>
      </c>
      <c r="P2697" s="116">
        <v>1149</v>
      </c>
      <c r="Q2697" s="116">
        <v>1157.8</v>
      </c>
      <c r="R2697">
        <v>1832598</v>
      </c>
    </row>
    <row r="2698" spans="1:18" x14ac:dyDescent="0.25">
      <c r="A2698" s="170">
        <v>45978</v>
      </c>
      <c r="B2698" s="116">
        <v>1182.7</v>
      </c>
      <c r="C2698" s="116">
        <v>1179</v>
      </c>
      <c r="D2698" s="116">
        <v>1157.95</v>
      </c>
      <c r="E2698" s="116">
        <v>1158.1500000000001</v>
      </c>
      <c r="F2698" s="116">
        <v>1179</v>
      </c>
      <c r="G2698">
        <v>98261</v>
      </c>
      <c r="H2698" s="116"/>
      <c r="I2698" s="116"/>
      <c r="L2698" s="170">
        <v>45978</v>
      </c>
      <c r="M2698" s="116">
        <v>1178.9000000000001</v>
      </c>
      <c r="N2698" s="116">
        <v>1182.8</v>
      </c>
      <c r="O2698" s="116">
        <v>1158</v>
      </c>
      <c r="P2698" s="116">
        <v>1166</v>
      </c>
      <c r="Q2698" s="116">
        <v>1178.9000000000001</v>
      </c>
      <c r="R2698">
        <v>2105780</v>
      </c>
    </row>
    <row r="2699" spans="1:18" x14ac:dyDescent="0.25">
      <c r="A2699" s="170">
        <v>45979</v>
      </c>
      <c r="B2699" s="116">
        <v>1178.95</v>
      </c>
      <c r="C2699" s="116">
        <v>1154.2</v>
      </c>
      <c r="D2699" s="116">
        <v>1151.55</v>
      </c>
      <c r="E2699" s="116">
        <v>1159.2</v>
      </c>
      <c r="F2699" s="116">
        <v>1154.2</v>
      </c>
      <c r="G2699">
        <v>20890</v>
      </c>
      <c r="H2699" s="116"/>
      <c r="I2699" s="116"/>
      <c r="L2699" s="170">
        <v>45979</v>
      </c>
      <c r="M2699" s="116">
        <v>1154.0999999999999</v>
      </c>
      <c r="N2699" s="116">
        <v>1178.7</v>
      </c>
      <c r="O2699" s="116">
        <v>1151.9000000000001</v>
      </c>
      <c r="P2699" s="116">
        <v>1178.7</v>
      </c>
      <c r="Q2699" s="116">
        <v>1154.0999999999999</v>
      </c>
      <c r="R2699">
        <v>1695622</v>
      </c>
    </row>
    <row r="2700" spans="1:18" x14ac:dyDescent="0.25">
      <c r="A2700" s="170">
        <v>45980</v>
      </c>
      <c r="B2700" s="116">
        <v>1165</v>
      </c>
      <c r="C2700" s="116">
        <v>1162.45</v>
      </c>
      <c r="D2700" s="116">
        <v>1147.55</v>
      </c>
      <c r="E2700" s="116">
        <v>1147.55</v>
      </c>
      <c r="F2700" s="116">
        <v>1162.45</v>
      </c>
      <c r="G2700">
        <v>79101</v>
      </c>
      <c r="H2700" s="116"/>
      <c r="I2700" s="116"/>
      <c r="L2700" s="170">
        <v>45980</v>
      </c>
      <c r="M2700" s="116">
        <v>1162.0999999999999</v>
      </c>
      <c r="N2700" s="116">
        <v>1165.8</v>
      </c>
      <c r="O2700" s="116">
        <v>1149</v>
      </c>
      <c r="P2700" s="116">
        <v>1154.0999999999999</v>
      </c>
      <c r="Q2700" s="116">
        <v>1162.0999999999999</v>
      </c>
      <c r="R2700">
        <v>1935207</v>
      </c>
    </row>
    <row r="2701" spans="1:18" x14ac:dyDescent="0.25">
      <c r="A2701" s="170">
        <v>45981</v>
      </c>
      <c r="B2701" s="116">
        <v>1179.0999999999999</v>
      </c>
      <c r="C2701" s="116">
        <v>1172.9000000000001</v>
      </c>
      <c r="D2701" s="116">
        <v>1159.05</v>
      </c>
      <c r="E2701" s="116">
        <v>1159.05</v>
      </c>
      <c r="F2701" s="116">
        <v>1172.9000000000001</v>
      </c>
      <c r="G2701">
        <v>81859</v>
      </c>
      <c r="H2701" s="116"/>
      <c r="I2701" s="116"/>
      <c r="L2701" s="170">
        <v>45981</v>
      </c>
      <c r="M2701" s="116">
        <v>1173.9000000000001</v>
      </c>
      <c r="N2701" s="116">
        <v>1179.4000000000001</v>
      </c>
      <c r="O2701" s="116">
        <v>1163</v>
      </c>
      <c r="P2701" s="116">
        <v>1164.9000000000001</v>
      </c>
      <c r="Q2701" s="116">
        <v>1173.9000000000001</v>
      </c>
      <c r="R2701">
        <v>2193836</v>
      </c>
    </row>
    <row r="2702" spans="1:18" x14ac:dyDescent="0.25">
      <c r="A2702" s="170">
        <v>45982</v>
      </c>
      <c r="B2702" s="116">
        <v>1185.5</v>
      </c>
      <c r="C2702" s="116">
        <v>1182.6500000000001</v>
      </c>
      <c r="D2702" s="116">
        <v>1162.9000000000001</v>
      </c>
      <c r="E2702" s="116">
        <v>1172.9000000000001</v>
      </c>
      <c r="F2702" s="116">
        <v>1182.6500000000001</v>
      </c>
      <c r="G2702">
        <v>28110</v>
      </c>
      <c r="H2702" s="116"/>
      <c r="I2702" s="116"/>
      <c r="L2702" s="170">
        <v>45982</v>
      </c>
      <c r="M2702" s="116">
        <v>1183.0999999999999</v>
      </c>
      <c r="N2702" s="116">
        <v>1187</v>
      </c>
      <c r="O2702" s="116">
        <v>1162.5</v>
      </c>
      <c r="P2702" s="116">
        <v>1173.9000000000001</v>
      </c>
      <c r="Q2702" s="116">
        <v>1183.0999999999999</v>
      </c>
      <c r="R2702">
        <v>3194549</v>
      </c>
    </row>
    <row r="2703" spans="1:18" x14ac:dyDescent="0.25">
      <c r="A2703" s="170">
        <v>45985</v>
      </c>
      <c r="B2703" s="116">
        <v>1194.05</v>
      </c>
      <c r="C2703" s="116">
        <v>1184.9000000000001</v>
      </c>
      <c r="D2703" s="116">
        <v>1171.6500000000001</v>
      </c>
      <c r="E2703" s="116">
        <v>1188.5999999999999</v>
      </c>
      <c r="F2703" s="116">
        <v>1184.9000000000001</v>
      </c>
      <c r="G2703">
        <v>65705</v>
      </c>
      <c r="H2703" s="116"/>
      <c r="I2703" s="116"/>
      <c r="L2703" s="170">
        <v>45985</v>
      </c>
      <c r="M2703" s="116">
        <v>1186</v>
      </c>
      <c r="N2703" s="116">
        <v>1194.7</v>
      </c>
      <c r="O2703" s="116">
        <v>1171.8</v>
      </c>
      <c r="P2703" s="116">
        <v>1188.5</v>
      </c>
      <c r="Q2703" s="116">
        <v>1186</v>
      </c>
      <c r="R2703">
        <v>4765158</v>
      </c>
    </row>
    <row r="2704" spans="1:18" x14ac:dyDescent="0.25">
      <c r="A2704" s="170">
        <v>45986</v>
      </c>
      <c r="B2704" s="116">
        <v>1194</v>
      </c>
      <c r="C2704" s="116">
        <v>1177.55</v>
      </c>
      <c r="D2704" s="116">
        <v>1166.25</v>
      </c>
      <c r="E2704" s="116">
        <v>1187.2</v>
      </c>
      <c r="F2704" s="116">
        <v>1177.55</v>
      </c>
      <c r="G2704">
        <v>12635</v>
      </c>
      <c r="H2704" s="116"/>
      <c r="I2704" s="116"/>
      <c r="L2704" s="170">
        <v>45986</v>
      </c>
      <c r="M2704" s="116">
        <v>1177.7</v>
      </c>
      <c r="N2704" s="116">
        <v>1194</v>
      </c>
      <c r="O2704" s="116">
        <v>1165.7</v>
      </c>
      <c r="P2704" s="116">
        <v>1188</v>
      </c>
      <c r="Q2704" s="116">
        <v>1177.7</v>
      </c>
      <c r="R2704">
        <v>1258048</v>
      </c>
    </row>
    <row r="2705" spans="1:18" x14ac:dyDescent="0.25">
      <c r="A2705" s="170">
        <v>45987</v>
      </c>
      <c r="B2705" s="116">
        <v>1186.5999999999999</v>
      </c>
      <c r="C2705" s="116">
        <v>1185.3</v>
      </c>
      <c r="D2705" s="116">
        <v>1154.5999999999999</v>
      </c>
      <c r="E2705" s="116">
        <v>1170.1500000000001</v>
      </c>
      <c r="F2705" s="116">
        <v>1185.3</v>
      </c>
      <c r="G2705">
        <v>17804</v>
      </c>
      <c r="H2705" s="116"/>
      <c r="I2705" s="116"/>
      <c r="L2705" s="170">
        <v>45987</v>
      </c>
      <c r="M2705" s="116">
        <v>1185.3</v>
      </c>
      <c r="N2705" s="116">
        <v>1187</v>
      </c>
      <c r="O2705" s="116">
        <v>1150</v>
      </c>
      <c r="P2705" s="116">
        <v>1150</v>
      </c>
      <c r="Q2705" s="116">
        <v>1185.3</v>
      </c>
      <c r="R2705">
        <v>713335</v>
      </c>
    </row>
    <row r="2706" spans="1:18" x14ac:dyDescent="0.25">
      <c r="A2706" s="170">
        <v>45988</v>
      </c>
      <c r="B2706" s="116">
        <v>1192.0999999999999</v>
      </c>
      <c r="C2706" s="116">
        <v>1177.3499999999999</v>
      </c>
      <c r="D2706" s="116">
        <v>1161.1500000000001</v>
      </c>
      <c r="E2706" s="116">
        <v>1161.1500000000001</v>
      </c>
      <c r="F2706" s="116">
        <v>1177.3499999999999</v>
      </c>
      <c r="G2706">
        <v>30546</v>
      </c>
      <c r="H2706" s="116"/>
      <c r="I2706" s="116"/>
      <c r="L2706" s="170">
        <v>45988</v>
      </c>
      <c r="M2706" s="116">
        <v>1177.7</v>
      </c>
      <c r="N2706" s="116">
        <v>1192.9000000000001</v>
      </c>
      <c r="O2706" s="116">
        <v>1168.3</v>
      </c>
      <c r="P2706" s="116">
        <v>1187</v>
      </c>
      <c r="Q2706" s="116">
        <v>1177.7</v>
      </c>
      <c r="R2706">
        <v>1118308</v>
      </c>
    </row>
    <row r="2707" spans="1:18" x14ac:dyDescent="0.25">
      <c r="A2707" s="170">
        <v>45989</v>
      </c>
      <c r="B2707" s="116">
        <v>1181.0999999999999</v>
      </c>
      <c r="C2707" s="116">
        <v>1171.45</v>
      </c>
      <c r="D2707" s="116">
        <v>1166.0999999999999</v>
      </c>
      <c r="E2707" s="116">
        <v>1179.6500000000001</v>
      </c>
      <c r="F2707" s="116">
        <v>1171.45</v>
      </c>
      <c r="G2707">
        <v>9349</v>
      </c>
      <c r="H2707" s="116"/>
      <c r="I2707" s="116"/>
      <c r="L2707" s="170">
        <v>45989</v>
      </c>
      <c r="M2707" s="116">
        <v>1172.4000000000001</v>
      </c>
      <c r="N2707" s="116">
        <v>1182.0999999999999</v>
      </c>
      <c r="O2707" s="116">
        <v>1165.7</v>
      </c>
      <c r="P2707" s="116">
        <v>1177.0999999999999</v>
      </c>
      <c r="Q2707" s="116">
        <v>1172.4000000000001</v>
      </c>
      <c r="R2707">
        <v>1020242</v>
      </c>
    </row>
    <row r="2708" spans="1:18" x14ac:dyDescent="0.25">
      <c r="A2708" s="170">
        <v>45992</v>
      </c>
      <c r="B2708" s="116">
        <v>1173.1500000000001</v>
      </c>
      <c r="C2708" s="116">
        <v>1163</v>
      </c>
      <c r="D2708" s="116">
        <v>1159.95</v>
      </c>
      <c r="E2708" s="116">
        <v>1171.6500000000001</v>
      </c>
      <c r="F2708" s="116">
        <v>1163</v>
      </c>
      <c r="G2708">
        <v>10803</v>
      </c>
      <c r="H2708" s="116"/>
      <c r="I2708" s="116"/>
      <c r="L2708" s="170">
        <v>45992</v>
      </c>
      <c r="M2708" s="116">
        <v>1163.8</v>
      </c>
      <c r="N2708" s="116">
        <v>1178</v>
      </c>
      <c r="O2708" s="116">
        <v>1159.5999999999999</v>
      </c>
      <c r="P2708" s="116">
        <v>1172.4000000000001</v>
      </c>
      <c r="Q2708" s="116">
        <v>1163.8</v>
      </c>
      <c r="R2708">
        <v>487062</v>
      </c>
    </row>
    <row r="2709" spans="1:18" x14ac:dyDescent="0.25">
      <c r="A2709" s="170">
        <v>45993</v>
      </c>
      <c r="B2709">
        <v>1172.25</v>
      </c>
      <c r="C2709">
        <v>1163.4000000000001</v>
      </c>
      <c r="D2709">
        <v>1152.1500000000001</v>
      </c>
      <c r="E2709">
        <v>1152.1500000000001</v>
      </c>
      <c r="F2709">
        <v>1163.4000000000001</v>
      </c>
      <c r="G2709">
        <v>7047</v>
      </c>
      <c r="H2709" s="116"/>
      <c r="I2709" s="116"/>
      <c r="L2709" s="170">
        <v>45993</v>
      </c>
      <c r="M2709" s="116">
        <v>1162.2</v>
      </c>
      <c r="N2709" s="116">
        <v>1173.0999999999999</v>
      </c>
      <c r="O2709" s="116">
        <v>1156.2</v>
      </c>
      <c r="P2709" s="116">
        <v>1160</v>
      </c>
      <c r="Q2709" s="116">
        <v>1162.2</v>
      </c>
      <c r="R2709">
        <v>708989</v>
      </c>
    </row>
    <row r="2710" spans="1:18" x14ac:dyDescent="0.25">
      <c r="A2710" s="170">
        <v>45994</v>
      </c>
      <c r="B2710">
        <v>1160.1500000000001</v>
      </c>
      <c r="C2710">
        <v>1138.7</v>
      </c>
      <c r="D2710">
        <v>1134</v>
      </c>
      <c r="E2710">
        <v>1155.95</v>
      </c>
      <c r="F2710">
        <v>1138.7</v>
      </c>
      <c r="G2710">
        <v>20322</v>
      </c>
      <c r="H2710" s="116"/>
      <c r="I2710" s="116"/>
      <c r="L2710" s="170">
        <v>45994</v>
      </c>
      <c r="M2710" s="116">
        <v>1140</v>
      </c>
      <c r="N2710" s="116">
        <v>1163.4000000000001</v>
      </c>
      <c r="O2710" s="116">
        <v>1133.5999999999999</v>
      </c>
      <c r="P2710" s="116">
        <v>1159.8</v>
      </c>
      <c r="Q2710" s="116">
        <v>1140</v>
      </c>
      <c r="R2710">
        <v>716554</v>
      </c>
    </row>
    <row r="2711" spans="1:18" x14ac:dyDescent="0.25">
      <c r="A2711" s="170">
        <v>45995</v>
      </c>
      <c r="B2711">
        <v>1152.2</v>
      </c>
      <c r="C2711">
        <v>1148.2</v>
      </c>
      <c r="D2711">
        <v>1137.75</v>
      </c>
      <c r="E2711">
        <v>1140.75</v>
      </c>
      <c r="F2711">
        <v>1148.2</v>
      </c>
      <c r="G2711">
        <v>18799</v>
      </c>
      <c r="H2711" s="116"/>
      <c r="I2711" s="116"/>
      <c r="L2711" s="170">
        <v>45995</v>
      </c>
      <c r="M2711" s="116">
        <v>1148.4000000000001</v>
      </c>
      <c r="N2711" s="116">
        <v>1154</v>
      </c>
      <c r="O2711" s="116">
        <v>1137.0999999999999</v>
      </c>
      <c r="P2711" s="116">
        <v>1153</v>
      </c>
      <c r="Q2711" s="116">
        <v>1148.4000000000001</v>
      </c>
      <c r="R2711">
        <v>703643</v>
      </c>
    </row>
    <row r="2712" spans="1:18" x14ac:dyDescent="0.25">
      <c r="A2712" s="170">
        <v>45996</v>
      </c>
      <c r="B2712">
        <v>1165.5</v>
      </c>
      <c r="C2712">
        <v>1162.5999999999999</v>
      </c>
      <c r="D2712">
        <v>1139.9000000000001</v>
      </c>
      <c r="E2712">
        <v>1142.6500000000001</v>
      </c>
      <c r="F2712">
        <v>1162.5999999999999</v>
      </c>
      <c r="G2712">
        <v>11425</v>
      </c>
      <c r="H2712" s="116"/>
      <c r="I2712" s="116"/>
      <c r="L2712" s="170">
        <v>45996</v>
      </c>
      <c r="M2712" s="116">
        <v>1162.9000000000001</v>
      </c>
      <c r="N2712" s="116">
        <v>1165.3</v>
      </c>
      <c r="O2712" s="116">
        <v>1140.0999999999999</v>
      </c>
      <c r="P2712" s="116">
        <v>1148.4000000000001</v>
      </c>
      <c r="Q2712" s="116">
        <v>1162.9000000000001</v>
      </c>
      <c r="R2712">
        <v>699541</v>
      </c>
    </row>
    <row r="2713" spans="1:18" x14ac:dyDescent="0.25">
      <c r="A2713" s="170">
        <v>45999</v>
      </c>
      <c r="B2713">
        <v>1170</v>
      </c>
      <c r="C2713">
        <v>1145.25</v>
      </c>
      <c r="D2713">
        <v>1141.45</v>
      </c>
      <c r="E2713">
        <v>1145.05</v>
      </c>
      <c r="F2713">
        <v>1145.25</v>
      </c>
      <c r="G2713">
        <v>10648</v>
      </c>
      <c r="H2713" s="116"/>
      <c r="I2713" s="116"/>
      <c r="L2713" s="170">
        <v>45999</v>
      </c>
      <c r="M2713" s="116">
        <v>1145.8</v>
      </c>
      <c r="N2713" s="116">
        <v>1171</v>
      </c>
      <c r="O2713" s="116">
        <v>1142.3</v>
      </c>
      <c r="P2713" s="116">
        <v>1162.9000000000001</v>
      </c>
      <c r="Q2713" s="116">
        <v>1145.8</v>
      </c>
      <c r="R2713">
        <v>590111</v>
      </c>
    </row>
    <row r="2714" spans="1:18" x14ac:dyDescent="0.25">
      <c r="A2714" s="170">
        <v>46000</v>
      </c>
      <c r="B2714">
        <v>1150.55</v>
      </c>
      <c r="C2714">
        <v>1146.3</v>
      </c>
      <c r="D2714">
        <v>1131.5999999999999</v>
      </c>
      <c r="E2714">
        <v>1144.95</v>
      </c>
      <c r="F2714">
        <v>1146.3</v>
      </c>
      <c r="G2714">
        <v>5215</v>
      </c>
      <c r="H2714" s="116"/>
      <c r="I2714" s="116"/>
      <c r="L2714" s="170">
        <v>46000</v>
      </c>
      <c r="M2714" s="116">
        <v>1146.7</v>
      </c>
      <c r="N2714" s="116">
        <v>1151.0999999999999</v>
      </c>
      <c r="O2714" s="116">
        <v>1131.9000000000001</v>
      </c>
      <c r="P2714" s="116">
        <v>1140.5999999999999</v>
      </c>
      <c r="Q2714" s="116">
        <v>1146.7</v>
      </c>
      <c r="R2714">
        <v>851746</v>
      </c>
    </row>
    <row r="2715" spans="1:18" x14ac:dyDescent="0.25">
      <c r="A2715" s="170">
        <v>46001</v>
      </c>
      <c r="B2715">
        <v>1156.55</v>
      </c>
      <c r="C2715">
        <v>1139.7</v>
      </c>
      <c r="D2715">
        <v>1136.4000000000001</v>
      </c>
      <c r="E2715">
        <v>1136.4000000000001</v>
      </c>
      <c r="F2715">
        <v>1139.7</v>
      </c>
      <c r="G2715">
        <v>7693</v>
      </c>
      <c r="H2715" s="116"/>
      <c r="I2715" s="116"/>
      <c r="L2715" s="170">
        <v>46001</v>
      </c>
      <c r="M2715" s="116">
        <v>1140.0999999999999</v>
      </c>
      <c r="N2715" s="116">
        <v>1156.7</v>
      </c>
      <c r="O2715" s="116">
        <v>1138.3</v>
      </c>
      <c r="P2715" s="116">
        <v>1141.0999999999999</v>
      </c>
      <c r="Q2715" s="116">
        <v>1140.0999999999999</v>
      </c>
      <c r="R2715">
        <v>342793</v>
      </c>
    </row>
    <row r="2716" spans="1:18" x14ac:dyDescent="0.25">
      <c r="A2716" s="170">
        <v>46002</v>
      </c>
      <c r="B2716">
        <v>1153.0999999999999</v>
      </c>
      <c r="C2716">
        <v>1141.05</v>
      </c>
      <c r="D2716">
        <v>1133.45</v>
      </c>
      <c r="E2716">
        <v>1133.45</v>
      </c>
      <c r="F2716">
        <v>1141.05</v>
      </c>
      <c r="G2716">
        <v>12004</v>
      </c>
      <c r="H2716" s="116"/>
      <c r="I2716" s="116"/>
      <c r="L2716" s="170">
        <v>46002</v>
      </c>
      <c r="M2716" s="116">
        <v>1142.0999999999999</v>
      </c>
      <c r="N2716" s="116">
        <v>1154.2</v>
      </c>
      <c r="O2716" s="116">
        <v>1135</v>
      </c>
      <c r="P2716" s="116">
        <v>1136.0999999999999</v>
      </c>
      <c r="Q2716" s="116">
        <v>1142.0999999999999</v>
      </c>
      <c r="R2716">
        <v>616435</v>
      </c>
    </row>
    <row r="2717" spans="1:18" x14ac:dyDescent="0.25">
      <c r="A2717" s="170">
        <v>46003</v>
      </c>
      <c r="B2717">
        <v>1150.95</v>
      </c>
      <c r="C2717">
        <v>1149.3</v>
      </c>
      <c r="D2717">
        <v>1137.9000000000001</v>
      </c>
      <c r="E2717">
        <v>1141.8</v>
      </c>
      <c r="F2717">
        <v>1149.3</v>
      </c>
      <c r="G2717">
        <v>8295</v>
      </c>
      <c r="H2717" s="116"/>
      <c r="I2717" s="116"/>
      <c r="L2717" s="170">
        <v>46003</v>
      </c>
      <c r="M2717" s="116">
        <v>1149.3</v>
      </c>
      <c r="N2717" s="116">
        <v>1151</v>
      </c>
      <c r="O2717" s="116">
        <v>1138</v>
      </c>
      <c r="P2717" s="116">
        <v>1142.0999999999999</v>
      </c>
      <c r="Q2717" s="116">
        <v>1149.3</v>
      </c>
      <c r="R2717">
        <v>751834</v>
      </c>
    </row>
    <row r="2718" spans="1:18" x14ac:dyDescent="0.25">
      <c r="A2718" s="170">
        <v>46006</v>
      </c>
      <c r="B2718">
        <v>1169</v>
      </c>
      <c r="C2718">
        <v>1157</v>
      </c>
      <c r="D2718">
        <v>1138.8</v>
      </c>
      <c r="E2718">
        <v>1138.8</v>
      </c>
      <c r="F2718">
        <v>1157</v>
      </c>
      <c r="G2718">
        <v>75359</v>
      </c>
      <c r="H2718" s="116"/>
      <c r="I2718" s="116"/>
      <c r="L2718" s="170">
        <v>46006</v>
      </c>
      <c r="M2718" s="116">
        <v>1157.4000000000001</v>
      </c>
      <c r="N2718" s="116">
        <v>1169.4000000000001</v>
      </c>
      <c r="O2718" s="116">
        <v>1140.0999999999999</v>
      </c>
      <c r="P2718" s="116">
        <v>1143</v>
      </c>
      <c r="Q2718" s="116">
        <v>1157.4000000000001</v>
      </c>
      <c r="R2718">
        <v>1037323</v>
      </c>
    </row>
    <row r="2719" spans="1:18" x14ac:dyDescent="0.25">
      <c r="A2719" s="170">
        <v>46007</v>
      </c>
      <c r="B2719">
        <v>1176.8499999999999</v>
      </c>
      <c r="C2719">
        <v>1169.25</v>
      </c>
      <c r="D2719">
        <v>1142.8</v>
      </c>
      <c r="E2719">
        <v>1142.8</v>
      </c>
      <c r="F2719">
        <v>1169.25</v>
      </c>
      <c r="G2719">
        <v>30507</v>
      </c>
      <c r="H2719" s="116"/>
      <c r="I2719" s="116"/>
      <c r="L2719" s="170">
        <v>46007</v>
      </c>
      <c r="M2719" s="116">
        <v>1169.9000000000001</v>
      </c>
      <c r="N2719" s="116">
        <v>1176.7</v>
      </c>
      <c r="O2719" s="116">
        <v>1153.4000000000001</v>
      </c>
      <c r="P2719" s="116">
        <v>1157.4000000000001</v>
      </c>
      <c r="Q2719" s="116">
        <v>1169.9000000000001</v>
      </c>
      <c r="R2719">
        <v>1181775</v>
      </c>
    </row>
    <row r="2720" spans="1:18" x14ac:dyDescent="0.25">
      <c r="A2720" s="170">
        <v>46008</v>
      </c>
      <c r="B2720">
        <v>1187.5</v>
      </c>
      <c r="C2720">
        <v>1179.5</v>
      </c>
      <c r="D2720">
        <v>1170.8499999999999</v>
      </c>
      <c r="E2720">
        <v>1174.3499999999999</v>
      </c>
      <c r="F2720">
        <v>1179.5</v>
      </c>
      <c r="G2720">
        <v>23790</v>
      </c>
      <c r="H2720" s="116"/>
      <c r="I2720" s="116"/>
      <c r="L2720" s="170">
        <v>46008</v>
      </c>
      <c r="M2720" s="116">
        <v>1179.8</v>
      </c>
      <c r="N2720" s="116">
        <v>1187.9000000000001</v>
      </c>
      <c r="O2720" s="116">
        <v>1170</v>
      </c>
      <c r="P2720" s="116">
        <v>1170</v>
      </c>
      <c r="Q2720" s="116">
        <v>1179.8</v>
      </c>
      <c r="R2720">
        <v>1502200</v>
      </c>
    </row>
    <row r="2721" spans="1:18" x14ac:dyDescent="0.25">
      <c r="A2721" s="170">
        <v>46009</v>
      </c>
      <c r="B2721">
        <v>1181.95</v>
      </c>
      <c r="C2721">
        <v>1170.75</v>
      </c>
      <c r="D2721">
        <v>1168.45</v>
      </c>
      <c r="E2721">
        <v>1179.4000000000001</v>
      </c>
      <c r="F2721">
        <v>1170.75</v>
      </c>
      <c r="G2721">
        <v>19686</v>
      </c>
      <c r="H2721" s="116"/>
      <c r="I2721" s="116"/>
      <c r="L2721" s="170">
        <v>46009</v>
      </c>
      <c r="M2721" s="116">
        <v>1171.5</v>
      </c>
      <c r="N2721" s="116">
        <v>1183.5999999999999</v>
      </c>
      <c r="O2721" s="116">
        <v>1168</v>
      </c>
      <c r="P2721" s="116">
        <v>1176.9000000000001</v>
      </c>
      <c r="Q2721" s="116">
        <v>1171.5</v>
      </c>
      <c r="R2721">
        <v>568209</v>
      </c>
    </row>
    <row r="2722" spans="1:18" x14ac:dyDescent="0.25">
      <c r="A2722" s="170">
        <v>46010</v>
      </c>
      <c r="B2722">
        <v>1186.05</v>
      </c>
      <c r="C2722">
        <v>1183.55</v>
      </c>
      <c r="D2722">
        <v>1170.05</v>
      </c>
      <c r="E2722">
        <v>1181.25</v>
      </c>
      <c r="F2722">
        <v>1183.55</v>
      </c>
      <c r="G2722">
        <v>10961</v>
      </c>
      <c r="H2722" s="116"/>
      <c r="I2722" s="116"/>
      <c r="L2722" s="170">
        <v>46010</v>
      </c>
      <c r="M2722" s="116">
        <v>1184</v>
      </c>
      <c r="N2722" s="116">
        <v>1186.3</v>
      </c>
      <c r="O2722" s="116">
        <v>1169.5999999999999</v>
      </c>
      <c r="P2722" s="116">
        <v>1171.5</v>
      </c>
      <c r="Q2722" s="116">
        <v>1184</v>
      </c>
      <c r="R2722">
        <v>598033</v>
      </c>
    </row>
    <row r="2723" spans="1:18" x14ac:dyDescent="0.25">
      <c r="A2723" s="170">
        <v>46013</v>
      </c>
      <c r="B2723">
        <v>1188.45</v>
      </c>
      <c r="C2723">
        <v>1178.75</v>
      </c>
      <c r="D2723">
        <v>1174</v>
      </c>
      <c r="E2723">
        <v>1183</v>
      </c>
      <c r="F2723">
        <v>1178.75</v>
      </c>
      <c r="G2723">
        <v>9199</v>
      </c>
      <c r="H2723" s="116"/>
      <c r="I2723" s="116"/>
      <c r="L2723" s="170">
        <v>46013</v>
      </c>
      <c r="M2723" s="116">
        <v>1178.8</v>
      </c>
      <c r="N2723" s="116">
        <v>1188.7</v>
      </c>
      <c r="O2723" s="116">
        <v>1174.0999999999999</v>
      </c>
      <c r="P2723" s="116">
        <v>1184</v>
      </c>
      <c r="Q2723" s="116">
        <v>1178.8</v>
      </c>
      <c r="R2723">
        <v>670307</v>
      </c>
    </row>
    <row r="2724" spans="1:18" x14ac:dyDescent="0.25">
      <c r="A2724" s="170">
        <v>46014</v>
      </c>
      <c r="B2724">
        <v>1187.2</v>
      </c>
      <c r="C2724">
        <v>1185.9000000000001</v>
      </c>
      <c r="D2724">
        <v>1170.5999999999999</v>
      </c>
      <c r="E2724">
        <v>1178.7</v>
      </c>
      <c r="F2724">
        <v>1185.9000000000001</v>
      </c>
      <c r="G2724">
        <v>18236</v>
      </c>
      <c r="H2724" s="116"/>
      <c r="I2724" s="116"/>
      <c r="L2724" s="170">
        <v>46014</v>
      </c>
      <c r="M2724" s="116">
        <v>1185.5999999999999</v>
      </c>
      <c r="N2724" s="116">
        <v>1187.3</v>
      </c>
      <c r="O2724" s="116">
        <v>1171</v>
      </c>
      <c r="P2724" s="116">
        <v>1178.8</v>
      </c>
      <c r="Q2724" s="116">
        <v>1185.5999999999999</v>
      </c>
      <c r="R2724">
        <v>805182</v>
      </c>
    </row>
    <row r="2725" spans="1:18" x14ac:dyDescent="0.25">
      <c r="A2725" s="170">
        <v>46015</v>
      </c>
      <c r="B2725">
        <v>1189.75</v>
      </c>
      <c r="C2725">
        <v>1176.75</v>
      </c>
      <c r="D2725">
        <v>1171.45</v>
      </c>
      <c r="E2725">
        <v>1189.75</v>
      </c>
      <c r="F2725">
        <v>1176.75</v>
      </c>
      <c r="G2725">
        <v>15421</v>
      </c>
      <c r="H2725" s="116"/>
      <c r="I2725" s="116"/>
      <c r="L2725" s="170">
        <v>46015</v>
      </c>
      <c r="M2725" s="116">
        <v>1179.2</v>
      </c>
      <c r="N2725" s="116">
        <v>1189.5</v>
      </c>
      <c r="O2725" s="116">
        <v>1171.4000000000001</v>
      </c>
      <c r="P2725" s="116">
        <v>1187.3</v>
      </c>
      <c r="Q2725" s="116">
        <v>1179.2</v>
      </c>
      <c r="R2725">
        <v>530345</v>
      </c>
    </row>
    <row r="2726" spans="1:18" x14ac:dyDescent="0.25">
      <c r="A2726" s="170">
        <v>46017</v>
      </c>
      <c r="B2726">
        <v>1179.55</v>
      </c>
      <c r="C2726">
        <v>1173.55</v>
      </c>
      <c r="D2726">
        <v>1167.5999999999999</v>
      </c>
      <c r="E2726">
        <v>1167.5999999999999</v>
      </c>
      <c r="F2726">
        <v>1173.55</v>
      </c>
      <c r="G2726">
        <v>6821</v>
      </c>
      <c r="H2726" s="116"/>
      <c r="I2726" s="116"/>
      <c r="L2726" s="170">
        <v>46017</v>
      </c>
      <c r="M2726" s="116">
        <v>1175.7</v>
      </c>
      <c r="N2726" s="116">
        <v>1179.8</v>
      </c>
      <c r="O2726" s="116">
        <v>1172</v>
      </c>
      <c r="P2726" s="116">
        <v>1173.5999999999999</v>
      </c>
      <c r="Q2726" s="116">
        <v>1175.7</v>
      </c>
      <c r="R2726">
        <v>322741</v>
      </c>
    </row>
    <row r="2727" spans="1:18" x14ac:dyDescent="0.25">
      <c r="A2727" s="170">
        <v>46020</v>
      </c>
      <c r="B2727">
        <v>1200.1500000000001</v>
      </c>
      <c r="C2727">
        <v>1194.45</v>
      </c>
      <c r="D2727">
        <v>1171.2</v>
      </c>
      <c r="E2727">
        <v>1172.4000000000001</v>
      </c>
      <c r="F2727">
        <v>1194.45</v>
      </c>
      <c r="G2727">
        <v>273092</v>
      </c>
      <c r="H2727" s="116"/>
      <c r="I2727" s="116"/>
      <c r="L2727" s="170">
        <v>46020</v>
      </c>
      <c r="M2727" s="116">
        <v>1195.2</v>
      </c>
      <c r="N2727" s="116">
        <v>1200.9000000000001</v>
      </c>
      <c r="O2727" s="116">
        <v>1170.5</v>
      </c>
      <c r="P2727" s="116">
        <v>1174</v>
      </c>
      <c r="Q2727" s="116">
        <v>1195.2</v>
      </c>
      <c r="R2727">
        <v>1806020</v>
      </c>
    </row>
    <row r="2728" spans="1:18" x14ac:dyDescent="0.25">
      <c r="A2728" s="170">
        <v>46021</v>
      </c>
      <c r="B2728">
        <v>1202</v>
      </c>
      <c r="C2728">
        <v>1177.5</v>
      </c>
      <c r="D2728">
        <v>1170.5999999999999</v>
      </c>
      <c r="E2728">
        <v>1200</v>
      </c>
      <c r="F2728">
        <v>1177.5</v>
      </c>
      <c r="G2728">
        <v>23419</v>
      </c>
      <c r="H2728" s="116"/>
      <c r="I2728" s="116"/>
      <c r="L2728" s="170">
        <v>46021</v>
      </c>
      <c r="M2728" s="116">
        <v>1179</v>
      </c>
      <c r="N2728" s="116">
        <v>1201.8</v>
      </c>
      <c r="O2728" s="116">
        <v>1171.0999999999999</v>
      </c>
      <c r="P2728" s="116">
        <v>1200.7</v>
      </c>
      <c r="Q2728" s="116">
        <v>1179</v>
      </c>
      <c r="R2728">
        <v>2256987</v>
      </c>
    </row>
    <row r="2729" spans="1:18" x14ac:dyDescent="0.25">
      <c r="A2729" s="170">
        <v>46022</v>
      </c>
      <c r="B2729">
        <v>1194.8499999999999</v>
      </c>
      <c r="C2729">
        <v>1192</v>
      </c>
      <c r="D2729">
        <v>1173.05</v>
      </c>
      <c r="E2729">
        <v>1177.55</v>
      </c>
      <c r="F2729">
        <v>1192</v>
      </c>
      <c r="G2729">
        <v>82333</v>
      </c>
      <c r="H2729" s="116"/>
      <c r="I2729" s="116"/>
      <c r="L2729" s="170">
        <v>46022</v>
      </c>
      <c r="M2729" s="116">
        <v>1192</v>
      </c>
      <c r="N2729" s="116">
        <v>1195.0999999999999</v>
      </c>
      <c r="O2729" s="116">
        <v>1172.5999999999999</v>
      </c>
      <c r="P2729" s="116">
        <v>1179</v>
      </c>
      <c r="Q2729" s="116">
        <v>1192</v>
      </c>
      <c r="R2729">
        <v>960678</v>
      </c>
    </row>
    <row r="2730" spans="1:18" x14ac:dyDescent="0.25">
      <c r="A2730" s="170">
        <v>46023</v>
      </c>
      <c r="B2730">
        <v>1195</v>
      </c>
      <c r="C2730">
        <v>1177.1500000000001</v>
      </c>
      <c r="D2730">
        <v>1173.05</v>
      </c>
      <c r="E2730">
        <v>1186.5</v>
      </c>
      <c r="F2730">
        <v>1177.1500000000001</v>
      </c>
      <c r="G2730">
        <v>37022</v>
      </c>
      <c r="H2730" s="116"/>
      <c r="I2730" s="116"/>
      <c r="L2730" s="170">
        <v>46023</v>
      </c>
      <c r="M2730" s="116">
        <v>1176.9000000000001</v>
      </c>
      <c r="N2730" s="116">
        <v>1195.5</v>
      </c>
      <c r="O2730" s="116">
        <v>1173.3</v>
      </c>
      <c r="P2730" s="116">
        <v>1192</v>
      </c>
      <c r="Q2730" s="116">
        <v>1176.9000000000001</v>
      </c>
      <c r="R2730">
        <v>947192</v>
      </c>
    </row>
    <row r="2731" spans="1:18" x14ac:dyDescent="0.25">
      <c r="A2731" s="170">
        <v>46024</v>
      </c>
      <c r="B2731">
        <v>1184.3499999999999</v>
      </c>
      <c r="C2731">
        <v>1170.3</v>
      </c>
      <c r="D2731">
        <v>1168</v>
      </c>
      <c r="E2731">
        <v>1171.95</v>
      </c>
      <c r="F2731">
        <v>1170.3</v>
      </c>
      <c r="G2731">
        <v>73762</v>
      </c>
      <c r="H2731" s="116"/>
      <c r="I2731" s="116"/>
      <c r="L2731" s="170">
        <v>46024</v>
      </c>
      <c r="M2731" s="116">
        <v>1170.7</v>
      </c>
      <c r="N2731" s="116">
        <v>1185.7</v>
      </c>
      <c r="O2731" s="116">
        <v>1168.4000000000001</v>
      </c>
      <c r="P2731" s="116">
        <v>1176.9000000000001</v>
      </c>
      <c r="Q2731" s="116">
        <v>1170.7</v>
      </c>
      <c r="R2731">
        <v>955406</v>
      </c>
    </row>
    <row r="2732" spans="1:18" x14ac:dyDescent="0.25">
      <c r="A2732" s="170">
        <v>46027</v>
      </c>
      <c r="B2732">
        <v>1190.95</v>
      </c>
      <c r="C2732">
        <v>1183</v>
      </c>
      <c r="D2732">
        <v>1165.1500000000001</v>
      </c>
      <c r="E2732">
        <v>1169.9000000000001</v>
      </c>
      <c r="F2732">
        <v>1183</v>
      </c>
      <c r="G2732">
        <v>24487</v>
      </c>
      <c r="H2732" s="116"/>
      <c r="I2732" s="116"/>
      <c r="L2732" s="170">
        <v>46027</v>
      </c>
      <c r="M2732" s="116">
        <v>1182.0999999999999</v>
      </c>
      <c r="N2732" s="116">
        <v>1191</v>
      </c>
      <c r="O2732" s="116">
        <v>1165</v>
      </c>
      <c r="P2732" s="116">
        <v>1165</v>
      </c>
      <c r="Q2732" s="116">
        <v>1182.0999999999999</v>
      </c>
      <c r="R2732">
        <v>1521762</v>
      </c>
    </row>
    <row r="2733" spans="1:18" x14ac:dyDescent="0.25">
      <c r="A2733" s="170">
        <v>46028</v>
      </c>
      <c r="B2733">
        <v>1215</v>
      </c>
      <c r="C2733">
        <v>1210.8</v>
      </c>
      <c r="D2733">
        <v>1182.2</v>
      </c>
      <c r="E2733">
        <v>1183</v>
      </c>
      <c r="F2733">
        <v>1210.8</v>
      </c>
      <c r="G2733">
        <v>94297</v>
      </c>
      <c r="H2733" s="116"/>
      <c r="I2733" s="116"/>
      <c r="L2733" s="170">
        <v>46028</v>
      </c>
      <c r="M2733" s="116">
        <v>1210.4000000000001</v>
      </c>
      <c r="N2733" s="116">
        <v>1215</v>
      </c>
      <c r="O2733" s="116">
        <v>1182.0999999999999</v>
      </c>
      <c r="P2733" s="116">
        <v>1182.0999999999999</v>
      </c>
      <c r="Q2733" s="116">
        <v>1210.4000000000001</v>
      </c>
      <c r="R2733">
        <v>1202300</v>
      </c>
    </row>
    <row r="2734" spans="1:18" x14ac:dyDescent="0.25">
      <c r="A2734" s="170">
        <v>46029</v>
      </c>
      <c r="B2734">
        <v>1220.7</v>
      </c>
      <c r="C2734">
        <v>1212.2</v>
      </c>
      <c r="D2734">
        <v>1205.2</v>
      </c>
      <c r="E2734">
        <v>1219.75</v>
      </c>
      <c r="F2734">
        <v>1212.2</v>
      </c>
      <c r="G2734">
        <v>45469</v>
      </c>
      <c r="H2734" s="116"/>
      <c r="I2734" s="116"/>
      <c r="L2734" s="170">
        <v>46029</v>
      </c>
      <c r="M2734" s="116">
        <v>1212.5999999999999</v>
      </c>
      <c r="N2734" s="116">
        <v>1220.9000000000001</v>
      </c>
      <c r="O2734" s="116">
        <v>1205.3</v>
      </c>
      <c r="P2734" s="116">
        <v>1216.4000000000001</v>
      </c>
      <c r="Q2734" s="116">
        <v>1212.5999999999999</v>
      </c>
      <c r="R2734">
        <v>1021615</v>
      </c>
    </row>
    <row r="2735" spans="1:18" x14ac:dyDescent="0.25">
      <c r="A2735" s="170">
        <v>46030</v>
      </c>
      <c r="B2735">
        <v>1210.55</v>
      </c>
      <c r="C2735">
        <v>1197.6500000000001</v>
      </c>
      <c r="D2735">
        <v>1192.95</v>
      </c>
      <c r="E2735">
        <v>1210.5</v>
      </c>
      <c r="F2735">
        <v>1197.6500000000001</v>
      </c>
      <c r="G2735">
        <v>16828</v>
      </c>
      <c r="H2735" s="116"/>
      <c r="I2735" s="116"/>
      <c r="L2735" s="170">
        <v>46030</v>
      </c>
      <c r="M2735" s="116">
        <v>1197.4000000000001</v>
      </c>
      <c r="N2735" s="116">
        <v>1212</v>
      </c>
      <c r="O2735" s="116">
        <v>1193</v>
      </c>
      <c r="P2735" s="116">
        <v>1212</v>
      </c>
      <c r="Q2735" s="116">
        <v>1197.4000000000001</v>
      </c>
      <c r="R2735">
        <v>562710</v>
      </c>
    </row>
    <row r="2736" spans="1:18" x14ac:dyDescent="0.25">
      <c r="A2736" s="170">
        <v>46031</v>
      </c>
      <c r="B2736">
        <v>1207.3499999999999</v>
      </c>
      <c r="C2736">
        <v>1175.5</v>
      </c>
      <c r="D2736">
        <v>1173.5</v>
      </c>
      <c r="E2736">
        <v>1191.7</v>
      </c>
      <c r="F2736">
        <v>1175.5</v>
      </c>
      <c r="G2736">
        <v>24755</v>
      </c>
      <c r="H2736" s="116"/>
      <c r="I2736" s="116"/>
      <c r="L2736" s="170">
        <v>46031</v>
      </c>
      <c r="M2736" s="116">
        <v>1175.9000000000001</v>
      </c>
      <c r="N2736" s="116">
        <v>1207.8</v>
      </c>
      <c r="O2736" s="116">
        <v>1173.8</v>
      </c>
      <c r="P2736" s="116">
        <v>1197.3</v>
      </c>
      <c r="Q2736" s="116">
        <v>1175.9000000000001</v>
      </c>
      <c r="R2736">
        <v>555547</v>
      </c>
    </row>
    <row r="2737" spans="1:18" x14ac:dyDescent="0.25">
      <c r="A2737" s="170">
        <v>46034</v>
      </c>
      <c r="B2737">
        <v>1196</v>
      </c>
      <c r="C2737">
        <v>1192.3</v>
      </c>
      <c r="D2737">
        <v>1173.55</v>
      </c>
      <c r="E2737">
        <v>1176.95</v>
      </c>
      <c r="F2737">
        <v>1192.3</v>
      </c>
      <c r="G2737">
        <v>19497</v>
      </c>
      <c r="H2737" s="116"/>
      <c r="I2737" s="116"/>
      <c r="L2737" s="170">
        <v>46034</v>
      </c>
      <c r="M2737" s="116">
        <v>1192.3</v>
      </c>
      <c r="N2737" s="116">
        <v>1196.7</v>
      </c>
      <c r="O2737" s="116">
        <v>1173.5</v>
      </c>
      <c r="P2737" s="116">
        <v>1173.5</v>
      </c>
      <c r="Q2737" s="116">
        <v>1192.3</v>
      </c>
      <c r="R2737">
        <v>663978</v>
      </c>
    </row>
    <row r="2738" spans="1:18" x14ac:dyDescent="0.25">
      <c r="A2738" s="170">
        <v>46035</v>
      </c>
      <c r="B2738">
        <v>1198.4000000000001</v>
      </c>
      <c r="C2738">
        <v>1189.0999999999999</v>
      </c>
      <c r="D2738">
        <v>1181.25</v>
      </c>
      <c r="E2738">
        <v>1191.05</v>
      </c>
      <c r="F2738">
        <v>1189.0999999999999</v>
      </c>
      <c r="G2738">
        <v>16889</v>
      </c>
      <c r="H2738" s="116"/>
      <c r="I2738" s="116"/>
      <c r="L2738" s="170">
        <v>46035</v>
      </c>
      <c r="M2738" s="116">
        <v>1189.4000000000001</v>
      </c>
      <c r="N2738" s="116">
        <v>1198.3</v>
      </c>
      <c r="O2738" s="116">
        <v>1181.3</v>
      </c>
      <c r="P2738" s="116">
        <v>1190</v>
      </c>
      <c r="Q2738" s="116">
        <v>1189.4000000000001</v>
      </c>
      <c r="R2738">
        <v>598454</v>
      </c>
    </row>
    <row r="2739" spans="1:18" x14ac:dyDescent="0.25">
      <c r="A2739" s="170">
        <v>46036</v>
      </c>
      <c r="B2739">
        <v>1190.5999999999999</v>
      </c>
      <c r="C2739">
        <v>1171.25</v>
      </c>
      <c r="D2739">
        <v>1169</v>
      </c>
      <c r="E2739">
        <v>1186.4000000000001</v>
      </c>
      <c r="F2739">
        <v>1171.25</v>
      </c>
      <c r="G2739">
        <v>14372</v>
      </c>
      <c r="H2739" s="116"/>
      <c r="I2739" s="116"/>
      <c r="L2739" s="170">
        <v>46036</v>
      </c>
      <c r="M2739" s="116">
        <v>1171.4000000000001</v>
      </c>
      <c r="N2739" s="116">
        <v>1191</v>
      </c>
      <c r="O2739" s="116">
        <v>1168.5999999999999</v>
      </c>
      <c r="P2739" s="116">
        <v>1189.4000000000001</v>
      </c>
      <c r="Q2739" s="116">
        <v>1171.4000000000001</v>
      </c>
      <c r="R2739">
        <v>577684</v>
      </c>
    </row>
    <row r="2740" spans="1:18" x14ac:dyDescent="0.25">
      <c r="A2740" s="170">
        <v>46038</v>
      </c>
      <c r="B2740">
        <v>1199.2</v>
      </c>
      <c r="C2740">
        <v>1188.9000000000001</v>
      </c>
      <c r="D2740">
        <v>1166.8</v>
      </c>
      <c r="E2740">
        <v>1169.5</v>
      </c>
      <c r="F2740">
        <v>1188.9000000000001</v>
      </c>
      <c r="G2740">
        <v>20100</v>
      </c>
      <c r="H2740" s="116"/>
      <c r="I2740" s="116"/>
      <c r="L2740" s="170">
        <v>46038</v>
      </c>
      <c r="M2740" s="116">
        <v>1189.0999999999999</v>
      </c>
      <c r="N2740" s="116">
        <v>1199.7</v>
      </c>
      <c r="O2740" s="116">
        <v>1166.3</v>
      </c>
      <c r="P2740" s="116">
        <v>1171.3</v>
      </c>
      <c r="Q2740" s="116">
        <v>1189.0999999999999</v>
      </c>
      <c r="R2740">
        <v>1250225</v>
      </c>
    </row>
    <row r="2741" spans="1:18" x14ac:dyDescent="0.25">
      <c r="A2741" s="170">
        <v>46041</v>
      </c>
      <c r="B2741">
        <v>1188.5</v>
      </c>
      <c r="C2741">
        <v>1178.45</v>
      </c>
      <c r="D2741">
        <v>1175</v>
      </c>
      <c r="E2741">
        <v>1180.95</v>
      </c>
      <c r="F2741">
        <v>1178.45</v>
      </c>
      <c r="G2741">
        <v>4799</v>
      </c>
      <c r="H2741" s="116"/>
      <c r="I2741" s="116"/>
      <c r="L2741" s="170">
        <v>46041</v>
      </c>
      <c r="M2741" s="116">
        <v>1180.2</v>
      </c>
      <c r="N2741" s="116">
        <v>1188.5999999999999</v>
      </c>
      <c r="O2741" s="116">
        <v>1174</v>
      </c>
      <c r="P2741" s="116">
        <v>1180.2</v>
      </c>
      <c r="Q2741" s="116">
        <v>1180.2</v>
      </c>
      <c r="R2741">
        <v>547580</v>
      </c>
    </row>
    <row r="2742" spans="1:18" x14ac:dyDescent="0.25">
      <c r="A2742" s="170">
        <v>46042</v>
      </c>
      <c r="B2742">
        <v>1203.9000000000001</v>
      </c>
      <c r="C2742">
        <v>1185.45</v>
      </c>
      <c r="D2742">
        <v>1176.3</v>
      </c>
      <c r="E2742">
        <v>1178.45</v>
      </c>
      <c r="F2742">
        <v>1185.45</v>
      </c>
      <c r="G2742">
        <v>42622</v>
      </c>
      <c r="H2742" s="116"/>
      <c r="I2742" s="116"/>
      <c r="L2742" s="170">
        <v>46042</v>
      </c>
      <c r="M2742" s="116">
        <v>1185</v>
      </c>
      <c r="N2742" s="116">
        <v>1203.9000000000001</v>
      </c>
      <c r="O2742" s="116">
        <v>1176.3</v>
      </c>
      <c r="P2742" s="116">
        <v>1180</v>
      </c>
      <c r="Q2742" s="116">
        <v>1185</v>
      </c>
      <c r="R2742">
        <v>2027446</v>
      </c>
    </row>
    <row r="2743" spans="1:18" x14ac:dyDescent="0.25">
      <c r="A2743" s="170">
        <v>46043</v>
      </c>
      <c r="B2743">
        <v>1197.5</v>
      </c>
      <c r="C2743">
        <v>1163.3</v>
      </c>
      <c r="D2743">
        <v>1158.55</v>
      </c>
      <c r="E2743">
        <v>1181.25</v>
      </c>
      <c r="F2743">
        <v>1163.3</v>
      </c>
      <c r="G2743">
        <v>34987</v>
      </c>
      <c r="H2743" s="116"/>
      <c r="I2743" s="116"/>
      <c r="L2743" s="170">
        <v>46043</v>
      </c>
      <c r="M2743" s="116">
        <v>1163.5999999999999</v>
      </c>
      <c r="N2743" s="116">
        <v>1197.5</v>
      </c>
      <c r="O2743" s="116">
        <v>1158.7</v>
      </c>
      <c r="P2743" s="116">
        <v>1180.5</v>
      </c>
      <c r="Q2743" s="116">
        <v>1163.5999999999999</v>
      </c>
      <c r="R2743">
        <v>946906</v>
      </c>
    </row>
    <row r="2744" spans="1:18" x14ac:dyDescent="0.25">
      <c r="A2744" s="170">
        <v>46044</v>
      </c>
      <c r="B2744">
        <v>1188.5</v>
      </c>
      <c r="C2744">
        <v>1175.2</v>
      </c>
      <c r="D2744">
        <v>1163.7</v>
      </c>
      <c r="E2744">
        <v>1163.7</v>
      </c>
      <c r="F2744">
        <v>1175.2</v>
      </c>
      <c r="G2744">
        <v>12446</v>
      </c>
      <c r="H2744" s="116"/>
      <c r="I2744" s="116"/>
      <c r="L2744" s="170">
        <v>46044</v>
      </c>
      <c r="M2744" s="116">
        <v>1175.2</v>
      </c>
      <c r="N2744" s="116">
        <v>1188.5</v>
      </c>
      <c r="O2744" s="116">
        <v>1163.7</v>
      </c>
      <c r="P2744" s="116">
        <v>1165.4000000000001</v>
      </c>
      <c r="Q2744" s="116">
        <v>1175.2</v>
      </c>
      <c r="R2744">
        <v>1495139</v>
      </c>
    </row>
    <row r="2745" spans="1:18" x14ac:dyDescent="0.25">
      <c r="A2745" s="170">
        <v>46045</v>
      </c>
      <c r="B2745">
        <v>1187.3499999999999</v>
      </c>
      <c r="C2745">
        <v>1153.25</v>
      </c>
      <c r="D2745">
        <v>1150</v>
      </c>
      <c r="E2745">
        <v>1177</v>
      </c>
      <c r="F2745">
        <v>1153.25</v>
      </c>
      <c r="G2745">
        <v>15371</v>
      </c>
      <c r="H2745" s="116"/>
      <c r="I2745" s="116"/>
      <c r="L2745" s="170">
        <v>46045</v>
      </c>
      <c r="M2745" s="116">
        <v>1153.5</v>
      </c>
      <c r="N2745" s="116">
        <v>1187.8</v>
      </c>
      <c r="O2745" s="116">
        <v>1149.7</v>
      </c>
      <c r="P2745" s="116">
        <v>1178.5</v>
      </c>
      <c r="Q2745" s="116">
        <v>1153.5</v>
      </c>
      <c r="R2745">
        <v>1456971</v>
      </c>
    </row>
    <row r="2746" spans="1:18" x14ac:dyDescent="0.25">
      <c r="A2746" s="170">
        <v>46049</v>
      </c>
      <c r="B2746">
        <v>1200</v>
      </c>
      <c r="C2746">
        <v>1187.95</v>
      </c>
      <c r="D2746">
        <v>1150.2</v>
      </c>
      <c r="E2746">
        <v>1155.55</v>
      </c>
      <c r="F2746">
        <v>1187.95</v>
      </c>
      <c r="G2746">
        <v>90366</v>
      </c>
      <c r="H2746" s="116"/>
      <c r="I2746" s="116"/>
      <c r="L2746" s="170">
        <v>46049</v>
      </c>
      <c r="M2746" s="116">
        <v>1187.4000000000001</v>
      </c>
      <c r="N2746" s="116">
        <v>1200</v>
      </c>
      <c r="O2746" s="116">
        <v>1149.5</v>
      </c>
      <c r="P2746" s="116">
        <v>1158.5999999999999</v>
      </c>
      <c r="Q2746" s="116">
        <v>1187.4000000000001</v>
      </c>
      <c r="R2746">
        <v>3844021</v>
      </c>
    </row>
    <row r="2747" spans="1:18" x14ac:dyDescent="0.25">
      <c r="A2747" s="170">
        <v>46050</v>
      </c>
      <c r="B2747">
        <v>1188.4000000000001</v>
      </c>
      <c r="C2747">
        <v>1132.1500000000001</v>
      </c>
      <c r="D2747">
        <v>1113.5</v>
      </c>
      <c r="E2747">
        <v>1188.4000000000001</v>
      </c>
      <c r="F2747">
        <v>1132.1500000000001</v>
      </c>
      <c r="G2747">
        <v>297146</v>
      </c>
      <c r="H2747" s="116"/>
      <c r="I2747" s="116"/>
      <c r="L2747" s="170">
        <v>46050</v>
      </c>
      <c r="M2747" s="116">
        <v>1131.8</v>
      </c>
      <c r="N2747" s="116">
        <v>1192.7</v>
      </c>
      <c r="O2747" s="116">
        <v>1114</v>
      </c>
      <c r="P2747" s="116">
        <v>1190</v>
      </c>
      <c r="Q2747" s="116">
        <v>1131.8</v>
      </c>
      <c r="R2747">
        <v>4560055</v>
      </c>
    </row>
    <row r="2748" spans="1:18" x14ac:dyDescent="0.25">
      <c r="A2748" s="170">
        <v>46051</v>
      </c>
      <c r="B2748">
        <v>1130.95</v>
      </c>
      <c r="C2748">
        <v>1106.2</v>
      </c>
      <c r="D2748">
        <v>1100.5</v>
      </c>
      <c r="E2748">
        <v>1130.0999999999999</v>
      </c>
      <c r="F2748">
        <v>1106.2</v>
      </c>
      <c r="G2748">
        <v>45760</v>
      </c>
      <c r="H2748" s="116"/>
      <c r="I2748" s="116"/>
      <c r="L2748" s="170">
        <v>46051</v>
      </c>
      <c r="M2748" s="116">
        <v>1107.2</v>
      </c>
      <c r="N2748" s="116">
        <v>1131.4000000000001</v>
      </c>
      <c r="O2748" s="116">
        <v>1100.0999999999999</v>
      </c>
      <c r="P2748" s="116">
        <v>1130</v>
      </c>
      <c r="Q2748" s="116">
        <v>1107.2</v>
      </c>
      <c r="R2748">
        <v>2786421</v>
      </c>
    </row>
    <row r="2749" spans="1:18" x14ac:dyDescent="0.25">
      <c r="A2749" s="170">
        <v>46052</v>
      </c>
      <c r="B2749">
        <v>1138</v>
      </c>
      <c r="C2749">
        <v>1133.9000000000001</v>
      </c>
      <c r="D2749">
        <v>1100.0999999999999</v>
      </c>
      <c r="E2749">
        <v>1100.0999999999999</v>
      </c>
      <c r="F2749">
        <v>1133.9000000000001</v>
      </c>
      <c r="G2749">
        <v>43148</v>
      </c>
      <c r="H2749" s="116"/>
      <c r="I2749" s="116"/>
      <c r="L2749" s="170">
        <v>46052</v>
      </c>
      <c r="M2749" s="116">
        <v>1133.9000000000001</v>
      </c>
      <c r="N2749" s="116">
        <v>1138.9000000000001</v>
      </c>
      <c r="O2749" s="116">
        <v>1100.0999999999999</v>
      </c>
      <c r="P2749" s="116">
        <v>1106.5</v>
      </c>
      <c r="Q2749" s="116">
        <v>1133.9000000000001</v>
      </c>
      <c r="R2749">
        <v>2570464</v>
      </c>
    </row>
    <row r="2750" spans="1:18" x14ac:dyDescent="0.25">
      <c r="A2750" s="170">
        <v>46054</v>
      </c>
      <c r="B2750">
        <v>1148.5999999999999</v>
      </c>
      <c r="C2750">
        <v>1088.7</v>
      </c>
      <c r="D2750">
        <v>1078</v>
      </c>
      <c r="E2750">
        <v>1135.3499999999999</v>
      </c>
      <c r="F2750">
        <v>1088.7</v>
      </c>
      <c r="G2750">
        <v>40046</v>
      </c>
      <c r="H2750" s="116"/>
      <c r="I2750" s="116"/>
      <c r="L2750" s="170">
        <v>46054</v>
      </c>
      <c r="M2750" s="116">
        <v>1087.3</v>
      </c>
      <c r="N2750" s="116">
        <v>1149</v>
      </c>
      <c r="O2750" s="116">
        <v>1077</v>
      </c>
      <c r="P2750" s="116">
        <v>1134</v>
      </c>
      <c r="Q2750" s="116">
        <v>1087.3</v>
      </c>
      <c r="R2750">
        <v>1165217</v>
      </c>
    </row>
    <row r="2751" spans="1:18" x14ac:dyDescent="0.25">
      <c r="A2751" s="170">
        <v>46055</v>
      </c>
      <c r="B2751">
        <v>1130</v>
      </c>
      <c r="C2751">
        <v>1125.3</v>
      </c>
      <c r="D2751">
        <v>1078.1500000000001</v>
      </c>
      <c r="E2751">
        <v>1078.1500000000001</v>
      </c>
      <c r="F2751">
        <v>1125.3</v>
      </c>
      <c r="G2751">
        <v>67727</v>
      </c>
      <c r="H2751" s="116"/>
      <c r="I2751" s="116"/>
      <c r="L2751" s="170">
        <v>46055</v>
      </c>
      <c r="M2751" s="116">
        <v>1125.4000000000001</v>
      </c>
      <c r="N2751" s="116">
        <v>1132.7</v>
      </c>
      <c r="O2751" s="116">
        <v>1084</v>
      </c>
      <c r="P2751" s="116">
        <v>1092.9000000000001</v>
      </c>
      <c r="Q2751" s="116">
        <v>1125.4000000000001</v>
      </c>
      <c r="R2751">
        <v>1776779</v>
      </c>
    </row>
    <row r="2752" spans="1:18" x14ac:dyDescent="0.25">
      <c r="A2752" s="170">
        <v>46056</v>
      </c>
      <c r="B2752">
        <v>1181.4000000000001</v>
      </c>
      <c r="C2752">
        <v>1153.5</v>
      </c>
      <c r="D2752">
        <v>1136.55</v>
      </c>
      <c r="E2752">
        <v>1159.0999999999999</v>
      </c>
      <c r="F2752">
        <v>1153.5</v>
      </c>
      <c r="G2752">
        <v>224627</v>
      </c>
      <c r="H2752" s="116"/>
      <c r="I2752" s="116"/>
      <c r="L2752" s="170">
        <v>46056</v>
      </c>
      <c r="M2752" s="116">
        <v>1155.4000000000001</v>
      </c>
      <c r="N2752" s="116">
        <v>1180.9000000000001</v>
      </c>
      <c r="O2752" s="116">
        <v>1136.0999999999999</v>
      </c>
      <c r="P2752" s="116">
        <v>1148.9000000000001</v>
      </c>
      <c r="Q2752" s="116">
        <v>1155.4000000000001</v>
      </c>
      <c r="R2752">
        <v>1254462</v>
      </c>
    </row>
    <row r="2753" spans="1:18" x14ac:dyDescent="0.25">
      <c r="A2753" s="170">
        <v>46057</v>
      </c>
      <c r="B2753">
        <v>1170</v>
      </c>
      <c r="C2753">
        <v>1152.6500000000001</v>
      </c>
      <c r="D2753">
        <v>1146.3499999999999</v>
      </c>
      <c r="E2753">
        <v>1155.4000000000001</v>
      </c>
      <c r="F2753">
        <v>1152.6500000000001</v>
      </c>
      <c r="G2753">
        <v>56667</v>
      </c>
      <c r="H2753" s="116"/>
      <c r="I2753" s="116"/>
      <c r="L2753" s="170">
        <v>46057</v>
      </c>
      <c r="M2753" s="116">
        <v>1153</v>
      </c>
      <c r="N2753" s="116">
        <v>1170.7</v>
      </c>
      <c r="O2753" s="116">
        <v>1145.9000000000001</v>
      </c>
      <c r="P2753" s="116">
        <v>1154</v>
      </c>
      <c r="Q2753" s="116">
        <v>1153</v>
      </c>
      <c r="R2753">
        <v>1109383</v>
      </c>
    </row>
    <row r="2754" spans="1:18" x14ac:dyDescent="0.25">
      <c r="A2754" s="170">
        <v>46058</v>
      </c>
      <c r="B2754">
        <v>1163.6500000000001</v>
      </c>
      <c r="C2754">
        <v>1155.45</v>
      </c>
      <c r="D2754">
        <v>1145.75</v>
      </c>
      <c r="E2754">
        <v>1150.9000000000001</v>
      </c>
      <c r="F2754">
        <v>1155.45</v>
      </c>
      <c r="G2754">
        <v>9460</v>
      </c>
      <c r="H2754" s="116"/>
      <c r="I2754" s="116"/>
      <c r="L2754" s="170">
        <v>46058</v>
      </c>
      <c r="M2754" s="116">
        <v>1155.9000000000001</v>
      </c>
      <c r="N2754" s="116">
        <v>1163.5999999999999</v>
      </c>
      <c r="O2754" s="116">
        <v>1145.3</v>
      </c>
      <c r="P2754" s="116">
        <v>1149.5</v>
      </c>
      <c r="Q2754" s="116">
        <v>1155.9000000000001</v>
      </c>
      <c r="R2754">
        <v>1162295</v>
      </c>
    </row>
    <row r="2755" spans="1:18" x14ac:dyDescent="0.25">
      <c r="A2755" s="170">
        <v>46059</v>
      </c>
      <c r="B2755">
        <v>1161.4000000000001</v>
      </c>
      <c r="C2755">
        <v>1158.8499999999999</v>
      </c>
      <c r="D2755">
        <v>1147.25</v>
      </c>
      <c r="E2755">
        <v>1154.3</v>
      </c>
      <c r="F2755">
        <v>1158.8499999999999</v>
      </c>
      <c r="G2755">
        <v>15113</v>
      </c>
      <c r="H2755" s="116"/>
      <c r="I2755" s="116"/>
      <c r="L2755" s="170">
        <v>46059</v>
      </c>
      <c r="M2755" s="116">
        <v>1159.3</v>
      </c>
      <c r="N2755" s="116">
        <v>1162</v>
      </c>
      <c r="O2755" s="116">
        <v>1146</v>
      </c>
      <c r="P2755" s="116">
        <v>1146</v>
      </c>
      <c r="Q2755" s="116">
        <v>1159.3</v>
      </c>
      <c r="R2755">
        <v>830634</v>
      </c>
    </row>
    <row r="2756" spans="1:18" x14ac:dyDescent="0.25">
      <c r="A2756" s="170">
        <v>46062</v>
      </c>
      <c r="B2756">
        <v>1174.4000000000001</v>
      </c>
      <c r="C2756">
        <v>1167.05</v>
      </c>
      <c r="D2756">
        <v>1156.4000000000001</v>
      </c>
      <c r="E2756">
        <v>1159.3</v>
      </c>
      <c r="F2756">
        <v>1167.05</v>
      </c>
      <c r="G2756">
        <v>71859</v>
      </c>
      <c r="H2756" s="116"/>
      <c r="I2756" s="116"/>
      <c r="L2756" s="170">
        <v>46062</v>
      </c>
      <c r="M2756" s="116">
        <v>1167.2</v>
      </c>
      <c r="N2756" s="116">
        <v>1175</v>
      </c>
      <c r="O2756" s="116">
        <v>1156</v>
      </c>
      <c r="P2756" s="116">
        <v>1159.3</v>
      </c>
      <c r="Q2756" s="116">
        <v>1167.2</v>
      </c>
      <c r="R2756">
        <v>1105510</v>
      </c>
    </row>
    <row r="2757" spans="1:18" x14ac:dyDescent="0.25">
      <c r="A2757" s="170">
        <v>46063</v>
      </c>
      <c r="B2757">
        <v>1167.2</v>
      </c>
      <c r="C2757">
        <v>1151.8499999999999</v>
      </c>
      <c r="D2757">
        <v>1148.8499999999999</v>
      </c>
      <c r="E2757">
        <v>1161.45</v>
      </c>
      <c r="F2757">
        <v>1151.8499999999999</v>
      </c>
      <c r="G2757">
        <v>68134</v>
      </c>
      <c r="H2757" s="116"/>
      <c r="I2757" s="116"/>
      <c r="L2757" s="170">
        <v>46063</v>
      </c>
      <c r="M2757" s="116">
        <v>1152.2</v>
      </c>
      <c r="N2757" s="116">
        <v>1167.8</v>
      </c>
      <c r="O2757" s="116">
        <v>1148.5999999999999</v>
      </c>
      <c r="P2757" s="116">
        <v>1167.2</v>
      </c>
      <c r="Q2757" s="116">
        <v>1152.2</v>
      </c>
      <c r="R2757">
        <v>978264</v>
      </c>
    </row>
    <row r="2758" spans="1:18" x14ac:dyDescent="0.25">
      <c r="A2758" s="170">
        <v>46064</v>
      </c>
      <c r="B2758">
        <v>1166.5</v>
      </c>
      <c r="C2758">
        <v>1152.6500000000001</v>
      </c>
      <c r="D2758">
        <v>1150.25</v>
      </c>
      <c r="E2758">
        <v>1152.8</v>
      </c>
      <c r="F2758">
        <v>1152.6500000000001</v>
      </c>
      <c r="G2758">
        <v>15336</v>
      </c>
      <c r="H2758" s="116"/>
      <c r="I2758" s="116"/>
      <c r="L2758" s="170">
        <v>46064</v>
      </c>
      <c r="M2758" s="116">
        <v>1152.5999999999999</v>
      </c>
      <c r="N2758" s="116">
        <v>1166.2</v>
      </c>
      <c r="O2758" s="116">
        <v>1150.2</v>
      </c>
      <c r="P2758" s="116">
        <v>1157.5999999999999</v>
      </c>
      <c r="Q2758" s="116">
        <v>1152.5999999999999</v>
      </c>
      <c r="R2758">
        <v>751635</v>
      </c>
    </row>
    <row r="2759" spans="1:18" x14ac:dyDescent="0.25">
      <c r="A2759" s="170">
        <v>46065</v>
      </c>
      <c r="B2759">
        <v>1164.3499999999999</v>
      </c>
      <c r="C2759">
        <v>1148.05</v>
      </c>
      <c r="D2759">
        <v>1142.4000000000001</v>
      </c>
      <c r="E2759">
        <v>1164.3499999999999</v>
      </c>
      <c r="F2759">
        <v>1148.05</v>
      </c>
      <c r="G2759">
        <v>58137</v>
      </c>
      <c r="H2759" s="116"/>
      <c r="I2759" s="116"/>
      <c r="L2759" s="170">
        <v>46065</v>
      </c>
      <c r="M2759" s="116">
        <v>1149.3</v>
      </c>
      <c r="N2759" s="116">
        <v>1157</v>
      </c>
      <c r="O2759" s="116">
        <v>1142.3</v>
      </c>
      <c r="P2759" s="116">
        <v>1157</v>
      </c>
      <c r="Q2759" s="116">
        <v>1149.3</v>
      </c>
      <c r="R2759">
        <v>624666</v>
      </c>
    </row>
    <row r="2760" spans="1:18" x14ac:dyDescent="0.25">
      <c r="A2760" s="170">
        <v>46066</v>
      </c>
      <c r="B2760">
        <v>1153.7</v>
      </c>
      <c r="C2760">
        <v>1136.0999999999999</v>
      </c>
      <c r="D2760">
        <v>1127</v>
      </c>
      <c r="E2760">
        <v>1145.6500000000001</v>
      </c>
      <c r="F2760">
        <v>1136.0999999999999</v>
      </c>
      <c r="G2760">
        <v>9188</v>
      </c>
      <c r="H2760" s="116"/>
      <c r="I2760" s="116"/>
      <c r="L2760" s="170">
        <v>46066</v>
      </c>
      <c r="M2760" s="116">
        <v>1132.2</v>
      </c>
      <c r="N2760" s="116">
        <v>1154</v>
      </c>
      <c r="O2760" s="116">
        <v>1125.4000000000001</v>
      </c>
      <c r="P2760" s="116">
        <v>1148.9000000000001</v>
      </c>
      <c r="Q2760" s="116">
        <v>1132.2</v>
      </c>
      <c r="R2760">
        <v>525887</v>
      </c>
    </row>
    <row r="2761" spans="1:18" x14ac:dyDescent="0.25">
      <c r="A2761" s="170">
        <v>46069</v>
      </c>
      <c r="B2761">
        <v>1141.5</v>
      </c>
      <c r="C2761">
        <v>1138.4000000000001</v>
      </c>
      <c r="D2761">
        <v>1116.7</v>
      </c>
      <c r="E2761">
        <v>1125.5999999999999</v>
      </c>
      <c r="F2761">
        <v>1138.4000000000001</v>
      </c>
      <c r="G2761">
        <v>47912</v>
      </c>
      <c r="H2761" s="116"/>
      <c r="I2761" s="116"/>
      <c r="L2761" s="170">
        <v>46069</v>
      </c>
      <c r="M2761" s="116">
        <v>1139.2</v>
      </c>
      <c r="N2761" s="116">
        <v>1141.8</v>
      </c>
      <c r="O2761" s="116">
        <v>1117.0999999999999</v>
      </c>
      <c r="P2761" s="116">
        <v>1128.5</v>
      </c>
      <c r="Q2761" s="116">
        <v>1139.2</v>
      </c>
      <c r="R2761">
        <v>780629</v>
      </c>
    </row>
    <row r="2762" spans="1:18" x14ac:dyDescent="0.25">
      <c r="A2762" s="170">
        <v>46070</v>
      </c>
      <c r="B2762">
        <v>1151</v>
      </c>
      <c r="C2762">
        <v>1148.7</v>
      </c>
      <c r="D2762">
        <v>1129.05</v>
      </c>
      <c r="E2762">
        <v>1129.05</v>
      </c>
      <c r="F2762">
        <v>1148.7</v>
      </c>
      <c r="G2762">
        <v>10129</v>
      </c>
      <c r="H2762" s="116"/>
      <c r="I2762" s="116"/>
      <c r="L2762" s="170">
        <v>46070</v>
      </c>
      <c r="M2762" s="116">
        <v>1148.5</v>
      </c>
      <c r="N2762" s="116">
        <v>1151</v>
      </c>
      <c r="O2762" s="116">
        <v>1131.7</v>
      </c>
      <c r="P2762" s="116">
        <v>1133.5</v>
      </c>
      <c r="Q2762" s="116">
        <v>1148.5</v>
      </c>
      <c r="R2762">
        <v>442621</v>
      </c>
    </row>
    <row r="2763" spans="1:18" x14ac:dyDescent="0.25">
      <c r="A2763" s="170">
        <v>46071</v>
      </c>
      <c r="B2763">
        <v>1172.9000000000001</v>
      </c>
      <c r="C2763">
        <v>1167.5999999999999</v>
      </c>
      <c r="D2763">
        <v>1146.2</v>
      </c>
      <c r="E2763">
        <v>1146.5</v>
      </c>
      <c r="F2763">
        <v>1167.5999999999999</v>
      </c>
      <c r="G2763">
        <v>25251</v>
      </c>
      <c r="H2763" s="116"/>
      <c r="I2763" s="116"/>
      <c r="L2763" s="170">
        <v>46071</v>
      </c>
      <c r="M2763" s="116">
        <v>1169.7</v>
      </c>
      <c r="N2763" s="116">
        <v>1173.2</v>
      </c>
      <c r="O2763" s="116">
        <v>1145.8</v>
      </c>
      <c r="P2763" s="116">
        <v>1148</v>
      </c>
      <c r="Q2763" s="116">
        <v>1169.7</v>
      </c>
      <c r="R2763">
        <v>641938</v>
      </c>
    </row>
    <row r="2764" spans="1:18" x14ac:dyDescent="0.25">
      <c r="A2764" s="170">
        <v>46072</v>
      </c>
      <c r="B2764">
        <v>1174</v>
      </c>
      <c r="C2764">
        <v>1157.0999999999999</v>
      </c>
      <c r="D2764">
        <v>1152</v>
      </c>
      <c r="E2764">
        <v>1174</v>
      </c>
      <c r="F2764">
        <v>1157.0999999999999</v>
      </c>
      <c r="G2764">
        <v>8056</v>
      </c>
      <c r="H2764" s="116"/>
      <c r="I2764" s="116"/>
      <c r="L2764" s="170">
        <v>46072</v>
      </c>
      <c r="M2764" s="116">
        <v>1160.5</v>
      </c>
      <c r="N2764" s="116">
        <v>1169</v>
      </c>
      <c r="O2764" s="116">
        <v>1151.7</v>
      </c>
      <c r="P2764" s="116">
        <v>1169</v>
      </c>
      <c r="Q2764" s="116">
        <v>1160.5</v>
      </c>
      <c r="R2764">
        <v>994383</v>
      </c>
    </row>
    <row r="2765" spans="1:18" x14ac:dyDescent="0.25">
      <c r="A2765" s="170">
        <v>46073</v>
      </c>
      <c r="B2765">
        <v>1168.25</v>
      </c>
      <c r="C2765">
        <v>1156.55</v>
      </c>
      <c r="D2765">
        <v>1153.75</v>
      </c>
      <c r="E2765">
        <v>1157.5999999999999</v>
      </c>
      <c r="F2765">
        <v>1156.55</v>
      </c>
      <c r="G2765">
        <v>9816</v>
      </c>
      <c r="H2765" s="116"/>
      <c r="I2765" s="116"/>
      <c r="L2765" s="170">
        <v>46073</v>
      </c>
      <c r="M2765" s="116">
        <v>1156.2</v>
      </c>
      <c r="N2765" s="116">
        <v>1168.5</v>
      </c>
      <c r="O2765" s="116">
        <v>1153.5</v>
      </c>
      <c r="P2765" s="116">
        <v>1162.0999999999999</v>
      </c>
      <c r="Q2765" s="116">
        <v>1156.2</v>
      </c>
      <c r="R2765">
        <v>484995</v>
      </c>
    </row>
    <row r="2766" spans="1:18" x14ac:dyDescent="0.25">
      <c r="A2766" s="170">
        <v>46076</v>
      </c>
      <c r="B2766">
        <v>1179.55</v>
      </c>
      <c r="C2766">
        <v>1171.7</v>
      </c>
      <c r="D2766">
        <v>1155.8499999999999</v>
      </c>
      <c r="E2766">
        <v>1156.75</v>
      </c>
      <c r="F2766">
        <v>1171.7</v>
      </c>
      <c r="G2766">
        <v>34435</v>
      </c>
      <c r="H2766" s="116"/>
      <c r="I2766" s="116"/>
      <c r="L2766" s="170">
        <v>46076</v>
      </c>
      <c r="M2766" s="116">
        <v>1171.8</v>
      </c>
      <c r="N2766" s="116">
        <v>1179.5</v>
      </c>
      <c r="O2766" s="116">
        <v>1155.2</v>
      </c>
      <c r="P2766" s="116">
        <v>1156.2</v>
      </c>
      <c r="Q2766" s="116">
        <v>1171.8</v>
      </c>
      <c r="R2766">
        <v>623773</v>
      </c>
    </row>
    <row r="2767" spans="1:18" x14ac:dyDescent="0.25">
      <c r="A2767" s="170">
        <v>46077</v>
      </c>
      <c r="B2767">
        <v>1182.8499999999999</v>
      </c>
      <c r="C2767">
        <v>1178.8</v>
      </c>
      <c r="D2767">
        <v>1164.5999999999999</v>
      </c>
      <c r="E2767">
        <v>1166.5999999999999</v>
      </c>
      <c r="F2767">
        <v>1178.8</v>
      </c>
      <c r="G2767">
        <v>10427</v>
      </c>
      <c r="H2767" s="116"/>
      <c r="I2767" s="116"/>
      <c r="L2767" s="170">
        <v>46077</v>
      </c>
      <c r="M2767" s="116">
        <v>1178</v>
      </c>
      <c r="N2767" s="116">
        <v>1182.4000000000001</v>
      </c>
      <c r="O2767" s="116">
        <v>1160.7</v>
      </c>
      <c r="P2767" s="116">
        <v>1161</v>
      </c>
      <c r="Q2767" s="116">
        <v>1178</v>
      </c>
      <c r="R2767">
        <v>625615</v>
      </c>
    </row>
    <row r="2768" spans="1:18" x14ac:dyDescent="0.25">
      <c r="A2768" s="170">
        <v>46078</v>
      </c>
      <c r="B2768">
        <v>1182.0999999999999</v>
      </c>
      <c r="C2768">
        <v>1172.1500000000001</v>
      </c>
      <c r="D2768">
        <v>1161.05</v>
      </c>
      <c r="E2768">
        <v>1180.7</v>
      </c>
      <c r="F2768">
        <v>1172.1500000000001</v>
      </c>
      <c r="G2768">
        <v>14841</v>
      </c>
      <c r="H2768" s="116"/>
      <c r="I2768" s="116"/>
      <c r="L2768" s="170">
        <v>46078</v>
      </c>
      <c r="M2768" s="116">
        <v>1172.3</v>
      </c>
      <c r="N2768" s="116">
        <v>1185</v>
      </c>
      <c r="O2768" s="116">
        <v>1161</v>
      </c>
      <c r="P2768" s="116">
        <v>1183.0999999999999</v>
      </c>
      <c r="Q2768" s="116">
        <v>1172.3</v>
      </c>
      <c r="R2768">
        <v>565726</v>
      </c>
    </row>
    <row r="2769" spans="1:18" x14ac:dyDescent="0.25">
      <c r="A2769" s="170">
        <v>46079</v>
      </c>
      <c r="B2769">
        <v>1177.55</v>
      </c>
      <c r="C2769">
        <v>1159.3499999999999</v>
      </c>
      <c r="D2769">
        <v>1154.4000000000001</v>
      </c>
      <c r="E2769">
        <v>1173.2</v>
      </c>
      <c r="F2769">
        <v>1159.3499999999999</v>
      </c>
      <c r="G2769">
        <v>10312</v>
      </c>
      <c r="H2769" s="116"/>
      <c r="I2769" s="116"/>
      <c r="L2769" s="170">
        <v>46079</v>
      </c>
      <c r="M2769" s="116">
        <v>1159.5</v>
      </c>
      <c r="N2769" s="116">
        <v>1177.4000000000001</v>
      </c>
      <c r="O2769" s="116">
        <v>1153.5</v>
      </c>
      <c r="P2769" s="116">
        <v>1172</v>
      </c>
      <c r="Q2769" s="116">
        <v>1159.5</v>
      </c>
      <c r="R2769">
        <v>629003</v>
      </c>
    </row>
    <row r="2770" spans="1:18" x14ac:dyDescent="0.25">
      <c r="A2770" s="170">
        <v>46080</v>
      </c>
      <c r="B2770">
        <v>1159.3499999999999</v>
      </c>
      <c r="C2770">
        <v>1142.3</v>
      </c>
      <c r="D2770">
        <v>1134.75</v>
      </c>
      <c r="E2770">
        <v>1154</v>
      </c>
      <c r="F2770">
        <v>1142.3</v>
      </c>
      <c r="G2770">
        <v>20479</v>
      </c>
      <c r="H2770" s="116"/>
      <c r="I2770" s="116"/>
      <c r="L2770" s="170">
        <v>46080</v>
      </c>
      <c r="M2770" s="116">
        <v>1141</v>
      </c>
      <c r="N2770" s="116">
        <v>1159.5</v>
      </c>
      <c r="O2770" s="116">
        <v>1134.9000000000001</v>
      </c>
      <c r="P2770" s="116">
        <v>1151.0999999999999</v>
      </c>
      <c r="Q2770" s="116">
        <v>1141</v>
      </c>
      <c r="R2770">
        <v>2035788</v>
      </c>
    </row>
    <row r="2771" spans="1:18" x14ac:dyDescent="0.25">
      <c r="A2771" s="170">
        <v>46083</v>
      </c>
      <c r="B2771">
        <v>1143.05</v>
      </c>
      <c r="C2771">
        <v>1124.8499999999999</v>
      </c>
      <c r="D2771">
        <v>1031.3</v>
      </c>
      <c r="E2771">
        <v>1031.3</v>
      </c>
      <c r="F2771">
        <v>1124.8499999999999</v>
      </c>
      <c r="G2771">
        <v>36523</v>
      </c>
      <c r="H2771" s="116"/>
      <c r="I2771" s="116"/>
      <c r="L2771" s="170">
        <v>46083</v>
      </c>
      <c r="M2771" s="116">
        <v>1125.2</v>
      </c>
      <c r="N2771" s="116">
        <v>1145.8</v>
      </c>
      <c r="O2771" s="116">
        <v>1110.8</v>
      </c>
      <c r="P2771" s="116">
        <v>1110.8</v>
      </c>
      <c r="Q2771" s="116">
        <v>1125.2</v>
      </c>
      <c r="R2771">
        <v>1368110</v>
      </c>
    </row>
    <row r="2772" spans="1:18" x14ac:dyDescent="0.25">
      <c r="A2772" s="170">
        <v>46085</v>
      </c>
      <c r="B2772">
        <v>1122.95</v>
      </c>
      <c r="C2772">
        <v>1110.5</v>
      </c>
      <c r="D2772">
        <v>1099.0999999999999</v>
      </c>
      <c r="E2772">
        <v>1122.95</v>
      </c>
      <c r="F2772">
        <v>1110.5</v>
      </c>
      <c r="G2772">
        <v>22123</v>
      </c>
      <c r="H2772" s="116"/>
      <c r="I2772" s="116"/>
      <c r="L2772" s="170">
        <v>46085</v>
      </c>
      <c r="M2772" s="116">
        <v>1110.5999999999999</v>
      </c>
      <c r="N2772" s="116">
        <v>1118.8</v>
      </c>
      <c r="O2772" s="116">
        <v>1098.7</v>
      </c>
      <c r="P2772" s="116">
        <v>1114.5</v>
      </c>
      <c r="Q2772" s="116">
        <v>1110.5999999999999</v>
      </c>
      <c r="R2772">
        <v>1221984</v>
      </c>
    </row>
    <row r="2773" spans="1:18" x14ac:dyDescent="0.25">
      <c r="A2773" s="170">
        <v>46086</v>
      </c>
      <c r="B2773">
        <v>1123.5</v>
      </c>
      <c r="C2773">
        <v>1119.8499999999999</v>
      </c>
      <c r="D2773">
        <v>1095.3</v>
      </c>
      <c r="E2773">
        <v>1095.3</v>
      </c>
      <c r="F2773">
        <v>1119.8499999999999</v>
      </c>
      <c r="G2773">
        <v>37660</v>
      </c>
      <c r="H2773" s="116"/>
      <c r="I2773" s="116"/>
      <c r="L2773" s="170">
        <v>46086</v>
      </c>
      <c r="M2773" s="116">
        <v>1119.0999999999999</v>
      </c>
      <c r="N2773" s="116">
        <v>1123.7</v>
      </c>
      <c r="O2773" s="116">
        <v>1095.8</v>
      </c>
      <c r="P2773" s="116">
        <v>1112.3</v>
      </c>
      <c r="Q2773" s="116">
        <v>1119.0999999999999</v>
      </c>
      <c r="R2773">
        <v>1368338</v>
      </c>
    </row>
    <row r="2774" spans="1:18" x14ac:dyDescent="0.25">
      <c r="A2774" s="170">
        <v>46087</v>
      </c>
      <c r="B2774">
        <v>1128.9000000000001</v>
      </c>
      <c r="C2774">
        <v>1116.8</v>
      </c>
      <c r="D2774">
        <v>1101.3</v>
      </c>
      <c r="E2774">
        <v>1101.3</v>
      </c>
      <c r="F2774">
        <v>1116.8</v>
      </c>
      <c r="G2774">
        <v>11852</v>
      </c>
      <c r="H2774" s="116"/>
      <c r="I2774" s="116"/>
      <c r="L2774" s="170">
        <v>46087</v>
      </c>
      <c r="M2774" s="116">
        <v>1116.7</v>
      </c>
      <c r="N2774" s="116">
        <v>1128.7</v>
      </c>
      <c r="O2774" s="116">
        <v>1112.0999999999999</v>
      </c>
      <c r="P2774" s="116">
        <v>1119.0999999999999</v>
      </c>
      <c r="Q2774" s="116">
        <v>1116.7</v>
      </c>
      <c r="R2774">
        <v>919798</v>
      </c>
    </row>
    <row r="2775" spans="1:18" x14ac:dyDescent="0.25">
      <c r="A2775" s="170">
        <v>46090</v>
      </c>
      <c r="B2775">
        <v>1107</v>
      </c>
      <c r="C2775">
        <v>1101.05</v>
      </c>
      <c r="D2775">
        <v>1068.8499999999999</v>
      </c>
      <c r="E2775">
        <v>1068.8499999999999</v>
      </c>
      <c r="F2775">
        <v>1101.05</v>
      </c>
      <c r="G2775">
        <v>36984</v>
      </c>
      <c r="H2775" s="116"/>
      <c r="I2775" s="116"/>
      <c r="L2775" s="170">
        <v>46090</v>
      </c>
      <c r="M2775" s="116">
        <v>1102.5</v>
      </c>
      <c r="N2775" s="116">
        <v>1106.9000000000001</v>
      </c>
      <c r="O2775" s="116">
        <v>1082.5</v>
      </c>
      <c r="P2775" s="116">
        <v>1086.7</v>
      </c>
      <c r="Q2775" s="116">
        <v>1102.5</v>
      </c>
      <c r="R2775">
        <v>1007371</v>
      </c>
    </row>
    <row r="2776" spans="1:18" x14ac:dyDescent="0.25">
      <c r="A2776" s="170">
        <v>46091</v>
      </c>
      <c r="B2776">
        <v>1109.6500000000001</v>
      </c>
      <c r="C2776">
        <v>1099.05</v>
      </c>
      <c r="D2776">
        <v>1096.55</v>
      </c>
      <c r="E2776">
        <v>1099</v>
      </c>
      <c r="F2776">
        <v>1099.05</v>
      </c>
      <c r="G2776">
        <v>185323</v>
      </c>
      <c r="H2776" s="116"/>
      <c r="I2776" s="116"/>
      <c r="L2776" s="170">
        <v>46091</v>
      </c>
      <c r="M2776" s="116">
        <v>1099.5</v>
      </c>
      <c r="N2776" s="116">
        <v>1111</v>
      </c>
      <c r="O2776" s="116">
        <v>1096</v>
      </c>
      <c r="P2776" s="116">
        <v>1102.4000000000001</v>
      </c>
      <c r="Q2776" s="116">
        <v>1099.5</v>
      </c>
      <c r="R2776">
        <v>1165119</v>
      </c>
    </row>
    <row r="2777" spans="1:18" x14ac:dyDescent="0.25">
      <c r="A2777" s="170">
        <v>46092</v>
      </c>
      <c r="B2777">
        <v>1102.6500000000001</v>
      </c>
      <c r="C2777">
        <v>1073.25</v>
      </c>
      <c r="D2777">
        <v>1070.5</v>
      </c>
      <c r="E2777">
        <v>1100.3</v>
      </c>
      <c r="F2777">
        <v>1073.25</v>
      </c>
      <c r="G2777">
        <v>231634</v>
      </c>
      <c r="H2777" s="116"/>
      <c r="I2777" s="116"/>
      <c r="L2777" s="170">
        <v>46092</v>
      </c>
      <c r="M2777" s="116">
        <v>1073.4000000000001</v>
      </c>
      <c r="N2777" s="116">
        <v>1102.0999999999999</v>
      </c>
      <c r="O2777" s="116">
        <v>1070.2</v>
      </c>
      <c r="P2777" s="116">
        <v>1102</v>
      </c>
      <c r="Q2777" s="116">
        <v>1073.4000000000001</v>
      </c>
      <c r="R2777">
        <v>1066872</v>
      </c>
    </row>
    <row r="2778" spans="1:18" x14ac:dyDescent="0.25">
      <c r="A2778" s="170">
        <v>46093</v>
      </c>
      <c r="B2778">
        <v>1070</v>
      </c>
      <c r="C2778">
        <v>1057.45</v>
      </c>
      <c r="D2778">
        <v>1052</v>
      </c>
      <c r="E2778">
        <v>1067.75</v>
      </c>
      <c r="F2778">
        <v>1057.45</v>
      </c>
      <c r="G2778">
        <v>22012</v>
      </c>
      <c r="H2778" s="116"/>
      <c r="I2778" s="116"/>
      <c r="L2778" s="170">
        <v>46093</v>
      </c>
      <c r="M2778" s="116">
        <v>1057.8</v>
      </c>
      <c r="N2778" s="116">
        <v>1072.8</v>
      </c>
      <c r="O2778" s="116">
        <v>1051.4000000000001</v>
      </c>
      <c r="P2778" s="116">
        <v>1070.5</v>
      </c>
      <c r="Q2778" s="116">
        <v>1057.8</v>
      </c>
      <c r="R2778">
        <v>961388</v>
      </c>
    </row>
    <row r="2779" spans="1:18" x14ac:dyDescent="0.25">
      <c r="A2779" s="170">
        <v>46094</v>
      </c>
      <c r="B2779">
        <v>1093.9000000000001</v>
      </c>
      <c r="C2779">
        <v>1083.75</v>
      </c>
      <c r="D2779">
        <v>1049</v>
      </c>
      <c r="E2779">
        <v>1050</v>
      </c>
      <c r="F2779">
        <v>1083.75</v>
      </c>
      <c r="G2779">
        <v>372055</v>
      </c>
      <c r="H2779" s="116"/>
      <c r="I2779" s="116"/>
      <c r="L2779" s="170">
        <v>46094</v>
      </c>
      <c r="M2779" s="116">
        <v>1083.5999999999999</v>
      </c>
      <c r="N2779" s="116">
        <v>1093.9000000000001</v>
      </c>
      <c r="O2779" s="116">
        <v>1048</v>
      </c>
      <c r="P2779" s="116">
        <v>1049</v>
      </c>
      <c r="Q2779" s="116">
        <v>1083.5999999999999</v>
      </c>
      <c r="R2779">
        <v>2855691</v>
      </c>
    </row>
    <row r="2780" spans="1:18" x14ac:dyDescent="0.25">
      <c r="A2780" s="170">
        <v>46097</v>
      </c>
      <c r="B2780">
        <v>1099</v>
      </c>
      <c r="C2780">
        <v>1092.3</v>
      </c>
      <c r="D2780">
        <v>1070.55</v>
      </c>
      <c r="E2780">
        <v>1085.25</v>
      </c>
      <c r="F2780">
        <v>1092.3</v>
      </c>
      <c r="G2780">
        <v>48873</v>
      </c>
      <c r="H2780" s="116"/>
      <c r="I2780" s="116"/>
      <c r="L2780" s="170">
        <v>46097</v>
      </c>
      <c r="M2780" s="116">
        <v>1092.7</v>
      </c>
      <c r="N2780" s="116">
        <v>1099.7</v>
      </c>
      <c r="O2780" s="116">
        <v>1071</v>
      </c>
      <c r="P2780" s="116">
        <v>1083.5999999999999</v>
      </c>
      <c r="Q2780" s="116">
        <v>1092.7</v>
      </c>
      <c r="R2780">
        <v>1527989</v>
      </c>
    </row>
    <row r="2781" spans="1:18" x14ac:dyDescent="0.25">
      <c r="A2781" s="170">
        <v>46098</v>
      </c>
      <c r="B2781">
        <v>1104.45</v>
      </c>
      <c r="C2781">
        <v>1076.45</v>
      </c>
      <c r="D2781">
        <v>1075</v>
      </c>
      <c r="E2781">
        <v>1092.3499999999999</v>
      </c>
      <c r="F2781">
        <v>1076.45</v>
      </c>
      <c r="G2781">
        <v>18814</v>
      </c>
      <c r="H2781" s="116"/>
      <c r="I2781" s="116"/>
      <c r="L2781" s="170">
        <v>46098</v>
      </c>
      <c r="M2781" s="116">
        <v>1078</v>
      </c>
      <c r="N2781" s="116">
        <v>1104.2</v>
      </c>
      <c r="O2781" s="116">
        <v>1074</v>
      </c>
      <c r="P2781" s="116">
        <v>1092.7</v>
      </c>
      <c r="Q2781" s="116">
        <v>1078</v>
      </c>
      <c r="R2781">
        <v>1998285</v>
      </c>
    </row>
    <row r="2782" spans="1:18" x14ac:dyDescent="0.25">
      <c r="A2782" s="170">
        <v>46099</v>
      </c>
      <c r="B2782">
        <v>1086.9000000000001</v>
      </c>
      <c r="C2782">
        <v>1072.5</v>
      </c>
      <c r="D2782">
        <v>1068.5</v>
      </c>
      <c r="E2782">
        <v>1086.9000000000001</v>
      </c>
      <c r="F2782">
        <v>1072.5</v>
      </c>
      <c r="G2782">
        <v>20940</v>
      </c>
      <c r="H2782" s="116"/>
      <c r="I2782" s="116"/>
      <c r="L2782" s="170">
        <v>46099</v>
      </c>
      <c r="M2782" s="116">
        <v>1075.0999999999999</v>
      </c>
      <c r="N2782" s="116">
        <v>1085.2</v>
      </c>
      <c r="O2782" s="116">
        <v>1068</v>
      </c>
      <c r="P2782" s="116">
        <v>1075.5999999999999</v>
      </c>
      <c r="Q2782" s="116">
        <v>1075.0999999999999</v>
      </c>
      <c r="R2782">
        <v>1092393</v>
      </c>
    </row>
    <row r="2783" spans="1:18" x14ac:dyDescent="0.25">
      <c r="A2783" s="170">
        <v>46100</v>
      </c>
      <c r="B2783">
        <v>1067.8499999999999</v>
      </c>
      <c r="C2783">
        <v>1043.7</v>
      </c>
      <c r="D2783">
        <v>1039.8499999999999</v>
      </c>
      <c r="E2783">
        <v>1056</v>
      </c>
      <c r="F2783">
        <v>1043.7</v>
      </c>
      <c r="G2783">
        <v>28554</v>
      </c>
      <c r="H2783" s="116"/>
      <c r="I2783" s="116"/>
      <c r="L2783" s="170">
        <v>46100</v>
      </c>
      <c r="M2783" s="116">
        <v>1044.5999999999999</v>
      </c>
      <c r="N2783" s="116">
        <v>1067.9000000000001</v>
      </c>
      <c r="O2783" s="116">
        <v>1039.4000000000001</v>
      </c>
      <c r="P2783" s="116">
        <v>1055.0999999999999</v>
      </c>
      <c r="Q2783" s="116">
        <v>1044.5999999999999</v>
      </c>
      <c r="R2783">
        <v>747138</v>
      </c>
    </row>
    <row r="2784" spans="1:18" x14ac:dyDescent="0.25">
      <c r="A2784" s="170">
        <v>46101</v>
      </c>
      <c r="B2784">
        <v>1055.8499999999999</v>
      </c>
      <c r="C2784">
        <v>1050.7</v>
      </c>
      <c r="D2784">
        <v>1044</v>
      </c>
      <c r="E2784">
        <v>1049.1500000000001</v>
      </c>
      <c r="F2784">
        <v>1050.7</v>
      </c>
      <c r="G2784">
        <v>54145</v>
      </c>
      <c r="H2784" s="116"/>
      <c r="I2784" s="116"/>
      <c r="L2784" s="170">
        <v>46101</v>
      </c>
      <c r="M2784" s="116">
        <v>1050.2</v>
      </c>
      <c r="N2784" s="116">
        <v>1056</v>
      </c>
      <c r="O2784" s="116">
        <v>1043.5</v>
      </c>
      <c r="P2784" s="116">
        <v>1054.7</v>
      </c>
      <c r="Q2784" s="116">
        <v>1050.2</v>
      </c>
      <c r="R2784">
        <v>2095970</v>
      </c>
    </row>
    <row r="2785" spans="1:18" x14ac:dyDescent="0.25">
      <c r="A2785" s="170">
        <v>46104</v>
      </c>
      <c r="B2785">
        <v>1041.5</v>
      </c>
      <c r="C2785">
        <v>1023.4</v>
      </c>
      <c r="D2785">
        <v>1019.9</v>
      </c>
      <c r="E2785">
        <v>1026.05</v>
      </c>
      <c r="F2785">
        <v>1023.4</v>
      </c>
      <c r="G2785">
        <v>57306</v>
      </c>
      <c r="H2785" s="116"/>
      <c r="I2785" s="116"/>
      <c r="L2785" s="170">
        <v>46104</v>
      </c>
      <c r="M2785" s="116">
        <v>1023.6</v>
      </c>
      <c r="N2785" s="116">
        <v>1042</v>
      </c>
      <c r="O2785" s="116">
        <v>1019.6</v>
      </c>
      <c r="P2785" s="116">
        <v>1036.0999999999999</v>
      </c>
      <c r="Q2785" s="116">
        <v>1023.6</v>
      </c>
      <c r="R2785">
        <v>2006447</v>
      </c>
    </row>
    <row r="2786" spans="1:18" x14ac:dyDescent="0.25">
      <c r="A2786" s="170">
        <v>46105</v>
      </c>
      <c r="B2786">
        <v>1057.3</v>
      </c>
      <c r="C2786">
        <v>1053.2</v>
      </c>
      <c r="D2786">
        <v>1023</v>
      </c>
      <c r="E2786">
        <v>1030.05</v>
      </c>
      <c r="F2786">
        <v>1053.2</v>
      </c>
      <c r="G2786">
        <v>27999</v>
      </c>
      <c r="H2786" s="116"/>
      <c r="I2786" s="116"/>
      <c r="L2786" s="170">
        <v>46105</v>
      </c>
      <c r="M2786" s="116">
        <v>1053.0999999999999</v>
      </c>
      <c r="N2786" s="116">
        <v>1059.5</v>
      </c>
      <c r="O2786" s="116">
        <v>1022.8</v>
      </c>
      <c r="P2786" s="116">
        <v>1030.9000000000001</v>
      </c>
      <c r="Q2786" s="116">
        <v>1053.0999999999999</v>
      </c>
      <c r="R2786">
        <v>1423695</v>
      </c>
    </row>
    <row r="2787" spans="1:18" x14ac:dyDescent="0.25">
      <c r="A2787" s="170">
        <v>46106</v>
      </c>
      <c r="B2787">
        <v>1072.2</v>
      </c>
      <c r="C2787">
        <v>1056.25</v>
      </c>
      <c r="D2787">
        <v>1051.05</v>
      </c>
      <c r="E2787">
        <v>1054.3499999999999</v>
      </c>
      <c r="F2787">
        <v>1056.25</v>
      </c>
      <c r="G2787">
        <v>57557</v>
      </c>
      <c r="H2787" s="116"/>
      <c r="I2787" s="116"/>
      <c r="L2787" s="170">
        <v>46106</v>
      </c>
      <c r="M2787" s="116">
        <v>1056.0999999999999</v>
      </c>
      <c r="N2787" s="116">
        <v>1073</v>
      </c>
      <c r="O2787" s="116">
        <v>1050.5999999999999</v>
      </c>
      <c r="P2787" s="116">
        <v>1053.0999999999999</v>
      </c>
      <c r="Q2787" s="116">
        <v>1056.0999999999999</v>
      </c>
      <c r="R2787">
        <v>1566241</v>
      </c>
    </row>
    <row r="2788" spans="1:18" x14ac:dyDescent="0.25">
      <c r="A2788" s="170">
        <v>46108</v>
      </c>
      <c r="B2788">
        <v>1057</v>
      </c>
      <c r="C2788">
        <v>1048.0999999999999</v>
      </c>
      <c r="D2788">
        <v>1032.75</v>
      </c>
      <c r="E2788">
        <v>1037.05</v>
      </c>
      <c r="F2788">
        <v>1048.0999999999999</v>
      </c>
      <c r="G2788">
        <v>68254</v>
      </c>
      <c r="H2788" s="116"/>
      <c r="I2788" s="116"/>
      <c r="L2788" s="170">
        <v>46108</v>
      </c>
      <c r="M2788" s="116">
        <v>1048.5</v>
      </c>
      <c r="N2788" s="116">
        <v>1057.5</v>
      </c>
      <c r="O2788" s="116">
        <v>1032.7</v>
      </c>
      <c r="P2788" s="116">
        <v>1049.3</v>
      </c>
      <c r="Q2788" s="116">
        <v>1048.5</v>
      </c>
      <c r="R2788">
        <v>1815831</v>
      </c>
    </row>
    <row r="2789" spans="1:18" x14ac:dyDescent="0.25">
      <c r="A2789" s="170">
        <v>46111</v>
      </c>
      <c r="B2789">
        <v>1047.2</v>
      </c>
      <c r="C2789">
        <v>1014.45</v>
      </c>
      <c r="D2789">
        <v>1011</v>
      </c>
      <c r="E2789">
        <v>1042.5999999999999</v>
      </c>
      <c r="F2789">
        <v>1014.45</v>
      </c>
      <c r="G2789">
        <v>23924</v>
      </c>
      <c r="H2789" s="116"/>
      <c r="I2789" s="116"/>
      <c r="L2789" s="170">
        <v>46111</v>
      </c>
      <c r="M2789" s="116">
        <v>1014.8</v>
      </c>
      <c r="N2789" s="116">
        <v>1047.9000000000001</v>
      </c>
      <c r="O2789" s="116">
        <v>1010.8</v>
      </c>
      <c r="P2789" s="116">
        <v>1038.8</v>
      </c>
      <c r="Q2789" s="116">
        <v>1014.8</v>
      </c>
      <c r="R2789">
        <v>1801570</v>
      </c>
    </row>
    <row r="2790" spans="1:18" x14ac:dyDescent="0.25">
      <c r="A2790" s="170">
        <v>46113</v>
      </c>
      <c r="B2790">
        <v>1034.75</v>
      </c>
      <c r="C2790">
        <v>1023.75</v>
      </c>
      <c r="D2790">
        <v>1012.85</v>
      </c>
      <c r="E2790">
        <v>1034.75</v>
      </c>
      <c r="F2790">
        <v>1023.75</v>
      </c>
      <c r="G2790">
        <v>42986</v>
      </c>
      <c r="H2790" s="116"/>
      <c r="I2790" s="116"/>
      <c r="L2790" s="170">
        <v>46113</v>
      </c>
      <c r="M2790" s="116">
        <v>1023.8</v>
      </c>
      <c r="N2790" s="116">
        <v>1036</v>
      </c>
      <c r="O2790" s="116">
        <v>1013</v>
      </c>
      <c r="P2790" s="116">
        <v>1025</v>
      </c>
      <c r="Q2790" s="116">
        <v>1023.8</v>
      </c>
      <c r="R2790">
        <v>1309809</v>
      </c>
    </row>
    <row r="2791" spans="1:18" x14ac:dyDescent="0.25">
      <c r="A2791" s="170">
        <v>46114</v>
      </c>
      <c r="B2791">
        <v>1044.7</v>
      </c>
      <c r="C2791">
        <v>1042.0999999999999</v>
      </c>
      <c r="D2791">
        <v>1007.2</v>
      </c>
      <c r="E2791">
        <v>1018.05</v>
      </c>
      <c r="F2791">
        <v>1042.0999999999999</v>
      </c>
      <c r="G2791">
        <v>29212</v>
      </c>
      <c r="H2791" s="116"/>
      <c r="I2791" s="116"/>
      <c r="L2791" s="170">
        <v>46114</v>
      </c>
      <c r="M2791" s="116">
        <v>1042</v>
      </c>
      <c r="N2791" s="116">
        <v>1046.0999999999999</v>
      </c>
      <c r="O2791" s="116">
        <v>1007.2</v>
      </c>
      <c r="P2791" s="116">
        <v>1020</v>
      </c>
      <c r="Q2791" s="116">
        <v>1042</v>
      </c>
      <c r="R2791">
        <v>2586178</v>
      </c>
    </row>
    <row r="2792" spans="1:18" x14ac:dyDescent="0.25">
      <c r="A2792" s="170">
        <v>46118</v>
      </c>
      <c r="B2792">
        <v>1063.5</v>
      </c>
      <c r="C2792">
        <v>1055.8</v>
      </c>
      <c r="D2792">
        <v>1023.25</v>
      </c>
      <c r="E2792">
        <v>1040.8499999999999</v>
      </c>
      <c r="F2792">
        <v>1055.8</v>
      </c>
      <c r="G2792">
        <v>94796</v>
      </c>
      <c r="H2792" s="116"/>
      <c r="I2792" s="116"/>
      <c r="L2792" s="170">
        <v>46118</v>
      </c>
      <c r="M2792" s="116">
        <v>1055.2</v>
      </c>
      <c r="N2792" s="116">
        <v>1063.5999999999999</v>
      </c>
      <c r="O2792" s="116">
        <v>1022.7</v>
      </c>
      <c r="P2792" s="116">
        <v>1043</v>
      </c>
      <c r="Q2792" s="116">
        <v>1055.2</v>
      </c>
      <c r="R2792">
        <v>2179297</v>
      </c>
    </row>
    <row r="2793" spans="1:18" x14ac:dyDescent="0.25">
      <c r="A2793" s="170">
        <v>46119</v>
      </c>
      <c r="B2793">
        <v>1064.4000000000001</v>
      </c>
      <c r="C2793">
        <v>1061.75</v>
      </c>
      <c r="D2793">
        <v>1035</v>
      </c>
      <c r="E2793">
        <v>1035.75</v>
      </c>
      <c r="F2793">
        <v>1061.75</v>
      </c>
      <c r="G2793">
        <v>36338</v>
      </c>
      <c r="H2793" s="116"/>
      <c r="I2793" s="116"/>
      <c r="L2793" s="170">
        <v>46119</v>
      </c>
      <c r="M2793" s="116">
        <v>1062</v>
      </c>
      <c r="N2793" s="116">
        <v>1064.4000000000001</v>
      </c>
      <c r="O2793" s="116">
        <v>1034.5999999999999</v>
      </c>
      <c r="P2793" s="116">
        <v>1045.3</v>
      </c>
      <c r="Q2793" s="116">
        <v>1062</v>
      </c>
      <c r="R2793">
        <v>1342335</v>
      </c>
    </row>
    <row r="2794" spans="1:18" x14ac:dyDescent="0.25">
      <c r="A2794" s="170">
        <v>46120</v>
      </c>
      <c r="B2794">
        <v>1091.2</v>
      </c>
      <c r="C2794">
        <v>1068.25</v>
      </c>
      <c r="D2794">
        <v>1066</v>
      </c>
      <c r="E2794">
        <v>1084.8499999999999</v>
      </c>
      <c r="F2794">
        <v>1068.25</v>
      </c>
      <c r="G2794">
        <v>33018</v>
      </c>
      <c r="H2794" s="116"/>
      <c r="I2794" s="116"/>
      <c r="L2794" s="170">
        <v>46120</v>
      </c>
      <c r="M2794" s="116">
        <v>1068.5</v>
      </c>
      <c r="N2794" s="116">
        <v>1091.9000000000001</v>
      </c>
      <c r="O2794" s="116">
        <v>1066</v>
      </c>
      <c r="P2794" s="116">
        <v>1076</v>
      </c>
      <c r="Q2794" s="116">
        <v>1068.5</v>
      </c>
      <c r="R2794">
        <v>1950233</v>
      </c>
    </row>
    <row r="2795" spans="1:18" x14ac:dyDescent="0.25">
      <c r="A2795" s="170">
        <v>46121</v>
      </c>
      <c r="B2795">
        <v>1086.5</v>
      </c>
      <c r="C2795">
        <v>1078.2</v>
      </c>
      <c r="D2795">
        <v>1060.0999999999999</v>
      </c>
      <c r="E2795">
        <v>1068</v>
      </c>
      <c r="F2795">
        <v>1078.2</v>
      </c>
      <c r="G2795">
        <v>44952</v>
      </c>
      <c r="H2795" s="116"/>
      <c r="I2795" s="116"/>
      <c r="L2795" s="170">
        <v>46121</v>
      </c>
      <c r="M2795" s="116">
        <v>1078</v>
      </c>
      <c r="N2795" s="116">
        <v>1087</v>
      </c>
      <c r="O2795" s="116">
        <v>1060.0999999999999</v>
      </c>
      <c r="P2795" s="116">
        <v>1062.5</v>
      </c>
      <c r="Q2795" s="116">
        <v>1078</v>
      </c>
      <c r="R2795">
        <v>2167226</v>
      </c>
    </row>
    <row r="2796" spans="1:18" x14ac:dyDescent="0.25">
      <c r="A2796" s="170">
        <v>46122</v>
      </c>
      <c r="B2796">
        <v>1095.5</v>
      </c>
      <c r="C2796">
        <v>1093.5</v>
      </c>
      <c r="D2796">
        <v>1079</v>
      </c>
      <c r="E2796">
        <v>1081.6500000000001</v>
      </c>
      <c r="F2796">
        <v>1093.5</v>
      </c>
      <c r="G2796">
        <v>26703</v>
      </c>
      <c r="H2796" s="116"/>
      <c r="I2796" s="116"/>
      <c r="L2796" s="170">
        <v>46122</v>
      </c>
      <c r="M2796" s="116">
        <v>1093.7</v>
      </c>
      <c r="N2796" s="116">
        <v>1095.8</v>
      </c>
      <c r="O2796" s="116">
        <v>1079</v>
      </c>
      <c r="P2796" s="116">
        <v>1086.0999999999999</v>
      </c>
      <c r="Q2796" s="116">
        <v>1093.7</v>
      </c>
      <c r="R2796">
        <v>1580158</v>
      </c>
    </row>
    <row r="2797" spans="1:18" x14ac:dyDescent="0.25">
      <c r="A2797" s="170">
        <v>46125</v>
      </c>
      <c r="B2797">
        <v>1093.55</v>
      </c>
      <c r="C2797">
        <v>1090.3</v>
      </c>
      <c r="D2797">
        <v>1071</v>
      </c>
      <c r="E2797">
        <v>1071</v>
      </c>
      <c r="F2797">
        <v>1090.3</v>
      </c>
      <c r="G2797">
        <v>16911</v>
      </c>
      <c r="H2797" s="116"/>
      <c r="I2797" s="116"/>
      <c r="L2797" s="170">
        <v>46125</v>
      </c>
      <c r="M2797" s="116">
        <v>1090.3</v>
      </c>
      <c r="N2797" s="116">
        <v>1093.5</v>
      </c>
      <c r="O2797" s="116">
        <v>1073.8</v>
      </c>
      <c r="P2797" s="116">
        <v>1075.5</v>
      </c>
      <c r="Q2797" s="116">
        <v>1090.3</v>
      </c>
      <c r="R2797">
        <v>1688476</v>
      </c>
    </row>
    <row r="2798" spans="1:18" x14ac:dyDescent="0.25">
      <c r="A2798" s="170">
        <v>46127</v>
      </c>
      <c r="B2798">
        <v>1107.7</v>
      </c>
      <c r="C2798">
        <v>1093.9000000000001</v>
      </c>
      <c r="D2798">
        <v>1090.25</v>
      </c>
      <c r="E2798">
        <v>1090.25</v>
      </c>
      <c r="F2798">
        <v>1093.9000000000001</v>
      </c>
      <c r="G2798">
        <v>23214</v>
      </c>
      <c r="H2798" s="116"/>
      <c r="I2798" s="116"/>
      <c r="L2798" s="170">
        <v>46127</v>
      </c>
      <c r="M2798" s="116">
        <v>1094.2</v>
      </c>
      <c r="N2798" s="116">
        <v>1108.3</v>
      </c>
      <c r="O2798" s="116">
        <v>1091.7</v>
      </c>
      <c r="P2798" s="116">
        <v>1098.2</v>
      </c>
      <c r="Q2798" s="116">
        <v>1094.2</v>
      </c>
      <c r="R2798">
        <v>1384602</v>
      </c>
    </row>
    <row r="2799" spans="1:18" x14ac:dyDescent="0.25">
      <c r="A2799" s="170">
        <v>46128</v>
      </c>
      <c r="B2799">
        <v>1104.25</v>
      </c>
      <c r="C2799">
        <v>1101.5</v>
      </c>
      <c r="D2799">
        <v>1082.2</v>
      </c>
      <c r="E2799">
        <v>1095.7</v>
      </c>
      <c r="F2799">
        <v>1101.5</v>
      </c>
      <c r="G2799">
        <v>12880</v>
      </c>
      <c r="H2799" s="116"/>
      <c r="I2799" s="116"/>
      <c r="L2799" s="170">
        <v>46128</v>
      </c>
      <c r="M2799" s="116">
        <v>1102.5999999999999</v>
      </c>
      <c r="N2799" s="116">
        <v>1105.0999999999999</v>
      </c>
      <c r="O2799" s="116">
        <v>1081.7</v>
      </c>
      <c r="P2799" s="116">
        <v>1098</v>
      </c>
      <c r="Q2799" s="116">
        <v>1102.5999999999999</v>
      </c>
      <c r="R2799">
        <v>1439626</v>
      </c>
    </row>
    <row r="2800" spans="1:18" x14ac:dyDescent="0.25">
      <c r="A2800" s="170">
        <v>46129</v>
      </c>
      <c r="B2800">
        <v>1126</v>
      </c>
      <c r="C2800">
        <v>1113.7</v>
      </c>
      <c r="D2800">
        <v>1091.05</v>
      </c>
      <c r="E2800">
        <v>1109.25</v>
      </c>
      <c r="F2800">
        <v>1113.7</v>
      </c>
      <c r="G2800">
        <v>22726</v>
      </c>
      <c r="H2800" s="116"/>
      <c r="I2800" s="116"/>
      <c r="L2800" s="170">
        <v>46129</v>
      </c>
      <c r="M2800" s="116">
        <v>1113.2</v>
      </c>
      <c r="N2800" s="116">
        <v>1126.4000000000001</v>
      </c>
      <c r="O2800" s="116">
        <v>1091.0999999999999</v>
      </c>
      <c r="P2800" s="116">
        <v>1098.4000000000001</v>
      </c>
      <c r="Q2800" s="116">
        <v>1113.2</v>
      </c>
      <c r="R2800">
        <v>1287668</v>
      </c>
    </row>
    <row r="2801" spans="1:18" x14ac:dyDescent="0.25">
      <c r="A2801" s="170">
        <v>46132</v>
      </c>
      <c r="B2801">
        <v>1129.05</v>
      </c>
      <c r="C2801">
        <v>1118.7</v>
      </c>
      <c r="D2801">
        <v>1107.5</v>
      </c>
      <c r="E2801">
        <v>1111.3499999999999</v>
      </c>
      <c r="F2801">
        <v>1118.7</v>
      </c>
      <c r="G2801">
        <v>31935</v>
      </c>
      <c r="H2801" s="116"/>
      <c r="I2801" s="116"/>
      <c r="L2801" s="170">
        <v>46132</v>
      </c>
      <c r="M2801" s="116">
        <v>1120.4000000000001</v>
      </c>
      <c r="N2801" s="116">
        <v>1129.5</v>
      </c>
      <c r="O2801" s="116">
        <v>1106.7</v>
      </c>
      <c r="P2801" s="116">
        <v>1113.2</v>
      </c>
      <c r="Q2801" s="116">
        <v>1120.4000000000001</v>
      </c>
      <c r="R2801">
        <v>1132404</v>
      </c>
    </row>
    <row r="2802" spans="1:18" x14ac:dyDescent="0.25">
      <c r="A2802" s="170">
        <v>46133</v>
      </c>
      <c r="B2802">
        <v>1145.8499999999999</v>
      </c>
      <c r="C2802">
        <v>1142.8499999999999</v>
      </c>
      <c r="D2802">
        <v>1121.3</v>
      </c>
      <c r="E2802">
        <v>1127.25</v>
      </c>
      <c r="F2802">
        <v>1142.8499999999999</v>
      </c>
      <c r="G2802">
        <v>26217</v>
      </c>
      <c r="H2802" s="116"/>
      <c r="I2802" s="116"/>
      <c r="L2802" s="170">
        <v>46133</v>
      </c>
      <c r="M2802" s="116">
        <v>1142</v>
      </c>
      <c r="N2802" s="116">
        <v>1145.5999999999999</v>
      </c>
      <c r="O2802" s="116">
        <v>1120.5</v>
      </c>
      <c r="P2802" s="116">
        <v>1125</v>
      </c>
      <c r="Q2802" s="116">
        <v>1142</v>
      </c>
      <c r="R2802">
        <v>1072221</v>
      </c>
    </row>
    <row r="2803" spans="1:18" x14ac:dyDescent="0.25">
      <c r="A2803" s="170">
        <v>46134</v>
      </c>
      <c r="B2803">
        <v>1194.5999999999999</v>
      </c>
      <c r="C2803">
        <v>1178</v>
      </c>
      <c r="D2803">
        <v>1111.2</v>
      </c>
      <c r="E2803">
        <v>1111.2</v>
      </c>
      <c r="F2803">
        <v>1178</v>
      </c>
      <c r="G2803">
        <v>212515</v>
      </c>
      <c r="H2803" s="116"/>
      <c r="I2803" s="116"/>
      <c r="L2803" s="170">
        <v>46134</v>
      </c>
      <c r="M2803" s="116">
        <v>1178.5999999999999</v>
      </c>
      <c r="N2803" s="116">
        <v>1194.9000000000001</v>
      </c>
      <c r="O2803" s="116">
        <v>1139.8</v>
      </c>
      <c r="P2803" s="116">
        <v>1144</v>
      </c>
      <c r="Q2803" s="116">
        <v>1178.5999999999999</v>
      </c>
      <c r="R2803">
        <v>4284220</v>
      </c>
    </row>
    <row r="2804" spans="1:18" x14ac:dyDescent="0.25">
      <c r="A2804" s="170">
        <v>46135</v>
      </c>
      <c r="B2804">
        <v>1188.25</v>
      </c>
      <c r="C2804">
        <v>1185.1500000000001</v>
      </c>
      <c r="D2804">
        <v>1160.3499999999999</v>
      </c>
      <c r="E2804">
        <v>1179.8</v>
      </c>
      <c r="F2804">
        <v>1185.1500000000001</v>
      </c>
      <c r="G2804">
        <v>52852</v>
      </c>
      <c r="H2804" s="116"/>
      <c r="I2804" s="116"/>
      <c r="L2804" s="170">
        <v>46135</v>
      </c>
      <c r="M2804" s="116">
        <v>1184.4000000000001</v>
      </c>
      <c r="N2804" s="116">
        <v>1188.9000000000001</v>
      </c>
      <c r="O2804" s="116">
        <v>1160.0999999999999</v>
      </c>
      <c r="P2804" s="116">
        <v>1178</v>
      </c>
      <c r="Q2804" s="116">
        <v>1184.4000000000001</v>
      </c>
      <c r="R2804">
        <v>1581113</v>
      </c>
    </row>
    <row r="2805" spans="1:18" x14ac:dyDescent="0.25">
      <c r="A2805" s="170">
        <v>46136</v>
      </c>
      <c r="B2805">
        <v>1197</v>
      </c>
      <c r="C2805">
        <v>1173.8499999999999</v>
      </c>
      <c r="D2805">
        <v>1162.05</v>
      </c>
      <c r="E2805">
        <v>1188.3499999999999</v>
      </c>
      <c r="F2805">
        <v>1173.8499999999999</v>
      </c>
      <c r="G2805">
        <v>35681</v>
      </c>
      <c r="H2805" s="116"/>
      <c r="I2805" s="116"/>
      <c r="L2805" s="170">
        <v>46136</v>
      </c>
      <c r="M2805" s="116">
        <v>1174</v>
      </c>
      <c r="N2805" s="116">
        <v>1197</v>
      </c>
      <c r="O2805" s="116">
        <v>1162</v>
      </c>
      <c r="P2805" s="116">
        <v>1185</v>
      </c>
      <c r="Q2805" s="116">
        <v>1174</v>
      </c>
      <c r="R2805">
        <v>1235448</v>
      </c>
    </row>
    <row r="2806" spans="1:18" x14ac:dyDescent="0.25">
      <c r="A2806" s="170">
        <v>46139</v>
      </c>
      <c r="B2806">
        <v>1193.5</v>
      </c>
      <c r="C2806">
        <v>1159.7</v>
      </c>
      <c r="D2806">
        <v>1157</v>
      </c>
      <c r="E2806">
        <v>1193.5</v>
      </c>
      <c r="F2806">
        <v>1159.7</v>
      </c>
      <c r="G2806">
        <v>28852</v>
      </c>
      <c r="H2806" s="116"/>
      <c r="I2806" s="116"/>
      <c r="L2806" s="170">
        <v>46139</v>
      </c>
      <c r="M2806" s="116">
        <v>1160.5</v>
      </c>
      <c r="N2806" s="116">
        <v>1183.9000000000001</v>
      </c>
      <c r="O2806" s="116">
        <v>1155</v>
      </c>
      <c r="P2806" s="116">
        <v>1168</v>
      </c>
      <c r="Q2806" s="116">
        <v>1160.5</v>
      </c>
      <c r="R2806">
        <v>1019797</v>
      </c>
    </row>
    <row r="2807" spans="1:18" x14ac:dyDescent="0.25">
      <c r="A2807" s="170">
        <v>46140</v>
      </c>
      <c r="B2807">
        <v>1159.8499999999999</v>
      </c>
      <c r="C2807">
        <v>1148.05</v>
      </c>
      <c r="D2807">
        <v>1145.5</v>
      </c>
      <c r="E2807">
        <v>1157</v>
      </c>
      <c r="F2807">
        <v>1148.05</v>
      </c>
      <c r="G2807">
        <v>93715</v>
      </c>
      <c r="H2807" s="116"/>
      <c r="I2807" s="116"/>
      <c r="L2807" s="170">
        <v>46140</v>
      </c>
      <c r="M2807" s="116">
        <v>1147.7</v>
      </c>
      <c r="N2807" s="116">
        <v>1159.8</v>
      </c>
      <c r="O2807" s="116">
        <v>1144</v>
      </c>
      <c r="P2807" s="116">
        <v>1150.2</v>
      </c>
      <c r="Q2807" s="116">
        <v>1147.7</v>
      </c>
      <c r="R2807">
        <v>1646292</v>
      </c>
    </row>
    <row r="2808" spans="1:18" x14ac:dyDescent="0.25">
      <c r="A2808" s="170">
        <v>46141</v>
      </c>
      <c r="B2808">
        <v>1171</v>
      </c>
      <c r="C2808">
        <v>1168.05</v>
      </c>
      <c r="D2808">
        <v>1145.05</v>
      </c>
      <c r="E2808">
        <v>1145.05</v>
      </c>
      <c r="F2808">
        <v>1168.05</v>
      </c>
      <c r="G2808">
        <v>27468</v>
      </c>
      <c r="H2808" s="116"/>
      <c r="I2808" s="116"/>
      <c r="L2808" s="170">
        <v>46141</v>
      </c>
      <c r="M2808" s="116">
        <v>1168</v>
      </c>
      <c r="N2808" s="116">
        <v>1171.2</v>
      </c>
      <c r="O2808" s="116">
        <v>1147.7</v>
      </c>
      <c r="P2808" s="116">
        <v>1147.7</v>
      </c>
      <c r="Q2808" s="116">
        <v>1168</v>
      </c>
      <c r="R2808">
        <v>1346355</v>
      </c>
    </row>
    <row r="2809" spans="1:18" x14ac:dyDescent="0.25">
      <c r="A2809" s="170">
        <v>46142</v>
      </c>
      <c r="B2809">
        <v>1169</v>
      </c>
      <c r="C2809">
        <v>1144.45</v>
      </c>
      <c r="D2809">
        <v>1140</v>
      </c>
      <c r="E2809">
        <v>1168.7</v>
      </c>
      <c r="F2809">
        <v>1144.45</v>
      </c>
      <c r="G2809">
        <v>153817</v>
      </c>
      <c r="H2809" s="116"/>
      <c r="I2809" s="116"/>
      <c r="L2809" s="170">
        <v>46142</v>
      </c>
      <c r="M2809" s="116">
        <v>1144.5999999999999</v>
      </c>
      <c r="N2809" s="116">
        <v>1170</v>
      </c>
      <c r="O2809" s="116">
        <v>1139.4000000000001</v>
      </c>
      <c r="P2809" s="116">
        <v>1170</v>
      </c>
      <c r="Q2809" s="116">
        <v>1144.5999999999999</v>
      </c>
      <c r="R2809">
        <v>1433160</v>
      </c>
    </row>
    <row r="2810" spans="1:18" x14ac:dyDescent="0.25">
      <c r="A2810" s="170">
        <v>46146</v>
      </c>
      <c r="B2810">
        <v>1174.6500000000001</v>
      </c>
      <c r="C2810">
        <v>1160.05</v>
      </c>
      <c r="D2810">
        <v>1146.95</v>
      </c>
      <c r="E2810">
        <v>1147</v>
      </c>
      <c r="F2810">
        <v>1160.05</v>
      </c>
      <c r="G2810">
        <v>174343</v>
      </c>
      <c r="H2810" s="116"/>
      <c r="I2810" s="116"/>
      <c r="L2810" s="170">
        <v>46146</v>
      </c>
      <c r="M2810" s="116">
        <v>1160.4000000000001</v>
      </c>
      <c r="N2810" s="116">
        <v>1174.4000000000001</v>
      </c>
      <c r="O2810" s="116">
        <v>1149.7</v>
      </c>
      <c r="P2810" s="116">
        <v>1149.7</v>
      </c>
      <c r="Q2810" s="116">
        <v>1160.4000000000001</v>
      </c>
      <c r="R2810">
        <v>1313831</v>
      </c>
    </row>
    <row r="2811" spans="1:18" x14ac:dyDescent="0.25">
      <c r="A2811" s="170">
        <v>46147</v>
      </c>
      <c r="B2811">
        <v>1189.95</v>
      </c>
      <c r="C2811">
        <v>1153.4000000000001</v>
      </c>
      <c r="D2811">
        <v>1149.45</v>
      </c>
      <c r="E2811">
        <v>1189.95</v>
      </c>
      <c r="F2811">
        <v>1153.4000000000001</v>
      </c>
      <c r="G2811">
        <v>82193</v>
      </c>
      <c r="H2811" s="116"/>
      <c r="I2811" s="116"/>
      <c r="L2811" s="170">
        <v>46147</v>
      </c>
      <c r="M2811" s="116">
        <v>1153.5</v>
      </c>
      <c r="N2811" s="116">
        <v>1166.8</v>
      </c>
      <c r="O2811" s="116">
        <v>1149</v>
      </c>
      <c r="P2811" s="116">
        <v>1161.2</v>
      </c>
      <c r="Q2811" s="116">
        <v>1153.5</v>
      </c>
      <c r="R2811">
        <v>1065572</v>
      </c>
    </row>
    <row r="2812" spans="1:18" x14ac:dyDescent="0.25">
      <c r="A2812" s="170">
        <v>46148</v>
      </c>
      <c r="B2812">
        <v>1167.95</v>
      </c>
      <c r="C2812">
        <v>1152.3499999999999</v>
      </c>
      <c r="D2812">
        <v>1140</v>
      </c>
      <c r="E2812">
        <v>1167.95</v>
      </c>
      <c r="F2812">
        <v>1152.3499999999999</v>
      </c>
      <c r="G2812">
        <v>17871</v>
      </c>
      <c r="H2812" s="116"/>
      <c r="I2812" s="116"/>
      <c r="L2812" s="170">
        <v>46148</v>
      </c>
      <c r="M2812" s="116">
        <v>1152.2</v>
      </c>
      <c r="N2812" s="116">
        <v>1166.9000000000001</v>
      </c>
      <c r="O2812" s="116">
        <v>1138.9000000000001</v>
      </c>
      <c r="P2812" s="116">
        <v>1160</v>
      </c>
      <c r="Q2812" s="116">
        <v>1152.2</v>
      </c>
      <c r="R2812">
        <v>1566762</v>
      </c>
    </row>
    <row r="2813" spans="1:18" x14ac:dyDescent="0.25">
      <c r="A2813" s="170">
        <v>46149</v>
      </c>
      <c r="B2813">
        <v>1162.1500000000001</v>
      </c>
      <c r="C2813">
        <v>1152.4000000000001</v>
      </c>
      <c r="D2813">
        <v>1135.75</v>
      </c>
      <c r="E2813">
        <v>1150.5999999999999</v>
      </c>
      <c r="F2813">
        <v>1152.4000000000001</v>
      </c>
      <c r="G2813">
        <v>35055</v>
      </c>
      <c r="H2813" s="116"/>
      <c r="I2813" s="116"/>
      <c r="L2813" s="170">
        <v>46149</v>
      </c>
      <c r="M2813" s="116">
        <v>1151.7</v>
      </c>
      <c r="N2813" s="116">
        <v>1162.2</v>
      </c>
      <c r="O2813" s="116">
        <v>1135.5999999999999</v>
      </c>
      <c r="P2813" s="116">
        <v>1152.2</v>
      </c>
      <c r="Q2813" s="116">
        <v>1151.7</v>
      </c>
      <c r="R2813">
        <v>1465163</v>
      </c>
    </row>
    <row r="2814" spans="1:18" x14ac:dyDescent="0.25">
      <c r="A2814" s="170">
        <v>46150</v>
      </c>
      <c r="B2814">
        <v>1194</v>
      </c>
      <c r="C2814">
        <v>1175.95</v>
      </c>
      <c r="D2814">
        <v>1151.25</v>
      </c>
      <c r="E2814">
        <v>1151.25</v>
      </c>
      <c r="F2814">
        <v>1175.95</v>
      </c>
      <c r="G2814">
        <v>100272</v>
      </c>
      <c r="H2814" s="116"/>
      <c r="I2814" s="116"/>
      <c r="L2814" s="170">
        <v>46150</v>
      </c>
      <c r="M2814" s="116">
        <v>1176.2</v>
      </c>
      <c r="N2814" s="116">
        <v>1194</v>
      </c>
      <c r="O2814" s="116">
        <v>1155</v>
      </c>
      <c r="P2814" s="116">
        <v>1155</v>
      </c>
      <c r="Q2814" s="116">
        <v>1176.2</v>
      </c>
      <c r="R2814">
        <v>3672201</v>
      </c>
    </row>
    <row r="2815" spans="1:18" x14ac:dyDescent="0.25">
      <c r="A2815" s="170">
        <v>46153</v>
      </c>
      <c r="B2815">
        <v>1279.55</v>
      </c>
      <c r="C2815">
        <v>1273.75</v>
      </c>
      <c r="D2815">
        <v>1201.0999999999999</v>
      </c>
      <c r="E2815">
        <v>1211.4000000000001</v>
      </c>
      <c r="F2815">
        <v>1273.75</v>
      </c>
      <c r="G2815">
        <v>1170802</v>
      </c>
      <c r="H2815" s="116"/>
      <c r="I2815" s="116"/>
      <c r="L2815" s="170">
        <v>46153</v>
      </c>
      <c r="M2815" s="116">
        <v>1271</v>
      </c>
      <c r="N2815" s="116">
        <v>1279.4000000000001</v>
      </c>
      <c r="O2815" s="116">
        <v>1200</v>
      </c>
      <c r="P2815" s="116">
        <v>1202.2</v>
      </c>
      <c r="Q2815" s="116">
        <v>1271</v>
      </c>
      <c r="R2815">
        <v>19203071</v>
      </c>
    </row>
    <row r="2816" spans="1:18" x14ac:dyDescent="0.25">
      <c r="A2816" s="170">
        <v>46154</v>
      </c>
      <c r="B2816">
        <v>1282.6500000000001</v>
      </c>
      <c r="C2816">
        <v>1252.75</v>
      </c>
      <c r="D2816">
        <v>1250.8499999999999</v>
      </c>
      <c r="E2816">
        <v>1261.2</v>
      </c>
      <c r="F2816">
        <v>1252.75</v>
      </c>
      <c r="G2816">
        <v>172930</v>
      </c>
      <c r="H2816" s="116"/>
      <c r="I2816" s="116"/>
      <c r="L2816" s="170">
        <v>46154</v>
      </c>
      <c r="M2816" s="116">
        <v>1253</v>
      </c>
      <c r="N2816" s="116">
        <v>1282.7</v>
      </c>
      <c r="O2816" s="116">
        <v>1250.4000000000001</v>
      </c>
      <c r="P2816" s="116">
        <v>1269.7</v>
      </c>
      <c r="Q2816" s="116">
        <v>1253</v>
      </c>
      <c r="R2816">
        <v>3357918</v>
      </c>
    </row>
    <row r="2817" spans="1:18" x14ac:dyDescent="0.25">
      <c r="A2817" s="170">
        <v>46155</v>
      </c>
      <c r="B2817">
        <v>1267.5</v>
      </c>
      <c r="C2817">
        <v>1235.1500000000001</v>
      </c>
      <c r="D2817">
        <v>1232.6500000000001</v>
      </c>
      <c r="E2817">
        <v>1248.4000000000001</v>
      </c>
      <c r="F2817">
        <v>1235.1500000000001</v>
      </c>
      <c r="G2817">
        <v>68940</v>
      </c>
      <c r="H2817" s="116"/>
      <c r="I2817" s="116"/>
      <c r="L2817" s="170">
        <v>46155</v>
      </c>
      <c r="M2817" s="116">
        <v>1235</v>
      </c>
      <c r="N2817" s="116">
        <v>1277.9000000000001</v>
      </c>
      <c r="O2817" s="116">
        <v>1233</v>
      </c>
      <c r="P2817" s="116">
        <v>1249.0999999999999</v>
      </c>
      <c r="Q2817" s="116">
        <v>1235</v>
      </c>
      <c r="R2817">
        <v>2412317</v>
      </c>
    </row>
    <row r="2818" spans="1:18" x14ac:dyDescent="0.25">
      <c r="A2818" s="170">
        <v>46156</v>
      </c>
      <c r="B2818">
        <v>1250.45</v>
      </c>
      <c r="C2818">
        <v>1228.9000000000001</v>
      </c>
      <c r="D2818">
        <v>1226</v>
      </c>
      <c r="E2818">
        <v>1240.0999999999999</v>
      </c>
      <c r="F2818">
        <v>1228.9000000000001</v>
      </c>
      <c r="G2818">
        <v>65081</v>
      </c>
      <c r="H2818" s="116"/>
      <c r="I2818" s="116"/>
      <c r="L2818" s="170">
        <v>46156</v>
      </c>
      <c r="M2818" s="116">
        <v>1228.3</v>
      </c>
      <c r="N2818" s="116">
        <v>1250</v>
      </c>
      <c r="O2818" s="116">
        <v>1224.3</v>
      </c>
      <c r="P2818" s="116">
        <v>1241</v>
      </c>
      <c r="Q2818" s="116">
        <v>1228.3</v>
      </c>
      <c r="R2818">
        <v>1390903</v>
      </c>
    </row>
    <row r="2819" spans="1:18" x14ac:dyDescent="0.25">
      <c r="A2819" s="170">
        <v>46157</v>
      </c>
      <c r="B2819">
        <v>1254.5</v>
      </c>
      <c r="C2819">
        <v>1234.2</v>
      </c>
      <c r="D2819">
        <v>1202.3</v>
      </c>
      <c r="E2819">
        <v>1202.3</v>
      </c>
      <c r="F2819">
        <v>1234.2</v>
      </c>
      <c r="G2819">
        <v>70820</v>
      </c>
      <c r="H2819" s="116"/>
      <c r="I2819" s="116"/>
      <c r="L2819" s="170">
        <v>46157</v>
      </c>
      <c r="M2819" s="116">
        <v>1234</v>
      </c>
      <c r="N2819" s="116">
        <v>1255.0999999999999</v>
      </c>
      <c r="O2819" s="116">
        <v>1225.8</v>
      </c>
      <c r="P2819" s="116">
        <v>1228.8</v>
      </c>
      <c r="Q2819" s="116">
        <v>1234</v>
      </c>
      <c r="R2819">
        <v>2755516</v>
      </c>
    </row>
    <row r="2820" spans="1:18" x14ac:dyDescent="0.25">
      <c r="A2820" s="170">
        <v>46160</v>
      </c>
      <c r="B2820">
        <v>1233.3499999999999</v>
      </c>
      <c r="C2820">
        <v>1230.8</v>
      </c>
      <c r="D2820">
        <v>1215.55</v>
      </c>
      <c r="E2820">
        <v>1230.05</v>
      </c>
      <c r="F2820">
        <v>1230.8</v>
      </c>
      <c r="G2820">
        <v>40924</v>
      </c>
      <c r="H2820" s="116"/>
      <c r="I2820" s="116"/>
      <c r="L2820" s="170">
        <v>46160</v>
      </c>
      <c r="M2820" s="116">
        <v>1231</v>
      </c>
      <c r="N2820" s="116">
        <v>1233.4000000000001</v>
      </c>
      <c r="O2820" s="116">
        <v>1215.0999999999999</v>
      </c>
      <c r="P2820" s="116">
        <v>1230.7</v>
      </c>
      <c r="Q2820" s="116">
        <v>1231</v>
      </c>
      <c r="R2820">
        <v>1494098</v>
      </c>
    </row>
    <row r="2821" spans="1:18" x14ac:dyDescent="0.25">
      <c r="A2821" s="170">
        <v>46161</v>
      </c>
      <c r="B2821">
        <v>1235.55</v>
      </c>
      <c r="C2821">
        <v>1210.25</v>
      </c>
      <c r="D2821">
        <v>1208.95</v>
      </c>
      <c r="E2821">
        <v>1231</v>
      </c>
      <c r="F2821">
        <v>1210.25</v>
      </c>
      <c r="G2821">
        <v>146198</v>
      </c>
      <c r="H2821" s="116"/>
      <c r="I2821" s="116"/>
      <c r="L2821" s="170">
        <v>46161</v>
      </c>
      <c r="M2821" s="116">
        <v>1210.9000000000001</v>
      </c>
      <c r="N2821" s="116">
        <v>1236.5999999999999</v>
      </c>
      <c r="O2821" s="116">
        <v>1206.4000000000001</v>
      </c>
      <c r="P2821" s="116">
        <v>1231</v>
      </c>
      <c r="Q2821" s="116">
        <v>1210.9000000000001</v>
      </c>
      <c r="R2821">
        <v>2163846</v>
      </c>
    </row>
    <row r="2822" spans="1:18" x14ac:dyDescent="0.25">
      <c r="A2822" s="170">
        <v>46162</v>
      </c>
      <c r="B2822">
        <v>1217.6500000000001</v>
      </c>
      <c r="C2822">
        <v>1208.5999999999999</v>
      </c>
      <c r="D2822">
        <v>1194.95</v>
      </c>
      <c r="E2822">
        <v>1217.6500000000001</v>
      </c>
      <c r="F2822">
        <v>1208.5999999999999</v>
      </c>
      <c r="G2822">
        <v>130430</v>
      </c>
      <c r="H2822" s="116"/>
      <c r="I2822" s="116"/>
      <c r="L2822" s="170">
        <v>46162</v>
      </c>
      <c r="M2822" s="116">
        <v>1208.7</v>
      </c>
      <c r="N2822" s="116">
        <v>1216.5999999999999</v>
      </c>
      <c r="O2822" s="116">
        <v>1194.2</v>
      </c>
      <c r="P2822" s="116">
        <v>1207.0999999999999</v>
      </c>
      <c r="Q2822" s="116">
        <v>1208.7</v>
      </c>
      <c r="R2822">
        <v>1718132</v>
      </c>
    </row>
    <row r="2823" spans="1:18" x14ac:dyDescent="0.25">
      <c r="A2823" s="170">
        <v>46163</v>
      </c>
      <c r="B2823">
        <v>1216.5</v>
      </c>
      <c r="C2823">
        <v>1194.7</v>
      </c>
      <c r="D2823">
        <v>1192.45</v>
      </c>
      <c r="E2823">
        <v>1211</v>
      </c>
      <c r="F2823">
        <v>1194.7</v>
      </c>
      <c r="G2823">
        <v>125342</v>
      </c>
      <c r="H2823" s="116"/>
      <c r="I2823" s="116"/>
      <c r="L2823" s="170">
        <v>46163</v>
      </c>
      <c r="M2823" s="116">
        <v>1194.9000000000001</v>
      </c>
      <c r="N2823" s="116">
        <v>1217.4000000000001</v>
      </c>
      <c r="O2823" s="116">
        <v>1192</v>
      </c>
      <c r="P2823" s="116">
        <v>1211.2</v>
      </c>
      <c r="Q2823" s="116">
        <v>1194.9000000000001</v>
      </c>
      <c r="R2823">
        <v>1443629</v>
      </c>
    </row>
    <row r="2824" spans="1:18" x14ac:dyDescent="0.25">
      <c r="A2824" s="170">
        <v>46164</v>
      </c>
      <c r="B2824">
        <v>1207.8</v>
      </c>
      <c r="C2824">
        <v>1192.8499999999999</v>
      </c>
      <c r="D2824">
        <v>1190</v>
      </c>
      <c r="E2824">
        <v>1207.8</v>
      </c>
      <c r="F2824">
        <v>1192.8499999999999</v>
      </c>
      <c r="G2824">
        <v>126004</v>
      </c>
      <c r="H2824" s="116"/>
      <c r="I2824" s="116"/>
      <c r="L2824" s="170">
        <v>46164</v>
      </c>
      <c r="M2824" s="116">
        <v>1191.8</v>
      </c>
      <c r="N2824" s="116">
        <v>1204</v>
      </c>
      <c r="O2824" s="116">
        <v>1189.0999999999999</v>
      </c>
      <c r="P2824" s="116">
        <v>1198</v>
      </c>
      <c r="Q2824" s="116">
        <v>1191.8</v>
      </c>
      <c r="R2824">
        <v>1808205</v>
      </c>
    </row>
    <row r="2825" spans="1:18" x14ac:dyDescent="0.25">
      <c r="A2825" s="170">
        <v>46167</v>
      </c>
      <c r="B2825">
        <v>1199</v>
      </c>
      <c r="C2825">
        <v>1187.25</v>
      </c>
      <c r="D2825">
        <v>1181.3499999999999</v>
      </c>
      <c r="E2825">
        <v>1182.75</v>
      </c>
      <c r="F2825">
        <v>1187.25</v>
      </c>
      <c r="G2825">
        <v>318054</v>
      </c>
      <c r="H2825" s="116"/>
      <c r="I2825" s="116"/>
      <c r="L2825" s="170">
        <v>46167</v>
      </c>
      <c r="M2825" s="116">
        <v>1187.2</v>
      </c>
      <c r="N2825" s="116">
        <v>1198.5999999999999</v>
      </c>
      <c r="O2825" s="116">
        <v>1181.5</v>
      </c>
      <c r="P2825" s="116">
        <v>1191</v>
      </c>
      <c r="Q2825" s="116">
        <v>1187.2</v>
      </c>
      <c r="R2825">
        <v>1811755</v>
      </c>
    </row>
    <row r="2826" spans="1:18" x14ac:dyDescent="0.25">
      <c r="A2826" s="170">
        <v>46168</v>
      </c>
      <c r="B2826">
        <v>1200.55</v>
      </c>
      <c r="C2826">
        <v>1186.8499999999999</v>
      </c>
      <c r="D2826">
        <v>1174.45</v>
      </c>
      <c r="E2826">
        <v>1187.45</v>
      </c>
      <c r="F2826">
        <v>1186.8499999999999</v>
      </c>
      <c r="G2826">
        <v>46825</v>
      </c>
      <c r="H2826" s="116"/>
      <c r="I2826" s="116"/>
      <c r="L2826" s="170">
        <v>46168</v>
      </c>
      <c r="M2826" s="116">
        <v>1187.5999999999999</v>
      </c>
      <c r="N2826" s="116">
        <v>1200.2</v>
      </c>
      <c r="O2826" s="116">
        <v>1174.5</v>
      </c>
      <c r="P2826" s="116">
        <v>1191.7</v>
      </c>
      <c r="Q2826" s="116">
        <v>1187.5999999999999</v>
      </c>
      <c r="R2826">
        <v>1766780</v>
      </c>
    </row>
    <row r="2827" spans="1:18" x14ac:dyDescent="0.25">
      <c r="A2827" s="170">
        <v>46169</v>
      </c>
      <c r="B2827">
        <v>1207.8</v>
      </c>
      <c r="C2827">
        <v>1204.8499999999999</v>
      </c>
      <c r="D2827">
        <v>1185.75</v>
      </c>
      <c r="E2827">
        <v>1196.25</v>
      </c>
      <c r="F2827">
        <v>1204.8499999999999</v>
      </c>
      <c r="G2827">
        <v>80207</v>
      </c>
      <c r="H2827" s="116"/>
      <c r="I2827" s="116"/>
      <c r="L2827" s="170">
        <v>46169</v>
      </c>
      <c r="M2827" s="116">
        <v>1204.5999999999999</v>
      </c>
      <c r="N2827" s="116">
        <v>1208</v>
      </c>
      <c r="O2827" s="116">
        <v>1184.7</v>
      </c>
      <c r="P2827" s="116">
        <v>1190</v>
      </c>
      <c r="Q2827" s="116">
        <v>1204.5999999999999</v>
      </c>
      <c r="R2827">
        <v>1608027</v>
      </c>
    </row>
    <row r="2828" spans="1:18" x14ac:dyDescent="0.25">
      <c r="A2828" s="170">
        <v>46171</v>
      </c>
      <c r="B2828">
        <v>1210.7</v>
      </c>
      <c r="C2828">
        <v>1179.3499999999999</v>
      </c>
      <c r="D2828">
        <v>1168.45</v>
      </c>
      <c r="E2828">
        <v>1191.75</v>
      </c>
      <c r="F2828">
        <v>1179.3499999999999</v>
      </c>
      <c r="G2828">
        <v>401422</v>
      </c>
      <c r="H2828" s="116"/>
      <c r="I2828" s="116"/>
      <c r="L2828" s="170">
        <v>46171</v>
      </c>
      <c r="M2828" s="116">
        <v>1178.4000000000001</v>
      </c>
      <c r="N2828" s="116">
        <v>1211</v>
      </c>
      <c r="O2828" s="116">
        <v>1168.4000000000001</v>
      </c>
      <c r="P2828" s="116">
        <v>1204.5999999999999</v>
      </c>
      <c r="Q2828" s="116">
        <v>1178.4000000000001</v>
      </c>
      <c r="R2828">
        <v>9836874</v>
      </c>
    </row>
    <row r="2829" spans="1:18" x14ac:dyDescent="0.25">
      <c r="A2829" s="170">
        <v>46174</v>
      </c>
      <c r="B2829">
        <v>1180</v>
      </c>
      <c r="C2829">
        <v>1142.9000000000001</v>
      </c>
      <c r="D2829">
        <v>1140.45</v>
      </c>
      <c r="E2829">
        <v>1168.8</v>
      </c>
      <c r="F2829">
        <v>1142.9000000000001</v>
      </c>
      <c r="G2829">
        <v>96085</v>
      </c>
      <c r="H2829" s="116"/>
      <c r="I2829" s="116"/>
      <c r="L2829" s="170">
        <v>46174</v>
      </c>
      <c r="M2829" s="116">
        <v>1143.3</v>
      </c>
      <c r="N2829" s="116">
        <v>1182.5</v>
      </c>
      <c r="O2829" s="116">
        <v>1140.4000000000001</v>
      </c>
      <c r="P2829" s="116">
        <v>1178.4000000000001</v>
      </c>
      <c r="Q2829" s="116">
        <v>1143.3</v>
      </c>
      <c r="R2829">
        <v>2075188</v>
      </c>
    </row>
    <row r="2830" spans="1:18" x14ac:dyDescent="0.25">
      <c r="A2830" s="170">
        <v>46175</v>
      </c>
      <c r="B2830">
        <v>1164</v>
      </c>
      <c r="C2830">
        <v>1154.75</v>
      </c>
      <c r="D2830">
        <v>1118.0999999999999</v>
      </c>
      <c r="E2830">
        <v>1118.0999999999999</v>
      </c>
      <c r="F2830">
        <v>1154.75</v>
      </c>
      <c r="G2830">
        <v>44896</v>
      </c>
      <c r="H2830" s="116"/>
      <c r="I2830" s="116"/>
      <c r="L2830" s="170">
        <v>46175</v>
      </c>
      <c r="M2830" s="116">
        <v>1154.7</v>
      </c>
      <c r="N2830" s="116">
        <v>1164.0999999999999</v>
      </c>
      <c r="O2830" s="116">
        <v>1124.2</v>
      </c>
      <c r="P2830" s="116">
        <v>1126.5</v>
      </c>
      <c r="Q2830" s="116">
        <v>1154.7</v>
      </c>
      <c r="R2830">
        <v>2873292</v>
      </c>
    </row>
    <row r="2831" spans="1:18" x14ac:dyDescent="0.25">
      <c r="A2831" s="170">
        <v>46176</v>
      </c>
      <c r="B2831">
        <v>1164.25</v>
      </c>
      <c r="C2831">
        <v>1142.25</v>
      </c>
      <c r="D2831">
        <v>1139.8</v>
      </c>
      <c r="E2831">
        <v>1155.8</v>
      </c>
      <c r="F2831">
        <v>1142.25</v>
      </c>
      <c r="G2831">
        <v>100900</v>
      </c>
      <c r="H2831" s="116"/>
      <c r="I2831" s="116"/>
      <c r="L2831" s="170">
        <v>46176</v>
      </c>
      <c r="M2831" s="116">
        <v>1144</v>
      </c>
      <c r="N2831" s="116">
        <v>1163.9000000000001</v>
      </c>
      <c r="O2831" s="116">
        <v>1140.5</v>
      </c>
      <c r="P2831" s="116">
        <v>1160</v>
      </c>
      <c r="Q2831" s="116">
        <v>1144</v>
      </c>
      <c r="R2831">
        <v>1872463</v>
      </c>
    </row>
    <row r="2832" spans="1:18" x14ac:dyDescent="0.25">
      <c r="A2832" s="170">
        <v>46177</v>
      </c>
      <c r="B2832">
        <v>1163.4000000000001</v>
      </c>
      <c r="C2832">
        <v>1149.2</v>
      </c>
      <c r="D2832">
        <v>1133.45</v>
      </c>
      <c r="E2832">
        <v>1133.45</v>
      </c>
      <c r="F2832">
        <v>1149.2</v>
      </c>
      <c r="G2832">
        <v>107291</v>
      </c>
      <c r="H2832" s="116"/>
      <c r="I2832" s="116"/>
      <c r="L2832" s="170">
        <v>46177</v>
      </c>
      <c r="M2832" s="116">
        <v>1149.3</v>
      </c>
      <c r="N2832" s="116">
        <v>1163.4000000000001</v>
      </c>
      <c r="O2832" s="116">
        <v>1135</v>
      </c>
      <c r="P2832" s="116">
        <v>1135</v>
      </c>
      <c r="Q2832" s="116">
        <v>1149.3</v>
      </c>
      <c r="R2832">
        <v>1711734</v>
      </c>
    </row>
    <row r="2833" spans="1:18" x14ac:dyDescent="0.25">
      <c r="A2833" s="170">
        <v>46178</v>
      </c>
      <c r="B2833">
        <v>1157.8499999999999</v>
      </c>
      <c r="C2833">
        <v>1130.55</v>
      </c>
      <c r="D2833">
        <v>1129.0999999999999</v>
      </c>
      <c r="E2833">
        <v>1157.8499999999999</v>
      </c>
      <c r="F2833">
        <v>1130.55</v>
      </c>
      <c r="G2833">
        <v>85053</v>
      </c>
      <c r="H2833" s="116"/>
      <c r="I2833" s="116"/>
      <c r="L2833" s="170">
        <v>46178</v>
      </c>
      <c r="M2833" s="116">
        <v>1130.9000000000001</v>
      </c>
      <c r="N2833" s="116">
        <v>1156</v>
      </c>
      <c r="O2833" s="116">
        <v>1129</v>
      </c>
      <c r="P2833" s="116">
        <v>1149.8</v>
      </c>
      <c r="Q2833" s="116">
        <v>1130.9000000000001</v>
      </c>
      <c r="R2833">
        <v>998276</v>
      </c>
    </row>
    <row r="2834" spans="1:18" x14ac:dyDescent="0.25">
      <c r="A2834" s="170">
        <v>46181</v>
      </c>
      <c r="B2834">
        <v>1123.95</v>
      </c>
      <c r="C2834">
        <v>1106.0999999999999</v>
      </c>
      <c r="D2834">
        <v>1103.8499999999999</v>
      </c>
      <c r="E2834">
        <v>1119.75</v>
      </c>
      <c r="F2834">
        <v>1106.0999999999999</v>
      </c>
      <c r="G2834">
        <v>21371</v>
      </c>
      <c r="H2834" s="116"/>
      <c r="I2834" s="116"/>
      <c r="L2834" s="170">
        <v>46181</v>
      </c>
      <c r="M2834" s="116">
        <v>1107</v>
      </c>
      <c r="N2834" s="116">
        <v>1124.5999999999999</v>
      </c>
      <c r="O2834" s="116">
        <v>1103.3</v>
      </c>
      <c r="P2834" s="116">
        <v>1115</v>
      </c>
      <c r="Q2834" s="116">
        <v>1107</v>
      </c>
      <c r="R2834">
        <v>762825</v>
      </c>
    </row>
    <row r="2835" spans="1:18" x14ac:dyDescent="0.25">
      <c r="A2835" s="170">
        <v>46182</v>
      </c>
      <c r="B2835">
        <v>1113.8499999999999</v>
      </c>
      <c r="C2835">
        <v>1106.8</v>
      </c>
      <c r="D2835">
        <v>1094</v>
      </c>
      <c r="E2835">
        <v>1110.5999999999999</v>
      </c>
      <c r="F2835">
        <v>1106.8</v>
      </c>
      <c r="G2835">
        <v>16815</v>
      </c>
      <c r="H2835" s="116"/>
      <c r="I2835" s="116"/>
      <c r="L2835" s="170">
        <v>46182</v>
      </c>
      <c r="M2835" s="116">
        <v>1106.5</v>
      </c>
      <c r="N2835" s="116">
        <v>1117</v>
      </c>
      <c r="O2835" s="116">
        <v>1093.5999999999999</v>
      </c>
      <c r="P2835" s="116">
        <v>1117</v>
      </c>
      <c r="Q2835" s="116">
        <v>1106.5</v>
      </c>
      <c r="R2835">
        <v>757420</v>
      </c>
    </row>
    <row r="2836" spans="1:18" x14ac:dyDescent="0.25">
      <c r="A2836" s="170">
        <v>46183</v>
      </c>
      <c r="B2836">
        <v>1133.8499999999999</v>
      </c>
      <c r="C2836">
        <v>1107</v>
      </c>
      <c r="D2836">
        <v>1101.4000000000001</v>
      </c>
      <c r="E2836">
        <v>1101.4000000000001</v>
      </c>
      <c r="F2836">
        <v>1107</v>
      </c>
      <c r="G2836">
        <v>238868</v>
      </c>
      <c r="H2836" s="116"/>
      <c r="I2836" s="116"/>
      <c r="L2836" s="170">
        <v>46183</v>
      </c>
      <c r="M2836" s="116">
        <v>1108</v>
      </c>
      <c r="N2836" s="116">
        <v>1134.3</v>
      </c>
      <c r="O2836" s="116">
        <v>1101</v>
      </c>
      <c r="P2836" s="116">
        <v>1103.9000000000001</v>
      </c>
      <c r="Q2836" s="116">
        <v>1108</v>
      </c>
      <c r="R2836">
        <v>2202915</v>
      </c>
    </row>
    <row r="2837" spans="1:18" x14ac:dyDescent="0.25">
      <c r="A2837" s="170">
        <v>46184</v>
      </c>
      <c r="B2837">
        <v>1118.75</v>
      </c>
      <c r="C2837">
        <v>1109.0999999999999</v>
      </c>
      <c r="D2837">
        <v>1105.5</v>
      </c>
      <c r="E2837">
        <v>1109.3499999999999</v>
      </c>
      <c r="F2837">
        <v>1109.0999999999999</v>
      </c>
      <c r="G2837">
        <v>42789</v>
      </c>
      <c r="H2837" s="116"/>
      <c r="I2837" s="116"/>
      <c r="L2837" s="170">
        <v>46184</v>
      </c>
      <c r="M2837" s="116">
        <v>1108.5999999999999</v>
      </c>
      <c r="N2837" s="116">
        <v>1119</v>
      </c>
      <c r="O2837" s="116">
        <v>1105</v>
      </c>
      <c r="P2837" s="116">
        <v>1108</v>
      </c>
      <c r="Q2837" s="116">
        <v>1108.5999999999999</v>
      </c>
      <c r="R2837">
        <v>737748</v>
      </c>
    </row>
    <row r="2838" spans="1:18" x14ac:dyDescent="0.25">
      <c r="A2838" s="170">
        <v>46185</v>
      </c>
      <c r="B2838">
        <v>1118</v>
      </c>
      <c r="C2838">
        <v>1100.1500000000001</v>
      </c>
      <c r="D2838">
        <v>1097</v>
      </c>
      <c r="E2838">
        <v>1115.55</v>
      </c>
      <c r="F2838">
        <v>1100.1500000000001</v>
      </c>
      <c r="G2838">
        <v>55782</v>
      </c>
      <c r="H2838" s="116"/>
      <c r="I2838" s="116"/>
      <c r="L2838" s="170">
        <v>46185</v>
      </c>
      <c r="M2838" s="116">
        <v>1100.7</v>
      </c>
      <c r="N2838" s="116">
        <v>1120.8</v>
      </c>
      <c r="O2838" s="116">
        <v>1096.7</v>
      </c>
      <c r="P2838" s="116">
        <v>1120.8</v>
      </c>
      <c r="Q2838" s="116">
        <v>1100.7</v>
      </c>
      <c r="R2838">
        <v>1455068</v>
      </c>
    </row>
    <row r="2839" spans="1:18" x14ac:dyDescent="0.25">
      <c r="A2839" s="170">
        <v>46188</v>
      </c>
      <c r="B2839">
        <v>1114</v>
      </c>
      <c r="C2839">
        <v>1100.4000000000001</v>
      </c>
      <c r="D2839">
        <v>1098.0999999999999</v>
      </c>
      <c r="E2839">
        <v>1110</v>
      </c>
      <c r="F2839">
        <v>1100.4000000000001</v>
      </c>
      <c r="G2839">
        <v>39875</v>
      </c>
      <c r="H2839" s="116"/>
      <c r="I2839" s="116"/>
      <c r="L2839" s="170">
        <v>46188</v>
      </c>
      <c r="M2839" s="116">
        <v>1100.4000000000001</v>
      </c>
      <c r="N2839" s="116">
        <v>1117</v>
      </c>
      <c r="O2839" s="116">
        <v>1097.5</v>
      </c>
      <c r="P2839" s="116">
        <v>1109.7</v>
      </c>
      <c r="Q2839" s="116">
        <v>1100.4000000000001</v>
      </c>
      <c r="R2839">
        <v>1264668</v>
      </c>
    </row>
    <row r="2840" spans="1:18" x14ac:dyDescent="0.25">
      <c r="A2840" s="170">
        <v>46189</v>
      </c>
      <c r="B2840">
        <v>1135.95</v>
      </c>
      <c r="C2840">
        <v>1129.45</v>
      </c>
      <c r="D2840">
        <v>1108.3499999999999</v>
      </c>
      <c r="E2840">
        <v>1110.05</v>
      </c>
      <c r="F2840">
        <v>1129.45</v>
      </c>
      <c r="G2840">
        <v>131713</v>
      </c>
      <c r="H2840" s="116"/>
      <c r="I2840" s="116"/>
      <c r="L2840" s="170">
        <v>46189</v>
      </c>
      <c r="M2840" s="116">
        <v>1130.9000000000001</v>
      </c>
      <c r="N2840" s="116">
        <v>1135.8</v>
      </c>
      <c r="O2840" s="116">
        <v>1107.5999999999999</v>
      </c>
      <c r="P2840" s="116">
        <v>1111.2</v>
      </c>
      <c r="Q2840" s="116">
        <v>1130.9000000000001</v>
      </c>
      <c r="R2840">
        <v>2602426</v>
      </c>
    </row>
    <row r="2841" spans="1:18" x14ac:dyDescent="0.25">
      <c r="A2841" s="170">
        <v>46190</v>
      </c>
      <c r="B2841">
        <v>1136.6500000000001</v>
      </c>
      <c r="C2841">
        <v>1123.5999999999999</v>
      </c>
      <c r="D2841">
        <v>1117.6500000000001</v>
      </c>
      <c r="E2841">
        <v>1136.6500000000001</v>
      </c>
      <c r="F2841">
        <v>1123.5999999999999</v>
      </c>
      <c r="G2841">
        <v>41051</v>
      </c>
      <c r="H2841" s="116"/>
      <c r="I2841" s="116"/>
      <c r="L2841" s="170">
        <v>46190</v>
      </c>
      <c r="M2841" s="116">
        <v>1124.5</v>
      </c>
      <c r="N2841" s="116">
        <v>1134.2</v>
      </c>
      <c r="O2841" s="116">
        <v>1117.9000000000001</v>
      </c>
      <c r="P2841" s="116">
        <v>1126</v>
      </c>
      <c r="Q2841" s="116">
        <v>1124.5</v>
      </c>
      <c r="R2841">
        <v>931423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2026-06-17T16:46:03Z</dcterms:modified>
  <cp:category/>
  <cp:contentStatus/>
</cp:coreProperties>
</file>