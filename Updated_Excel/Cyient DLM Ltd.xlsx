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8D5641E-D5B6-4F67-8AA3-AA0E7F937EA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F6" i="2"/>
  <c r="AB36" i="2"/>
  <c r="AB64" i="2"/>
  <c r="AC26" i="2"/>
  <c r="AC53" i="2"/>
  <c r="AE68" i="2"/>
  <c r="AE80" i="2"/>
  <c r="AE92" i="2"/>
  <c r="AD19" i="2"/>
  <c r="AD54" i="2"/>
  <c r="AE5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46" i="2"/>
  <c r="AE85" i="2"/>
  <c r="AF60" i="2"/>
  <c r="AB80" i="2"/>
  <c r="AE35" i="2"/>
  <c r="AE83" i="2"/>
  <c r="AC86" i="2"/>
  <c r="AF88" i="2"/>
  <c r="AE65" i="2"/>
  <c r="AD32" i="2"/>
  <c r="AF71" i="2"/>
  <c r="AF107" i="2"/>
  <c r="AD59" i="2"/>
  <c r="AE76" i="2"/>
  <c r="AB8" i="2"/>
  <c r="AB43" i="2"/>
  <c r="AB108" i="2"/>
  <c r="AE95" i="2"/>
  <c r="AE58" i="2"/>
  <c r="AC8" i="2"/>
  <c r="AD56" i="2"/>
  <c r="AF89" i="2"/>
  <c r="AF34" i="2"/>
  <c r="AC91" i="2"/>
  <c r="AE27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C64" i="2"/>
  <c r="AB96" i="2"/>
  <c r="AE7" i="2"/>
  <c r="AB70" i="2"/>
  <c r="AB86" i="2"/>
  <c r="AB106" i="2"/>
  <c r="AC62" i="2"/>
  <c r="AF108" i="2"/>
  <c r="AE89" i="2"/>
  <c r="AD43" i="2"/>
  <c r="AD52" i="2"/>
  <c r="AE32" i="2"/>
  <c r="AB66" i="2"/>
  <c r="AE81" i="2"/>
  <c r="AF78" i="2"/>
  <c r="AF84" i="2"/>
  <c r="AF104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C17" i="2"/>
  <c r="AD33" i="2"/>
  <c r="AF63" i="2"/>
  <c r="AF87" i="2"/>
  <c r="AF65" i="2"/>
  <c r="AB51" i="2"/>
  <c r="AC104" i="2"/>
  <c r="AB98" i="2"/>
  <c r="AF5" i="2"/>
  <c r="AF112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D16" i="2"/>
  <c r="AD51" i="2"/>
  <c r="AC29" i="2"/>
  <c r="AC56" i="2"/>
  <c r="AF79" i="2"/>
  <c r="AC105" i="2"/>
  <c r="AF26" i="2"/>
  <c r="AE64" i="2"/>
  <c r="AE88" i="2"/>
  <c r="AC74" i="2"/>
  <c r="AC78" i="2"/>
  <c r="AE47" i="2"/>
  <c r="AB16" i="2"/>
  <c r="AB76" i="2"/>
  <c r="AE109" i="2"/>
  <c r="AE79" i="2"/>
  <c r="AC110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D23" i="2"/>
  <c r="AC75" i="2"/>
  <c r="AC87" i="2"/>
  <c r="AE110" i="2"/>
  <c r="AC12" i="2"/>
  <c r="AD77" i="2"/>
  <c r="AE73" i="2"/>
  <c r="AC44" i="2"/>
  <c r="AD17" i="2"/>
  <c r="AC106" i="2"/>
  <c r="AD21" i="2"/>
  <c r="AF81" i="2"/>
  <c r="AC67" i="2"/>
  <c r="AB82" i="2"/>
  <c r="AE1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70" i="2"/>
  <c r="AC94" i="2"/>
  <c r="AB87" i="2"/>
  <c r="AB107" i="2"/>
  <c r="AE104" i="2"/>
  <c r="AE17" i="2"/>
  <c r="AD87" i="2"/>
  <c r="AD107" i="2"/>
  <c r="AC68" i="2"/>
  <c r="AC92" i="2"/>
  <c r="AC55" i="2"/>
  <c r="AC18" i="2"/>
  <c r="AB72" i="2"/>
  <c r="AE71" i="2"/>
  <c r="AB94" i="2"/>
  <c r="AC24" i="2"/>
  <c r="AF97" i="2"/>
  <c r="AC79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95" i="2"/>
  <c r="AD58" i="2"/>
  <c r="AE44" i="2"/>
  <c r="AC63" i="2"/>
  <c r="AF41" i="2"/>
  <c r="AD71" i="2"/>
  <c r="AD93" i="2"/>
  <c r="AE97" i="2"/>
  <c r="AD8" i="2"/>
  <c r="AD24" i="2"/>
  <c r="AC5" i="2"/>
  <c r="AC113" i="2" s="1"/>
  <c r="AF95" i="2"/>
  <c r="AC45" i="2"/>
  <c r="AE15" i="2"/>
  <c r="AB88" i="2"/>
  <c r="AB78" i="2"/>
  <c r="AC98" i="2"/>
  <c r="AD5" i="2"/>
  <c r="AD113" i="2" s="1"/>
  <c r="AF73" i="2"/>
  <c r="AF109" i="2"/>
  <c r="AD63" i="2"/>
  <c r="AE52" i="2"/>
  <c r="AC47" i="2"/>
  <c r="AB92" i="2"/>
  <c r="AC76" i="2"/>
  <c r="AF6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F55" i="2"/>
  <c r="AB73" i="2"/>
  <c r="AB89" i="2"/>
  <c r="AC109" i="2"/>
  <c r="AD31" i="2"/>
  <c r="AF62" i="2"/>
  <c r="AC22" i="2"/>
  <c r="AE66" i="2"/>
  <c r="AE78" i="2"/>
  <c r="AE90" i="2"/>
  <c r="AF14" i="2"/>
  <c r="AE31" i="2"/>
  <c r="AD91" i="2"/>
  <c r="AC16" i="2"/>
  <c r="AE107" i="2"/>
  <c r="AC82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B65" i="2"/>
  <c r="AB81" i="2"/>
  <c r="AB97" i="2"/>
  <c r="AB109" i="2"/>
  <c r="AC49" i="2"/>
  <c r="AF49" i="2"/>
  <c r="AD75" i="2"/>
  <c r="AE75" i="2"/>
  <c r="AE99" i="2"/>
  <c r="AE63" i="2"/>
  <c r="AD81" i="2"/>
  <c r="AD97" i="2"/>
  <c r="AD10" i="2"/>
  <c r="AD18" i="2"/>
  <c r="AD26" i="2"/>
  <c r="AD34" i="2"/>
  <c r="AD45" i="2"/>
  <c r="AD53" i="2"/>
  <c r="AE8" i="2"/>
  <c r="AE20" i="2"/>
  <c r="AD40" i="2"/>
  <c r="AE25" i="2"/>
  <c r="AF94" i="2"/>
  <c r="AC43" i="2"/>
  <c r="AA172" i="1" l="1"/>
  <c r="AA170" i="1"/>
  <c r="AA164" i="1"/>
  <c r="AA163" i="1"/>
  <c r="AA160" i="1"/>
  <c r="AA159" i="1"/>
  <c r="AA153" i="1"/>
  <c r="AA150" i="1"/>
  <c r="AA147" i="1"/>
  <c r="AA145" i="1"/>
  <c r="AA144" i="1"/>
  <c r="AA142" i="1"/>
  <c r="AA137" i="1"/>
  <c r="AA135" i="1"/>
  <c r="AA132" i="1"/>
  <c r="AA126" i="1"/>
  <c r="AA124" i="1"/>
  <c r="AA119" i="1"/>
  <c r="AA117" i="1"/>
  <c r="AA78" i="1"/>
  <c r="AA77" i="1"/>
  <c r="AA67" i="1"/>
  <c r="AA47" i="1"/>
  <c r="AA45" i="1"/>
  <c r="AA36" i="1"/>
  <c r="AA32" i="1"/>
  <c r="AA24" i="1"/>
  <c r="AA22" i="1"/>
  <c r="AA20" i="1"/>
  <c r="AA13" i="1"/>
  <c r="AA8" i="1"/>
  <c r="AA171" i="1"/>
  <c r="AA151" i="1"/>
  <c r="AA149" i="1"/>
  <c r="AA146" i="1"/>
  <c r="AA143" i="1"/>
  <c r="AA140" i="1"/>
  <c r="AA136" i="1"/>
  <c r="AA133" i="1"/>
  <c r="AA127" i="1"/>
  <c r="AA125" i="1"/>
  <c r="AA122" i="1"/>
  <c r="AA118" i="1"/>
  <c r="AA79" i="1"/>
  <c r="AA51" i="1"/>
  <c r="AA46" i="1"/>
  <c r="AA39" i="1"/>
  <c r="AA35" i="1"/>
  <c r="AA25" i="1"/>
  <c r="AA23" i="1"/>
  <c r="AA21" i="1"/>
  <c r="AA15" i="1"/>
  <c r="AA9" i="1"/>
  <c r="AA155" i="1"/>
  <c r="AF113" i="2"/>
  <c r="AF111" i="2"/>
  <c r="AB111" i="2"/>
  <c r="AB112" i="2"/>
  <c r="AA73" i="1" s="1"/>
  <c r="B1" i="9"/>
  <c r="AB113" i="2"/>
  <c r="AA74" i="1" s="1"/>
  <c r="AE113" i="2"/>
  <c r="L1" i="9"/>
  <c r="AE111" i="2"/>
  <c r="AD111" i="2"/>
  <c r="AC111" i="2"/>
  <c r="AE112" i="2"/>
  <c r="A1" i="9"/>
  <c r="AD112" i="2"/>
  <c r="AC112" i="2"/>
  <c r="AA10" i="1" l="1"/>
  <c r="AA253" i="1"/>
  <c r="AA180" i="1"/>
  <c r="AA252" i="1"/>
  <c r="AA173" i="1"/>
  <c r="AA161" i="1"/>
  <c r="AA183" i="1"/>
  <c r="AA148" i="1"/>
  <c r="AA26" i="1"/>
  <c r="AA27" i="1" s="1"/>
  <c r="AA194" i="1"/>
  <c r="AA179" i="1"/>
  <c r="AA128" i="1"/>
  <c r="AA154" i="1"/>
  <c r="AA156" i="1" s="1"/>
  <c r="AA120" i="1"/>
  <c r="AA131" i="1"/>
  <c r="AA134" i="1" s="1"/>
  <c r="AA138" i="1" s="1"/>
  <c r="AA231" i="1"/>
  <c r="AA175" i="1"/>
  <c r="AA37" i="1"/>
  <c r="AA16" i="1"/>
  <c r="AA98" i="1"/>
  <c r="AA244" i="1"/>
  <c r="AA246" i="1"/>
  <c r="AA248" i="1"/>
  <c r="AA182" i="1"/>
  <c r="AA168" i="1"/>
  <c r="AA109" i="1" s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85" i="1"/>
  <c r="AA184" i="1" s="1"/>
  <c r="AA157" i="1"/>
  <c r="AA165" i="1" s="1"/>
  <c r="AA166" i="1"/>
  <c r="AA17" i="1"/>
  <c r="AA28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42" i="1"/>
  <c r="AA245" i="1" s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EZ7" i="4" a="1"/>
  <c r="EZ5" i="4" a="1"/>
  <c r="BT42" i="3"/>
  <c r="BM16" i="3"/>
  <c r="AA55" i="2"/>
  <c r="AA93" i="2"/>
  <c r="BA31" i="3"/>
  <c r="BA9" i="3"/>
  <c r="BA22" i="3"/>
  <c r="Z47" i="2"/>
  <c r="AA36" i="2"/>
  <c r="Z96" i="2"/>
  <c r="Z68" i="2"/>
  <c r="BA40" i="3"/>
  <c r="AA108" i="2"/>
  <c r="Z18" i="2"/>
  <c r="AA84" i="2"/>
  <c r="AA52" i="2"/>
  <c r="BB1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Y8" i="4" a="1"/>
  <c r="FE13" i="4" a="1"/>
  <c r="BF7" i="3"/>
  <c r="BH29" i="3"/>
  <c r="AA72" i="2"/>
  <c r="Y68" i="2"/>
  <c r="Z109" i="2"/>
  <c r="BD32" i="3"/>
  <c r="Y42" i="2"/>
  <c r="Y98" i="2"/>
  <c r="BC14" i="3"/>
  <c r="BD45" i="3"/>
  <c r="Y11" i="2"/>
  <c r="Y77" i="2"/>
  <c r="BC31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E31" i="3"/>
  <c r="BN23" i="3"/>
  <c r="BL40" i="3"/>
  <c r="BG33" i="3"/>
  <c r="AA24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59" i="3" s="1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Q9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Q15" i="3"/>
  <c r="BG7" i="3"/>
  <c r="BS29" i="3"/>
  <c r="BP15" i="3"/>
  <c r="BI45" i="3"/>
  <c r="BF22" i="3"/>
  <c r="BG40" i="3"/>
  <c r="BM40" i="3"/>
  <c r="Z67" i="2"/>
  <c r="Z22" i="2"/>
  <c r="BC37" i="3"/>
  <c r="BD39" i="3"/>
  <c r="BD36" i="3"/>
  <c r="W6" i="2"/>
  <c r="Y65" i="2"/>
  <c r="AA26" i="2"/>
  <c r="Z86" i="2"/>
  <c r="BA36" i="3"/>
  <c r="BB21" i="3"/>
  <c r="AA20" i="2"/>
  <c r="Y92" i="2"/>
  <c r="AA13" i="2"/>
  <c r="Y30" i="2"/>
  <c r="AV10" i="3"/>
  <c r="BC23" i="3"/>
  <c r="Z32" i="2"/>
  <c r="BA21" i="3"/>
  <c r="Z27" i="2"/>
  <c r="Z52" i="2"/>
  <c r="BD15" i="3"/>
  <c r="Y89" i="2"/>
  <c r="Z41" i="2"/>
  <c r="Y53" i="2"/>
  <c r="FA8" i="4" a="1"/>
  <c r="EX16" i="4" a="1"/>
  <c r="FC5" i="4" a="1"/>
  <c r="FE6" i="4" a="1"/>
  <c r="EY15" i="4" a="1"/>
  <c r="FC13" i="4" a="1"/>
  <c r="FE15" i="4" a="1"/>
  <c r="Z90" i="2"/>
  <c r="Y56" i="2"/>
  <c r="BD38" i="3"/>
  <c r="BB39" i="3"/>
  <c r="Y63" i="2"/>
  <c r="Y97" i="2"/>
  <c r="BQ21" i="3"/>
  <c r="BG27" i="3"/>
  <c r="BO36" i="3"/>
  <c r="BP29" i="3"/>
  <c r="BL16" i="3"/>
  <c r="BJ36" i="3"/>
  <c r="BF13" i="3"/>
  <c r="BI42" i="3"/>
  <c r="Z48" i="2"/>
  <c r="Z54" i="2"/>
  <c r="BB45" i="3"/>
  <c r="BA16" i="3"/>
  <c r="AA87" i="2"/>
  <c r="Y108" i="2"/>
  <c r="Y62" i="2"/>
  <c r="AA76" i="2"/>
  <c r="Y25" i="2"/>
  <c r="BD8" i="3"/>
  <c r="BB18" i="3"/>
  <c r="AA42" i="2"/>
  <c r="Z106" i="2"/>
  <c r="AA99" i="2"/>
  <c r="Y82" i="2"/>
  <c r="BD9" i="3"/>
  <c r="Y48" i="2"/>
  <c r="Z87" i="2"/>
  <c r="BC22" i="3"/>
  <c r="BC5" i="3"/>
  <c r="AA49" i="2"/>
  <c r="BC26" i="3"/>
  <c r="BA30" i="3"/>
  <c r="Y41" i="2"/>
  <c r="AA15" i="2"/>
  <c r="EY11" i="4" a="1"/>
  <c r="FC7" i="4" a="1"/>
  <c r="FD8" i="4" a="1"/>
  <c r="FE9" i="4" a="1"/>
  <c r="FF8" i="4" a="1"/>
  <c r="FE11" i="4" a="1"/>
  <c r="FA14" i="4" a="1"/>
  <c r="BH7" i="3"/>
  <c r="Y104" i="2"/>
  <c r="AA78" i="2"/>
  <c r="BA17" i="3"/>
  <c r="BA29" i="3"/>
  <c r="Z107" i="2"/>
  <c r="Y58" i="2"/>
  <c r="AA86" i="2"/>
  <c r="Z95" i="2"/>
  <c r="BA15" i="3"/>
  <c r="BB19" i="3"/>
  <c r="BC45" i="3"/>
  <c r="Z59" i="2"/>
  <c r="AA65" i="2"/>
  <c r="AA21" i="2"/>
  <c r="BD46" i="3"/>
  <c r="Y86" i="2"/>
  <c r="BD31" i="3"/>
  <c r="Z33" i="2"/>
  <c r="BD40" i="3"/>
  <c r="FD7" i="4" a="1"/>
  <c r="FC6" i="4" a="1"/>
  <c r="BQ27" i="3"/>
  <c r="BJ24" i="3"/>
  <c r="BT21" i="3"/>
  <c r="BE5" i="3"/>
  <c r="BN21" i="3"/>
  <c r="BH41" i="3"/>
  <c r="BF17" i="3"/>
  <c r="CL21" i="1" s="1"/>
  <c r="BQ33" i="3"/>
  <c r="BV15" i="3"/>
  <c r="BP42" i="3"/>
  <c r="BK8" i="3"/>
  <c r="BN35" i="3"/>
  <c r="BJ38" i="3"/>
  <c r="BL28" i="3"/>
  <c r="BN16" i="3"/>
  <c r="Y51" i="2"/>
  <c r="Y99" i="2"/>
  <c r="BA20" i="3"/>
  <c r="BD37" i="3"/>
  <c r="Z20" i="2"/>
  <c r="AA48" i="2"/>
  <c r="AA50" i="2"/>
  <c r="Z80" i="2"/>
  <c r="BC28" i="3"/>
  <c r="BC39" i="3"/>
  <c r="BB46" i="3"/>
  <c r="Y109" i="2"/>
  <c r="AA98" i="2"/>
  <c r="Y57" i="2"/>
  <c r="Z105" i="2"/>
  <c r="BA7" i="3"/>
  <c r="AA31" i="2"/>
  <c r="Y66" i="2"/>
  <c r="BA10" i="3"/>
  <c r="BD17" i="3"/>
  <c r="Y95" i="2"/>
  <c r="BB36" i="3"/>
  <c r="BC35" i="3"/>
  <c r="Z17" i="2"/>
  <c r="AA45" i="2"/>
  <c r="EY14" i="4" a="1"/>
  <c r="FD15" i="4" a="1"/>
  <c r="FA11" i="4" a="1"/>
  <c r="FE14" i="4" a="1"/>
  <c r="EX6" i="4" a="1"/>
  <c r="EY16" i="4" a="1"/>
  <c r="FB16" i="4" a="1"/>
  <c r="EZ13" i="4" a="1"/>
  <c r="BR10" i="3"/>
  <c r="BD21" i="3"/>
  <c r="AA58" i="2"/>
  <c r="BA41" i="3"/>
  <c r="Z35" i="2"/>
  <c r="Y81" i="2"/>
  <c r="BC9" i="3"/>
  <c r="Z43" i="2"/>
  <c r="BB11" i="3"/>
  <c r="EX13" i="4" a="1"/>
  <c r="EX12" i="4" a="1"/>
  <c r="BQ39" i="3"/>
  <c r="BV21" i="3"/>
  <c r="BE45" i="3"/>
  <c r="BM9" i="3"/>
  <c r="BF41" i="3"/>
  <c r="BJ14" i="3"/>
  <c r="BN33" i="3"/>
  <c r="BH23" i="3"/>
  <c r="Y36" i="2"/>
  <c r="Z50" i="2"/>
  <c r="BA26" i="3"/>
  <c r="BC10" i="3"/>
  <c r="Y43" i="2"/>
  <c r="AA10" i="2"/>
  <c r="AA81" i="2"/>
  <c r="Y106" i="2"/>
  <c r="BC13" i="3"/>
  <c r="BB5" i="3"/>
  <c r="AA88" i="2"/>
  <c r="Z31" i="2"/>
  <c r="Z94" i="2"/>
  <c r="Z45" i="2"/>
  <c r="AA82" i="2"/>
  <c r="BB27" i="3"/>
  <c r="Y7" i="2"/>
  <c r="BD16" i="3"/>
  <c r="BC6" i="3"/>
  <c r="BD24" i="3"/>
  <c r="Z34" i="2"/>
  <c r="BA38" i="3"/>
  <c r="Y105" i="2"/>
  <c r="Y29" i="2"/>
  <c r="Y87" i="2"/>
  <c r="FA6" i="4" a="1"/>
  <c r="FB8" i="4" a="1"/>
  <c r="FC16" i="4" a="1"/>
  <c r="FB12" i="4" a="1"/>
  <c r="FD16" i="4" a="1"/>
  <c r="EX8" i="4" a="1"/>
  <c r="EY6" i="4" a="1"/>
  <c r="BB26" i="3"/>
  <c r="BA23" i="3"/>
  <c r="AA25" i="2"/>
  <c r="BD27" i="3"/>
  <c r="Z42" i="2"/>
  <c r="FF16" i="4" a="1"/>
  <c r="FD6" i="4" a="1"/>
  <c r="EY12" i="4" a="1"/>
  <c r="FB11" i="4" a="1"/>
  <c r="FE16" i="4" a="1"/>
  <c r="BV33" i="3"/>
  <c r="BK14" i="3"/>
  <c r="BK21" i="3"/>
  <c r="BG9" i="3"/>
  <c r="Y64" i="2"/>
  <c r="Y20" i="2"/>
  <c r="AA79" i="2"/>
  <c r="Z77" i="2"/>
  <c r="BC17" i="3"/>
  <c r="AA33" i="2"/>
  <c r="Z65" i="2"/>
  <c r="BC34" i="3"/>
  <c r="BA34" i="3"/>
  <c r="BB10" i="3"/>
  <c r="Y107" i="2"/>
  <c r="BC40" i="3"/>
  <c r="Z69" i="2"/>
  <c r="EX11" i="4" a="1"/>
  <c r="FE8" i="4" a="1"/>
  <c r="FF12" i="4" a="1"/>
  <c r="BV27" i="3"/>
  <c r="BF27" i="3"/>
  <c r="BI13" i="3"/>
  <c r="BI16" i="3"/>
  <c r="BL9" i="3"/>
  <c r="BI6" i="3"/>
  <c r="AA14" i="2"/>
  <c r="Y12" i="2"/>
  <c r="BB32" i="3"/>
  <c r="BC12" i="3"/>
  <c r="Y17" i="2"/>
  <c r="AA30" i="2"/>
  <c r="AA35" i="2"/>
  <c r="Y15" i="2"/>
  <c r="BB16" i="3"/>
  <c r="BD30" i="3"/>
  <c r="Z6" i="2"/>
  <c r="AA74" i="2"/>
  <c r="Y5" i="2"/>
  <c r="AA70" i="2"/>
  <c r="X6" i="2"/>
  <c r="AA97" i="2"/>
  <c r="BC33" i="3"/>
  <c r="BA18" i="3"/>
  <c r="Z93" i="2"/>
  <c r="BC46" i="3"/>
  <c r="FC8" i="4" a="1"/>
  <c r="BM6" i="3"/>
  <c r="BN28" i="3"/>
  <c r="Z62" i="2"/>
  <c r="BB15" i="3"/>
  <c r="AA28" i="2"/>
  <c r="Y31" i="2"/>
  <c r="BO39" i="3"/>
  <c r="BV39" i="3"/>
  <c r="BK27" i="3"/>
  <c r="BG18" i="3"/>
  <c r="BM36" i="3"/>
  <c r="BT19" i="3"/>
  <c r="BM10" i="3"/>
  <c r="AA40" i="2"/>
  <c r="AA80" i="2"/>
  <c r="AA47" i="2"/>
  <c r="BC41" i="3"/>
  <c r="BB37" i="3"/>
  <c r="Y9" i="2"/>
  <c r="Z5" i="2"/>
  <c r="Y91" i="2"/>
  <c r="Y71" i="2"/>
  <c r="BA6" i="3"/>
  <c r="BC29" i="3"/>
  <c r="Z73" i="2"/>
  <c r="Y8" i="2"/>
  <c r="AA12" i="2"/>
  <c r="Y90" i="2"/>
  <c r="Y74" i="2"/>
  <c r="BB8" i="3"/>
  <c r="Z83" i="2"/>
  <c r="BD25" i="3"/>
  <c r="BD12" i="3"/>
  <c r="Z28" i="2"/>
  <c r="Z56" i="2"/>
  <c r="BD5" i="3"/>
  <c r="Z82" i="2"/>
  <c r="AA59" i="2"/>
  <c r="FF13" i="4" a="1"/>
  <c r="EY7" i="4" a="1"/>
  <c r="EX5" i="4" a="1"/>
  <c r="FB13" i="4" a="1"/>
  <c r="FF6" i="4" a="1"/>
  <c r="EY9" i="4" a="1"/>
  <c r="EZ9" i="4" a="1"/>
  <c r="BA28" i="3"/>
  <c r="AA73" i="2"/>
  <c r="BB31" i="3"/>
  <c r="Z26" i="2"/>
  <c r="Z8" i="2"/>
  <c r="Y18" i="2"/>
  <c r="Z63" i="2"/>
  <c r="BB29" i="3"/>
  <c r="FE5" i="4" a="1"/>
  <c r="EZ8" i="4" a="1"/>
  <c r="EY13" i="4" a="1"/>
  <c r="FA16" i="4" a="1"/>
  <c r="EX15" i="4" a="1"/>
  <c r="FB15" i="4" a="1"/>
  <c r="EX7" i="4" a="1"/>
  <c r="FF7" i="4" a="1"/>
  <c r="BJ25" i="3"/>
  <c r="BP41" i="3"/>
  <c r="BG38" i="3"/>
  <c r="BH17" i="3"/>
  <c r="BI38" i="3"/>
  <c r="Y22" i="2"/>
  <c r="BC20" i="3"/>
  <c r="Z85" i="2"/>
  <c r="AA46" i="2"/>
  <c r="Y34" i="2"/>
  <c r="BB35" i="3"/>
  <c r="BT41" i="3"/>
  <c r="BS5" i="3"/>
  <c r="BF26" i="3"/>
  <c r="BI19" i="3"/>
  <c r="BE42" i="3"/>
  <c r="BT37" i="3"/>
  <c r="BE22" i="3"/>
  <c r="AA109" i="2"/>
  <c r="Z36" i="2"/>
  <c r="Y35" i="2"/>
  <c r="BC16" i="3"/>
  <c r="BD29" i="3"/>
  <c r="AA106" i="2"/>
  <c r="Y80" i="2"/>
  <c r="Z81" i="2"/>
  <c r="Y61" i="2"/>
  <c r="BD10" i="3"/>
  <c r="BC42" i="3"/>
  <c r="AA56" i="2"/>
  <c r="Y47" i="2"/>
  <c r="Y55" i="2"/>
  <c r="AA32" i="2"/>
  <c r="BB13" i="3"/>
  <c r="BA33" i="3"/>
  <c r="Y67" i="2"/>
  <c r="BA11" i="3"/>
  <c r="BC30" i="3"/>
  <c r="Y69" i="2"/>
  <c r="Y79" i="2"/>
  <c r="BB28" i="3"/>
  <c r="Y54" i="2"/>
  <c r="Y110" i="2"/>
  <c r="FD14" i="4" a="1"/>
  <c r="FA7" i="4" a="1"/>
  <c r="FA15" i="4" a="1"/>
  <c r="FF9" i="4" a="1"/>
  <c r="FD11" i="4" a="1"/>
  <c r="FE7" i="4" a="1"/>
  <c r="FF5" i="4" a="1"/>
  <c r="BA39" i="3"/>
  <c r="Z92" i="2"/>
  <c r="Z74" i="2"/>
  <c r="AA89" i="2"/>
  <c r="BD41" i="3"/>
  <c r="BC36" i="3"/>
  <c r="Z88" i="2"/>
  <c r="Z24" i="2"/>
  <c r="AA7" i="2"/>
  <c r="BD13" i="3"/>
  <c r="Y19" i="2"/>
  <c r="Z11" i="2"/>
  <c r="Z70" i="2"/>
  <c r="BC7" i="3"/>
  <c r="BA24" i="3"/>
  <c r="Z16" i="2"/>
  <c r="Z78" i="2"/>
  <c r="Z7" i="2"/>
  <c r="AA57" i="2"/>
  <c r="FC12" i="4" a="1"/>
  <c r="FA9" i="4" a="1"/>
  <c r="FD5" i="4" a="1"/>
  <c r="FE12" i="4" a="1"/>
  <c r="EX9" i="4" a="1"/>
  <c r="BK26" i="3"/>
  <c r="BS11" i="3"/>
  <c r="BT16" i="3"/>
  <c r="BE23" i="3"/>
  <c r="BL21" i="3"/>
  <c r="BP26" i="3"/>
  <c r="BG25" i="3"/>
  <c r="Y85" i="2"/>
  <c r="Z108" i="2"/>
  <c r="Z72" i="2"/>
  <c r="BC8" i="3"/>
  <c r="BB38" i="3"/>
  <c r="AA66" i="2"/>
  <c r="Y33" i="2"/>
  <c r="Z61" i="2"/>
  <c r="Z12" i="2"/>
  <c r="FA13" i="4" a="1"/>
  <c r="FC15" i="4" a="1"/>
  <c r="BM35" i="3"/>
  <c r="BD35" i="3"/>
  <c r="Y96" i="2"/>
  <c r="Z71" i="2"/>
  <c r="Y52" i="2"/>
  <c r="BB23" i="3"/>
  <c r="FF15" i="4" a="1"/>
  <c r="FF11" i="4" a="1"/>
  <c r="EZ16" i="4" a="1"/>
  <c r="FB6" i="4" a="1"/>
  <c r="EZ6" i="4" a="1"/>
  <c r="BN5" i="3"/>
  <c r="BS17" i="3"/>
  <c r="BT28" i="3"/>
  <c r="BG24" i="3"/>
  <c r="BJ42" i="3"/>
  <c r="BP40" i="3"/>
  <c r="BI26" i="3"/>
  <c r="Y94" i="2"/>
  <c r="AA51" i="2"/>
  <c r="BC38" i="3"/>
  <c r="BB30" i="3"/>
  <c r="BC15" i="3"/>
  <c r="AA9" i="2"/>
  <c r="Z49" i="2"/>
  <c r="AA63" i="2"/>
  <c r="Z21" i="2"/>
  <c r="BA32" i="3"/>
  <c r="BA5" i="3"/>
  <c r="Z23" i="2"/>
  <c r="AA85" i="2"/>
  <c r="Y45" i="2"/>
  <c r="AA92" i="2"/>
  <c r="BB33" i="3"/>
  <c r="BB7" i="3"/>
  <c r="Z58" i="2"/>
  <c r="BB42" i="3"/>
  <c r="AA43" i="2"/>
  <c r="Y27" i="2"/>
  <c r="BA25" i="3"/>
  <c r="AA75" i="2"/>
  <c r="Z51" i="2"/>
  <c r="BB40" i="3"/>
  <c r="FC14" i="4" a="1"/>
  <c r="EZ11" i="4" a="1"/>
  <c r="FF14" i="4" a="1"/>
  <c r="EY5" i="4" a="1"/>
  <c r="BS23" i="3"/>
  <c r="BC27" i="3"/>
  <c r="Z29" i="2"/>
  <c r="BA8" i="3"/>
  <c r="EX14" i="4" a="1"/>
  <c r="FB7" i="4" a="1"/>
  <c r="FB5" i="4" a="1"/>
  <c r="BU66" i="3" l="1"/>
  <c r="AA52" i="1"/>
  <c r="AA193" i="1"/>
  <c r="AA195" i="1" s="1"/>
  <c r="AA54" i="1"/>
  <c r="BQ62" i="3"/>
  <c r="BQ56" i="3"/>
  <c r="CL47" i="1"/>
  <c r="CL9" i="1"/>
  <c r="CL194" i="1"/>
  <c r="CL253" i="1"/>
  <c r="CL231" i="1"/>
  <c r="CL10" i="1"/>
  <c r="CL252" i="1"/>
  <c r="CL65" i="1"/>
  <c r="CL26" i="1"/>
  <c r="CL27" i="1" s="1"/>
  <c r="CK35" i="1"/>
  <c r="CK51" i="1"/>
  <c r="CK63" i="1"/>
  <c r="CK14" i="1"/>
  <c r="CK9" i="1"/>
  <c r="CK64" i="1"/>
  <c r="CK47" i="1"/>
  <c r="Z47" i="1"/>
  <c r="CK46" i="1"/>
  <c r="CK25" i="1"/>
  <c r="CK21" i="1"/>
  <c r="CK13" i="1"/>
  <c r="CK22" i="1"/>
  <c r="CK39" i="1"/>
  <c r="CK8" i="1"/>
  <c r="CK15" i="1"/>
  <c r="CK36" i="1"/>
  <c r="CK20" i="1"/>
  <c r="CK32" i="1"/>
  <c r="CK24" i="1"/>
  <c r="CK23" i="1"/>
  <c r="CK4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231" i="1" s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58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H5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BE85" i="3"/>
  <c r="BP92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V4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BG6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BK84" i="3"/>
  <c r="BG7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BT49" i="3"/>
  <c r="BP6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BP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BP77" i="3"/>
  <c r="BL86" i="3"/>
  <c r="BM95" i="3"/>
  <c r="BG95" i="3"/>
  <c r="BB81" i="3"/>
  <c r="BL58" i="3"/>
  <c r="BI85" i="3"/>
  <c r="BQ96" i="3"/>
  <c r="BN92" i="3"/>
  <c r="BS65" i="3"/>
  <c r="BU97" i="3"/>
  <c r="BR83" i="3"/>
  <c r="BV97" i="3"/>
  <c r="BT60" i="3"/>
  <c r="BN62" i="3"/>
  <c r="BP82" i="3"/>
  <c r="BS62" i="3"/>
  <c r="BH91" i="3"/>
  <c r="BI56" i="3"/>
  <c r="BF62" i="3"/>
  <c r="CL124" i="1" s="1"/>
  <c r="BJ93" i="3"/>
  <c r="BJ83" i="3"/>
  <c r="BK57" i="3"/>
  <c r="FL5" i="4" a="1"/>
  <c r="GQ7" i="4" a="1"/>
  <c r="FH14" i="4" a="1"/>
  <c r="GC7" i="4" a="1"/>
  <c r="GD7" i="4" a="1"/>
  <c r="FH6" i="4" a="1"/>
  <c r="GM6" i="4" a="1"/>
  <c r="FI7" i="4" a="1"/>
  <c r="GP5" i="4" a="1"/>
  <c r="FH9" i="4" a="1"/>
  <c r="HC7" i="4" a="1"/>
  <c r="FN11" i="4" a="1"/>
  <c r="FR5" i="4" a="1"/>
  <c r="HB7" i="4" a="1"/>
  <c r="FM14" i="4" a="1"/>
  <c r="GN11" i="4" a="1"/>
  <c r="FL13" i="4" a="1"/>
  <c r="FK9" i="4" a="1"/>
  <c r="GS12" i="4" a="1"/>
  <c r="HC13" i="4" a="1"/>
  <c r="FQ9" i="4" a="1"/>
  <c r="GE14" i="4" a="1"/>
  <c r="GX15" i="4" a="1"/>
  <c r="GB16" i="4" a="1"/>
  <c r="HF16" i="4" a="1"/>
  <c r="FU11" i="4" a="1"/>
  <c r="HG14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HH8" i="4" a="1"/>
  <c r="HE15" i="4" a="1"/>
  <c r="FS14" i="4" a="1"/>
  <c r="BC64" i="3"/>
  <c r="BD48" i="3"/>
  <c r="BD81" i="3"/>
  <c r="HC16" i="4" a="1"/>
  <c r="BC74" i="3"/>
  <c r="Y113" i="2"/>
  <c r="FX11" i="4" a="1"/>
  <c r="BI47" i="3"/>
  <c r="BO93" i="3"/>
  <c r="FX5" i="4" a="1"/>
  <c r="GW6" i="4" a="1"/>
  <c r="GQ9" i="4" a="1"/>
  <c r="BG86" i="3"/>
  <c r="BC49" i="3"/>
  <c r="BM48" i="3"/>
  <c r="BH64" i="3"/>
  <c r="BB82" i="3"/>
  <c r="BL64" i="3"/>
  <c r="BF65" i="3"/>
  <c r="CL150" i="1" s="1"/>
  <c r="BU75" i="3"/>
  <c r="BO55" i="3"/>
  <c r="BS47" i="3"/>
  <c r="BU64" i="3"/>
  <c r="BV50" i="3"/>
  <c r="BV87" i="3"/>
  <c r="BT89" i="3"/>
  <c r="BN74" i="3"/>
  <c r="BF73" i="3"/>
  <c r="BS67" i="3"/>
  <c r="BH89" i="3"/>
  <c r="BI75" i="3"/>
  <c r="BF57" i="3"/>
  <c r="CL118" i="1" s="1"/>
  <c r="BJ97" i="3"/>
  <c r="BJ85" i="3"/>
  <c r="BK92" i="3"/>
  <c r="FP5" i="4" a="1"/>
  <c r="FG9" i="4" a="1"/>
  <c r="GF14" i="4" a="1"/>
  <c r="FS8" i="4" a="1"/>
  <c r="FX9" i="4" a="1"/>
  <c r="GU7" i="4" a="1"/>
  <c r="GB7" i="4" a="1"/>
  <c r="GP8" i="4" a="1"/>
  <c r="FL6" i="4" a="1"/>
  <c r="FI12" i="4" a="1"/>
  <c r="FV6" i="4" a="1"/>
  <c r="GF11" i="4" a="1"/>
  <c r="GS6" i="4" a="1"/>
  <c r="GM9" i="4" a="1"/>
  <c r="GK14" i="4" a="1"/>
  <c r="GV11" i="4" a="1"/>
  <c r="FQ13" i="4" a="1"/>
  <c r="GA9" i="4" a="1"/>
  <c r="GV12" i="4" a="1"/>
  <c r="FI14" i="4" a="1"/>
  <c r="GL9" i="4" a="1"/>
  <c r="GU14" i="4" a="1"/>
  <c r="GZ15" i="4" a="1"/>
  <c r="GD16" i="4" a="1"/>
  <c r="HE7" i="4" a="1"/>
  <c r="GJ11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F9" i="4" a="1"/>
  <c r="HA12" i="4" a="1"/>
  <c r="FL14" i="4" a="1"/>
  <c r="FN12" i="4" a="1"/>
  <c r="GG15" i="4" a="1"/>
  <c r="GA16" i="4" a="1"/>
  <c r="HB14" i="4" a="1"/>
  <c r="BD65" i="3"/>
  <c r="BJ56" i="3"/>
  <c r="BC82" i="3"/>
  <c r="BM62" i="3"/>
  <c r="BM81" i="3"/>
  <c r="BA76" i="3"/>
  <c r="BL60" i="3"/>
  <c r="BF92" i="3"/>
  <c r="CL155" i="1" s="1"/>
  <c r="BU87" i="3"/>
  <c r="BO63" i="3"/>
  <c r="BS97" i="3"/>
  <c r="BR81" i="3"/>
  <c r="BV54" i="3"/>
  <c r="BT58" i="3"/>
  <c r="BT95" i="3"/>
  <c r="BN71" i="3"/>
  <c r="BF55" i="3"/>
  <c r="BS70" i="3"/>
  <c r="BL95" i="3"/>
  <c r="BI77" i="3"/>
  <c r="BF72" i="3"/>
  <c r="CL135" i="1" s="1"/>
  <c r="BJ91" i="3"/>
  <c r="BK81" i="3"/>
  <c r="BK56" i="3"/>
  <c r="GQ5" i="4" a="1"/>
  <c r="GH6" i="4" a="1"/>
  <c r="FR15" i="4" a="1"/>
  <c r="GE8" i="4" a="1"/>
  <c r="GU11" i="4" a="1"/>
  <c r="GO5" i="4" a="1"/>
  <c r="GN8" i="4" a="1"/>
  <c r="FI5" i="4" a="1"/>
  <c r="FR6" i="4" a="1"/>
  <c r="HB13" i="4" a="1"/>
  <c r="GT6" i="4" a="1"/>
  <c r="GZ6" i="4" a="1"/>
  <c r="FR7" i="4" a="1"/>
  <c r="FL7" i="4" a="1"/>
  <c r="FG15" i="4" a="1"/>
  <c r="HA11" i="4" a="1"/>
  <c r="FT13" i="4" a="1"/>
  <c r="HC9" i="4" a="1"/>
  <c r="HF14" i="4" a="1"/>
  <c r="HD15" i="4" a="1"/>
  <c r="GF16" i="4" a="1"/>
  <c r="GO11" i="4" a="1"/>
  <c r="FM15" i="4" a="1"/>
  <c r="HD13" i="4" a="1"/>
  <c r="GY16" i="4" a="1"/>
  <c r="BC79" i="3"/>
  <c r="BD57" i="3"/>
  <c r="BC54" i="3"/>
  <c r="BD96" i="3"/>
  <c r="BA65" i="3"/>
  <c r="FX8" i="4" a="1"/>
  <c r="FO14" i="4" a="1"/>
  <c r="FV9" i="4" a="1"/>
  <c r="BH80" i="3"/>
  <c r="BR73" i="3"/>
  <c r="BI65" i="3"/>
  <c r="BK86" i="3"/>
  <c r="GA13" i="4" a="1"/>
  <c r="BA67" i="3"/>
  <c r="BR56" i="3"/>
  <c r="BF84" i="3"/>
  <c r="CL146" i="1" s="1"/>
  <c r="BF86" i="3"/>
  <c r="BA78" i="3"/>
  <c r="BL80" i="3"/>
  <c r="BF78" i="3"/>
  <c r="CL142" i="1" s="1"/>
  <c r="BR92" i="3"/>
  <c r="BO76" i="3"/>
  <c r="BS86" i="3"/>
  <c r="BR48" i="3"/>
  <c r="BV72" i="3"/>
  <c r="BT67" i="3"/>
  <c r="BT97" i="3"/>
  <c r="BN68" i="3"/>
  <c r="BF75" i="3"/>
  <c r="BS76" i="3"/>
  <c r="BE47" i="3"/>
  <c r="BI50" i="3"/>
  <c r="BJ74" i="3"/>
  <c r="BJ64" i="3"/>
  <c r="BK88" i="3"/>
  <c r="BK65" i="3"/>
  <c r="GH7" i="4" a="1"/>
  <c r="FR9" i="4" a="1"/>
  <c r="FO5" i="4" a="1"/>
  <c r="HC8" i="4" a="1"/>
  <c r="GO12" i="4" a="1"/>
  <c r="FK6" i="4" a="1"/>
  <c r="FJ11" i="4" a="1"/>
  <c r="FY5" i="4" a="1"/>
  <c r="FK7" i="4" a="1"/>
  <c r="FX14" i="4" a="1"/>
  <c r="GF7" i="4" a="1"/>
  <c r="GN9" i="4" a="1"/>
  <c r="GM7" i="4" a="1"/>
  <c r="GJ8" i="4" a="1"/>
  <c r="GV5" i="4" a="1"/>
  <c r="FG12" i="4" a="1"/>
  <c r="FY13" i="4" a="1"/>
  <c r="GL11" i="4" a="1"/>
  <c r="HD12" i="4" a="1"/>
  <c r="FT14" i="4" a="1"/>
  <c r="FQ11" i="4" a="1"/>
  <c r="FP15" i="4" a="1"/>
  <c r="HF15" i="4" a="1"/>
  <c r="GH16" i="4" a="1"/>
  <c r="FH13" i="4" a="1"/>
  <c r="GI12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BJ82" i="3"/>
  <c r="BJ92" i="3"/>
  <c r="BK83" i="3"/>
  <c r="BK97" i="3"/>
  <c r="HF7" i="4" a="1"/>
  <c r="GA5" i="4" a="1"/>
  <c r="GA7" i="4" a="1"/>
  <c r="FK13" i="4" a="1"/>
  <c r="FV11" i="4" a="1"/>
  <c r="FT5" i="4" a="1"/>
  <c r="FW9" i="4" a="1"/>
  <c r="GV14" i="4" a="1"/>
  <c r="GW8" i="4" a="1"/>
  <c r="HC11" i="4" a="1"/>
  <c r="FL8" i="4" a="1"/>
  <c r="GV9" i="4" a="1"/>
  <c r="FR8" i="4" a="1"/>
  <c r="FR12" i="4" a="1"/>
  <c r="FG13" i="4" a="1"/>
  <c r="GG14" i="4" a="1"/>
  <c r="GG11" i="4" a="1"/>
  <c r="FS15" i="4" a="1"/>
  <c r="HH15" i="4" a="1"/>
  <c r="GL16" i="4" a="1"/>
  <c r="FN14" i="4" a="1"/>
  <c r="GT12" i="4" a="1"/>
  <c r="FX15" i="4" a="1"/>
  <c r="FI11" i="4" a="1"/>
  <c r="FR14" i="4" a="1"/>
  <c r="GK15" i="4" a="1"/>
  <c r="FG16" i="4" a="1"/>
  <c r="GE16" i="4" a="1"/>
  <c r="BC83" i="3"/>
  <c r="BD72" i="3"/>
  <c r="BD90" i="3"/>
  <c r="BB93" i="3"/>
  <c r="GS14" i="4" a="1"/>
  <c r="GU13" i="4" a="1"/>
  <c r="BC59" i="3"/>
  <c r="BE62" i="3"/>
  <c r="BU91" i="3"/>
  <c r="BT83" i="3"/>
  <c r="FS5" i="4" a="1"/>
  <c r="GU6" i="4" a="1"/>
  <c r="HD9" i="4" a="1"/>
  <c r="GX13" i="4" a="1"/>
  <c r="FZ14" i="4" a="1"/>
  <c r="GY15" i="4" a="1"/>
  <c r="BC75" i="3"/>
  <c r="BA72" i="3"/>
  <c r="BM60" i="3"/>
  <c r="Z111" i="2"/>
  <c r="BP97" i="3"/>
  <c r="BA61" i="3"/>
  <c r="BL91" i="3"/>
  <c r="BF82" i="3"/>
  <c r="CL145" i="1" s="1"/>
  <c r="CL180" i="1" s="1"/>
  <c r="BR63" i="3"/>
  <c r="BO89" i="3"/>
  <c r="BS61" i="3"/>
  <c r="BR78" i="3"/>
  <c r="BV93" i="3"/>
  <c r="BT76" i="3"/>
  <c r="BN57" i="3"/>
  <c r="BN72" i="3"/>
  <c r="AA112" i="2"/>
  <c r="BS49" i="3"/>
  <c r="BE79" i="3"/>
  <c r="BM69" i="3"/>
  <c r="GH9" i="4" a="1"/>
  <c r="GI6" i="4" a="1"/>
  <c r="GB13" i="4" a="1"/>
  <c r="GY11" i="4" a="1"/>
  <c r="BD67" i="3"/>
  <c r="BD74" i="3"/>
  <c r="FG7" i="4" a="1"/>
  <c r="FX12" i="4" a="1"/>
  <c r="HB16" i="4" a="1"/>
  <c r="HG12" i="4" a="1"/>
  <c r="GW15" i="4" a="1"/>
  <c r="BD56" i="3"/>
  <c r="BH61" i="3"/>
  <c r="GJ6" i="4" a="1"/>
  <c r="FO15" i="4" a="1"/>
  <c r="FQ15" i="4" a="1"/>
  <c r="BD80" i="3"/>
  <c r="BA70" i="3"/>
  <c r="BN49" i="3"/>
  <c r="BB55" i="3"/>
  <c r="BD70" i="3"/>
  <c r="BC57" i="3"/>
  <c r="BL87" i="3"/>
  <c r="BF85" i="3"/>
  <c r="CL147" i="1" s="1"/>
  <c r="BR57" i="3"/>
  <c r="BO50" i="3"/>
  <c r="BS56" i="3"/>
  <c r="BR72" i="3"/>
  <c r="BV84" i="3"/>
  <c r="BT77" i="3"/>
  <c r="BN89" i="3"/>
  <c r="BN69" i="3"/>
  <c r="AA113" i="2"/>
  <c r="BS94" i="3"/>
  <c r="BE54" i="3"/>
  <c r="BM75" i="3"/>
  <c r="BJ84" i="3"/>
  <c r="BJ94" i="3"/>
  <c r="BK75" i="3"/>
  <c r="BK47" i="3"/>
  <c r="GR5" i="4" a="1"/>
  <c r="GX9" i="4" a="1"/>
  <c r="FH5" i="4" a="1"/>
  <c r="FL9" i="4" a="1"/>
  <c r="HG13" i="4" a="1"/>
  <c r="FX7" i="4" a="1"/>
  <c r="GS5" i="4" a="1"/>
  <c r="GV6" i="4" a="1"/>
  <c r="HA5" i="4" a="1"/>
  <c r="FZ15" i="4" a="1"/>
  <c r="GU5" i="4" a="1"/>
  <c r="GZ12" i="4" a="1"/>
  <c r="GA6" i="4" a="1"/>
  <c r="FH11" i="4" a="1"/>
  <c r="GW9" i="4" a="1"/>
  <c r="FW12" i="4" a="1"/>
  <c r="GJ13" i="4" a="1"/>
  <c r="HB11" i="4" a="1"/>
  <c r="FO13" i="4" a="1"/>
  <c r="GJ14" i="4" a="1"/>
  <c r="FK12" i="4" a="1"/>
  <c r="GF15" i="4" a="1"/>
  <c r="FH16" i="4" a="1"/>
  <c r="GN16" i="4" a="1"/>
  <c r="GY14" i="4" a="1"/>
  <c r="FM13" i="4" a="1"/>
  <c r="GA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K5" i="4" a="1"/>
  <c r="GL14" i="4" a="1"/>
  <c r="BG94" i="3"/>
  <c r="BJ79" i="3"/>
  <c r="HG6" i="4" a="1"/>
  <c r="FW5" i="4" a="1"/>
  <c r="HC12" i="4" a="1"/>
  <c r="GT15" i="4" a="1"/>
  <c r="FP13" i="4" a="1"/>
  <c r="BC62" i="3"/>
  <c r="BA91" i="3"/>
  <c r="BP76" i="3"/>
  <c r="BB58" i="3"/>
  <c r="BD89" i="3"/>
  <c r="BD73" i="3"/>
  <c r="BE83" i="3"/>
  <c r="BQ70" i="3"/>
  <c r="BV56" i="3"/>
  <c r="BO67" i="3"/>
  <c r="BU49" i="3"/>
  <c r="BR60" i="3"/>
  <c r="BV76" i="3"/>
  <c r="BT96" i="3"/>
  <c r="BN95" i="3"/>
  <c r="BN73" i="3"/>
  <c r="BO69" i="3"/>
  <c r="BP55" i="3"/>
  <c r="BE58" i="3"/>
  <c r="BM54" i="3"/>
  <c r="BJ58" i="3"/>
  <c r="BJ57" i="3"/>
  <c r="BK67" i="3"/>
  <c r="BK63" i="3"/>
  <c r="GL6" i="4" a="1"/>
  <c r="FR11" i="4" a="1"/>
  <c r="GH5" i="4" a="1"/>
  <c r="GJ9" i="4" a="1"/>
  <c r="GO7" i="4" a="1"/>
  <c r="GV7" i="4" a="1"/>
  <c r="GK5" i="4" a="1"/>
  <c r="FO7" i="4" a="1"/>
  <c r="GW7" i="4" a="1"/>
  <c r="FI9" i="4" a="1"/>
  <c r="FT6" i="4" a="1"/>
  <c r="GN14" i="4" a="1"/>
  <c r="FP7" i="4" a="1"/>
  <c r="FT11" i="4" a="1"/>
  <c r="HE9" i="4" a="1"/>
  <c r="FZ12" i="4" a="1"/>
  <c r="GO13" i="4" a="1"/>
  <c r="HG11" i="4" a="1"/>
  <c r="FR13" i="4" a="1"/>
  <c r="GO14" i="4" a="1"/>
  <c r="FV12" i="4" a="1"/>
  <c r="GH15" i="4" a="1"/>
  <c r="FJ16" i="4" a="1"/>
  <c r="GR16" i="4" a="1"/>
  <c r="FV15" i="4" a="1"/>
  <c r="FX13" i="4" a="1"/>
  <c r="GD15" i="4" a="1"/>
  <c r="GW11" i="4" a="1"/>
  <c r="GH14" i="4" a="1"/>
  <c r="GO15" i="4" a="1"/>
  <c r="FK16" i="4" a="1"/>
  <c r="GI16" i="4" a="1"/>
  <c r="HG16" i="4" a="1"/>
  <c r="BC90" i="3"/>
  <c r="BC88" i="3"/>
  <c r="BC93" i="3"/>
  <c r="FV16" i="4" a="1"/>
  <c r="FN15" i="4" a="1"/>
  <c r="GQ16" i="4" a="1"/>
  <c r="BC97" i="3"/>
  <c r="BT91" i="3"/>
  <c r="BV69" i="3"/>
  <c r="BN58" i="3"/>
  <c r="BH97" i="3"/>
  <c r="BF58" i="3"/>
  <c r="CL119" i="1" s="1"/>
  <c r="BJ95" i="3"/>
  <c r="FG6" i="4" a="1"/>
  <c r="FZ7" i="4" a="1"/>
  <c r="GK11" i="4" a="1"/>
  <c r="GF12" i="4" a="1"/>
  <c r="HD16" i="4" a="1"/>
  <c r="GS16" i="4" a="1"/>
  <c r="BA63" i="3"/>
  <c r="BG55" i="3"/>
  <c r="BB69" i="3"/>
  <c r="BU48" i="3"/>
  <c r="BQ55" i="3"/>
  <c r="BE72" i="3"/>
  <c r="BQ72" i="3"/>
  <c r="BV81" i="3"/>
  <c r="BO79" i="3"/>
  <c r="BU62" i="3"/>
  <c r="BR95" i="3"/>
  <c r="BV74" i="3"/>
  <c r="BT56" i="3"/>
  <c r="BN80" i="3"/>
  <c r="BN83" i="3"/>
  <c r="BO85" i="3"/>
  <c r="BP63" i="3"/>
  <c r="BE91" i="3"/>
  <c r="BM85" i="3"/>
  <c r="BJ60" i="3"/>
  <c r="BJ61" i="3"/>
  <c r="BK58" i="3"/>
  <c r="BK71" i="3"/>
  <c r="GY6" i="4" a="1"/>
  <c r="FZ11" i="4" a="1"/>
  <c r="HB5" i="4" a="1"/>
  <c r="GX6" i="4" a="1"/>
  <c r="GX8" i="4" a="1"/>
  <c r="GC8" i="4" a="1"/>
  <c r="GH11" i="4" a="1"/>
  <c r="GP7" i="4" a="1"/>
  <c r="GT9" i="4" a="1"/>
  <c r="FQ5" i="4" a="1"/>
  <c r="GR6" i="4" a="1"/>
  <c r="FJ15" i="4" a="1"/>
  <c r="FJ8" i="4" a="1"/>
  <c r="GD11" i="4" a="1"/>
  <c r="FK11" i="4" a="1"/>
  <c r="GE12" i="4" a="1"/>
  <c r="GW13" i="4" a="1"/>
  <c r="FH12" i="4" a="1"/>
  <c r="FZ13" i="4" a="1"/>
  <c r="GR14" i="4" a="1"/>
  <c r="HB12" i="4" a="1"/>
  <c r="GJ15" i="4" a="1"/>
  <c r="FN16" i="4" a="1"/>
  <c r="GT16" i="4" a="1"/>
  <c r="GP6" i="4" a="1"/>
  <c r="HH13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Z112" i="2"/>
  <c r="GU15" i="4" a="1"/>
  <c r="BG80" i="3"/>
  <c r="BH94" i="3"/>
  <c r="GR15" i="4" a="1"/>
  <c r="GC11" i="4" a="1"/>
  <c r="BD77" i="3"/>
  <c r="BI74" i="3"/>
  <c r="BS88" i="3"/>
  <c r="BQ59" i="3"/>
  <c r="BG76" i="3"/>
  <c r="BB66" i="3"/>
  <c r="BP58" i="3"/>
  <c r="BH83" i="3"/>
  <c r="BE87" i="3"/>
  <c r="BQ74" i="3"/>
  <c r="BV83" i="3"/>
  <c r="BO87" i="3"/>
  <c r="BU67" i="3"/>
  <c r="BR66" i="3"/>
  <c r="BV82" i="3"/>
  <c r="BT78" i="3"/>
  <c r="BN50" i="3"/>
  <c r="BP54" i="3"/>
  <c r="BO73" i="3"/>
  <c r="BG82" i="3"/>
  <c r="BE59" i="3"/>
  <c r="BM58" i="3"/>
  <c r="BJ68" i="3"/>
  <c r="BJ65" i="3"/>
  <c r="BK85" i="3"/>
  <c r="BK89" i="3"/>
  <c r="GS7" i="4" a="1"/>
  <c r="FZ6" i="4" a="1"/>
  <c r="HD6" i="4" a="1"/>
  <c r="FT8" i="4" a="1"/>
  <c r="GS9" i="4" a="1"/>
  <c r="FQ6" i="4" a="1"/>
  <c r="HF11" i="4" a="1"/>
  <c r="FI8" i="4" a="1"/>
  <c r="HF9" i="4" a="1"/>
  <c r="FN5" i="4" a="1"/>
  <c r="FO9" i="4" a="1"/>
  <c r="GE6" i="4" a="1"/>
  <c r="HA8" i="4" a="1"/>
  <c r="GO6" i="4" a="1"/>
  <c r="FW11" i="4" a="1"/>
  <c r="GH12" i="4" a="1"/>
  <c r="FN7" i="4" a="1"/>
  <c r="FM12" i="4" a="1"/>
  <c r="GM13" i="4" a="1"/>
  <c r="GW14" i="4" a="1"/>
  <c r="HA13" i="4" a="1"/>
  <c r="GL15" i="4" a="1"/>
  <c r="FP16" i="4" a="1"/>
  <c r="GX16" i="4" a="1"/>
  <c r="GJ7" i="4" a="1"/>
  <c r="FK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B6" i="4" a="1"/>
  <c r="GW12" i="4" a="1"/>
  <c r="GD6" i="4" a="1"/>
  <c r="FP11" i="4" a="1"/>
  <c r="GK6" i="4" a="1"/>
  <c r="FJ6" i="4" a="1"/>
  <c r="FZ8" i="4" a="1"/>
  <c r="HF5" i="4" a="1"/>
  <c r="FS9" i="4" a="1"/>
  <c r="GA11" i="4" a="1"/>
  <c r="GP12" i="4" a="1"/>
  <c r="GI7" i="4" a="1"/>
  <c r="GP13" i="4" a="1"/>
  <c r="HE14" i="4" a="1"/>
  <c r="FJ14" i="4" a="1"/>
  <c r="GN15" i="4" a="1"/>
  <c r="GZ16" i="4" a="1"/>
  <c r="GI14" i="4" a="1"/>
  <c r="HC14" i="4" a="1"/>
  <c r="GO16" i="4" a="1"/>
  <c r="GY9" i="4" a="1"/>
  <c r="BC61" i="3"/>
  <c r="BD97" i="3"/>
  <c r="BQ81" i="3"/>
  <c r="BR90" i="3"/>
  <c r="BT82" i="3"/>
  <c r="BN90" i="3"/>
  <c r="BG90" i="3"/>
  <c r="BF74" i="3"/>
  <c r="BJ77" i="3"/>
  <c r="FM5" i="4" a="1"/>
  <c r="GE11" i="4" a="1"/>
  <c r="FS16" i="4" a="1"/>
  <c r="BQ83" i="3"/>
  <c r="BP56" i="3"/>
  <c r="BG83" i="3"/>
  <c r="BB87" i="3"/>
  <c r="BI69" i="3"/>
  <c r="BH71" i="3"/>
  <c r="BE70" i="3"/>
  <c r="BQ67" i="3"/>
  <c r="BT50" i="3"/>
  <c r="BS71" i="3"/>
  <c r="BU86" i="3"/>
  <c r="BR69" i="3"/>
  <c r="BV96" i="3"/>
  <c r="BT81" i="3"/>
  <c r="BN93" i="3"/>
  <c r="BP95" i="3"/>
  <c r="BO60" i="3"/>
  <c r="BG84" i="3"/>
  <c r="BE81" i="3"/>
  <c r="BF68" i="3"/>
  <c r="CL134" i="1" s="1"/>
  <c r="BJ80" i="3"/>
  <c r="BJ75" i="3"/>
  <c r="BK62" i="3"/>
  <c r="GE15" i="4" a="1"/>
  <c r="GM5" i="4" a="1"/>
  <c r="GJ12" i="4" a="1"/>
  <c r="FS6" i="4" a="1"/>
  <c r="GR8" i="4" a="1"/>
  <c r="FG5" i="4" a="1"/>
  <c r="FU12" i="4" a="1"/>
  <c r="FT16" i="4" a="1"/>
  <c r="FV8" i="4" a="1"/>
  <c r="GA14" i="4" a="1"/>
  <c r="GL12" i="4" a="1"/>
  <c r="FQ16" i="4" a="1"/>
  <c r="BC95" i="3"/>
  <c r="BC76" i="3"/>
  <c r="BD66" i="3"/>
  <c r="BH47" i="3"/>
  <c r="BB83" i="3"/>
  <c r="BI72" i="3"/>
  <c r="BI62" i="3"/>
  <c r="BT80" i="3"/>
  <c r="BS85" i="3"/>
  <c r="BU89" i="3"/>
  <c r="BV55" i="3"/>
  <c r="BP75" i="3"/>
  <c r="BO86" i="3"/>
  <c r="BI63" i="3"/>
  <c r="BJ96" i="3"/>
  <c r="BK76" i="3"/>
  <c r="FI6" i="4" a="1"/>
  <c r="HE12" i="4" a="1"/>
  <c r="GQ6" i="4" a="1"/>
  <c r="GP9" i="4" a="1"/>
  <c r="GG5" i="4" a="1"/>
  <c r="FV7" i="4" a="1"/>
  <c r="FH7" i="4" a="1"/>
  <c r="GN5" i="4" a="1"/>
  <c r="GP11" i="4" a="1"/>
  <c r="GU12" i="4" a="1"/>
  <c r="GT7" i="4" a="1"/>
  <c r="HH14" i="4" a="1"/>
  <c r="FH15" i="4" a="1"/>
  <c r="BC92" i="3"/>
  <c r="BH96" i="3"/>
  <c r="BP74" i="3"/>
  <c r="HF8" i="4" a="1"/>
  <c r="HD7" i="4" a="1"/>
  <c r="GR12" i="4" a="1"/>
  <c r="FM8" i="4" a="1"/>
  <c r="FY7" i="4" a="1"/>
  <c r="FZ16" i="4" a="1"/>
  <c r="FY15" i="4" a="1"/>
  <c r="FU16" i="4" a="1"/>
  <c r="GZ11" i="4" a="1"/>
  <c r="BC66" i="3"/>
  <c r="CK65" i="1" l="1"/>
  <c r="CL137" i="1"/>
  <c r="CH140" i="1"/>
  <c r="CI140" i="1" s="1"/>
  <c r="CL98" i="1"/>
  <c r="CL99" i="1" s="1"/>
  <c r="X10" i="1"/>
  <c r="X180" i="1"/>
  <c r="CL128" i="1"/>
  <c r="CL148" i="1"/>
  <c r="CL16" i="1"/>
  <c r="CK10" i="1"/>
  <c r="CK16" i="1" s="1"/>
  <c r="CL19" i="1" s="1"/>
  <c r="CL161" i="1"/>
  <c r="CL182" i="1"/>
  <c r="CL138" i="1"/>
  <c r="CL156" i="1"/>
  <c r="CL120" i="1"/>
  <c r="CL129" i="1" s="1"/>
  <c r="CK26" i="1"/>
  <c r="CO20" i="1"/>
  <c r="CS20" i="1" s="1"/>
  <c r="Z154" i="1"/>
  <c r="JU16" i="4" s="1"/>
  <c r="JQ15" i="4" s="1"/>
  <c r="JQ7" i="4" s="1"/>
  <c r="KB9" i="4" s="1"/>
  <c r="CJ151" i="1"/>
  <c r="KE9" i="4" s="1"/>
  <c r="CJ143" i="1"/>
  <c r="JY9" i="4" s="1"/>
  <c r="KA16" i="4" s="1"/>
  <c r="JS16" i="4" s="1"/>
  <c r="KA15" i="4" s="1"/>
  <c r="JS9" i="4" s="1"/>
  <c r="KC9" i="4" s="1"/>
  <c r="CJ140" i="1"/>
  <c r="CJ202" i="1" s="1"/>
  <c r="CJ152" i="1"/>
  <c r="KC15" i="4" s="1"/>
  <c r="KC16" i="4" s="1"/>
  <c r="KG9" i="4" s="1"/>
  <c r="JQ9" i="4" s="1"/>
  <c r="JZ9" i="4" s="1"/>
  <c r="CJ153" i="1"/>
  <c r="CJ183" i="1" s="1"/>
  <c r="CK183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KG21" i="4" s="1"/>
  <c r="JY16" i="4" s="1"/>
  <c r="JQ16" i="4" s="1"/>
  <c r="JQ21" i="4" s="1"/>
  <c r="CK77" i="1" s="1"/>
  <c r="JR9" i="4" s="1"/>
  <c r="Z74" i="1"/>
  <c r="CJ133" i="1"/>
  <c r="CK133" i="1" s="1"/>
  <c r="CJ159" i="1"/>
  <c r="CJ117" i="1"/>
  <c r="KF16" i="4" s="1"/>
  <c r="CJ137" i="1"/>
  <c r="CK137" i="1" s="1"/>
  <c r="Z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D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T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50" i="1"/>
  <c r="JW16" i="4" s="1"/>
  <c r="CJ134" i="1"/>
  <c r="CK33" i="1" s="1"/>
  <c r="CJ154" i="1"/>
  <c r="JX16" i="4" s="1"/>
  <c r="JW9" i="4" s="1"/>
  <c r="KA9" i="4" s="1"/>
  <c r="JV9" i="4" s="1"/>
  <c r="CI73" i="1"/>
  <c r="CJ144" i="1"/>
  <c r="CJ179" i="1" s="1"/>
  <c r="CK179" i="1" s="1"/>
  <c r="CJ149" i="1"/>
  <c r="JR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14" i="4" s="1"/>
  <c r="CJ145" i="1"/>
  <c r="CJ180" i="1" s="1"/>
  <c r="CK180" i="1" s="1"/>
  <c r="CH74" i="1"/>
  <c r="KD16" i="4" s="1"/>
  <c r="JV16" i="4" s="1"/>
  <c r="KF15" i="4" s="1"/>
  <c r="JX15" i="4" s="1"/>
  <c r="KD8" i="4" s="1"/>
  <c r="JU9" i="4" s="1"/>
  <c r="KF9" i="4" s="1"/>
  <c r="X73" i="1"/>
  <c r="KB16" i="4" s="1"/>
  <c r="JT16" i="4" s="1"/>
  <c r="CJ147" i="1"/>
  <c r="Y74" i="1"/>
  <c r="CI74" i="1"/>
  <c r="CJ160" i="1"/>
  <c r="CK74" i="1"/>
  <c r="CJ142" i="1"/>
  <c r="CH73" i="1"/>
  <c r="KH16" i="4" s="1"/>
  <c r="JZ16" i="4" s="1"/>
  <c r="CJ74" i="1"/>
  <c r="CJ155" i="1"/>
  <c r="CJ124" i="1"/>
  <c r="CK124" i="1" s="1"/>
  <c r="CM124" i="1" s="1"/>
  <c r="CG73" i="1"/>
  <c r="CJ73" i="1"/>
  <c r="CG74" i="1"/>
  <c r="Z183" i="1"/>
  <c r="X179" i="1"/>
  <c r="X252" i="1"/>
  <c r="Z180" i="1"/>
  <c r="Y148" i="1"/>
  <c r="X148" i="1"/>
  <c r="CK98" i="1"/>
  <c r="CK99" i="1" s="1"/>
  <c r="Y173" i="1"/>
  <c r="Y179" i="1"/>
  <c r="Z253" i="1"/>
  <c r="Z194" i="1"/>
  <c r="CH143" i="1"/>
  <c r="Z148" i="1"/>
  <c r="AA196" i="1" s="1"/>
  <c r="Y252" i="1"/>
  <c r="Y231" i="1"/>
  <c r="Y183" i="1"/>
  <c r="CH144" i="1"/>
  <c r="CH179" i="1" s="1"/>
  <c r="CI179" i="1" s="1"/>
  <c r="Z179" i="1"/>
  <c r="Y26" i="1"/>
  <c r="Y134" i="1"/>
  <c r="Y161" i="1"/>
  <c r="Z209" i="1" s="1"/>
  <c r="X183" i="1"/>
  <c r="Y10" i="1"/>
  <c r="Z252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AA207" i="1" s="1"/>
  <c r="CH135" i="1"/>
  <c r="CI135" i="1" s="1"/>
  <c r="Z131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E21" i="4" l="1"/>
  <c r="CK12" i="1"/>
  <c r="AA188" i="1"/>
  <c r="AA11" i="1"/>
  <c r="AA249" i="1"/>
  <c r="AA206" i="1"/>
  <c r="AA205" i="1" s="1"/>
  <c r="JZ21" i="4"/>
  <c r="JR16" i="4" s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I202" i="1"/>
  <c r="X98" i="1"/>
  <c r="CW20" i="1"/>
  <c r="DA20" i="1" s="1"/>
  <c r="CK27" i="1"/>
  <c r="X16" i="1"/>
  <c r="CL168" i="1"/>
  <c r="CL109" i="1" s="1"/>
  <c r="Z182" i="1"/>
  <c r="Z175" i="1"/>
  <c r="CJ131" i="1"/>
  <c r="CK131" i="1" s="1"/>
  <c r="JY21" i="4"/>
  <c r="KB8" i="4"/>
  <c r="JW21" i="4"/>
  <c r="KD7" i="4"/>
  <c r="JU14" i="4"/>
  <c r="KC14" i="4"/>
  <c r="JU21" i="4"/>
  <c r="JS15" i="4"/>
  <c r="KA14" i="4"/>
  <c r="JV8" i="4"/>
  <c r="JZ8" i="4"/>
  <c r="JW14" i="4"/>
  <c r="JQ8" i="4"/>
  <c r="JU8" i="4"/>
  <c r="JT7" i="4"/>
  <c r="KB21" i="4"/>
  <c r="JT21" i="4"/>
  <c r="KD15" i="4"/>
  <c r="JR15" i="4"/>
  <c r="KB7" i="4"/>
  <c r="KA7" i="4"/>
  <c r="JT8" i="4"/>
  <c r="KC8" i="4"/>
  <c r="KC20" i="4" s="1"/>
  <c r="KF7" i="4"/>
  <c r="CK11" i="1"/>
  <c r="X27" i="1"/>
  <c r="CH154" i="1"/>
  <c r="CH156" i="1" s="1"/>
  <c r="CH185" i="1" s="1"/>
  <c r="Z156" i="1"/>
  <c r="AA197" i="1" s="1"/>
  <c r="AA198" i="1" s="1"/>
  <c r="AA199" i="1" s="1"/>
  <c r="CL17" i="1"/>
  <c r="CL28" i="1"/>
  <c r="CL248" i="1"/>
  <c r="CL246" i="1"/>
  <c r="CL181" i="1"/>
  <c r="CL92" i="1"/>
  <c r="JW7" i="4"/>
  <c r="JS8" i="4"/>
  <c r="KG14" i="4"/>
  <c r="KB15" i="4"/>
  <c r="KE14" i="4"/>
  <c r="JZ7" i="4"/>
  <c r="JS7" i="4"/>
  <c r="KC21" i="4"/>
  <c r="KC7" i="4"/>
  <c r="KA8" i="4"/>
  <c r="KA20" i="4" s="1"/>
  <c r="JX8" i="4"/>
  <c r="JZ15" i="4"/>
  <c r="KE7" i="4"/>
  <c r="CJ120" i="1"/>
  <c r="CJ92" i="1" s="1"/>
  <c r="CJ94" i="1" s="1"/>
  <c r="JU15" i="4"/>
  <c r="KE8" i="4"/>
  <c r="KG15" i="4"/>
  <c r="JQ14" i="4"/>
  <c r="JQ19" i="4" s="1"/>
  <c r="CK78" i="1" s="1"/>
  <c r="JX14" i="4"/>
  <c r="CL12" i="1"/>
  <c r="CL188" i="1"/>
  <c r="CL185" i="1"/>
  <c r="CL157" i="1"/>
  <c r="CL165" i="1" s="1"/>
  <c r="CL166" i="1" s="1"/>
  <c r="CI16" i="1"/>
  <c r="CL244" i="1"/>
  <c r="CL225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H14" i="4"/>
  <c r="JR14" i="4"/>
  <c r="JR19" i="4" s="1"/>
  <c r="CL78" i="1" s="1"/>
  <c r="KH8" i="4"/>
  <c r="JU7" i="4"/>
  <c r="CJ138" i="1"/>
  <c r="JX7" i="4"/>
  <c r="JZ14" i="4"/>
  <c r="JV15" i="4"/>
  <c r="JV20" i="4" s="1"/>
  <c r="JV7" i="4"/>
  <c r="KF14" i="4"/>
  <c r="CJ161" i="1"/>
  <c r="JT14" i="4"/>
  <c r="JW8" i="4"/>
  <c r="JV21" i="4"/>
  <c r="KF8" i="4"/>
  <c r="KF20" i="4" s="1"/>
  <c r="JY14" i="4"/>
  <c r="JS14" i="4"/>
  <c r="JV14" i="4"/>
  <c r="JT15" i="4"/>
  <c r="CJ148" i="1"/>
  <c r="CJ182" i="1" s="1"/>
  <c r="JR8" i="4"/>
  <c r="JS21" i="4"/>
  <c r="JY15" i="4"/>
  <c r="KG8" i="4"/>
  <c r="JY8" i="4"/>
  <c r="KD21" i="4"/>
  <c r="KG7" i="4"/>
  <c r="KE15" i="4"/>
  <c r="CJ156" i="1"/>
  <c r="CJ185" i="1" s="1"/>
  <c r="CJ184" i="1" s="1"/>
  <c r="CK184" i="1" s="1"/>
  <c r="KA21" i="4"/>
  <c r="JY7" i="4"/>
  <c r="KH15" i="4"/>
  <c r="KF21" i="4"/>
  <c r="JW15" i="4"/>
  <c r="KB14" i="4"/>
  <c r="CJ128" i="1"/>
  <c r="CJ249" i="1" s="1"/>
  <c r="CH148" i="1"/>
  <c r="CK140" i="1"/>
  <c r="X157" i="1"/>
  <c r="Y182" i="1"/>
  <c r="Y181" i="1" s="1"/>
  <c r="Z196" i="1"/>
  <c r="X182" i="1"/>
  <c r="X181" i="1" s="1"/>
  <c r="Y196" i="1"/>
  <c r="CK17" i="1"/>
  <c r="CK28" i="1"/>
  <c r="Y27" i="1"/>
  <c r="Z27" i="1"/>
  <c r="CK102" i="1"/>
  <c r="Y33" i="1"/>
  <c r="Y138" i="1"/>
  <c r="Y246" i="1" s="1"/>
  <c r="Y98" i="1"/>
  <c r="Y16" i="1"/>
  <c r="Y188" i="1"/>
  <c r="Y11" i="1"/>
  <c r="Z248" i="1"/>
  <c r="Z134" i="1"/>
  <c r="CH131" i="1"/>
  <c r="AB133" i="1"/>
  <c r="CQ133" i="1"/>
  <c r="CR133" i="1" s="1"/>
  <c r="CS133" i="1" s="1"/>
  <c r="CT133" i="1" s="1"/>
  <c r="CG27" i="1"/>
  <c r="CG16" i="1"/>
  <c r="CK18" i="1" s="1"/>
  <c r="X129" i="1"/>
  <c r="JQ20" i="4"/>
  <c r="CK79" i="1" s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H12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JR21" i="4" l="1"/>
  <c r="CL77" i="1" s="1"/>
  <c r="JX9" i="4" s="1"/>
  <c r="KH7" i="4" s="1"/>
  <c r="KH9" i="4" s="1"/>
  <c r="JZ20" i="4"/>
  <c r="KF19" i="4"/>
  <c r="KB20" i="4"/>
  <c r="JU20" i="4"/>
  <c r="KH21" i="4"/>
  <c r="CL102" i="1"/>
  <c r="KH19" i="4"/>
  <c r="JX21" i="4"/>
  <c r="KD19" i="4"/>
  <c r="JX20" i="4"/>
  <c r="JT19" i="4"/>
  <c r="JS19" i="4"/>
  <c r="JV19" i="4"/>
  <c r="JT20" i="4"/>
  <c r="CL31" i="1"/>
  <c r="JW19" i="4"/>
  <c r="JS20" i="4"/>
  <c r="X17" i="1"/>
  <c r="CL94" i="1"/>
  <c r="Z181" i="1"/>
  <c r="X28" i="1"/>
  <c r="JU19" i="4"/>
  <c r="JR20" i="4"/>
  <c r="CL79" i="1" s="1"/>
  <c r="Y18" i="1"/>
  <c r="KD20" i="4"/>
  <c r="CH184" i="1"/>
  <c r="CI184" i="1" s="1"/>
  <c r="KC19" i="4"/>
  <c r="KA19" i="4"/>
  <c r="Z185" i="1"/>
  <c r="Z157" i="1"/>
  <c r="Z197" i="1"/>
  <c r="KG19" i="4"/>
  <c r="KE19" i="4"/>
  <c r="KE20" i="4"/>
  <c r="JY19" i="4"/>
  <c r="KH20" i="4"/>
  <c r="JW20" i="4"/>
  <c r="KB19" i="4"/>
  <c r="CL184" i="1"/>
  <c r="CL186" i="1"/>
  <c r="CL250" i="1"/>
  <c r="CL29" i="1"/>
  <c r="CL34" i="1"/>
  <c r="CL38" i="1" s="1"/>
  <c r="CL232" i="1"/>
  <c r="CL233" i="1" s="1"/>
  <c r="JX19" i="4"/>
  <c r="JZ19" i="4"/>
  <c r="JY20" i="4"/>
  <c r="KG20" i="4"/>
  <c r="Y198" i="1"/>
  <c r="CL103" i="1"/>
  <c r="CL95" i="1"/>
  <c r="CL107" i="1"/>
  <c r="CL110" i="1" s="1"/>
  <c r="CH182" i="1"/>
  <c r="CH157" i="1"/>
  <c r="CK202" i="1"/>
  <c r="CL202" i="1"/>
  <c r="CL249" i="1"/>
  <c r="CL206" i="1"/>
  <c r="CJ244" i="1"/>
  <c r="CJ157" i="1"/>
  <c r="CJ165" i="1" s="1"/>
  <c r="CJ248" i="1"/>
  <c r="CJ129" i="1"/>
  <c r="CJ246" i="1"/>
  <c r="CK209" i="1"/>
  <c r="CJ206" i="1"/>
  <c r="Y244" i="1"/>
  <c r="CK29" i="1"/>
  <c r="CK34" i="1"/>
  <c r="CK38" i="1" s="1"/>
  <c r="Y165" i="1"/>
  <c r="Y166" i="1" s="1"/>
  <c r="Y28" i="1"/>
  <c r="Y17" i="1"/>
  <c r="CK108" i="1"/>
  <c r="CK104" i="1"/>
  <c r="CK103" i="1"/>
  <c r="CK107" i="1"/>
  <c r="Z138" i="1"/>
  <c r="AA203" i="1" s="1"/>
  <c r="AA201" i="1" s="1"/>
  <c r="Z33" i="1"/>
  <c r="CI131" i="1"/>
  <c r="CI134" i="1" s="1"/>
  <c r="CH134" i="1"/>
  <c r="CU133" i="1"/>
  <c r="CV133" i="1" s="1"/>
  <c r="CW133" i="1" s="1"/>
  <c r="CX133" i="1" s="1"/>
  <c r="AC133" i="1"/>
  <c r="Z18" i="1"/>
  <c r="Z17" i="1"/>
  <c r="Z28" i="1"/>
  <c r="X244" i="1"/>
  <c r="X246" i="1"/>
  <c r="X165" i="1"/>
  <c r="X166" i="1" s="1"/>
  <c r="Y203" i="1"/>
  <c r="Y201" i="1" s="1"/>
  <c r="CJ96" i="1"/>
  <c r="CJ95" i="1"/>
  <c r="CH96" i="1"/>
  <c r="CG28" i="1"/>
  <c r="CK30" i="1" s="1"/>
  <c r="CG17" i="1"/>
  <c r="CK185" i="1"/>
  <c r="Y184" i="1"/>
  <c r="Y186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AA213" i="1" l="1"/>
  <c r="AA210" i="1"/>
  <c r="AA211" i="1" s="1"/>
  <c r="AA250" i="1"/>
  <c r="AA251" i="1" s="1"/>
  <c r="AA30" i="1"/>
  <c r="CL104" i="1"/>
  <c r="CL108" i="1"/>
  <c r="CL111" i="1" s="1"/>
  <c r="CL96" i="1"/>
  <c r="Z198" i="1"/>
  <c r="CI185" i="1"/>
  <c r="CI152" i="1"/>
  <c r="Z186" i="1"/>
  <c r="AA189" i="1" s="1"/>
  <c r="AA190" i="1" s="1"/>
  <c r="Z184" i="1"/>
  <c r="X232" i="1"/>
  <c r="X233" i="1" s="1"/>
  <c r="X34" i="1"/>
  <c r="X112" i="1"/>
  <c r="X29" i="1"/>
  <c r="Z34" i="1"/>
  <c r="CL251" i="1"/>
  <c r="Y250" i="1"/>
  <c r="Y251" i="1" s="1"/>
  <c r="Y112" i="1"/>
  <c r="Y34" i="1"/>
  <c r="Y29" i="1"/>
  <c r="Y232" i="1"/>
  <c r="Y233" i="1" s="1"/>
  <c r="Z203" i="1"/>
  <c r="Z201" i="1" s="1"/>
  <c r="Z165" i="1"/>
  <c r="Z166" i="1" s="1"/>
  <c r="CL40" i="1"/>
  <c r="CL41" i="1"/>
  <c r="CH186" i="1"/>
  <c r="CL189" i="1" s="1"/>
  <c r="CH181" i="1"/>
  <c r="CI181" i="1" s="1"/>
  <c r="CJ166" i="1"/>
  <c r="CK31" i="1"/>
  <c r="CL226" i="1"/>
  <c r="CL112" i="1"/>
  <c r="CI38" i="1"/>
  <c r="Z250" i="1"/>
  <c r="Z251" i="1" s="1"/>
  <c r="Y30" i="1"/>
  <c r="Z30" i="1"/>
  <c r="Z246" i="1"/>
  <c r="Z244" i="1"/>
  <c r="Z112" i="1"/>
  <c r="Z29" i="1"/>
  <c r="Z232" i="1"/>
  <c r="Z233" i="1" s="1"/>
  <c r="CK40" i="1"/>
  <c r="CK41" i="1"/>
  <c r="CJ33" i="1"/>
  <c r="CI138" i="1"/>
  <c r="CJ203" i="1" s="1"/>
  <c r="CJ201" i="1" s="1"/>
  <c r="CI250" i="1"/>
  <c r="CI251" i="1" s="1"/>
  <c r="CK112" i="1"/>
  <c r="CM17" i="1"/>
  <c r="CI33" i="1"/>
  <c r="CH138" i="1"/>
  <c r="CY133" i="1"/>
  <c r="CZ133" i="1" s="1"/>
  <c r="DA133" i="1" s="1"/>
  <c r="DB133" i="1" s="1"/>
  <c r="AE133" i="1" s="1"/>
  <c r="AD133" i="1"/>
  <c r="Y189" i="1"/>
  <c r="Y190" i="1" s="1"/>
  <c r="CG34" i="1"/>
  <c r="CG38" i="1" s="1"/>
  <c r="CG232" i="1"/>
  <c r="CG233" i="1" s="1"/>
  <c r="CG29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41" i="1" l="1"/>
  <c r="CI40" i="1"/>
  <c r="CL44" i="1"/>
  <c r="CL55" i="1"/>
  <c r="Y55" i="1"/>
  <c r="Y38" i="1"/>
  <c r="Z38" i="1"/>
  <c r="X38" i="1"/>
  <c r="X55" i="1"/>
  <c r="Z189" i="1"/>
  <c r="Z190" i="1" s="1"/>
  <c r="Z55" i="1"/>
  <c r="CL234" i="1"/>
  <c r="CL48" i="1"/>
  <c r="CL42" i="1"/>
  <c r="CL245" i="1" s="1"/>
  <c r="CI182" i="1"/>
  <c r="CI146" i="1"/>
  <c r="CL113" i="1"/>
  <c r="CL114" i="1"/>
  <c r="CK134" i="1"/>
  <c r="CL132" i="1"/>
  <c r="CL131" i="1" s="1"/>
  <c r="CN202" i="1"/>
  <c r="CO140" i="1"/>
  <c r="CK48" i="1"/>
  <c r="CK42" i="1"/>
  <c r="CI203" i="1"/>
  <c r="CI201" i="1" s="1"/>
  <c r="CH246" i="1"/>
  <c r="CH165" i="1"/>
  <c r="CH166" i="1" s="1"/>
  <c r="CG41" i="1"/>
  <c r="CK43" i="1" s="1"/>
  <c r="CG40" i="1"/>
  <c r="CH41" i="1"/>
  <c r="CL43" i="1" s="1"/>
  <c r="CH40" i="1"/>
  <c r="CJ41" i="1"/>
  <c r="CJ40" i="1"/>
  <c r="CN184" i="1"/>
  <c r="CM185" i="1"/>
  <c r="CM181" i="1"/>
  <c r="CO125" i="1"/>
  <c r="CN128" i="1"/>
  <c r="CN249" i="1" s="1"/>
  <c r="CM206" i="1"/>
  <c r="Y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Y40" i="1" l="1"/>
  <c r="CI234" i="1"/>
  <c r="X40" i="1"/>
  <c r="X41" i="1"/>
  <c r="Z41" i="1"/>
  <c r="AA43" i="1" s="1"/>
  <c r="Z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J44" i="1"/>
  <c r="CL227" i="1"/>
  <c r="CK203" i="1"/>
  <c r="CK201" i="1" s="1"/>
  <c r="CL203" i="1"/>
  <c r="CL201" i="1" s="1"/>
  <c r="CI119" i="1"/>
  <c r="CJ42" i="1"/>
  <c r="CJ245" i="1" s="1"/>
  <c r="CP140" i="1"/>
  <c r="CP202" i="1" s="1"/>
  <c r="CO202" i="1"/>
  <c r="CK52" i="1"/>
  <c r="CK66" i="1"/>
  <c r="CJ234" i="1"/>
  <c r="CJ48" i="1"/>
  <c r="CL54" i="1" s="1"/>
  <c r="CK44" i="1"/>
  <c r="CM40" i="1"/>
  <c r="CN40" i="1" s="1"/>
  <c r="CJ227" i="1"/>
  <c r="CG42" i="1"/>
  <c r="CG245" i="1" s="1"/>
  <c r="CG234" i="1"/>
  <c r="CG48" i="1"/>
  <c r="CH44" i="1"/>
  <c r="CI44" i="1"/>
  <c r="CH48" i="1"/>
  <c r="CH42" i="1"/>
  <c r="CH245" i="1" s="1"/>
  <c r="CH23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U34" i="3"/>
  <c r="AW39" i="3"/>
  <c r="AY7" i="3"/>
  <c r="AX5" i="3"/>
  <c r="AY17" i="3"/>
  <c r="AW10" i="3"/>
  <c r="AU40" i="3"/>
  <c r="AT6" i="6" a="1"/>
  <c r="AV27" i="3"/>
  <c r="EP15" i="4" a="1"/>
  <c r="EN12" i="4" a="1"/>
  <c r="AI6" i="6" a="1"/>
  <c r="AT10" i="3"/>
  <c r="AF10" i="3"/>
  <c r="AQ6" i="6" a="1"/>
  <c r="AX42" i="3"/>
  <c r="ET12" i="4" a="1"/>
  <c r="EV13" i="4" a="1"/>
  <c r="EO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27" i="3"/>
  <c r="EU9" i="4" a="1"/>
  <c r="EL11" i="4" a="1"/>
  <c r="ES6" i="4" a="1"/>
  <c r="EV6" i="4" a="1"/>
  <c r="ET5" i="4" a="1"/>
  <c r="EP7" i="4" a="1"/>
  <c r="EP14" i="4" a="1"/>
  <c r="AU31" i="3"/>
  <c r="EL15" i="4" a="1"/>
  <c r="AT12" i="3"/>
  <c r="AX37" i="3"/>
  <c r="AR5" i="6" a="1"/>
  <c r="EN13" i="4" a="1"/>
  <c r="EU13" i="4" a="1"/>
  <c r="EW7" i="4" a="1"/>
  <c r="EW11" i="4" a="1"/>
  <c r="AW37" i="3"/>
  <c r="AF30" i="3"/>
  <c r="AX35" i="3"/>
  <c r="AZ7" i="3"/>
  <c r="K5" i="6" a="1"/>
  <c r="AF34" i="3"/>
  <c r="EM8" i="4" a="1"/>
  <c r="AU25" i="3"/>
  <c r="AV42" i="3"/>
  <c r="AW21" i="3"/>
  <c r="AV34" i="3"/>
  <c r="AF38" i="3"/>
  <c r="AX18" i="3"/>
  <c r="D5" i="6" a="1"/>
  <c r="ET6" i="4" a="1"/>
  <c r="EW6" i="4" a="1"/>
  <c r="ER7" i="4" a="1"/>
  <c r="EV11" i="4" a="1"/>
  <c r="L6" i="6" a="1"/>
  <c r="AU42" i="3"/>
  <c r="AU10" i="3"/>
  <c r="AV26" i="3"/>
  <c r="AS8" i="3"/>
  <c r="C5" i="3"/>
  <c r="AT35" i="3"/>
  <c r="AZ46" i="3"/>
  <c r="AX46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V36" i="3"/>
  <c r="AV16" i="3"/>
  <c r="AT11" i="3"/>
  <c r="AW8" i="3"/>
  <c r="AX8" i="3"/>
  <c r="AH6" i="6" a="1"/>
  <c r="AU8" i="3"/>
  <c r="AZ29" i="3"/>
  <c r="AF13" i="3"/>
  <c r="AW9" i="3"/>
  <c r="AW25" i="3"/>
  <c r="EM15" i="4" a="1"/>
  <c r="ET16" i="4" a="1"/>
  <c r="EP9" i="4" a="1"/>
  <c r="ES14" i="4" a="1"/>
  <c r="AQ5" i="6" a="1"/>
  <c r="AW26" i="3"/>
  <c r="AZ40" i="3"/>
  <c r="EQ13" i="4" a="1"/>
  <c r="EU8" i="4" a="1"/>
  <c r="EL16" i="4" a="1"/>
  <c r="EO5" i="4" a="1"/>
  <c r="EN15" i="4" a="1"/>
  <c r="AW18" i="3"/>
  <c r="AV19" i="3"/>
  <c r="AW24" i="3"/>
  <c r="AZ13" i="3"/>
  <c r="EW16" i="4" a="1"/>
  <c r="EL8" i="4" a="1"/>
  <c r="AS13" i="3"/>
  <c r="AV13" i="3"/>
  <c r="AF5" i="6" a="1"/>
  <c r="EO7" i="4" a="1"/>
  <c r="EN9" i="4" a="1"/>
  <c r="O6" i="6" a="1"/>
  <c r="AT7" i="3"/>
  <c r="AU17" i="3"/>
  <c r="C5" i="6" a="1"/>
  <c r="AL5" i="6" a="1"/>
  <c r="AX23" i="3"/>
  <c r="AN5" i="6" a="1"/>
  <c r="AS23" i="3"/>
  <c r="AC6" i="6" a="1"/>
  <c r="EO8" i="4" a="1"/>
  <c r="EP11" i="4" a="1"/>
  <c r="ER6" i="4" a="1"/>
  <c r="EM6" i="4" a="1"/>
  <c r="R6" i="6" a="1"/>
  <c r="AU27" i="3"/>
  <c r="AT24" i="3"/>
  <c r="AJ5" i="6" a="1"/>
  <c r="AW28" i="3"/>
  <c r="J6" i="6" a="1"/>
  <c r="ET15" i="4" a="1"/>
  <c r="ES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EM16" i="4" a="1"/>
  <c r="EQ11" i="4" a="1"/>
  <c r="EP8" i="4" a="1"/>
  <c r="EN8" i="4" a="1"/>
  <c r="EW13" i="4" a="1"/>
  <c r="ET7" i="4" a="1"/>
  <c r="AS33" i="3"/>
  <c r="AL6" i="6" a="1"/>
  <c r="M5" i="6" a="1"/>
  <c r="EU11" i="4" a="1"/>
  <c r="EP6" i="4" a="1"/>
  <c r="AT39" i="3"/>
  <c r="AF11" i="3"/>
  <c r="AZ16" i="3"/>
  <c r="AU22" i="3"/>
  <c r="AX21" i="3"/>
  <c r="AT29" i="3"/>
  <c r="AY23" i="3"/>
  <c r="AS6" i="3"/>
  <c r="AS22" i="3"/>
  <c r="AD6" i="6" a="1"/>
  <c r="AP7" i="3"/>
  <c r="EU14" i="4" a="1"/>
  <c r="EV7" i="4" a="1"/>
  <c r="EU5" i="4" a="1"/>
  <c r="AY24" i="3"/>
  <c r="AR6" i="6" a="1"/>
  <c r="AW20" i="3"/>
  <c r="AS9" i="3"/>
  <c r="AW31" i="3"/>
  <c r="AZ5" i="3"/>
  <c r="AF15" i="3"/>
  <c r="ER14" i="4" a="1"/>
  <c r="ES9" i="4" a="1"/>
  <c r="EO12" i="4" a="1"/>
  <c r="ES12" i="4" a="1"/>
  <c r="AW23" i="3"/>
  <c r="AX9" i="3"/>
  <c r="AY37" i="3"/>
  <c r="EM5" i="4" a="1"/>
  <c r="EQ8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40" i="3"/>
  <c r="AS38" i="3"/>
  <c r="AE5" i="6" a="1"/>
  <c r="AY9" i="3"/>
  <c r="AU14" i="3"/>
  <c r="EV14" i="4" a="1"/>
  <c r="AY30" i="3"/>
  <c r="AW30" i="3"/>
  <c r="AT5" i="6" a="1"/>
  <c r="AZ37" i="3"/>
  <c r="AB5" i="6" a="1"/>
  <c r="AZ34" i="3"/>
  <c r="EO9" i="4" a="1"/>
  <c r="EN16" i="4" a="1"/>
  <c r="EU6" i="4" a="1"/>
  <c r="AY40" i="3"/>
  <c r="I5" i="6" a="1"/>
  <c r="Z6" i="6" a="1"/>
  <c r="AZ42" i="3"/>
  <c r="AV7" i="3"/>
  <c r="J5" i="6" a="1"/>
  <c r="AV35" i="3"/>
  <c r="EN5" i="4" a="1"/>
  <c r="EQ6" i="4" a="1"/>
  <c r="EQ7" i="4" a="1"/>
  <c r="AW5" i="6" a="1"/>
  <c r="AZ41" i="3"/>
  <c r="AU15" i="3"/>
  <c r="AV40" i="3"/>
  <c r="AU16" i="3"/>
  <c r="AU19" i="3"/>
  <c r="AU5" i="3"/>
  <c r="AZ11" i="3"/>
  <c r="AZ24" i="3"/>
  <c r="AY15" i="3"/>
  <c r="AU7" i="3"/>
  <c r="ER11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W42" i="3"/>
  <c r="F6" i="6" a="1"/>
  <c r="AV9" i="3"/>
  <c r="AD5" i="6" a="1"/>
  <c r="T6" i="6" a="1"/>
  <c r="AX14" i="3"/>
  <c r="AS21" i="3"/>
  <c r="C6" i="4" a="1"/>
  <c r="ER15" i="4" a="1"/>
  <c r="AF40" i="3"/>
  <c r="AS41" i="3"/>
  <c r="AU26" i="3"/>
  <c r="AV12" i="3"/>
  <c r="AS16" i="3"/>
  <c r="AS31" i="3"/>
  <c r="EW8" i="4" a="1"/>
  <c r="AS45" i="3"/>
  <c r="AV46" i="3"/>
  <c r="G5" i="6" a="1"/>
  <c r="AT19" i="3"/>
  <c r="EL6" i="4" a="1"/>
  <c r="EU7" i="4" a="1"/>
  <c r="T5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Z8" i="3"/>
  <c r="AY39" i="3"/>
  <c r="EN6" i="4" a="1"/>
  <c r="EO15" i="4" a="1"/>
  <c r="EL12" i="4" a="1"/>
  <c r="AW12" i="3"/>
  <c r="AX6" i="3"/>
  <c r="AY25" i="3"/>
  <c r="AU12" i="3"/>
  <c r="AY42" i="3"/>
  <c r="EN7" i="4" a="1"/>
  <c r="EL13" i="4" a="1"/>
  <c r="EW9" i="4" a="1"/>
  <c r="AB131" i="1" l="1"/>
  <c r="CQ131" i="1"/>
  <c r="CR131" i="1" s="1"/>
  <c r="CS131" i="1" s="1"/>
  <c r="CT131" i="1" s="1"/>
  <c r="CJ66" i="1"/>
  <c r="CL69" i="1" s="1"/>
  <c r="CJ193" i="1"/>
  <c r="CJ195" i="1" s="1"/>
  <c r="CJ52" i="1"/>
  <c r="CJ54" i="1"/>
  <c r="CG193" i="1"/>
  <c r="CG195" i="1" s="1"/>
  <c r="CG52" i="1"/>
  <c r="CG66" i="1"/>
  <c r="CH193" i="1"/>
  <c r="CH195" i="1" s="1"/>
  <c r="CH66" i="1"/>
  <c r="CK69" i="1" s="1"/>
  <c r="CH52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9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V54" i="3"/>
  <c r="AY70" i="3"/>
  <c r="C82" i="3"/>
  <c r="AY83" i="3"/>
  <c r="AU97" i="3"/>
  <c r="AS72" i="3"/>
  <c r="AW8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S75" i="3"/>
  <c r="C61" i="3"/>
  <c r="AZ90" i="3"/>
  <c r="AW55" i="3"/>
  <c r="AX82" i="3"/>
  <c r="AW65" i="3"/>
  <c r="AX70" i="3"/>
  <c r="AZ55" i="3"/>
  <c r="AT90" i="3"/>
  <c r="AU78" i="3"/>
  <c r="C73" i="3"/>
  <c r="C80" i="3"/>
  <c r="AU75" i="3"/>
  <c r="AV60" i="3"/>
  <c r="AF87" i="3"/>
  <c r="AY79" i="3"/>
  <c r="AV78" i="3"/>
  <c r="AW57" i="3"/>
  <c r="AY6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V91" i="3"/>
  <c r="AZ62" i="3"/>
  <c r="AU84" i="3"/>
  <c r="AT78" i="3"/>
  <c r="AU48" i="3"/>
  <c r="C74" i="3"/>
  <c r="AS89" i="3"/>
  <c r="AU57" i="3"/>
  <c r="AF55" i="3"/>
  <c r="AT83" i="3"/>
  <c r="AF67" i="3"/>
  <c r="AY95" i="3"/>
  <c r="AV90" i="3"/>
  <c r="AZ77" i="3"/>
  <c r="AZ60" i="3"/>
  <c r="AT61" i="3"/>
  <c r="AY54" i="3"/>
  <c r="AF62" i="3"/>
  <c r="AW9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58" i="3"/>
  <c r="AF76" i="3"/>
  <c r="AT79" i="3"/>
  <c r="AV48" i="3"/>
  <c r="AW68" i="3"/>
  <c r="C83" i="3"/>
  <c r="AV68" i="3"/>
  <c r="AU55" i="3"/>
  <c r="AV49" i="3"/>
  <c r="AF63" i="3"/>
  <c r="AV96" i="3"/>
  <c r="AF89" i="3"/>
  <c r="AT54" i="3"/>
  <c r="AX65" i="3"/>
  <c r="AY64" i="3"/>
  <c r="AZ80" i="3"/>
  <c r="AS91" i="3"/>
  <c r="AZ86" i="3"/>
  <c r="AT7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S8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S94" i="3"/>
  <c r="C71" i="3"/>
  <c r="AW73" i="3"/>
  <c r="AX97" i="3"/>
  <c r="AU93" i="3"/>
  <c r="C95" i="3"/>
  <c r="AV94" i="3"/>
  <c r="AU90" i="3"/>
  <c r="AT50" i="3"/>
  <c r="AY92" i="3"/>
  <c r="AF71" i="3"/>
  <c r="AF96" i="3"/>
  <c r="AS62" i="3"/>
  <c r="AW83" i="3"/>
  <c r="AV63" i="3"/>
  <c r="AZ81" i="3"/>
  <c r="AF82" i="3"/>
  <c r="AT93" i="3"/>
  <c r="AV95" i="3"/>
  <c r="C69" i="3"/>
  <c r="AX95" i="3"/>
  <c r="AW81" i="3"/>
  <c r="AY96" i="3"/>
  <c r="AT94" i="3"/>
  <c r="AS96" i="3"/>
  <c r="AW50" i="3"/>
  <c r="AU94" i="3"/>
  <c r="AF84" i="3"/>
  <c r="AZ57" i="3"/>
  <c r="AF65" i="3"/>
  <c r="AX72" i="3"/>
  <c r="AZ91" i="3"/>
  <c r="AF75" i="3"/>
  <c r="AY59" i="3"/>
  <c r="AX94" i="3"/>
  <c r="C59" i="3"/>
  <c r="AU61" i="3"/>
  <c r="AF79" i="3"/>
  <c r="AU76" i="3"/>
  <c r="AW91" i="3"/>
  <c r="AY97" i="3"/>
  <c r="AS8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62" i="3"/>
  <c r="AX83" i="3"/>
  <c r="AT88" i="3"/>
  <c r="C92" i="3"/>
  <c r="AS59" i="3"/>
  <c r="AS64" i="3"/>
  <c r="AV50" i="3"/>
  <c r="AU65" i="3"/>
  <c r="AT55" i="3"/>
  <c r="C65" i="3"/>
  <c r="AU87" i="3"/>
  <c r="AX77" i="3"/>
  <c r="AX91" i="3"/>
  <c r="AT58" i="3"/>
  <c r="AS79" i="3"/>
  <c r="AU59" i="3"/>
  <c r="AU9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F47" i="3"/>
  <c r="AT56" i="3"/>
  <c r="AV86" i="3"/>
  <c r="AX61" i="3"/>
  <c r="AV80" i="3"/>
  <c r="AY67" i="3"/>
  <c r="AY74" i="3"/>
  <c r="C78" i="3"/>
  <c r="AS57" i="3"/>
  <c r="AW56" i="3"/>
  <c r="AX90" i="3"/>
  <c r="AZ83" i="3"/>
  <c r="AU86" i="3"/>
  <c r="AT48" i="3"/>
  <c r="AV73" i="3"/>
  <c r="AX80" i="3"/>
  <c r="AS68" i="3"/>
  <c r="CJ69" i="1" l="1"/>
  <c r="AC131" i="1"/>
  <c r="CU131" i="1"/>
  <c r="CV131" i="1" s="1"/>
  <c r="CW131" i="1" s="1"/>
  <c r="CX131" i="1" s="1"/>
  <c r="CL85" i="1"/>
  <c r="CL86" i="1"/>
  <c r="CL87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J86" i="1" l="1"/>
  <c r="CJ87" i="1"/>
  <c r="CJ85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G226" i="1"/>
  <c r="CF3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E63" i="3" s="1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M14" i="2"/>
  <c r="Q69" i="2"/>
  <c r="T26" i="2"/>
  <c r="K26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X28" i="2"/>
  <c r="L17" i="2"/>
  <c r="R29" i="2"/>
  <c r="I20" i="2"/>
  <c r="G32" i="2"/>
  <c r="V36" i="2"/>
  <c r="M32" i="2"/>
  <c r="J20" i="2"/>
  <c r="AR69" i="3"/>
  <c r="C23" i="2"/>
  <c r="P21" i="2"/>
  <c r="U9" i="2"/>
  <c r="AA46" i="3"/>
  <c r="D24" i="3"/>
  <c r="AR33" i="3"/>
  <c r="V45" i="3"/>
  <c r="K46" i="3"/>
  <c r="Z45" i="3"/>
  <c r="AD7" i="3"/>
  <c r="D6" i="3"/>
  <c r="AR18" i="3"/>
  <c r="Y46" i="3"/>
  <c r="F40" i="3"/>
  <c r="F28" i="3"/>
  <c r="AF7" i="4" a="1"/>
  <c r="BU6" i="4" a="1"/>
  <c r="AK9" i="4" a="1"/>
  <c r="DG12" i="4" a="1"/>
  <c r="DL15" i="4" a="1"/>
  <c r="CZ12" i="4" a="1"/>
  <c r="CG16" i="4" a="1"/>
  <c r="DV7" i="4" a="1"/>
  <c r="DP9" i="4" a="1"/>
  <c r="BK13" i="4" a="1"/>
  <c r="EK5" i="4" a="1"/>
  <c r="CQ13" i="4" a="1"/>
  <c r="CY16" i="4" a="1"/>
  <c r="CX6" i="4" a="1"/>
  <c r="BS7" i="4" a="1"/>
  <c r="DL6" i="4" a="1"/>
  <c r="P16" i="4" a="1"/>
  <c r="AV16" i="4" a="1"/>
  <c r="BY5" i="4" a="1"/>
  <c r="CW7" i="4" a="1"/>
  <c r="DX13" i="4" a="1"/>
  <c r="DL11" i="4" a="1"/>
  <c r="AF8" i="4" a="1"/>
  <c r="BO5" i="4" a="1"/>
  <c r="DG5" i="4" a="1"/>
  <c r="CE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C8" i="2"/>
  <c r="M18" i="2"/>
  <c r="I8" i="2"/>
  <c r="F35" i="2"/>
  <c r="H6" i="2"/>
  <c r="T24" i="2"/>
  <c r="V22" i="2"/>
  <c r="H10" i="2"/>
  <c r="AR49" i="3"/>
  <c r="D5" i="2"/>
  <c r="X35" i="2"/>
  <c r="U32" i="2"/>
  <c r="G17" i="3"/>
  <c r="D36" i="3"/>
  <c r="AD18" i="3"/>
  <c r="AR40" i="3"/>
  <c r="C46" i="3"/>
  <c r="AQ45" i="3"/>
  <c r="F34" i="3"/>
  <c r="AD9" i="3"/>
  <c r="E12" i="3"/>
  <c r="AD16" i="3"/>
  <c r="K45" i="3"/>
  <c r="F35" i="3"/>
  <c r="CX7" i="4" a="1"/>
  <c r="Y16" i="4" a="1"/>
  <c r="BC9" i="4" a="1"/>
  <c r="Z15" i="4" a="1"/>
  <c r="EG12" i="4" a="1"/>
  <c r="BE11" i="4" a="1"/>
  <c r="BQ7" i="4" a="1"/>
  <c r="DY11" i="4" a="1"/>
  <c r="CO6" i="4" a="1"/>
  <c r="AZ7" i="4" a="1"/>
  <c r="AP9" i="4" a="1"/>
  <c r="R13" i="4" a="1"/>
  <c r="ED14" i="4" a="1"/>
  <c r="W5" i="4" a="1"/>
  <c r="DO12" i="4" a="1"/>
  <c r="DI8" i="4" a="1"/>
  <c r="BH6" i="4" a="1"/>
  <c r="DE12" i="4" a="1"/>
  <c r="Y8" i="4" a="1"/>
  <c r="DX6" i="4" a="1"/>
  <c r="F16" i="4" a="1"/>
  <c r="AY9" i="4" a="1"/>
  <c r="CM13" i="4" a="1"/>
  <c r="V34" i="2"/>
  <c r="P7" i="2"/>
  <c r="V28" i="2"/>
  <c r="D24" i="2"/>
  <c r="J19" i="2"/>
  <c r="V18" i="2"/>
  <c r="K59" i="2"/>
  <c r="I25" i="2"/>
  <c r="T8" i="2"/>
  <c r="M30" i="2"/>
  <c r="F14" i="2"/>
  <c r="C12" i="2"/>
  <c r="D33" i="3"/>
  <c r="D16" i="3"/>
  <c r="AI45" i="3"/>
  <c r="E21" i="3"/>
  <c r="AD8" i="3"/>
  <c r="G18" i="3"/>
  <c r="P46" i="3"/>
  <c r="M45" i="3"/>
  <c r="E29" i="3"/>
  <c r="AR29" i="3"/>
  <c r="D46" i="3"/>
  <c r="EH5" i="4" a="1"/>
  <c r="DO14" i="4" a="1"/>
  <c r="Y5" i="4" a="1"/>
  <c r="AI9" i="4" a="1"/>
  <c r="DK7" i="4" a="1"/>
  <c r="AS6" i="4" a="1"/>
  <c r="DG8" i="4" a="1"/>
  <c r="C15" i="4" a="1"/>
  <c r="AB13" i="4" a="1"/>
  <c r="BW15" i="4" a="1"/>
  <c r="CB13" i="4" a="1"/>
  <c r="EK15" i="4" a="1"/>
  <c r="DN9" i="4" a="1"/>
  <c r="AK13" i="4" a="1"/>
  <c r="BK6" i="4" a="1"/>
  <c r="AA12" i="4" a="1"/>
  <c r="DC7" i="4" a="1"/>
  <c r="AO5" i="4" a="1"/>
  <c r="DG11" i="4" a="1"/>
  <c r="AM5" i="4" a="1"/>
  <c r="AF9" i="4" a="1"/>
  <c r="AK6" i="4" a="1"/>
  <c r="BL8" i="4" a="1"/>
  <c r="EK8" i="4" a="1"/>
  <c r="DN12" i="4" a="1"/>
  <c r="AP15" i="4" a="1"/>
  <c r="AZ8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O8" i="2"/>
  <c r="S25" i="2"/>
  <c r="X8" i="2"/>
  <c r="J15" i="2"/>
  <c r="S20" i="2"/>
  <c r="X20" i="2"/>
  <c r="T14" i="2"/>
  <c r="U26" i="2"/>
  <c r="J5" i="2"/>
  <c r="R7" i="2"/>
  <c r="I34" i="2"/>
  <c r="L27" i="2"/>
  <c r="J46" i="3"/>
  <c r="F19" i="3"/>
  <c r="AE45" i="3"/>
  <c r="AB45" i="3"/>
  <c r="F31" i="3"/>
  <c r="AD46" i="3"/>
  <c r="E13" i="3"/>
  <c r="AO6" i="3"/>
  <c r="G12" i="3"/>
  <c r="G20" i="3"/>
  <c r="I45" i="3"/>
  <c r="R16" i="4" a="1"/>
  <c r="AL12" i="4" a="1"/>
  <c r="Z8" i="4" a="1"/>
  <c r="BV14" i="4" a="1"/>
  <c r="CB7" i="4" a="1"/>
  <c r="DV5" i="4" a="1"/>
  <c r="AK8" i="4" a="1"/>
  <c r="L9" i="4" a="1"/>
  <c r="C9" i="4" a="1"/>
  <c r="CF9" i="4" a="1"/>
  <c r="T7" i="4" a="1"/>
  <c r="DG15" i="4" a="1"/>
  <c r="EG16" i="4" a="1"/>
  <c r="J5" i="4" a="1"/>
  <c r="CN8" i="4" a="1"/>
  <c r="CS8" i="4" a="1"/>
  <c r="D13" i="4" a="1"/>
  <c r="BT9" i="4" a="1"/>
  <c r="AI13" i="4" a="1"/>
  <c r="AY7" i="4" a="1"/>
  <c r="CU8" i="4" a="1"/>
  <c r="DD13" i="4" a="1"/>
  <c r="BH14" i="4" a="1"/>
  <c r="EA13" i="4" a="1"/>
  <c r="DR11" i="4" a="1"/>
  <c r="BY15" i="4" a="1"/>
  <c r="CL9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G23" i="2"/>
  <c r="O17" i="2"/>
  <c r="D20" i="2"/>
  <c r="D7" i="2"/>
  <c r="C59" i="2"/>
  <c r="G27" i="2"/>
  <c r="P35" i="2"/>
  <c r="U5" i="2"/>
  <c r="F26" i="2"/>
  <c r="AR87" i="3"/>
  <c r="N20" i="2"/>
  <c r="J34" i="2"/>
  <c r="W45" i="3"/>
  <c r="G5" i="3"/>
  <c r="D12" i="3"/>
  <c r="D39" i="3"/>
  <c r="AG46" i="3"/>
  <c r="G6" i="3"/>
  <c r="G10" i="3"/>
  <c r="AJ45" i="3"/>
  <c r="E7" i="3"/>
  <c r="F7" i="3"/>
  <c r="J45" i="3"/>
  <c r="BO14" i="4" a="1"/>
  <c r="DA11" i="4" a="1"/>
  <c r="BK8" i="4" a="1"/>
  <c r="AV9" i="4" a="1"/>
  <c r="AN7" i="4" a="1"/>
  <c r="S11" i="4" a="1"/>
  <c r="BH5" i="4" a="1"/>
  <c r="BZ8" i="4" a="1"/>
  <c r="BV13" i="4" a="1"/>
  <c r="CQ14" i="4" a="1"/>
  <c r="V15" i="4" a="1"/>
  <c r="CT8" i="4" a="1"/>
  <c r="AB11" i="4" a="1"/>
  <c r="U16" i="4" a="1"/>
  <c r="BX16" i="4" a="1"/>
  <c r="DY16" i="4" a="1"/>
  <c r="K14" i="4" a="1"/>
  <c r="CJ9" i="4" a="1"/>
  <c r="CC8" i="4" a="1"/>
  <c r="DI16" i="4" a="1"/>
  <c r="W13" i="4" a="1"/>
  <c r="CP14" i="4" a="1"/>
  <c r="CF14" i="4" a="1"/>
  <c r="CM6" i="4" a="1"/>
  <c r="X6" i="4" a="1"/>
  <c r="AH15" i="4" a="1"/>
  <c r="DU5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D16" i="2"/>
  <c r="W21" i="2"/>
  <c r="I9" i="2"/>
  <c r="T30" i="2"/>
  <c r="Q8" i="2"/>
  <c r="O11" i="2"/>
  <c r="I22" i="2"/>
  <c r="T6" i="2"/>
  <c r="U28" i="2"/>
  <c r="AR54" i="3"/>
  <c r="N32" i="2"/>
  <c r="AR82" i="3"/>
  <c r="AR22" i="3"/>
  <c r="C45" i="3"/>
  <c r="AD13" i="3"/>
  <c r="G45" i="3"/>
  <c r="O45" i="3"/>
  <c r="AL45" i="3"/>
  <c r="D22" i="3"/>
  <c r="D38" i="3"/>
  <c r="E46" i="3"/>
  <c r="Q46" i="3"/>
  <c r="G22" i="3"/>
  <c r="CI14" i="4" a="1"/>
  <c r="DL9" i="4" a="1"/>
  <c r="AK11" i="4" a="1"/>
  <c r="CF16" i="4" a="1"/>
  <c r="AI14" i="4" a="1"/>
  <c r="BX8" i="4" a="1"/>
  <c r="AD8" i="4" a="1"/>
  <c r="I14" i="4" a="1"/>
  <c r="CX14" i="4" a="1"/>
  <c r="EI14" i="4" a="1"/>
  <c r="S15" i="4" a="1"/>
  <c r="EG5" i="4" a="1"/>
  <c r="AR11" i="4" a="1"/>
  <c r="R14" i="4" a="1"/>
  <c r="AC14" i="4" a="1"/>
  <c r="BH12" i="4" a="1"/>
  <c r="R11" i="4" a="1"/>
  <c r="CD8" i="4" a="1"/>
  <c r="CA8" i="4" a="1"/>
  <c r="AC12" i="4" a="1"/>
  <c r="BZ9" i="4" a="1"/>
  <c r="BQ9" i="4" a="1"/>
  <c r="O6" i="4" a="1"/>
  <c r="BK12" i="4" a="1"/>
  <c r="AK5" i="4" a="1"/>
  <c r="DG16" i="4" a="1"/>
  <c r="EA8" i="4" a="1"/>
  <c r="CA9" i="4" a="1"/>
  <c r="CN15" i="4" a="1"/>
  <c r="Q6" i="2"/>
  <c r="K32" i="2"/>
  <c r="V24" i="2"/>
  <c r="W31" i="2"/>
  <c r="N19" i="2"/>
  <c r="E10" i="2"/>
  <c r="X21" i="2"/>
  <c r="J32" i="2"/>
  <c r="W70" i="2"/>
  <c r="AR91" i="3"/>
  <c r="N22" i="2"/>
  <c r="G18" i="2"/>
  <c r="G27" i="3"/>
  <c r="E39" i="3"/>
  <c r="D29" i="3"/>
  <c r="E23" i="3"/>
  <c r="E35" i="3"/>
  <c r="M46" i="3"/>
  <c r="E36" i="3"/>
  <c r="AR14" i="3"/>
  <c r="D20" i="3"/>
  <c r="AB46" i="3"/>
  <c r="F26" i="3"/>
  <c r="ED16" i="4" a="1"/>
  <c r="CY15" i="4" a="1"/>
  <c r="BF13" i="4" a="1"/>
  <c r="BJ12" i="4" a="1"/>
  <c r="CM16" i="4" a="1"/>
  <c r="DU7" i="4" a="1"/>
  <c r="BO8" i="4" a="1"/>
  <c r="DS12" i="4" a="1"/>
  <c r="CD5" i="4" a="1"/>
  <c r="CN16" i="4" a="1"/>
  <c r="DM12" i="4" a="1"/>
  <c r="AH8" i="4" a="1"/>
  <c r="EA5" i="4" a="1"/>
  <c r="R6" i="4" a="1"/>
  <c r="DQ13" i="4" a="1"/>
  <c r="DZ16" i="4" a="1"/>
  <c r="BP11" i="4" a="1"/>
  <c r="CH7" i="4" a="1"/>
  <c r="O7" i="4" a="1"/>
  <c r="J7" i="4" a="1"/>
  <c r="AX6" i="4" a="1"/>
  <c r="BR13" i="4" a="1"/>
  <c r="BE7" i="4" a="1"/>
  <c r="BC5" i="4" a="1"/>
  <c r="EI6" i="4" a="1"/>
  <c r="U9" i="4" a="1"/>
  <c r="CQ8" i="4" a="1"/>
  <c r="BS1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Q58" i="2"/>
  <c r="L12" i="2"/>
  <c r="G33" i="2"/>
  <c r="J25" i="2"/>
  <c r="P28" i="2"/>
  <c r="X27" i="2"/>
  <c r="N6" i="2"/>
  <c r="J17" i="2"/>
  <c r="D11" i="2"/>
  <c r="E27" i="2"/>
  <c r="H35" i="2"/>
  <c r="O14" i="2"/>
  <c r="F22" i="3"/>
  <c r="AA45" i="3"/>
  <c r="AN45" i="3"/>
  <c r="AH46" i="3"/>
  <c r="F6" i="3"/>
  <c r="G15" i="3"/>
  <c r="E24" i="3"/>
  <c r="AO46" i="3"/>
  <c r="E34" i="3"/>
  <c r="G8" i="3"/>
  <c r="D28" i="3"/>
  <c r="DO5" i="4" a="1"/>
  <c r="BF9" i="4" a="1"/>
  <c r="CC11" i="4" a="1"/>
  <c r="AO12" i="4" a="1"/>
  <c r="BW11" i="4" a="1"/>
  <c r="AC11" i="4" a="1"/>
  <c r="AN8" i="4" a="1"/>
  <c r="BP7" i="4" a="1"/>
  <c r="AF16" i="4" a="1"/>
  <c r="EG14" i="4" a="1"/>
  <c r="AC16" i="4" a="1"/>
  <c r="BN16" i="4" a="1"/>
  <c r="DM15" i="4" a="1"/>
  <c r="AD11" i="4" a="1"/>
  <c r="BT13" i="4" a="1"/>
  <c r="V12" i="4" a="1"/>
  <c r="P14" i="4" a="1"/>
  <c r="AQ15" i="4" a="1"/>
  <c r="CK14" i="4" a="1"/>
  <c r="CX15" i="4" a="1"/>
  <c r="CI13" i="4" a="1"/>
  <c r="DD9" i="4" a="1"/>
  <c r="BD5" i="4" a="1"/>
  <c r="DF13" i="4" a="1"/>
  <c r="BS12" i="4" a="1"/>
  <c r="CS15" i="4" a="1"/>
  <c r="EA15" i="4" a="1"/>
  <c r="D15" i="4" a="1"/>
  <c r="CR9" i="4" a="1"/>
  <c r="EJ16" i="4" a="1"/>
  <c r="I14" i="2"/>
  <c r="D8" i="2"/>
  <c r="K10" i="2"/>
  <c r="R21" i="2"/>
  <c r="N31" i="2"/>
  <c r="L18" i="2"/>
  <c r="S8" i="2"/>
  <c r="R17" i="2"/>
  <c r="E5" i="2"/>
  <c r="V19" i="2"/>
  <c r="H5" i="2"/>
  <c r="E45" i="2"/>
  <c r="G11" i="3"/>
  <c r="D26" i="3"/>
  <c r="F42" i="3"/>
  <c r="D10" i="3"/>
  <c r="AR38" i="3"/>
  <c r="D8" i="3"/>
  <c r="F37" i="3"/>
  <c r="E16" i="3"/>
  <c r="F15" i="3"/>
  <c r="U46" i="3"/>
  <c r="F41" i="3"/>
  <c r="AZ15" i="4" a="1"/>
  <c r="CI7" i="4" a="1"/>
  <c r="BL13" i="4" a="1"/>
  <c r="BX9" i="4" a="1"/>
  <c r="D14" i="4" a="1"/>
  <c r="CR8" i="4" a="1"/>
  <c r="BZ15" i="4" a="1"/>
  <c r="AJ14" i="4" a="1"/>
  <c r="Q12" i="4" a="1"/>
  <c r="DQ16" i="4" a="1"/>
  <c r="AK14" i="4" a="1"/>
  <c r="BZ5" i="4" a="1"/>
  <c r="Q14" i="4" a="1"/>
  <c r="AE6" i="4" a="1"/>
  <c r="AG15" i="4" a="1"/>
  <c r="AQ13" i="4" a="1"/>
  <c r="AE7" i="4" a="1"/>
  <c r="DY8" i="4" a="1"/>
  <c r="AG9" i="4" a="1"/>
  <c r="X15" i="4" a="1"/>
  <c r="AD5" i="4" a="1"/>
  <c r="CU9" i="4" a="1"/>
  <c r="DZ12" i="4" a="1"/>
  <c r="CP13" i="4" a="1"/>
  <c r="T8" i="4" a="1"/>
  <c r="EE12" i="4" a="1"/>
  <c r="Y6" i="4" a="1"/>
  <c r="EF5" i="4" a="1"/>
  <c r="U12" i="2"/>
  <c r="I16" i="2"/>
  <c r="G31" i="2"/>
  <c r="L32" i="2"/>
  <c r="P8" i="2"/>
  <c r="K9" i="2"/>
  <c r="W15" i="2"/>
  <c r="N21" i="2"/>
  <c r="J23" i="2"/>
  <c r="N8" i="2"/>
  <c r="I13" i="2"/>
  <c r="G13" i="2"/>
  <c r="F36" i="3"/>
  <c r="F75" i="2"/>
  <c r="H15" i="2"/>
  <c r="AR41" i="3"/>
  <c r="Q45" i="3"/>
  <c r="F21" i="3"/>
  <c r="DZ14" i="4" a="1"/>
  <c r="DK5" i="4" a="1"/>
  <c r="DH15" i="4" a="1"/>
  <c r="X7" i="4" a="1"/>
  <c r="CU6" i="4" a="1"/>
  <c r="EF13" i="4" a="1"/>
  <c r="EE11" i="4" a="1"/>
  <c r="BB16" i="4" a="1"/>
  <c r="BJ9" i="4" a="1"/>
  <c r="EJ12" i="4" a="1"/>
  <c r="DA14" i="4" a="1"/>
  <c r="DY14" i="4" a="1"/>
  <c r="U12" i="4" a="1"/>
  <c r="K9" i="4" a="1"/>
  <c r="CG7" i="4" a="1"/>
  <c r="AB15" i="4" a="1"/>
  <c r="BP16" i="4" a="1"/>
  <c r="AH12" i="4" a="1"/>
  <c r="CM15" i="4" a="1"/>
  <c r="D12" i="4" a="1"/>
  <c r="CY8" i="4" a="1"/>
  <c r="AR16" i="4" a="1"/>
  <c r="M16" i="4" a="1"/>
  <c r="EI5" i="4" a="1"/>
  <c r="J12" i="4" a="1"/>
  <c r="U8" i="4" a="1"/>
  <c r="AC9" i="4" a="1"/>
  <c r="N11" i="4" a="1"/>
  <c r="CI11" i="4" a="1"/>
  <c r="S12" i="4" a="1"/>
  <c r="CP7" i="4" a="1"/>
  <c r="DW13" i="4" a="1"/>
  <c r="DJ8" i="4" a="1"/>
  <c r="AK16" i="4" a="1"/>
  <c r="EE13" i="4" a="1"/>
  <c r="EK14" i="4" a="1"/>
  <c r="CV15" i="4" a="1"/>
  <c r="BH9" i="4" a="1"/>
  <c r="BE13" i="4" a="1"/>
  <c r="AA14" i="4" a="1"/>
  <c r="DH5" i="4" a="1"/>
  <c r="CA16" i="4" a="1"/>
  <c r="L14" i="4" a="1"/>
  <c r="AD15" i="4" a="1"/>
  <c r="M8" i="4" a="1"/>
  <c r="CN6" i="4" a="1"/>
  <c r="BR8" i="4" a="1"/>
  <c r="AG8" i="4" a="1"/>
  <c r="AX7" i="4" a="1"/>
  <c r="BM11" i="4" a="1"/>
  <c r="AP6" i="4" a="1"/>
  <c r="DJ13" i="4" a="1"/>
  <c r="O16" i="4" a="1"/>
  <c r="CJ16" i="4" a="1"/>
  <c r="EA12" i="4" a="1"/>
  <c r="AO16" i="4" a="1"/>
  <c r="BQ12" i="4" a="1"/>
  <c r="CU13" i="4" a="1"/>
  <c r="BY6" i="4" a="1"/>
  <c r="CW15" i="4" a="1"/>
  <c r="I6" i="4" a="1"/>
  <c r="DK12" i="4" a="1"/>
  <c r="CP11" i="4" a="1"/>
  <c r="EE7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T11" i="4" a="1"/>
  <c r="EI7" i="4" a="1"/>
  <c r="CZ14" i="4" a="1"/>
  <c r="CS9" i="4" a="1"/>
  <c r="EJ9" i="4" a="1"/>
  <c r="H13" i="4" a="1"/>
  <c r="DF8" i="4" a="1"/>
  <c r="CQ9" i="4" a="1"/>
  <c r="BB6" i="4" a="1"/>
  <c r="AX16" i="4" a="1"/>
  <c r="AK12" i="4" a="1"/>
  <c r="DP7" i="4" a="1"/>
  <c r="CH15" i="4" a="1"/>
  <c r="BS13" i="4" a="1"/>
  <c r="EC9" i="4" a="1"/>
  <c r="F9" i="4" a="1"/>
  <c r="BZ13" i="4" a="1"/>
  <c r="BN9" i="4" a="1"/>
  <c r="EH8" i="4" a="1"/>
  <c r="DH13" i="4" a="1"/>
  <c r="EB15" i="4" a="1"/>
  <c r="AY14" i="4" a="1"/>
  <c r="S7" i="4" a="1"/>
  <c r="AH6" i="4" a="1"/>
  <c r="AG13" i="4" a="1"/>
  <c r="EH6" i="4" a="1"/>
  <c r="P13" i="4" a="1"/>
  <c r="BS5" i="4" a="1"/>
  <c r="AE5" i="4" a="1"/>
  <c r="AH11" i="4" a="1"/>
  <c r="EE5" i="4" a="1"/>
  <c r="CE15" i="4" a="1"/>
  <c r="AL14" i="4" a="1"/>
  <c r="DN11" i="4" a="1"/>
  <c r="DD16" i="4" a="1"/>
  <c r="BC12" i="4" a="1"/>
  <c r="BJ15" i="4" a="1"/>
  <c r="I15" i="4" a="1"/>
  <c r="M11" i="4" a="1"/>
  <c r="AG5" i="4" a="1"/>
  <c r="DA15" i="4" a="1"/>
  <c r="DE5" i="4" a="1"/>
  <c r="Q9" i="4" a="1"/>
  <c r="DV14" i="4" a="1"/>
  <c r="E33" i="3"/>
  <c r="BW6" i="4" a="1"/>
  <c r="DO11" i="4" a="1"/>
  <c r="CS13" i="4" a="1"/>
  <c r="G16" i="2"/>
  <c r="C18" i="2"/>
  <c r="AR12" i="3"/>
  <c r="D9" i="3"/>
  <c r="E15" i="3"/>
  <c r="BN7" i="4" a="1"/>
  <c r="AG12" i="4" a="1"/>
  <c r="CT14" i="4" a="1"/>
  <c r="DF7" i="4" a="1"/>
  <c r="DE15" i="4" a="1"/>
  <c r="X8" i="4" a="1"/>
  <c r="Q5" i="4" a="1"/>
  <c r="CC16" i="4" a="1"/>
  <c r="BX5" i="4" a="1"/>
  <c r="BA7" i="4" a="1"/>
  <c r="U5" i="4" a="1"/>
  <c r="BL16" i="4" a="1"/>
  <c r="CK6" i="4" a="1"/>
  <c r="CW9" i="4" a="1"/>
  <c r="BC15" i="4" a="1"/>
  <c r="AA13" i="4" a="1"/>
  <c r="E9" i="4" a="1"/>
  <c r="AU5" i="4" a="1"/>
  <c r="DT11" i="4" a="1"/>
  <c r="AS5" i="4" a="1"/>
  <c r="DB12" i="4" a="1"/>
  <c r="BR6" i="4" a="1"/>
  <c r="CQ15" i="4" a="1"/>
  <c r="AZ5" i="4" a="1"/>
  <c r="CQ5" i="4" a="1"/>
  <c r="AW12" i="4" a="1"/>
  <c r="DZ13" i="4" a="1"/>
  <c r="CM14" i="4" a="1"/>
  <c r="EE15" i="4" a="1"/>
  <c r="BX6" i="4" a="1"/>
  <c r="DO15" i="4" a="1"/>
  <c r="DN8" i="4" a="1"/>
  <c r="DA13" i="4" a="1"/>
  <c r="CG5" i="4" a="1"/>
  <c r="BN8" i="4" a="1"/>
  <c r="BD14" i="4" a="1"/>
  <c r="W7" i="4" a="1"/>
  <c r="O12" i="4" a="1"/>
  <c r="BD9" i="4" a="1"/>
  <c r="EC5" i="4" a="1"/>
  <c r="AR7" i="4" a="1"/>
  <c r="CX8" i="4" a="1"/>
  <c r="AI6" i="4" a="1"/>
  <c r="BC7" i="4" a="1"/>
  <c r="EG8" i="4" a="1"/>
  <c r="BJ13" i="4" a="1"/>
  <c r="AD13" i="4" a="1"/>
  <c r="ED15" i="4" a="1"/>
  <c r="Z13" i="4" a="1"/>
  <c r="Q15" i="4" a="1"/>
  <c r="CR15" i="4" a="1"/>
  <c r="CB6" i="4" a="1"/>
  <c r="AU14" i="4" a="1"/>
  <c r="AM14" i="4" a="1"/>
  <c r="H9" i="4" a="1"/>
  <c r="BA13" i="4" a="1"/>
  <c r="BX15" i="4" a="1"/>
  <c r="BD8" i="4" a="1"/>
  <c r="R15" i="4" a="1"/>
  <c r="CG13" i="4" a="1"/>
  <c r="BC6" i="4" a="1"/>
  <c r="AQ11" i="4" a="1"/>
  <c r="CZ6" i="4" a="1"/>
  <c r="AD14" i="4" a="1"/>
  <c r="EG13" i="4" a="1"/>
  <c r="DR13" i="4" a="1"/>
  <c r="DI6" i="4" a="1"/>
  <c r="CM5" i="4" a="1"/>
  <c r="G5" i="4" a="1"/>
  <c r="BM7" i="4" a="1"/>
  <c r="DY13" i="4" a="1"/>
  <c r="CO12" i="4" a="1"/>
  <c r="AQ6" i="4" a="1"/>
  <c r="BQ6" i="4" a="1"/>
  <c r="BW14" i="4" a="1"/>
  <c r="AT12" i="4" a="1"/>
  <c r="BS9" i="4" a="1"/>
  <c r="ED12" i="4" a="1"/>
  <c r="CI6" i="4" a="1"/>
  <c r="DA6" i="4" a="1"/>
  <c r="CO11" i="4" a="1"/>
  <c r="BA16" i="4" a="1"/>
  <c r="CN7" i="4" a="1"/>
  <c r="BC8" i="4" a="1"/>
  <c r="DZ11" i="4" a="1"/>
  <c r="AJ9" i="4" a="1"/>
  <c r="AA6" i="4" a="1"/>
  <c r="CV14" i="4" a="1"/>
  <c r="DM16" i="4" a="1"/>
  <c r="EK16" i="4" a="1"/>
  <c r="AP13" i="4" a="1"/>
  <c r="W15" i="4" a="1"/>
  <c r="DS8" i="4" a="1"/>
  <c r="CM11" i="4" a="1"/>
  <c r="CY9" i="4" a="1"/>
  <c r="DK9" i="4" a="1"/>
  <c r="EG9" i="4" a="1"/>
  <c r="O14" i="4" a="1"/>
  <c r="CY5" i="4" a="1"/>
  <c r="CJ15" i="4" a="1"/>
  <c r="AS12" i="4" a="1"/>
  <c r="DP16" i="4" a="1"/>
  <c r="CB12" i="4" a="1"/>
  <c r="BL11" i="4" a="1"/>
  <c r="EA11" i="4" a="1"/>
  <c r="BN13" i="4" a="1"/>
  <c r="CS11" i="4" a="1"/>
  <c r="DJ15" i="4" a="1"/>
  <c r="BB13" i="4" a="1"/>
  <c r="DK13" i="4" a="1"/>
  <c r="CP12" i="4" a="1"/>
  <c r="AV8" i="4" a="1"/>
  <c r="CZ8" i="4" a="1"/>
  <c r="CA11" i="4" a="1"/>
  <c r="BJ7" i="4" a="1"/>
  <c r="AC5" i="4" a="1"/>
  <c r="D16" i="4" a="1"/>
  <c r="CJ6" i="4" a="1"/>
  <c r="CR7" i="4" a="1"/>
  <c r="AA15" i="4" a="1"/>
  <c r="J11" i="4" a="1"/>
  <c r="CU15" i="4" a="1"/>
  <c r="O15" i="2"/>
  <c r="Q59" i="2"/>
  <c r="T46" i="3"/>
  <c r="F11" i="3"/>
  <c r="D31" i="3"/>
  <c r="F12" i="4" a="1"/>
  <c r="DF15" i="4" a="1"/>
  <c r="BG8" i="4" a="1"/>
  <c r="M5" i="4" a="1"/>
  <c r="P9" i="4" a="1"/>
  <c r="DP11" i="4" a="1"/>
  <c r="AI8" i="4" a="1"/>
  <c r="DV15" i="4" a="1"/>
  <c r="AE12" i="4" a="1"/>
  <c r="CJ11" i="4" a="1"/>
  <c r="CS7" i="4" a="1"/>
  <c r="AC6" i="4" a="1"/>
  <c r="AT6" i="4" a="1"/>
  <c r="BY14" i="4" a="1"/>
  <c r="CD6" i="4" a="1"/>
  <c r="CK5" i="4" a="1"/>
  <c r="AS9" i="4" a="1"/>
  <c r="DB7" i="4" a="1"/>
  <c r="AX13" i="4" a="1"/>
  <c r="AR9" i="4" a="1"/>
  <c r="DG7" i="4" a="1"/>
  <c r="CI12" i="4" a="1"/>
  <c r="Y11" i="4" a="1"/>
  <c r="N7" i="4" a="1"/>
  <c r="CV13" i="4" a="1"/>
  <c r="Y7" i="4" a="1"/>
  <c r="I8" i="4" a="1"/>
  <c r="BP14" i="4" a="1"/>
  <c r="BW13" i="4" a="1"/>
  <c r="CO5" i="4" a="1"/>
  <c r="BQ16" i="4" a="1"/>
  <c r="AJ8" i="4" a="1"/>
  <c r="CD14" i="4" a="1"/>
  <c r="AT13" i="4" a="1"/>
  <c r="DU6" i="4" a="1"/>
  <c r="DS16" i="4" a="1"/>
  <c r="EB11" i="4" a="1"/>
  <c r="DQ6" i="4" a="1"/>
  <c r="CX5" i="4" a="1"/>
  <c r="M13" i="4" a="1"/>
  <c r="AW9" i="4" a="1"/>
  <c r="H16" i="4" a="1"/>
  <c r="CC7" i="4" a="1"/>
  <c r="CZ11" i="4" a="1"/>
  <c r="AS16" i="4" a="1"/>
  <c r="EB12" i="4" a="1"/>
  <c r="AU8" i="4" a="1"/>
  <c r="CW16" i="4" a="1"/>
  <c r="F5" i="4" a="1"/>
  <c r="EE9" i="4" a="1"/>
  <c r="AR14" i="4" a="1"/>
  <c r="CE9" i="4" a="1"/>
  <c r="DV11" i="4" a="1"/>
  <c r="BR16" i="4" a="1"/>
  <c r="DU15" i="4" a="1"/>
  <c r="BL5" i="4" a="1"/>
  <c r="EK6" i="4" a="1"/>
  <c r="CE16" i="4" a="1"/>
  <c r="AO15" i="4" a="1"/>
  <c r="CQ16" i="4" a="1"/>
  <c r="AM15" i="4" a="1"/>
  <c r="BK14" i="4" a="1"/>
  <c r="CM9" i="4" a="1"/>
  <c r="M9" i="4" a="1"/>
  <c r="T13" i="4" a="1"/>
  <c r="AZ16" i="4" a="1"/>
  <c r="CP16" i="4" a="1"/>
  <c r="BQ14" i="4" a="1"/>
  <c r="T14" i="4" a="1"/>
  <c r="AJ15" i="4" a="1"/>
  <c r="DO7" i="4" a="1"/>
  <c r="DT8" i="4" a="1"/>
  <c r="BM15" i="4" a="1"/>
  <c r="DX9" i="4" a="1"/>
  <c r="DR8" i="4" a="1"/>
  <c r="Q30" i="2"/>
  <c r="Q36" i="2"/>
  <c r="E14" i="3"/>
  <c r="P45" i="3"/>
  <c r="AR23" i="3"/>
  <c r="EJ5" i="4" a="1"/>
  <c r="DB14" i="4" a="1"/>
  <c r="DI14" i="4" a="1"/>
  <c r="CV9" i="4" a="1"/>
  <c r="M14" i="4" a="1"/>
  <c r="AB9" i="4" a="1"/>
  <c r="DP12" i="4" a="1"/>
  <c r="BG11" i="4" a="1"/>
  <c r="DO6" i="4" a="1"/>
  <c r="DC15" i="4" a="1"/>
  <c r="DJ6" i="4" a="1"/>
  <c r="BI9" i="4" a="1"/>
  <c r="BG7" i="4" a="1"/>
  <c r="DM13" i="4" a="1"/>
  <c r="BQ11" i="4" a="1"/>
  <c r="AJ5" i="4" a="1"/>
  <c r="AL13" i="4" a="1"/>
  <c r="Y12" i="4" a="1"/>
  <c r="CD15" i="4" a="1"/>
  <c r="AP7" i="4" a="1"/>
  <c r="DF14" i="4" a="1"/>
  <c r="CF11" i="4" a="1"/>
  <c r="BR11" i="4" a="1"/>
  <c r="CP15" i="4" a="1"/>
  <c r="AX9" i="4" a="1"/>
  <c r="BP9" i="4" a="1"/>
  <c r="AZ13" i="4" a="1"/>
  <c r="V9" i="4" a="1"/>
  <c r="BK9" i="4" a="1"/>
  <c r="DT13" i="4" a="1"/>
  <c r="H5" i="4" a="1"/>
  <c r="AA8" i="4" a="1"/>
  <c r="DF9" i="4" a="1"/>
  <c r="EH9" i="4" a="1"/>
  <c r="P5" i="4" a="1"/>
  <c r="EE8" i="4" a="1"/>
  <c r="EJ6" i="4" a="1"/>
  <c r="CD7" i="4" a="1"/>
  <c r="BL14" i="4" a="1"/>
  <c r="Y9" i="4" a="1"/>
  <c r="BZ12" i="4" a="1"/>
  <c r="Y14" i="4" a="1"/>
  <c r="DZ8" i="4" a="1"/>
  <c r="Z6" i="4" a="1"/>
  <c r="EK7" i="4" a="1"/>
  <c r="BM12" i="4" a="1"/>
  <c r="BG13" i="4" a="1"/>
  <c r="CR11" i="4" a="1"/>
  <c r="R12" i="4" a="1"/>
  <c r="AM13" i="4" a="1"/>
  <c r="CK7" i="4" a="1"/>
  <c r="AY15" i="4" a="1"/>
  <c r="DD7" i="4" a="1"/>
  <c r="DI11" i="4" a="1"/>
  <c r="ED13" i="4" a="1"/>
  <c r="L15" i="4" a="1"/>
  <c r="BP6" i="4" a="1"/>
  <c r="S16" i="4" a="1"/>
  <c r="DI12" i="4" a="1"/>
  <c r="BI12" i="4" a="1"/>
  <c r="Q6" i="4" a="1"/>
  <c r="BW9" i="4" a="1"/>
  <c r="BD7" i="4" a="1"/>
  <c r="BO11" i="4" a="1"/>
  <c r="DL8" i="4" a="1"/>
  <c r="E11" i="4" a="1"/>
  <c r="Z11" i="4" a="1"/>
  <c r="AT7" i="4" a="1"/>
  <c r="W14" i="4" a="1"/>
  <c r="DP13" i="4" a="1"/>
  <c r="DQ14" i="4" a="1"/>
  <c r="H12" i="4" a="1"/>
  <c r="S5" i="4" a="1"/>
  <c r="CK8" i="4" a="1"/>
  <c r="BX7" i="4" a="1"/>
  <c r="EH15" i="4" a="1"/>
  <c r="CY11" i="4" a="1"/>
  <c r="EJ15" i="4" a="1"/>
  <c r="BI11" i="4" a="1"/>
  <c r="S6" i="4" a="1"/>
  <c r="DM7" i="4" a="1"/>
  <c r="BI13" i="4" a="1"/>
  <c r="BH7" i="4" a="1"/>
  <c r="DX5" i="4" a="1"/>
  <c r="DZ9" i="4" a="1"/>
  <c r="CG6" i="4" a="1"/>
  <c r="DA9" i="4" a="1"/>
  <c r="AV6" i="4" a="1"/>
  <c r="O15" i="4" a="1"/>
  <c r="CW8" i="4" a="1"/>
  <c r="DM5" i="4" a="1"/>
  <c r="C7" i="4" a="1"/>
  <c r="BG12" i="4" a="1"/>
  <c r="CE13" i="4" a="1"/>
  <c r="BA14" i="4" a="1"/>
  <c r="CH16" i="4" a="1"/>
  <c r="CH11" i="4" a="1"/>
  <c r="BB7" i="4" a="1"/>
  <c r="AT11" i="4" a="1"/>
  <c r="DB11" i="4" a="1"/>
  <c r="O12" i="2"/>
  <c r="F8" i="2"/>
  <c r="I46" i="3"/>
  <c r="AR45" i="3"/>
  <c r="D35" i="3"/>
  <c r="AG7" i="4" a="1"/>
  <c r="DR16" i="4" a="1"/>
  <c r="CG12" i="4" a="1"/>
  <c r="AE16" i="4" a="1"/>
  <c r="BI6" i="4" a="1"/>
  <c r="AC8" i="4" a="1"/>
  <c r="CZ15" i="4" a="1"/>
  <c r="EH7" i="4" a="1"/>
  <c r="DG9" i="4" a="1"/>
  <c r="AX14" i="4" a="1"/>
  <c r="CQ7" i="4" a="1"/>
  <c r="AP5" i="4" a="1"/>
  <c r="S9" i="4" a="1"/>
  <c r="R9" i="4" a="1"/>
  <c r="AQ14" i="4" a="1"/>
  <c r="Q7" i="4" a="1"/>
  <c r="AB8" i="4" a="1"/>
  <c r="BG9" i="4" a="1"/>
  <c r="AG6" i="4" a="1"/>
  <c r="Q11" i="4" a="1"/>
  <c r="DV13" i="4" a="1"/>
  <c r="G7" i="3"/>
  <c r="AN13" i="4" a="1"/>
  <c r="DC16" i="4" a="1"/>
  <c r="AB14" i="4" a="1"/>
  <c r="AD6" i="4" a="1"/>
  <c r="DX16" i="4" a="1"/>
  <c r="L8" i="4" a="1"/>
  <c r="K23" i="2"/>
  <c r="R11" i="2"/>
  <c r="D21" i="3"/>
  <c r="E31" i="3"/>
  <c r="R45" i="3"/>
  <c r="CF7" i="4" a="1"/>
  <c r="AI11" i="4" a="1"/>
  <c r="BA5" i="4" a="1"/>
  <c r="DC12" i="4" a="1"/>
  <c r="BI5" i="4" a="1"/>
  <c r="EB8" i="4" a="1"/>
  <c r="CM7" i="4" a="1"/>
  <c r="EG6" i="4" a="1"/>
  <c r="AI5" i="4" a="1"/>
  <c r="I13" i="4" a="1"/>
  <c r="DG14" i="4" a="1"/>
  <c r="L6" i="4" a="1"/>
  <c r="AD16" i="4" a="1"/>
  <c r="U14" i="4" a="1"/>
  <c r="DW5" i="4" a="1"/>
  <c r="I7" i="4" a="1"/>
  <c r="AG14" i="4" a="1"/>
  <c r="BU14" i="4" a="1"/>
  <c r="AX15" i="4" a="1"/>
  <c r="CI8" i="4" a="1"/>
  <c r="AS8" i="4" a="1"/>
  <c r="CR6" i="4" a="1"/>
  <c r="T9" i="4" a="1"/>
  <c r="G6" i="4" a="1"/>
  <c r="CN12" i="4" a="1"/>
  <c r="AE11" i="4" a="1"/>
  <c r="CS6" i="4" a="1"/>
  <c r="AF13" i="4" a="1"/>
  <c r="DY5" i="4" a="1"/>
  <c r="X14" i="4" a="1"/>
  <c r="DU16" i="4" a="1"/>
  <c r="CC6" i="4" a="1"/>
  <c r="AA7" i="4" a="1"/>
  <c r="CO16" i="4" a="1"/>
  <c r="DK6" i="4" a="1"/>
  <c r="P12" i="4" a="1"/>
  <c r="CX16" i="4" a="1"/>
  <c r="EC13" i="4" a="1"/>
  <c r="DV8" i="4" a="1"/>
  <c r="BF5" i="4" a="1"/>
  <c r="DI15" i="4" a="1"/>
  <c r="BX14" i="4" a="1"/>
  <c r="DN7" i="4" a="1"/>
  <c r="EK9" i="4" a="1"/>
  <c r="BN12" i="4" a="1"/>
  <c r="DH7" i="4" a="1"/>
  <c r="CS16" i="4" a="1"/>
  <c r="ED8" i="4" a="1"/>
  <c r="AU9" i="4" a="1"/>
  <c r="BO7" i="4" a="1"/>
  <c r="S8" i="4" a="1"/>
  <c r="DM9" i="4" a="1"/>
  <c r="AF5" i="4" a="1"/>
  <c r="AU6" i="4" a="1"/>
  <c r="DS15" i="4" a="1"/>
  <c r="EF12" i="4" a="1"/>
  <c r="AM16" i="4" a="1"/>
  <c r="CL14" i="4" a="1"/>
  <c r="DE7" i="4" a="1"/>
  <c r="Z14" i="4" a="1"/>
  <c r="AN14" i="4" a="1"/>
  <c r="EB14" i="4" a="1"/>
  <c r="K11" i="4" a="1"/>
  <c r="W16" i="4" a="1"/>
  <c r="EK11" i="4" a="1"/>
  <c r="BO6" i="4" a="1"/>
  <c r="AC7" i="4" a="1"/>
  <c r="AI12" i="4" a="1"/>
  <c r="AV13" i="4" a="1"/>
  <c r="AJ6" i="4" a="1"/>
  <c r="CH9" i="4" a="1"/>
  <c r="D5" i="4" a="1"/>
  <c r="AH14" i="4" a="1"/>
  <c r="DR9" i="4" a="1"/>
  <c r="CW6" i="4" a="1"/>
  <c r="CP5" i="4" a="1"/>
  <c r="BN5" i="4" a="1"/>
  <c r="AH16" i="4" a="1"/>
  <c r="AP8" i="4" a="1"/>
  <c r="S13" i="4" a="1"/>
  <c r="CK12" i="4" a="1"/>
  <c r="BU5" i="4" a="1"/>
  <c r="BN14" i="4" a="1"/>
  <c r="G13" i="4" a="1"/>
  <c r="M15" i="4" a="1"/>
  <c r="AM12" i="4" a="1"/>
  <c r="DE6" i="4" a="1"/>
  <c r="DH16" i="4" a="1"/>
  <c r="P15" i="4" a="1"/>
  <c r="BG14" i="4" a="1"/>
  <c r="DE13" i="4" a="1"/>
  <c r="AJ11" i="4" a="1"/>
  <c r="EJ11" i="4" a="1"/>
  <c r="AL11" i="4" a="1"/>
  <c r="AW6" i="4" a="1"/>
  <c r="BV12" i="4" a="1"/>
  <c r="F5" i="3"/>
  <c r="O11" i="4" a="1"/>
  <c r="BP15" i="4" a="1"/>
  <c r="AL16" i="4" a="1"/>
  <c r="N7" i="2"/>
  <c r="BU8" i="4" a="1"/>
  <c r="CV12" i="4" a="1"/>
  <c r="AK15" i="4" a="1"/>
  <c r="BM5" i="4" a="1"/>
  <c r="DB13" i="4" a="1"/>
  <c r="EF6" i="4" a="1"/>
  <c r="DT5" i="4" a="1"/>
  <c r="EF8" i="4" a="1"/>
  <c r="DY6" i="4" a="1"/>
  <c r="R23" i="2"/>
  <c r="S10" i="2"/>
  <c r="AR11" i="3"/>
  <c r="AD12" i="3"/>
  <c r="AR16" i="3"/>
  <c r="J9" i="4" a="1"/>
  <c r="BL9" i="4" a="1"/>
  <c r="EE14" i="4" a="1"/>
  <c r="AO11" i="4" a="1"/>
  <c r="C8" i="4" a="1"/>
  <c r="AH5" i="4" a="1"/>
  <c r="ED6" i="4" a="1"/>
  <c r="AM6" i="4" a="1"/>
  <c r="T12" i="4" a="1"/>
  <c r="AN11" i="4" a="1"/>
  <c r="BM13" i="4" a="1"/>
  <c r="DO9" i="4" a="1"/>
  <c r="CL12" i="4" a="1"/>
  <c r="AT15" i="4" a="1"/>
  <c r="AA16" i="4" a="1"/>
  <c r="BW12" i="4" a="1"/>
  <c r="D11" i="4" a="1"/>
  <c r="J14" i="4" a="1"/>
  <c r="CD9" i="4" a="1"/>
  <c r="CP9" i="4" a="1"/>
  <c r="DV6" i="4" a="1"/>
  <c r="L11" i="4" a="1"/>
  <c r="DX12" i="4" a="1"/>
  <c r="BC14" i="4" a="1"/>
  <c r="CF8" i="4" a="1"/>
  <c r="AH9" i="4" a="1"/>
  <c r="EC14" i="4" a="1"/>
  <c r="DA12" i="4" a="1"/>
  <c r="BR14" i="4" a="1"/>
  <c r="CQ12" i="4" a="1"/>
  <c r="AE9" i="4" a="1"/>
  <c r="ED7" i="4" a="1"/>
  <c r="DM8" i="4" a="1"/>
  <c r="E13" i="4" a="1"/>
  <c r="Q8" i="4" a="1"/>
  <c r="X11" i="4" a="1"/>
  <c r="AW13" i="4" a="1"/>
  <c r="DL7" i="4" a="1"/>
  <c r="CX12" i="4" a="1"/>
  <c r="C14" i="4" a="1"/>
  <c r="AR15" i="4" a="1"/>
  <c r="AQ8" i="4" a="1"/>
  <c r="N15" i="4" a="1"/>
  <c r="DJ5" i="4" a="1"/>
  <c r="DV12" i="4" a="1"/>
  <c r="AM8" i="4" a="1"/>
  <c r="DY7" i="4" a="1"/>
  <c r="DS9" i="4" a="1"/>
  <c r="BF16" i="4" a="1"/>
  <c r="AF14" i="4" a="1"/>
  <c r="EF16" i="4" a="1"/>
  <c r="BW8" i="4" a="1"/>
  <c r="CB16" i="4" a="1"/>
  <c r="DW9" i="4" a="1"/>
  <c r="AO8" i="4" a="1"/>
  <c r="BD13" i="4" a="1"/>
  <c r="CO8" i="4" a="1"/>
  <c r="EB7" i="4" a="1"/>
  <c r="DB15" i="4" a="1"/>
  <c r="AN16" i="4" a="1"/>
  <c r="AM9" i="4" a="1"/>
  <c r="BX11" i="4" a="1"/>
  <c r="EC6" i="4" a="1"/>
  <c r="K13" i="4" a="1"/>
  <c r="BI8" i="4" a="1"/>
  <c r="DH11" i="4" a="1"/>
  <c r="EB9" i="4" a="1"/>
  <c r="BK16" i="4" a="1"/>
  <c r="CG15" i="4" a="1"/>
  <c r="U13" i="4" a="1"/>
  <c r="DS11" i="4" a="1"/>
  <c r="DW16" i="4" a="1"/>
  <c r="DS14" i="4" a="1"/>
  <c r="BI15" i="4" a="1"/>
  <c r="AO7" i="4" a="1"/>
  <c r="G7" i="4" a="1"/>
  <c r="CO15" i="4" a="1"/>
  <c r="CJ14" i="4" a="1"/>
  <c r="DB6" i="4" a="1"/>
  <c r="CU14" i="4" a="1"/>
  <c r="M12" i="4" a="1"/>
  <c r="G8" i="4" a="1"/>
  <c r="BT12" i="4" a="1"/>
  <c r="BU11" i="4" a="1"/>
  <c r="EB13" i="4" a="1"/>
  <c r="CC9" i="4" a="1"/>
  <c r="G16" i="4" a="1"/>
  <c r="CY7" i="4" a="1"/>
  <c r="DZ5" i="4" a="1"/>
  <c r="AF6" i="4" a="1"/>
  <c r="BT11" i="4" a="1"/>
  <c r="DW12" i="4" a="1"/>
  <c r="AX5" i="4" a="1"/>
  <c r="DK8" i="4" a="1"/>
  <c r="CC12" i="4" a="1"/>
  <c r="E5" i="4" a="1"/>
  <c r="DG6" i="4" a="1"/>
  <c r="N8" i="4" a="1"/>
  <c r="AM46" i="3"/>
  <c r="BQ8" i="4" a="1"/>
  <c r="CJ13" i="4" a="1"/>
  <c r="DF12" i="4" a="1"/>
  <c r="DP8" i="4" a="1"/>
  <c r="DJ16" i="4" a="1"/>
  <c r="EF7" i="4" a="1"/>
  <c r="S9" i="2"/>
  <c r="I11" i="2"/>
  <c r="R46" i="3"/>
  <c r="N46" i="3"/>
  <c r="AD11" i="3"/>
  <c r="CT11" i="4" a="1"/>
  <c r="DP14" i="4" a="1"/>
  <c r="CA15" i="4" a="1"/>
  <c r="CO9" i="4" a="1"/>
  <c r="BO12" i="4" a="1"/>
  <c r="BI7" i="4" a="1"/>
  <c r="BU13" i="4" a="1"/>
  <c r="DE16" i="4" a="1"/>
  <c r="BZ11" i="4" a="1"/>
  <c r="CC13" i="4" a="1"/>
  <c r="X9" i="4" a="1"/>
  <c r="V6" i="4" a="1"/>
  <c r="BE5" i="4" a="1"/>
  <c r="AR13" i="4" a="1"/>
  <c r="BV9" i="4" a="1"/>
  <c r="U11" i="4" a="1"/>
  <c r="CI16" i="4" a="1"/>
  <c r="EB5" i="4" a="1"/>
  <c r="BB11" i="4" a="1"/>
  <c r="AZ9" i="4" a="1"/>
  <c r="DO8" i="4" a="1"/>
  <c r="AB16" i="4" a="1"/>
  <c r="AQ7" i="4" a="1"/>
  <c r="BB5" i="4" a="1"/>
  <c r="BE9" i="4" a="1"/>
  <c r="BZ7" i="4" a="1"/>
  <c r="J13" i="4" a="1"/>
  <c r="BL7" i="4" a="1"/>
  <c r="BB12" i="4" a="1"/>
  <c r="CR12" i="4" a="1"/>
  <c r="BH8" i="4" a="1"/>
  <c r="F14" i="4" a="1"/>
  <c r="CE14" i="4" a="1"/>
  <c r="DO13" i="4" a="1"/>
  <c r="CA7" i="4" a="1"/>
  <c r="CT16" i="4" a="1"/>
  <c r="BH13" i="4" a="1"/>
  <c r="DU14" i="4" a="1"/>
  <c r="H11" i="4" a="1"/>
  <c r="BA12" i="4" a="1"/>
  <c r="BS8" i="4" a="1"/>
  <c r="DA5" i="4" a="1"/>
  <c r="DE9" i="4" a="1"/>
  <c r="EJ14" i="4" a="1"/>
  <c r="DF11" i="4" a="1"/>
  <c r="CT7" i="4" a="1"/>
  <c r="M6" i="4" a="1"/>
  <c r="AW5" i="4" a="1"/>
  <c r="CU16" i="4" a="1"/>
  <c r="DB9" i="4" a="1"/>
  <c r="Z12" i="4" a="1"/>
  <c r="BW7" i="4" a="1"/>
  <c r="E12" i="4" a="1"/>
  <c r="BZ6" i="4" a="1"/>
  <c r="BT6" i="4" a="1"/>
  <c r="DM14" i="4" a="1"/>
  <c r="DK15" i="4" a="1"/>
  <c r="AE14" i="4" a="1"/>
  <c r="K16" i="2"/>
  <c r="M6" i="2"/>
  <c r="AR25" i="3"/>
  <c r="AR8" i="3"/>
  <c r="DT7" i="4" a="1"/>
  <c r="BU12" i="4" a="1"/>
  <c r="DF5" i="4" a="1"/>
  <c r="BE12" i="4" a="1"/>
  <c r="CV6" i="4" a="1"/>
  <c r="DL13" i="4" a="1"/>
  <c r="DQ11" i="4" a="1"/>
  <c r="DS6" i="4" a="1"/>
  <c r="W12" i="4" a="1"/>
  <c r="DQ5" i="4" a="1"/>
  <c r="AY11" i="4" a="1"/>
  <c r="H6" i="4" a="1"/>
  <c r="AA11" i="4" a="1"/>
  <c r="AR8" i="4" a="1"/>
  <c r="BJ6" i="4" a="1"/>
  <c r="CG14" i="4" a="1"/>
  <c r="BX12" i="4" a="1"/>
  <c r="EB6" i="4" a="1"/>
  <c r="DO16" i="4" a="1"/>
  <c r="AQ5" i="4" a="1"/>
  <c r="F7" i="4" a="1"/>
  <c r="BG15" i="4" a="1"/>
  <c r="CK13" i="4" a="1"/>
  <c r="CR16" i="4" a="1"/>
  <c r="BT5" i="4" a="1"/>
  <c r="DC11" i="4" a="1"/>
  <c r="BJ14" i="4" a="1"/>
  <c r="H14" i="4" a="1"/>
  <c r="AE13" i="4" a="1"/>
  <c r="BX13" i="4" a="1"/>
  <c r="AY16" i="4" a="1"/>
  <c r="DR7" i="4" a="1"/>
  <c r="DI5" i="4" a="1"/>
  <c r="I9" i="4" a="1"/>
  <c r="Z9" i="4" a="1"/>
  <c r="BG6" i="4" a="1"/>
  <c r="U15" i="4" a="1"/>
  <c r="DT14" i="4" a="1"/>
  <c r="CC5" i="4" a="1"/>
  <c r="U7" i="4" a="1"/>
  <c r="BV6" i="4" a="1"/>
  <c r="EF9" i="4" a="1"/>
  <c r="AW8" i="4" a="1"/>
  <c r="E15" i="4" a="1"/>
  <c r="CJ7" i="4" a="1"/>
  <c r="BH15" i="4" a="1"/>
  <c r="AB7" i="4" a="1"/>
  <c r="DY9" i="4" a="1"/>
  <c r="CL8" i="4" a="1"/>
  <c r="CA14" i="4" a="1"/>
  <c r="CI9" i="4" a="1"/>
  <c r="CE12" i="4" a="1"/>
  <c r="CU11" i="4" a="1"/>
  <c r="BU15" i="4" a="1"/>
  <c r="DN13" i="4" a="1"/>
  <c r="BK7" i="4" a="1"/>
  <c r="AR27" i="3"/>
  <c r="BP8" i="4" a="1"/>
  <c r="DN15" i="4" a="1"/>
  <c r="CD11" i="4" a="1"/>
  <c r="O9" i="4" a="1"/>
  <c r="CB8" i="4" a="1"/>
  <c r="DU13" i="4" a="1"/>
  <c r="H8" i="4" a="1"/>
  <c r="CC15" i="4" a="1"/>
  <c r="DT15" i="4" a="1"/>
  <c r="AR28" i="3"/>
  <c r="DA8" i="4" a="1"/>
  <c r="CK11" i="4" a="1"/>
  <c r="AU16" i="4" a="1"/>
  <c r="CW12" i="4" a="1"/>
  <c r="P6" i="2"/>
  <c r="E22" i="2"/>
  <c r="V46" i="3"/>
  <c r="F16" i="3"/>
  <c r="X13" i="4" a="1"/>
  <c r="E14" i="4" a="1"/>
  <c r="BG5" i="4" a="1"/>
  <c r="M7" i="4" a="1"/>
  <c r="AC15" i="4" a="1"/>
  <c r="AL5" i="4" a="1"/>
  <c r="V5" i="4" a="1"/>
  <c r="CH8" i="4" a="1"/>
  <c r="AD12" i="4" a="1"/>
  <c r="CH14" i="4" a="1"/>
  <c r="EJ13" i="4" a="1"/>
  <c r="EE16" i="4" a="1"/>
  <c r="EF15" i="4" a="1"/>
  <c r="AB5" i="4" a="1"/>
  <c r="DH6" i="4" a="1"/>
  <c r="T6" i="4" a="1"/>
  <c r="BO16" i="4" a="1"/>
  <c r="DW14" i="4" a="1"/>
  <c r="AN15" i="4" a="1"/>
  <c r="BB15" i="4" a="1"/>
  <c r="EA9" i="4" a="1"/>
  <c r="CL6" i="4" a="1"/>
  <c r="BO15" i="4" a="1"/>
  <c r="CV5" i="4" a="1"/>
  <c r="EA6" i="4" a="1"/>
  <c r="C13" i="4" a="1"/>
  <c r="DD6" i="4" a="1"/>
  <c r="ED11" i="4" a="1"/>
  <c r="AV12" i="4" a="1"/>
  <c r="DJ9" i="4" a="1"/>
  <c r="CU5" i="4" a="1"/>
  <c r="DJ7" i="4" a="1"/>
  <c r="H15" i="4" a="1"/>
  <c r="EA14" i="4" a="1"/>
  <c r="DX14" i="4" a="1"/>
  <c r="CW11" i="4" a="1"/>
  <c r="N6" i="4" a="1"/>
  <c r="DX15" i="4" a="1"/>
  <c r="DD11" i="4" a="1"/>
  <c r="J15" i="4" a="1"/>
  <c r="CV11" i="4" a="1"/>
  <c r="AT16" i="4" a="1"/>
  <c r="BG16" i="4" a="1"/>
  <c r="AW11" i="4" a="1"/>
  <c r="AX12" i="4" a="1"/>
  <c r="CK9" i="4" a="1"/>
  <c r="EI8" i="4" a="1"/>
  <c r="DQ12" i="4" a="1"/>
  <c r="S14" i="4" a="1"/>
  <c r="CX9" i="4" a="1"/>
  <c r="AN5" i="4" a="1"/>
  <c r="CU12" i="4" a="1"/>
  <c r="DW11" i="4" a="1"/>
  <c r="CV16" i="4" a="1"/>
  <c r="DZ15" i="4" a="1"/>
  <c r="EH11" i="4" a="1"/>
  <c r="DD14" i="4" a="1"/>
  <c r="AN6" i="4" a="1"/>
  <c r="AO6" i="4" a="1"/>
  <c r="CX11" i="4" a="1"/>
  <c r="CK16" i="4" a="1"/>
  <c r="L12" i="4" a="1"/>
  <c r="Y13" i="4" a="1"/>
  <c r="EK13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T19" i="2"/>
  <c r="G9" i="4" a="1"/>
  <c r="CD13" i="4" a="1"/>
  <c r="DI9" i="4" a="1"/>
  <c r="CL7" i="4" a="1"/>
  <c r="BF6" i="4" a="1"/>
  <c r="EJ8" i="4" a="1"/>
  <c r="BL6" i="4" a="1"/>
  <c r="DT12" i="4" a="1"/>
  <c r="BW16" i="4" a="1"/>
  <c r="BQ13" i="4" a="1"/>
  <c r="G15" i="4" a="1"/>
  <c r="EH12" i="4" a="1"/>
  <c r="BH11" i="4" a="1"/>
  <c r="J6" i="4" a="1"/>
  <c r="BF8" i="4" a="1"/>
  <c r="N5" i="4" a="1"/>
  <c r="BW5" i="4" a="1"/>
  <c r="CA13" i="4" a="1"/>
  <c r="AF15" i="4" a="1"/>
  <c r="DJ12" i="4" a="1"/>
  <c r="K5" i="4" a="1"/>
  <c r="DK11" i="4" a="1"/>
  <c r="EH14" i="4" a="1"/>
  <c r="AE8" i="4" a="1"/>
  <c r="DW8" i="4" a="1"/>
  <c r="BY12" i="4" a="1"/>
  <c r="E80" i="3"/>
  <c r="AD60" i="3"/>
  <c r="AD67" i="3"/>
  <c r="F83" i="3"/>
  <c r="G71" i="3"/>
  <c r="E83" i="3"/>
  <c r="D72" i="3"/>
  <c r="D95" i="3"/>
  <c r="F88" i="3"/>
  <c r="E81" i="3"/>
  <c r="D83" i="3"/>
  <c r="AD54" i="3"/>
  <c r="G82" i="3"/>
  <c r="D75" i="3"/>
  <c r="G72" i="3"/>
  <c r="F74" i="3"/>
  <c r="D89" i="3"/>
  <c r="E73" i="3"/>
  <c r="AD81" i="3"/>
  <c r="D68" i="3"/>
  <c r="F69" i="3"/>
  <c r="D82" i="3"/>
  <c r="E97" i="3"/>
  <c r="D59" i="3"/>
  <c r="E66" i="3"/>
  <c r="AD91" i="3"/>
  <c r="AD82" i="3"/>
  <c r="D71" i="3"/>
  <c r="AD73" i="3"/>
  <c r="AD95" i="3"/>
  <c r="G69" i="3"/>
  <c r="D64" i="3"/>
  <c r="G96" i="3"/>
  <c r="AD56" i="3"/>
  <c r="AD66" i="3"/>
  <c r="E86" i="3"/>
  <c r="D74" i="3"/>
  <c r="F81" i="3"/>
  <c r="G91" i="3"/>
  <c r="E92" i="3"/>
  <c r="D85" i="3"/>
  <c r="AD70" i="3"/>
  <c r="E89" i="3"/>
  <c r="D56" i="3"/>
  <c r="D81" i="3"/>
  <c r="G57" i="3"/>
  <c r="E59" i="3"/>
  <c r="AD68" i="3"/>
  <c r="AD62" i="3"/>
  <c r="AD59" i="3"/>
  <c r="AD64" i="3"/>
  <c r="E88" i="3"/>
  <c r="E57" i="3"/>
  <c r="D73" i="3"/>
  <c r="AD65" i="3"/>
  <c r="E58" i="3"/>
  <c r="D54" i="3"/>
  <c r="D70" i="3"/>
  <c r="E72" i="3"/>
  <c r="E79" i="3"/>
  <c r="AD92" i="3"/>
  <c r="E64" i="3"/>
  <c r="D77" i="3"/>
  <c r="AD86" i="3"/>
  <c r="AD97" i="3"/>
  <c r="AD84" i="3"/>
  <c r="AD69" i="3"/>
  <c r="G75" i="3"/>
  <c r="E68" i="3"/>
  <c r="E94" i="3"/>
  <c r="AD85" i="3"/>
  <c r="G62" i="3"/>
  <c r="E71" i="3"/>
  <c r="D94" i="3"/>
  <c r="AD57" i="3"/>
  <c r="E85" i="3"/>
  <c r="AD63" i="3"/>
  <c r="G76" i="3"/>
  <c r="AD58" i="3"/>
  <c r="E93" i="3"/>
  <c r="D86" i="3"/>
  <c r="AD74" i="3"/>
  <c r="D76" i="3"/>
  <c r="E61" i="3"/>
  <c r="E77" i="3"/>
  <c r="AD71" i="3"/>
  <c r="E95" i="3"/>
  <c r="D92" i="3"/>
  <c r="E67" i="3"/>
  <c r="D93" i="3"/>
  <c r="AD72" i="3"/>
  <c r="E84" i="3"/>
  <c r="E74" i="3"/>
  <c r="D66" i="3"/>
  <c r="AD79" i="3"/>
  <c r="E82" i="3"/>
  <c r="G63" i="3"/>
  <c r="D88" i="3"/>
  <c r="E62" i="3"/>
  <c r="F93" i="3"/>
  <c r="G80" i="3"/>
  <c r="D63" i="3"/>
  <c r="AD61" i="3"/>
  <c r="E56" i="3"/>
  <c r="D91" i="3"/>
  <c r="AD93" i="3"/>
  <c r="E65" i="3"/>
  <c r="D79" i="3"/>
  <c r="AD55" i="3"/>
  <c r="E78" i="3"/>
  <c r="D96" i="3"/>
  <c r="D84" i="3"/>
  <c r="AD80" i="3"/>
  <c r="E70" i="3"/>
  <c r="D69" i="3"/>
  <c r="E55" i="3"/>
  <c r="E75" i="3"/>
  <c r="AD87" i="3"/>
  <c r="E96" i="3"/>
  <c r="D78" i="3"/>
  <c r="D55" i="3"/>
  <c r="G88" i="3"/>
  <c r="D62" i="3"/>
  <c r="E90" i="3"/>
  <c r="D90" i="3"/>
  <c r="G55" i="3"/>
  <c r="D61" i="3"/>
  <c r="AD76" i="3"/>
  <c r="G86" i="3"/>
  <c r="AD75" i="3"/>
  <c r="E54" i="3"/>
  <c r="E91" i="3"/>
  <c r="D87" i="3"/>
  <c r="G78" i="3"/>
  <c r="G60" i="3"/>
  <c r="AD77" i="3"/>
  <c r="D65" i="3"/>
  <c r="AD90" i="3"/>
  <c r="AD88" i="3"/>
  <c r="D80" i="3"/>
  <c r="F78" i="3"/>
  <c r="AD96" i="3"/>
  <c r="E60" i="3"/>
  <c r="D97" i="3"/>
  <c r="F71" i="3"/>
  <c r="D67" i="3"/>
  <c r="E69" i="3"/>
  <c r="D57" i="3"/>
  <c r="F79" i="3"/>
  <c r="G94" i="3"/>
  <c r="D58" i="3"/>
  <c r="E76" i="3"/>
  <c r="G61" i="3"/>
  <c r="AD94" i="3"/>
  <c r="AD89" i="3"/>
  <c r="AD83" i="3"/>
  <c r="E87" i="3"/>
  <c r="AD78" i="3"/>
  <c r="D60" i="3"/>
  <c r="G90" i="3"/>
  <c r="G58" i="3" l="1"/>
  <c r="G66" i="3"/>
  <c r="G89" i="3"/>
  <c r="F62" i="3"/>
  <c r="G56" i="3"/>
  <c r="G79" i="3"/>
  <c r="F80" i="3"/>
  <c r="G64" i="3"/>
  <c r="G93" i="3"/>
  <c r="G65" i="3"/>
  <c r="G81" i="3"/>
  <c r="G95" i="3"/>
  <c r="G87" i="3"/>
  <c r="G74" i="3"/>
  <c r="F82" i="3"/>
  <c r="G83" i="3"/>
  <c r="G67" i="3"/>
  <c r="G59" i="3"/>
  <c r="F86" i="3"/>
  <c r="G77" i="3"/>
  <c r="G73" i="3"/>
  <c r="G70" i="3"/>
  <c r="G97" i="3"/>
  <c r="G85" i="3"/>
  <c r="F65" i="3"/>
  <c r="G68" i="3"/>
  <c r="G54" i="3"/>
  <c r="G84" i="3"/>
  <c r="G92" i="3"/>
  <c r="F59" i="3"/>
  <c r="F60" i="3"/>
  <c r="F95" i="3"/>
  <c r="F77" i="3"/>
  <c r="F54" i="3"/>
  <c r="F84" i="3"/>
  <c r="F47" i="3"/>
  <c r="F91" i="3"/>
  <c r="F76" i="3"/>
  <c r="F48" i="3"/>
  <c r="F56" i="3"/>
  <c r="F50" i="3"/>
  <c r="F70" i="3"/>
  <c r="F97" i="3"/>
  <c r="F64" i="3"/>
  <c r="F55" i="3"/>
  <c r="F87" i="3"/>
  <c r="F96" i="3"/>
  <c r="F72" i="3"/>
  <c r="F68" i="3"/>
  <c r="F57" i="3"/>
  <c r="F61" i="3"/>
  <c r="F67" i="3"/>
  <c r="F94" i="3"/>
  <c r="F85" i="3"/>
  <c r="F89" i="3"/>
  <c r="F66" i="3"/>
  <c r="F49" i="3"/>
  <c r="F73" i="3"/>
  <c r="F63" i="3"/>
  <c r="F90" i="3"/>
  <c r="F92" i="3"/>
  <c r="F58" i="3"/>
  <c r="F75" i="3"/>
  <c r="BJ150" i="1"/>
  <c r="BK150" i="1" s="1"/>
  <c r="AJ147" i="1"/>
  <c r="AK147" i="1" s="1"/>
  <c r="AL132" i="1"/>
  <c r="AJ131" i="1"/>
  <c r="AJ22" i="1"/>
  <c r="Q13" i="1"/>
  <c r="J35" i="1"/>
  <c r="HT9" i="4" s="1"/>
  <c r="IY9" i="4" s="1"/>
  <c r="AJ46" i="1"/>
  <c r="N15" i="1"/>
  <c r="AM22" i="1"/>
  <c r="BX24" i="1"/>
  <c r="AM23" i="1"/>
  <c r="AL14" i="1"/>
  <c r="AL36" i="1"/>
  <c r="BJ13" i="1"/>
  <c r="BX45" i="1"/>
  <c r="W15" i="1"/>
  <c r="C36" i="1"/>
  <c r="P153" i="1"/>
  <c r="BX159" i="1"/>
  <c r="P155" i="1"/>
  <c r="J25" i="1"/>
  <c r="BY73" i="1"/>
  <c r="D21" i="1"/>
  <c r="L13" i="1"/>
  <c r="O24" i="1"/>
  <c r="F20" i="1"/>
  <c r="G35" i="1"/>
  <c r="V39" i="1"/>
  <c r="Q24" i="1"/>
  <c r="N36" i="1"/>
  <c r="M32" i="1"/>
  <c r="M194" i="1" s="1"/>
  <c r="V21" i="1"/>
  <c r="U51" i="1"/>
  <c r="N8" i="1"/>
  <c r="N231" i="1" s="1"/>
  <c r="J13" i="1"/>
  <c r="P25" i="1"/>
  <c r="E24" i="1"/>
  <c r="L20" i="1"/>
  <c r="BJ24" i="1"/>
  <c r="C20" i="1"/>
  <c r="J32" i="1"/>
  <c r="J194" i="1" s="1"/>
  <c r="J20" i="1"/>
  <c r="E45" i="1"/>
  <c r="Q22" i="1"/>
  <c r="I13" i="1"/>
  <c r="BX122" i="1"/>
  <c r="BY122" i="1" s="1"/>
  <c r="U13" i="1"/>
  <c r="Q32" i="1"/>
  <c r="Q194" i="1" s="1"/>
  <c r="N35" i="1"/>
  <c r="D15" i="1"/>
  <c r="W39" i="1"/>
  <c r="L24" i="1"/>
  <c r="Q20" i="1"/>
  <c r="F51" i="1"/>
  <c r="H21" i="1"/>
  <c r="H51" i="1"/>
  <c r="P32" i="1"/>
  <c r="P194" i="1" s="1"/>
  <c r="U35" i="1"/>
  <c r="V51" i="1"/>
  <c r="R21" i="1"/>
  <c r="P20" i="1"/>
  <c r="J24" i="1"/>
  <c r="BJ154" i="1"/>
  <c r="BK154" i="1" s="1"/>
  <c r="BJ144" i="1"/>
  <c r="BJ149" i="1"/>
  <c r="AJ153" i="1"/>
  <c r="BJ155" i="1"/>
  <c r="BK155" i="1" s="1"/>
  <c r="AJ149" i="1"/>
  <c r="AK149" i="1" s="1"/>
  <c r="BJ124" i="1"/>
  <c r="BK124" i="1" s="1"/>
  <c r="BJ131" i="1"/>
  <c r="BJ145" i="1"/>
  <c r="BJ164" i="1"/>
  <c r="AL144" i="1"/>
  <c r="BJ132" i="1"/>
  <c r="AJ133" i="1"/>
  <c r="AJ144" i="1"/>
  <c r="AJ145" i="1"/>
  <c r="AJ160" i="1"/>
  <c r="BJ146" i="1"/>
  <c r="BK146" i="1" s="1"/>
  <c r="AJ117" i="1"/>
  <c r="AK117" i="1" s="1"/>
  <c r="BJ118" i="1"/>
  <c r="BK118" i="1" s="1"/>
  <c r="BJ133" i="1"/>
  <c r="BJ151" i="1"/>
  <c r="BK151" i="1" s="1"/>
  <c r="AJ155" i="1"/>
  <c r="AK155" i="1" s="1"/>
  <c r="AJ140" i="1"/>
  <c r="AK140" i="1" s="1"/>
  <c r="BJ117" i="1"/>
  <c r="AJ137" i="1"/>
  <c r="AK137" i="1" s="1"/>
  <c r="IW9" i="4"/>
  <c r="IM9" i="4" s="1"/>
  <c r="JH9" i="4" s="1"/>
  <c r="II9" i="4" s="1"/>
  <c r="BX35" i="1"/>
  <c r="AK23" i="1"/>
  <c r="P39" i="1"/>
  <c r="JG9" i="4" s="1"/>
  <c r="IC16" i="4" s="1"/>
  <c r="AJ32" i="1"/>
  <c r="AJ194" i="1" s="1"/>
  <c r="AK45" i="1"/>
  <c r="AM24" i="1"/>
  <c r="N20" i="1"/>
  <c r="G51" i="1"/>
  <c r="D32" i="1"/>
  <c r="D194" i="1" s="1"/>
  <c r="C13" i="1"/>
  <c r="I21" i="1"/>
  <c r="M8" i="1"/>
  <c r="M231" i="1" s="1"/>
  <c r="W32" i="1"/>
  <c r="I36" i="1"/>
  <c r="F46" i="1"/>
  <c r="K15" i="1"/>
  <c r="IN16" i="4" s="1"/>
  <c r="IH14" i="4" s="1"/>
  <c r="HW9" i="4" s="1"/>
  <c r="IR16" i="4" s="1"/>
  <c r="HU9" i="4" s="1"/>
  <c r="BX23" i="1"/>
  <c r="AK46" i="1"/>
  <c r="AK35" i="1"/>
  <c r="AJ39" i="1"/>
  <c r="F25" i="1"/>
  <c r="BX154" i="1"/>
  <c r="BY154" i="1" s="1"/>
  <c r="I45" i="1"/>
  <c r="J45" i="1"/>
  <c r="P8" i="1"/>
  <c r="IY16" i="4" s="1"/>
  <c r="IY21" i="4" s="1"/>
  <c r="BS77" i="1" s="1"/>
  <c r="IK9" i="4" s="1"/>
  <c r="IN9" i="4" s="1"/>
  <c r="IP16" i="4" s="1"/>
  <c r="BX145" i="1"/>
  <c r="M45" i="1"/>
  <c r="S8" i="1"/>
  <c r="S231" i="1" s="1"/>
  <c r="N13" i="1"/>
  <c r="S39" i="1"/>
  <c r="AM13" i="1"/>
  <c r="AM8" i="1"/>
  <c r="AM231" i="1" s="1"/>
  <c r="AJ14" i="1"/>
  <c r="AL32" i="1"/>
  <c r="AL194" i="1" s="1"/>
  <c r="BX25" i="1"/>
  <c r="AJ8" i="1"/>
  <c r="AJ231" i="1" s="1"/>
  <c r="B35" i="1"/>
  <c r="BX132" i="1"/>
  <c r="L45" i="1"/>
  <c r="F45" i="1"/>
  <c r="Q47" i="1"/>
  <c r="K21" i="1"/>
  <c r="AK51" i="1"/>
  <c r="AJ24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S51" i="1"/>
  <c r="JD16" i="4" s="1"/>
  <c r="BX46" i="1"/>
  <c r="BX13" i="1"/>
  <c r="AM35" i="1"/>
  <c r="M23" i="1"/>
  <c r="G46" i="1"/>
  <c r="L9" i="1"/>
  <c r="S47" i="1"/>
  <c r="M46" i="1"/>
  <c r="S23" i="1"/>
  <c r="N22" i="1"/>
  <c r="U23" i="1"/>
  <c r="T46" i="1"/>
  <c r="J9" i="1"/>
  <c r="K46" i="1"/>
  <c r="BX125" i="1"/>
  <c r="BY125" i="1" s="1"/>
  <c r="R20" i="1"/>
  <c r="U39" i="1"/>
  <c r="M15" i="1"/>
  <c r="BX124" i="1"/>
  <c r="BY124" i="1" s="1"/>
  <c r="S35" i="1"/>
  <c r="M35" i="1"/>
  <c r="W21" i="1"/>
  <c r="J39" i="1"/>
  <c r="O21" i="1"/>
  <c r="J36" i="1"/>
  <c r="D51" i="1"/>
  <c r="R35" i="1"/>
  <c r="U20" i="1"/>
  <c r="H15" i="1"/>
  <c r="S46" i="1"/>
  <c r="P13" i="1"/>
  <c r="M36" i="1"/>
  <c r="N32" i="1"/>
  <c r="N194" i="1" s="1"/>
  <c r="K24" i="1"/>
  <c r="I32" i="1"/>
  <c r="I194" i="1" s="1"/>
  <c r="G15" i="1"/>
  <c r="C8" i="1"/>
  <c r="C231" i="1" s="1"/>
  <c r="V36" i="1"/>
  <c r="V252" i="1" s="1"/>
  <c r="AL160" i="1"/>
  <c r="AL127" i="1"/>
  <c r="AM127" i="1" s="1"/>
  <c r="AJ164" i="1"/>
  <c r="AK164" i="1" s="1"/>
  <c r="BJ122" i="1"/>
  <c r="BK122" i="1" s="1"/>
  <c r="AJ135" i="1"/>
  <c r="AK135" i="1" s="1"/>
  <c r="HS14" i="4"/>
  <c r="HQ14" i="4"/>
  <c r="JE8" i="4"/>
  <c r="IW15" i="4"/>
  <c r="JE7" i="4"/>
  <c r="JC15" i="4"/>
  <c r="HU15" i="4"/>
  <c r="JD8" i="4"/>
  <c r="JH14" i="4"/>
  <c r="CP77" i="1"/>
  <c r="CN63" i="1"/>
  <c r="CM65" i="1"/>
  <c r="IM16" i="4"/>
  <c r="S22" i="1"/>
  <c r="IW16" i="4" s="1"/>
  <c r="IV9" i="4" s="1"/>
  <c r="IZ9" i="4" s="1"/>
  <c r="JG16" i="4" s="1"/>
  <c r="AL20" i="1"/>
  <c r="O8" i="1"/>
  <c r="BX32" i="1"/>
  <c r="BX194" i="1" s="1"/>
  <c r="HS9" i="4" s="1"/>
  <c r="IQ9" i="4" s="1"/>
  <c r="JE9" i="4" s="1"/>
  <c r="HQ9" i="4" s="1"/>
  <c r="IE16" i="4" s="1"/>
  <c r="IT16" i="4" s="1"/>
  <c r="BX8" i="1"/>
  <c r="BX36" i="1"/>
  <c r="L8" i="1"/>
  <c r="L231" i="1" s="1"/>
  <c r="IU16" i="4" s="1"/>
  <c r="IG9" i="4" s="1"/>
  <c r="IQ16" i="4" s="1"/>
  <c r="BJ15" i="1"/>
  <c r="H13" i="1"/>
  <c r="IZ16" i="4" s="1"/>
  <c r="BX20" i="1"/>
  <c r="BJ14" i="1"/>
  <c r="BX15" i="1"/>
  <c r="Q35" i="1"/>
  <c r="M9" i="1"/>
  <c r="IA16" i="4" s="1"/>
  <c r="IO7" i="4"/>
  <c r="JC16" i="4" s="1"/>
  <c r="AL15" i="1"/>
  <c r="N23" i="1"/>
  <c r="JB16" i="4" s="1"/>
  <c r="AK24" i="1"/>
  <c r="BX14" i="1"/>
  <c r="B25" i="1"/>
  <c r="IX16" i="4" s="1"/>
  <c r="AL22" i="1"/>
  <c r="G23" i="1"/>
  <c r="E159" i="1"/>
  <c r="F24" i="1"/>
  <c r="H24" i="1"/>
  <c r="I35" i="1"/>
  <c r="V23" i="1"/>
  <c r="K45" i="1"/>
  <c r="T15" i="1"/>
  <c r="HU8" i="4" s="1"/>
  <c r="IU9" i="4" s="1"/>
  <c r="HY9" i="4" s="1"/>
  <c r="IF15" i="4" s="1"/>
  <c r="AL24" i="1"/>
  <c r="AK20" i="1"/>
  <c r="AJ13" i="1"/>
  <c r="AL51" i="1"/>
  <c r="AJ47" i="1"/>
  <c r="AM15" i="1"/>
  <c r="D122" i="1"/>
  <c r="U22" i="1"/>
  <c r="Q21" i="1"/>
  <c r="K25" i="1"/>
  <c r="H20" i="1"/>
  <c r="AL8" i="1"/>
  <c r="AL47" i="1"/>
  <c r="AJ9" i="1"/>
  <c r="M22" i="1"/>
  <c r="IQ14" i="4"/>
  <c r="IS14" i="4"/>
  <c r="HZ16" i="4" s="1"/>
  <c r="BX152" i="1"/>
  <c r="BY152" i="1" s="1"/>
  <c r="O51" i="1"/>
  <c r="F32" i="1"/>
  <c r="F194" i="1" s="1"/>
  <c r="C9" i="1"/>
  <c r="N21" i="1"/>
  <c r="F35" i="1"/>
  <c r="JD9" i="4" s="1"/>
  <c r="IG16" i="4" s="1"/>
  <c r="AM9" i="1"/>
  <c r="AM14" i="1"/>
  <c r="K32" i="1"/>
  <c r="K194" i="1" s="1"/>
  <c r="Q9" i="1"/>
  <c r="S20" i="1"/>
  <c r="I23" i="1"/>
  <c r="R36" i="1"/>
  <c r="HR16" i="4" s="1"/>
  <c r="BX39" i="1"/>
  <c r="AK39" i="1"/>
  <c r="AM25" i="1"/>
  <c r="AK22" i="1"/>
  <c r="AJ20" i="1"/>
  <c r="B15" i="1"/>
  <c r="E20" i="1"/>
  <c r="L39" i="1"/>
  <c r="H36" i="1"/>
  <c r="U25" i="1"/>
  <c r="I22" i="1"/>
  <c r="O9" i="1"/>
  <c r="IE9" i="4" s="1"/>
  <c r="HP16" i="4" s="1"/>
  <c r="AL46" i="1"/>
  <c r="BJ20" i="1"/>
  <c r="AK14" i="1"/>
  <c r="AL45" i="1"/>
  <c r="BJ25" i="1"/>
  <c r="AM21" i="1"/>
  <c r="T45" i="1"/>
  <c r="W51" i="1"/>
  <c r="BX73" i="1"/>
  <c r="G8" i="1"/>
  <c r="E51" i="1"/>
  <c r="L25" i="1"/>
  <c r="IW7" i="4" s="1"/>
  <c r="HV16" i="4" s="1"/>
  <c r="AK9" i="1"/>
  <c r="AK47" i="1"/>
  <c r="C22" i="1"/>
  <c r="W22" i="1"/>
  <c r="V22" i="1"/>
  <c r="D9" i="1"/>
  <c r="N9" i="1"/>
  <c r="T22" i="1"/>
  <c r="AL9" i="1"/>
  <c r="J23" i="1"/>
  <c r="E47" i="1"/>
  <c r="R22" i="1"/>
  <c r="K22" i="1"/>
  <c r="C47" i="1"/>
  <c r="D22" i="1"/>
  <c r="T39" i="1"/>
  <c r="R15" i="1"/>
  <c r="B8" i="1"/>
  <c r="W13" i="1"/>
  <c r="K35" i="1"/>
  <c r="P160" i="1"/>
  <c r="N45" i="1"/>
  <c r="T47" i="1"/>
  <c r="T32" i="1"/>
  <c r="E35" i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8" i="4" s="1"/>
  <c r="IZ14" i="4" s="1"/>
  <c r="HR8" i="4" s="1"/>
  <c r="IN7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W46" i="1"/>
  <c r="IG8" i="4" s="1"/>
  <c r="IV14" i="4" s="1"/>
  <c r="JH16" i="4" s="1"/>
  <c r="JH21" i="4" s="1"/>
  <c r="CB77" i="1" s="1"/>
  <c r="IS8" i="4" s="1"/>
  <c r="IL7" i="4" s="1"/>
  <c r="IN8" i="4" s="1"/>
  <c r="HX9" i="4" s="1"/>
  <c r="BJ8" i="1"/>
  <c r="BJ231" i="1" s="1"/>
  <c r="AL35" i="1"/>
  <c r="BX9" i="1"/>
  <c r="BX10" i="1" s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R47" i="1"/>
  <c r="I47" i="1"/>
  <c r="B47" i="1"/>
  <c r="H46" i="1"/>
  <c r="O47" i="1"/>
  <c r="P23" i="1"/>
  <c r="N47" i="1"/>
  <c r="M47" i="1"/>
  <c r="BJ163" i="1"/>
  <c r="BK163" i="1" s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2" i="1"/>
  <c r="AM142" i="1" s="1"/>
  <c r="BJ159" i="1"/>
  <c r="BJ160" i="1"/>
  <c r="BJ147" i="1"/>
  <c r="BK147" i="1" s="1"/>
  <c r="AJ150" i="1"/>
  <c r="AK150" i="1" s="1"/>
  <c r="AJ151" i="1"/>
  <c r="AK151" i="1" s="1"/>
  <c r="AJ152" i="1"/>
  <c r="AK152" i="1" s="1"/>
  <c r="AJ142" i="1"/>
  <c r="AK142" i="1" s="1"/>
  <c r="AJ154" i="1"/>
  <c r="AK154" i="1" s="1"/>
  <c r="BJ119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AJ119" i="1"/>
  <c r="AJ146" i="1"/>
  <c r="AK146" i="1" s="1"/>
  <c r="AJ125" i="1"/>
  <c r="AK125" i="1" s="1"/>
  <c r="BJ153" i="1"/>
  <c r="AJ126" i="1"/>
  <c r="AK126" i="1" s="1"/>
  <c r="AJ132" i="1"/>
  <c r="AJ118" i="1"/>
  <c r="AK118" i="1" s="1"/>
  <c r="AJ143" i="1"/>
  <c r="AK143" i="1" s="1"/>
  <c r="BJ137" i="1"/>
  <c r="BK137" i="1" s="1"/>
  <c r="BJ143" i="1"/>
  <c r="IL15" i="4"/>
  <c r="IF7" i="4"/>
  <c r="IL8" i="4"/>
  <c r="HV7" i="4"/>
  <c r="ID15" i="4"/>
  <c r="IW14" i="4"/>
  <c r="II7" i="4"/>
  <c r="IU15" i="4"/>
  <c r="IO15" i="4"/>
  <c r="HS7" i="4"/>
  <c r="IA14" i="4"/>
  <c r="JG14" i="4"/>
  <c r="HX14" i="4"/>
  <c r="IK15" i="4"/>
  <c r="JD14" i="4"/>
  <c r="JB15" i="4"/>
  <c r="HU14" i="4"/>
  <c r="IN15" i="4"/>
  <c r="IN14" i="4"/>
  <c r="IA8" i="4"/>
  <c r="IA15" i="4"/>
  <c r="IG14" i="4"/>
  <c r="IV8" i="4"/>
  <c r="HU7" i="4"/>
  <c r="HX15" i="4"/>
  <c r="IJ15" i="4"/>
  <c r="IC8" i="4"/>
  <c r="HW7" i="4"/>
  <c r="HQ15" i="4"/>
  <c r="IC7" i="4"/>
  <c r="IR15" i="4"/>
  <c r="HQ7" i="4"/>
  <c r="JA8" i="4"/>
  <c r="IM8" i="4"/>
  <c r="IM14" i="4"/>
  <c r="IT7" i="4"/>
  <c r="IF8" i="4"/>
  <c r="HV8" i="4"/>
  <c r="JB14" i="4"/>
  <c r="IR8" i="4"/>
  <c r="JF14" i="4"/>
  <c r="IH8" i="4"/>
  <c r="JH15" i="4"/>
  <c r="IX14" i="4"/>
  <c r="IQ8" i="4"/>
  <c r="IK8" i="4"/>
  <c r="IM15" i="4"/>
  <c r="IM20" i="4" s="1"/>
  <c r="BG79" i="1" s="1"/>
  <c r="BG108" i="1" s="1"/>
  <c r="HP15" i="4"/>
  <c r="HP7" i="4"/>
  <c r="HY14" i="4"/>
  <c r="JA14" i="4"/>
  <c r="IU7" i="4"/>
  <c r="IP14" i="4"/>
  <c r="HP14" i="4"/>
  <c r="HP19" i="4" s="1"/>
  <c r="AJ78" i="1" s="1"/>
  <c r="IR14" i="4"/>
  <c r="IS15" i="4"/>
  <c r="HS15" i="4"/>
  <c r="HZ14" i="4"/>
  <c r="HW14" i="4"/>
  <c r="HW19" i="4" s="1"/>
  <c r="AQ78" i="1" s="1"/>
  <c r="AQ107" i="1" s="1"/>
  <c r="IY7" i="4"/>
  <c r="JG8" i="4"/>
  <c r="IZ7" i="4"/>
  <c r="IY14" i="4"/>
  <c r="IY19" i="4" s="1"/>
  <c r="BS78" i="1" s="1"/>
  <c r="BS107" i="1" s="1"/>
  <c r="HX8" i="4"/>
  <c r="HX20" i="4" s="1"/>
  <c r="AR79" i="1" s="1"/>
  <c r="AR108" i="1" s="1"/>
  <c r="JC14" i="4"/>
  <c r="IJ14" i="4"/>
  <c r="IX15" i="4"/>
  <c r="JD15" i="4"/>
  <c r="HZ8" i="4"/>
  <c r="IS7" i="4"/>
  <c r="HT15" i="4"/>
  <c r="II15" i="4"/>
  <c r="IE14" i="4"/>
  <c r="IT14" i="4"/>
  <c r="IT19" i="4" s="1"/>
  <c r="BN78" i="1" s="1"/>
  <c r="BN107" i="1" s="1"/>
  <c r="HY8" i="4"/>
  <c r="IV15" i="4"/>
  <c r="IV20" i="4" s="1"/>
  <c r="BP79" i="1" s="1"/>
  <c r="BP108" i="1" s="1"/>
  <c r="IQ7" i="4"/>
  <c r="IZ15" i="4"/>
  <c r="HT14" i="4"/>
  <c r="IC15" i="4"/>
  <c r="IB8" i="4"/>
  <c r="IX8" i="4"/>
  <c r="HR14" i="4"/>
  <c r="IB7" i="4"/>
  <c r="IC14" i="4"/>
  <c r="HZ15" i="4"/>
  <c r="ID7" i="4"/>
  <c r="JF7" i="4"/>
  <c r="HW15" i="4"/>
  <c r="IP8" i="4"/>
  <c r="HR15" i="4"/>
  <c r="JI7" i="4"/>
  <c r="HV14" i="4"/>
  <c r="IZ8" i="4"/>
  <c r="IT15" i="4"/>
  <c r="IH7" i="4"/>
  <c r="JH7" i="4"/>
  <c r="IR7" i="4"/>
  <c r="JI8" i="4"/>
  <c r="IE8" i="4"/>
  <c r="JC7" i="4"/>
  <c r="IP7" i="4"/>
  <c r="JF15" i="4"/>
  <c r="IW8" i="4"/>
  <c r="HT7" i="4"/>
  <c r="IG15" i="4"/>
  <c r="IG7" i="4"/>
  <c r="IB14" i="4"/>
  <c r="IB19" i="4" s="1"/>
  <c r="AV78" i="1" s="1"/>
  <c r="AV107" i="1" s="1"/>
  <c r="IQ15" i="4"/>
  <c r="IU14" i="4"/>
  <c r="HT8" i="4"/>
  <c r="HZ7" i="4"/>
  <c r="IA7" i="4"/>
  <c r="IB15" i="4"/>
  <c r="IB20" i="4" s="1"/>
  <c r="AV79" i="1" s="1"/>
  <c r="AV108" i="1" s="1"/>
  <c r="ID8" i="4"/>
  <c r="HR7" i="4"/>
  <c r="IK14" i="4"/>
  <c r="IF14" i="4"/>
  <c r="II14" i="4"/>
  <c r="JI14" i="4"/>
  <c r="HS8" i="4"/>
  <c r="JE15" i="4"/>
  <c r="IY8" i="4"/>
  <c r="JH8" i="4"/>
  <c r="IY15" i="4"/>
  <c r="IY20" i="4" s="1"/>
  <c r="BS79" i="1" s="1"/>
  <c r="BS108" i="1" s="1"/>
  <c r="JG15" i="4"/>
  <c r="ID14" i="4"/>
  <c r="IP15" i="4"/>
  <c r="JF8" i="4"/>
  <c r="HY7" i="4"/>
  <c r="IE15" i="4"/>
  <c r="JB7" i="4"/>
  <c r="HX7" i="4"/>
  <c r="JA7" i="4"/>
  <c r="IJ7" i="4"/>
  <c r="HQ8" i="4"/>
  <c r="IM7" i="4"/>
  <c r="JI19" i="4"/>
  <c r="CC78" i="1" s="1"/>
  <c r="CM32" i="1"/>
  <c r="AC140" i="1"/>
  <c r="AL159" i="1" l="1"/>
  <c r="AL124" i="1"/>
  <c r="AM124" i="1" s="1"/>
  <c r="JG21" i="4"/>
  <c r="CA77" i="1" s="1"/>
  <c r="BX161" i="1"/>
  <c r="BY209" i="1" s="1"/>
  <c r="AL145" i="1"/>
  <c r="AL150" i="1"/>
  <c r="AM150" i="1" s="1"/>
  <c r="BJ134" i="1"/>
  <c r="BK117" i="1"/>
  <c r="BK149" i="1"/>
  <c r="AJ202" i="1"/>
  <c r="AK202" i="1"/>
  <c r="BK202" i="1"/>
  <c r="BX252" i="1"/>
  <c r="J26" i="1"/>
  <c r="BY202" i="1"/>
  <c r="JH20" i="4"/>
  <c r="CB79" i="1" s="1"/>
  <c r="AL140" i="1"/>
  <c r="AL164" i="1"/>
  <c r="AM164" i="1" s="1"/>
  <c r="AL149" i="1"/>
  <c r="AM149" i="1" s="1"/>
  <c r="AL163" i="1"/>
  <c r="AM163" i="1" s="1"/>
  <c r="AL122" i="1"/>
  <c r="AM122" i="1" s="1"/>
  <c r="AL146" i="1"/>
  <c r="AM146" i="1" s="1"/>
  <c r="AL152" i="1"/>
  <c r="AM152" i="1" s="1"/>
  <c r="AL154" i="1"/>
  <c r="AM154" i="1" s="1"/>
  <c r="AL118" i="1"/>
  <c r="AM118" i="1" s="1"/>
  <c r="IZ21" i="4"/>
  <c r="BT77" i="1" s="1"/>
  <c r="IO9" i="4" s="1"/>
  <c r="II16" i="4" s="1"/>
  <c r="JF9" i="4" s="1"/>
  <c r="II8" i="4" s="1"/>
  <c r="AL155" i="1"/>
  <c r="AM155" i="1" s="1"/>
  <c r="AL74" i="1"/>
  <c r="AL131" i="1"/>
  <c r="AL125" i="1"/>
  <c r="AM125" i="1" s="1"/>
  <c r="AL119" i="1"/>
  <c r="AL135" i="1"/>
  <c r="AM135" i="1" s="1"/>
  <c r="AL133" i="1"/>
  <c r="AL151" i="1"/>
  <c r="AM151" i="1" s="1"/>
  <c r="AL153" i="1"/>
  <c r="AL117" i="1"/>
  <c r="AM117" i="1" s="1"/>
  <c r="AL126" i="1"/>
  <c r="AM126" i="1" s="1"/>
  <c r="AL73" i="1"/>
  <c r="AL147" i="1"/>
  <c r="AM147" i="1" s="1"/>
  <c r="AL137" i="1"/>
  <c r="AM137" i="1" s="1"/>
  <c r="AL143" i="1"/>
  <c r="IK20" i="4"/>
  <c r="BE79" i="1" s="1"/>
  <c r="BE108" i="1" s="1"/>
  <c r="HY19" i="4"/>
  <c r="AS78" i="1" s="1"/>
  <c r="AS107" i="1" s="1"/>
  <c r="IR19" i="4"/>
  <c r="BL78" i="1" s="1"/>
  <c r="IS20" i="4"/>
  <c r="BM79" i="1" s="1"/>
  <c r="BM108" i="1" s="1"/>
  <c r="HS20" i="4"/>
  <c r="AM79" i="1" s="1"/>
  <c r="IJ19" i="4"/>
  <c r="BD78" i="1" s="1"/>
  <c r="BD107" i="1" s="1"/>
  <c r="JD20" i="4"/>
  <c r="BX79" i="1" s="1"/>
  <c r="BX108" i="1" s="1"/>
  <c r="P26" i="1"/>
  <c r="AL252" i="1"/>
  <c r="HP20" i="4"/>
  <c r="AJ79" i="1" s="1"/>
  <c r="Q26" i="1"/>
  <c r="IC20" i="4"/>
  <c r="AW79" i="1" s="1"/>
  <c r="AW108" i="1" s="1"/>
  <c r="IC19" i="4"/>
  <c r="AW78" i="1" s="1"/>
  <c r="AW107" i="1" s="1"/>
  <c r="HZ20" i="4"/>
  <c r="AT79" i="1" s="1"/>
  <c r="AT108" i="1" s="1"/>
  <c r="JF19" i="4"/>
  <c r="BZ78" i="1" s="1"/>
  <c r="HR20" i="4"/>
  <c r="AL79" i="1" s="1"/>
  <c r="N252" i="1"/>
  <c r="L26" i="1"/>
  <c r="HV19" i="4"/>
  <c r="AP78" i="1" s="1"/>
  <c r="AP107" i="1" s="1"/>
  <c r="BX148" i="1"/>
  <c r="JF20" i="4"/>
  <c r="BZ79" i="1" s="1"/>
  <c r="IG20" i="4"/>
  <c r="BA79" i="1" s="1"/>
  <c r="BA108" i="1" s="1"/>
  <c r="IG19" i="4"/>
  <c r="BA78" i="1" s="1"/>
  <c r="BA107" i="1" s="1"/>
  <c r="IQ20" i="4"/>
  <c r="BK79" i="1" s="1"/>
  <c r="BK108" i="1" s="1"/>
  <c r="IU19" i="4"/>
  <c r="BO78" i="1" s="1"/>
  <c r="BO107" i="1" s="1"/>
  <c r="HT20" i="4"/>
  <c r="AN79" i="1" s="1"/>
  <c r="AN108" i="1" s="1"/>
  <c r="T26" i="1"/>
  <c r="V26" i="1"/>
  <c r="F26" i="1"/>
  <c r="I26" i="1"/>
  <c r="IF19" i="4"/>
  <c r="AZ78" i="1" s="1"/>
  <c r="AZ107" i="1" s="1"/>
  <c r="II19" i="4"/>
  <c r="BC78" i="1" s="1"/>
  <c r="BC107" i="1" s="1"/>
  <c r="JE20" i="4"/>
  <c r="BY79" i="1" s="1"/>
  <c r="BY108" i="1" s="1"/>
  <c r="HQ20" i="4"/>
  <c r="AK79" i="1" s="1"/>
  <c r="C26" i="1"/>
  <c r="IM19" i="4"/>
  <c r="BG78" i="1" s="1"/>
  <c r="BG107" i="1" s="1"/>
  <c r="J253" i="1"/>
  <c r="W98" i="1"/>
  <c r="T10" i="1"/>
  <c r="X11" i="1"/>
  <c r="X188" i="1"/>
  <c r="Q231" i="1"/>
  <c r="L194" i="1"/>
  <c r="BK128" i="1"/>
  <c r="BJ156" i="1"/>
  <c r="BJ185" i="1" s="1"/>
  <c r="BJ128" i="1"/>
  <c r="AJ156" i="1"/>
  <c r="CB94" i="1"/>
  <c r="CB102" i="1"/>
  <c r="CB85" i="1"/>
  <c r="U11" i="1"/>
  <c r="IN19" i="4"/>
  <c r="BH78" i="1" s="1"/>
  <c r="BH107" i="1" s="1"/>
  <c r="IN20" i="4"/>
  <c r="BH79" i="1" s="1"/>
  <c r="BH108" i="1" s="1"/>
  <c r="IF20" i="4"/>
  <c r="AZ79" i="1" s="1"/>
  <c r="AZ108" i="1" s="1"/>
  <c r="JB19" i="4"/>
  <c r="BV78" i="1" s="1"/>
  <c r="BV107" i="1" s="1"/>
  <c r="HU19" i="4"/>
  <c r="AO78" i="1" s="1"/>
  <c r="AO107" i="1" s="1"/>
  <c r="IR20" i="4"/>
  <c r="BL79" i="1" s="1"/>
  <c r="BL96" i="1" s="1"/>
  <c r="IA20" i="4"/>
  <c r="AU79" i="1" s="1"/>
  <c r="AU108" i="1" s="1"/>
  <c r="BY12" i="1"/>
  <c r="CB11" i="1"/>
  <c r="CC188" i="1"/>
  <c r="AM10" i="1"/>
  <c r="B253" i="1"/>
  <c r="K252" i="1"/>
  <c r="P252" i="1"/>
  <c r="AM252" i="1"/>
  <c r="AJ33" i="1"/>
  <c r="C252" i="1"/>
  <c r="IN21" i="4"/>
  <c r="BH77" i="1" s="1"/>
  <c r="W253" i="1"/>
  <c r="W194" i="1"/>
  <c r="P231" i="1"/>
  <c r="AM98" i="1"/>
  <c r="AM99" i="1" s="1"/>
  <c r="N26" i="1"/>
  <c r="M26" i="1"/>
  <c r="P183" i="1"/>
  <c r="M252" i="1"/>
  <c r="AJ183" i="1"/>
  <c r="AJ179" i="1"/>
  <c r="IH19" i="4"/>
  <c r="BB78" i="1" s="1"/>
  <c r="BB107" i="1" s="1"/>
  <c r="BY128" i="1"/>
  <c r="IW20" i="4"/>
  <c r="BQ79" i="1" s="1"/>
  <c r="BQ108" i="1" s="1"/>
  <c r="E10" i="1"/>
  <c r="I253" i="1"/>
  <c r="U26" i="1"/>
  <c r="R26" i="1"/>
  <c r="B26" i="1"/>
  <c r="JD21" i="4"/>
  <c r="BX77" i="1" s="1"/>
  <c r="I10" i="1"/>
  <c r="C253" i="1"/>
  <c r="M253" i="1"/>
  <c r="P253" i="1"/>
  <c r="J252" i="1"/>
  <c r="S253" i="1"/>
  <c r="S10" i="1"/>
  <c r="S98" i="1" s="1"/>
  <c r="BX128" i="1"/>
  <c r="N253" i="1"/>
  <c r="AL161" i="1"/>
  <c r="AM209" i="1" s="1"/>
  <c r="AI196" i="1"/>
  <c r="AI198" i="1" s="1"/>
  <c r="AJ180" i="1"/>
  <c r="AK180" i="1" s="1"/>
  <c r="HS19" i="4"/>
  <c r="AM78" i="1" s="1"/>
  <c r="JH19" i="4"/>
  <c r="CB78" i="1" s="1"/>
  <c r="CA94" i="1"/>
  <c r="HU20" i="4"/>
  <c r="AO79" i="1" s="1"/>
  <c r="AO108" i="1" s="1"/>
  <c r="HQ19" i="4"/>
  <c r="AK78" i="1" s="1"/>
  <c r="BX16" i="1"/>
  <c r="AB77" i="1"/>
  <c r="CQ77" i="1"/>
  <c r="CN65" i="1"/>
  <c r="CO63" i="1"/>
  <c r="O10" i="1"/>
  <c r="O252" i="1"/>
  <c r="O231" i="1"/>
  <c r="IH15" i="4"/>
  <c r="IH20" i="4" s="1"/>
  <c r="BB79" i="1" s="1"/>
  <c r="BB108" i="1" s="1"/>
  <c r="IQ21" i="4"/>
  <c r="BK77" i="1" s="1"/>
  <c r="HV9" i="4"/>
  <c r="JA9" i="4"/>
  <c r="JI9" i="4" s="1"/>
  <c r="IV16" i="4" s="1"/>
  <c r="IV21" i="4" s="1"/>
  <c r="BP77" i="1" s="1"/>
  <c r="IS16" i="4" s="1"/>
  <c r="IK16" i="4"/>
  <c r="JC8" i="4"/>
  <c r="HV15" i="4" s="1"/>
  <c r="IJ9" i="4"/>
  <c r="HP9" i="4" s="1"/>
  <c r="HS16" i="4" s="1"/>
  <c r="H26" i="1"/>
  <c r="IT9" i="4"/>
  <c r="IX9" i="4" s="1"/>
  <c r="IJ16" i="4" s="1"/>
  <c r="IJ21" i="4" s="1"/>
  <c r="BD77" i="1" s="1"/>
  <c r="ID9" i="4"/>
  <c r="IG21" i="4"/>
  <c r="BA77" i="1" s="1"/>
  <c r="IF9" i="4"/>
  <c r="IL16" i="4"/>
  <c r="HP21" i="4"/>
  <c r="AJ77" i="1" s="1"/>
  <c r="HW8" i="4"/>
  <c r="G10" i="1"/>
  <c r="G231" i="1"/>
  <c r="IT8" i="4"/>
  <c r="T253" i="1"/>
  <c r="T194" i="1"/>
  <c r="F252" i="1"/>
  <c r="F231" i="1"/>
  <c r="AK231" i="1"/>
  <c r="AK10" i="1"/>
  <c r="AK16" i="1" s="1"/>
  <c r="U194" i="1"/>
  <c r="U253" i="1"/>
  <c r="AJ37" i="1"/>
  <c r="BX179" i="1"/>
  <c r="BY179" i="1" s="1"/>
  <c r="G252" i="1"/>
  <c r="R10" i="1"/>
  <c r="G183" i="1"/>
  <c r="BX183" i="1"/>
  <c r="BY183" i="1" s="1"/>
  <c r="Q183" i="1"/>
  <c r="L253" i="1"/>
  <c r="G253" i="1"/>
  <c r="P10" i="1"/>
  <c r="M10" i="1"/>
  <c r="F10" i="1"/>
  <c r="BX180" i="1"/>
  <c r="BY180" i="1" s="1"/>
  <c r="CA98" i="1"/>
  <c r="CA99" i="1" s="1"/>
  <c r="CA102" i="1" s="1"/>
  <c r="BX231" i="1"/>
  <c r="U16" i="1"/>
  <c r="U17" i="1" s="1"/>
  <c r="U98" i="1"/>
  <c r="IM21" i="4"/>
  <c r="BG77" i="1" s="1"/>
  <c r="IW21" i="4"/>
  <c r="BQ77" i="1" s="1"/>
  <c r="IE21" i="4"/>
  <c r="AY77" i="1" s="1"/>
  <c r="G26" i="1"/>
  <c r="IZ19" i="4"/>
  <c r="BT78" i="1" s="1"/>
  <c r="BT107" i="1" s="1"/>
  <c r="IS19" i="4"/>
  <c r="BM78" i="1" s="1"/>
  <c r="BM107" i="1" s="1"/>
  <c r="AJ10" i="1"/>
  <c r="IQ19" i="4"/>
  <c r="BK78" i="1" s="1"/>
  <c r="BK107" i="1" s="1"/>
  <c r="AL26" i="1"/>
  <c r="E26" i="1"/>
  <c r="T252" i="1"/>
  <c r="D26" i="1"/>
  <c r="J10" i="1"/>
  <c r="K26" i="1"/>
  <c r="O26" i="1"/>
  <c r="K10" i="1"/>
  <c r="AM26" i="1"/>
  <c r="AK26" i="1"/>
  <c r="BJ180" i="1"/>
  <c r="BK180" i="1" s="1"/>
  <c r="I231" i="1"/>
  <c r="I252" i="1"/>
  <c r="H194" i="1"/>
  <c r="H253" i="1"/>
  <c r="V194" i="1"/>
  <c r="V253" i="1"/>
  <c r="AJ26" i="1"/>
  <c r="BX253" i="1"/>
  <c r="L252" i="1"/>
  <c r="O253" i="1"/>
  <c r="IU21" i="4"/>
  <c r="BO77" i="1" s="1"/>
  <c r="L10" i="1"/>
  <c r="AL231" i="1"/>
  <c r="BX120" i="1"/>
  <c r="W26" i="1"/>
  <c r="W27" i="1" s="1"/>
  <c r="D252" i="1"/>
  <c r="D253" i="1"/>
  <c r="BX26" i="1"/>
  <c r="BX27" i="1" s="1"/>
  <c r="BX134" i="1"/>
  <c r="V11" i="1"/>
  <c r="V16" i="1"/>
  <c r="Q10" i="1"/>
  <c r="Q98" i="1" s="1"/>
  <c r="BY120" i="1"/>
  <c r="V27" i="1"/>
  <c r="IA19" i="4"/>
  <c r="AU78" i="1" s="1"/>
  <c r="AU107" i="1" s="1"/>
  <c r="B10" i="1"/>
  <c r="W188" i="1"/>
  <c r="K253" i="1"/>
  <c r="V188" i="1"/>
  <c r="IL20" i="4"/>
  <c r="BF79" i="1" s="1"/>
  <c r="BF108" i="1" s="1"/>
  <c r="HX19" i="4"/>
  <c r="AR78" i="1" s="1"/>
  <c r="AR107" i="1" s="1"/>
  <c r="IW19" i="4"/>
  <c r="BQ78" i="1" s="1"/>
  <c r="BQ107" i="1" s="1"/>
  <c r="D10" i="1"/>
  <c r="B231" i="1"/>
  <c r="S26" i="1"/>
  <c r="ID20" i="4"/>
  <c r="AX79" i="1" s="1"/>
  <c r="AX108" i="1" s="1"/>
  <c r="R252" i="1"/>
  <c r="Q253" i="1"/>
  <c r="Q252" i="1"/>
  <c r="F253" i="1"/>
  <c r="BJ179" i="1"/>
  <c r="BK179" i="1" s="1"/>
  <c r="W16" i="1"/>
  <c r="W11" i="1"/>
  <c r="H252" i="1"/>
  <c r="R253" i="1"/>
  <c r="BX156" i="1"/>
  <c r="BX185" i="1" s="1"/>
  <c r="N10" i="1"/>
  <c r="B252" i="1"/>
  <c r="BJ183" i="1"/>
  <c r="BK183" i="1" s="1"/>
  <c r="S252" i="1"/>
  <c r="AL253" i="1"/>
  <c r="AL180" i="1"/>
  <c r="AM180" i="1" s="1"/>
  <c r="AL10" i="1"/>
  <c r="AM253" i="1"/>
  <c r="AL179" i="1"/>
  <c r="AM179" i="1" s="1"/>
  <c r="C10" i="1"/>
  <c r="H10" i="1"/>
  <c r="BJ161" i="1"/>
  <c r="BK209" i="1" s="1"/>
  <c r="BJ120" i="1"/>
  <c r="AJ161" i="1"/>
  <c r="AK209" i="1" s="1"/>
  <c r="AJ128" i="1"/>
  <c r="AJ134" i="1"/>
  <c r="AK33" i="1" s="1"/>
  <c r="AJ148" i="1"/>
  <c r="AK128" i="1"/>
  <c r="AJ120" i="1"/>
  <c r="BK143" i="1"/>
  <c r="BJ148" i="1"/>
  <c r="IP19" i="4"/>
  <c r="BJ78" i="1" s="1"/>
  <c r="BJ107" i="1" s="1"/>
  <c r="HZ19" i="4"/>
  <c r="AT78" i="1" s="1"/>
  <c r="AT107" i="1" s="1"/>
  <c r="IX20" i="4"/>
  <c r="BR79" i="1" s="1"/>
  <c r="BR108" i="1" s="1"/>
  <c r="IZ20" i="4"/>
  <c r="BT79" i="1" s="1"/>
  <c r="BT108" i="1" s="1"/>
  <c r="HR19" i="4"/>
  <c r="AL78" i="1" s="1"/>
  <c r="JG20" i="4"/>
  <c r="CA79" i="1" s="1"/>
  <c r="ID19" i="4"/>
  <c r="AX78" i="1" s="1"/>
  <c r="AX107" i="1" s="1"/>
  <c r="IP20" i="4"/>
  <c r="BJ79" i="1" s="1"/>
  <c r="BJ108" i="1" s="1"/>
  <c r="IE20" i="4"/>
  <c r="AY79" i="1" s="1"/>
  <c r="AY108" i="1" s="1"/>
  <c r="JC19" i="4"/>
  <c r="BW78" i="1" s="1"/>
  <c r="BW107" i="1" s="1"/>
  <c r="HT19" i="4"/>
  <c r="AN78" i="1" s="1"/>
  <c r="AN107" i="1" s="1"/>
  <c r="JA19" i="4"/>
  <c r="BU78" i="1" s="1"/>
  <c r="BU10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C95" i="1"/>
  <c r="CC107" i="1"/>
  <c r="CC103" i="1"/>
  <c r="CC86" i="1"/>
  <c r="CF90" i="1" s="1"/>
  <c r="CM194" i="1"/>
  <c r="CM132" i="1"/>
  <c r="CM134" i="1" s="1"/>
  <c r="CM138" i="1" s="1"/>
  <c r="CM203" i="1" s="1"/>
  <c r="CM201" i="1" s="1"/>
  <c r="AC202" i="1"/>
  <c r="AB149" i="1"/>
  <c r="AB117" i="1"/>
  <c r="CA225" i="1"/>
  <c r="AJ27" i="1" l="1"/>
  <c r="BK134" i="1"/>
  <c r="BJ138" i="1"/>
  <c r="L11" i="1"/>
  <c r="C27" i="1"/>
  <c r="AJ16" i="1"/>
  <c r="J98" i="1"/>
  <c r="J16" i="1"/>
  <c r="K188" i="1"/>
  <c r="K16" i="1"/>
  <c r="K98" i="1"/>
  <c r="K11" i="1"/>
  <c r="BX92" i="1"/>
  <c r="BX248" i="1"/>
  <c r="D188" i="1"/>
  <c r="D11" i="1"/>
  <c r="D16" i="1"/>
  <c r="BY134" i="1"/>
  <c r="BX138" i="1"/>
  <c r="BY33" i="1"/>
  <c r="V17" i="1"/>
  <c r="V28" i="1"/>
  <c r="W18" i="1"/>
  <c r="BY92" i="1"/>
  <c r="BY207" i="1"/>
  <c r="BZ207" i="1"/>
  <c r="X18" i="1"/>
  <c r="W17" i="1"/>
  <c r="W28" i="1"/>
  <c r="AL16" i="1"/>
  <c r="AL19" i="1" s="1"/>
  <c r="AL12" i="1"/>
  <c r="AM12" i="1"/>
  <c r="C188" i="1"/>
  <c r="C16" i="1"/>
  <c r="H16" i="1"/>
  <c r="H188" i="1"/>
  <c r="H11" i="1"/>
  <c r="H98" i="1"/>
  <c r="M11" i="1"/>
  <c r="BJ92" i="1"/>
  <c r="BJ248" i="1"/>
  <c r="AJ206" i="1"/>
  <c r="AK134" i="1"/>
  <c r="CB96" i="1"/>
  <c r="CB108" i="1"/>
  <c r="CB111" i="1" s="1"/>
  <c r="CB114" i="1" s="1"/>
  <c r="CB104" i="1"/>
  <c r="CB87" i="1"/>
  <c r="AL202" i="1"/>
  <c r="AM140" i="1"/>
  <c r="AM202" i="1" s="1"/>
  <c r="II20" i="4"/>
  <c r="BC79" i="1" s="1"/>
  <c r="BC108" i="1" s="1"/>
  <c r="IA9" i="4"/>
  <c r="AM128" i="1"/>
  <c r="AL156" i="1"/>
  <c r="AL185" i="1" s="1"/>
  <c r="AL128" i="1"/>
  <c r="II21" i="4"/>
  <c r="BC77" i="1" s="1"/>
  <c r="AK27" i="1"/>
  <c r="BX182" i="1"/>
  <c r="AL183" i="1"/>
  <c r="AM183" i="1" s="1"/>
  <c r="AL134" i="1"/>
  <c r="AL120" i="1"/>
  <c r="AL92" i="1" s="1"/>
  <c r="AL96" i="1" s="1"/>
  <c r="AM143" i="1"/>
  <c r="AL148" i="1"/>
  <c r="L188" i="1"/>
  <c r="AK19" i="1"/>
  <c r="AM225" i="1"/>
  <c r="AK12" i="1"/>
  <c r="V18" i="1"/>
  <c r="M188" i="1"/>
  <c r="L98" i="1"/>
  <c r="L16" i="1"/>
  <c r="L17" i="1" s="1"/>
  <c r="Q11" i="1"/>
  <c r="C11" i="1"/>
  <c r="Q188" i="1"/>
  <c r="R11" i="1"/>
  <c r="BK249" i="1"/>
  <c r="R188" i="1"/>
  <c r="U188" i="1"/>
  <c r="T98" i="1"/>
  <c r="T16" i="1"/>
  <c r="U18" i="1" s="1"/>
  <c r="BJ184" i="1"/>
  <c r="BL206" i="1"/>
  <c r="BL249" i="1"/>
  <c r="AJ197" i="1"/>
  <c r="AJ185" i="1"/>
  <c r="AJ157" i="1"/>
  <c r="BJ129" i="1"/>
  <c r="BJ168" i="1"/>
  <c r="BJ109" i="1" s="1"/>
  <c r="BK206" i="1"/>
  <c r="AL108" i="1"/>
  <c r="BZ95" i="1"/>
  <c r="BZ89" i="1"/>
  <c r="BZ107" i="1"/>
  <c r="BZ110" i="1" s="1"/>
  <c r="AM108" i="1"/>
  <c r="BL107" i="1"/>
  <c r="BL110" i="1" s="1"/>
  <c r="BL95" i="1"/>
  <c r="BZ108" i="1"/>
  <c r="BZ111" i="1" s="1"/>
  <c r="BZ96" i="1"/>
  <c r="BL108" i="1"/>
  <c r="BL111" i="1" s="1"/>
  <c r="AK28" i="1"/>
  <c r="AK17" i="1"/>
  <c r="JC20" i="4"/>
  <c r="BW79" i="1" s="1"/>
  <c r="BW108" i="1" s="1"/>
  <c r="IT21" i="4"/>
  <c r="BN77" i="1" s="1"/>
  <c r="IX21" i="4"/>
  <c r="BR77" i="1" s="1"/>
  <c r="Q16" i="1"/>
  <c r="BX157" i="1"/>
  <c r="BX184" i="1"/>
  <c r="N188" i="1"/>
  <c r="IS9" i="4"/>
  <c r="HV21" i="4"/>
  <c r="AP77" i="1" s="1"/>
  <c r="IO14" i="4" s="1"/>
  <c r="IB9" i="4"/>
  <c r="HW20" i="4"/>
  <c r="AQ79" i="1" s="1"/>
  <c r="AQ108" i="1" s="1"/>
  <c r="IV7" i="4"/>
  <c r="IT20" i="4"/>
  <c r="BN79" i="1" s="1"/>
  <c r="BN108" i="1" s="1"/>
  <c r="I98" i="1"/>
  <c r="I16" i="1"/>
  <c r="I17" i="1" s="1"/>
  <c r="AM16" i="1"/>
  <c r="AM27" i="1"/>
  <c r="J188" i="1"/>
  <c r="J11" i="1"/>
  <c r="BY129" i="1"/>
  <c r="T188" i="1"/>
  <c r="BZ249" i="1"/>
  <c r="BZ251" i="1" s="1"/>
  <c r="BZ206" i="1"/>
  <c r="E11" i="1"/>
  <c r="E98" i="1"/>
  <c r="BY249" i="1"/>
  <c r="BX168" i="1"/>
  <c r="E188" i="1"/>
  <c r="E27" i="1"/>
  <c r="BY206" i="1"/>
  <c r="F11" i="1"/>
  <c r="E16" i="1"/>
  <c r="E17" i="1" s="1"/>
  <c r="F188" i="1"/>
  <c r="BX129" i="1"/>
  <c r="O188" i="1"/>
  <c r="I11" i="1"/>
  <c r="T11" i="1"/>
  <c r="O11" i="1"/>
  <c r="S16" i="1"/>
  <c r="S17" i="1" s="1"/>
  <c r="AJ129" i="1"/>
  <c r="S188" i="1"/>
  <c r="S11" i="1"/>
  <c r="I188" i="1"/>
  <c r="AK206" i="1"/>
  <c r="BJ246" i="1"/>
  <c r="AJ168" i="1"/>
  <c r="AK37" i="1" s="1"/>
  <c r="AL248" i="1"/>
  <c r="AM103" i="1"/>
  <c r="AM107" i="1"/>
  <c r="AM104" i="1"/>
  <c r="CB86" i="1"/>
  <c r="CB103" i="1"/>
  <c r="CB95" i="1"/>
  <c r="CB107" i="1"/>
  <c r="CB110" i="1" s="1"/>
  <c r="CB113" i="1" s="1"/>
  <c r="BX17" i="1"/>
  <c r="CB18" i="1"/>
  <c r="BY19" i="1"/>
  <c r="BX28" i="1"/>
  <c r="CR77" i="1"/>
  <c r="CO65" i="1"/>
  <c r="CP63" i="1"/>
  <c r="O98" i="1"/>
  <c r="O16" i="1"/>
  <c r="HX16" i="4"/>
  <c r="HX21" i="4" s="1"/>
  <c r="AR77" i="1" s="1"/>
  <c r="IK21" i="4"/>
  <c r="BE77" i="1" s="1"/>
  <c r="IC9" i="4"/>
  <c r="IC21" i="4" s="1"/>
  <c r="AW77" i="1" s="1"/>
  <c r="HV20" i="4"/>
  <c r="AP79" i="1" s="1"/>
  <c r="AP108" i="1" s="1"/>
  <c r="JI16" i="4"/>
  <c r="HS21" i="4"/>
  <c r="AM77" i="1" s="1"/>
  <c r="AM102" i="1" s="1"/>
  <c r="IH9" i="4"/>
  <c r="JE14" i="4" s="1"/>
  <c r="IX7" i="4"/>
  <c r="G11" i="1"/>
  <c r="G188" i="1"/>
  <c r="G16" i="1"/>
  <c r="G17" i="1" s="1"/>
  <c r="G98" i="1"/>
  <c r="JB9" i="4"/>
  <c r="R16" i="1"/>
  <c r="R98" i="1"/>
  <c r="P98" i="1"/>
  <c r="P11" i="1"/>
  <c r="P16" i="1"/>
  <c r="P17" i="1" s="1"/>
  <c r="P188" i="1"/>
  <c r="M98" i="1"/>
  <c r="M16" i="1"/>
  <c r="F98" i="1"/>
  <c r="F16" i="1"/>
  <c r="B27" i="1"/>
  <c r="B16" i="1"/>
  <c r="N16" i="1"/>
  <c r="N11" i="1"/>
  <c r="N98" i="1"/>
  <c r="AL27" i="1"/>
  <c r="D27" i="1"/>
  <c r="AJ138" i="1"/>
  <c r="AJ196" i="1"/>
  <c r="AJ182" i="1"/>
  <c r="BJ182" i="1"/>
  <c r="BJ157" i="1"/>
  <c r="CA96" i="1"/>
  <c r="CA108" i="1"/>
  <c r="CA104" i="1"/>
  <c r="AL107" i="1"/>
  <c r="BL33" i="1"/>
  <c r="BK138" i="1"/>
  <c r="BL203" i="1" s="1"/>
  <c r="BL201" i="1" s="1"/>
  <c r="BJ96" i="1"/>
  <c r="CN32" i="1"/>
  <c r="AB163" i="1"/>
  <c r="AC117" i="1"/>
  <c r="AC149" i="1"/>
  <c r="CB225" i="1"/>
  <c r="BQ1" i="1"/>
  <c r="BR1" i="1" s="1"/>
  <c r="BS1" i="1" s="1"/>
  <c r="BT1" i="1" s="1"/>
  <c r="AL206" i="1" l="1"/>
  <c r="AL168" i="1"/>
  <c r="AL249" i="1"/>
  <c r="AL182" i="1"/>
  <c r="AL157" i="1"/>
  <c r="C17" i="1"/>
  <c r="H17" i="1"/>
  <c r="I18" i="1"/>
  <c r="C28" i="1"/>
  <c r="BJ95" i="1"/>
  <c r="AL33" i="1"/>
  <c r="AL129" i="1"/>
  <c r="C18" i="1"/>
  <c r="AK138" i="1"/>
  <c r="Q17" i="1"/>
  <c r="R18" i="1"/>
  <c r="Q18" i="1"/>
  <c r="BZ205" i="1"/>
  <c r="BY205" i="1"/>
  <c r="BX96" i="1"/>
  <c r="BX94" i="1"/>
  <c r="AJ28" i="1"/>
  <c r="AK31" i="1" s="1"/>
  <c r="AJ17" i="1"/>
  <c r="BY138" i="1"/>
  <c r="BZ33" i="1"/>
  <c r="AM19" i="1"/>
  <c r="J17" i="1"/>
  <c r="K18" i="1"/>
  <c r="K17" i="1"/>
  <c r="D17" i="1"/>
  <c r="D28" i="1"/>
  <c r="BX246" i="1"/>
  <c r="V29" i="1"/>
  <c r="V232" i="1"/>
  <c r="V233" i="1" s="1"/>
  <c r="V112" i="1"/>
  <c r="W30" i="1"/>
  <c r="V34" i="1"/>
  <c r="V38" i="1" s="1"/>
  <c r="BY96" i="1"/>
  <c r="W232" i="1"/>
  <c r="W233" i="1" s="1"/>
  <c r="X30" i="1"/>
  <c r="X250" i="1"/>
  <c r="W34" i="1"/>
  <c r="W38" i="1" s="1"/>
  <c r="W29" i="1"/>
  <c r="W112" i="1"/>
  <c r="W250" i="1"/>
  <c r="AL28" i="1"/>
  <c r="AL17" i="1"/>
  <c r="AJ165" i="1"/>
  <c r="AJ166" i="1" s="1"/>
  <c r="J18" i="1"/>
  <c r="L18" i="1"/>
  <c r="D18" i="1"/>
  <c r="E18" i="1"/>
  <c r="BJ110" i="1"/>
  <c r="BJ111" i="1"/>
  <c r="AK232" i="1"/>
  <c r="AK233" i="1" s="1"/>
  <c r="AK29" i="1"/>
  <c r="AK34" i="1"/>
  <c r="AK38" i="1" s="1"/>
  <c r="IA21" i="4"/>
  <c r="AU77" i="1" s="1"/>
  <c r="JC9" i="4"/>
  <c r="AM206" i="1"/>
  <c r="AM249" i="1"/>
  <c r="BX186" i="1"/>
  <c r="CB189" i="1" s="1"/>
  <c r="BX181" i="1"/>
  <c r="AL138" i="1"/>
  <c r="AM33" i="1"/>
  <c r="AM134" i="1"/>
  <c r="AM138" i="1" s="1"/>
  <c r="AL184" i="1"/>
  <c r="IS21" i="4"/>
  <c r="BM77" i="1" s="1"/>
  <c r="BX165" i="1"/>
  <c r="BX166" i="1" s="1"/>
  <c r="T17" i="1"/>
  <c r="AL95" i="1"/>
  <c r="IK7" i="4"/>
  <c r="IK19" i="4" s="1"/>
  <c r="BE78" i="1" s="1"/>
  <c r="BE107" i="1" s="1"/>
  <c r="IB21" i="4"/>
  <c r="AV77" i="1" s="1"/>
  <c r="ID16" i="4"/>
  <c r="ID21" i="4" s="1"/>
  <c r="AX77" i="1" s="1"/>
  <c r="IV19" i="4"/>
  <c r="BP78" i="1" s="1"/>
  <c r="BP107" i="1" s="1"/>
  <c r="IO19" i="4"/>
  <c r="BI78" i="1" s="1"/>
  <c r="BI107" i="1" s="1"/>
  <c r="HY15" i="4"/>
  <c r="BX109" i="1"/>
  <c r="BY37" i="1"/>
  <c r="M18" i="1"/>
  <c r="F18" i="1"/>
  <c r="E28" i="1"/>
  <c r="E29" i="1" s="1"/>
  <c r="T18" i="1"/>
  <c r="AJ198" i="1"/>
  <c r="JI15" i="4"/>
  <c r="JI20" i="4" s="1"/>
  <c r="CC79" i="1" s="1"/>
  <c r="IX19" i="4"/>
  <c r="BR78" i="1" s="1"/>
  <c r="BR107" i="1" s="1"/>
  <c r="JD7" i="4"/>
  <c r="JB21" i="4"/>
  <c r="BV77" i="1" s="1"/>
  <c r="AM28" i="1"/>
  <c r="AM17" i="1"/>
  <c r="AL109" i="1"/>
  <c r="AM37" i="1"/>
  <c r="AJ203" i="1"/>
  <c r="AJ201" i="1" s="1"/>
  <c r="BJ186" i="1"/>
  <c r="BJ181" i="1"/>
  <c r="AL181" i="1"/>
  <c r="AL186" i="1"/>
  <c r="CE90" i="1"/>
  <c r="BX29" i="1"/>
  <c r="BX34" i="1"/>
  <c r="CB30" i="1"/>
  <c r="CA112" i="1"/>
  <c r="BX232" i="1"/>
  <c r="BX233" i="1" s="1"/>
  <c r="BY31" i="1"/>
  <c r="BY250" i="1"/>
  <c r="BY251" i="1" s="1"/>
  <c r="CS77" i="1"/>
  <c r="CP65" i="1"/>
  <c r="CQ63" i="1"/>
  <c r="P18" i="1"/>
  <c r="O17" i="1"/>
  <c r="JI21" i="4"/>
  <c r="CC77" i="1" s="1"/>
  <c r="JA16" i="4"/>
  <c r="JE19" i="4"/>
  <c r="BY78" i="1" s="1"/>
  <c r="IF16" i="4"/>
  <c r="IF21" i="4" s="1"/>
  <c r="AZ77" i="1" s="1"/>
  <c r="HY16" i="4" s="1"/>
  <c r="R17" i="1"/>
  <c r="S18" i="1"/>
  <c r="N18" i="1"/>
  <c r="M17" i="1"/>
  <c r="G18" i="1"/>
  <c r="F17" i="1"/>
  <c r="B28" i="1"/>
  <c r="B17" i="1"/>
  <c r="O18" i="1"/>
  <c r="N17" i="1"/>
  <c r="H18" i="1"/>
  <c r="C250" i="1"/>
  <c r="C29" i="1"/>
  <c r="C30" i="1"/>
  <c r="BZ203" i="1"/>
  <c r="BZ201" i="1" s="1"/>
  <c r="BY203" i="1"/>
  <c r="BY201" i="1" s="1"/>
  <c r="AJ34" i="1"/>
  <c r="AJ38" i="1" s="1"/>
  <c r="AJ232" i="1"/>
  <c r="AJ233" i="1" s="1"/>
  <c r="AJ29" i="1"/>
  <c r="AL29" i="1"/>
  <c r="AL34" i="1"/>
  <c r="AL38" i="1" s="1"/>
  <c r="AL232" i="1"/>
  <c r="AL233" i="1" s="1"/>
  <c r="AL250" i="1"/>
  <c r="AL251" i="1" s="1"/>
  <c r="CN132" i="1"/>
  <c r="CN134" i="1" s="1"/>
  <c r="CO32" i="1" s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31" i="1" l="1"/>
  <c r="D29" i="1"/>
  <c r="D34" i="1"/>
  <c r="D38" i="1" s="1"/>
  <c r="D232" i="1"/>
  <c r="D233" i="1" s="1"/>
  <c r="D250" i="1"/>
  <c r="BX111" i="1"/>
  <c r="AK203" i="1"/>
  <c r="AK201" i="1" s="1"/>
  <c r="AL165" i="1"/>
  <c r="AL166" i="1" s="1"/>
  <c r="D112" i="1"/>
  <c r="D30" i="1"/>
  <c r="V41" i="1"/>
  <c r="V42" i="1" s="1"/>
  <c r="V245" i="1" s="1"/>
  <c r="V40" i="1"/>
  <c r="W41" i="1"/>
  <c r="W40" i="1"/>
  <c r="AM226" i="1"/>
  <c r="E30" i="1"/>
  <c r="AL111" i="1"/>
  <c r="AL110" i="1"/>
  <c r="AL246" i="1"/>
  <c r="CC87" i="1"/>
  <c r="CC108" i="1"/>
  <c r="CC104" i="1"/>
  <c r="CC96" i="1"/>
  <c r="AL203" i="1"/>
  <c r="AL201" i="1" s="1"/>
  <c r="AK41" i="1"/>
  <c r="AK40" i="1"/>
  <c r="JC21" i="4"/>
  <c r="BW77" i="1" s="1"/>
  <c r="JG7" i="4"/>
  <c r="AM203" i="1"/>
  <c r="AM201" i="1" s="1"/>
  <c r="AM31" i="1"/>
  <c r="AM112" i="1"/>
  <c r="BX38" i="1"/>
  <c r="CA55" i="1"/>
  <c r="HY20" i="4"/>
  <c r="AS79" i="1" s="1"/>
  <c r="AS108" i="1" s="1"/>
  <c r="JF16" i="4"/>
  <c r="JD19" i="4"/>
  <c r="BX78" i="1" s="1"/>
  <c r="JA15" i="4"/>
  <c r="JA20" i="4" s="1"/>
  <c r="BU79" i="1" s="1"/>
  <c r="BU108" i="1" s="1"/>
  <c r="CT77" i="1"/>
  <c r="AM29" i="1"/>
  <c r="AM232" i="1"/>
  <c r="AM233" i="1" s="1"/>
  <c r="AM34" i="1"/>
  <c r="AM38" i="1" s="1"/>
  <c r="AM250" i="1"/>
  <c r="AM251" i="1" s="1"/>
  <c r="CQ65" i="1"/>
  <c r="CR63" i="1"/>
  <c r="CC94" i="1"/>
  <c r="CC102" i="1"/>
  <c r="CC85" i="1"/>
  <c r="JA21" i="4"/>
  <c r="BU77" i="1" s="1"/>
  <c r="HZ9" i="4"/>
  <c r="BY95" i="1"/>
  <c r="BY89" i="1"/>
  <c r="BY107" i="1"/>
  <c r="IR9" i="4"/>
  <c r="HY21" i="4"/>
  <c r="AS77" i="1" s="1"/>
  <c r="B112" i="1"/>
  <c r="B29" i="1"/>
  <c r="AJ40" i="1"/>
  <c r="AJ41" i="1"/>
  <c r="AL40" i="1"/>
  <c r="AL41" i="1"/>
  <c r="D41" i="1"/>
  <c r="D40" i="1"/>
  <c r="V48" i="1"/>
  <c r="W43" i="1"/>
  <c r="W48" i="1"/>
  <c r="W52" i="1" s="1"/>
  <c r="W234" i="1"/>
  <c r="W42" i="1"/>
  <c r="W245" i="1" s="1"/>
  <c r="CO194" i="1"/>
  <c r="CO132" i="1"/>
  <c r="CN138" i="1"/>
  <c r="CN194" i="1"/>
  <c r="AD163" i="1"/>
  <c r="AE163" i="1"/>
  <c r="AD140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X43" i="1" l="1"/>
  <c r="AK234" i="1"/>
  <c r="AK48" i="1"/>
  <c r="AK119" i="1" s="1"/>
  <c r="AK120" i="1" s="1"/>
  <c r="AK129" i="1" s="1"/>
  <c r="AK42" i="1"/>
  <c r="AL44" i="1"/>
  <c r="D234" i="1"/>
  <c r="D42" i="1"/>
  <c r="D48" i="1"/>
  <c r="BX40" i="1"/>
  <c r="BX41" i="1"/>
  <c r="AC77" i="1"/>
  <c r="CU77" i="1"/>
  <c r="JG19" i="4"/>
  <c r="CA78" i="1" s="1"/>
  <c r="HW16" i="4"/>
  <c r="HW21" i="4" s="1"/>
  <c r="AQ77" i="1" s="1"/>
  <c r="JF21" i="4"/>
  <c r="BZ77" i="1" s="1"/>
  <c r="BZ94" i="1" s="1"/>
  <c r="IL14" i="4"/>
  <c r="BX95" i="1"/>
  <c r="BX107" i="1"/>
  <c r="BX110" i="1" s="1"/>
  <c r="BX89" i="1"/>
  <c r="IJ8" i="4"/>
  <c r="HZ21" i="4"/>
  <c r="AT77" i="1" s="1"/>
  <c r="IE7" i="4" s="1"/>
  <c r="IL9" i="4"/>
  <c r="IR21" i="4"/>
  <c r="BL77" i="1" s="1"/>
  <c r="BL94" i="1" s="1"/>
  <c r="AM40" i="1"/>
  <c r="AM41" i="1"/>
  <c r="CR65" i="1"/>
  <c r="CS63" i="1"/>
  <c r="AK44" i="1"/>
  <c r="AJ234" i="1"/>
  <c r="AJ48" i="1"/>
  <c r="AJ42" i="1"/>
  <c r="AL42" i="1"/>
  <c r="AL245" i="1" s="1"/>
  <c r="AL48" i="1"/>
  <c r="AL234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V77" i="1" l="1"/>
  <c r="AM227" i="1"/>
  <c r="D193" i="1"/>
  <c r="D195" i="1" s="1"/>
  <c r="D52" i="1"/>
  <c r="CB43" i="1"/>
  <c r="BX234" i="1"/>
  <c r="BX42" i="1"/>
  <c r="BX245" i="1" s="1"/>
  <c r="BX48" i="1"/>
  <c r="BY44" i="1"/>
  <c r="CA107" i="1"/>
  <c r="CA103" i="1"/>
  <c r="CA95" i="1"/>
  <c r="AM44" i="1"/>
  <c r="IL19" i="4"/>
  <c r="BF78" i="1" s="1"/>
  <c r="BF107" i="1" s="1"/>
  <c r="IH16" i="4"/>
  <c r="IH21" i="4" s="1"/>
  <c r="BB77" i="1" s="1"/>
  <c r="IJ20" i="4"/>
  <c r="BD79" i="1" s="1"/>
  <c r="BD108" i="1" s="1"/>
  <c r="JB8" i="4"/>
  <c r="IE19" i="4"/>
  <c r="AY78" i="1" s="1"/>
  <c r="AY107" i="1" s="1"/>
  <c r="HQ16" i="4"/>
  <c r="IL21" i="4"/>
  <c r="BF77" i="1" s="1"/>
  <c r="IU8" i="4"/>
  <c r="CT63" i="1"/>
  <c r="CS65" i="1"/>
  <c r="AM234" i="1"/>
  <c r="AM42" i="1"/>
  <c r="AM245" i="1" s="1"/>
  <c r="AJ193" i="1"/>
  <c r="AJ195" i="1" s="1"/>
  <c r="AJ199" i="1" s="1"/>
  <c r="AJ213" i="1" s="1"/>
  <c r="AJ66" i="1"/>
  <c r="AJ52" i="1"/>
  <c r="AJ207" i="1"/>
  <c r="AJ205" i="1" s="1"/>
  <c r="AJ210" i="1" s="1"/>
  <c r="AJ211" i="1" s="1"/>
  <c r="AL66" i="1"/>
  <c r="AL52" i="1"/>
  <c r="AL193" i="1"/>
  <c r="AL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BX66" i="1"/>
  <c r="CA69" i="1" s="1"/>
  <c r="BX193" i="1"/>
  <c r="BX195" i="1" s="1"/>
  <c r="BX52" i="1"/>
  <c r="JB20" i="4"/>
  <c r="BV79" i="1" s="1"/>
  <c r="BV108" i="1" s="1"/>
  <c r="IO16" i="4"/>
  <c r="IO21" i="4" s="1"/>
  <c r="BI77" i="1" s="1"/>
  <c r="HQ21" i="4"/>
  <c r="AK77" i="1" s="1"/>
  <c r="IO8" i="4"/>
  <c r="IU20" i="4"/>
  <c r="BO79" i="1" s="1"/>
  <c r="BO108" i="1" s="1"/>
  <c r="IP9" i="4"/>
  <c r="CT65" i="1"/>
  <c r="CU63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87" i="1" l="1"/>
  <c r="CA86" i="1"/>
  <c r="CD90" i="1" s="1"/>
  <c r="BW89" i="1"/>
  <c r="CA85" i="1"/>
  <c r="CE70" i="1"/>
  <c r="CU65" i="1"/>
  <c r="IO20" i="4"/>
  <c r="BI79" i="1" s="1"/>
  <c r="BI108" i="1" s="1"/>
  <c r="JE16" i="4"/>
  <c r="IP21" i="4"/>
  <c r="BJ77" i="1" s="1"/>
  <c r="BJ94" i="1" s="1"/>
  <c r="HR9" i="4"/>
  <c r="CV63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V65" i="1" l="1"/>
  <c r="CW63" i="1"/>
  <c r="JE21" i="4"/>
  <c r="BY77" i="1" s="1"/>
  <c r="BY94" i="1" s="1"/>
  <c r="HU16" i="4"/>
  <c r="HU21" i="4" s="1"/>
  <c r="AO77" i="1" s="1"/>
  <c r="HR21" i="4"/>
  <c r="AL77" i="1" s="1"/>
  <c r="AL94" i="1" s="1"/>
  <c r="HT16" i="4"/>
  <c r="HT21" i="4" s="1"/>
  <c r="AN77" i="1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Q62" i="2"/>
  <c r="E95" i="2"/>
  <c r="E90" i="2"/>
  <c r="E106" i="2"/>
  <c r="D9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I95" i="2"/>
  <c r="M62" i="2"/>
  <c r="P64" i="2"/>
  <c r="D85" i="2"/>
  <c r="U75" i="2"/>
  <c r="W73" i="2"/>
  <c r="J80" i="2"/>
  <c r="K45" i="2"/>
  <c r="J75" i="2"/>
  <c r="O83" i="2"/>
  <c r="P111" i="2"/>
  <c r="E58" i="2"/>
  <c r="E67" i="2"/>
  <c r="H46" i="2"/>
  <c r="D79" i="2"/>
  <c r="V90" i="2"/>
  <c r="F68" i="2"/>
  <c r="Q82" i="2"/>
  <c r="W66" i="2"/>
  <c r="W111" i="2"/>
  <c r="U83" i="2"/>
  <c r="S97" i="2"/>
  <c r="Q94" i="2"/>
  <c r="H56" i="2"/>
  <c r="X89" i="2"/>
  <c r="N108" i="2"/>
  <c r="K84" i="2"/>
  <c r="K48" i="2"/>
  <c r="U77" i="2"/>
  <c r="W41" i="2"/>
  <c r="I43" i="2"/>
  <c r="R76" i="2"/>
  <c r="H62" i="2"/>
  <c r="O93" i="2"/>
  <c r="N69" i="2"/>
  <c r="Q107" i="2"/>
  <c r="M70" i="2"/>
  <c r="X48" i="2"/>
  <c r="I55" i="2"/>
  <c r="E40" i="2"/>
  <c r="F58" i="2"/>
  <c r="S59" i="2"/>
  <c r="F98" i="2"/>
  <c r="Q98" i="2"/>
  <c r="D40" i="2"/>
  <c r="R107" i="2"/>
  <c r="H57" i="2"/>
  <c r="X86" i="2"/>
  <c r="G94" i="2"/>
  <c r="S111" i="2"/>
  <c r="P48" i="2"/>
  <c r="N46" i="2"/>
  <c r="W79" i="2"/>
  <c r="P77" i="2"/>
  <c r="V45" i="2"/>
  <c r="P92" i="2"/>
  <c r="S95" i="2"/>
  <c r="M108" i="2"/>
  <c r="K111" i="2"/>
  <c r="F69" i="2"/>
  <c r="N47" i="2"/>
  <c r="AP84" i="3"/>
  <c r="AB80" i="3"/>
  <c r="AB90" i="3"/>
  <c r="AP79" i="3"/>
  <c r="AP82" i="3"/>
  <c r="AB49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H60" i="2"/>
  <c r="U91" i="2"/>
  <c r="S94" i="2"/>
  <c r="X70" i="2"/>
  <c r="T43" i="2"/>
  <c r="D63" i="2"/>
  <c r="C96" i="2"/>
  <c r="C53" i="2"/>
  <c r="U96" i="2"/>
  <c r="U81" i="2"/>
  <c r="I66" i="2"/>
  <c r="N72" i="2"/>
  <c r="R85" i="2"/>
  <c r="L77" i="2"/>
  <c r="U55" i="2"/>
  <c r="K42" i="2"/>
  <c r="W85" i="2"/>
  <c r="U111" i="2"/>
  <c r="V54" i="2"/>
  <c r="U63" i="2"/>
  <c r="F90" i="2"/>
  <c r="W61" i="2"/>
  <c r="E57" i="2"/>
  <c r="R111" i="2"/>
  <c r="S76" i="2"/>
  <c r="R83" i="2"/>
  <c r="L49" i="2"/>
  <c r="J40" i="2"/>
  <c r="F91" i="2"/>
  <c r="G88" i="2"/>
  <c r="O80" i="2"/>
  <c r="E93" i="2"/>
  <c r="J97" i="2"/>
  <c r="D64" i="2"/>
  <c r="M84" i="2"/>
  <c r="W53" i="2"/>
  <c r="V82" i="2"/>
  <c r="T56" i="2"/>
  <c r="G56" i="2"/>
  <c r="K55" i="2"/>
  <c r="E80" i="2"/>
  <c r="G49" i="2"/>
  <c r="D43" i="2"/>
  <c r="Q86" i="2"/>
  <c r="I51" i="2"/>
  <c r="U86" i="2"/>
  <c r="D56" i="2"/>
  <c r="S90" i="2"/>
  <c r="H88" i="2"/>
  <c r="I88" i="2"/>
  <c r="J45" i="2"/>
  <c r="R59" i="2"/>
  <c r="G76" i="2"/>
  <c r="I40" i="2"/>
  <c r="W52" i="2"/>
  <c r="H76" i="2"/>
  <c r="W96" i="2"/>
  <c r="I73" i="2"/>
  <c r="O47" i="2"/>
  <c r="M47" i="2"/>
  <c r="L83" i="2"/>
  <c r="AP70" i="3"/>
  <c r="AP86" i="3"/>
  <c r="AB92" i="3"/>
  <c r="AP63" i="3"/>
  <c r="AP87" i="3"/>
  <c r="AB97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G66" i="2"/>
  <c r="F70" i="2"/>
  <c r="E52" i="2"/>
  <c r="M53" i="2"/>
  <c r="V65" i="2"/>
  <c r="F41" i="2"/>
  <c r="H84" i="2"/>
  <c r="R62" i="2"/>
  <c r="Q74" i="2"/>
  <c r="D72" i="2"/>
  <c r="W83" i="2"/>
  <c r="C89" i="2"/>
  <c r="W95" i="2"/>
  <c r="L69" i="2"/>
  <c r="M69" i="2"/>
  <c r="R74" i="2"/>
  <c r="S68" i="2"/>
  <c r="R64" i="2"/>
  <c r="Q81" i="2"/>
  <c r="U87" i="2"/>
  <c r="L58" i="2"/>
  <c r="E51" i="2"/>
  <c r="T81" i="2"/>
  <c r="G52" i="2"/>
  <c r="E108" i="2"/>
  <c r="P82" i="2"/>
  <c r="O59" i="2"/>
  <c r="P43" i="2"/>
  <c r="U60" i="2"/>
  <c r="O44" i="2"/>
  <c r="E105" i="2"/>
  <c r="U89" i="2"/>
  <c r="O65" i="2"/>
  <c r="S41" i="2"/>
  <c r="M72" i="2"/>
  <c r="E56" i="2"/>
  <c r="O64" i="2"/>
  <c r="U106" i="2"/>
  <c r="C90" i="2"/>
  <c r="H61" i="2"/>
  <c r="C104" i="2"/>
  <c r="X111" i="2"/>
  <c r="H80" i="2"/>
  <c r="D67" i="2"/>
  <c r="J61" i="2"/>
  <c r="U72" i="2"/>
  <c r="K94" i="2"/>
  <c r="W98" i="2"/>
  <c r="G96" i="2"/>
  <c r="S86" i="2"/>
  <c r="F71" i="2"/>
  <c r="K82" i="2"/>
  <c r="J57" i="2"/>
  <c r="Q68" i="2"/>
  <c r="O105" i="2"/>
  <c r="H41" i="2"/>
  <c r="X99" i="2"/>
  <c r="X113" i="2"/>
  <c r="U47" i="2"/>
  <c r="H85" i="2"/>
  <c r="X110" i="2"/>
  <c r="M89" i="2"/>
  <c r="C55" i="2"/>
  <c r="K72" i="2"/>
  <c r="U94" i="2"/>
  <c r="S93" i="2"/>
  <c r="J76" i="2"/>
  <c r="R84" i="2"/>
  <c r="D87" i="2"/>
  <c r="R80" i="2"/>
  <c r="C106" i="2"/>
  <c r="N43" i="2"/>
  <c r="D112" i="2"/>
  <c r="F61" i="2"/>
  <c r="E50" i="2"/>
  <c r="J58" i="2"/>
  <c r="E72" i="2"/>
  <c r="N106" i="2"/>
  <c r="V93" i="2"/>
  <c r="U46" i="2"/>
  <c r="I45" i="2"/>
  <c r="N91" i="2"/>
  <c r="U93" i="2"/>
  <c r="H67" i="2"/>
  <c r="R43" i="2"/>
  <c r="H108" i="2"/>
  <c r="K78" i="2"/>
  <c r="Q60" i="2"/>
  <c r="F85" i="2"/>
  <c r="Q50" i="2"/>
  <c r="S65" i="2"/>
  <c r="G67" i="2"/>
  <c r="H90" i="2"/>
  <c r="L42" i="2"/>
  <c r="C61" i="2"/>
  <c r="M67" i="2"/>
  <c r="G55" i="2"/>
  <c r="R40" i="2"/>
  <c r="R97" i="2"/>
  <c r="F81" i="2"/>
  <c r="U65" i="2"/>
  <c r="O109" i="2"/>
  <c r="F97" i="2"/>
  <c r="H55" i="2"/>
  <c r="C87" i="2"/>
  <c r="AB58" i="3"/>
  <c r="AB48" i="3"/>
  <c r="AP59" i="3"/>
  <c r="AB71" i="3"/>
  <c r="AB87" i="3"/>
  <c r="AB86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P50" i="2"/>
  <c r="O95" i="2"/>
  <c r="X65" i="2"/>
  <c r="O68" i="2"/>
  <c r="K52" i="2"/>
  <c r="C58" i="2"/>
  <c r="T50" i="2"/>
  <c r="G81" i="2"/>
  <c r="J55" i="2"/>
  <c r="F87" i="2"/>
  <c r="G84" i="2"/>
  <c r="G82" i="2"/>
  <c r="R91" i="2"/>
  <c r="L44" i="2"/>
  <c r="L110" i="2"/>
  <c r="N90" i="2"/>
  <c r="T48" i="2"/>
  <c r="R98" i="2"/>
  <c r="I47" i="2"/>
  <c r="D86" i="2"/>
  <c r="M94" i="2"/>
  <c r="I86" i="2"/>
  <c r="H79" i="2"/>
  <c r="S88" i="2"/>
  <c r="J89" i="2"/>
  <c r="J68" i="2"/>
  <c r="W67" i="2"/>
  <c r="O110" i="2"/>
  <c r="T41" i="2"/>
  <c r="J42" i="2"/>
  <c r="F43" i="2"/>
  <c r="J111" i="2"/>
  <c r="V47" i="2"/>
  <c r="C68" i="2"/>
  <c r="M95" i="2"/>
  <c r="E88" i="2"/>
  <c r="N75" i="2"/>
  <c r="L99" i="2"/>
  <c r="M109" i="2"/>
  <c r="K65" i="2"/>
  <c r="G87" i="2"/>
  <c r="R73" i="2"/>
  <c r="D73" i="2"/>
  <c r="P60" i="2"/>
  <c r="T86" i="2"/>
  <c r="W64" i="2"/>
  <c r="G74" i="2"/>
  <c r="I69" i="2"/>
  <c r="V97" i="2"/>
  <c r="V67" i="2"/>
  <c r="S106" i="2"/>
  <c r="W108" i="2"/>
  <c r="T78" i="2"/>
  <c r="D62" i="2"/>
  <c r="M82" i="2"/>
  <c r="O98" i="2"/>
  <c r="I113" i="2"/>
  <c r="N81" i="2"/>
  <c r="J82" i="2"/>
  <c r="F111" i="2"/>
  <c r="S63" i="2"/>
  <c r="C69" i="2"/>
  <c r="F109" i="2"/>
  <c r="E81" i="2"/>
  <c r="P99" i="2"/>
  <c r="L62" i="2"/>
  <c r="J63" i="2"/>
  <c r="I63" i="2"/>
  <c r="J79" i="2"/>
  <c r="U50" i="2"/>
  <c r="F51" i="2"/>
  <c r="O45" i="2"/>
  <c r="C60" i="2"/>
  <c r="Q105" i="2"/>
  <c r="R113" i="2"/>
  <c r="Q64" i="2"/>
  <c r="S72" i="2"/>
  <c r="Q112" i="2"/>
  <c r="L98" i="2"/>
  <c r="P61" i="2"/>
  <c r="X76" i="2"/>
  <c r="G105" i="2"/>
  <c r="U112" i="2"/>
  <c r="O55" i="2"/>
  <c r="J69" i="2"/>
  <c r="D82" i="2"/>
  <c r="L64" i="2"/>
  <c r="D104" i="2"/>
  <c r="H47" i="2"/>
  <c r="P93" i="2"/>
  <c r="X87" i="2"/>
  <c r="V53" i="2"/>
  <c r="W45" i="2"/>
  <c r="E113" i="2"/>
  <c r="W86" i="2"/>
  <c r="J51" i="2"/>
  <c r="F77" i="2"/>
  <c r="D75" i="2"/>
  <c r="O70" i="2"/>
  <c r="J60" i="2"/>
  <c r="T105" i="2"/>
  <c r="N67" i="2"/>
  <c r="U85" i="2"/>
  <c r="I44" i="2"/>
  <c r="H109" i="2"/>
  <c r="J67" i="2"/>
  <c r="E77" i="2"/>
  <c r="T110" i="2"/>
  <c r="F67" i="2"/>
  <c r="S98" i="2"/>
  <c r="AB65" i="3"/>
  <c r="AP96" i="3"/>
  <c r="AP97" i="3"/>
  <c r="AP78" i="3"/>
  <c r="AP58" i="3"/>
  <c r="AB82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M71" i="2"/>
  <c r="I49" i="2"/>
  <c r="F40" i="2"/>
  <c r="F113" i="2"/>
  <c r="F99" i="2"/>
  <c r="J65" i="2"/>
  <c r="Q66" i="2"/>
  <c r="W60" i="2"/>
  <c r="C49" i="2"/>
  <c r="W75" i="2"/>
  <c r="T40" i="2"/>
  <c r="W40" i="2"/>
  <c r="K95" i="2"/>
  <c r="W56" i="2"/>
  <c r="H44" i="2"/>
  <c r="E99" i="2"/>
  <c r="Q48" i="2"/>
  <c r="V71" i="2"/>
  <c r="I53" i="2"/>
  <c r="V62" i="2"/>
  <c r="E55" i="2"/>
  <c r="D54" i="2"/>
  <c r="K53" i="2"/>
  <c r="K51" i="2"/>
  <c r="V50" i="2"/>
  <c r="W106" i="2"/>
  <c r="J74" i="2"/>
  <c r="E54" i="2"/>
  <c r="T87" i="2"/>
  <c r="G50" i="2"/>
  <c r="F54" i="2"/>
  <c r="O53" i="2"/>
  <c r="C54" i="2"/>
  <c r="E91" i="2"/>
  <c r="N99" i="2"/>
  <c r="N42" i="2"/>
  <c r="N113" i="2"/>
  <c r="K71" i="2"/>
  <c r="E74" i="2"/>
  <c r="F56" i="2"/>
  <c r="S47" i="2"/>
  <c r="T91" i="2"/>
  <c r="M51" i="2"/>
  <c r="H106" i="2"/>
  <c r="V59" i="2"/>
  <c r="R94" i="2"/>
  <c r="O67" i="2"/>
  <c r="N110" i="2"/>
  <c r="F45" i="2"/>
  <c r="I93" i="2"/>
  <c r="T49" i="2"/>
  <c r="T58" i="2"/>
  <c r="C51" i="2"/>
  <c r="N63" i="2"/>
  <c r="K58" i="2"/>
  <c r="N98" i="2"/>
  <c r="X81" i="2"/>
  <c r="C56" i="2"/>
  <c r="U64" i="2"/>
  <c r="L109" i="2"/>
  <c r="L78" i="2"/>
  <c r="AB83" i="3"/>
  <c r="AP75" i="3"/>
  <c r="AB72" i="3"/>
  <c r="C47" i="3"/>
  <c r="AB75" i="3"/>
  <c r="AP7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T108" i="2"/>
  <c r="K54" i="2"/>
  <c r="W93" i="2"/>
  <c r="E86" i="2"/>
  <c r="M57" i="2"/>
  <c r="T95" i="2"/>
  <c r="F46" i="2"/>
  <c r="C72" i="2"/>
  <c r="R55" i="2"/>
  <c r="P87" i="2"/>
  <c r="H95" i="2"/>
  <c r="I107" i="2"/>
  <c r="F72" i="2"/>
  <c r="P98" i="2"/>
  <c r="T75" i="2"/>
  <c r="G112" i="2"/>
  <c r="L74" i="2"/>
  <c r="G53" i="2"/>
  <c r="U67" i="2"/>
  <c r="X69" i="2"/>
  <c r="H111" i="2"/>
  <c r="R89" i="2"/>
  <c r="S107" i="2"/>
  <c r="N52" i="2"/>
  <c r="P108" i="2"/>
  <c r="O63" i="2"/>
  <c r="V99" i="2"/>
  <c r="L60" i="2"/>
  <c r="T82" i="2"/>
  <c r="F112" i="2"/>
  <c r="T83" i="2"/>
  <c r="M81" i="2"/>
  <c r="W58" i="2"/>
  <c r="X105" i="2"/>
  <c r="L80" i="2"/>
  <c r="R96" i="2"/>
  <c r="I87" i="2"/>
  <c r="V81" i="2"/>
  <c r="N109" i="2"/>
  <c r="O104" i="2"/>
  <c r="O79" i="2"/>
  <c r="C97" i="2"/>
  <c r="V46" i="2"/>
  <c r="Q72" i="2"/>
  <c r="C110" i="2"/>
  <c r="T109" i="2"/>
  <c r="U43" i="2"/>
  <c r="M56" i="2"/>
  <c r="P110" i="2"/>
  <c r="F59" i="2"/>
  <c r="E112" i="2"/>
  <c r="D41" i="2"/>
  <c r="K77" i="2"/>
  <c r="U107" i="2"/>
  <c r="Q51" i="2"/>
  <c r="O50" i="2"/>
  <c r="K63" i="2"/>
  <c r="O61" i="2"/>
  <c r="O62" i="2"/>
  <c r="M42" i="2"/>
  <c r="X45" i="2"/>
  <c r="AP68" i="3"/>
  <c r="AB57" i="3"/>
  <c r="AB47" i="3"/>
  <c r="AB79" i="3"/>
  <c r="AP47" i="3"/>
  <c r="AP54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P55" i="2"/>
  <c r="J43" i="2"/>
  <c r="S109" i="2"/>
  <c r="O74" i="2"/>
  <c r="D53" i="2"/>
  <c r="I83" i="2"/>
  <c r="I76" i="2"/>
  <c r="T65" i="2"/>
  <c r="L51" i="2"/>
  <c r="Q76" i="2"/>
  <c r="W87" i="2"/>
  <c r="W68" i="2"/>
  <c r="E41" i="2"/>
  <c r="O87" i="2"/>
  <c r="H87" i="2"/>
  <c r="E85" i="2"/>
  <c r="W107" i="2"/>
  <c r="M49" i="2"/>
  <c r="Q88" i="2"/>
  <c r="H73" i="2"/>
  <c r="E71" i="2"/>
  <c r="L76" i="2"/>
  <c r="O86" i="2"/>
  <c r="X88" i="2"/>
  <c r="W80" i="2"/>
  <c r="R47" i="2"/>
  <c r="J73" i="2"/>
  <c r="L73" i="2"/>
  <c r="H71" i="2"/>
  <c r="G104" i="2"/>
  <c r="O60" i="2"/>
  <c r="V112" i="2"/>
  <c r="J44" i="2"/>
  <c r="K40" i="2"/>
  <c r="O112" i="2"/>
  <c r="M79" i="2"/>
  <c r="K89" i="2"/>
  <c r="E59" i="2"/>
  <c r="R71" i="2"/>
  <c r="S113" i="2"/>
  <c r="S52" i="2"/>
  <c r="H68" i="2"/>
  <c r="T96" i="2"/>
  <c r="C44" i="2"/>
  <c r="V77" i="2"/>
  <c r="H63" i="2"/>
  <c r="O91" i="2"/>
  <c r="N71" i="2"/>
  <c r="G42" i="2"/>
  <c r="R104" i="2"/>
  <c r="X78" i="2"/>
  <c r="T57" i="2"/>
  <c r="G79" i="2"/>
  <c r="Q73" i="2"/>
  <c r="G62" i="2"/>
  <c r="S66" i="2"/>
  <c r="Q47" i="2"/>
  <c r="M111" i="2"/>
  <c r="F82" i="2"/>
  <c r="L40" i="2"/>
  <c r="V79" i="2"/>
  <c r="AB81" i="3"/>
  <c r="AP93" i="3"/>
  <c r="AP90" i="3"/>
  <c r="AB50" i="3"/>
  <c r="AP81" i="3"/>
  <c r="AP80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I98" i="2"/>
  <c r="X83" i="2"/>
  <c r="E62" i="2"/>
  <c r="P63" i="2"/>
  <c r="I104" i="2"/>
  <c r="D45" i="2"/>
  <c r="X108" i="2"/>
  <c r="C71" i="2"/>
  <c r="J47" i="2"/>
  <c r="H70" i="2"/>
  <c r="M99" i="2"/>
  <c r="S108" i="2"/>
  <c r="S92" i="2"/>
  <c r="V110" i="2"/>
  <c r="W105" i="2"/>
  <c r="S84" i="2"/>
  <c r="T68" i="2"/>
  <c r="V89" i="2"/>
  <c r="N66" i="2"/>
  <c r="S49" i="2"/>
  <c r="G110" i="2"/>
  <c r="O96" i="2"/>
  <c r="W89" i="2"/>
  <c r="W69" i="2"/>
  <c r="U109" i="2"/>
  <c r="S71" i="2"/>
  <c r="L56" i="2"/>
  <c r="E98" i="2"/>
  <c r="D71" i="2"/>
  <c r="J105" i="2"/>
  <c r="J87" i="2"/>
  <c r="L104" i="2"/>
  <c r="R72" i="2"/>
  <c r="X56" i="2"/>
  <c r="T89" i="2"/>
  <c r="C52" i="2"/>
  <c r="Q61" i="2"/>
  <c r="X61" i="2"/>
  <c r="Q42" i="2"/>
  <c r="N79" i="2"/>
  <c r="K57" i="2"/>
  <c r="K112" i="2"/>
  <c r="X53" i="2"/>
  <c r="T93" i="2"/>
  <c r="C78" i="2"/>
  <c r="V68" i="2"/>
  <c r="L106" i="2"/>
  <c r="P57" i="2"/>
  <c r="D68" i="2"/>
  <c r="T74" i="2"/>
  <c r="T62" i="2"/>
  <c r="H45" i="2"/>
  <c r="P56" i="2"/>
  <c r="O66" i="2"/>
  <c r="H97" i="2"/>
  <c r="X109" i="2"/>
  <c r="R50" i="2"/>
  <c r="W112" i="2"/>
  <c r="T63" i="2"/>
  <c r="G83" i="2"/>
  <c r="U113" i="2"/>
  <c r="AB60" i="3"/>
  <c r="AB78" i="3"/>
  <c r="AB93" i="3"/>
  <c r="AP57" i="3"/>
  <c r="AB62" i="3"/>
  <c r="AP76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L81" i="2"/>
  <c r="X90" i="2"/>
  <c r="D76" i="2"/>
  <c r="R112" i="2"/>
  <c r="L79" i="2"/>
  <c r="K96" i="2"/>
  <c r="K69" i="2"/>
  <c r="V108" i="2"/>
  <c r="M64" i="2"/>
  <c r="C66" i="2"/>
  <c r="U108" i="2"/>
  <c r="J81" i="2"/>
  <c r="F93" i="2"/>
  <c r="AP48" i="3"/>
  <c r="AP85" i="3"/>
  <c r="Z30" i="3"/>
  <c r="N26" i="3"/>
  <c r="R24" i="3"/>
  <c r="Z8" i="3"/>
  <c r="O37" i="3"/>
  <c r="S32" i="3"/>
  <c r="AE14" i="3"/>
  <c r="AM8" i="3"/>
  <c r="AB23" i="3"/>
  <c r="AC42" i="3"/>
  <c r="AM26" i="3"/>
  <c r="AN27" i="3"/>
  <c r="AH11" i="3"/>
  <c r="S17" i="3"/>
  <c r="AM13" i="3"/>
  <c r="AK9" i="3"/>
  <c r="K42" i="3"/>
  <c r="U28" i="3"/>
  <c r="R14" i="3"/>
  <c r="AK34" i="3"/>
  <c r="AQ21" i="3"/>
  <c r="H18" i="3"/>
  <c r="AQ37" i="3"/>
  <c r="Y37" i="3"/>
  <c r="AI42" i="3"/>
  <c r="K6" i="3"/>
  <c r="N42" i="3"/>
  <c r="C39" i="3"/>
  <c r="AE30" i="3"/>
  <c r="AA33" i="3"/>
  <c r="H15" i="3"/>
  <c r="Y20" i="3"/>
  <c r="S39" i="3"/>
  <c r="AO28" i="3"/>
  <c r="Q14" i="3"/>
  <c r="U35" i="3"/>
  <c r="Z22" i="3"/>
  <c r="AH26" i="3"/>
  <c r="AE37" i="3"/>
  <c r="AB14" i="3"/>
  <c r="AL18" i="3"/>
  <c r="AI39" i="3"/>
  <c r="R34" i="3"/>
  <c r="K30" i="3"/>
  <c r="AG33" i="3"/>
  <c r="X37" i="3"/>
  <c r="Y10" i="3"/>
  <c r="V21" i="3"/>
  <c r="AK38" i="3"/>
  <c r="AN39" i="3"/>
  <c r="D49" i="3"/>
  <c r="AK26" i="3"/>
  <c r="T38" i="3"/>
  <c r="O12" i="3"/>
  <c r="AJ37" i="3"/>
  <c r="AM18" i="3"/>
  <c r="AA15" i="3"/>
  <c r="C18" i="3"/>
  <c r="AJ27" i="3"/>
  <c r="AN41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M42" i="3"/>
  <c r="K12" i="3"/>
  <c r="AI7" i="3"/>
  <c r="AL24" i="3"/>
  <c r="AJ19" i="3"/>
  <c r="AC38" i="3"/>
  <c r="O31" i="3"/>
  <c r="V42" i="3"/>
  <c r="T40" i="3"/>
  <c r="G47" i="3"/>
  <c r="AK25" i="3"/>
  <c r="P14" i="3"/>
  <c r="P38" i="3"/>
  <c r="Q11" i="3"/>
  <c r="M41" i="3"/>
  <c r="AG35" i="3"/>
  <c r="AD39" i="3"/>
  <c r="N25" i="3"/>
  <c r="AH39" i="3"/>
  <c r="Q9" i="3"/>
  <c r="G39" i="3"/>
  <c r="Y7" i="3"/>
  <c r="AJ13" i="3"/>
  <c r="R37" i="3"/>
  <c r="S19" i="3"/>
  <c r="H23" i="3"/>
  <c r="AM7" i="3"/>
  <c r="AA16" i="3"/>
  <c r="X33" i="3"/>
  <c r="AJ39" i="3"/>
  <c r="AC12" i="3"/>
  <c r="AK40" i="3"/>
  <c r="Q37" i="3"/>
  <c r="AH38" i="3"/>
  <c r="J33" i="3"/>
  <c r="W20" i="3"/>
  <c r="AM19" i="3"/>
  <c r="AB40" i="3"/>
  <c r="AM36" i="3"/>
  <c r="AJ40" i="3"/>
  <c r="C16" i="3"/>
  <c r="V36" i="3"/>
  <c r="AJ21" i="3"/>
  <c r="AG22" i="3"/>
  <c r="Z27" i="3"/>
  <c r="AM42" i="3"/>
  <c r="P33" i="3"/>
  <c r="AA19" i="3"/>
  <c r="AD31" i="3"/>
  <c r="X39" i="3"/>
  <c r="O40" i="3"/>
  <c r="Q8" i="3"/>
  <c r="T27" i="3"/>
  <c r="C13" i="3"/>
  <c r="AC11" i="3"/>
  <c r="R11" i="3"/>
  <c r="W54" i="2"/>
  <c r="I81" i="2"/>
  <c r="G60" i="2"/>
  <c r="L11" i="3"/>
  <c r="I29" i="3"/>
  <c r="U25" i="3"/>
  <c r="R27" i="3"/>
  <c r="AI40" i="3"/>
  <c r="AG14" i="3"/>
  <c r="AM24" i="3"/>
  <c r="R10" i="3"/>
  <c r="AO12" i="3"/>
  <c r="AL28" i="3"/>
  <c r="AA20" i="3"/>
  <c r="V26" i="3"/>
  <c r="Q42" i="3"/>
  <c r="AE40" i="3"/>
  <c r="K8" i="3"/>
  <c r="AO5" i="3"/>
  <c r="V20" i="3"/>
  <c r="T31" i="3"/>
  <c r="K67" i="2"/>
  <c r="M68" i="2"/>
  <c r="H77" i="2"/>
  <c r="L97" i="2"/>
  <c r="AE31" i="3"/>
  <c r="AG7" i="3"/>
  <c r="Q29" i="3"/>
  <c r="U84" i="2"/>
  <c r="R81" i="2"/>
  <c r="X72" i="2"/>
  <c r="D91" i="2"/>
  <c r="C62" i="2"/>
  <c r="M43" i="2"/>
  <c r="T71" i="2"/>
  <c r="K46" i="2"/>
  <c r="K41" i="2"/>
  <c r="E87" i="2"/>
  <c r="X112" i="2"/>
  <c r="N57" i="2"/>
  <c r="N77" i="2"/>
  <c r="AP83" i="3"/>
  <c r="AB56" i="3"/>
  <c r="P32" i="3"/>
  <c r="G36" i="3"/>
  <c r="E49" i="3"/>
  <c r="AD35" i="3"/>
  <c r="K40" i="3"/>
  <c r="J37" i="3"/>
  <c r="U11" i="3"/>
  <c r="AO21" i="3"/>
  <c r="AB22" i="3"/>
  <c r="AD38" i="3"/>
  <c r="H19" i="3"/>
  <c r="AB18" i="3"/>
  <c r="L20" i="3"/>
  <c r="AP26" i="3"/>
  <c r="AN6" i="3"/>
  <c r="AO32" i="3"/>
  <c r="M7" i="3"/>
  <c r="AQ19" i="3"/>
  <c r="AG23" i="3"/>
  <c r="H25" i="3"/>
  <c r="K15" i="3"/>
  <c r="AN24" i="3"/>
  <c r="AC16" i="3"/>
  <c r="M30" i="3"/>
  <c r="Z36" i="3"/>
  <c r="AL21" i="3"/>
  <c r="X21" i="3"/>
  <c r="V13" i="3"/>
  <c r="I6" i="3"/>
  <c r="U26" i="3"/>
  <c r="AL12" i="3"/>
  <c r="N9" i="3"/>
  <c r="I24" i="3"/>
  <c r="V30" i="3"/>
  <c r="Z38" i="3"/>
  <c r="AI22" i="3"/>
  <c r="J5" i="3"/>
  <c r="AK33" i="3"/>
  <c r="AQ26" i="3"/>
  <c r="Q12" i="3"/>
  <c r="C31" i="3"/>
  <c r="V22" i="3"/>
  <c r="AG5" i="3"/>
  <c r="AH27" i="3"/>
  <c r="C4" i="3"/>
  <c r="T29" i="3"/>
  <c r="AP35" i="3"/>
  <c r="V10" i="3"/>
  <c r="H29" i="3"/>
  <c r="R16" i="3"/>
  <c r="K22" i="3"/>
  <c r="P9" i="3"/>
  <c r="AK19" i="3"/>
  <c r="AH12" i="3"/>
  <c r="S18" i="3"/>
  <c r="V40" i="3"/>
  <c r="J14" i="3"/>
  <c r="AC15" i="3"/>
  <c r="W8" i="3"/>
  <c r="AE15" i="3"/>
  <c r="U13" i="3"/>
  <c r="AN30" i="3"/>
  <c r="T42" i="3"/>
  <c r="M16" i="3"/>
  <c r="L10" i="3"/>
  <c r="U40" i="3"/>
  <c r="Q7" i="3"/>
  <c r="AG20" i="3"/>
  <c r="Y9" i="3"/>
  <c r="AL14" i="3"/>
  <c r="AE16" i="3"/>
  <c r="V56" i="2"/>
  <c r="AP13" i="3"/>
  <c r="AN35" i="3"/>
  <c r="AN34" i="3"/>
  <c r="I34" i="3"/>
  <c r="X22" i="3"/>
  <c r="J29" i="3"/>
  <c r="G38" i="3"/>
  <c r="I20" i="3"/>
  <c r="AM10" i="3"/>
  <c r="AA28" i="3"/>
  <c r="AJ9" i="3"/>
  <c r="AI26" i="3"/>
  <c r="D109" i="2"/>
  <c r="E78" i="2"/>
  <c r="AB95" i="3"/>
  <c r="I26" i="3"/>
  <c r="H42" i="3"/>
  <c r="AQ22" i="3"/>
  <c r="AJ32" i="3"/>
  <c r="AE28" i="3"/>
  <c r="AI20" i="3"/>
  <c r="C14" i="3"/>
  <c r="H30" i="3"/>
  <c r="K34" i="3"/>
  <c r="R5" i="3"/>
  <c r="I31" i="3"/>
  <c r="AM6" i="3"/>
  <c r="R19" i="3"/>
  <c r="M14" i="3"/>
  <c r="Y41" i="3"/>
  <c r="U62" i="2"/>
  <c r="AB55" i="3"/>
  <c r="I37" i="3"/>
  <c r="P25" i="3"/>
  <c r="O15" i="3"/>
  <c r="AE19" i="3"/>
  <c r="W6" i="3"/>
  <c r="Y16" i="3"/>
  <c r="Z40" i="3"/>
  <c r="K28" i="3"/>
  <c r="AC24" i="3"/>
  <c r="I17" i="3"/>
  <c r="U16" i="3"/>
  <c r="C26" i="3"/>
  <c r="L93" i="2"/>
  <c r="G48" i="2"/>
  <c r="E92" i="2"/>
  <c r="V94" i="2"/>
  <c r="U90" i="2"/>
  <c r="H69" i="2"/>
  <c r="J48" i="2"/>
  <c r="S56" i="2"/>
  <c r="J90" i="2"/>
  <c r="G78" i="2"/>
  <c r="N55" i="2"/>
  <c r="S64" i="2"/>
  <c r="V95" i="2"/>
  <c r="AP55" i="3"/>
  <c r="C49" i="3"/>
  <c r="AG39" i="3"/>
  <c r="T17" i="3"/>
  <c r="AH21" i="3"/>
  <c r="S36" i="3"/>
  <c r="AA9" i="3"/>
  <c r="M11" i="3"/>
  <c r="O5" i="3"/>
  <c r="I39" i="3"/>
  <c r="AM14" i="3"/>
  <c r="AP34" i="3"/>
  <c r="C32" i="3"/>
  <c r="M9" i="3"/>
  <c r="V34" i="3"/>
  <c r="AJ14" i="3"/>
  <c r="T22" i="3"/>
  <c r="I25" i="3"/>
  <c r="C42" i="3"/>
  <c r="AN17" i="3"/>
  <c r="V38" i="3"/>
  <c r="AH10" i="3"/>
  <c r="AO10" i="3"/>
  <c r="Q22" i="3"/>
  <c r="AG34" i="3"/>
  <c r="AB27" i="3"/>
  <c r="AO9" i="3"/>
  <c r="O10" i="3"/>
  <c r="U14" i="3"/>
  <c r="I33" i="3"/>
  <c r="AC28" i="3"/>
  <c r="X9" i="3"/>
  <c r="AM35" i="3"/>
  <c r="AG12" i="3"/>
  <c r="AG16" i="3"/>
  <c r="V28" i="3"/>
  <c r="AG24" i="3"/>
  <c r="L34" i="3"/>
  <c r="AB17" i="3"/>
  <c r="S14" i="3"/>
  <c r="K25" i="3"/>
  <c r="Q25" i="3"/>
  <c r="W32" i="3"/>
  <c r="D48" i="3"/>
  <c r="AC41" i="3"/>
  <c r="W25" i="3"/>
  <c r="W30" i="3"/>
  <c r="R7" i="3"/>
  <c r="Y21" i="3"/>
  <c r="G86" i="2"/>
  <c r="Y39" i="3"/>
  <c r="V32" i="3"/>
  <c r="S5" i="3"/>
  <c r="I11" i="3"/>
  <c r="AQ34" i="3"/>
  <c r="V37" i="3"/>
  <c r="X23" i="3"/>
  <c r="N41" i="3"/>
  <c r="T80" i="2"/>
  <c r="L29" i="3"/>
  <c r="N27" i="3"/>
  <c r="M85" i="2"/>
  <c r="U59" i="2"/>
  <c r="S58" i="2"/>
  <c r="N61" i="2"/>
  <c r="Z28" i="3"/>
  <c r="AG8" i="3"/>
  <c r="L38" i="3"/>
  <c r="AO16" i="3"/>
  <c r="AD47" i="3"/>
  <c r="I27" i="3"/>
  <c r="AP29" i="3"/>
  <c r="Z16" i="3"/>
  <c r="AG40" i="3"/>
  <c r="S28" i="3"/>
  <c r="L41" i="3"/>
  <c r="AO26" i="3"/>
  <c r="V23" i="3"/>
  <c r="X18" i="3"/>
  <c r="I5" i="3"/>
  <c r="AP21" i="3"/>
  <c r="K49" i="2"/>
  <c r="E104" i="2"/>
  <c r="I56" i="2"/>
  <c r="X95" i="2"/>
  <c r="T106" i="2"/>
  <c r="I42" i="2"/>
  <c r="H42" i="2"/>
  <c r="I110" i="2"/>
  <c r="I75" i="2"/>
  <c r="G64" i="2"/>
  <c r="G69" i="2"/>
  <c r="N92" i="2"/>
  <c r="C63" i="2"/>
  <c r="AP71" i="3"/>
  <c r="AP50" i="3"/>
  <c r="H17" i="3"/>
  <c r="AO33" i="3"/>
  <c r="AG42" i="3"/>
  <c r="AE24" i="3"/>
  <c r="H14" i="3"/>
  <c r="N39" i="3"/>
  <c r="X28" i="3"/>
  <c r="U41" i="3"/>
  <c r="AM40" i="3"/>
  <c r="AG27" i="3"/>
  <c r="N10" i="3"/>
  <c r="R40" i="3"/>
  <c r="V33" i="3"/>
  <c r="R6" i="3"/>
  <c r="Q38" i="3"/>
  <c r="AI34" i="3"/>
  <c r="C33" i="3"/>
  <c r="N32" i="3"/>
  <c r="C8" i="3"/>
  <c r="AC17" i="3"/>
  <c r="AA32" i="3"/>
  <c r="AN19" i="3"/>
  <c r="T11" i="3"/>
  <c r="I18" i="3"/>
  <c r="O27" i="3"/>
  <c r="P19" i="3"/>
  <c r="N28" i="3"/>
  <c r="Y32" i="3"/>
  <c r="AC31" i="3"/>
  <c r="C6" i="3"/>
  <c r="I10" i="3"/>
  <c r="M27" i="3"/>
  <c r="L9" i="3"/>
  <c r="R21" i="3"/>
  <c r="X40" i="3"/>
  <c r="AD36" i="3"/>
  <c r="AK14" i="3"/>
  <c r="Z21" i="3"/>
  <c r="I12" i="3"/>
  <c r="Y26" i="3"/>
  <c r="AN21" i="3"/>
  <c r="G33" i="3"/>
  <c r="AN42" i="3"/>
  <c r="Y12" i="3"/>
  <c r="AA22" i="3"/>
  <c r="AK32" i="3"/>
  <c r="Z5" i="3"/>
  <c r="AN18" i="3"/>
  <c r="N16" i="3"/>
  <c r="Y15" i="3"/>
  <c r="V35" i="3"/>
  <c r="R8" i="3"/>
  <c r="AC10" i="3"/>
  <c r="U32" i="3"/>
  <c r="AH9" i="3"/>
  <c r="AO19" i="3"/>
  <c r="U42" i="3"/>
  <c r="K32" i="3"/>
  <c r="AN26" i="3"/>
  <c r="Z17" i="3"/>
  <c r="R12" i="3"/>
  <c r="Q32" i="3"/>
  <c r="AK18" i="3"/>
  <c r="AG25" i="3"/>
  <c r="AD29" i="3"/>
  <c r="AA24" i="3"/>
  <c r="U20" i="3"/>
  <c r="AB15" i="3"/>
  <c r="H33" i="3"/>
  <c r="X42" i="3"/>
  <c r="AQ35" i="3"/>
  <c r="K37" i="3"/>
  <c r="AO36" i="3"/>
  <c r="N18" i="3"/>
  <c r="S6" i="3"/>
  <c r="J30" i="3"/>
  <c r="AG9" i="3"/>
  <c r="AM38" i="3"/>
  <c r="Q39" i="3"/>
  <c r="AH6" i="3"/>
  <c r="D60" i="2"/>
  <c r="D113" i="2"/>
  <c r="X84" i="2"/>
  <c r="O39" i="3"/>
  <c r="H21" i="3"/>
  <c r="P21" i="3"/>
  <c r="E48" i="3"/>
  <c r="AI29" i="3"/>
  <c r="AK16" i="3"/>
  <c r="H22" i="3"/>
  <c r="E107" i="2"/>
  <c r="J49" i="2"/>
  <c r="X97" i="2"/>
  <c r="AP62" i="3"/>
  <c r="AI38" i="3"/>
  <c r="AJ36" i="3"/>
  <c r="AE17" i="3"/>
  <c r="W38" i="3"/>
  <c r="R31" i="3"/>
  <c r="C10" i="3"/>
  <c r="AN15" i="3"/>
  <c r="S37" i="3"/>
  <c r="L35" i="3"/>
  <c r="R110" i="2"/>
  <c r="AI15" i="3"/>
  <c r="C40" i="3"/>
  <c r="AK20" i="3"/>
  <c r="Q41" i="3"/>
  <c r="AH28" i="3"/>
  <c r="AI25" i="3"/>
  <c r="Z41" i="3"/>
  <c r="Q24" i="3"/>
  <c r="K14" i="3"/>
  <c r="AL32" i="3"/>
  <c r="AL5" i="3"/>
  <c r="H8" i="3"/>
  <c r="W39" i="3"/>
  <c r="AO8" i="3"/>
  <c r="AI17" i="3"/>
  <c r="AN13" i="3"/>
  <c r="AE12" i="3"/>
  <c r="AI14" i="3"/>
  <c r="G47" i="2"/>
  <c r="W62" i="2"/>
  <c r="V105" i="2"/>
  <c r="D96" i="2"/>
  <c r="E83" i="2"/>
  <c r="X107" i="2"/>
  <c r="S83" i="2"/>
  <c r="R45" i="2"/>
  <c r="R68" i="2"/>
  <c r="G70" i="2"/>
  <c r="L67" i="2"/>
  <c r="V83" i="2"/>
  <c r="AB61" i="3"/>
  <c r="AB94" i="3"/>
  <c r="AP89" i="3"/>
  <c r="AL33" i="3"/>
  <c r="J16" i="3"/>
  <c r="O21" i="3"/>
  <c r="O28" i="3"/>
  <c r="P41" i="3"/>
  <c r="W18" i="3"/>
  <c r="I8" i="3"/>
  <c r="AE39" i="3"/>
  <c r="AC29" i="3"/>
  <c r="V9" i="3"/>
  <c r="AP8" i="3"/>
  <c r="R30" i="3"/>
  <c r="N20" i="3"/>
  <c r="AK22" i="3"/>
  <c r="AE42" i="3"/>
  <c r="AC7" i="3"/>
  <c r="S27" i="3"/>
  <c r="AL39" i="3"/>
  <c r="AP11" i="3"/>
  <c r="AB42" i="3"/>
  <c r="I21" i="3"/>
  <c r="E50" i="3"/>
  <c r="L36" i="3"/>
  <c r="S24" i="3"/>
  <c r="AN29" i="3"/>
  <c r="AE41" i="3"/>
  <c r="AE29" i="3"/>
  <c r="R33" i="3"/>
  <c r="AA13" i="3"/>
  <c r="P24" i="3"/>
  <c r="Z7" i="3"/>
  <c r="AI18" i="3"/>
  <c r="S26" i="3"/>
  <c r="AQ15" i="3"/>
  <c r="P42" i="3"/>
  <c r="W42" i="3"/>
  <c r="AI35" i="3"/>
  <c r="AQ27" i="3"/>
  <c r="U27" i="3"/>
  <c r="AG19" i="3"/>
  <c r="N7" i="3"/>
  <c r="AN16" i="3"/>
  <c r="Z42" i="3"/>
  <c r="AN11" i="3"/>
  <c r="AM28" i="3"/>
  <c r="K17" i="3"/>
  <c r="L7" i="3"/>
  <c r="J28" i="3"/>
  <c r="V5" i="3"/>
  <c r="S22" i="3"/>
  <c r="AK8" i="3"/>
  <c r="N11" i="3"/>
  <c r="N17" i="3"/>
  <c r="V17" i="3"/>
  <c r="S15" i="3"/>
  <c r="S25" i="3"/>
  <c r="X11" i="3"/>
  <c r="I32" i="3"/>
  <c r="O34" i="3"/>
  <c r="AB16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C30" i="3"/>
  <c r="N33" i="3"/>
  <c r="AE27" i="3"/>
  <c r="Q18" i="3"/>
  <c r="J31" i="3"/>
  <c r="V39" i="3"/>
  <c r="Y29" i="3"/>
  <c r="S10" i="3"/>
  <c r="AG13" i="3"/>
  <c r="P36" i="3"/>
  <c r="J26" i="3"/>
  <c r="T6" i="3"/>
  <c r="N22" i="3"/>
  <c r="X6" i="3"/>
  <c r="G98" i="2"/>
  <c r="AB85" i="3"/>
  <c r="AI41" i="3"/>
  <c r="AO24" i="3"/>
  <c r="M31" i="3"/>
  <c r="O19" i="3"/>
  <c r="Z14" i="3"/>
  <c r="H89" i="2"/>
  <c r="I28" i="3"/>
  <c r="C22" i="3"/>
  <c r="AL16" i="3"/>
  <c r="C24" i="3"/>
  <c r="I40" i="3"/>
  <c r="N30" i="3"/>
  <c r="AL36" i="3"/>
  <c r="AI37" i="3"/>
  <c r="M40" i="3"/>
  <c r="Q79" i="2"/>
  <c r="D108" i="2"/>
  <c r="M86" i="2"/>
  <c r="L45" i="2"/>
  <c r="L108" i="2"/>
  <c r="U61" i="2"/>
  <c r="J85" i="2"/>
  <c r="V109" i="2"/>
  <c r="V91" i="2"/>
  <c r="W104" i="2"/>
  <c r="N44" i="2"/>
  <c r="S54" i="2"/>
  <c r="X85" i="2"/>
  <c r="AB68" i="3"/>
  <c r="AP65" i="3"/>
  <c r="AB64" i="3"/>
  <c r="C37" i="3"/>
  <c r="AP10" i="3"/>
  <c r="R36" i="3"/>
  <c r="AH16" i="3"/>
  <c r="I36" i="3"/>
  <c r="AL30" i="3"/>
  <c r="Z11" i="3"/>
  <c r="H24" i="3"/>
  <c r="Z35" i="3"/>
  <c r="AM39" i="3"/>
  <c r="AA31" i="3"/>
  <c r="AI10" i="3"/>
  <c r="AA6" i="3"/>
  <c r="AB21" i="3"/>
  <c r="P18" i="3"/>
  <c r="AQ9" i="3"/>
  <c r="L28" i="3"/>
  <c r="AJ5" i="3"/>
  <c r="H35" i="3"/>
  <c r="AB6" i="3"/>
  <c r="AM20" i="3"/>
  <c r="AQ33" i="3"/>
  <c r="W31" i="3"/>
  <c r="AC14" i="3"/>
  <c r="Q40" i="3"/>
  <c r="Y36" i="3"/>
  <c r="AL7" i="3"/>
  <c r="AH34" i="3"/>
  <c r="Z23" i="3"/>
  <c r="K10" i="3"/>
  <c r="AA14" i="3"/>
  <c r="J20" i="3"/>
  <c r="U9" i="3"/>
  <c r="U39" i="3"/>
  <c r="L42" i="3"/>
  <c r="AL6" i="3"/>
  <c r="L17" i="3"/>
  <c r="R13" i="3"/>
  <c r="AJ26" i="3"/>
  <c r="T37" i="3"/>
  <c r="U10" i="3"/>
  <c r="Z18" i="3"/>
  <c r="AM31" i="3"/>
  <c r="M28" i="3"/>
  <c r="Y5" i="3"/>
  <c r="S8" i="3"/>
  <c r="AA18" i="3"/>
  <c r="AD34" i="3"/>
  <c r="V14" i="3"/>
  <c r="AL19" i="3"/>
  <c r="J10" i="3"/>
  <c r="M18" i="3"/>
  <c r="AI8" i="3"/>
  <c r="J24" i="3"/>
  <c r="O13" i="3"/>
  <c r="AK28" i="3"/>
  <c r="K99" i="2"/>
  <c r="O88" i="2"/>
  <c r="AB59" i="3"/>
  <c r="T25" i="3"/>
  <c r="AO15" i="3"/>
  <c r="AL37" i="3"/>
  <c r="M39" i="3"/>
  <c r="AA42" i="3"/>
  <c r="K18" i="3"/>
  <c r="O26" i="3"/>
  <c r="AD30" i="3"/>
  <c r="AN28" i="3"/>
  <c r="N13" i="3"/>
  <c r="AE35" i="3"/>
  <c r="D47" i="3"/>
  <c r="P12" i="3"/>
  <c r="AJ6" i="3"/>
  <c r="Q93" i="2"/>
  <c r="V44" i="2"/>
  <c r="AP94" i="3"/>
  <c r="AN22" i="3"/>
  <c r="Y6" i="3"/>
  <c r="AH32" i="3"/>
  <c r="AL40" i="3"/>
  <c r="AB7" i="3"/>
  <c r="J6" i="3"/>
  <c r="T42" i="2"/>
  <c r="X79" i="2"/>
  <c r="E89" i="2"/>
  <c r="X51" i="2"/>
  <c r="J70" i="2"/>
  <c r="W78" i="2"/>
  <c r="S110" i="2"/>
  <c r="T52" i="2"/>
  <c r="K73" i="2"/>
  <c r="E48" i="2"/>
  <c r="I79" i="2"/>
  <c r="O108" i="2"/>
  <c r="AP56" i="3"/>
  <c r="AB96" i="3"/>
  <c r="AP49" i="3"/>
  <c r="AJ38" i="3"/>
  <c r="M10" i="3"/>
  <c r="Q36" i="3"/>
  <c r="W37" i="3"/>
  <c r="L37" i="3"/>
  <c r="X34" i="3"/>
  <c r="M15" i="3"/>
  <c r="AM41" i="3"/>
  <c r="Z12" i="3"/>
  <c r="S34" i="3"/>
  <c r="H40" i="3"/>
  <c r="AC13" i="3"/>
  <c r="Q23" i="3"/>
  <c r="J27" i="3"/>
  <c r="M26" i="3"/>
  <c r="V25" i="3"/>
  <c r="AG21" i="3"/>
  <c r="AE8" i="3"/>
  <c r="X5" i="3"/>
  <c r="AC9" i="3"/>
  <c r="AB26" i="3"/>
  <c r="Y24" i="3"/>
  <c r="AM30" i="3"/>
  <c r="H7" i="3"/>
  <c r="AC5" i="3"/>
  <c r="AO38" i="3"/>
  <c r="W13" i="3"/>
  <c r="P23" i="3"/>
  <c r="AJ12" i="3"/>
  <c r="AA11" i="3"/>
  <c r="AD33" i="3"/>
  <c r="AM23" i="3"/>
  <c r="R23" i="3"/>
  <c r="T19" i="3"/>
  <c r="AK35" i="3"/>
  <c r="AO18" i="3"/>
  <c r="R41" i="3"/>
  <c r="AN10" i="3"/>
  <c r="AB28" i="3"/>
  <c r="W23" i="3"/>
  <c r="AC21" i="3"/>
  <c r="O36" i="3"/>
  <c r="AK6" i="3"/>
  <c r="U5" i="3"/>
  <c r="K11" i="3"/>
  <c r="L40" i="3"/>
  <c r="X8" i="3"/>
  <c r="AG41" i="3"/>
  <c r="R22" i="3"/>
  <c r="Z39" i="3"/>
  <c r="AJ42" i="3"/>
  <c r="AP27" i="3"/>
  <c r="N23" i="3"/>
  <c r="M24" i="3"/>
  <c r="AC40" i="3"/>
  <c r="AB32" i="3"/>
  <c r="AM15" i="3"/>
  <c r="AL35" i="3"/>
  <c r="AH18" i="3"/>
  <c r="AC34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P91" i="3"/>
  <c r="K38" i="3"/>
  <c r="AI11" i="3"/>
  <c r="W19" i="3"/>
  <c r="K35" i="3"/>
  <c r="AK29" i="3"/>
  <c r="AN23" i="3"/>
  <c r="O20" i="3"/>
  <c r="R26" i="3"/>
  <c r="AB24" i="3"/>
  <c r="AB29" i="3"/>
  <c r="AB13" i="3"/>
  <c r="AM29" i="3"/>
  <c r="AO30" i="3"/>
  <c r="AB25" i="3"/>
  <c r="AL13" i="3"/>
  <c r="AH25" i="3"/>
  <c r="O25" i="3"/>
  <c r="AD26" i="3"/>
  <c r="AO42" i="3"/>
  <c r="H39" i="3"/>
  <c r="AD41" i="3"/>
  <c r="F95" i="2"/>
  <c r="AP92" i="3"/>
  <c r="Y31" i="3"/>
  <c r="AL25" i="3"/>
  <c r="P28" i="3"/>
  <c r="Q20" i="3"/>
  <c r="U17" i="3"/>
  <c r="V19" i="3"/>
  <c r="AO27" i="3"/>
  <c r="O78" i="2"/>
  <c r="K83" i="2"/>
  <c r="M59" i="2"/>
  <c r="AH23" i="3"/>
  <c r="R32" i="3"/>
  <c r="C25" i="3"/>
  <c r="AM9" i="3"/>
  <c r="AI31" i="3"/>
  <c r="AP17" i="3"/>
  <c r="AJ18" i="3"/>
  <c r="Y35" i="3"/>
  <c r="H26" i="3"/>
  <c r="T18" i="3"/>
  <c r="H31" i="3"/>
  <c r="K7" i="3"/>
  <c r="AM27" i="3"/>
  <c r="L21" i="3"/>
  <c r="AQ7" i="3"/>
  <c r="J19" i="3"/>
  <c r="L96" i="2"/>
  <c r="C28" i="3"/>
  <c r="AL31" i="3"/>
  <c r="AB30" i="3"/>
  <c r="C15" i="3"/>
  <c r="S38" i="3"/>
  <c r="X25" i="3"/>
  <c r="X26" i="3"/>
  <c r="W41" i="3"/>
  <c r="AJ28" i="3"/>
  <c r="AP20" i="3"/>
  <c r="T20" i="3"/>
  <c r="AQ31" i="3"/>
  <c r="AC32" i="3"/>
  <c r="AH5" i="3"/>
  <c r="AO13" i="3"/>
  <c r="M21" i="3"/>
  <c r="AA35" i="3"/>
  <c r="N112" i="2"/>
  <c r="W59" i="2"/>
  <c r="J91" i="2"/>
  <c r="L57" i="2"/>
  <c r="N95" i="2"/>
  <c r="F79" i="2"/>
  <c r="J77" i="2"/>
  <c r="E97" i="2"/>
  <c r="R65" i="2"/>
  <c r="J95" i="2"/>
  <c r="G51" i="2"/>
  <c r="U40" i="2"/>
  <c r="AB73" i="3"/>
  <c r="AB76" i="3"/>
  <c r="Z19" i="3"/>
  <c r="I38" i="3"/>
  <c r="P10" i="3"/>
  <c r="S35" i="3"/>
  <c r="W15" i="3"/>
  <c r="M22" i="3"/>
  <c r="AK24" i="3"/>
  <c r="AK11" i="3"/>
  <c r="AO34" i="3"/>
  <c r="G50" i="3"/>
  <c r="T10" i="3"/>
  <c r="AP22" i="3"/>
  <c r="AD48" i="3"/>
  <c r="S23" i="3"/>
  <c r="AK10" i="3"/>
  <c r="H10" i="3"/>
  <c r="M12" i="3"/>
  <c r="Q30" i="3"/>
  <c r="L15" i="3"/>
  <c r="AA7" i="3"/>
  <c r="O32" i="3"/>
  <c r="W17" i="3"/>
  <c r="AQ5" i="3"/>
  <c r="X42" i="2"/>
  <c r="U12" i="3"/>
  <c r="AG18" i="3"/>
  <c r="AE20" i="3"/>
  <c r="AD40" i="3"/>
  <c r="AL29" i="3"/>
  <c r="U34" i="3"/>
  <c r="U29" i="3"/>
  <c r="AA29" i="3"/>
  <c r="K39" i="3"/>
  <c r="Y42" i="3"/>
  <c r="T15" i="3"/>
  <c r="S20" i="3"/>
  <c r="J22" i="3"/>
  <c r="AO40" i="3"/>
  <c r="C93" i="2"/>
  <c r="I58" i="2"/>
  <c r="AP66" i="3"/>
  <c r="AL41" i="3"/>
  <c r="I19" i="3"/>
  <c r="N14" i="3"/>
  <c r="AH36" i="3"/>
  <c r="K23" i="3"/>
  <c r="AQ40" i="3"/>
  <c r="AQ30" i="3"/>
  <c r="G49" i="3"/>
  <c r="Q15" i="3"/>
  <c r="C20" i="3"/>
  <c r="AQ13" i="3"/>
  <c r="Z29" i="3"/>
  <c r="N38" i="3"/>
  <c r="J39" i="3"/>
  <c r="AJ10" i="3"/>
  <c r="AI13" i="3"/>
  <c r="AN36" i="3"/>
  <c r="G34" i="3"/>
  <c r="AB31" i="3"/>
  <c r="X20" i="3"/>
  <c r="AD49" i="3"/>
  <c r="AL11" i="3"/>
  <c r="AK15" i="3"/>
  <c r="K16" i="3"/>
  <c r="X41" i="3"/>
  <c r="AA38" i="3"/>
  <c r="K26" i="3"/>
  <c r="AJ7" i="3"/>
  <c r="AA27" i="3"/>
  <c r="O84" i="2"/>
  <c r="T90" i="2"/>
  <c r="U78" i="2"/>
  <c r="C45" i="2"/>
  <c r="S45" i="2"/>
  <c r="V104" i="2"/>
  <c r="M90" i="2"/>
  <c r="P49" i="2"/>
  <c r="X104" i="2"/>
  <c r="D94" i="2"/>
  <c r="N70" i="2"/>
  <c r="P45" i="2"/>
  <c r="U51" i="2"/>
  <c r="AB77" i="3"/>
  <c r="AB54" i="3"/>
  <c r="AM33" i="3"/>
  <c r="P39" i="3"/>
  <c r="S16" i="3"/>
  <c r="I23" i="3"/>
  <c r="AB41" i="3"/>
  <c r="AA12" i="3"/>
  <c r="K36" i="3"/>
  <c r="N5" i="3"/>
  <c r="AH24" i="3"/>
  <c r="AA36" i="3"/>
  <c r="M20" i="3"/>
  <c r="Q26" i="3"/>
  <c r="G32" i="3"/>
  <c r="S40" i="3"/>
  <c r="J7" i="3"/>
  <c r="I41" i="3"/>
  <c r="S30" i="3"/>
  <c r="AQ23" i="3"/>
  <c r="L26" i="3"/>
  <c r="AI19" i="3"/>
  <c r="W36" i="3"/>
  <c r="I35" i="3"/>
  <c r="J21" i="3"/>
  <c r="AO29" i="3"/>
  <c r="AG36" i="3"/>
  <c r="AE38" i="3"/>
  <c r="M5" i="3"/>
  <c r="L27" i="3"/>
  <c r="AD21" i="3"/>
  <c r="Q28" i="3"/>
  <c r="Y33" i="3"/>
  <c r="M8" i="3"/>
  <c r="AN40" i="3"/>
  <c r="AN38" i="3"/>
  <c r="P15" i="3"/>
  <c r="P31" i="3"/>
  <c r="AM17" i="3"/>
  <c r="AL26" i="3"/>
  <c r="AH19" i="3"/>
  <c r="P37" i="3"/>
  <c r="X17" i="3"/>
  <c r="S29" i="3"/>
  <c r="T9" i="3"/>
  <c r="L12" i="3"/>
  <c r="Q21" i="3"/>
  <c r="P7" i="3"/>
  <c r="N31" i="3"/>
  <c r="AP24" i="3"/>
  <c r="K27" i="3"/>
  <c r="T39" i="3"/>
  <c r="AB8" i="3"/>
  <c r="AL23" i="3"/>
  <c r="U38" i="3"/>
  <c r="N37" i="3"/>
  <c r="AE26" i="3"/>
  <c r="C36" i="3"/>
  <c r="AK23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C92" i="3"/>
  <c r="AK76" i="3"/>
  <c r="Q77" i="3"/>
  <c r="Y71" i="3"/>
  <c r="V73" i="3"/>
  <c r="M79" i="3"/>
  <c r="I73" i="3"/>
  <c r="AO91" i="3"/>
  <c r="R77" i="3"/>
  <c r="AA77" i="3"/>
  <c r="AK84" i="3"/>
  <c r="H83" i="3"/>
  <c r="L87" i="3"/>
  <c r="H57" i="3"/>
  <c r="Q83" i="3"/>
  <c r="N55" i="3"/>
  <c r="U70" i="3"/>
  <c r="Y77" i="3"/>
  <c r="I60" i="3"/>
  <c r="M7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T91" i="3"/>
  <c r="H59" i="3"/>
  <c r="L71" i="3"/>
  <c r="AN93" i="3"/>
  <c r="O89" i="3"/>
  <c r="T81" i="3"/>
  <c r="AK47" i="3"/>
  <c r="AH75" i="3"/>
  <c r="T82" i="3"/>
  <c r="U55" i="3"/>
  <c r="AJ68" i="3"/>
  <c r="AJ62" i="3"/>
  <c r="AN56" i="3"/>
  <c r="K95" i="3"/>
  <c r="J63" i="3"/>
  <c r="R81" i="3"/>
  <c r="AO60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S61" i="3"/>
  <c r="Y95" i="3"/>
  <c r="H95" i="3"/>
  <c r="AC96" i="3"/>
  <c r="S89" i="3"/>
  <c r="AO70" i="3"/>
  <c r="I71" i="3"/>
  <c r="AE62" i="3"/>
  <c r="AH81" i="3"/>
  <c r="I94" i="3"/>
  <c r="I85" i="3"/>
  <c r="V82" i="3"/>
  <c r="P83" i="3"/>
  <c r="AM94" i="3"/>
  <c r="AK75" i="3"/>
  <c r="P49" i="3"/>
  <c r="AK70" i="3"/>
  <c r="X95" i="3"/>
  <c r="AQ90" i="3"/>
  <c r="N74" i="3"/>
  <c r="AM95" i="3"/>
  <c r="X48" i="3"/>
  <c r="N60" i="3"/>
  <c r="W54" i="3"/>
  <c r="AH92" i="3"/>
  <c r="P81" i="3"/>
  <c r="I91" i="3"/>
  <c r="AJ78" i="3"/>
  <c r="W72" i="3"/>
  <c r="AM70" i="3"/>
  <c r="X74" i="3"/>
  <c r="T56" i="3"/>
  <c r="AL80" i="3"/>
  <c r="S62" i="3"/>
  <c r="AM57" i="3"/>
  <c r="S74" i="3"/>
  <c r="I63" i="3"/>
  <c r="V89" i="3"/>
  <c r="L74" i="3"/>
  <c r="L85" i="3"/>
  <c r="AI62" i="3"/>
  <c r="K71" i="3"/>
  <c r="I61" i="3"/>
  <c r="AN55" i="3"/>
  <c r="AE71" i="3"/>
  <c r="N63" i="3"/>
  <c r="AH47" i="3"/>
  <c r="K76" i="3"/>
  <c r="H56" i="3"/>
  <c r="R57" i="3"/>
  <c r="AJ92" i="3"/>
  <c r="K65" i="3"/>
  <c r="S6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Z79" i="3"/>
  <c r="K74" i="3"/>
  <c r="AH86" i="3"/>
  <c r="R75" i="3"/>
  <c r="P91" i="3"/>
  <c r="J61" i="3"/>
  <c r="AK50" i="3"/>
  <c r="K81" i="3"/>
  <c r="AO75" i="3"/>
  <c r="P95" i="3"/>
  <c r="O73" i="3"/>
  <c r="AJ86" i="3"/>
  <c r="J62" i="3"/>
  <c r="AG72" i="3"/>
  <c r="K88" i="3"/>
  <c r="AQ69" i="3"/>
  <c r="Z59" i="3"/>
  <c r="I82" i="3"/>
  <c r="Q65" i="3"/>
  <c r="U72" i="3"/>
  <c r="Z95" i="3"/>
  <c r="AN87" i="3"/>
  <c r="J67" i="3"/>
  <c r="X87" i="3"/>
  <c r="V59" i="3"/>
  <c r="S64" i="3"/>
  <c r="AE77" i="3"/>
  <c r="AA68" i="3"/>
  <c r="AQ50" i="3"/>
  <c r="AG89" i="3"/>
  <c r="AO87" i="3"/>
  <c r="X96" i="3"/>
  <c r="U75" i="3"/>
  <c r="AA62" i="3"/>
  <c r="AQ89" i="3"/>
  <c r="R85" i="3"/>
  <c r="AJ90" i="3"/>
  <c r="Z71" i="3"/>
  <c r="AA67" i="3"/>
  <c r="AC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64" i="3"/>
  <c r="AQ68" i="3"/>
  <c r="AH93" i="3"/>
  <c r="AE57" i="3"/>
  <c r="AA69" i="3"/>
  <c r="AH8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I95" i="3"/>
  <c r="T60" i="3"/>
  <c r="T90" i="3"/>
  <c r="K96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C48" i="3"/>
  <c r="H50" i="3"/>
  <c r="P67" i="3"/>
  <c r="J77" i="3"/>
  <c r="O55" i="3"/>
  <c r="AC67" i="3"/>
  <c r="X50" i="3"/>
  <c r="AO9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G95" i="3"/>
  <c r="AK78" i="3"/>
  <c r="AI81" i="3"/>
  <c r="S92" i="3"/>
  <c r="V90" i="3"/>
  <c r="AL79" i="3"/>
  <c r="AH87" i="3"/>
  <c r="AQ60" i="3"/>
  <c r="AG91" i="3"/>
  <c r="S83" i="3"/>
  <c r="AC85" i="3"/>
  <c r="N89" i="3"/>
  <c r="I74" i="3"/>
  <c r="AH90" i="3"/>
  <c r="R83" i="3"/>
  <c r="W79" i="3"/>
  <c r="T73" i="3"/>
  <c r="AG55" i="3"/>
  <c r="AE56" i="3"/>
  <c r="N54" i="3"/>
  <c r="L58" i="3"/>
  <c r="AH94" i="3"/>
  <c r="O70" i="3"/>
  <c r="Z56" i="3"/>
  <c r="Y93" i="3"/>
  <c r="N66" i="3"/>
  <c r="U92" i="3"/>
  <c r="Y92" i="3"/>
  <c r="AL90" i="3"/>
  <c r="U94" i="3"/>
  <c r="N70" i="3"/>
  <c r="AO92" i="3"/>
  <c r="S60" i="3"/>
  <c r="P64" i="3"/>
  <c r="L76" i="3"/>
  <c r="K78" i="3"/>
  <c r="X56" i="3"/>
  <c r="T83" i="3"/>
  <c r="AL47" i="3"/>
  <c r="H93" i="3"/>
  <c r="O68" i="3"/>
  <c r="AJ48" i="3"/>
  <c r="AK91" i="3"/>
  <c r="AE78" i="3"/>
  <c r="I70" i="3"/>
  <c r="Z69" i="3"/>
  <c r="AC80" i="3"/>
  <c r="K70" i="3"/>
  <c r="AQ71" i="3"/>
  <c r="AL48" i="3"/>
  <c r="R97" i="3"/>
  <c r="V67" i="3"/>
  <c r="R49" i="3"/>
  <c r="L95" i="3"/>
  <c r="J84" i="3"/>
  <c r="AI59" i="3"/>
  <c r="X61" i="3"/>
  <c r="AM56" i="3"/>
  <c r="M90" i="3"/>
  <c r="Q89" i="3"/>
  <c r="O85" i="3"/>
  <c r="AA63" i="3"/>
  <c r="AE83" i="3"/>
  <c r="K66" i="3"/>
  <c r="AL55" i="3"/>
  <c r="AE87" i="3"/>
  <c r="AN88" i="3"/>
  <c r="Y60" i="3"/>
  <c r="AG57" i="3"/>
  <c r="I78" i="3"/>
  <c r="W63" i="3"/>
  <c r="AI55" i="3"/>
  <c r="M56" i="3"/>
  <c r="AC88" i="3"/>
  <c r="M70" i="3"/>
  <c r="S91" i="3"/>
  <c r="AG94" i="3"/>
  <c r="Q90" i="3"/>
  <c r="P72" i="3"/>
  <c r="AH58" i="3"/>
  <c r="N86" i="3"/>
  <c r="AI49" i="3"/>
  <c r="L79" i="3"/>
  <c r="K94" i="3"/>
  <c r="AM64" i="3"/>
  <c r="X76" i="3"/>
  <c r="AN84" i="3"/>
  <c r="AQ48" i="3"/>
  <c r="M66" i="3"/>
  <c r="AN66" i="3"/>
  <c r="AM63" i="3"/>
  <c r="H54" i="3"/>
  <c r="AM79" i="3"/>
  <c r="AI67" i="3"/>
  <c r="Y68" i="3"/>
  <c r="N80" i="3"/>
  <c r="AA75" i="3"/>
  <c r="X72" i="3"/>
  <c r="U93" i="3"/>
  <c r="AL69" i="3"/>
  <c r="T68" i="3"/>
  <c r="AO80" i="3"/>
  <c r="O61" i="3"/>
  <c r="W47" i="3"/>
  <c r="M77" i="3"/>
  <c r="AQ66" i="3"/>
  <c r="I84" i="3"/>
  <c r="Q97" i="3"/>
  <c r="Z65" i="3"/>
  <c r="J97" i="3"/>
  <c r="J59" i="3"/>
  <c r="J75" i="3"/>
  <c r="T85" i="3"/>
  <c r="AL97" i="3"/>
  <c r="U49" i="3"/>
  <c r="V76" i="3"/>
  <c r="AC66" i="3"/>
  <c r="Y48" i="3"/>
  <c r="M88" i="3"/>
  <c r="Y91" i="3"/>
  <c r="AM55" i="3"/>
  <c r="AA86" i="3"/>
  <c r="AQ93" i="3"/>
  <c r="W61" i="3"/>
  <c r="D120" i="1" l="1"/>
  <c r="O120" i="1"/>
  <c r="B65" i="1"/>
  <c r="E120" i="1"/>
  <c r="B161" i="1"/>
  <c r="C209" i="1" s="1"/>
  <c r="F134" i="1"/>
  <c r="D128" i="1"/>
  <c r="I161" i="1"/>
  <c r="J209" i="1" s="1"/>
  <c r="Q202" i="1"/>
  <c r="T202" i="1"/>
  <c r="L120" i="1"/>
  <c r="C120" i="1"/>
  <c r="C175" i="1" s="1"/>
  <c r="U161" i="1"/>
  <c r="V209" i="1" s="1"/>
  <c r="M120" i="1"/>
  <c r="C202" i="1"/>
  <c r="R134" i="1"/>
  <c r="R138" i="1" s="1"/>
  <c r="C128" i="1"/>
  <c r="I148" i="1"/>
  <c r="S161" i="1"/>
  <c r="T209" i="1" s="1"/>
  <c r="U179" i="1"/>
  <c r="U148" i="1"/>
  <c r="U182" i="1" s="1"/>
  <c r="O161" i="1"/>
  <c r="P209" i="1" s="1"/>
  <c r="F128" i="1"/>
  <c r="F37" i="1" s="1"/>
  <c r="S202" i="1"/>
  <c r="N134" i="1"/>
  <c r="N138" i="1" s="1"/>
  <c r="L134" i="1"/>
  <c r="V161" i="1"/>
  <c r="W209" i="1" s="1"/>
  <c r="V202" i="1"/>
  <c r="M161" i="1"/>
  <c r="N209" i="1" s="1"/>
  <c r="S173" i="1"/>
  <c r="T161" i="1"/>
  <c r="U209" i="1" s="1"/>
  <c r="B173" i="1"/>
  <c r="C134" i="1"/>
  <c r="Q173" i="1"/>
  <c r="H120" i="1"/>
  <c r="R128" i="1"/>
  <c r="V128" i="1"/>
  <c r="S148" i="1"/>
  <c r="S182" i="1" s="1"/>
  <c r="S181" i="1" s="1"/>
  <c r="T120" i="1"/>
  <c r="H173" i="1"/>
  <c r="C173" i="1"/>
  <c r="I120" i="1"/>
  <c r="J134" i="1"/>
  <c r="J138" i="1" s="1"/>
  <c r="M148" i="1"/>
  <c r="M182" i="1" s="1"/>
  <c r="M181" i="1" s="1"/>
  <c r="U134" i="1"/>
  <c r="U33" i="1" s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D248" i="1" s="1"/>
  <c r="F161" i="1"/>
  <c r="M202" i="1"/>
  <c r="F120" i="1"/>
  <c r="T134" i="1"/>
  <c r="T33" i="1" s="1"/>
  <c r="B120" i="1"/>
  <c r="G134" i="1"/>
  <c r="T128" i="1"/>
  <c r="T206" i="1" s="1"/>
  <c r="M173" i="1"/>
  <c r="O128" i="1"/>
  <c r="O129" i="1" s="1"/>
  <c r="O55" i="1" s="1"/>
  <c r="L202" i="1"/>
  <c r="B128" i="1"/>
  <c r="C249" i="1" s="1"/>
  <c r="C251" i="1" s="1"/>
  <c r="N173" i="1"/>
  <c r="D65" i="1"/>
  <c r="D107" i="1" s="1"/>
  <c r="K148" i="1"/>
  <c r="K128" i="1"/>
  <c r="F148" i="1"/>
  <c r="F182" i="1" s="1"/>
  <c r="F181" i="1" s="1"/>
  <c r="J161" i="1"/>
  <c r="G120" i="1"/>
  <c r="H207" i="1" s="1"/>
  <c r="D173" i="1"/>
  <c r="J128" i="1"/>
  <c r="N202" i="1"/>
  <c r="E173" i="1"/>
  <c r="R202" i="1"/>
  <c r="L148" i="1"/>
  <c r="D202" i="1"/>
  <c r="G148" i="1"/>
  <c r="U181" i="1"/>
  <c r="K120" i="1"/>
  <c r="C161" i="1"/>
  <c r="T138" i="1"/>
  <c r="P148" i="1"/>
  <c r="W128" i="1"/>
  <c r="D148" i="1"/>
  <c r="U120" i="1"/>
  <c r="F156" i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U196" i="1" s="1"/>
  <c r="E128" i="1"/>
  <c r="E206" i="1" s="1"/>
  <c r="M134" i="1"/>
  <c r="Q120" i="1"/>
  <c r="P173" i="1"/>
  <c r="E148" i="1"/>
  <c r="L173" i="1"/>
  <c r="K173" i="1"/>
  <c r="K134" i="1"/>
  <c r="N128" i="1"/>
  <c r="O206" i="1" s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L33" i="1"/>
  <c r="L138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R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37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D206" i="1"/>
  <c r="D37" i="1"/>
  <c r="D129" i="1"/>
  <c r="D55" i="1" s="1"/>
  <c r="M175" i="1"/>
  <c r="M54" i="1"/>
  <c r="M248" i="1"/>
  <c r="M207" i="1"/>
  <c r="F138" i="1"/>
  <c r="F33" i="1"/>
  <c r="N175" i="1"/>
  <c r="N54" i="1"/>
  <c r="N248" i="1"/>
  <c r="N207" i="1"/>
  <c r="U138" i="1"/>
  <c r="E175" i="1"/>
  <c r="E207" i="1"/>
  <c r="O54" i="1"/>
  <c r="O207" i="1"/>
  <c r="O175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T175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D249" i="1"/>
  <c r="D251" i="1" s="1"/>
  <c r="BI202" i="1"/>
  <c r="BW202" i="1"/>
  <c r="BJ28" i="1"/>
  <c r="BJ17" i="1"/>
  <c r="I248" i="1"/>
  <c r="I54" i="1"/>
  <c r="I175" i="1"/>
  <c r="CQ134" i="1"/>
  <c r="DB77" i="1"/>
  <c r="CY65" i="1"/>
  <c r="CZ63" i="1"/>
  <c r="R175" i="1" l="1"/>
  <c r="C207" i="1"/>
  <c r="J33" i="1"/>
  <c r="R54" i="1"/>
  <c r="F168" i="1"/>
  <c r="F109" i="1" s="1"/>
  <c r="C129" i="1"/>
  <c r="C55" i="1" s="1"/>
  <c r="C54" i="1"/>
  <c r="D207" i="1"/>
  <c r="D205" i="1" s="1"/>
  <c r="R33" i="1"/>
  <c r="N33" i="1"/>
  <c r="U249" i="1"/>
  <c r="U251" i="1" s="1"/>
  <c r="P196" i="1"/>
  <c r="AR134" i="1"/>
  <c r="P197" i="1"/>
  <c r="H33" i="1"/>
  <c r="T168" i="1"/>
  <c r="T109" i="1" s="1"/>
  <c r="I207" i="1"/>
  <c r="C138" i="1"/>
  <c r="C33" i="1"/>
  <c r="V168" i="1"/>
  <c r="V109" i="1" s="1"/>
  <c r="V37" i="1"/>
  <c r="B138" i="1"/>
  <c r="C203" i="1" s="1"/>
  <c r="C201" i="1" s="1"/>
  <c r="B33" i="1"/>
  <c r="I209" i="1"/>
  <c r="H248" i="1"/>
  <c r="C107" i="1"/>
  <c r="C66" i="1"/>
  <c r="C108" i="1"/>
  <c r="G182" i="1"/>
  <c r="G181" i="1" s="1"/>
  <c r="G196" i="1"/>
  <c r="P138" i="1"/>
  <c r="P244" i="1" s="1"/>
  <c r="P33" i="1"/>
  <c r="T54" i="1"/>
  <c r="T248" i="1"/>
  <c r="S33" i="1"/>
  <c r="S138" i="1"/>
  <c r="S249" i="1"/>
  <c r="S251" i="1" s="1"/>
  <c r="S206" i="1"/>
  <c r="S168" i="1"/>
  <c r="S109" i="1" s="1"/>
  <c r="S37" i="1"/>
  <c r="S185" i="1"/>
  <c r="T197" i="1"/>
  <c r="S157" i="1"/>
  <c r="S165" i="1" s="1"/>
  <c r="F207" i="1"/>
  <c r="F129" i="1"/>
  <c r="F55" i="1" s="1"/>
  <c r="T185" i="1"/>
  <c r="T184" i="1" s="1"/>
  <c r="U197" i="1"/>
  <c r="U198" i="1" s="1"/>
  <c r="U199" i="1" s="1"/>
  <c r="R207" i="1"/>
  <c r="V249" i="1"/>
  <c r="V251" i="1" s="1"/>
  <c r="R168" i="1"/>
  <c r="R109" i="1" s="1"/>
  <c r="R129" i="1"/>
  <c r="R55" i="1" s="1"/>
  <c r="H175" i="1"/>
  <c r="R209" i="1"/>
  <c r="Q248" i="1"/>
  <c r="S197" i="1"/>
  <c r="E209" i="1"/>
  <c r="D168" i="1"/>
  <c r="D109" i="1" s="1"/>
  <c r="D110" i="1" s="1"/>
  <c r="D113" i="1" s="1"/>
  <c r="K209" i="1"/>
  <c r="J248" i="1"/>
  <c r="G175" i="1"/>
  <c r="G207" i="1"/>
  <c r="G54" i="1"/>
  <c r="J37" i="1"/>
  <c r="J168" i="1"/>
  <c r="J109" i="1" s="1"/>
  <c r="J129" i="1"/>
  <c r="J55" i="1" s="1"/>
  <c r="U54" i="1"/>
  <c r="U207" i="1"/>
  <c r="F185" i="1"/>
  <c r="F157" i="1"/>
  <c r="F165" i="1" s="1"/>
  <c r="D197" i="1"/>
  <c r="C157" i="1"/>
  <c r="K196" i="1"/>
  <c r="J182" i="1"/>
  <c r="J181" i="1" s="1"/>
  <c r="J196" i="1"/>
  <c r="H206" i="1"/>
  <c r="H205" i="1" s="1"/>
  <c r="H168" i="1"/>
  <c r="H109" i="1" s="1"/>
  <c r="H129" i="1"/>
  <c r="H55" i="1" s="1"/>
  <c r="H37" i="1"/>
  <c r="J249" i="1"/>
  <c r="J251" i="1" s="1"/>
  <c r="I168" i="1"/>
  <c r="I109" i="1" s="1"/>
  <c r="E182" i="1"/>
  <c r="E181" i="1" s="1"/>
  <c r="F196" i="1"/>
  <c r="E196" i="1"/>
  <c r="G209" i="1"/>
  <c r="F248" i="1"/>
  <c r="F175" i="1"/>
  <c r="F54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L165" i="1" s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U165" i="1" s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38" i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L244" i="1"/>
  <c r="L246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O205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34" i="1"/>
  <c r="AS33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U244" i="1"/>
  <c r="U246" i="1"/>
  <c r="U203" i="1"/>
  <c r="U201" i="1" s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T205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T203" i="1"/>
  <c r="T201" i="1" s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P198" i="1" l="1"/>
  <c r="P199" i="1" s="1"/>
  <c r="C205" i="1"/>
  <c r="S205" i="1"/>
  <c r="G198" i="1"/>
  <c r="G199" i="1" s="1"/>
  <c r="C68" i="1"/>
  <c r="C69" i="1"/>
  <c r="S246" i="1"/>
  <c r="S203" i="1"/>
  <c r="S201" i="1" s="1"/>
  <c r="S244" i="1"/>
  <c r="B165" i="1"/>
  <c r="C165" i="1"/>
  <c r="D111" i="1"/>
  <c r="D114" i="1" s="1"/>
  <c r="F166" i="1"/>
  <c r="V165" i="1"/>
  <c r="V166" i="1" s="1"/>
  <c r="BU202" i="1"/>
  <c r="P246" i="1"/>
  <c r="P165" i="1"/>
  <c r="P166" i="1" s="1"/>
  <c r="AW202" i="1"/>
  <c r="I205" i="1"/>
  <c r="G205" i="1"/>
  <c r="V205" i="1"/>
  <c r="AR181" i="1"/>
  <c r="J166" i="1"/>
  <c r="F205" i="1"/>
  <c r="T198" i="1"/>
  <c r="T199" i="1" s="1"/>
  <c r="S186" i="1"/>
  <c r="S184" i="1"/>
  <c r="E198" i="1"/>
  <c r="E199" i="1" s="1"/>
  <c r="K198" i="1"/>
  <c r="K199" i="1" s="1"/>
  <c r="S198" i="1"/>
  <c r="S199" i="1" s="1"/>
  <c r="U205" i="1"/>
  <c r="U210" i="1" s="1"/>
  <c r="U211" i="1" s="1"/>
  <c r="H166" i="1"/>
  <c r="J198" i="1"/>
  <c r="J199" i="1" s="1"/>
  <c r="R205" i="1"/>
  <c r="F198" i="1"/>
  <c r="F199" i="1" s="1"/>
  <c r="R166" i="1"/>
  <c r="BR249" i="1"/>
  <c r="F186" i="1"/>
  <c r="F184" i="1"/>
  <c r="D198" i="1"/>
  <c r="D199" i="1" s="1"/>
  <c r="K205" i="1"/>
  <c r="L203" i="1"/>
  <c r="L201" i="1" s="1"/>
  <c r="K203" i="1"/>
  <c r="K201" i="1" s="1"/>
  <c r="X203" i="1"/>
  <c r="X201" i="1" s="1"/>
  <c r="W203" i="1"/>
  <c r="W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N166" i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U166" i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U213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H210" i="1" l="1"/>
  <c r="H211" i="1" s="1"/>
  <c r="C87" i="1"/>
  <c r="C85" i="1"/>
  <c r="C70" i="1"/>
  <c r="C86" i="1"/>
  <c r="B89" i="1"/>
  <c r="B244" i="1"/>
  <c r="B166" i="1"/>
  <c r="C244" i="1"/>
  <c r="C166" i="1"/>
  <c r="M213" i="1"/>
  <c r="V189" i="1"/>
  <c r="V190" i="1" s="1"/>
  <c r="N213" i="1"/>
  <c r="K210" i="1"/>
  <c r="K211" i="1" s="1"/>
  <c r="K213" i="1"/>
  <c r="T210" i="1"/>
  <c r="T211" i="1" s="1"/>
  <c r="T213" i="1"/>
  <c r="S210" i="1"/>
  <c r="S211" i="1" s="1"/>
  <c r="S213" i="1"/>
  <c r="J213" i="1"/>
  <c r="D210" i="1"/>
  <c r="D211" i="1" s="1"/>
  <c r="D213" i="1"/>
  <c r="Q213" i="1"/>
  <c r="I213" i="1"/>
  <c r="J210" i="1"/>
  <c r="J211" i="1" s="1"/>
  <c r="H213" i="1"/>
  <c r="Q210" i="1"/>
  <c r="Q211" i="1" s="1"/>
  <c r="I210" i="1"/>
  <c r="I211" i="1" s="1"/>
  <c r="P210" i="1"/>
  <c r="P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18" i="1"/>
  <c r="CU28" i="1"/>
  <c r="CU30" i="1" s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6" i="1"/>
  <c r="CY26" i="1"/>
  <c r="CY23" i="1" s="1"/>
  <c r="CY145" i="1"/>
  <c r="CY16" i="1"/>
  <c r="CY153" i="1"/>
  <c r="CY152" i="1"/>
  <c r="CY156" i="1" s="1"/>
  <c r="CY144" i="1"/>
  <c r="CY148" i="1" s="1"/>
  <c r="CU34" i="1"/>
  <c r="CU29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107" i="1"/>
  <c r="AA110" i="1"/>
  <c r="AA113" i="1"/>
  <c r="AA86" i="1"/>
  <c r="AA108" i="1"/>
  <c r="AA111" i="1"/>
  <c r="AA87" i="1"/>
  <c r="AA85" i="1"/>
  <c r="AA114" i="1"/>
  <c r="AA92" i="1"/>
  <c r="AA99" i="1"/>
  <c r="AA102" i="1"/>
  <c r="AA103" i="1"/>
  <c r="AA104" i="1"/>
  <c r="AA95" i="1"/>
  <c r="AA94" i="1"/>
  <c r="AA96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Z108" i="1"/>
  <c r="Z111" i="1"/>
  <c r="Z114" i="1"/>
  <c r="Z99" i="1"/>
  <c r="Z107" i="1"/>
  <c r="Z110" i="1"/>
  <c r="Z113" i="1"/>
  <c r="Z92" i="1"/>
  <c r="Z66" i="1"/>
  <c r="X63" i="1"/>
  <c r="Y65" i="1"/>
  <c r="AC65" i="1"/>
  <c r="AD63" i="1"/>
  <c r="AD65" i="1"/>
  <c r="AE63" i="1"/>
  <c r="AE65" i="1"/>
  <c r="Y92" i="1"/>
  <c r="X65" i="1"/>
  <c r="Z69" i="1"/>
  <c r="Z94" i="1"/>
  <c r="Z102" i="1"/>
  <c r="Z103" i="1"/>
  <c r="X99" i="1"/>
  <c r="X107" i="1"/>
  <c r="X110" i="1"/>
  <c r="X113" i="1"/>
  <c r="X92" i="1"/>
  <c r="X108" i="1"/>
  <c r="X111" i="1"/>
  <c r="X114" i="1"/>
  <c r="AE107" i="1"/>
  <c r="Y99" i="1"/>
  <c r="AB99" i="1"/>
  <c r="AC99" i="1"/>
  <c r="AE99" i="1"/>
  <c r="AB66" i="1"/>
  <c r="AB68" i="1"/>
  <c r="AB104" i="1"/>
  <c r="AC66" i="1"/>
  <c r="AC102" i="1"/>
  <c r="Y107" i="1"/>
  <c r="Z68" i="1"/>
  <c r="W63" i="1"/>
  <c r="Y66" i="1"/>
  <c r="Y69" i="1"/>
  <c r="Y85" i="1"/>
  <c r="V63" i="1"/>
  <c r="U63" i="1"/>
  <c r="T63" i="1"/>
  <c r="S63" i="1"/>
  <c r="R63" i="1"/>
  <c r="Q63" i="1"/>
  <c r="P63" i="1"/>
  <c r="O63" i="1"/>
  <c r="N63" i="1"/>
  <c r="M63" i="1"/>
  <c r="AD66" i="1"/>
  <c r="AB103" i="1"/>
  <c r="Y89" i="1"/>
  <c r="N65" i="1"/>
  <c r="N66" i="1"/>
  <c r="N69" i="1"/>
  <c r="N85" i="1"/>
  <c r="Y95" i="1"/>
  <c r="AE103" i="1"/>
  <c r="X96" i="1"/>
  <c r="X104" i="1"/>
  <c r="Z104" i="1"/>
  <c r="X66" i="1"/>
  <c r="X69" i="1"/>
  <c r="W89" i="1"/>
  <c r="L63" i="1"/>
  <c r="K63" i="1"/>
  <c r="J63" i="1"/>
  <c r="I63" i="1"/>
  <c r="H63" i="1"/>
  <c r="G63" i="1"/>
  <c r="F63" i="1"/>
  <c r="E63" i="1"/>
  <c r="E65" i="1"/>
  <c r="E66" i="1"/>
  <c r="E69" i="1"/>
  <c r="E86" i="1"/>
  <c r="E99" i="1"/>
  <c r="E104" i="1"/>
  <c r="AD99" i="1"/>
  <c r="AC104" i="1"/>
  <c r="AD92" i="1"/>
  <c r="AD107" i="1"/>
  <c r="AD110" i="1"/>
  <c r="X103" i="1"/>
  <c r="Y102" i="1"/>
  <c r="Z86" i="1"/>
  <c r="AD96" i="1"/>
  <c r="Z96" i="1"/>
  <c r="V65" i="1"/>
  <c r="V66" i="1"/>
  <c r="V69" i="1"/>
  <c r="V85" i="1"/>
  <c r="S65" i="1"/>
  <c r="S107" i="1"/>
  <c r="S110" i="1"/>
  <c r="S113" i="1"/>
  <c r="AB69" i="1"/>
  <c r="S99" i="1"/>
  <c r="R65" i="1"/>
  <c r="R66" i="1"/>
  <c r="R69" i="1"/>
  <c r="Q89" i="1"/>
  <c r="U65" i="1"/>
  <c r="U99" i="1"/>
  <c r="U103" i="1"/>
  <c r="L65" i="1"/>
  <c r="L99" i="1"/>
  <c r="L104" i="1"/>
  <c r="AB92" i="1"/>
  <c r="Z89" i="1"/>
  <c r="G65" i="1"/>
  <c r="G66" i="1"/>
  <c r="G69" i="1"/>
  <c r="K65" i="1"/>
  <c r="J65" i="1"/>
  <c r="T65" i="1"/>
  <c r="T66" i="1"/>
  <c r="T69" i="1"/>
  <c r="O65" i="1"/>
  <c r="M65" i="1"/>
  <c r="M66" i="1"/>
  <c r="M69" i="1"/>
  <c r="M85" i="1"/>
  <c r="E108" i="1"/>
  <c r="O108" i="1"/>
  <c r="U66" i="1"/>
  <c r="U69" i="1"/>
  <c r="U86" i="1"/>
  <c r="J107" i="1"/>
  <c r="H65" i="1"/>
  <c r="H99" i="1"/>
  <c r="H103" i="1"/>
  <c r="Q65" i="1"/>
  <c r="R86" i="1"/>
  <c r="W65" i="1"/>
  <c r="W107" i="1"/>
  <c r="W110" i="1"/>
  <c r="G70" i="1"/>
  <c r="AB107" i="1"/>
  <c r="Q92" i="1"/>
  <c r="F89" i="1"/>
  <c r="P65" i="1"/>
  <c r="P108" i="1"/>
  <c r="AB96" i="1"/>
  <c r="R99" i="1"/>
  <c r="R102" i="1"/>
  <c r="S104" i="1"/>
  <c r="F65" i="1"/>
  <c r="F108" i="1"/>
  <c r="F111" i="1"/>
  <c r="F114" i="1"/>
  <c r="J110" i="1"/>
  <c r="E107" i="1"/>
  <c r="R70" i="1"/>
  <c r="AB70" i="1"/>
  <c r="Y96" i="1"/>
  <c r="X94" i="1"/>
  <c r="W99" i="1"/>
  <c r="H92" i="1"/>
  <c r="H96" i="1"/>
  <c r="H94" i="1"/>
  <c r="M87" i="1"/>
  <c r="AE92" i="1"/>
  <c r="G107" i="1"/>
  <c r="K66" i="1"/>
  <c r="J113" i="1"/>
  <c r="J66" i="1"/>
  <c r="X70" i="1"/>
  <c r="R87" i="1"/>
  <c r="Y68" i="1"/>
  <c r="K69" i="1"/>
  <c r="K70" i="1"/>
  <c r="H108" i="1"/>
  <c r="H111" i="1"/>
  <c r="V99" i="1"/>
  <c r="V102" i="1"/>
  <c r="S103" i="1"/>
  <c r="Q66" i="1"/>
  <c r="Q69" i="1"/>
  <c r="AC69" i="1"/>
  <c r="M108" i="1"/>
  <c r="V68" i="1"/>
  <c r="AD102" i="1"/>
  <c r="M111" i="1"/>
  <c r="F92" i="1"/>
  <c r="F96" i="1"/>
  <c r="G99" i="1"/>
  <c r="W113" i="1"/>
  <c r="J99" i="1"/>
  <c r="O92" i="1"/>
  <c r="Q85" i="1"/>
  <c r="K107" i="1"/>
  <c r="K110" i="1"/>
  <c r="K113" i="1"/>
  <c r="E87" i="1"/>
  <c r="L102" i="1"/>
  <c r="O95" i="1"/>
  <c r="X95" i="1"/>
  <c r="Q99" i="1"/>
  <c r="Q103" i="1"/>
  <c r="V108" i="1"/>
  <c r="F107" i="1"/>
  <c r="AB85" i="1"/>
  <c r="I65" i="1"/>
  <c r="I108" i="1"/>
  <c r="I111" i="1"/>
  <c r="I114" i="1"/>
  <c r="Z70" i="1"/>
  <c r="AB95" i="1"/>
  <c r="R108" i="1"/>
  <c r="AD68" i="1"/>
  <c r="M99" i="1"/>
  <c r="O94" i="1"/>
  <c r="T99" i="1"/>
  <c r="T102" i="1"/>
  <c r="D89" i="1"/>
  <c r="AD103" i="1"/>
  <c r="F99" i="1"/>
  <c r="O99" i="1"/>
  <c r="W92" i="1"/>
  <c r="E103" i="1"/>
  <c r="O103" i="1"/>
  <c r="M68" i="1"/>
  <c r="F66" i="1"/>
  <c r="F69" i="1"/>
  <c r="E89" i="1"/>
  <c r="N108" i="1"/>
  <c r="Z95" i="1"/>
  <c r="W66" i="1"/>
  <c r="W69" i="1"/>
  <c r="AB94" i="1"/>
  <c r="AC68" i="1"/>
  <c r="AB108" i="1"/>
  <c r="AD69" i="1"/>
  <c r="AD95" i="1"/>
  <c r="V107" i="1"/>
  <c r="V110" i="1"/>
  <c r="Q68" i="1"/>
  <c r="H107" i="1"/>
  <c r="H110" i="1"/>
  <c r="T87" i="1"/>
  <c r="L92" i="1"/>
  <c r="H113" i="1"/>
  <c r="U107" i="1"/>
  <c r="U110" i="1"/>
  <c r="N107" i="1"/>
  <c r="N110" i="1"/>
  <c r="O66" i="1"/>
  <c r="Q107" i="1"/>
  <c r="P107" i="1"/>
  <c r="G108" i="1"/>
  <c r="Q96" i="1"/>
  <c r="W103" i="1"/>
  <c r="T103" i="1"/>
  <c r="P99" i="1"/>
  <c r="U87" i="1"/>
  <c r="I66" i="1"/>
  <c r="I69" i="1"/>
  <c r="I85" i="1"/>
  <c r="P102" i="1"/>
  <c r="AC92" i="1"/>
  <c r="AC96" i="1"/>
  <c r="V92" i="1"/>
  <c r="T86" i="1"/>
  <c r="Q87" i="1"/>
  <c r="Z85" i="1"/>
  <c r="V94" i="1"/>
  <c r="AC107" i="1"/>
  <c r="AC110" i="1"/>
  <c r="AE108" i="1"/>
  <c r="AE111" i="1"/>
  <c r="AE114" i="1"/>
  <c r="S108" i="1"/>
  <c r="J92" i="1"/>
  <c r="J96" i="1"/>
  <c r="E111" i="1"/>
  <c r="AE66" i="1"/>
  <c r="AE69" i="1"/>
  <c r="AE86" i="1"/>
  <c r="K108" i="1"/>
  <c r="T85" i="1"/>
  <c r="AE94" i="1"/>
  <c r="G110" i="1"/>
  <c r="U108" i="1"/>
  <c r="U111" i="1"/>
  <c r="X102" i="1"/>
  <c r="X86" i="1"/>
  <c r="Q86" i="1"/>
  <c r="L94" i="1"/>
  <c r="J104" i="1"/>
  <c r="G102" i="1"/>
  <c r="U104" i="1"/>
  <c r="AA89" i="1"/>
  <c r="M92" i="1"/>
  <c r="K99" i="1"/>
  <c r="R92" i="1"/>
  <c r="R95" i="1"/>
  <c r="U92" i="1"/>
  <c r="U94" i="1"/>
  <c r="AE110" i="1"/>
  <c r="M107" i="1"/>
  <c r="M110" i="1"/>
  <c r="M113" i="1"/>
  <c r="V89" i="1"/>
  <c r="W108" i="1"/>
  <c r="W111" i="1"/>
  <c r="AB102" i="1"/>
  <c r="AE102" i="1"/>
  <c r="W86" i="1"/>
  <c r="AD113" i="1"/>
  <c r="E85" i="1"/>
  <c r="R104" i="1"/>
  <c r="I68" i="1"/>
  <c r="F110" i="1"/>
  <c r="X85" i="1"/>
  <c r="V95" i="1"/>
  <c r="M102" i="1"/>
  <c r="N92" i="1"/>
  <c r="P103" i="1"/>
  <c r="R107" i="1"/>
  <c r="F95" i="1"/>
  <c r="Y110" i="1"/>
  <c r="AC103" i="1"/>
  <c r="AC86" i="1"/>
  <c r="AD108" i="1"/>
  <c r="AE104" i="1"/>
  <c r="Y108" i="1"/>
  <c r="S111" i="1"/>
  <c r="S92" i="1"/>
  <c r="S96" i="1"/>
  <c r="E114" i="1"/>
  <c r="L107" i="1"/>
  <c r="L89" i="1"/>
  <c r="O107" i="1"/>
  <c r="Y104" i="1"/>
  <c r="AD86" i="1"/>
  <c r="U70" i="1"/>
  <c r="K111" i="1"/>
  <c r="U113" i="1"/>
  <c r="O69" i="1"/>
  <c r="G111" i="1"/>
  <c r="H114" i="1"/>
  <c r="V96" i="1"/>
  <c r="Q70" i="1"/>
  <c r="L95" i="1"/>
  <c r="P110" i="1"/>
  <c r="P113" i="1"/>
  <c r="H89" i="1"/>
  <c r="Y87" i="1"/>
  <c r="F87" i="1"/>
  <c r="R111" i="1"/>
  <c r="Y103" i="1"/>
  <c r="Q110" i="1"/>
  <c r="Q113" i="1"/>
  <c r="N68" i="1"/>
  <c r="W114" i="1"/>
  <c r="I70" i="1"/>
  <c r="AD89" i="1"/>
  <c r="AC70" i="1"/>
  <c r="L103" i="1"/>
  <c r="U85" i="1"/>
  <c r="E92" i="1"/>
  <c r="M86" i="1"/>
  <c r="N99" i="1"/>
  <c r="N103" i="1"/>
  <c r="AD94" i="1"/>
  <c r="I92" i="1"/>
  <c r="V70" i="1"/>
  <c r="P92" i="1"/>
  <c r="AE70" i="1"/>
  <c r="R85" i="1"/>
  <c r="O96" i="1"/>
  <c r="J95" i="1"/>
  <c r="W70" i="1"/>
  <c r="L66" i="1"/>
  <c r="L68" i="1"/>
  <c r="AC108" i="1"/>
  <c r="AC111" i="1"/>
  <c r="AC114" i="1"/>
  <c r="E68" i="1"/>
  <c r="AD85" i="1"/>
  <c r="X89" i="1"/>
  <c r="Y70" i="1"/>
  <c r="I99" i="1"/>
  <c r="T68" i="1"/>
  <c r="R103" i="1"/>
  <c r="AB110" i="1"/>
  <c r="P89" i="1"/>
  <c r="V104" i="1"/>
  <c r="T70" i="1"/>
  <c r="J94" i="1"/>
  <c r="W95" i="1"/>
  <c r="W94" i="1"/>
  <c r="O104" i="1"/>
  <c r="I107" i="1"/>
  <c r="I110" i="1"/>
  <c r="I113" i="1"/>
  <c r="Z87" i="1"/>
  <c r="L69" i="1"/>
  <c r="L86" i="1"/>
  <c r="S114" i="1"/>
  <c r="Q108" i="1"/>
  <c r="Q111" i="1"/>
  <c r="O111" i="1"/>
  <c r="K92" i="1"/>
  <c r="K94" i="1"/>
  <c r="P111" i="1"/>
  <c r="L108" i="1"/>
  <c r="L111" i="1"/>
  <c r="L110" i="1"/>
  <c r="T107" i="1"/>
  <c r="T110" i="1"/>
  <c r="T113" i="1"/>
  <c r="T92" i="1"/>
  <c r="T95" i="1"/>
  <c r="G92" i="1"/>
  <c r="J108" i="1"/>
  <c r="AB89" i="1"/>
  <c r="T96" i="1"/>
  <c r="G113" i="1"/>
  <c r="G114" i="1"/>
  <c r="L70" i="1"/>
  <c r="P66" i="1"/>
  <c r="N104" i="1"/>
  <c r="F70" i="1"/>
  <c r="L96" i="1"/>
  <c r="U96" i="1"/>
  <c r="U114" i="1"/>
  <c r="N96" i="1"/>
  <c r="AC113" i="1"/>
  <c r="W102" i="1"/>
  <c r="AB87" i="1"/>
  <c r="T108" i="1"/>
  <c r="T111" i="1"/>
  <c r="T114" i="1"/>
  <c r="L87" i="1"/>
  <c r="Y111" i="1"/>
  <c r="P94" i="1"/>
  <c r="K68" i="1"/>
  <c r="G87" i="1"/>
  <c r="K85" i="1"/>
  <c r="I86" i="1"/>
  <c r="X87" i="1"/>
  <c r="V111" i="1"/>
  <c r="Q95" i="1"/>
  <c r="V87" i="1"/>
  <c r="E95" i="1"/>
  <c r="AC94" i="1"/>
  <c r="U89" i="1"/>
  <c r="W68" i="1"/>
  <c r="O87" i="1"/>
  <c r="E102" i="1"/>
  <c r="W96" i="1"/>
  <c r="H95" i="1"/>
  <c r="AE85" i="1"/>
  <c r="J69" i="1"/>
  <c r="J70" i="1"/>
  <c r="G85" i="1"/>
  <c r="G68" i="1"/>
  <c r="H104" i="1"/>
  <c r="S95" i="1"/>
  <c r="L114" i="1"/>
  <c r="N111" i="1"/>
  <c r="N114" i="1"/>
  <c r="AD70" i="1"/>
  <c r="I87" i="1"/>
  <c r="I96" i="1"/>
  <c r="O102" i="1"/>
  <c r="N70" i="1"/>
  <c r="K102" i="1"/>
  <c r="AD87" i="1"/>
  <c r="N102" i="1"/>
  <c r="I95" i="1"/>
  <c r="S66" i="1"/>
  <c r="S69" i="1"/>
  <c r="S86" i="1"/>
  <c r="K95" i="1"/>
  <c r="G94" i="1"/>
  <c r="K89" i="1"/>
  <c r="J89" i="1"/>
  <c r="J68" i="1"/>
  <c r="H66" i="1"/>
  <c r="H68" i="1"/>
  <c r="M95" i="1"/>
  <c r="V114" i="1"/>
  <c r="M96" i="1"/>
  <c r="Y114" i="1"/>
  <c r="X68" i="1"/>
  <c r="K104" i="1"/>
  <c r="M94" i="1"/>
  <c r="K103" i="1"/>
  <c r="AD104" i="1"/>
  <c r="AE95" i="1"/>
  <c r="N113" i="1"/>
  <c r="E110" i="1"/>
  <c r="S102" i="1"/>
  <c r="O68" i="1"/>
  <c r="F113" i="1"/>
  <c r="K96" i="1"/>
  <c r="G86" i="1"/>
  <c r="AC95" i="1"/>
  <c r="L113" i="1"/>
  <c r="R89" i="1"/>
  <c r="P114" i="1"/>
  <c r="N95" i="1"/>
  <c r="I104" i="1"/>
  <c r="W87" i="1"/>
  <c r="N87" i="1"/>
  <c r="G104" i="1"/>
  <c r="F103" i="1"/>
  <c r="Q104" i="1"/>
  <c r="S70" i="1"/>
  <c r="E70" i="1"/>
  <c r="R114" i="1"/>
  <c r="F68" i="1"/>
  <c r="S89" i="1"/>
  <c r="E94" i="1"/>
  <c r="AE68" i="1"/>
  <c r="M104" i="1"/>
  <c r="T94" i="1"/>
  <c r="J86" i="1"/>
  <c r="Q102" i="1"/>
  <c r="M70" i="1"/>
  <c r="Q114" i="1"/>
  <c r="G95" i="1"/>
  <c r="W85" i="1"/>
  <c r="AC89" i="1"/>
  <c r="AE87" i="1"/>
  <c r="P68" i="1"/>
  <c r="O70" i="1"/>
  <c r="E96" i="1"/>
  <c r="AE113" i="1"/>
  <c r="M103" i="1"/>
  <c r="F102" i="1"/>
  <c r="S94" i="1"/>
  <c r="N89" i="1"/>
  <c r="J85" i="1"/>
  <c r="J87" i="1"/>
  <c r="AD111" i="1"/>
  <c r="AD114" i="1"/>
  <c r="K114" i="1"/>
  <c r="P95" i="1"/>
  <c r="E113" i="1"/>
  <c r="G96" i="1"/>
  <c r="J111" i="1"/>
  <c r="H69" i="1"/>
  <c r="K87" i="1"/>
  <c r="V113" i="1"/>
  <c r="U68" i="1"/>
  <c r="W104" i="1"/>
  <c r="AB111" i="1"/>
  <c r="I89" i="1"/>
  <c r="P69" i="1"/>
  <c r="P96" i="1"/>
  <c r="T89" i="1"/>
  <c r="R68" i="1"/>
  <c r="Q94" i="1"/>
  <c r="F86" i="1"/>
  <c r="N86" i="1"/>
  <c r="R110" i="1"/>
  <c r="R113" i="1"/>
  <c r="AB113" i="1"/>
  <c r="M89" i="1"/>
  <c r="Y113" i="1"/>
  <c r="Y94" i="1"/>
  <c r="AE96" i="1"/>
  <c r="U102" i="1"/>
  <c r="O110" i="1"/>
  <c r="O113" i="1"/>
  <c r="K86" i="1"/>
  <c r="Y86" i="1"/>
  <c r="V103" i="1"/>
  <c r="AB86" i="1"/>
  <c r="S85" i="1"/>
  <c r="AC87" i="1"/>
  <c r="V86" i="1"/>
  <c r="S87" i="1"/>
  <c r="F94" i="1"/>
  <c r="AC85" i="1"/>
  <c r="P86" i="1"/>
  <c r="M114" i="1"/>
  <c r="J103" i="1"/>
  <c r="N94" i="1"/>
  <c r="O85" i="1"/>
  <c r="H102" i="1"/>
  <c r="T104" i="1"/>
  <c r="J114" i="1"/>
  <c r="U95" i="1"/>
  <c r="AB114" i="1"/>
  <c r="R96" i="1"/>
  <c r="F85" i="1"/>
  <c r="F104" i="1"/>
  <c r="I102" i="1"/>
  <c r="I103" i="1"/>
  <c r="P104" i="1"/>
  <c r="G103" i="1"/>
  <c r="J102" i="1"/>
  <c r="R94" i="1"/>
  <c r="O114" i="1"/>
  <c r="P85" i="1"/>
  <c r="I94" i="1"/>
  <c r="O86" i="1"/>
  <c r="L85" i="1"/>
  <c r="P70" i="1"/>
  <c r="H85" i="1"/>
  <c r="G89" i="1"/>
  <c r="P87" i="1"/>
  <c r="H86" i="1"/>
  <c r="O89" i="1"/>
  <c r="H70" i="1"/>
  <c r="S68" i="1"/>
  <c r="H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<sst xmlns="http://schemas.openxmlformats.org/spreadsheetml/2006/main" count="663" uniqueCount="524">
  <si>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</si>
  <si>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</si>
  <si>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</si>
  <si>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</si>
  <si>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</si>
  <si>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</si>
  <si>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</si>
  <si>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</si>
  <si>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</si>
  <si>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</si>
  <si>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</si>
  <si>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</si>
  <si>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</si>
  <si>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</si>
  <si>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</si>
  <si>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</si>
  <si>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</si>
  <si>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</si>
  <si>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</si>
  <si>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</si>
  <si>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</si>
  <si>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</si>
  <si>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</si>
  <si>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</si>
  <si>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</si>
  <si>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</si>
  <si>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</si>
  <si>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</si>
  <si>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</si>
  <si>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</si>
  <si>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</si>
  <si>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</si>
  <si>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</si>
  <si>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</si>
  <si>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</si>
  <si>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</si>
  <si>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</si>
  <si>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</si>
  <si>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</si>
  <si>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</si>
  <si>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</si>
  <si>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</si>
  <si>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</si>
  <si>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</si>
  <si>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</si>
  <si>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</si>
  <si>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</si>
  <si>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</si>
  <si>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</si>
  <si>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</si>
  <si>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</si>
  <si>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</si>
  <si>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</si>
  <si>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</si>
  <si>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</si>
  <si>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</si>
  <si>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</si>
  <si>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</si>
  <si>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</si>
  <si>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</si>
  <si>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</si>
  <si>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</si>
  <si>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</si>
  <si>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</si>
  <si>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</si>
  <si>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</si>
  <si>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</si>
  <si>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</si>
  <si>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</si>
  <si>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</si>
  <si>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</si>
  <si>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</si>
  <si>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</si>
  <si>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</si>
  <si>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</si>
  <si>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</si>
  <si>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</si>
  <si>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</si>
  <si>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</si>
  <si>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</si>
  <si>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</si>
  <si>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</si>
  <si>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</si>
  <si>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</si>
  <si>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</si>
  <si>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</si>
  <si>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</si>
  <si>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</si>
  <si>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</si>
  <si>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</si>
  <si>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</si>
  <si>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</si>
  <si>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</si>
  <si>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</si>
  <si>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</si>
  <si>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</si>
  <si>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</si>
  <si>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</si>
  <si>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</si>
  <si>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</si>
  <si>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</si>
  <si>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</si>
  <si>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</si>
  <si>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</si>
  <si>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</si>
  <si>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</si>
  <si>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</si>
  <si>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</si>
  <si>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</si>
  <si>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</si>
  <si>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</si>
  <si>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</si>
  <si>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</si>
  <si>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</si>
  <si>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</si>
  <si>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</si>
  <si>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</si>
  <si>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</si>
  <si>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</si>
  <si>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</si>
  <si>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</si>
  <si>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</si>
  <si>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</si>
  <si>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</si>
  <si>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</si>
  <si>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</si>
  <si>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</si>
  <si>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</si>
  <si>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</si>
  <si>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</si>
  <si>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</si>
  <si>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</si>
  <si>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</si>
  <si>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</si>
  <si>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</si>
  <si>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</si>
  <si>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</si>
  <si>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</si>
  <si>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</si>
  <si>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</si>
  <si>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</si>
  <si>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</si>
  <si>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</si>
  <si>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</si>
  <si>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</si>
  <si>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</si>
  <si>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</si>
  <si>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</si>
  <si>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</si>
  <si>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</si>
  <si>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</si>
  <si>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</si>
  <si>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</si>
  <si>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</si>
  <si>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</si>
  <si>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</si>
  <si>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</si>
  <si>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</si>
  <si>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</si>
  <si>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</si>
  <si>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</si>
  <si>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</si>
  <si>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</si>
  <si>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</si>
  <si>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</si>
  <si>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</si>
  <si>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</si>
  <si>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</si>
  <si>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</si>
  <si>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</si>
  <si>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</si>
  <si>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</si>
  <si>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</si>
  <si>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</si>
  <si>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</si>
  <si>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</si>
  <si>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</si>
  <si>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</si>
  <si>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</si>
  <si>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</si>
  <si>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</si>
  <si>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</si>
  <si>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</si>
  <si>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</si>
  <si>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</si>
  <si>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</si>
  <si>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</si>
  <si>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</si>
  <si>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</si>
  <si>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</si>
  <si>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</si>
  <si>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</si>
  <si>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</si>
  <si>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</si>
  <si>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</si>
  <si>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</si>
  <si>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</si>
  <si>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</si>
  <si>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</si>
  <si>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</si>
  <si>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</si>
  <si>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</si>
  <si>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</si>
  <si>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</si>
  <si>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</si>
  <si>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</si>
  <si>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</si>
  <si>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</si>
  <si>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</si>
  <si>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</si>
  <si>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</si>
  <si>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</si>
  <si>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</si>
  <si>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</si>
  <si>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</si>
  <si>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</si>
  <si>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</si>
  <si>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</si>
  <si>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</si>
  <si>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</si>
  <si>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</si>
  <si>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</si>
  <si>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</si>
  <si>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</si>
  <si>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</si>
  <si>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</si>
  <si>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</si>
  <si>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</si>
  <si>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</si>
  <si>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</si>
  <si>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</si>
  <si>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</si>
  <si>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</si>
  <si>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</si>
  <si>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</si>
  <si>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</si>
  <si>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</si>
  <si>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</si>
  <si>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</si>
  <si>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</si>
  <si>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</si>
  <si>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</si>
  <si>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</si>
  <si>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</si>
  <si>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</si>
  <si>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</si>
  <si>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</si>
  <si>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</si>
  <si>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</si>
  <si>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</si>
  <si>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</si>
  <si>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</si>
  <si>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</si>
  <si>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</si>
  <si>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</si>
  <si>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</si>
  <si>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</si>
  <si>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</si>
  <si>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</si>
  <si>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</si>
  <si>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</si>
  <si>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</si>
  <si>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</si>
  <si>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</si>
  <si>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</si>
  <si>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</si>
  <si>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</si>
  <si>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</si>
  <si>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</si>
  <si>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</si>
  <si>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</si>
  <si>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</si>
  <si>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</si>
  <si>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</si>
  <si>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</si>
  <si>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</si>
  <si>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</si>
  <si>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</si>
  <si>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</si>
  <si>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</si>
  <si>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</si>
  <si>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</si>
  <si>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</si>
  <si>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</si>
  <si>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</si>
  <si>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</si>
  <si>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</si>
  <si>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</si>
  <si>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</si>
  <si>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</si>
  <si>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</si>
  <si>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</si>
  <si>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</si>
  <si>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</si>
  <si>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</si>
  <si>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</si>
  <si>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</si>
  <si>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</si>
  <si>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</si>
  <si>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</si>
  <si>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</si>
  <si>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</si>
  <si>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</si>
  <si>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</si>
  <si>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</si>
  <si>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</si>
  <si>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</si>
  <si>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</si>
  <si>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</si>
  <si>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</si>
  <si>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</si>
  <si>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</si>
  <si>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</si>
  <si>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</si>
  <si>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</si>
  <si>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</si>
  <si>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</si>
  <si>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</si>
  <si>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</si>
  <si>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</si>
  <si>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</si>
  <si>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</si>
  <si>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</si>
  <si>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</si>
  <si>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</si>
  <si>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</si>
  <si>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</si>
  <si>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</si>
  <si>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</si>
  <si>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</si>
  <si>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</si>
  <si>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</si>
  <si>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</si>
  <si>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</si>
  <si>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</si>
  <si>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</si>
  <si>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</si>
  <si>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</si>
  <si>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</si>
  <si>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</si>
  <si>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</si>
  <si>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</si>
  <si>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</si>
  <si>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</si>
  <si>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</si>
  <si>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</si>
  <si>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</si>
  <si>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</si>
  <si>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</si>
  <si>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</si>
  <si>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</si>
  <si>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</si>
  <si>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</si>
  <si>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</si>
  <si>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</si>
  <si>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</si>
  <si>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</si>
  <si>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</si>
  <si>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</si>
  <si>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</si>
  <si>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</si>
  <si>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</si>
  <si>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</si>
  <si>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</si>
  <si>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</si>
  <si>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</si>
  <si>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</si>
  <si>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</si>
  <si>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</si>
  <si>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</si>
  <si>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</si>
  <si>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</si>
  <si>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</si>
  <si>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</si>
  <si>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</si>
  <si>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</si>
  <si>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</si>
  <si>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</si>
  <si>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</si>
  <si>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</si>
  <si>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</si>
  <si>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</si>
  <si>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</si>
  <si>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</si>
  <si>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</si>
  <si>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</si>
  <si>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</si>
  <si>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</si>
  <si>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</si>
  <si>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</si>
  <si>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</si>
  <si>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</si>
  <si>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</si>
  <si>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</si>
  <si>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</si>
  <si>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</si>
  <si>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</si>
  <si>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</si>
  <si>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</si>
  <si>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</si>
  <si>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</si>
  <si>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</si>
  <si>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</si>
  <si>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</si>
  <si>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</si>
  <si>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</si>
  <si>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</si>
  <si>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</si>
  <si>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</si>
  <si>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</si>
  <si>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</si>
  <si>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</si>
  <si>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</si>
  <si>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</si>
  <si>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</si>
  <si>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</si>
  <si>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</si>
  <si>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</si>
  <si>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</si>
  <si>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</si>
  <si>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</si>
  <si>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</si>
  <si>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</si>
  <si>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</si>
  <si>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</si>
  <si>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</si>
  <si>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</si>
  <si>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</si>
  <si>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</si>
  <si>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</si>
  <si>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</si>
  <si>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</si>
  <si>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</si>
  <si>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</si>
  <si>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</si>
  <si>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</si>
  <si>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</si>
  <si>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</si>
  <si>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</si>
  <si>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</si>
  <si>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</si>
  <si>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</si>
  <si>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</si>
  <si>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</si>
  <si>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</si>
  <si>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</si>
  <si>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</si>
  <si>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</si>
  <si>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</si>
  <si>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</si>
  <si>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</si>
  <si>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</si>
  <si>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</si>
  <si>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</si>
  <si>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</si>
  <si>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</si>
  <si>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</si>
  <si>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</si>
  <si>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</si>
  <si>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</si>
  <si>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</si>
  <si>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</si>
  <si>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</si>
  <si>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</si>
  <si>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</si>
  <si>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</si>
  <si>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</si>
  <si>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</si>
  <si>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</si>
  <si>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</si>
  <si>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</si>
  <si>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</si>
  <si>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</si>
  <si>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</si>
  <si>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</si>
  <si>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</si>
  <si>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</si>
  <si>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</si>
  <si>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</si>
  <si>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</si>
  <si>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</si>
  <si>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</si>
  <si>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</si>
  <si>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</si>
  <si>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</si>
  <si>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</si>
  <si>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</si>
  <si>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</si>
  <si>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</si>
  <si>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</si>
  <si>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</si>
  <si>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</si>
  <si>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</si>
  <si>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</si>
  <si>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</si>
  <si>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</si>
  <si>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</si>
  <si>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</si>
  <si>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</si>
  <si>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</si>
  <si>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</si>
  <si>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</si>
  <si>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</si>
  <si>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</si>
  <si>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</si>
  <si>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</si>
  <si>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</si>
  <si>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</si>
  <si>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</si>
  <si>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</si>
  <si>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</si>
  <si>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</si>
  <si>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</si>
  <si>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</si>
  <si>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</si>
  <si>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Cyient DLM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</si>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</sst>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Cyient DLM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406.95080000000002</v>
      </c>
      <c r="P8" s="25">
        <f>'Annual Raw'!Q6</f>
        <v>446.27395580000001</v>
      </c>
      <c r="Q8" s="25">
        <f>'Annual Raw'!R6</f>
        <v>264.49208599999997</v>
      </c>
      <c r="R8" s="25">
        <f>'Annual Raw'!S6</f>
        <v>366.00576539999997</v>
      </c>
      <c r="S8" s="25">
        <f>'Annual Raw'!T6</f>
        <v>391.43990989999998</v>
      </c>
      <c r="T8" s="25">
        <f>'Annual Raw'!U6</f>
        <v>480.47</v>
      </c>
      <c r="U8" s="25">
        <f>'Annual Raw'!V6</f>
        <v>457.08699999999999</v>
      </c>
      <c r="V8" s="25">
        <f>'Annual Raw'!W6</f>
        <v>628.02800000000002</v>
      </c>
      <c r="W8" s="25">
        <f>'Annual Raw'!X6</f>
        <v>720.53300000000002</v>
      </c>
      <c r="X8" s="25">
        <f>'Annual Raw'!Y6</f>
        <v>832.03300000000002</v>
      </c>
      <c r="Y8" s="25">
        <f>'Annual Raw'!Z6</f>
        <v>1191.8710000000001</v>
      </c>
      <c r="Z8" s="25">
        <f>'Annual Raw'!AA6</f>
        <v>1519.626</v>
      </c>
      <c r="AA8" s="25">
        <f>'Annual Raw'!AB6</f>
        <v>1261.4849999999999</v>
      </c>
      <c r="AB8" s="17">
        <f>+SUM(CM8:CP8)</f>
        <v>1032.1341393080213</v>
      </c>
      <c r="AC8" s="17">
        <f>+SUM(CQ8:CT8)</f>
        <v>842.86983106040407</v>
      </c>
      <c r="AD8" s="17">
        <f>+SUM(CU8:CX8)</f>
        <v>688.12895514598677</v>
      </c>
      <c r="AE8" s="17">
        <f>+SUM(CY8:DB8)</f>
        <v>561.82898139183499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170.11500000000001</v>
      </c>
      <c r="BX8" s="25">
        <f>'QTR Raw'!AR6+'QTR Raw'!AR8</f>
        <v>170.155</v>
      </c>
      <c r="BY8" s="25">
        <f>'QTR Raw'!AS6+'QTR Raw'!AS8</f>
        <v>214.4</v>
      </c>
      <c r="BZ8" s="25">
        <f>'QTR Raw'!AT6+'QTR Raw'!AT8</f>
        <v>277.363</v>
      </c>
      <c r="CA8" s="25">
        <f>'QTR Raw'!AU6+'QTR Raw'!AU8</f>
        <v>217.148</v>
      </c>
      <c r="CB8" s="25">
        <f>'QTR Raw'!AV6+'QTR Raw'!AV8</f>
        <v>291.83800000000002</v>
      </c>
      <c r="CC8" s="25">
        <f>'QTR Raw'!AW6+'QTR Raw'!AW8</f>
        <v>321.04199999999997</v>
      </c>
      <c r="CD8" s="25">
        <f>'QTR Raw'!AX6+'QTR Raw'!AX8</f>
        <v>361.84300000000002</v>
      </c>
      <c r="CE8" s="25">
        <f>'QTR Raw'!AY6+'QTR Raw'!AY8</f>
        <v>257.88499999999999</v>
      </c>
      <c r="CF8" s="25">
        <f>'QTR Raw'!AZ6+'QTR Raw'!AZ8</f>
        <v>389.45</v>
      </c>
      <c r="CG8" s="25">
        <f>'QTR Raw'!BA6+'QTR Raw'!BA8</f>
        <v>444.23599999999999</v>
      </c>
      <c r="CH8" s="25">
        <f>'QTR Raw'!BB6+'QTR Raw'!BB8</f>
        <v>428.05500000000001</v>
      </c>
      <c r="CI8" s="25">
        <f>'QTR Raw'!BC6+'QTR Raw'!BC8</f>
        <v>278.42700000000002</v>
      </c>
      <c r="CJ8" s="25">
        <f>'QTR Raw'!BD6+'QTR Raw'!BD8</f>
        <v>310.63400000000001</v>
      </c>
      <c r="CK8" s="25">
        <f>'QTR Raw'!BE6+'QTR Raw'!BE8</f>
        <v>303.34699999999998</v>
      </c>
      <c r="CL8" s="25">
        <f>'QTR Raw'!BF6+'QTR Raw'!BF8</f>
        <v>369.077</v>
      </c>
      <c r="CM8" s="17">
        <f t="shared" ref="CM8:DB8" si="33">+CI10+(CM11*CI10)</f>
        <v>236.01350728594451</v>
      </c>
      <c r="CN8" s="17">
        <f t="shared" si="33"/>
        <v>248.18683005881007</v>
      </c>
      <c r="CO8" s="17">
        <f t="shared" si="33"/>
        <v>242.08398255903171</v>
      </c>
      <c r="CP8" s="17">
        <f t="shared" si="33"/>
        <v>305.84981940423489</v>
      </c>
      <c r="CQ8" s="17">
        <f t="shared" si="33"/>
        <v>193.60325098203884</v>
      </c>
      <c r="CR8" s="17">
        <f t="shared" si="33"/>
        <v>201.48229352871004</v>
      </c>
      <c r="CS8" s="17">
        <f t="shared" si="33"/>
        <v>197.30549389213337</v>
      </c>
      <c r="CT8" s="17">
        <f t="shared" si="33"/>
        <v>250.47879265752175</v>
      </c>
      <c r="CU8" s="17">
        <f t="shared" si="33"/>
        <v>158.08247659609364</v>
      </c>
      <c r="CV8" s="17">
        <f t="shared" si="33"/>
        <v>164.32564543781552</v>
      </c>
      <c r="CW8" s="17">
        <f t="shared" si="33"/>
        <v>161.10490575284757</v>
      </c>
      <c r="CX8" s="17">
        <f t="shared" si="33"/>
        <v>204.61592735922994</v>
      </c>
      <c r="CY8" s="17">
        <f t="shared" si="33"/>
        <v>129.05600299395979</v>
      </c>
      <c r="CZ8" s="17">
        <f t="shared" si="33"/>
        <v>134.14690967833261</v>
      </c>
      <c r="DA8" s="17">
        <f t="shared" si="33"/>
        <v>131.54845367154752</v>
      </c>
      <c r="DB8" s="17">
        <f t="shared" si="33"/>
        <v>167.0776150479951</v>
      </c>
      <c r="DE8" s="119"/>
      <c r="DF8" s="25">
        <v>1261.4850000000001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2.3027804999999999</v>
      </c>
      <c r="Q9" s="92">
        <f>'Annual Raw'!R7+'Annual Raw'!R8+'Annual Raw'!R9</f>
        <v>8.0478283000000008</v>
      </c>
      <c r="R9" s="92">
        <f>'Annual Raw'!S7+'Annual Raw'!S8+'Annual Raw'!S9</f>
        <v>20.7016928</v>
      </c>
      <c r="S9" s="92">
        <f>'Annual Raw'!T7+'Annual Raw'!T8+'Annual Raw'!T9</f>
        <v>3.6377397999999999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1.43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0.67900000000000005</v>
      </c>
      <c r="CC9" s="92">
        <f>+'QTR Raw'!AW20+'QTR Raw'!AW19+'QTR Raw'!AW13+'QTR Raw'!AW7</f>
        <v>0</v>
      </c>
      <c r="CD9" s="92">
        <f>+'QTR Raw'!AX20+'QTR Raw'!AX19+'QTR Raw'!AX13+'QTR Raw'!AX7</f>
        <v>1.762</v>
      </c>
      <c r="CE9" s="92">
        <f>+'QTR Raw'!AY20+'QTR Raw'!AY19+'QTR Raw'!AY13+'QTR Raw'!AY7</f>
        <v>0.98499999999999999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2.149</v>
      </c>
      <c r="CJ9" s="92">
        <f>+'QTR Raw'!BD20+'QTR Raw'!BD19+'QTR Raw'!BD13+'QTR Raw'!BD7</f>
        <v>0</v>
      </c>
      <c r="CK9" s="92">
        <f>+'QTR Raw'!BE20+'QTR Raw'!BE19+'QTR Raw'!BE13+'QTR Raw'!BE7</f>
        <v>0.47899999999999998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2.6280000000000001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406.95080000000002</v>
      </c>
      <c r="P10" s="26">
        <f t="shared" si="34"/>
        <v>443.97117530000003</v>
      </c>
      <c r="Q10" s="26">
        <f t="shared" si="34"/>
        <v>256.44425769999998</v>
      </c>
      <c r="R10" s="26">
        <f t="shared" si="34"/>
        <v>345.30407259999998</v>
      </c>
      <c r="S10" s="26">
        <f t="shared" si="34"/>
        <v>387.80217009999996</v>
      </c>
      <c r="T10" s="26">
        <f t="shared" si="34"/>
        <v>480.47</v>
      </c>
      <c r="U10" s="26">
        <f t="shared" si="34"/>
        <v>457.08699999999999</v>
      </c>
      <c r="V10" s="26">
        <f t="shared" ref="V10:AA10" si="35">+V8-V9</f>
        <v>628.02800000000002</v>
      </c>
      <c r="W10" s="26">
        <f t="shared" si="35"/>
        <v>720.53300000000002</v>
      </c>
      <c r="X10" s="26">
        <f t="shared" si="35"/>
        <v>832.03300000000002</v>
      </c>
      <c r="Y10" s="26">
        <f t="shared" si="35"/>
        <v>1191.8710000000001</v>
      </c>
      <c r="Z10" s="26">
        <f t="shared" si="35"/>
        <v>1519.626</v>
      </c>
      <c r="AA10" s="26">
        <f t="shared" si="35"/>
        <v>1261.4849999999999</v>
      </c>
      <c r="AB10" s="27">
        <f t="shared" ref="AB10:AD10" si="36">+AB8-AB9</f>
        <v>1032.1341393080213</v>
      </c>
      <c r="AC10" s="27">
        <f t="shared" si="36"/>
        <v>842.86983106040407</v>
      </c>
      <c r="AD10" s="27">
        <f t="shared" si="36"/>
        <v>688.12895514598677</v>
      </c>
      <c r="AE10" s="27">
        <f t="shared" ref="AE10" si="37">+AE8-AE9</f>
        <v>561.82898139183499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0</v>
      </c>
      <c r="BM10" s="26">
        <f t="shared" si="43"/>
        <v>0</v>
      </c>
      <c r="BN10" s="26">
        <f t="shared" si="43"/>
        <v>0</v>
      </c>
      <c r="BO10" s="26">
        <f t="shared" si="43"/>
        <v>0</v>
      </c>
      <c r="BP10" s="26">
        <f t="shared" si="43"/>
        <v>0</v>
      </c>
      <c r="BQ10" s="26">
        <f t="shared" si="43"/>
        <v>0</v>
      </c>
      <c r="BR10" s="26">
        <f t="shared" si="43"/>
        <v>0</v>
      </c>
      <c r="BS10" s="26">
        <f t="shared" si="43"/>
        <v>0</v>
      </c>
      <c r="BT10" s="26">
        <f t="shared" si="43"/>
        <v>0</v>
      </c>
      <c r="BU10" s="26">
        <f t="shared" si="43"/>
        <v>0</v>
      </c>
      <c r="BV10" s="26">
        <f t="shared" si="43"/>
        <v>0</v>
      </c>
      <c r="BW10" s="26">
        <f t="shared" si="43"/>
        <v>170.11500000000001</v>
      </c>
      <c r="BX10" s="26">
        <f t="shared" si="43"/>
        <v>170.155</v>
      </c>
      <c r="BY10" s="26">
        <f t="shared" si="43"/>
        <v>212.97</v>
      </c>
      <c r="BZ10" s="26">
        <f t="shared" si="43"/>
        <v>277.363</v>
      </c>
      <c r="CA10" s="26">
        <f t="shared" si="43"/>
        <v>217.148</v>
      </c>
      <c r="CB10" s="26">
        <f t="shared" si="43"/>
        <v>291.15900000000005</v>
      </c>
      <c r="CC10" s="26">
        <f t="shared" si="43"/>
        <v>321.04199999999997</v>
      </c>
      <c r="CD10" s="26">
        <f t="shared" si="43"/>
        <v>360.08100000000002</v>
      </c>
      <c r="CE10" s="26">
        <f t="shared" si="43"/>
        <v>256.89999999999998</v>
      </c>
      <c r="CF10" s="26">
        <f t="shared" si="43"/>
        <v>389.45</v>
      </c>
      <c r="CG10" s="26">
        <f t="shared" ref="CG10:CH10" si="44">+CG8-CG9</f>
        <v>444.23599999999999</v>
      </c>
      <c r="CH10" s="26">
        <f t="shared" si="44"/>
        <v>428.05500000000001</v>
      </c>
      <c r="CI10" s="26">
        <f t="shared" ref="CI10:CJ10" si="45">+CI8-CI9</f>
        <v>276.27800000000002</v>
      </c>
      <c r="CJ10" s="26">
        <f t="shared" si="45"/>
        <v>310.63400000000001</v>
      </c>
      <c r="CK10" s="26">
        <f t="shared" ref="CK10:CL10" si="46">+CK8-CK9</f>
        <v>302.86799999999999</v>
      </c>
      <c r="CL10" s="26">
        <f t="shared" si="46"/>
        <v>369.077</v>
      </c>
      <c r="CM10" s="27">
        <f t="shared" ref="CM10:DB10" si="47">+CM8-CM9</f>
        <v>236.01350728594451</v>
      </c>
      <c r="CN10" s="27">
        <f t="shared" si="47"/>
        <v>248.18683005881007</v>
      </c>
      <c r="CO10" s="27">
        <f t="shared" si="47"/>
        <v>242.08398255903171</v>
      </c>
      <c r="CP10" s="27">
        <f t="shared" si="47"/>
        <v>305.84981940423489</v>
      </c>
      <c r="CQ10" s="27">
        <f t="shared" si="47"/>
        <v>193.60325098203884</v>
      </c>
      <c r="CR10" s="27">
        <f t="shared" si="47"/>
        <v>201.48229352871004</v>
      </c>
      <c r="CS10" s="27">
        <f t="shared" si="47"/>
        <v>197.30549389213337</v>
      </c>
      <c r="CT10" s="27">
        <f t="shared" si="47"/>
        <v>250.47879265752175</v>
      </c>
      <c r="CU10" s="27">
        <f t="shared" si="47"/>
        <v>158.08247659609364</v>
      </c>
      <c r="CV10" s="27">
        <f t="shared" si="47"/>
        <v>164.32564543781552</v>
      </c>
      <c r="CW10" s="27">
        <f t="shared" si="47"/>
        <v>161.10490575284757</v>
      </c>
      <c r="CX10" s="27">
        <f t="shared" si="47"/>
        <v>204.61592735922994</v>
      </c>
      <c r="CY10" s="27">
        <f t="shared" si="47"/>
        <v>129.05600299395979</v>
      </c>
      <c r="CZ10" s="27">
        <f t="shared" si="47"/>
        <v>134.14690967833261</v>
      </c>
      <c r="DA10" s="27">
        <f t="shared" si="47"/>
        <v>131.54845367154752</v>
      </c>
      <c r="DB10" s="27">
        <f t="shared" si="47"/>
        <v>167.0776150479951</v>
      </c>
      <c r="DE10" s="121"/>
      <c r="DF10" s="26">
        <v>1258.8570000000002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>
        <f t="shared" si="51"/>
        <v>9.0970149954245016E-2</v>
      </c>
      <c r="Q11" s="39">
        <f t="shared" si="51"/>
        <v>-0.42238534398834437</v>
      </c>
      <c r="R11" s="39">
        <f t="shared" si="51"/>
        <v>0.34650732949517704</v>
      </c>
      <c r="S11" s="39">
        <f t="shared" ref="S11:AA11" si="52">S10/R10-1</f>
        <v>0.12307441722307666</v>
      </c>
      <c r="T11" s="39">
        <f t="shared" si="52"/>
        <v>0.23895645007892674</v>
      </c>
      <c r="U11" s="39">
        <f t="shared" si="52"/>
        <v>-4.8666930297417199E-2</v>
      </c>
      <c r="V11" s="39">
        <f t="shared" si="52"/>
        <v>0.37397913307532282</v>
      </c>
      <c r="W11" s="39">
        <f t="shared" si="52"/>
        <v>0.14729438814829909</v>
      </c>
      <c r="X11" s="39">
        <f t="shared" si="52"/>
        <v>0.15474655567475737</v>
      </c>
      <c r="Y11" s="39">
        <f t="shared" si="52"/>
        <v>0.43248044248244977</v>
      </c>
      <c r="Z11" s="39">
        <f t="shared" si="52"/>
        <v>0.27499200836332105</v>
      </c>
      <c r="AA11" s="39">
        <f t="shared" si="52"/>
        <v>-0.16987140256878996</v>
      </c>
      <c r="AB11" s="40">
        <f t="shared" ref="AB11" si="53">AB10/AA10-1</f>
        <v>-0.18181021628634397</v>
      </c>
      <c r="AC11" s="40">
        <f t="shared" ref="AC11" si="54">AC10/AB10-1</f>
        <v>-0.18337181286776016</v>
      </c>
      <c r="AD11" s="40">
        <f t="shared" ref="AD11" si="55">AD10/AC10-1</f>
        <v>-0.18358810603025111</v>
      </c>
      <c r="AE11" s="40">
        <f t="shared" ref="AE11" si="56">AE10/AD10-1</f>
        <v>-0.18354114124925491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 t="e">
        <f t="shared" si="57"/>
        <v>#DIV/0!</v>
      </c>
      <c r="BE11" s="39" t="e">
        <f t="shared" si="57"/>
        <v>#DIV/0!</v>
      </c>
      <c r="BF11" s="39" t="e">
        <f t="shared" si="57"/>
        <v>#DIV/0!</v>
      </c>
      <c r="BG11" s="39" t="e">
        <f t="shared" si="57"/>
        <v>#DIV/0!</v>
      </c>
      <c r="BH11" s="39" t="e">
        <f t="shared" si="57"/>
        <v>#DIV/0!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 t="e">
        <f t="shared" si="57"/>
        <v>#DIV/0!</v>
      </c>
      <c r="BM11" s="39" t="e">
        <f t="shared" si="57"/>
        <v>#DIV/0!</v>
      </c>
      <c r="BN11" s="39" t="e">
        <f t="shared" si="57"/>
        <v>#DIV/0!</v>
      </c>
      <c r="BO11" s="39" t="e">
        <f t="shared" si="57"/>
        <v>#DIV/0!</v>
      </c>
      <c r="BP11" s="39" t="e">
        <f t="shared" si="57"/>
        <v>#DIV/0!</v>
      </c>
      <c r="BQ11" s="39" t="e">
        <f t="shared" si="57"/>
        <v>#DIV/0!</v>
      </c>
      <c r="BR11" s="39" t="e">
        <f t="shared" si="57"/>
        <v>#DIV/0!</v>
      </c>
      <c r="BS11" s="39" t="e">
        <f t="shared" si="57"/>
        <v>#DIV/0!</v>
      </c>
      <c r="BT11" s="39" t="e">
        <f t="shared" si="57"/>
        <v>#DIV/0!</v>
      </c>
      <c r="BU11" s="39" t="e">
        <f t="shared" si="57"/>
        <v>#DIV/0!</v>
      </c>
      <c r="BV11" s="39" t="e">
        <f t="shared" si="57"/>
        <v>#DIV/0!</v>
      </c>
      <c r="BW11" s="39" t="e">
        <f t="shared" si="57"/>
        <v>#DIV/0!</v>
      </c>
      <c r="BX11" s="39" t="e">
        <f t="shared" si="57"/>
        <v>#DIV/0!</v>
      </c>
      <c r="BY11" s="39" t="e">
        <f t="shared" si="57"/>
        <v>#DIV/0!</v>
      </c>
      <c r="BZ11" s="39" t="e">
        <f t="shared" si="57"/>
        <v>#DIV/0!</v>
      </c>
      <c r="CA11" s="39">
        <f t="shared" si="57"/>
        <v>0.27647767686564961</v>
      </c>
      <c r="CB11" s="39">
        <f t="shared" si="57"/>
        <v>0.71113984308424705</v>
      </c>
      <c r="CC11" s="39">
        <f t="shared" si="57"/>
        <v>0.50745175376813623</v>
      </c>
      <c r="CD11" s="39">
        <f t="shared" si="57"/>
        <v>0.29823011721101955</v>
      </c>
      <c r="CE11" s="39">
        <f t="shared" si="57"/>
        <v>0.18306408532429486</v>
      </c>
      <c r="CF11" s="39">
        <f t="shared" si="57"/>
        <v>0.33758530562338773</v>
      </c>
      <c r="CG11" s="39">
        <f t="shared" si="57"/>
        <v>0.38373172357510854</v>
      </c>
      <c r="CH11" s="39">
        <f t="shared" si="57"/>
        <v>0.18877419247336014</v>
      </c>
      <c r="CI11" s="39">
        <f t="shared" si="57"/>
        <v>7.543012845465169E-2</v>
      </c>
      <c r="CJ11" s="39">
        <f>+IF(CF10&lt;0,1-CJ10/CF10,CJ10/CF10-1)</f>
        <v>-0.20237771215817169</v>
      </c>
      <c r="CK11" s="39">
        <f>+IF(CG10&lt;0,1-CK10/CG10,CK10/CG10-1)</f>
        <v>-0.31822724857958384</v>
      </c>
      <c r="CL11" s="39">
        <f>+IF(CH10&lt;0,1-CL10/CH10,CL10/CH10-1)</f>
        <v>-0.13778135987197904</v>
      </c>
      <c r="CM11" s="40">
        <f t="shared" ref="CM11" si="58">+AVERAGE(CI11:CL11)</f>
        <v>-0.14573904803877072</v>
      </c>
      <c r="CN11" s="40">
        <f t="shared" ref="CN11" si="59">+AVERAGE(CJ11:CM11)</f>
        <v>-0.20103134216212631</v>
      </c>
      <c r="CO11" s="40">
        <f t="shared" ref="CO11" si="60">+AVERAGE(CK11:CN11)</f>
        <v>-0.20069474966311496</v>
      </c>
      <c r="CP11" s="40">
        <f t="shared" ref="CP11" si="61">+AVERAGE(CL11:CO11)</f>
        <v>-0.17131162493399776</v>
      </c>
      <c r="CQ11" s="40">
        <f t="shared" ref="CQ11" si="62">+AVERAGE(CM11:CP11)</f>
        <v>-0.17969419119950245</v>
      </c>
      <c r="CR11" s="40">
        <f t="shared" ref="CR11" si="63">+AVERAGE(CN11:CQ11)</f>
        <v>-0.18818297698968539</v>
      </c>
      <c r="CS11" s="40">
        <f t="shared" ref="CS11" si="64">+AVERAGE(CO11:CR11)</f>
        <v>-0.18497088569657516</v>
      </c>
      <c r="CT11" s="40">
        <f t="shared" ref="CT11" si="65">+AVERAGE(CP11:CS11)</f>
        <v>-0.18103991970494018</v>
      </c>
      <c r="CU11" s="40">
        <f t="shared" ref="CU11" si="66">+AVERAGE(CQ11:CT11)</f>
        <v>-0.18347199339767578</v>
      </c>
      <c r="CV11" s="40">
        <f t="shared" ref="CV11" si="67">+AVERAGE(CR11:CU11)</f>
        <v>-0.18441644394721912</v>
      </c>
      <c r="CW11" s="40">
        <f t="shared" ref="CW11" si="68">+AVERAGE(CS11:CV11)</f>
        <v>-0.18347481068660254</v>
      </c>
      <c r="CX11" s="40">
        <f t="shared" ref="CX11" si="69">+AVERAGE(CT11:CW11)</f>
        <v>-0.18310079193410941</v>
      </c>
      <c r="CY11" s="40">
        <f t="shared" ref="CY11" si="70">+AVERAGE(CU11:CX11)</f>
        <v>-0.18361600999140171</v>
      </c>
      <c r="CZ11" s="40">
        <f t="shared" ref="CZ11" si="71">+AVERAGE(CV11:CY11)</f>
        <v>-0.1836520141398332</v>
      </c>
      <c r="DA11" s="40">
        <f t="shared" ref="DA11" si="72">+AVERAGE(CW11:CZ11)</f>
        <v>-0.18346090668798673</v>
      </c>
      <c r="DB11" s="40">
        <f t="shared" ref="DB11" si="73">+AVERAGE(CX11:DA11)</f>
        <v>-0.18345743068833278</v>
      </c>
      <c r="DE11" s="122"/>
      <c r="DF11" s="39">
        <v>-0.17160077545396024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 t="e">
        <f t="shared" si="75"/>
        <v>#DIV/0!</v>
      </c>
      <c r="AU12" s="39" t="e">
        <f t="shared" si="75"/>
        <v>#DIV/0!</v>
      </c>
      <c r="AV12" s="39" t="e">
        <f t="shared" si="75"/>
        <v>#DIV/0!</v>
      </c>
      <c r="AW12" s="39" t="e">
        <f t="shared" si="75"/>
        <v>#DIV/0!</v>
      </c>
      <c r="AX12" s="39" t="e">
        <f t="shared" si="75"/>
        <v>#DIV/0!</v>
      </c>
      <c r="AY12" s="39" t="e">
        <f t="shared" si="75"/>
        <v>#DIV/0!</v>
      </c>
      <c r="AZ12" s="39" t="e">
        <f t="shared" si="75"/>
        <v>#DIV/0!</v>
      </c>
      <c r="BA12" s="39" t="e">
        <f t="shared" si="75"/>
        <v>#DIV/0!</v>
      </c>
      <c r="BB12" s="39" t="e">
        <f t="shared" si="75"/>
        <v>#DIV/0!</v>
      </c>
      <c r="BC12" s="39" t="e">
        <f t="shared" si="75"/>
        <v>#DIV/0!</v>
      </c>
      <c r="BD12" s="39" t="e">
        <f t="shared" si="75"/>
        <v>#DIV/0!</v>
      </c>
      <c r="BE12" s="39" t="e">
        <f t="shared" si="75"/>
        <v>#DIV/0!</v>
      </c>
      <c r="BF12" s="39" t="e">
        <f t="shared" si="75"/>
        <v>#DIV/0!</v>
      </c>
      <c r="BG12" s="39" t="e">
        <f t="shared" si="75"/>
        <v>#DIV/0!</v>
      </c>
      <c r="BH12" s="39" t="e">
        <f t="shared" si="75"/>
        <v>#DIV/0!</v>
      </c>
      <c r="BI12" s="39" t="e">
        <f t="shared" si="75"/>
        <v>#DIV/0!</v>
      </c>
      <c r="BJ12" s="39" t="e">
        <f t="shared" si="75"/>
        <v>#DIV/0!</v>
      </c>
      <c r="BK12" s="39" t="e">
        <f t="shared" si="75"/>
        <v>#DIV/0!</v>
      </c>
      <c r="BL12" s="39" t="e">
        <f t="shared" si="75"/>
        <v>#DIV/0!</v>
      </c>
      <c r="BM12" s="39" t="e">
        <f t="shared" si="75"/>
        <v>#DIV/0!</v>
      </c>
      <c r="BN12" s="39" t="e">
        <f t="shared" si="75"/>
        <v>#DIV/0!</v>
      </c>
      <c r="BO12" s="39" t="e">
        <f t="shared" si="75"/>
        <v>#DIV/0!</v>
      </c>
      <c r="BP12" s="39" t="e">
        <f t="shared" si="75"/>
        <v>#DIV/0!</v>
      </c>
      <c r="BQ12" s="39" t="e">
        <f t="shared" si="75"/>
        <v>#DIV/0!</v>
      </c>
      <c r="BR12" s="39" t="e">
        <f t="shared" si="75"/>
        <v>#DIV/0!</v>
      </c>
      <c r="BS12" s="39" t="e">
        <f t="shared" si="75"/>
        <v>#DIV/0!</v>
      </c>
      <c r="BT12" s="39" t="e">
        <f t="shared" si="75"/>
        <v>#DIV/0!</v>
      </c>
      <c r="BU12" s="39" t="e">
        <f t="shared" si="75"/>
        <v>#DIV/0!</v>
      </c>
      <c r="BV12" s="39" t="e">
        <f t="shared" si="75"/>
        <v>#DIV/0!</v>
      </c>
      <c r="BW12" s="39" t="e">
        <f t="shared" si="75"/>
        <v>#DIV/0!</v>
      </c>
      <c r="BX12" s="39">
        <f t="shared" si="75"/>
        <v>2.351350556974996E-4</v>
      </c>
      <c r="BY12" s="39">
        <f t="shared" si="75"/>
        <v>0.25162351973200914</v>
      </c>
      <c r="BZ12" s="39">
        <f t="shared" si="75"/>
        <v>0.30235713950321652</v>
      </c>
      <c r="CA12" s="39">
        <f t="shared" si="75"/>
        <v>-0.2170981709889207</v>
      </c>
      <c r="CB12" s="39">
        <f t="shared" si="75"/>
        <v>0.34083205924070237</v>
      </c>
      <c r="CC12" s="39">
        <f t="shared" si="75"/>
        <v>0.10263464292706015</v>
      </c>
      <c r="CD12" s="39">
        <f t="shared" si="75"/>
        <v>0.12160091203020174</v>
      </c>
      <c r="CE12" s="39">
        <f t="shared" si="75"/>
        <v>-0.28654941527045319</v>
      </c>
      <c r="CF12" s="39">
        <f t="shared" si="75"/>
        <v>0.51595951732191514</v>
      </c>
      <c r="CG12" s="39">
        <f t="shared" si="75"/>
        <v>0.14067531133650024</v>
      </c>
      <c r="CH12" s="39">
        <f t="shared" si="75"/>
        <v>-3.642433301218273E-2</v>
      </c>
      <c r="CI12" s="39">
        <f t="shared" si="75"/>
        <v>-0.35457359451472359</v>
      </c>
      <c r="CJ12" s="39">
        <f>+IF(CI10&lt;0,1-CJ10/CI10,CJ10/CI10-1)</f>
        <v>0.12435300675406658</v>
      </c>
      <c r="CK12" s="39">
        <f>+IF(CJ10&lt;0,1-CK10/CJ10,CK10/CJ10-1)</f>
        <v>-2.5000482883393405E-2</v>
      </c>
      <c r="CL12" s="39">
        <f>+IF(CK10&lt;0,1-CL10/CK10,CL10/CK10-1)</f>
        <v>0.21860678579447157</v>
      </c>
      <c r="CM12" s="40">
        <f t="shared" ref="CM12" si="76">+CM10/CL10-1</f>
        <v>-0.36053043867283918</v>
      </c>
      <c r="CN12" s="40">
        <f t="shared" ref="CN12" si="77">+CN10/CM10-1</f>
        <v>5.1578924074531241E-2</v>
      </c>
      <c r="CO12" s="40">
        <f t="shared" ref="CO12" si="78">+CO10/CN10-1</f>
        <v>-2.4589731446798546E-2</v>
      </c>
      <c r="CP12" s="40">
        <f t="shared" ref="CP12" si="79">+CP10/CO10-1</f>
        <v>0.26340378314642932</v>
      </c>
      <c r="CQ12" s="40">
        <f t="shared" ref="CQ12" si="80">+CQ10/CP10-1</f>
        <v>-0.36699896910464502</v>
      </c>
      <c r="CR12" s="40">
        <f t="shared" ref="CR12" si="81">+CR10/CQ10-1</f>
        <v>4.0696850423251218E-2</v>
      </c>
      <c r="CS12" s="40">
        <f t="shared" ref="CS12" si="82">+CS10/CR10-1</f>
        <v>-2.0730355821473201E-2</v>
      </c>
      <c r="CT12" s="40">
        <f t="shared" ref="CT12" si="83">+CT10/CS10-1</f>
        <v>0.26949730449197795</v>
      </c>
      <c r="CU12" s="40">
        <f t="shared" ref="CU12" si="84">+CU10/CT10-1</f>
        <v>-0.36887879840494553</v>
      </c>
      <c r="CV12" s="40">
        <f t="shared" ref="CV12" si="85">+CV10/CU10-1</f>
        <v>3.9493111293248617E-2</v>
      </c>
      <c r="CW12" s="40">
        <f t="shared" ref="CW12" si="86">+CW10/CV10-1</f>
        <v>-1.9599738533732092E-2</v>
      </c>
      <c r="CX12" s="40">
        <f t="shared" ref="CX12" si="87">+CX10/CW10-1</f>
        <v>0.2700788123307245</v>
      </c>
      <c r="CY12" s="40">
        <f t="shared" ref="CY12" si="88">+CY10/CX10-1</f>
        <v>-0.36927684633569535</v>
      </c>
      <c r="CZ12" s="40">
        <f t="shared" ref="CZ12" si="89">+CZ10/CY10-1</f>
        <v>3.9447267591350199E-2</v>
      </c>
      <c r="DA12" s="40">
        <f t="shared" ref="DA12" si="90">+DA10/CZ10-1</f>
        <v>-1.9370226366122401E-2</v>
      </c>
      <c r="DB12" s="40">
        <f t="shared" ref="DB12" si="91">+DB10/DA10-1</f>
        <v>0.27008421904492619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-37.8324049</v>
      </c>
      <c r="P13" s="23">
        <f>'Annual Raw'!Q11</f>
        <v>33.804989900000002</v>
      </c>
      <c r="Q13" s="23">
        <f>'Annual Raw'!R11</f>
        <v>0.7408901</v>
      </c>
      <c r="R13" s="23">
        <f>'Annual Raw'!S11</f>
        <v>-10.9618004</v>
      </c>
      <c r="S13" s="23">
        <f>'Annual Raw'!T11</f>
        <v>-11.1719259</v>
      </c>
      <c r="T13" s="23">
        <f>'Annual Raw'!U11</f>
        <v>9.4849999999999994</v>
      </c>
      <c r="U13" s="23">
        <f>'Annual Raw'!V11</f>
        <v>-23.268999999999998</v>
      </c>
      <c r="V13" s="23">
        <f>'Annual Raw'!W11</f>
        <v>17.440999999999999</v>
      </c>
      <c r="W13" s="23">
        <f>'Annual Raw'!X11</f>
        <v>-11.326000000000001</v>
      </c>
      <c r="X13" s="23">
        <f>'Annual Raw'!Y11</f>
        <v>11.061</v>
      </c>
      <c r="Y13" s="23">
        <f>'Annual Raw'!Z11</f>
        <v>-28.777999999999999</v>
      </c>
      <c r="Z13" s="23">
        <f>'Annual Raw'!AA11</f>
        <v>21.254000000000001</v>
      </c>
      <c r="AA13" s="23">
        <f>'Annual Raw'!AB11</f>
        <v>-32.579000000000001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3.5619999999999998</v>
      </c>
      <c r="BX13" s="23">
        <f>'QTR Raw'!AR10</f>
        <v>1.7150000000000001</v>
      </c>
      <c r="BY13" s="23">
        <f>'QTR Raw'!AS10</f>
        <v>5.907</v>
      </c>
      <c r="BZ13" s="23">
        <f>'QTR Raw'!AT10</f>
        <v>-0.123</v>
      </c>
      <c r="CA13" s="23">
        <f>'QTR Raw'!AU10</f>
        <v>-10.673</v>
      </c>
      <c r="CB13" s="23">
        <f>'QTR Raw'!AV10</f>
        <v>-10.888999999999999</v>
      </c>
      <c r="CC13" s="23">
        <f>'QTR Raw'!AW10</f>
        <v>-10.85</v>
      </c>
      <c r="CD13" s="23">
        <f>'QTR Raw'!AX10</f>
        <v>3.6339999999999999</v>
      </c>
      <c r="CE13" s="23">
        <f>'QTR Raw'!AY10</f>
        <v>-27.66</v>
      </c>
      <c r="CF13" s="23">
        <f>'QTR Raw'!AZ10</f>
        <v>26.204999999999998</v>
      </c>
      <c r="CG13" s="23">
        <f>'QTR Raw'!BA10</f>
        <v>0.41299999999999998</v>
      </c>
      <c r="CH13" s="23">
        <f>'QTR Raw'!BB10</f>
        <v>22.295999999999999</v>
      </c>
      <c r="CI13" s="23">
        <f>'QTR Raw'!BC10</f>
        <v>4.7930000000000001</v>
      </c>
      <c r="CJ13" s="23">
        <f>'QTR Raw'!BD10</f>
        <v>-13.523999999999999</v>
      </c>
      <c r="CK13" s="23">
        <f>'QTR Raw'!BE10</f>
        <v>-4.3529999999999998</v>
      </c>
      <c r="CL13" s="23">
        <f>'QTR Raw'!BF10</f>
        <v>-19.495000000000001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-32.579000000000001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328.49224229999999</v>
      </c>
      <c r="Q15" s="23">
        <f>'Annual Raw'!R12</f>
        <v>188.11811929999999</v>
      </c>
      <c r="R15" s="23">
        <f>'Annual Raw'!S12</f>
        <v>285.1435027</v>
      </c>
      <c r="S15" s="23">
        <f>'Annual Raw'!T12</f>
        <v>319.02193249999999</v>
      </c>
      <c r="T15" s="23">
        <f>'Annual Raw'!U12</f>
        <v>373.78500000000003</v>
      </c>
      <c r="U15" s="23">
        <f>'Annual Raw'!V12</f>
        <v>388.17899999999997</v>
      </c>
      <c r="V15" s="23">
        <f>'Annual Raw'!W12</f>
        <v>477.85199999999998</v>
      </c>
      <c r="W15" s="23">
        <f>'Annual Raw'!X12</f>
        <v>555.28800000000001</v>
      </c>
      <c r="X15" s="23">
        <f>'Annual Raw'!Y12</f>
        <v>634.15300000000002</v>
      </c>
      <c r="Y15" s="23">
        <f>'Annual Raw'!Z12</f>
        <v>948.73800000000006</v>
      </c>
      <c r="Z15" s="23">
        <f>'Annual Raw'!AA12</f>
        <v>1086.94</v>
      </c>
      <c r="AA15" s="23">
        <f>'Annual Raw'!AB12</f>
        <v>784.79</v>
      </c>
      <c r="AB15" s="24">
        <f>+SUM(CM15:CP15)</f>
        <v>616.92015110180944</v>
      </c>
      <c r="AC15" s="24">
        <f>+SUM(CQ15:CT15)</f>
        <v>504.01892928288578</v>
      </c>
      <c r="AD15" s="24">
        <f>+SUM(CU15:CX15)</f>
        <v>411.54785417651351</v>
      </c>
      <c r="AE15" s="24">
        <f>+SUM(CY15:DB15)</f>
        <v>336.02333221004392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135.839</v>
      </c>
      <c r="BX15" s="23">
        <f>'QTR Raw'!AR11</f>
        <v>123.592</v>
      </c>
      <c r="BY15" s="23">
        <f>'QTR Raw'!AS11</f>
        <v>162.62200000000001</v>
      </c>
      <c r="BZ15" s="23">
        <f>'QTR Raw'!AT11</f>
        <v>212.1</v>
      </c>
      <c r="CA15" s="23">
        <f>'QTR Raw'!AU11</f>
        <v>173.465</v>
      </c>
      <c r="CB15" s="23">
        <f>'QTR Raw'!AV11</f>
        <v>242.066</v>
      </c>
      <c r="CC15" s="23">
        <f>'QTR Raw'!AW11</f>
        <v>261.40300000000002</v>
      </c>
      <c r="CD15" s="23">
        <f>'QTR Raw'!AX11</f>
        <v>271.80399999999997</v>
      </c>
      <c r="CE15" s="23">
        <f>'QTR Raw'!AY11</f>
        <v>220.375</v>
      </c>
      <c r="CF15" s="23">
        <f>'QTR Raw'!AZ11</f>
        <v>282.99799999999999</v>
      </c>
      <c r="CG15" s="23">
        <f>'QTR Raw'!BA11</f>
        <v>325.25900000000001</v>
      </c>
      <c r="CH15" s="23">
        <f>'QTR Raw'!BB11</f>
        <v>258.30799999999999</v>
      </c>
      <c r="CI15" s="23">
        <f>'QTR Raw'!BC11</f>
        <v>161.68899999999999</v>
      </c>
      <c r="CJ15" s="23">
        <f>'QTR Raw'!BD11</f>
        <v>196.12200000000001</v>
      </c>
      <c r="CK15" s="23">
        <f>'QTR Raw'!BE11</f>
        <v>182.76900000000001</v>
      </c>
      <c r="CL15" s="23">
        <f>'QTR Raw'!BF11</f>
        <v>244.21</v>
      </c>
      <c r="CM15" s="24">
        <f t="shared" ref="CM15:DB15" si="92">+CM10-CM16</f>
        <v>140.92114654629927</v>
      </c>
      <c r="CN15" s="24">
        <f t="shared" si="92"/>
        <v>147.8484899528936</v>
      </c>
      <c r="CO15" s="24">
        <f t="shared" si="92"/>
        <v>144.69049883244298</v>
      </c>
      <c r="CP15" s="24">
        <f t="shared" si="92"/>
        <v>183.46001577017361</v>
      </c>
      <c r="CQ15" s="24">
        <f t="shared" si="92"/>
        <v>115.69381532212927</v>
      </c>
      <c r="CR15" s="24">
        <f t="shared" si="92"/>
        <v>120.42700469474435</v>
      </c>
      <c r="CS15" s="24">
        <f t="shared" si="92"/>
        <v>118.02870231598068</v>
      </c>
      <c r="CT15" s="24">
        <f t="shared" si="92"/>
        <v>149.86940695003148</v>
      </c>
      <c r="CU15" s="24">
        <f t="shared" si="92"/>
        <v>94.526273505515391</v>
      </c>
      <c r="CV15" s="24">
        <f t="shared" si="92"/>
        <v>98.274751271524423</v>
      </c>
      <c r="CW15" s="24">
        <f t="shared" si="92"/>
        <v>96.362431794240763</v>
      </c>
      <c r="CX15" s="24">
        <f t="shared" si="92"/>
        <v>122.38439760523298</v>
      </c>
      <c r="CY15" s="24">
        <f t="shared" si="92"/>
        <v>77.183766444265629</v>
      </c>
      <c r="CZ15" s="24">
        <f t="shared" si="92"/>
        <v>80.232101025164567</v>
      </c>
      <c r="DA15" s="24">
        <f t="shared" si="92"/>
        <v>78.679385876930368</v>
      </c>
      <c r="DB15" s="24">
        <f t="shared" si="92"/>
        <v>99.928078863683339</v>
      </c>
      <c r="DE15" s="123"/>
      <c r="DF15" s="23">
        <v>784.79000000000008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444.78320489999999</v>
      </c>
      <c r="P16" s="31">
        <f t="shared" si="93"/>
        <v>81.673943100000031</v>
      </c>
      <c r="Q16" s="31">
        <f t="shared" si="93"/>
        <v>67.585248299999989</v>
      </c>
      <c r="R16" s="31">
        <f t="shared" si="93"/>
        <v>71.1223703</v>
      </c>
      <c r="S16" s="31">
        <f t="shared" si="93"/>
        <v>79.952163499999983</v>
      </c>
      <c r="T16" s="31">
        <f t="shared" si="93"/>
        <v>97.199999999999989</v>
      </c>
      <c r="U16" s="31">
        <f t="shared" ref="U16:Z16" si="94">U10-U13-U15-U14</f>
        <v>92.177000000000021</v>
      </c>
      <c r="V16" s="31">
        <f t="shared" si="94"/>
        <v>132.73500000000001</v>
      </c>
      <c r="W16" s="31">
        <f t="shared" si="94"/>
        <v>176.57100000000003</v>
      </c>
      <c r="X16" s="31">
        <f t="shared" si="94"/>
        <v>186.81899999999996</v>
      </c>
      <c r="Y16" s="31">
        <f t="shared" si="94"/>
        <v>271.91100000000006</v>
      </c>
      <c r="Z16" s="31">
        <f t="shared" si="94"/>
        <v>411.43200000000002</v>
      </c>
      <c r="AA16" s="31">
        <f t="shared" ref="AA16" si="95">AA10-AA13-AA15-AA14</f>
        <v>509.27399999999989</v>
      </c>
      <c r="AB16" s="32">
        <f t="shared" ref="AB16:AD16" si="96">AB10-AB13-AB15-AB14</f>
        <v>415.21398820621187</v>
      </c>
      <c r="AC16" s="32">
        <f t="shared" si="96"/>
        <v>338.85090177751829</v>
      </c>
      <c r="AD16" s="32">
        <f t="shared" si="96"/>
        <v>276.58110096947325</v>
      </c>
      <c r="AE16" s="32">
        <f t="shared" ref="AE16" si="97">AE10-AE13-AE15-AE14</f>
        <v>225.80564918179107</v>
      </c>
      <c r="AI16" s="31">
        <f t="shared" ref="AI16" si="98">AI10-AI13-AI15-AI14</f>
        <v>0</v>
      </c>
      <c r="AJ16" s="31">
        <f t="shared" ref="AJ16" si="99">AJ10-AJ13-AJ15-AJ14</f>
        <v>0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0</v>
      </c>
      <c r="AT16" s="31">
        <f t="shared" si="102"/>
        <v>0</v>
      </c>
      <c r="AU16" s="31">
        <f t="shared" si="102"/>
        <v>0</v>
      </c>
      <c r="AV16" s="31">
        <f t="shared" si="102"/>
        <v>0</v>
      </c>
      <c r="AW16" s="31">
        <f t="shared" si="102"/>
        <v>0</v>
      </c>
      <c r="AX16" s="31">
        <f t="shared" si="102"/>
        <v>0</v>
      </c>
      <c r="AY16" s="31">
        <f t="shared" si="102"/>
        <v>0</v>
      </c>
      <c r="AZ16" s="31">
        <f t="shared" si="102"/>
        <v>0</v>
      </c>
      <c r="BA16" s="31">
        <f t="shared" si="102"/>
        <v>0</v>
      </c>
      <c r="BB16" s="31">
        <f t="shared" si="102"/>
        <v>0</v>
      </c>
      <c r="BC16" s="31">
        <f t="shared" si="102"/>
        <v>0</v>
      </c>
      <c r="BD16" s="31">
        <f t="shared" si="102"/>
        <v>0</v>
      </c>
      <c r="BE16" s="31">
        <f t="shared" si="102"/>
        <v>0</v>
      </c>
      <c r="BF16" s="31">
        <f t="shared" si="102"/>
        <v>0</v>
      </c>
      <c r="BG16" s="31">
        <f t="shared" si="102"/>
        <v>0</v>
      </c>
      <c r="BH16" s="31">
        <f t="shared" si="102"/>
        <v>0</v>
      </c>
      <c r="BI16" s="31">
        <f t="shared" si="102"/>
        <v>0</v>
      </c>
      <c r="BJ16" s="31">
        <f t="shared" si="102"/>
        <v>0</v>
      </c>
      <c r="BK16" s="31">
        <f t="shared" si="102"/>
        <v>0</v>
      </c>
      <c r="BL16" s="31">
        <f t="shared" si="102"/>
        <v>0</v>
      </c>
      <c r="BM16" s="31">
        <f t="shared" si="102"/>
        <v>0</v>
      </c>
      <c r="BN16" s="31">
        <f t="shared" si="102"/>
        <v>0</v>
      </c>
      <c r="BO16" s="31">
        <f t="shared" si="102"/>
        <v>0</v>
      </c>
      <c r="BP16" s="31">
        <f t="shared" si="102"/>
        <v>0</v>
      </c>
      <c r="BQ16" s="31">
        <f t="shared" si="102"/>
        <v>0</v>
      </c>
      <c r="BR16" s="31">
        <f t="shared" si="102"/>
        <v>0</v>
      </c>
      <c r="BS16" s="31">
        <f t="shared" si="102"/>
        <v>0</v>
      </c>
      <c r="BT16" s="31">
        <f t="shared" si="102"/>
        <v>0</v>
      </c>
      <c r="BU16" s="31">
        <f t="shared" si="102"/>
        <v>0</v>
      </c>
      <c r="BV16" s="31">
        <f t="shared" si="102"/>
        <v>0</v>
      </c>
      <c r="BW16" s="31">
        <f t="shared" si="102"/>
        <v>30.713999999999999</v>
      </c>
      <c r="BX16" s="31">
        <f t="shared" si="102"/>
        <v>44.847999999999999</v>
      </c>
      <c r="BY16" s="31">
        <f t="shared" si="102"/>
        <v>44.440999999999974</v>
      </c>
      <c r="BZ16" s="31">
        <f t="shared" si="102"/>
        <v>65.385999999999996</v>
      </c>
      <c r="CA16" s="31">
        <f t="shared" si="102"/>
        <v>54.355999999999995</v>
      </c>
      <c r="CB16" s="31">
        <f t="shared" si="102"/>
        <v>59.982000000000056</v>
      </c>
      <c r="CC16" s="31">
        <f t="shared" si="102"/>
        <v>70.488999999999976</v>
      </c>
      <c r="CD16" s="31">
        <f t="shared" si="102"/>
        <v>84.643000000000029</v>
      </c>
      <c r="CE16" s="31">
        <f t="shared" ref="CE16:CF16" si="103">CE10-CE13-CE15-CE14</f>
        <v>64.185000000000002</v>
      </c>
      <c r="CF16" s="31">
        <f t="shared" si="103"/>
        <v>80.247000000000014</v>
      </c>
      <c r="CG16" s="31">
        <f t="shared" ref="CG16:CH16" si="104">CG10-CG13-CG15-CG14</f>
        <v>118.56399999999996</v>
      </c>
      <c r="CH16" s="31">
        <f t="shared" si="104"/>
        <v>147.45100000000002</v>
      </c>
      <c r="CI16" s="31">
        <f t="shared" ref="CI16:CJ16" si="105">CI10-CI13-CI15-CI14</f>
        <v>109.79600000000002</v>
      </c>
      <c r="CJ16" s="31">
        <f t="shared" si="105"/>
        <v>128.036</v>
      </c>
      <c r="CK16" s="31">
        <f t="shared" ref="CK16:CL16" si="106">CK10-CK13-CK15-CK14</f>
        <v>124.452</v>
      </c>
      <c r="CL16" s="31">
        <f t="shared" si="106"/>
        <v>144.36199999999999</v>
      </c>
      <c r="CM16" s="32">
        <f t="shared" ref="CM16:DB16" si="107">+CM17*CM10</f>
        <v>95.092360739645244</v>
      </c>
      <c r="CN16" s="32">
        <f t="shared" si="107"/>
        <v>100.33834010591649</v>
      </c>
      <c r="CO16" s="32">
        <f t="shared" si="107"/>
        <v>97.393483726588713</v>
      </c>
      <c r="CP16" s="32">
        <f t="shared" si="107"/>
        <v>122.38980363406128</v>
      </c>
      <c r="CQ16" s="32">
        <f t="shared" si="107"/>
        <v>77.909435659909576</v>
      </c>
      <c r="CR16" s="32">
        <f t="shared" si="107"/>
        <v>81.05528883396569</v>
      </c>
      <c r="CS16" s="32">
        <f t="shared" si="107"/>
        <v>79.276791576152689</v>
      </c>
      <c r="CT16" s="32">
        <f t="shared" si="107"/>
        <v>100.60938570749029</v>
      </c>
      <c r="CU16" s="32">
        <f t="shared" si="107"/>
        <v>63.556203090578251</v>
      </c>
      <c r="CV16" s="32">
        <f t="shared" si="107"/>
        <v>66.050894166291101</v>
      </c>
      <c r="CW16" s="32">
        <f t="shared" si="107"/>
        <v>64.742473958606809</v>
      </c>
      <c r="CX16" s="32">
        <f t="shared" si="107"/>
        <v>82.231529753996966</v>
      </c>
      <c r="CY16" s="32">
        <f t="shared" si="107"/>
        <v>51.872236549694165</v>
      </c>
      <c r="CZ16" s="32">
        <f t="shared" si="107"/>
        <v>53.914808653168038</v>
      </c>
      <c r="DA16" s="32">
        <f t="shared" si="107"/>
        <v>52.869067794617152</v>
      </c>
      <c r="DB16" s="32">
        <f t="shared" si="107"/>
        <v>67.149536184311756</v>
      </c>
      <c r="DE16" s="124"/>
      <c r="DF16" s="31">
        <v>506.64600000000007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>
        <f t="shared" si="108"/>
        <v>1.092965549889569</v>
      </c>
      <c r="P17" s="41">
        <f t="shared" si="108"/>
        <v>0.18396226521870782</v>
      </c>
      <c r="Q17" s="41">
        <f t="shared" si="108"/>
        <v>0.26354752064311865</v>
      </c>
      <c r="R17" s="41">
        <f t="shared" si="108"/>
        <v>0.2059702619910542</v>
      </c>
      <c r="S17" s="41">
        <f t="shared" si="108"/>
        <v>0.20616739581262078</v>
      </c>
      <c r="T17" s="41">
        <f t="shared" si="108"/>
        <v>0.20230191271047096</v>
      </c>
      <c r="U17" s="41">
        <f t="shared" si="108"/>
        <v>0.20166182805461547</v>
      </c>
      <c r="V17" s="41">
        <f t="shared" ref="V17:AA17" si="109">V16/V10</f>
        <v>0.21135204162871721</v>
      </c>
      <c r="W17" s="41">
        <f t="shared" si="109"/>
        <v>0.24505609042195156</v>
      </c>
      <c r="X17" s="41">
        <f t="shared" si="109"/>
        <v>0.22453316154527519</v>
      </c>
      <c r="Y17" s="41">
        <f t="shared" si="109"/>
        <v>0.22813794445875438</v>
      </c>
      <c r="Z17" s="41">
        <f t="shared" si="109"/>
        <v>0.27074556502718433</v>
      </c>
      <c r="AA17" s="41">
        <f t="shared" si="109"/>
        <v>0.4037099133164484</v>
      </c>
      <c r="AB17" s="42">
        <f t="shared" ref="AB17:AD17" si="110">AB16/AB10</f>
        <v>0.40228684663466879</v>
      </c>
      <c r="AC17" s="42">
        <f t="shared" si="110"/>
        <v>0.40202044169882578</v>
      </c>
      <c r="AD17" s="42">
        <f t="shared" si="110"/>
        <v>0.4019320781390408</v>
      </c>
      <c r="AE17" s="42">
        <f t="shared" ref="AE17" si="111">AE16/AE10</f>
        <v>0.40191171452636049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 t="e">
        <f t="shared" si="116"/>
        <v>#DIV/0!</v>
      </c>
      <c r="AT17" s="41" t="e">
        <f t="shared" si="116"/>
        <v>#DIV/0!</v>
      </c>
      <c r="AU17" s="41" t="e">
        <f t="shared" si="116"/>
        <v>#DIV/0!</v>
      </c>
      <c r="AV17" s="41" t="e">
        <f t="shared" si="116"/>
        <v>#DIV/0!</v>
      </c>
      <c r="AW17" s="41" t="e">
        <f t="shared" si="116"/>
        <v>#DIV/0!</v>
      </c>
      <c r="AX17" s="41" t="e">
        <f t="shared" si="116"/>
        <v>#DIV/0!</v>
      </c>
      <c r="AY17" s="41" t="e">
        <f t="shared" si="116"/>
        <v>#DIV/0!</v>
      </c>
      <c r="AZ17" s="41" t="e">
        <f t="shared" si="116"/>
        <v>#DIV/0!</v>
      </c>
      <c r="BA17" s="41" t="e">
        <f t="shared" si="116"/>
        <v>#DIV/0!</v>
      </c>
      <c r="BB17" s="41" t="e">
        <f t="shared" si="116"/>
        <v>#DIV/0!</v>
      </c>
      <c r="BC17" s="41" t="e">
        <f t="shared" si="116"/>
        <v>#DIV/0!</v>
      </c>
      <c r="BD17" s="41" t="e">
        <f t="shared" si="116"/>
        <v>#DIV/0!</v>
      </c>
      <c r="BE17" s="41" t="e">
        <f t="shared" si="116"/>
        <v>#DIV/0!</v>
      </c>
      <c r="BF17" s="41" t="e">
        <f t="shared" si="116"/>
        <v>#DIV/0!</v>
      </c>
      <c r="BG17" s="41" t="e">
        <f t="shared" si="116"/>
        <v>#DIV/0!</v>
      </c>
      <c r="BH17" s="41" t="e">
        <f t="shared" si="116"/>
        <v>#DIV/0!</v>
      </c>
      <c r="BI17" s="41" t="e">
        <f t="shared" si="116"/>
        <v>#DIV/0!</v>
      </c>
      <c r="BJ17" s="41" t="e">
        <f t="shared" si="116"/>
        <v>#DIV/0!</v>
      </c>
      <c r="BK17" s="41" t="e">
        <f t="shared" si="116"/>
        <v>#DIV/0!</v>
      </c>
      <c r="BL17" s="41" t="e">
        <f t="shared" si="116"/>
        <v>#DIV/0!</v>
      </c>
      <c r="BM17" s="41" t="e">
        <f t="shared" si="116"/>
        <v>#DIV/0!</v>
      </c>
      <c r="BN17" s="41" t="e">
        <f t="shared" si="116"/>
        <v>#DIV/0!</v>
      </c>
      <c r="BO17" s="41" t="e">
        <f t="shared" si="116"/>
        <v>#DIV/0!</v>
      </c>
      <c r="BP17" s="41" t="e">
        <f t="shared" si="116"/>
        <v>#DIV/0!</v>
      </c>
      <c r="BQ17" s="41" t="e">
        <f t="shared" si="116"/>
        <v>#DIV/0!</v>
      </c>
      <c r="BR17" s="41" t="e">
        <f t="shared" si="116"/>
        <v>#DIV/0!</v>
      </c>
      <c r="BS17" s="41" t="e">
        <f t="shared" si="116"/>
        <v>#DIV/0!</v>
      </c>
      <c r="BT17" s="41" t="e">
        <f t="shared" si="116"/>
        <v>#DIV/0!</v>
      </c>
      <c r="BU17" s="41" t="e">
        <f t="shared" si="116"/>
        <v>#DIV/0!</v>
      </c>
      <c r="BV17" s="41" t="e">
        <f t="shared" si="116"/>
        <v>#DIV/0!</v>
      </c>
      <c r="BW17" s="41">
        <f t="shared" si="116"/>
        <v>0.18054845251741466</v>
      </c>
      <c r="BX17" s="41">
        <f t="shared" si="116"/>
        <v>0.26357144956069467</v>
      </c>
      <c r="BY17" s="41">
        <f t="shared" si="116"/>
        <v>0.20867258299290967</v>
      </c>
      <c r="BZ17" s="41">
        <f t="shared" si="116"/>
        <v>0.23574160937111294</v>
      </c>
      <c r="CA17" s="41">
        <f t="shared" si="116"/>
        <v>0.25031775563210346</v>
      </c>
      <c r="CB17" s="41">
        <f t="shared" si="116"/>
        <v>0.20601114854770089</v>
      </c>
      <c r="CC17" s="41">
        <f t="shared" si="116"/>
        <v>0.21956317241980794</v>
      </c>
      <c r="CD17" s="41">
        <f t="shared" si="116"/>
        <v>0.23506655446968883</v>
      </c>
      <c r="CE17" s="41">
        <f t="shared" ref="CE17:CF17" si="117">CE16/CE10</f>
        <v>0.24984429739198136</v>
      </c>
      <c r="CF17" s="41">
        <f t="shared" si="117"/>
        <v>0.2060521247913725</v>
      </c>
      <c r="CG17" s="41">
        <f t="shared" ref="CG17:CH17" si="118">CG16/CG10</f>
        <v>0.2668941733673092</v>
      </c>
      <c r="CH17" s="41">
        <f t="shared" si="118"/>
        <v>0.34446741657030061</v>
      </c>
      <c r="CI17" s="41">
        <f t="shared" ref="CI17:CJ17" si="119">CI16/CI10</f>
        <v>0.39741130310773937</v>
      </c>
      <c r="CJ17" s="41">
        <f t="shared" si="119"/>
        <v>0.41217638764591125</v>
      </c>
      <c r="CK17" s="41">
        <f t="shared" ref="CK17:CL17" si="120">CK16/CK10</f>
        <v>0.41091168429811009</v>
      </c>
      <c r="CL17" s="41">
        <f t="shared" si="120"/>
        <v>0.39114331155829268</v>
      </c>
      <c r="CM17" s="42">
        <f t="shared" ref="CM17:DB17" si="121">AVERAGE(CI17:CL17)</f>
        <v>0.40291067165251332</v>
      </c>
      <c r="CN17" s="42">
        <f t="shared" si="121"/>
        <v>0.40428551378870681</v>
      </c>
      <c r="CO17" s="42">
        <f t="shared" si="121"/>
        <v>0.40231279532440567</v>
      </c>
      <c r="CP17" s="42">
        <f t="shared" si="121"/>
        <v>0.40016307308097965</v>
      </c>
      <c r="CQ17" s="42">
        <f t="shared" si="121"/>
        <v>0.4024180134616514</v>
      </c>
      <c r="CR17" s="42">
        <f t="shared" si="121"/>
        <v>0.40229484891393585</v>
      </c>
      <c r="CS17" s="42">
        <f t="shared" si="121"/>
        <v>0.40179718269524312</v>
      </c>
      <c r="CT17" s="42">
        <f t="shared" si="121"/>
        <v>0.40166827953795248</v>
      </c>
      <c r="CU17" s="42">
        <f t="shared" si="121"/>
        <v>0.40204458115219571</v>
      </c>
      <c r="CV17" s="42">
        <f t="shared" si="121"/>
        <v>0.40195122307483178</v>
      </c>
      <c r="CW17" s="42">
        <f t="shared" si="121"/>
        <v>0.40186531661505576</v>
      </c>
      <c r="CX17" s="42">
        <f t="shared" si="121"/>
        <v>0.40188235009500894</v>
      </c>
      <c r="CY17" s="42">
        <f t="shared" si="121"/>
        <v>0.40193586773427303</v>
      </c>
      <c r="CZ17" s="42">
        <f t="shared" si="121"/>
        <v>0.40190868937979235</v>
      </c>
      <c r="DA17" s="42">
        <f t="shared" si="121"/>
        <v>0.40189805595603251</v>
      </c>
      <c r="DB17" s="42">
        <f t="shared" si="121"/>
        <v>0.40190624079127674</v>
      </c>
      <c r="DE17" s="125"/>
      <c r="DF17" s="41">
        <v>0.40246509333466784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>
        <f t="shared" si="122"/>
        <v>-0.81637359009910759</v>
      </c>
      <c r="Q18" s="39">
        <f t="shared" si="122"/>
        <v>-0.17249926066077292</v>
      </c>
      <c r="R18" s="39">
        <f t="shared" si="122"/>
        <v>5.2335710661286505E-2</v>
      </c>
      <c r="S18" s="39">
        <f t="shared" si="122"/>
        <v>0.12414931002376872</v>
      </c>
      <c r="T18" s="39">
        <f t="shared" si="122"/>
        <v>0.21572695152896038</v>
      </c>
      <c r="U18" s="39">
        <f t="shared" si="122"/>
        <v>-5.1676954732509994E-2</v>
      </c>
      <c r="V18" s="39">
        <f t="shared" si="122"/>
        <v>0.44000130184319275</v>
      </c>
      <c r="W18" s="39">
        <f t="shared" si="122"/>
        <v>0.33025200587637027</v>
      </c>
      <c r="X18" s="39">
        <f t="shared" si="122"/>
        <v>5.8038975822756411E-2</v>
      </c>
      <c r="Y18" s="39">
        <f t="shared" si="122"/>
        <v>0.4554782971753415</v>
      </c>
      <c r="Z18" s="39">
        <f t="shared" si="122"/>
        <v>0.51311274645012506</v>
      </c>
      <c r="AA18" s="39">
        <f t="shared" si="122"/>
        <v>0.23780843492970849</v>
      </c>
      <c r="AB18" s="40">
        <f t="shared" si="122"/>
        <v>-0.18469431346149234</v>
      </c>
      <c r="AC18" s="40">
        <f t="shared" si="122"/>
        <v>-0.18391260554249111</v>
      </c>
      <c r="AD18" s="40">
        <f t="shared" si="122"/>
        <v>-0.18376755228153396</v>
      </c>
      <c r="AE18" s="40">
        <f t="shared" si="122"/>
        <v>-0.18358250657656594</v>
      </c>
      <c r="AM18" s="39" t="e">
        <f>+IF(AI16&lt;0,1-AM16/AI16,AM16/AI16-1)</f>
        <v>#DIV/0!</v>
      </c>
      <c r="AN18" s="39" t="e">
        <f t="shared" ref="AN18" si="123">+IF(AJ16&lt;0,1-AN16/AJ16,AN16/AJ16-1)</f>
        <v>#DIV/0!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 t="e">
        <f t="shared" ref="AW18" si="132">+IF(AS16&lt;0,1-AW16/AS16,AW16/AS16-1)</f>
        <v>#DIV/0!</v>
      </c>
      <c r="AX18" s="39" t="e">
        <f t="shared" ref="AX18" si="133">+IF(AT16&lt;0,1-AX16/AT16,AX16/AT16-1)</f>
        <v>#DIV/0!</v>
      </c>
      <c r="AY18" s="39" t="e">
        <f t="shared" ref="AY18" si="134">+IF(AU16&lt;0,1-AY16/AU16,AY16/AU16-1)</f>
        <v>#DIV/0!</v>
      </c>
      <c r="AZ18" s="39" t="e">
        <f t="shared" ref="AZ18" si="135">+IF(AV16&lt;0,1-AZ16/AV16,AZ16/AV16-1)</f>
        <v>#DIV/0!</v>
      </c>
      <c r="BA18" s="39" t="e">
        <f t="shared" ref="BA18" si="136">+IF(AW16&lt;0,1-BA16/AW16,BA16/AW16-1)</f>
        <v>#DIV/0!</v>
      </c>
      <c r="BB18" s="39" t="e">
        <f t="shared" ref="BB18" si="137">+IF(AX16&lt;0,1-BB16/AX16,BB16/AX16-1)</f>
        <v>#DIV/0!</v>
      </c>
      <c r="BC18" s="39" t="e">
        <f t="shared" ref="BC18" si="138">+IF(AY16&lt;0,1-BC16/AY16,BC16/AY16-1)</f>
        <v>#DIV/0!</v>
      </c>
      <c r="BD18" s="39" t="e">
        <f t="shared" ref="BD18" si="139">+IF(AZ16&lt;0,1-BD16/AZ16,BD16/AZ16-1)</f>
        <v>#DIV/0!</v>
      </c>
      <c r="BE18" s="39" t="e">
        <f t="shared" ref="BE18" si="140">+IF(BA16&lt;0,1-BE16/BA16,BE16/BA16-1)</f>
        <v>#DIV/0!</v>
      </c>
      <c r="BF18" s="39" t="e">
        <f t="shared" ref="BF18" si="141">+IF(BB16&lt;0,1-BF16/BB16,BF16/BB16-1)</f>
        <v>#DIV/0!</v>
      </c>
      <c r="BG18" s="39" t="e">
        <f t="shared" ref="BG18" si="142">+IF(BC16&lt;0,1-BG16/BC16,BG16/BC16-1)</f>
        <v>#DIV/0!</v>
      </c>
      <c r="BH18" s="39" t="e">
        <f t="shared" ref="BH18" si="143">+IF(BD16&lt;0,1-BH16/BD16,BH16/BD16-1)</f>
        <v>#DIV/0!</v>
      </c>
      <c r="BI18" s="39" t="e">
        <f t="shared" ref="BI18" si="144">+IF(BE16&lt;0,1-BI16/BE16,BI16/BE16-1)</f>
        <v>#DIV/0!</v>
      </c>
      <c r="BJ18" s="39" t="e">
        <f t="shared" ref="BJ18" si="145">+IF(BF16&lt;0,1-BJ16/BF16,BJ16/BF16-1)</f>
        <v>#DIV/0!</v>
      </c>
      <c r="BK18" s="39" t="e">
        <f t="shared" ref="BK18" si="146">+IF(BG16&lt;0,1-BK16/BG16,BK16/BG16-1)</f>
        <v>#DIV/0!</v>
      </c>
      <c r="BL18" s="39" t="e">
        <f t="shared" ref="BL18" si="147">+IF(BH16&lt;0,1-BL16/BH16,BL16/BH16-1)</f>
        <v>#DIV/0!</v>
      </c>
      <c r="BM18" s="39" t="e">
        <f t="shared" ref="BM18" si="148">+IF(BI16&lt;0,1-BM16/BI16,BM16/BI16-1)</f>
        <v>#DIV/0!</v>
      </c>
      <c r="BN18" s="39" t="e">
        <f t="shared" ref="BN18" si="149">+IF(BJ16&lt;0,1-BN16/BJ16,BN16/BJ16-1)</f>
        <v>#DIV/0!</v>
      </c>
      <c r="BO18" s="39" t="e">
        <f t="shared" ref="BO18" si="150">+IF(BK16&lt;0,1-BO16/BK16,BO16/BK16-1)</f>
        <v>#DIV/0!</v>
      </c>
      <c r="BP18" s="39" t="e">
        <f t="shared" ref="BP18" si="151">+IF(BL16&lt;0,1-BP16/BL16,BP16/BL16-1)</f>
        <v>#DIV/0!</v>
      </c>
      <c r="BQ18" s="39" t="e">
        <f t="shared" ref="BQ18" si="152">+IF(BM16&lt;0,1-BQ16/BM16,BQ16/BM16-1)</f>
        <v>#DIV/0!</v>
      </c>
      <c r="BR18" s="39" t="e">
        <f t="shared" ref="BR18" si="153">+IF(BN16&lt;0,1-BR16/BN16,BR16/BN16-1)</f>
        <v>#DIV/0!</v>
      </c>
      <c r="BS18" s="39" t="e">
        <f t="shared" ref="BS18" si="154">+IF(BO16&lt;0,1-BS16/BO16,BS16/BO16-1)</f>
        <v>#DIV/0!</v>
      </c>
      <c r="BT18" s="39" t="e">
        <f t="shared" ref="BT18" si="155">+IF(BP16&lt;0,1-BT16/BP16,BT16/BP16-1)</f>
        <v>#DIV/0!</v>
      </c>
      <c r="BU18" s="39" t="e">
        <f t="shared" ref="BU18" si="156">+IF(BQ16&lt;0,1-BU16/BQ16,BU16/BQ16-1)</f>
        <v>#DIV/0!</v>
      </c>
      <c r="BV18" s="39" t="e">
        <f t="shared" ref="BV18" si="157">+IF(BR16&lt;0,1-BV16/BR16,BV16/BR16-1)</f>
        <v>#DIV/0!</v>
      </c>
      <c r="BW18" s="39" t="e">
        <f t="shared" ref="BW18" si="158">+IF(BS16&lt;0,1-BW16/BS16,BW16/BS16-1)</f>
        <v>#DIV/0!</v>
      </c>
      <c r="BX18" s="39" t="e">
        <f t="shared" ref="BX18" si="159">+IF(BT16&lt;0,1-BX16/BT16,BX16/BT16-1)</f>
        <v>#DIV/0!</v>
      </c>
      <c r="BY18" s="39" t="e">
        <f t="shared" ref="BY18" si="160">+IF(BU16&lt;0,1-BY16/BU16,BY16/BU16-1)</f>
        <v>#DIV/0!</v>
      </c>
      <c r="BZ18" s="39" t="e">
        <f t="shared" ref="BZ18" si="161">+IF(BV16&lt;0,1-BZ16/BV16,BZ16/BV16-1)</f>
        <v>#DIV/0!</v>
      </c>
      <c r="CA18" s="39">
        <f t="shared" ref="CA18" si="162">+IF(BW16&lt;0,1-CA16/BW16,CA16/BW16-1)</f>
        <v>0.76974669531809581</v>
      </c>
      <c r="CB18" s="39">
        <f t="shared" ref="CB18" si="163">+IF(BX16&lt;0,1-CB16/BX16,CB16/BX16-1)</f>
        <v>0.33745094541562737</v>
      </c>
      <c r="CC18" s="39">
        <f t="shared" ref="CC18" si="164">+IF(BY16&lt;0,1-CC16/BY16,CC16/BY16-1)</f>
        <v>0.58612542472041618</v>
      </c>
      <c r="CD18" s="39">
        <f t="shared" ref="CD18" si="165">+IF(BZ16&lt;0,1-CD16/BZ16,CD16/BZ16-1)</f>
        <v>0.29451258679228021</v>
      </c>
      <c r="CE18" s="39">
        <f t="shared" ref="CE18" si="166">+IF(CA16&lt;0,1-CE16/CA16,CE16/CA16-1)</f>
        <v>0.18082640370888226</v>
      </c>
      <c r="CF18" s="39">
        <f t="shared" ref="CF18" si="167">+IF(CB16&lt;0,1-CF16/CB16,CF16/CB16-1)</f>
        <v>0.33785135540662092</v>
      </c>
      <c r="CG18" s="39">
        <f t="shared" ref="CG18" si="168">+IF(CC16&lt;0,1-CG16/CC16,CG16/CC16-1)</f>
        <v>0.68202130828923679</v>
      </c>
      <c r="CH18" s="39">
        <f t="shared" ref="CH18:CL18" si="169">+IF(CD16&lt;0,1-CH16/CD16,CH16/CD16-1)</f>
        <v>0.74203419065959353</v>
      </c>
      <c r="CI18" s="39">
        <f t="shared" si="169"/>
        <v>0.71061774557918533</v>
      </c>
      <c r="CJ18" s="39">
        <f t="shared" si="169"/>
        <v>0.59552382020511652</v>
      </c>
      <c r="CK18" s="39">
        <f t="shared" si="169"/>
        <v>4.9660942613272363E-2</v>
      </c>
      <c r="CL18" s="39">
        <f t="shared" si="169"/>
        <v>-2.0949332320567726E-2</v>
      </c>
      <c r="CM18" s="40">
        <f t="shared" ref="CM18" si="170">+CM16/CI16-1</f>
        <v>-0.13391780447698254</v>
      </c>
      <c r="CN18" s="40">
        <f t="shared" ref="CN18" si="171">+CN16/CJ16-1</f>
        <v>-0.21632712591836289</v>
      </c>
      <c r="CO18" s="40">
        <f t="shared" ref="CO18" si="172">+CO16/CK16-1</f>
        <v>-0.21742130518923997</v>
      </c>
      <c r="CP18" s="40">
        <f t="shared" ref="CP18" si="173">+CP16/CL16-1</f>
        <v>-0.15220207787325413</v>
      </c>
      <c r="CQ18" s="40">
        <f t="shared" ref="CQ18" si="174">+CQ16/CM16-1</f>
        <v>-0.18069721843146846</v>
      </c>
      <c r="CR18" s="40">
        <f t="shared" ref="CR18" si="175">+CR16/CN16-1</f>
        <v>-0.19218028972370615</v>
      </c>
      <c r="CS18" s="40">
        <f t="shared" ref="CS18" si="176">+CS16/CO16-1</f>
        <v>-0.18601544433193029</v>
      </c>
      <c r="CT18" s="40">
        <f t="shared" ref="CT18" si="177">+CT16/CP16-1</f>
        <v>-0.17795941557103268</v>
      </c>
      <c r="CU18" s="40">
        <f t="shared" ref="CU18" si="178">+CU16/CQ16-1</f>
        <v>-0.18422970783649473</v>
      </c>
      <c r="CV18" s="40">
        <f t="shared" ref="CV18" si="179">+CV16/CR16-1</f>
        <v>-0.18511308618503242</v>
      </c>
      <c r="CW18" s="40">
        <f t="shared" ref="CW18" si="180">+CW16/CS16-1</f>
        <v>-0.18333635012946159</v>
      </c>
      <c r="CX18" s="40">
        <f t="shared" ref="CX18" si="181">+CX16/CT16-1</f>
        <v>-0.18266542255734208</v>
      </c>
      <c r="CY18" s="40">
        <f t="shared" ref="CY18" si="182">+CY16/CU16-1</f>
        <v>-0.18383676136588079</v>
      </c>
      <c r="CZ18" s="40">
        <f t="shared" ref="CZ18" si="183">+CZ16/CV16-1</f>
        <v>-0.18373839849266849</v>
      </c>
      <c r="DA18" s="40">
        <f t="shared" ref="DA18" si="184">+DA16/CW16-1</f>
        <v>-0.18339438452075429</v>
      </c>
      <c r="DB18" s="40">
        <f t="shared" ref="DB18" si="185">+DB16/CX16-1</f>
        <v>-0.18340888968993219</v>
      </c>
      <c r="DE18" s="122"/>
      <c r="DF18" s="39">
        <v>0.23142098815843215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6">+IF(AJ16&lt;0,1-AK16/AJ16,AK16/AJ16-1)</f>
        <v>#DIV/0!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 t="e">
        <f t="shared" ref="AT19" si="195">+IF(AS16&lt;0,1-AT16/AS16,AT16/AS16-1)</f>
        <v>#DIV/0!</v>
      </c>
      <c r="AU19" s="39" t="e">
        <f t="shared" ref="AU19" si="196">+IF(AT16&lt;0,1-AU16/AT16,AU16/AT16-1)</f>
        <v>#DIV/0!</v>
      </c>
      <c r="AV19" s="39" t="e">
        <f t="shared" ref="AV19" si="197">+IF(AU16&lt;0,1-AV16/AU16,AV16/AU16-1)</f>
        <v>#DIV/0!</v>
      </c>
      <c r="AW19" s="39" t="e">
        <f t="shared" ref="AW19" si="198">+IF(AV16&lt;0,1-AW16/AV16,AW16/AV16-1)</f>
        <v>#DIV/0!</v>
      </c>
      <c r="AX19" s="39" t="e">
        <f t="shared" ref="AX19" si="199">+IF(AW16&lt;0,1-AX16/AW16,AX16/AW16-1)</f>
        <v>#DIV/0!</v>
      </c>
      <c r="AY19" s="39" t="e">
        <f t="shared" ref="AY19" si="200">+IF(AX16&lt;0,1-AY16/AX16,AY16/AX16-1)</f>
        <v>#DIV/0!</v>
      </c>
      <c r="AZ19" s="39" t="e">
        <f t="shared" ref="AZ19" si="201">+IF(AY16&lt;0,1-AZ16/AY16,AZ16/AY16-1)</f>
        <v>#DIV/0!</v>
      </c>
      <c r="BA19" s="39" t="e">
        <f t="shared" ref="BA19" si="202">+IF(AZ16&lt;0,1-BA16/AZ16,BA16/AZ16-1)</f>
        <v>#DIV/0!</v>
      </c>
      <c r="BB19" s="39" t="e">
        <f t="shared" ref="BB19" si="203">+IF(BA16&lt;0,1-BB16/BA16,BB16/BA16-1)</f>
        <v>#DIV/0!</v>
      </c>
      <c r="BC19" s="39" t="e">
        <f t="shared" ref="BC19" si="204">+IF(BB16&lt;0,1-BC16/BB16,BC16/BB16-1)</f>
        <v>#DIV/0!</v>
      </c>
      <c r="BD19" s="39" t="e">
        <f t="shared" ref="BD19" si="205">+IF(BC16&lt;0,1-BD16/BC16,BD16/BC16-1)</f>
        <v>#DIV/0!</v>
      </c>
      <c r="BE19" s="39" t="e">
        <f t="shared" ref="BE19" si="206">+IF(BD16&lt;0,1-BE16/BD16,BE16/BD16-1)</f>
        <v>#DIV/0!</v>
      </c>
      <c r="BF19" s="39" t="e">
        <f t="shared" ref="BF19" si="207">+IF(BE16&lt;0,1-BF16/BE16,BF16/BE16-1)</f>
        <v>#DIV/0!</v>
      </c>
      <c r="BG19" s="39" t="e">
        <f t="shared" ref="BG19" si="208">+IF(BF16&lt;0,1-BG16/BF16,BG16/BF16-1)</f>
        <v>#DIV/0!</v>
      </c>
      <c r="BH19" s="39" t="e">
        <f t="shared" ref="BH19" si="209">+IF(BG16&lt;0,1-BH16/BG16,BH16/BG16-1)</f>
        <v>#DIV/0!</v>
      </c>
      <c r="BI19" s="39" t="e">
        <f t="shared" ref="BI19" si="210">+IF(BH16&lt;0,1-BI16/BH16,BI16/BH16-1)</f>
        <v>#DIV/0!</v>
      </c>
      <c r="BJ19" s="39" t="e">
        <f t="shared" ref="BJ19" si="211">+IF(BI16&lt;0,1-BJ16/BI16,BJ16/BI16-1)</f>
        <v>#DIV/0!</v>
      </c>
      <c r="BK19" s="39" t="e">
        <f t="shared" ref="BK19" si="212">+IF(BJ16&lt;0,1-BK16/BJ16,BK16/BJ16-1)</f>
        <v>#DIV/0!</v>
      </c>
      <c r="BL19" s="39" t="e">
        <f t="shared" ref="BL19" si="213">+IF(BK16&lt;0,1-BL16/BK16,BL16/BK16-1)</f>
        <v>#DIV/0!</v>
      </c>
      <c r="BM19" s="39" t="e">
        <f t="shared" ref="BM19" si="214">+IF(BL16&lt;0,1-BM16/BL16,BM16/BL16-1)</f>
        <v>#DIV/0!</v>
      </c>
      <c r="BN19" s="39" t="e">
        <f t="shared" ref="BN19" si="215">+IF(BM16&lt;0,1-BN16/BM16,BN16/BM16-1)</f>
        <v>#DIV/0!</v>
      </c>
      <c r="BO19" s="39" t="e">
        <f t="shared" ref="BO19" si="216">+IF(BN16&lt;0,1-BO16/BN16,BO16/BN16-1)</f>
        <v>#DIV/0!</v>
      </c>
      <c r="BP19" s="39" t="e">
        <f t="shared" ref="BP19" si="217">+IF(BO16&lt;0,1-BP16/BO16,BP16/BO16-1)</f>
        <v>#DIV/0!</v>
      </c>
      <c r="BQ19" s="39" t="e">
        <f t="shared" ref="BQ19" si="218">+IF(BP16&lt;0,1-BQ16/BP16,BQ16/BP16-1)</f>
        <v>#DIV/0!</v>
      </c>
      <c r="BR19" s="39" t="e">
        <f t="shared" ref="BR19" si="219">+IF(BQ16&lt;0,1-BR16/BQ16,BR16/BQ16-1)</f>
        <v>#DIV/0!</v>
      </c>
      <c r="BS19" s="39" t="e">
        <f t="shared" ref="BS19" si="220">+IF(BR16&lt;0,1-BS16/BR16,BS16/BR16-1)</f>
        <v>#DIV/0!</v>
      </c>
      <c r="BT19" s="39" t="e">
        <f t="shared" ref="BT19" si="221">+IF(BS16&lt;0,1-BT16/BS16,BT16/BS16-1)</f>
        <v>#DIV/0!</v>
      </c>
      <c r="BU19" s="39" t="e">
        <f t="shared" ref="BU19" si="222">+IF(BT16&lt;0,1-BU16/BT16,BU16/BT16-1)</f>
        <v>#DIV/0!</v>
      </c>
      <c r="BV19" s="39" t="e">
        <f t="shared" ref="BV19" si="223">+IF(BU16&lt;0,1-BV16/BU16,BV16/BU16-1)</f>
        <v>#DIV/0!</v>
      </c>
      <c r="BW19" s="39" t="e">
        <f t="shared" ref="BW19" si="224">+IF(BV16&lt;0,1-BW16/BV16,BW16/BV16-1)</f>
        <v>#DIV/0!</v>
      </c>
      <c r="BX19" s="39">
        <f t="shared" ref="BX19" si="225">+IF(BW16&lt;0,1-BX16/BW16,BX16/BW16-1)</f>
        <v>0.46018102493976687</v>
      </c>
      <c r="BY19" s="39">
        <f t="shared" ref="BY19" si="226">+IF(BX16&lt;0,1-BY16/BX16,BY16/BX16-1)</f>
        <v>-9.0750981091692884E-3</v>
      </c>
      <c r="BZ19" s="39">
        <f t="shared" ref="BZ19" si="227">+IF(BY16&lt;0,1-BZ16/BY16,BZ16/BY16-1)</f>
        <v>0.47129902567449045</v>
      </c>
      <c r="CA19" s="39">
        <f t="shared" ref="CA19" si="228">+IF(BZ16&lt;0,1-CA16/BZ16,CA16/BZ16-1)</f>
        <v>-0.16869054537668615</v>
      </c>
      <c r="CB19" s="39">
        <f t="shared" ref="CB19" si="229">+IF(CA16&lt;0,1-CB16/CA16,CB16/CA16-1)</f>
        <v>0.10350283317389186</v>
      </c>
      <c r="CC19" s="39">
        <f t="shared" ref="CC19" si="230">+IF(CB16&lt;0,1-CC16/CB16,CC16/CB16-1)</f>
        <v>0.17516921743189484</v>
      </c>
      <c r="CD19" s="39">
        <f t="shared" ref="CD19" si="231">+IF(CC16&lt;0,1-CD16/CC16,CD16/CC16-1)</f>
        <v>0.20079728752003945</v>
      </c>
      <c r="CE19" s="39">
        <f t="shared" ref="CE19" si="232">+IF(CD16&lt;0,1-CE16/CD16,CE16/CD16-1)</f>
        <v>-0.24169748236711863</v>
      </c>
      <c r="CF19" s="39">
        <f t="shared" ref="CF19" si="233">+IF(CE16&lt;0,1-CF16/CE16,CF16/CE16-1)</f>
        <v>0.25024538443561606</v>
      </c>
      <c r="CG19" s="39">
        <f t="shared" ref="CG19" si="234">+IF(CF16&lt;0,1-CG16/CF16,CG16/CF16-1)</f>
        <v>0.4774882550126478</v>
      </c>
      <c r="CH19" s="39">
        <f t="shared" ref="CH19:CL19" si="235">+IF(CG16&lt;0,1-CH16/CG16,CH16/CG16-1)</f>
        <v>0.2436405654330156</v>
      </c>
      <c r="CI19" s="39">
        <f t="shared" si="235"/>
        <v>-0.25537297135997716</v>
      </c>
      <c r="CJ19" s="39">
        <f t="shared" si="235"/>
        <v>0.16612627053808859</v>
      </c>
      <c r="CK19" s="39">
        <f t="shared" si="235"/>
        <v>-2.7992127214221063E-2</v>
      </c>
      <c r="CL19" s="39">
        <f t="shared" si="235"/>
        <v>0.15998135827467608</v>
      </c>
      <c r="CM19" s="40">
        <f t="shared" ref="CM19" si="236">+CM16/CL16-1</f>
        <v>-0.34129230171620473</v>
      </c>
      <c r="CN19" s="40">
        <f t="shared" ref="CN19" si="237">+CN16/CM16-1</f>
        <v>5.5167200871522049E-2</v>
      </c>
      <c r="CO19" s="40">
        <f t="shared" ref="CO19" si="238">+CO16/CN16-1</f>
        <v>-2.9349263464187314E-2</v>
      </c>
      <c r="CP19" s="40">
        <f t="shared" ref="CP19" si="239">+CP16/CO16-1</f>
        <v>0.25665289864406504</v>
      </c>
      <c r="CQ19" s="40">
        <f t="shared" ref="CQ19" si="240">+CQ16/CP16-1</f>
        <v>-0.3634319743427773</v>
      </c>
      <c r="CR19" s="40">
        <f t="shared" ref="CR19" si="241">+CR16/CQ16-1</f>
        <v>4.0378333476684292E-2</v>
      </c>
      <c r="CS19" s="40">
        <f t="shared" ref="CS19" si="242">+CS16/CR16-1</f>
        <v>-2.1941779289147756E-2</v>
      </c>
      <c r="CT19" s="40">
        <f t="shared" ref="CT19" si="243">+CT16/CS16-1</f>
        <v>0.26909002883707367</v>
      </c>
      <c r="CU19" s="40">
        <f t="shared" ref="CU19" si="244">+CU16/CT16-1</f>
        <v>-0.36828753457097652</v>
      </c>
      <c r="CV19" s="40">
        <f t="shared" ref="CV19" si="245">+CV16/CU16-1</f>
        <v>3.9251732394357974E-2</v>
      </c>
      <c r="CW19" s="40">
        <f t="shared" ref="CW19" si="246">+CW16/CV16-1</f>
        <v>-1.9809273200604771E-2</v>
      </c>
      <c r="CX19" s="40">
        <f t="shared" ref="CX19" si="247">+CX16/CW16-1</f>
        <v>0.27013264594386377</v>
      </c>
      <c r="CY19" s="40">
        <f t="shared" ref="CY19" si="248">+CY16/CX16-1</f>
        <v>-0.36919285455500295</v>
      </c>
      <c r="CZ19" s="40">
        <f t="shared" ref="CZ19" si="249">+CZ16/CY16-1</f>
        <v>3.9376981586615623E-2</v>
      </c>
      <c r="DA19" s="40">
        <f t="shared" ref="DA19" si="250">+DA16/CZ16-1</f>
        <v>-1.9396171194413392E-2</v>
      </c>
      <c r="DB19" s="40">
        <f t="shared" ref="DB19" si="251">+DB16/DA16-1</f>
        <v>0.27011008488310373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17.4800741</v>
      </c>
      <c r="Q20" s="23">
        <f>'Annual Raw'!R14</f>
        <v>22.236850400000002</v>
      </c>
      <c r="R20" s="23">
        <f>'Annual Raw'!S14</f>
        <v>31.882541799999998</v>
      </c>
      <c r="S20" s="23">
        <f>'Annual Raw'!T14</f>
        <v>42.834367800000003</v>
      </c>
      <c r="T20" s="23">
        <f>'Annual Raw'!U14</f>
        <v>45.543999999999997</v>
      </c>
      <c r="U20" s="23">
        <f>'Annual Raw'!V14</f>
        <v>44.094999999999999</v>
      </c>
      <c r="V20" s="23">
        <f>'Annual Raw'!W14</f>
        <v>46.863</v>
      </c>
      <c r="W20" s="23">
        <f>'Annual Raw'!X14</f>
        <v>51.652000000000001</v>
      </c>
      <c r="X20" s="23">
        <f>'Annual Raw'!Y14</f>
        <v>64.694000000000003</v>
      </c>
      <c r="Y20" s="23">
        <f>'Annual Raw'!Z14</f>
        <v>117.38</v>
      </c>
      <c r="Z20" s="23">
        <f>'Annual Raw'!AA14</f>
        <v>186.21799999999999</v>
      </c>
      <c r="AA20" s="23">
        <f>'Annual Raw'!AB14</f>
        <v>226.77799999999999</v>
      </c>
      <c r="AB20" s="76">
        <f t="shared" ref="AB20:AB25" si="252">+SUM(CM20:CP20)</f>
        <v>242.65246000000002</v>
      </c>
      <c r="AC20" s="76">
        <f t="shared" ref="AC20:AC25" si="253">+SUM(CQ20:CT20)</f>
        <v>259.63813220000003</v>
      </c>
      <c r="AD20" s="76">
        <f t="shared" ref="AD20:AD25" si="254">+SUM(CU20:CX20)</f>
        <v>277.81280145400001</v>
      </c>
      <c r="AE20" s="76">
        <f t="shared" ref="AE20:AE25" si="255">+SUM(CY20:DB20)</f>
        <v>297.25969755578006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0</v>
      </c>
      <c r="BV20" s="23">
        <f>'QTR Raw'!AP16</f>
        <v>0</v>
      </c>
      <c r="BW20" s="23">
        <f>'QTR Raw'!AQ16</f>
        <v>10.946</v>
      </c>
      <c r="BX20" s="23">
        <f>'QTR Raw'!AR16</f>
        <v>12.989000000000001</v>
      </c>
      <c r="BY20" s="23">
        <f>'QTR Raw'!AS16</f>
        <v>14.089</v>
      </c>
      <c r="BZ20" s="23">
        <f>'QTR Raw'!AT16</f>
        <v>26.67</v>
      </c>
      <c r="CA20" s="23">
        <f>'QTR Raw'!AU16</f>
        <v>24.43</v>
      </c>
      <c r="CB20" s="23">
        <f>'QTR Raw'!AV16</f>
        <v>26.696000000000002</v>
      </c>
      <c r="CC20" s="23">
        <f>'QTR Raw'!AW16</f>
        <v>30.556999999999999</v>
      </c>
      <c r="CD20" s="23">
        <f>'QTR Raw'!AX16</f>
        <v>35.697000000000003</v>
      </c>
      <c r="CE20" s="23">
        <f>'QTR Raw'!AY16</f>
        <v>32.795999999999999</v>
      </c>
      <c r="CF20" s="23">
        <f>'QTR Raw'!AZ16</f>
        <v>33.567999999999998</v>
      </c>
      <c r="CG20" s="23">
        <f>'QTR Raw'!BA16</f>
        <v>58.771000000000001</v>
      </c>
      <c r="CH20" s="23">
        <f>'QTR Raw'!BB16</f>
        <v>61.082999999999998</v>
      </c>
      <c r="CI20" s="23">
        <f>'QTR Raw'!BC16</f>
        <v>57.781999999999996</v>
      </c>
      <c r="CJ20" s="23">
        <f>'QTR Raw'!BD16</f>
        <v>52.942</v>
      </c>
      <c r="CK20" s="23">
        <f>'QTR Raw'!BE16</f>
        <v>58.45</v>
      </c>
      <c r="CL20" s="23">
        <f>'QTR Raw'!BF16</f>
        <v>57.603999999999999</v>
      </c>
      <c r="CM20" s="24">
        <f t="shared" ref="CM20:DB20" si="256">CI20*107%</f>
        <v>61.826740000000001</v>
      </c>
      <c r="CN20" s="24">
        <f t="shared" si="256"/>
        <v>56.647940000000006</v>
      </c>
      <c r="CO20" s="24">
        <f t="shared" si="256"/>
        <v>62.541500000000006</v>
      </c>
      <c r="CP20" s="24">
        <f t="shared" si="256"/>
        <v>61.636279999999999</v>
      </c>
      <c r="CQ20" s="24">
        <f t="shared" si="256"/>
        <v>66.154611799999998</v>
      </c>
      <c r="CR20" s="24">
        <f t="shared" si="256"/>
        <v>60.61329580000001</v>
      </c>
      <c r="CS20" s="24">
        <f t="shared" si="256"/>
        <v>66.919405000000012</v>
      </c>
      <c r="CT20" s="24">
        <f t="shared" si="256"/>
        <v>65.950819600000003</v>
      </c>
      <c r="CU20" s="24">
        <f t="shared" si="256"/>
        <v>70.785434625999997</v>
      </c>
      <c r="CV20" s="24">
        <f t="shared" si="256"/>
        <v>64.856226506000013</v>
      </c>
      <c r="CW20" s="24">
        <f t="shared" si="256"/>
        <v>71.603763350000023</v>
      </c>
      <c r="CX20" s="24">
        <f t="shared" si="256"/>
        <v>70.567376972000005</v>
      </c>
      <c r="CY20" s="24">
        <f t="shared" si="256"/>
        <v>75.740415049820001</v>
      </c>
      <c r="CZ20" s="24">
        <f t="shared" si="256"/>
        <v>69.396162361420025</v>
      </c>
      <c r="DA20" s="24">
        <f t="shared" si="256"/>
        <v>76.616026784500022</v>
      </c>
      <c r="DB20" s="24">
        <f t="shared" si="256"/>
        <v>75.507093360040017</v>
      </c>
      <c r="DE20" s="123"/>
      <c r="DF20" s="23">
        <v>226.77799999999996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401.95843009999999</v>
      </c>
      <c r="P21" s="23">
        <f>'Annual Raw'!Q17</f>
        <v>5.9212002000000004</v>
      </c>
      <c r="Q21" s="23">
        <f>'Annual Raw'!R17</f>
        <v>9.3008029000000008</v>
      </c>
      <c r="R21" s="23">
        <f>'Annual Raw'!S17</f>
        <v>9.3484691000000009</v>
      </c>
      <c r="S21" s="23">
        <f>'Annual Raw'!T17</f>
        <v>6.3030878000000001</v>
      </c>
      <c r="T21" s="23">
        <f>'Annual Raw'!U17</f>
        <v>6.8380000000000001</v>
      </c>
      <c r="U21" s="23">
        <f>'Annual Raw'!V17</f>
        <v>3.9670000000000001</v>
      </c>
      <c r="V21" s="23">
        <f>'Annual Raw'!W17</f>
        <v>5.3730000000000002</v>
      </c>
      <c r="W21" s="23">
        <f>'Annual Raw'!X17</f>
        <v>6.3879999999999999</v>
      </c>
      <c r="X21" s="23">
        <f>'Annual Raw'!Y17</f>
        <v>7.4880000000000004</v>
      </c>
      <c r="Y21" s="23">
        <f>'Annual Raw'!Z17</f>
        <v>12.026999999999999</v>
      </c>
      <c r="Z21" s="23">
        <f>'Annual Raw'!AA17</f>
        <v>28.777000000000001</v>
      </c>
      <c r="AA21" s="23">
        <f>'Annual Raw'!AB17</f>
        <v>28.678000000000001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0.44190639999999998</v>
      </c>
      <c r="Q22" s="23">
        <f>'Annual Raw'!R19-'Annual Raw'!R20</f>
        <v>2.5793194000000002</v>
      </c>
      <c r="R22" s="23">
        <f>'Annual Raw'!S19-'Annual Raw'!S20</f>
        <v>7.7001134000000002</v>
      </c>
      <c r="S22" s="23">
        <f>'Annual Raw'!T19-'Annual Raw'!T20</f>
        <v>6.3659971000000004</v>
      </c>
      <c r="T22" s="23">
        <f>'Annual Raw'!U19-'Annual Raw'!U20</f>
        <v>6.0640000000000001</v>
      </c>
      <c r="U22" s="23">
        <f>'Annual Raw'!V19-'Annual Raw'!V20</f>
        <v>13.178000000000001</v>
      </c>
      <c r="V22" s="23">
        <f>'Annual Raw'!W19-'Annual Raw'!W20</f>
        <v>10.46</v>
      </c>
      <c r="W22" s="23">
        <f>'Annual Raw'!X19-'Annual Raw'!X20</f>
        <v>4.835</v>
      </c>
      <c r="X22" s="23">
        <f>'Annual Raw'!Y19-'Annual Raw'!Y20</f>
        <v>7.0250000000000004</v>
      </c>
      <c r="Y22" s="23">
        <f>'Annual Raw'!Z19-'Annual Raw'!Z20</f>
        <v>11.26</v>
      </c>
      <c r="Z22" s="23">
        <f>'Annual Raw'!AA19-'Annual Raw'!AA20</f>
        <v>25.635000000000002</v>
      </c>
      <c r="AA22" s="23">
        <f>'Annual Raw'!AB19-'Annual Raw'!AB20</f>
        <v>19.245999999999999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14.9954766</v>
      </c>
      <c r="Q23" s="23">
        <f>'Annual Raw'!R15+'Annual Raw'!R16</f>
        <v>13.7035067</v>
      </c>
      <c r="R23" s="23">
        <f>'Annual Raw'!S15+'Annual Raw'!S16</f>
        <v>9.7666559999999993</v>
      </c>
      <c r="S23" s="23">
        <f>'Annual Raw'!T15+'Annual Raw'!T16</f>
        <v>12.1636723</v>
      </c>
      <c r="T23" s="23">
        <f>'Annual Raw'!U15+'Annual Raw'!U16</f>
        <v>10.752000000000001</v>
      </c>
      <c r="U23" s="23">
        <f>'Annual Raw'!V15+'Annual Raw'!V16</f>
        <v>4.2370000000000001</v>
      </c>
      <c r="V23" s="23">
        <f>'Annual Raw'!W15+'Annual Raw'!W16</f>
        <v>4.6829999999999998</v>
      </c>
      <c r="W23" s="23">
        <f>'Annual Raw'!X15+'Annual Raw'!X16</f>
        <v>6.0960000000000001</v>
      </c>
      <c r="X23" s="23">
        <f>'Annual Raw'!Y15+'Annual Raw'!Y16</f>
        <v>9.2219999999999995</v>
      </c>
      <c r="Y23" s="23">
        <f>'Annual Raw'!Z15+'Annual Raw'!Z16</f>
        <v>11.577</v>
      </c>
      <c r="Z23" s="23">
        <f>'Annual Raw'!AA15+'Annual Raw'!AA16</f>
        <v>21.991</v>
      </c>
      <c r="AA23" s="23">
        <f>'Annual Raw'!AB15+'Annual Raw'!AB16</f>
        <v>92.637</v>
      </c>
      <c r="AB23" s="76">
        <f t="shared" si="252"/>
        <v>68.287845486684347</v>
      </c>
      <c r="AC23" s="76">
        <f t="shared" si="253"/>
        <v>-6.4646541675746718</v>
      </c>
      <c r="AD23" s="76">
        <f t="shared" si="254"/>
        <v>-71.27403593717726</v>
      </c>
      <c r="AE23" s="76">
        <f t="shared" si="255"/>
        <v>-128.65537074614261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</v>
      </c>
      <c r="BV23" s="23">
        <f>'QTR Raw'!AP14</f>
        <v>0</v>
      </c>
      <c r="BW23" s="23">
        <f>'QTR Raw'!AQ14</f>
        <v>8.1920000000000002</v>
      </c>
      <c r="BX23" s="23">
        <f>'QTR Raw'!AR14</f>
        <v>8.1999999999999993</v>
      </c>
      <c r="BY23" s="23">
        <f>'QTR Raw'!AS14</f>
        <v>11.147</v>
      </c>
      <c r="BZ23" s="23">
        <f>'QTR Raw'!AT14</f>
        <v>6.806</v>
      </c>
      <c r="CA23" s="23">
        <f>'QTR Raw'!AU14</f>
        <v>9.9429999999999996</v>
      </c>
      <c r="CB23" s="23">
        <f>'QTR Raw'!AV14</f>
        <v>10.422000000000001</v>
      </c>
      <c r="CC23" s="23">
        <f>'QTR Raw'!AW14</f>
        <v>10.494999999999999</v>
      </c>
      <c r="CD23" s="23">
        <f>'QTR Raw'!AX14</f>
        <v>12.659000000000001</v>
      </c>
      <c r="CE23" s="23">
        <f>'QTR Raw'!AY14</f>
        <v>12.382999999999999</v>
      </c>
      <c r="CF23" s="23">
        <f>'QTR Raw'!AZ14</f>
        <v>15.045</v>
      </c>
      <c r="CG23" s="23">
        <f>'QTR Raw'!BA14</f>
        <v>31.658999999999999</v>
      </c>
      <c r="CH23" s="23">
        <f>'QTR Raw'!BB14</f>
        <v>28.952999999999999</v>
      </c>
      <c r="CI23" s="23">
        <f>'QTR Raw'!BC14</f>
        <v>29.105</v>
      </c>
      <c r="CJ23" s="23">
        <f>'QTR Raw'!BD14</f>
        <v>43.901000000000003</v>
      </c>
      <c r="CK23" s="23">
        <f>'QTR Raw'!BE14</f>
        <v>38.988</v>
      </c>
      <c r="CL23" s="23">
        <f>'QTR Raw'!BF14</f>
        <v>43.683</v>
      </c>
      <c r="CM23" s="24">
        <f t="shared" ref="CM23:DB23" si="257">CM26-CM20-CM21-CM22-CM24-CM25</f>
        <v>10.299066751805043</v>
      </c>
      <c r="CN23" s="24">
        <f t="shared" si="257"/>
        <v>18.646389269903892</v>
      </c>
      <c r="CO23" s="24">
        <f t="shared" si="257"/>
        <v>10.394101661911769</v>
      </c>
      <c r="CP23" s="24">
        <f t="shared" si="257"/>
        <v>28.948287803063636</v>
      </c>
      <c r="CQ23" s="24">
        <f t="shared" si="257"/>
        <v>-7.7622480611765496</v>
      </c>
      <c r="CR23" s="24">
        <f t="shared" si="257"/>
        <v>-4.5623580301786149E-2</v>
      </c>
      <c r="CS23" s="24">
        <f t="shared" si="257"/>
        <v>-7.7438191492991706</v>
      </c>
      <c r="CT23" s="24">
        <f t="shared" si="257"/>
        <v>9.0870366232028346</v>
      </c>
      <c r="CU23" s="24">
        <f t="shared" si="257"/>
        <v>-23.292911595957662</v>
      </c>
      <c r="CV23" s="24">
        <f t="shared" si="257"/>
        <v>-15.536536454469754</v>
      </c>
      <c r="CW23" s="24">
        <f t="shared" si="257"/>
        <v>-23.269919486523442</v>
      </c>
      <c r="CX23" s="24">
        <f t="shared" si="257"/>
        <v>-9.1746684002264018</v>
      </c>
      <c r="CY23" s="24">
        <f t="shared" si="257"/>
        <v>-37.003736169698833</v>
      </c>
      <c r="CZ23" s="24">
        <f t="shared" si="257"/>
        <v>-29.140641151763347</v>
      </c>
      <c r="DA23" s="24">
        <f t="shared" si="257"/>
        <v>-37.14185972252325</v>
      </c>
      <c r="DB23" s="24">
        <f t="shared" si="257"/>
        <v>-25.369133702157178</v>
      </c>
      <c r="DE23" s="123"/>
      <c r="DF23" s="23">
        <v>155.67699999999999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1.8403825</v>
      </c>
      <c r="Q24" s="23">
        <f>'Annual Raw'!R13</f>
        <v>1.990691</v>
      </c>
      <c r="R24" s="23">
        <f>'Annual Raw'!S13</f>
        <v>2.2415528</v>
      </c>
      <c r="S24" s="23">
        <f>'Annual Raw'!T13</f>
        <v>2.5842760999999999</v>
      </c>
      <c r="T24" s="23">
        <f>'Annual Raw'!U13</f>
        <v>2.6930000000000001</v>
      </c>
      <c r="U24" s="23">
        <f>'Annual Raw'!V13</f>
        <v>2.6230000000000002</v>
      </c>
      <c r="V24" s="23">
        <f>'Annual Raw'!W13</f>
        <v>3.0289999999999999</v>
      </c>
      <c r="W24" s="23">
        <f>'Annual Raw'!X13</f>
        <v>3.3479999999999999</v>
      </c>
      <c r="X24" s="23">
        <f>'Annual Raw'!Y13</f>
        <v>3.7970000000000002</v>
      </c>
      <c r="Y24" s="23">
        <f>'Annual Raw'!Z13</f>
        <v>4.9180000000000001</v>
      </c>
      <c r="Z24" s="23">
        <f>'Annual Raw'!AA13</f>
        <v>6.6639999999999997</v>
      </c>
      <c r="AA24" s="23">
        <f>'Annual Raw'!AB13</f>
        <v>8.4380000000000006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3.2769951000000002</v>
      </c>
      <c r="Q25" s="23">
        <f>'Annual Raw'!R18</f>
        <v>1.2464493000000001</v>
      </c>
      <c r="R25" s="23">
        <f>'Annual Raw'!S18</f>
        <v>2.167497</v>
      </c>
      <c r="S25" s="23">
        <f>'Annual Raw'!T18</f>
        <v>5.8781679999999996</v>
      </c>
      <c r="T25" s="23">
        <f>'Annual Raw'!U18</f>
        <v>7.7160000000000002</v>
      </c>
      <c r="U25" s="23">
        <f>'Annual Raw'!V18</f>
        <v>10.345000000000001</v>
      </c>
      <c r="V25" s="23">
        <f>'Annual Raw'!W18</f>
        <v>16.382999999999999</v>
      </c>
      <c r="W25" s="23">
        <f>'Annual Raw'!X18</f>
        <v>20.212</v>
      </c>
      <c r="X25" s="23">
        <f>'Annual Raw'!Y18</f>
        <v>7.3689999999999998</v>
      </c>
      <c r="Y25" s="23">
        <f>'Annual Raw'!Z18</f>
        <v>7.3529999999999998</v>
      </c>
      <c r="Z25" s="23">
        <f>'Annual Raw'!AA18</f>
        <v>7.5780000000000003</v>
      </c>
      <c r="AA25" s="23">
        <f>'Annual Raw'!AB18</f>
        <v>10.101000000000001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0</v>
      </c>
      <c r="N26" s="22">
        <f t="shared" si="259"/>
        <v>0</v>
      </c>
      <c r="O26" s="22">
        <f t="shared" si="259"/>
        <v>401.95843009999999</v>
      </c>
      <c r="P26" s="22">
        <f t="shared" si="259"/>
        <v>43.956034899999999</v>
      </c>
      <c r="Q26" s="22">
        <f t="shared" si="259"/>
        <v>51.057619700000004</v>
      </c>
      <c r="R26" s="22">
        <f t="shared" si="259"/>
        <v>63.106830099999996</v>
      </c>
      <c r="S26" s="22">
        <f t="shared" si="259"/>
        <v>76.129569099999998</v>
      </c>
      <c r="T26" s="22">
        <f t="shared" si="259"/>
        <v>79.606999999999985</v>
      </c>
      <c r="U26" s="22">
        <f t="shared" si="259"/>
        <v>78.444999999999993</v>
      </c>
      <c r="V26" s="22">
        <f t="shared" si="259"/>
        <v>86.790999999999983</v>
      </c>
      <c r="W26" s="22">
        <f t="shared" si="259"/>
        <v>92.531000000000006</v>
      </c>
      <c r="X26" s="22">
        <f t="shared" si="259"/>
        <v>99.594999999999999</v>
      </c>
      <c r="Y26" s="22">
        <f t="shared" si="259"/>
        <v>164.51499999999999</v>
      </c>
      <c r="Z26" s="22">
        <f t="shared" ref="Z26:AA26" si="260">+SUM(Z20:Z25)</f>
        <v>276.86299999999994</v>
      </c>
      <c r="AA26" s="22">
        <f t="shared" ref="AA26" si="261">+SUM(AA20:AA25)</f>
        <v>385.87799999999999</v>
      </c>
      <c r="AB26" s="21">
        <f t="shared" si="259"/>
        <v>310.94030548668434</v>
      </c>
      <c r="AC26" s="21">
        <f t="shared" si="259"/>
        <v>253.17347803242535</v>
      </c>
      <c r="AD26" s="21">
        <f t="shared" si="259"/>
        <v>206.53876551682276</v>
      </c>
      <c r="AE26" s="21">
        <f t="shared" si="259"/>
        <v>168.60432680963746</v>
      </c>
      <c r="AI26" s="22">
        <f t="shared" ref="AI26:BN26" si="262">+SUM(AI20:AI25)</f>
        <v>0</v>
      </c>
      <c r="AJ26" s="22">
        <f t="shared" si="262"/>
        <v>0</v>
      </c>
      <c r="AK26" s="22">
        <f t="shared" si="262"/>
        <v>0</v>
      </c>
      <c r="AL26" s="22">
        <f t="shared" si="262"/>
        <v>0</v>
      </c>
      <c r="AM26" s="22">
        <f t="shared" si="262"/>
        <v>0</v>
      </c>
      <c r="AN26" s="22">
        <f t="shared" si="262"/>
        <v>0</v>
      </c>
      <c r="AO26" s="22">
        <f t="shared" si="262"/>
        <v>0</v>
      </c>
      <c r="AP26" s="22">
        <f t="shared" si="262"/>
        <v>0</v>
      </c>
      <c r="AQ26" s="22">
        <f t="shared" si="262"/>
        <v>0</v>
      </c>
      <c r="AR26" s="22">
        <f t="shared" si="262"/>
        <v>0</v>
      </c>
      <c r="AS26" s="22">
        <f t="shared" si="262"/>
        <v>0</v>
      </c>
      <c r="AT26" s="22">
        <f t="shared" si="262"/>
        <v>0</v>
      </c>
      <c r="AU26" s="22">
        <f t="shared" si="262"/>
        <v>0</v>
      </c>
      <c r="AV26" s="22">
        <f t="shared" si="262"/>
        <v>0</v>
      </c>
      <c r="AW26" s="22">
        <f t="shared" si="262"/>
        <v>0</v>
      </c>
      <c r="AX26" s="22">
        <f t="shared" si="262"/>
        <v>0</v>
      </c>
      <c r="AY26" s="22">
        <f t="shared" si="262"/>
        <v>0</v>
      </c>
      <c r="AZ26" s="22">
        <f t="shared" si="262"/>
        <v>0</v>
      </c>
      <c r="BA26" s="22">
        <f t="shared" si="262"/>
        <v>0</v>
      </c>
      <c r="BB26" s="22">
        <f t="shared" si="262"/>
        <v>0</v>
      </c>
      <c r="BC26" s="22">
        <f t="shared" si="262"/>
        <v>0</v>
      </c>
      <c r="BD26" s="22">
        <f t="shared" si="262"/>
        <v>0</v>
      </c>
      <c r="BE26" s="22">
        <f t="shared" si="262"/>
        <v>0</v>
      </c>
      <c r="BF26" s="22">
        <f t="shared" si="262"/>
        <v>0</v>
      </c>
      <c r="BG26" s="22">
        <f t="shared" si="262"/>
        <v>0</v>
      </c>
      <c r="BH26" s="22">
        <f t="shared" si="262"/>
        <v>0</v>
      </c>
      <c r="BI26" s="22">
        <f t="shared" si="262"/>
        <v>0</v>
      </c>
      <c r="BJ26" s="22">
        <f t="shared" si="262"/>
        <v>0</v>
      </c>
      <c r="BK26" s="22">
        <f t="shared" si="262"/>
        <v>0</v>
      </c>
      <c r="BL26" s="22">
        <f t="shared" si="262"/>
        <v>0</v>
      </c>
      <c r="BM26" s="22">
        <f t="shared" si="262"/>
        <v>0</v>
      </c>
      <c r="BN26" s="22">
        <f t="shared" si="262"/>
        <v>0</v>
      </c>
      <c r="BO26" s="22">
        <f t="shared" ref="BO26:CH26" si="263">+SUM(BO20:BO25)</f>
        <v>0</v>
      </c>
      <c r="BP26" s="22">
        <f t="shared" si="263"/>
        <v>0</v>
      </c>
      <c r="BQ26" s="22">
        <f t="shared" si="263"/>
        <v>0</v>
      </c>
      <c r="BR26" s="22">
        <f t="shared" si="263"/>
        <v>0</v>
      </c>
      <c r="BS26" s="22">
        <f t="shared" si="263"/>
        <v>0</v>
      </c>
      <c r="BT26" s="22">
        <f t="shared" si="263"/>
        <v>0</v>
      </c>
      <c r="BU26" s="22">
        <f t="shared" si="263"/>
        <v>0</v>
      </c>
      <c r="BV26" s="22">
        <f t="shared" si="263"/>
        <v>0</v>
      </c>
      <c r="BW26" s="22">
        <f t="shared" si="263"/>
        <v>19.137999999999998</v>
      </c>
      <c r="BX26" s="22">
        <f t="shared" si="263"/>
        <v>21.189</v>
      </c>
      <c r="BY26" s="22">
        <f t="shared" si="263"/>
        <v>25.236000000000001</v>
      </c>
      <c r="BZ26" s="22">
        <f t="shared" si="263"/>
        <v>33.475999999999999</v>
      </c>
      <c r="CA26" s="22">
        <f t="shared" si="263"/>
        <v>34.372999999999998</v>
      </c>
      <c r="CB26" s="22">
        <f t="shared" si="263"/>
        <v>37.118000000000002</v>
      </c>
      <c r="CC26" s="22">
        <f t="shared" si="263"/>
        <v>41.052</v>
      </c>
      <c r="CD26" s="22">
        <f t="shared" si="263"/>
        <v>48.356000000000002</v>
      </c>
      <c r="CE26" s="22">
        <f t="shared" si="263"/>
        <v>45.179000000000002</v>
      </c>
      <c r="CF26" s="22">
        <f t="shared" si="263"/>
        <v>48.613</v>
      </c>
      <c r="CG26" s="22">
        <f t="shared" si="263"/>
        <v>90.43</v>
      </c>
      <c r="CH26" s="22">
        <f t="shared" si="263"/>
        <v>90.036000000000001</v>
      </c>
      <c r="CI26" s="22">
        <f t="shared" ref="CI26:CJ26" si="264">+SUM(CI20:CI25)</f>
        <v>86.887</v>
      </c>
      <c r="CJ26" s="22">
        <f t="shared" si="264"/>
        <v>96.843000000000004</v>
      </c>
      <c r="CK26" s="22">
        <f t="shared" ref="CK26:CL26" si="265">+SUM(CK20:CK25)</f>
        <v>97.438000000000002</v>
      </c>
      <c r="CL26" s="22">
        <f t="shared" si="265"/>
        <v>101.28700000000001</v>
      </c>
      <c r="CM26" s="21">
        <f t="shared" ref="CM26:DB26" si="266">CM27*CM10</f>
        <v>72.125806751805044</v>
      </c>
      <c r="CN26" s="21">
        <f t="shared" si="266"/>
        <v>75.294329269903898</v>
      </c>
      <c r="CO26" s="21">
        <f t="shared" si="266"/>
        <v>72.935601661911775</v>
      </c>
      <c r="CP26" s="21">
        <f t="shared" si="266"/>
        <v>90.584567803063635</v>
      </c>
      <c r="CQ26" s="21">
        <f t="shared" si="266"/>
        <v>58.392363738823448</v>
      </c>
      <c r="CR26" s="21">
        <f t="shared" si="266"/>
        <v>60.567672219698224</v>
      </c>
      <c r="CS26" s="21">
        <f t="shared" si="266"/>
        <v>59.175585850700841</v>
      </c>
      <c r="CT26" s="21">
        <f t="shared" si="266"/>
        <v>75.037856223202837</v>
      </c>
      <c r="CU26" s="21">
        <f t="shared" si="266"/>
        <v>47.492523030042335</v>
      </c>
      <c r="CV26" s="21">
        <f t="shared" si="266"/>
        <v>49.319690051530259</v>
      </c>
      <c r="CW26" s="21">
        <f t="shared" si="266"/>
        <v>48.333843863476581</v>
      </c>
      <c r="CX26" s="21">
        <f t="shared" si="266"/>
        <v>61.392708571773603</v>
      </c>
      <c r="CY26" s="21">
        <f t="shared" si="266"/>
        <v>38.736678880121168</v>
      </c>
      <c r="CZ26" s="21">
        <f t="shared" si="266"/>
        <v>40.255521209656678</v>
      </c>
      <c r="DA26" s="21">
        <f t="shared" si="266"/>
        <v>39.474167061976772</v>
      </c>
      <c r="DB26" s="21">
        <f t="shared" si="266"/>
        <v>50.137959657882838</v>
      </c>
      <c r="DE26" s="126"/>
      <c r="DF26" s="22">
        <v>382.45499999999993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>
        <f t="shared" si="268"/>
        <v>0.98773225190858449</v>
      </c>
      <c r="P27" s="44">
        <f t="shared" si="268"/>
        <v>9.9006506155040461E-2</v>
      </c>
      <c r="Q27" s="44">
        <f t="shared" si="268"/>
        <v>0.19909831539191453</v>
      </c>
      <c r="R27" s="44">
        <f t="shared" si="268"/>
        <v>0.1827572713661646</v>
      </c>
      <c r="S27" s="44">
        <f t="shared" si="268"/>
        <v>0.19631032255536107</v>
      </c>
      <c r="T27" s="44">
        <f t="shared" si="268"/>
        <v>0.16568568276895534</v>
      </c>
      <c r="U27" s="44">
        <f t="shared" si="268"/>
        <v>0.17161940724632291</v>
      </c>
      <c r="V27" s="44">
        <f t="shared" si="268"/>
        <v>0.1381960676912494</v>
      </c>
      <c r="W27" s="44">
        <f t="shared" si="268"/>
        <v>0.12842021114924645</v>
      </c>
      <c r="X27" s="44">
        <f t="shared" si="268"/>
        <v>0.11970078109882661</v>
      </c>
      <c r="Y27" s="44">
        <f t="shared" si="268"/>
        <v>0.13803087750268273</v>
      </c>
      <c r="Z27" s="44">
        <f t="shared" ref="Z27:AA27" si="269">Z26/Z10</f>
        <v>0.1821915392339957</v>
      </c>
      <c r="AA27" s="44">
        <f t="shared" ref="AA27" si="270">AA26/AA10</f>
        <v>0.30589186553942377</v>
      </c>
      <c r="AB27" s="52">
        <f t="shared" si="268"/>
        <v>0.30125958792056773</v>
      </c>
      <c r="AC27" s="52">
        <f t="shared" si="268"/>
        <v>0.30037079119786614</v>
      </c>
      <c r="AD27" s="52">
        <f t="shared" si="268"/>
        <v>0.30014543636374885</v>
      </c>
      <c r="AE27" s="52">
        <f t="shared" si="268"/>
        <v>0.30009902015369366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 t="e">
        <f t="shared" si="271"/>
        <v>#DIV/0!</v>
      </c>
      <c r="AT27" s="44" t="e">
        <f t="shared" si="271"/>
        <v>#DIV/0!</v>
      </c>
      <c r="AU27" s="44" t="e">
        <f t="shared" si="271"/>
        <v>#DIV/0!</v>
      </c>
      <c r="AV27" s="44" t="e">
        <f t="shared" si="271"/>
        <v>#DIV/0!</v>
      </c>
      <c r="AW27" s="44" t="e">
        <f t="shared" si="271"/>
        <v>#DIV/0!</v>
      </c>
      <c r="AX27" s="44" t="e">
        <f t="shared" si="271"/>
        <v>#DIV/0!</v>
      </c>
      <c r="AY27" s="44" t="e">
        <f t="shared" si="271"/>
        <v>#DIV/0!</v>
      </c>
      <c r="AZ27" s="44" t="e">
        <f t="shared" si="271"/>
        <v>#DIV/0!</v>
      </c>
      <c r="BA27" s="44" t="e">
        <f t="shared" si="271"/>
        <v>#DIV/0!</v>
      </c>
      <c r="BB27" s="44" t="e">
        <f t="shared" si="271"/>
        <v>#DIV/0!</v>
      </c>
      <c r="BC27" s="44" t="e">
        <f t="shared" si="271"/>
        <v>#DIV/0!</v>
      </c>
      <c r="BD27" s="44" t="e">
        <f t="shared" si="271"/>
        <v>#DIV/0!</v>
      </c>
      <c r="BE27" s="44" t="e">
        <f t="shared" si="271"/>
        <v>#DIV/0!</v>
      </c>
      <c r="BF27" s="44" t="e">
        <f t="shared" si="271"/>
        <v>#DIV/0!</v>
      </c>
      <c r="BG27" s="44" t="e">
        <f t="shared" si="271"/>
        <v>#DIV/0!</v>
      </c>
      <c r="BH27" s="44" t="e">
        <f t="shared" si="271"/>
        <v>#DIV/0!</v>
      </c>
      <c r="BI27" s="44" t="e">
        <f t="shared" si="271"/>
        <v>#DIV/0!</v>
      </c>
      <c r="BJ27" s="44" t="e">
        <f t="shared" si="271"/>
        <v>#DIV/0!</v>
      </c>
      <c r="BK27" s="44" t="e">
        <f t="shared" si="271"/>
        <v>#DIV/0!</v>
      </c>
      <c r="BL27" s="44" t="e">
        <f t="shared" si="271"/>
        <v>#DIV/0!</v>
      </c>
      <c r="BM27" s="44" t="e">
        <f t="shared" si="271"/>
        <v>#DIV/0!</v>
      </c>
      <c r="BN27" s="44" t="e">
        <f t="shared" si="271"/>
        <v>#DIV/0!</v>
      </c>
      <c r="BO27" s="44" t="e">
        <f t="shared" ref="BO27:CH27" si="272">BO26/BO10</f>
        <v>#DIV/0!</v>
      </c>
      <c r="BP27" s="44" t="e">
        <f t="shared" si="272"/>
        <v>#DIV/0!</v>
      </c>
      <c r="BQ27" s="44" t="e">
        <f t="shared" si="272"/>
        <v>#DIV/0!</v>
      </c>
      <c r="BR27" s="44" t="e">
        <f t="shared" si="272"/>
        <v>#DIV/0!</v>
      </c>
      <c r="BS27" s="44" t="e">
        <f t="shared" si="272"/>
        <v>#DIV/0!</v>
      </c>
      <c r="BT27" s="44" t="e">
        <f t="shared" si="272"/>
        <v>#DIV/0!</v>
      </c>
      <c r="BU27" s="44" t="e">
        <f t="shared" si="272"/>
        <v>#DIV/0!</v>
      </c>
      <c r="BV27" s="44" t="e">
        <f t="shared" si="272"/>
        <v>#DIV/0!</v>
      </c>
      <c r="BW27" s="44">
        <f t="shared" si="272"/>
        <v>0.11250036739852451</v>
      </c>
      <c r="BX27" s="44">
        <f t="shared" si="272"/>
        <v>0.12452763656665981</v>
      </c>
      <c r="BY27" s="44">
        <f t="shared" si="272"/>
        <v>0.11849556275531765</v>
      </c>
      <c r="BZ27" s="44">
        <f t="shared" si="272"/>
        <v>0.12069382001204197</v>
      </c>
      <c r="CA27" s="44">
        <f t="shared" si="272"/>
        <v>0.1582929614824912</v>
      </c>
      <c r="CB27" s="44">
        <f t="shared" si="272"/>
        <v>0.12748360861247632</v>
      </c>
      <c r="CC27" s="44">
        <f t="shared" si="272"/>
        <v>0.12787111966658568</v>
      </c>
      <c r="CD27" s="44">
        <f t="shared" si="272"/>
        <v>0.13429200652075504</v>
      </c>
      <c r="CE27" s="44">
        <f t="shared" si="272"/>
        <v>0.17586220319190349</v>
      </c>
      <c r="CF27" s="44">
        <f t="shared" si="272"/>
        <v>0.12482475285659263</v>
      </c>
      <c r="CG27" s="44">
        <f t="shared" si="272"/>
        <v>0.2035629710334147</v>
      </c>
      <c r="CH27" s="44">
        <f t="shared" si="272"/>
        <v>0.21033745663524547</v>
      </c>
      <c r="CI27" s="44">
        <f t="shared" ref="CI27:CJ27" si="273">CI26/CI10</f>
        <v>0.31449120089185528</v>
      </c>
      <c r="CJ27" s="44">
        <f t="shared" si="273"/>
        <v>0.31175917639408435</v>
      </c>
      <c r="CK27" s="44">
        <f t="shared" ref="CK27:CL27" si="274">CK26/CK10</f>
        <v>0.32171771200655075</v>
      </c>
      <c r="CL27" s="44">
        <f t="shared" si="274"/>
        <v>0.27443324834655103</v>
      </c>
      <c r="CM27" s="52">
        <f t="shared" ref="CM27:DB27" si="275">AVERAGE(CI27:CL27)</f>
        <v>0.30560033440976031</v>
      </c>
      <c r="CN27" s="52">
        <f t="shared" si="275"/>
        <v>0.30337761778923661</v>
      </c>
      <c r="CO27" s="52">
        <f t="shared" si="275"/>
        <v>0.30128222813802469</v>
      </c>
      <c r="CP27" s="52">
        <f t="shared" si="275"/>
        <v>0.29617335717089316</v>
      </c>
      <c r="CQ27" s="52">
        <f t="shared" si="275"/>
        <v>0.30160838437697868</v>
      </c>
      <c r="CR27" s="52">
        <f t="shared" si="275"/>
        <v>0.30061039686878332</v>
      </c>
      <c r="CS27" s="52">
        <f t="shared" si="275"/>
        <v>0.29991859163866996</v>
      </c>
      <c r="CT27" s="52">
        <f t="shared" si="275"/>
        <v>0.29957768251383132</v>
      </c>
      <c r="CU27" s="52">
        <f t="shared" si="275"/>
        <v>0.30042876384956585</v>
      </c>
      <c r="CV27" s="52">
        <f t="shared" si="275"/>
        <v>0.30013385871771259</v>
      </c>
      <c r="CW27" s="52">
        <f t="shared" si="275"/>
        <v>0.3000147241799449</v>
      </c>
      <c r="CX27" s="52">
        <f t="shared" si="275"/>
        <v>0.30003875731526364</v>
      </c>
      <c r="CY27" s="52">
        <f t="shared" si="275"/>
        <v>0.30015402601562174</v>
      </c>
      <c r="CZ27" s="52">
        <f t="shared" si="275"/>
        <v>0.30008534155713573</v>
      </c>
      <c r="DA27" s="52">
        <f t="shared" si="275"/>
        <v>0.30007321226699146</v>
      </c>
      <c r="DB27" s="52">
        <f t="shared" si="275"/>
        <v>0.30008783428875313</v>
      </c>
      <c r="DE27" s="128"/>
      <c r="DF27" s="44">
        <v>0.30381131454962707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0</v>
      </c>
      <c r="K28" s="26">
        <f t="shared" si="277"/>
        <v>0</v>
      </c>
      <c r="L28" s="26">
        <f t="shared" si="277"/>
        <v>0</v>
      </c>
      <c r="M28" s="26">
        <f t="shared" si="277"/>
        <v>0</v>
      </c>
      <c r="N28" s="26">
        <f t="shared" si="277"/>
        <v>0</v>
      </c>
      <c r="O28" s="26">
        <f t="shared" si="277"/>
        <v>42.8247748</v>
      </c>
      <c r="P28" s="26">
        <f t="shared" si="277"/>
        <v>37.717908200000032</v>
      </c>
      <c r="Q28" s="26">
        <f t="shared" si="277"/>
        <v>16.527628599999986</v>
      </c>
      <c r="R28" s="26">
        <f t="shared" si="277"/>
        <v>8.0155402000000038</v>
      </c>
      <c r="S28" s="26">
        <f t="shared" si="277"/>
        <v>3.8225943999999856</v>
      </c>
      <c r="T28" s="26">
        <f t="shared" si="277"/>
        <v>17.593000000000004</v>
      </c>
      <c r="U28" s="26">
        <f t="shared" si="277"/>
        <v>13.732000000000028</v>
      </c>
      <c r="V28" s="26">
        <f t="shared" si="277"/>
        <v>45.944000000000031</v>
      </c>
      <c r="W28" s="26">
        <f t="shared" si="277"/>
        <v>84.04000000000002</v>
      </c>
      <c r="X28" s="26">
        <f t="shared" si="277"/>
        <v>87.223999999999961</v>
      </c>
      <c r="Y28" s="26">
        <f t="shared" si="277"/>
        <v>107.39600000000007</v>
      </c>
      <c r="Z28" s="26">
        <f t="shared" ref="Z28:AA28" si="278">Z16-Z26</f>
        <v>134.56900000000007</v>
      </c>
      <c r="AA28" s="26">
        <f t="shared" ref="AA28" si="279">AA16-AA26</f>
        <v>123.3959999999999</v>
      </c>
      <c r="AB28" s="27">
        <f t="shared" si="277"/>
        <v>104.27368271952753</v>
      </c>
      <c r="AC28" s="27">
        <f t="shared" si="277"/>
        <v>85.677423745092938</v>
      </c>
      <c r="AD28" s="27">
        <f t="shared" si="277"/>
        <v>70.042335452650491</v>
      </c>
      <c r="AE28" s="27">
        <f t="shared" si="277"/>
        <v>57.201322372153612</v>
      </c>
      <c r="AI28" s="26">
        <f t="shared" ref="AI28:BN28" si="280">AI16-AI26</f>
        <v>0</v>
      </c>
      <c r="AJ28" s="26">
        <f t="shared" si="280"/>
        <v>0</v>
      </c>
      <c r="AK28" s="26">
        <f t="shared" si="280"/>
        <v>0</v>
      </c>
      <c r="AL28" s="26">
        <f t="shared" si="280"/>
        <v>0</v>
      </c>
      <c r="AM28" s="26">
        <f t="shared" si="280"/>
        <v>0</v>
      </c>
      <c r="AN28" s="26">
        <f t="shared" si="280"/>
        <v>0</v>
      </c>
      <c r="AO28" s="26">
        <f t="shared" si="280"/>
        <v>0</v>
      </c>
      <c r="AP28" s="26">
        <f t="shared" si="280"/>
        <v>0</v>
      </c>
      <c r="AQ28" s="26">
        <f t="shared" si="280"/>
        <v>0</v>
      </c>
      <c r="AR28" s="26">
        <f t="shared" si="280"/>
        <v>0</v>
      </c>
      <c r="AS28" s="26">
        <f t="shared" si="280"/>
        <v>0</v>
      </c>
      <c r="AT28" s="26">
        <f t="shared" si="280"/>
        <v>0</v>
      </c>
      <c r="AU28" s="26">
        <f t="shared" si="280"/>
        <v>0</v>
      </c>
      <c r="AV28" s="26">
        <f t="shared" si="280"/>
        <v>0</v>
      </c>
      <c r="AW28" s="26">
        <f t="shared" si="280"/>
        <v>0</v>
      </c>
      <c r="AX28" s="26">
        <f t="shared" si="280"/>
        <v>0</v>
      </c>
      <c r="AY28" s="26">
        <f t="shared" si="280"/>
        <v>0</v>
      </c>
      <c r="AZ28" s="26">
        <f t="shared" si="280"/>
        <v>0</v>
      </c>
      <c r="BA28" s="26">
        <f t="shared" si="280"/>
        <v>0</v>
      </c>
      <c r="BB28" s="26">
        <f t="shared" si="280"/>
        <v>0</v>
      </c>
      <c r="BC28" s="26">
        <f t="shared" si="280"/>
        <v>0</v>
      </c>
      <c r="BD28" s="26">
        <f t="shared" si="280"/>
        <v>0</v>
      </c>
      <c r="BE28" s="26">
        <f t="shared" si="280"/>
        <v>0</v>
      </c>
      <c r="BF28" s="26">
        <f t="shared" si="280"/>
        <v>0</v>
      </c>
      <c r="BG28" s="26">
        <f t="shared" si="280"/>
        <v>0</v>
      </c>
      <c r="BH28" s="26">
        <f t="shared" si="280"/>
        <v>0</v>
      </c>
      <c r="BI28" s="26">
        <f t="shared" si="280"/>
        <v>0</v>
      </c>
      <c r="BJ28" s="26">
        <f t="shared" si="280"/>
        <v>0</v>
      </c>
      <c r="BK28" s="26">
        <f t="shared" si="280"/>
        <v>0</v>
      </c>
      <c r="BL28" s="26">
        <f t="shared" si="280"/>
        <v>0</v>
      </c>
      <c r="BM28" s="26">
        <f t="shared" si="280"/>
        <v>0</v>
      </c>
      <c r="BN28" s="26">
        <f t="shared" si="280"/>
        <v>0</v>
      </c>
      <c r="BO28" s="26">
        <f t="shared" ref="BO28:CT28" si="281">BO16-BO26</f>
        <v>0</v>
      </c>
      <c r="BP28" s="26">
        <f t="shared" si="281"/>
        <v>0</v>
      </c>
      <c r="BQ28" s="26">
        <f t="shared" si="281"/>
        <v>0</v>
      </c>
      <c r="BR28" s="26">
        <f t="shared" si="281"/>
        <v>0</v>
      </c>
      <c r="BS28" s="26">
        <f t="shared" si="281"/>
        <v>0</v>
      </c>
      <c r="BT28" s="26">
        <f t="shared" si="281"/>
        <v>0</v>
      </c>
      <c r="BU28" s="26">
        <f t="shared" si="281"/>
        <v>0</v>
      </c>
      <c r="BV28" s="26">
        <f t="shared" si="281"/>
        <v>0</v>
      </c>
      <c r="BW28" s="26">
        <f t="shared" si="281"/>
        <v>11.576000000000001</v>
      </c>
      <c r="BX28" s="26">
        <f t="shared" si="281"/>
        <v>23.658999999999999</v>
      </c>
      <c r="BY28" s="26">
        <f t="shared" si="281"/>
        <v>19.204999999999973</v>
      </c>
      <c r="BZ28" s="26">
        <f t="shared" si="281"/>
        <v>31.909999999999997</v>
      </c>
      <c r="CA28" s="26">
        <f t="shared" si="281"/>
        <v>19.982999999999997</v>
      </c>
      <c r="CB28" s="26">
        <f t="shared" si="281"/>
        <v>22.864000000000054</v>
      </c>
      <c r="CC28" s="26">
        <f t="shared" si="281"/>
        <v>29.436999999999976</v>
      </c>
      <c r="CD28" s="26">
        <f t="shared" si="281"/>
        <v>36.287000000000027</v>
      </c>
      <c r="CE28" s="26">
        <f t="shared" si="281"/>
        <v>19.006</v>
      </c>
      <c r="CF28" s="26">
        <f t="shared" si="281"/>
        <v>31.634000000000015</v>
      </c>
      <c r="CG28" s="26">
        <f t="shared" si="281"/>
        <v>28.133999999999958</v>
      </c>
      <c r="CH28" s="26">
        <f t="shared" si="281"/>
        <v>57.41500000000002</v>
      </c>
      <c r="CI28" s="26">
        <f t="shared" ref="CI28:CJ28" si="282">CI16-CI26</f>
        <v>22.90900000000002</v>
      </c>
      <c r="CJ28" s="26">
        <f t="shared" si="282"/>
        <v>31.192999999999998</v>
      </c>
      <c r="CK28" s="26">
        <f t="shared" ref="CK28:CL28" si="283">CK16-CK26</f>
        <v>27.013999999999996</v>
      </c>
      <c r="CL28" s="26">
        <f t="shared" si="283"/>
        <v>43.074999999999989</v>
      </c>
      <c r="CM28" s="27">
        <f t="shared" si="281"/>
        <v>22.9665539878402</v>
      </c>
      <c r="CN28" s="27">
        <f t="shared" si="281"/>
        <v>25.044010836012589</v>
      </c>
      <c r="CO28" s="27">
        <f t="shared" si="281"/>
        <v>24.457882064676937</v>
      </c>
      <c r="CP28" s="27">
        <f t="shared" si="281"/>
        <v>31.805235830997646</v>
      </c>
      <c r="CQ28" s="27">
        <f t="shared" si="281"/>
        <v>19.517071921086128</v>
      </c>
      <c r="CR28" s="27">
        <f t="shared" si="281"/>
        <v>20.487616614267466</v>
      </c>
      <c r="CS28" s="27">
        <f t="shared" si="281"/>
        <v>20.101205725451848</v>
      </c>
      <c r="CT28" s="27">
        <f t="shared" si="281"/>
        <v>25.571529484287453</v>
      </c>
      <c r="CU28" s="27">
        <f t="shared" ref="CU28:DB28" si="284">CU16-CU26</f>
        <v>16.063680060535916</v>
      </c>
      <c r="CV28" s="27">
        <f t="shared" si="284"/>
        <v>16.731204114760843</v>
      </c>
      <c r="CW28" s="27">
        <f t="shared" si="284"/>
        <v>16.408630095130228</v>
      </c>
      <c r="CX28" s="27">
        <f t="shared" si="284"/>
        <v>20.838821182223363</v>
      </c>
      <c r="CY28" s="27">
        <f t="shared" si="284"/>
        <v>13.135557669572997</v>
      </c>
      <c r="CZ28" s="27">
        <f t="shared" si="284"/>
        <v>13.65928744351136</v>
      </c>
      <c r="DA28" s="27">
        <f t="shared" si="284"/>
        <v>13.39490073264038</v>
      </c>
      <c r="DB28" s="27">
        <f t="shared" si="284"/>
        <v>17.011576526428918</v>
      </c>
      <c r="DE28" s="121"/>
      <c r="DF28" s="26">
        <v>124.19100000000014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>
        <f t="shared" si="286"/>
        <v>0.10523329798098444</v>
      </c>
      <c r="P29" s="166">
        <f t="shared" si="286"/>
        <v>8.4955759063667369E-2</v>
      </c>
      <c r="Q29" s="166">
        <f t="shared" si="286"/>
        <v>6.4449205251204136E-2</v>
      </c>
      <c r="R29" s="166">
        <f t="shared" si="286"/>
        <v>2.3212990624889619E-2</v>
      </c>
      <c r="S29" s="166">
        <f t="shared" si="286"/>
        <v>9.8570732572596971E-3</v>
      </c>
      <c r="T29" s="166">
        <f t="shared" si="286"/>
        <v>3.6616229941515602E-2</v>
      </c>
      <c r="U29" s="166">
        <f t="shared" si="286"/>
        <v>3.0042420808292575E-2</v>
      </c>
      <c r="V29" s="166">
        <f t="shared" si="286"/>
        <v>7.3155973937467797E-2</v>
      </c>
      <c r="W29" s="166">
        <f t="shared" si="286"/>
        <v>0.11663587927270509</v>
      </c>
      <c r="X29" s="166">
        <f t="shared" si="286"/>
        <v>0.10483238044644859</v>
      </c>
      <c r="Y29" s="166">
        <f t="shared" si="286"/>
        <v>9.0107066956071638E-2</v>
      </c>
      <c r="Z29" s="166">
        <f t="shared" ref="Z29:AA29" si="287">Z28/Z10</f>
        <v>8.8554025793188634E-2</v>
      </c>
      <c r="AA29" s="166">
        <f t="shared" ref="AA29" si="288">AA28/AA10</f>
        <v>9.781804777702463E-2</v>
      </c>
      <c r="AB29" s="167">
        <f t="shared" si="286"/>
        <v>0.10102725871410109</v>
      </c>
      <c r="AC29" s="167">
        <f t="shared" si="286"/>
        <v>0.1016496505009596</v>
      </c>
      <c r="AD29" s="167">
        <f t="shared" si="286"/>
        <v>0.10178664177529194</v>
      </c>
      <c r="AE29" s="167">
        <f t="shared" si="286"/>
        <v>0.10181269437266682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 t="e">
        <f t="shared" si="289"/>
        <v>#DIV/0!</v>
      </c>
      <c r="AW29" s="166" t="e">
        <f t="shared" si="289"/>
        <v>#DIV/0!</v>
      </c>
      <c r="AX29" s="166" t="e">
        <f t="shared" si="289"/>
        <v>#DIV/0!</v>
      </c>
      <c r="AY29" s="166" t="e">
        <f t="shared" si="289"/>
        <v>#DIV/0!</v>
      </c>
      <c r="AZ29" s="166" t="e">
        <f t="shared" si="289"/>
        <v>#DIV/0!</v>
      </c>
      <c r="BA29" s="166" t="e">
        <f t="shared" si="289"/>
        <v>#DIV/0!</v>
      </c>
      <c r="BB29" s="166" t="e">
        <f t="shared" si="289"/>
        <v>#DIV/0!</v>
      </c>
      <c r="BC29" s="166" t="e">
        <f t="shared" si="289"/>
        <v>#DIV/0!</v>
      </c>
      <c r="BD29" s="166" t="e">
        <f t="shared" si="289"/>
        <v>#DIV/0!</v>
      </c>
      <c r="BE29" s="166" t="e">
        <f t="shared" si="289"/>
        <v>#DIV/0!</v>
      </c>
      <c r="BF29" s="166" t="e">
        <f t="shared" si="289"/>
        <v>#DIV/0!</v>
      </c>
      <c r="BG29" s="166" t="e">
        <f t="shared" si="289"/>
        <v>#DIV/0!</v>
      </c>
      <c r="BH29" s="166" t="e">
        <f t="shared" si="289"/>
        <v>#DIV/0!</v>
      </c>
      <c r="BI29" s="166" t="e">
        <f t="shared" si="289"/>
        <v>#DIV/0!</v>
      </c>
      <c r="BJ29" s="166" t="e">
        <f t="shared" si="289"/>
        <v>#DIV/0!</v>
      </c>
      <c r="BK29" s="166" t="e">
        <f t="shared" si="289"/>
        <v>#DIV/0!</v>
      </c>
      <c r="BL29" s="166" t="e">
        <f t="shared" si="289"/>
        <v>#DIV/0!</v>
      </c>
      <c r="BM29" s="166" t="e">
        <f t="shared" si="289"/>
        <v>#DIV/0!</v>
      </c>
      <c r="BN29" s="166" t="e">
        <f t="shared" si="289"/>
        <v>#DIV/0!</v>
      </c>
      <c r="BO29" s="166" t="e">
        <f t="shared" ref="BO29:CT29" si="290">BO28/BO10</f>
        <v>#DIV/0!</v>
      </c>
      <c r="BP29" s="166" t="e">
        <f t="shared" si="290"/>
        <v>#DIV/0!</v>
      </c>
      <c r="BQ29" s="166" t="e">
        <f t="shared" si="290"/>
        <v>#DIV/0!</v>
      </c>
      <c r="BR29" s="166" t="e">
        <f t="shared" si="290"/>
        <v>#DIV/0!</v>
      </c>
      <c r="BS29" s="166" t="e">
        <f t="shared" si="290"/>
        <v>#DIV/0!</v>
      </c>
      <c r="BT29" s="166" t="e">
        <f t="shared" si="290"/>
        <v>#DIV/0!</v>
      </c>
      <c r="BU29" s="166" t="e">
        <f t="shared" si="290"/>
        <v>#DIV/0!</v>
      </c>
      <c r="BV29" s="166" t="e">
        <f t="shared" si="290"/>
        <v>#DIV/0!</v>
      </c>
      <c r="BW29" s="166">
        <f t="shared" si="290"/>
        <v>6.8048085118890156E-2</v>
      </c>
      <c r="BX29" s="166">
        <f t="shared" si="290"/>
        <v>0.13904381299403484</v>
      </c>
      <c r="BY29" s="166">
        <f t="shared" si="290"/>
        <v>9.0177020237592026E-2</v>
      </c>
      <c r="BZ29" s="166">
        <f t="shared" si="290"/>
        <v>0.11504778935907095</v>
      </c>
      <c r="CA29" s="166">
        <f t="shared" si="290"/>
        <v>9.2024794149612232E-2</v>
      </c>
      <c r="CB29" s="166">
        <f t="shared" si="290"/>
        <v>7.8527539935224572E-2</v>
      </c>
      <c r="CC29" s="166">
        <f t="shared" si="290"/>
        <v>9.1692052753222258E-2</v>
      </c>
      <c r="CD29" s="166">
        <f t="shared" si="290"/>
        <v>0.10077454794893378</v>
      </c>
      <c r="CE29" s="166">
        <f t="shared" si="290"/>
        <v>7.3982094200077855E-2</v>
      </c>
      <c r="CF29" s="166">
        <f t="shared" si="290"/>
        <v>8.1227371934779857E-2</v>
      </c>
      <c r="CG29" s="166">
        <f t="shared" si="290"/>
        <v>6.3331202333894498E-2</v>
      </c>
      <c r="CH29" s="166">
        <f t="shared" si="290"/>
        <v>0.13412995993505511</v>
      </c>
      <c r="CI29" s="166">
        <f t="shared" ref="CI29:CJ29" si="291">CI28/CI10</f>
        <v>8.292010221588407E-2</v>
      </c>
      <c r="CJ29" s="166">
        <f t="shared" si="291"/>
        <v>0.1004172112518269</v>
      </c>
      <c r="CK29" s="166">
        <f t="shared" ref="CK29:CL29" si="292">CK28/CK10</f>
        <v>8.9193972291559342E-2</v>
      </c>
      <c r="CL29" s="166">
        <f t="shared" si="292"/>
        <v>0.1167100632117417</v>
      </c>
      <c r="CM29" s="167">
        <f t="shared" si="290"/>
        <v>9.7310337242752995E-2</v>
      </c>
      <c r="CN29" s="167">
        <f t="shared" si="290"/>
        <v>0.10090789599947018</v>
      </c>
      <c r="CO29" s="167">
        <f t="shared" si="290"/>
        <v>0.101030567186381</v>
      </c>
      <c r="CP29" s="167">
        <f t="shared" si="290"/>
        <v>0.10398971591008649</v>
      </c>
      <c r="CQ29" s="167">
        <f t="shared" si="290"/>
        <v>0.10080962908467268</v>
      </c>
      <c r="CR29" s="167">
        <f t="shared" si="290"/>
        <v>0.10168445204515254</v>
      </c>
      <c r="CS29" s="167">
        <f t="shared" si="290"/>
        <v>0.10187859105657315</v>
      </c>
      <c r="CT29" s="167">
        <f t="shared" si="290"/>
        <v>0.10209059702412117</v>
      </c>
      <c r="CU29" s="167">
        <f t="shared" ref="CU29:DB29" si="293">CU28/CU10</f>
        <v>0.10161581730262988</v>
      </c>
      <c r="CV29" s="167">
        <f t="shared" si="293"/>
        <v>0.10181736435711917</v>
      </c>
      <c r="CW29" s="167">
        <f t="shared" si="293"/>
        <v>0.10185059243511088</v>
      </c>
      <c r="CX29" s="167">
        <f t="shared" si="293"/>
        <v>0.10184359277974532</v>
      </c>
      <c r="CY29" s="167">
        <f t="shared" si="293"/>
        <v>0.10178184171865125</v>
      </c>
      <c r="CZ29" s="167">
        <f t="shared" si="293"/>
        <v>0.1018233478226566</v>
      </c>
      <c r="DA29" s="167">
        <f t="shared" si="293"/>
        <v>0.10182484368904102</v>
      </c>
      <c r="DB29" s="167">
        <f t="shared" si="293"/>
        <v>0.10181840650252359</v>
      </c>
      <c r="DE29" s="169"/>
      <c r="DF29" s="168">
        <v>9.8653778785040822E-2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 t="e">
        <f t="shared" si="295"/>
        <v>#DIV/0!</v>
      </c>
      <c r="L30" s="39" t="e">
        <f t="shared" si="295"/>
        <v>#DIV/0!</v>
      </c>
      <c r="M30" s="39" t="e">
        <f t="shared" si="295"/>
        <v>#DIV/0!</v>
      </c>
      <c r="N30" s="39" t="e">
        <f t="shared" si="295"/>
        <v>#DIV/0!</v>
      </c>
      <c r="O30" s="39" t="e">
        <f t="shared" si="295"/>
        <v>#DIV/0!</v>
      </c>
      <c r="P30" s="39">
        <f t="shared" si="295"/>
        <v>-0.11925028500091417</v>
      </c>
      <c r="Q30" s="39">
        <f t="shared" si="295"/>
        <v>-0.56180951201318285</v>
      </c>
      <c r="R30" s="39">
        <f t="shared" si="295"/>
        <v>-0.51502176180314152</v>
      </c>
      <c r="S30" s="39">
        <f t="shared" si="295"/>
        <v>-0.5231020861201614</v>
      </c>
      <c r="T30" s="39">
        <f t="shared" si="295"/>
        <v>3.6023716248838928</v>
      </c>
      <c r="U30" s="39">
        <f t="shared" si="295"/>
        <v>-0.21946228613653018</v>
      </c>
      <c r="V30" s="39">
        <f t="shared" si="295"/>
        <v>2.3457617244392615</v>
      </c>
      <c r="W30" s="39">
        <f t="shared" si="295"/>
        <v>0.82918335364791851</v>
      </c>
      <c r="X30" s="39">
        <f t="shared" si="295"/>
        <v>3.7886720609233038E-2</v>
      </c>
      <c r="Y30" s="39">
        <f t="shared" si="295"/>
        <v>0.23126662386499275</v>
      </c>
      <c r="Z30" s="39">
        <f t="shared" ref="Z30:AE30" si="296">+IF(Y28&lt;0,1-Z28/Y28,Z28/Y28-1)</f>
        <v>0.25301687213676471</v>
      </c>
      <c r="AA30" s="39">
        <f t="shared" si="296"/>
        <v>-8.3028037660978105E-2</v>
      </c>
      <c r="AB30" s="40">
        <f t="shared" si="296"/>
        <v>-0.15496707575993052</v>
      </c>
      <c r="AC30" s="40">
        <f t="shared" si="296"/>
        <v>-0.17834086693240037</v>
      </c>
      <c r="AD30" s="40">
        <f t="shared" si="296"/>
        <v>-0.18248784345990476</v>
      </c>
      <c r="AE30" s="40">
        <f t="shared" si="296"/>
        <v>-0.18333216614653813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7">+IF(AJ28&lt;0,1-AN28/AJ28,AN28/AJ28-1)</f>
        <v>#DIV/0!</v>
      </c>
      <c r="AO30" s="39" t="e">
        <f t="shared" ref="AO30" si="298">+IF(AK28&lt;0,1-AO28/AK28,AO28/AK28-1)</f>
        <v>#DIV/0!</v>
      </c>
      <c r="AP30" s="39" t="e">
        <f t="shared" ref="AP30" si="299">+IF(AL28&lt;0,1-AP28/AL28,AP28/AL28-1)</f>
        <v>#DIV/0!</v>
      </c>
      <c r="AQ30" s="39" t="e">
        <f t="shared" ref="AQ30" si="300">+IF(AM28&lt;0,1-AQ28/AM28,AQ28/AM28-1)</f>
        <v>#DIV/0!</v>
      </c>
      <c r="AR30" s="39" t="e">
        <f t="shared" ref="AR30" si="301">+IF(AN28&lt;0,1-AR28/AN28,AR28/AN28-1)</f>
        <v>#DIV/0!</v>
      </c>
      <c r="AS30" s="39" t="e">
        <f t="shared" ref="AS30" si="302">+IF(AO28&lt;0,1-AS28/AO28,AS28/AO28-1)</f>
        <v>#DIV/0!</v>
      </c>
      <c r="AT30" s="39" t="e">
        <f t="shared" ref="AT30" si="303">+IF(AP28&lt;0,1-AT28/AP28,AT28/AP28-1)</f>
        <v>#DIV/0!</v>
      </c>
      <c r="AU30" s="39" t="e">
        <f t="shared" ref="AU30" si="304">+IF(AQ28&lt;0,1-AU28/AQ28,AU28/AQ28-1)</f>
        <v>#DIV/0!</v>
      </c>
      <c r="AV30" s="39" t="e">
        <f t="shared" ref="AV30" si="305">+IF(AR28&lt;0,1-AV28/AR28,AV28/AR28-1)</f>
        <v>#DIV/0!</v>
      </c>
      <c r="AW30" s="39" t="e">
        <f t="shared" ref="AW30" si="306">+IF(AS28&lt;0,1-AW28/AS28,AW28/AS28-1)</f>
        <v>#DIV/0!</v>
      </c>
      <c r="AX30" s="39" t="e">
        <f t="shared" ref="AX30" si="307">+IF(AT28&lt;0,1-AX28/AT28,AX28/AT28-1)</f>
        <v>#DIV/0!</v>
      </c>
      <c r="AY30" s="39" t="e">
        <f t="shared" ref="AY30" si="308">+IF(AU28&lt;0,1-AY28/AU28,AY28/AU28-1)</f>
        <v>#DIV/0!</v>
      </c>
      <c r="AZ30" s="39" t="e">
        <f t="shared" ref="AZ30" si="309">+IF(AV28&lt;0,1-AZ28/AV28,AZ28/AV28-1)</f>
        <v>#DIV/0!</v>
      </c>
      <c r="BA30" s="39" t="e">
        <f t="shared" ref="BA30" si="310">+IF(AW28&lt;0,1-BA28/AW28,BA28/AW28-1)</f>
        <v>#DIV/0!</v>
      </c>
      <c r="BB30" s="39" t="e">
        <f t="shared" ref="BB30" si="311">+IF(AX28&lt;0,1-BB28/AX28,BB28/AX28-1)</f>
        <v>#DIV/0!</v>
      </c>
      <c r="BC30" s="39" t="e">
        <f t="shared" ref="BC30" si="312">+IF(AY28&lt;0,1-BC28/AY28,BC28/AY28-1)</f>
        <v>#DIV/0!</v>
      </c>
      <c r="BD30" s="39" t="e">
        <f t="shared" ref="BD30" si="313">+IF(AZ28&lt;0,1-BD28/AZ28,BD28/AZ28-1)</f>
        <v>#DIV/0!</v>
      </c>
      <c r="BE30" s="39" t="e">
        <f t="shared" ref="BE30" si="314">+IF(BA28&lt;0,1-BE28/BA28,BE28/BA28-1)</f>
        <v>#DIV/0!</v>
      </c>
      <c r="BF30" s="39" t="e">
        <f t="shared" ref="BF30" si="315">+IF(BB28&lt;0,1-BF28/BB28,BF28/BB28-1)</f>
        <v>#DIV/0!</v>
      </c>
      <c r="BG30" s="39" t="e">
        <f t="shared" ref="BG30" si="316">+IF(BC28&lt;0,1-BG28/BC28,BG28/BC28-1)</f>
        <v>#DIV/0!</v>
      </c>
      <c r="BH30" s="39" t="e">
        <f t="shared" ref="BH30" si="317">+IF(BD28&lt;0,1-BH28/BD28,BH28/BD28-1)</f>
        <v>#DIV/0!</v>
      </c>
      <c r="BI30" s="39" t="e">
        <f t="shared" ref="BI30" si="318">+IF(BE28&lt;0,1-BI28/BE28,BI28/BE28-1)</f>
        <v>#DIV/0!</v>
      </c>
      <c r="BJ30" s="39" t="e">
        <f t="shared" ref="BJ30" si="319">+IF(BF28&lt;0,1-BJ28/BF28,BJ28/BF28-1)</f>
        <v>#DIV/0!</v>
      </c>
      <c r="BK30" s="39" t="e">
        <f t="shared" ref="BK30" si="320">+IF(BG28&lt;0,1-BK28/BG28,BK28/BG28-1)</f>
        <v>#DIV/0!</v>
      </c>
      <c r="BL30" s="39" t="e">
        <f t="shared" ref="BL30" si="321">+IF(BH28&lt;0,1-BL28/BH28,BL28/BH28-1)</f>
        <v>#DIV/0!</v>
      </c>
      <c r="BM30" s="39" t="e">
        <f t="shared" ref="BM30" si="322">+IF(BI28&lt;0,1-BM28/BI28,BM28/BI28-1)</f>
        <v>#DIV/0!</v>
      </c>
      <c r="BN30" s="39" t="e">
        <f t="shared" ref="BN30" si="323">+IF(BJ28&lt;0,1-BN28/BJ28,BN28/BJ28-1)</f>
        <v>#DIV/0!</v>
      </c>
      <c r="BO30" s="39" t="e">
        <f t="shared" ref="BO30" si="324">+IF(BK28&lt;0,1-BO28/BK28,BO28/BK28-1)</f>
        <v>#DIV/0!</v>
      </c>
      <c r="BP30" s="39" t="e">
        <f t="shared" ref="BP30" si="325">+IF(BL28&lt;0,1-BP28/BL28,BP28/BL28-1)</f>
        <v>#DIV/0!</v>
      </c>
      <c r="BQ30" s="39" t="e">
        <f t="shared" ref="BQ30" si="326">+IF(BM28&lt;0,1-BQ28/BM28,BQ28/BM28-1)</f>
        <v>#DIV/0!</v>
      </c>
      <c r="BR30" s="39" t="e">
        <f t="shared" ref="BR30" si="327">+IF(BN28&lt;0,1-BR28/BN28,BR28/BN28-1)</f>
        <v>#DIV/0!</v>
      </c>
      <c r="BS30" s="39" t="e">
        <f t="shared" ref="BS30" si="328">+IF(BO28&lt;0,1-BS28/BO28,BS28/BO28-1)</f>
        <v>#DIV/0!</v>
      </c>
      <c r="BT30" s="39" t="e">
        <f t="shared" ref="BT30" si="329">+IF(BP28&lt;0,1-BT28/BP28,BT28/BP28-1)</f>
        <v>#DIV/0!</v>
      </c>
      <c r="BU30" s="39" t="e">
        <f t="shared" ref="BU30" si="330">+IF(BQ28&lt;0,1-BU28/BQ28,BU28/BQ28-1)</f>
        <v>#DIV/0!</v>
      </c>
      <c r="BV30" s="39" t="e">
        <f t="shared" ref="BV30" si="331">+IF(BR28&lt;0,1-BV28/BR28,BV28/BR28-1)</f>
        <v>#DIV/0!</v>
      </c>
      <c r="BW30" s="39" t="e">
        <f t="shared" ref="BW30" si="332">+IF(BS28&lt;0,1-BW28/BS28,BW28/BS28-1)</f>
        <v>#DIV/0!</v>
      </c>
      <c r="BX30" s="39" t="e">
        <f t="shared" ref="BX30" si="333">+IF(BT28&lt;0,1-BX28/BT28,BX28/BT28-1)</f>
        <v>#DIV/0!</v>
      </c>
      <c r="BY30" s="39" t="e">
        <f t="shared" ref="BY30" si="334">+IF(BU28&lt;0,1-BY28/BU28,BY28/BU28-1)</f>
        <v>#DIV/0!</v>
      </c>
      <c r="BZ30" s="39" t="e">
        <f t="shared" ref="BZ30" si="335">+IF(BV28&lt;0,1-BZ28/BV28,BZ28/BV28-1)</f>
        <v>#DIV/0!</v>
      </c>
      <c r="CA30" s="39">
        <f t="shared" ref="CA30" si="336">+IF(BW28&lt;0,1-CA28/BW28,CA28/BW28-1)</f>
        <v>0.72624395300621947</v>
      </c>
      <c r="CB30" s="39">
        <f t="shared" ref="CB30" si="337">+IF(BX28&lt;0,1-CB28/BX28,CB28/BX28-1)</f>
        <v>-3.3602434591485042E-2</v>
      </c>
      <c r="CC30" s="39">
        <f t="shared" ref="CC30" si="338">+IF(BY28&lt;0,1-CC28/BY28,CC28/BY28-1)</f>
        <v>0.53277792241603827</v>
      </c>
      <c r="CD30" s="39">
        <f t="shared" ref="CD30" si="339">+IF(BZ28&lt;0,1-CD28/BZ28,CD28/BZ28-1)</f>
        <v>0.13716703227828364</v>
      </c>
      <c r="CE30" s="39">
        <f t="shared" ref="CE30" si="340">+IF(CA28&lt;0,1-CE28/CA28,CE28/CA28-1)</f>
        <v>-4.8891557824150333E-2</v>
      </c>
      <c r="CF30" s="39">
        <f t="shared" ref="CF30" si="341">+IF(CB28&lt;0,1-CF28/CB28,CF28/CB28-1)</f>
        <v>0.38357242827151583</v>
      </c>
      <c r="CG30" s="39">
        <f t="shared" ref="CG30" si="342">+IF(CC28&lt;0,1-CG28/CC28,CG28/CC28-1)</f>
        <v>-4.4264021469579751E-2</v>
      </c>
      <c r="CH30" s="39">
        <f t="shared" ref="CH30:CL30" si="343">+IF(CD28&lt;0,1-CH28/CD28,CH28/CD28-1)</f>
        <v>0.58224708573318207</v>
      </c>
      <c r="CI30" s="39">
        <f t="shared" si="343"/>
        <v>0.20535620330422066</v>
      </c>
      <c r="CJ30" s="39">
        <f t="shared" si="343"/>
        <v>-1.3940696718720891E-2</v>
      </c>
      <c r="CK30" s="39">
        <f t="shared" si="343"/>
        <v>-3.9809483187600914E-2</v>
      </c>
      <c r="CL30" s="39">
        <f t="shared" si="343"/>
        <v>-0.24976051554471879</v>
      </c>
      <c r="CM30" s="40">
        <f t="shared" ref="CM30" si="344">+CM28/CI28-1</f>
        <v>2.5122872163856336E-3</v>
      </c>
      <c r="CN30" s="40">
        <f t="shared" ref="CN30" si="345">+CN28/CJ28-1</f>
        <v>-0.19712721328462823</v>
      </c>
      <c r="CO30" s="40">
        <f t="shared" ref="CO30" si="346">+CO28/CK28-1</f>
        <v>-9.462197139716666E-2</v>
      </c>
      <c r="CP30" s="40">
        <f t="shared" ref="CP30" si="347">+CP28/CL28-1</f>
        <v>-0.26163120531636319</v>
      </c>
      <c r="CQ30" s="40">
        <f t="shared" ref="CQ30" si="348">+CQ28/CM28-1</f>
        <v>-0.15019589219089746</v>
      </c>
      <c r="CR30" s="40">
        <f t="shared" ref="CR30" si="349">+CR28/CN28-1</f>
        <v>-0.1819354835605308</v>
      </c>
      <c r="CS30" s="40">
        <f t="shared" ref="CS30" si="350">+CS28/CO28-1</f>
        <v>-0.17812974679100191</v>
      </c>
      <c r="CT30" s="40">
        <f t="shared" ref="CT30" si="351">+CT28/CP28-1</f>
        <v>-0.19599623092983864</v>
      </c>
      <c r="CU30" s="40">
        <f t="shared" ref="CU30" si="352">+CU28/CQ28-1</f>
        <v>-0.17694210865817372</v>
      </c>
      <c r="CV30" s="40">
        <f t="shared" ref="CV30" si="353">+CV28/CR28-1</f>
        <v>-0.18335039015180898</v>
      </c>
      <c r="CW30" s="40">
        <f t="shared" ref="CW30" si="354">+CW28/CS28-1</f>
        <v>-0.18369921092077257</v>
      </c>
      <c r="CX30" s="40">
        <f t="shared" ref="CX30" si="355">+CX28/CT28-1</f>
        <v>-0.18507724792027491</v>
      </c>
      <c r="CY30" s="40">
        <f t="shared" ref="CY30" si="356">+CY28/CU28-1</f>
        <v>-0.18228216572592959</v>
      </c>
      <c r="CZ30" s="40">
        <f t="shared" ref="CZ30" si="357">+CZ28/CV28-1</f>
        <v>-0.18360404010248921</v>
      </c>
      <c r="DA30" s="40">
        <f t="shared" ref="DA30" si="358">+DA28/CW28-1</f>
        <v>-0.18366733511679723</v>
      </c>
      <c r="DB30" s="40">
        <f t="shared" ref="DB30" si="359">+DB28/CX28-1</f>
        <v>-0.18365936452582499</v>
      </c>
      <c r="DE30" s="122"/>
      <c r="DF30" s="38">
        <v>-7.7120287733429826E-2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 t="e">
        <f t="shared" ref="AW31" si="370">+IF(AV28&lt;0,1-AW28/AV28,AW28/AV28-1)</f>
        <v>#DIV/0!</v>
      </c>
      <c r="AX31" s="39" t="e">
        <f t="shared" ref="AX31" si="371">+IF(AW28&lt;0,1-AX28/AW28,AX28/AW28-1)</f>
        <v>#DIV/0!</v>
      </c>
      <c r="AY31" s="39" t="e">
        <f t="shared" ref="AY31" si="372">+IF(AX28&lt;0,1-AY28/AX28,AY28/AX28-1)</f>
        <v>#DIV/0!</v>
      </c>
      <c r="AZ31" s="39" t="e">
        <f t="shared" ref="AZ31" si="373">+IF(AY28&lt;0,1-AZ28/AY28,AZ28/AY28-1)</f>
        <v>#DIV/0!</v>
      </c>
      <c r="BA31" s="39" t="e">
        <f t="shared" ref="BA31" si="374">+IF(AZ28&lt;0,1-BA28/AZ28,BA28/AZ28-1)</f>
        <v>#DIV/0!</v>
      </c>
      <c r="BB31" s="39" t="e">
        <f t="shared" ref="BB31" si="375">+IF(BA28&lt;0,1-BB28/BA28,BB28/BA28-1)</f>
        <v>#DIV/0!</v>
      </c>
      <c r="BC31" s="39" t="e">
        <f t="shared" ref="BC31" si="376">+IF(BB28&lt;0,1-BC28/BB28,BC28/BB28-1)</f>
        <v>#DIV/0!</v>
      </c>
      <c r="BD31" s="39" t="e">
        <f t="shared" ref="BD31" si="377">+IF(BC28&lt;0,1-BD28/BC28,BD28/BC28-1)</f>
        <v>#DIV/0!</v>
      </c>
      <c r="BE31" s="39" t="e">
        <f t="shared" ref="BE31" si="378">+IF(BD28&lt;0,1-BE28/BD28,BE28/BD28-1)</f>
        <v>#DIV/0!</v>
      </c>
      <c r="BF31" s="39" t="e">
        <f t="shared" ref="BF31" si="379">+IF(BE28&lt;0,1-BF28/BE28,BF28/BE28-1)</f>
        <v>#DIV/0!</v>
      </c>
      <c r="BG31" s="39" t="e">
        <f t="shared" ref="BG31" si="380">+IF(BF28&lt;0,1-BG28/BF28,BG28/BF28-1)</f>
        <v>#DIV/0!</v>
      </c>
      <c r="BH31" s="39" t="e">
        <f t="shared" ref="BH31" si="381">+IF(BG28&lt;0,1-BH28/BG28,BH28/BG28-1)</f>
        <v>#DIV/0!</v>
      </c>
      <c r="BI31" s="39" t="e">
        <f t="shared" ref="BI31" si="382">+IF(BH28&lt;0,1-BI28/BH28,BI28/BH28-1)</f>
        <v>#DIV/0!</v>
      </c>
      <c r="BJ31" s="39" t="e">
        <f t="shared" ref="BJ31" si="383">+IF(BI28&lt;0,1-BJ28/BI28,BJ28/BI28-1)</f>
        <v>#DIV/0!</v>
      </c>
      <c r="BK31" s="39" t="e">
        <f t="shared" ref="BK31" si="384">+IF(BJ28&lt;0,1-BK28/BJ28,BK28/BJ28-1)</f>
        <v>#DIV/0!</v>
      </c>
      <c r="BL31" s="39" t="e">
        <f t="shared" ref="BL31" si="385">+IF(BK28&lt;0,1-BL28/BK28,BL28/BK28-1)</f>
        <v>#DIV/0!</v>
      </c>
      <c r="BM31" s="39" t="e">
        <f t="shared" ref="BM31" si="386">+IF(BL28&lt;0,1-BM28/BL28,BM28/BL28-1)</f>
        <v>#DIV/0!</v>
      </c>
      <c r="BN31" s="39" t="e">
        <f t="shared" ref="BN31" si="387">+IF(BM28&lt;0,1-BN28/BM28,BN28/BM28-1)</f>
        <v>#DIV/0!</v>
      </c>
      <c r="BO31" s="39" t="e">
        <f t="shared" ref="BO31" si="388">+IF(BN28&lt;0,1-BO28/BN28,BO28/BN28-1)</f>
        <v>#DIV/0!</v>
      </c>
      <c r="BP31" s="39" t="e">
        <f t="shared" ref="BP31" si="389">+IF(BO28&lt;0,1-BP28/BO28,BP28/BO28-1)</f>
        <v>#DIV/0!</v>
      </c>
      <c r="BQ31" s="39" t="e">
        <f t="shared" ref="BQ31" si="390">+IF(BP28&lt;0,1-BQ28/BP28,BQ28/BP28-1)</f>
        <v>#DIV/0!</v>
      </c>
      <c r="BR31" s="39" t="e">
        <f t="shared" ref="BR31" si="391">+IF(BQ28&lt;0,1-BR28/BQ28,BR28/BQ28-1)</f>
        <v>#DIV/0!</v>
      </c>
      <c r="BS31" s="39" t="e">
        <f t="shared" ref="BS31" si="392">+IF(BR28&lt;0,1-BS28/BR28,BS28/BR28-1)</f>
        <v>#DIV/0!</v>
      </c>
      <c r="BT31" s="39" t="e">
        <f t="shared" ref="BT31" si="393">+IF(BS28&lt;0,1-BT28/BS28,BT28/BS28-1)</f>
        <v>#DIV/0!</v>
      </c>
      <c r="BU31" s="39" t="e">
        <f t="shared" ref="BU31" si="394">+IF(BT28&lt;0,1-BU28/BT28,BU28/BT28-1)</f>
        <v>#DIV/0!</v>
      </c>
      <c r="BV31" s="39" t="e">
        <f t="shared" ref="BV31" si="395">+IF(BU28&lt;0,1-BV28/BU28,BV28/BU28-1)</f>
        <v>#DIV/0!</v>
      </c>
      <c r="BW31" s="39" t="e">
        <f t="shared" ref="BW31" si="396">+IF(BV28&lt;0,1-BW28/BV28,BW28/BV28-1)</f>
        <v>#DIV/0!</v>
      </c>
      <c r="BX31" s="39">
        <f t="shared" ref="BX31" si="397">+IF(BW28&lt;0,1-BX28/BW28,BX28/BW28-1)</f>
        <v>1.0437975120939873</v>
      </c>
      <c r="BY31" s="39">
        <f t="shared" ref="BY31" si="398">+IF(BX28&lt;0,1-BY28/BX28,BY28/BX28-1)</f>
        <v>-0.18825816813897567</v>
      </c>
      <c r="BZ31" s="39">
        <f t="shared" ref="BZ31" si="399">+IF(BY28&lt;0,1-BZ28/BY28,BZ28/BY28-1)</f>
        <v>0.66154647227284769</v>
      </c>
      <c r="CA31" s="39">
        <f t="shared" ref="CA31" si="400">+IF(BZ28&lt;0,1-CA28/BZ28,CA28/BZ28-1)</f>
        <v>-0.37376997806330303</v>
      </c>
      <c r="CB31" s="39">
        <f t="shared" ref="CB31" si="401">+IF(CA28&lt;0,1-CB28/CA28,CB28/CA28-1)</f>
        <v>0.14417254666466794</v>
      </c>
      <c r="CC31" s="39">
        <f t="shared" ref="CC31" si="402">+IF(CB28&lt;0,1-CC28/CB28,CC28/CB28-1)</f>
        <v>0.28748250524842134</v>
      </c>
      <c r="CD31" s="39">
        <f t="shared" ref="CD31" si="403">+IF(CC28&lt;0,1-CD28/CC28,CD28/CC28-1)</f>
        <v>0.23270034310561738</v>
      </c>
      <c r="CE31" s="39">
        <f t="shared" ref="CE31" si="404">+IF(CD28&lt;0,1-CE28/CD28,CE28/CD28-1)</f>
        <v>-0.47623115716372288</v>
      </c>
      <c r="CF31" s="39">
        <f t="shared" ref="CF31" si="405">+IF(CE28&lt;0,1-CF28/CE28,CF28/CE28-1)</f>
        <v>0.66442176154898536</v>
      </c>
      <c r="CG31" s="39">
        <f t="shared" ref="CG31" si="406">+IF(CF28&lt;0,1-CG28/CF28,CG28/CF28-1)</f>
        <v>-0.11064045014857604</v>
      </c>
      <c r="CH31" s="39">
        <f t="shared" ref="CH31:CI31" si="407">+IF(CG28&lt;0,1-CH28/CG28,CH28/CG28-1)</f>
        <v>1.0407691760858784</v>
      </c>
      <c r="CI31" s="39">
        <f t="shared" si="407"/>
        <v>-0.60099277192371314</v>
      </c>
      <c r="CJ31" s="39">
        <f>+IF(CI28&gt;1,CJ28/CI28-1,1-CJ28/CI28)</f>
        <v>0.36160460954210016</v>
      </c>
      <c r="CK31" s="39">
        <f>+IF(CJ28&gt;1,CK28/CJ28-1,1-CK28/CJ28)</f>
        <v>-0.13397236559484504</v>
      </c>
      <c r="CL31" s="39">
        <f>+IF(CK28&gt;1,CL28/CK28-1,1-CL28/CK28)</f>
        <v>0.59454357000074021</v>
      </c>
      <c r="CM31" s="40">
        <f t="shared" ref="CM31" si="408">+CM28/CL28-1</f>
        <v>-0.46682405135600213</v>
      </c>
      <c r="CN31" s="40">
        <f t="shared" ref="CN31" si="409">+CN28/CM28-1</f>
        <v>9.045574922873989E-2</v>
      </c>
      <c r="CO31" s="40">
        <f t="shared" ref="CO31" si="410">+CO28/CN28-1</f>
        <v>-2.3403949757632825E-2</v>
      </c>
      <c r="CP31" s="40">
        <f t="shared" ref="CP31" si="411">+CP28/CO28-1</f>
        <v>0.30040842240105703</v>
      </c>
      <c r="CQ31" s="40">
        <f t="shared" ref="CQ31" si="412">+CQ28/CP28-1</f>
        <v>-0.38635663559316769</v>
      </c>
      <c r="CR31" s="40">
        <f t="shared" ref="CR31" si="413">+CR28/CQ28-1</f>
        <v>4.9727986713661076E-2</v>
      </c>
      <c r="CS31" s="40">
        <f t="shared" ref="CS31" si="414">+CS28/CR28-1</f>
        <v>-1.8860704790157223E-2</v>
      </c>
      <c r="CT31" s="40">
        <f t="shared" ref="CT31" si="415">+CT28/CS28-1</f>
        <v>0.27213908625934624</v>
      </c>
      <c r="CU31" s="40">
        <f t="shared" ref="CU31" si="416">+CU28/CT28-1</f>
        <v>-0.37181387329974458</v>
      </c>
      <c r="CV31" s="40">
        <f t="shared" ref="CV31" si="417">+CV28/CU28-1</f>
        <v>4.1554864869654207E-2</v>
      </c>
      <c r="CW31" s="40">
        <f t="shared" ref="CW31" si="418">+CW28/CV28-1</f>
        <v>-1.9279785090065893E-2</v>
      </c>
      <c r="CX31" s="40">
        <f t="shared" ref="CX31" si="419">+CX28/CW28-1</f>
        <v>0.26999152649604374</v>
      </c>
      <c r="CY31" s="40">
        <f t="shared" ref="CY31" si="420">+CY28/CX28-1</f>
        <v>-0.36965927416382194</v>
      </c>
      <c r="CZ31" s="40">
        <f t="shared" ref="CZ31" si="421">+CZ28/CY28-1</f>
        <v>3.9871148763750197E-2</v>
      </c>
      <c r="DA31" s="40">
        <f t="shared" ref="DA31" si="422">+DA28/CZ28-1</f>
        <v>-1.9355820130761869E-2</v>
      </c>
      <c r="DB31" s="40">
        <f t="shared" ref="DB31" si="423">+DB28/DA28-1</f>
        <v>0.27000392656703354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3.5594141000000001</v>
      </c>
      <c r="M32" s="23">
        <f>'Annual Raw'!N27</f>
        <v>4.3671069999999999</v>
      </c>
      <c r="N32" s="23">
        <f>'Annual Raw'!O27</f>
        <v>4.9994068</v>
      </c>
      <c r="O32" s="23">
        <f>'Annual Raw'!P27</f>
        <v>2.7238000000000002</v>
      </c>
      <c r="P32" s="23">
        <f>'Annual Raw'!Q27</f>
        <v>3.9986453000000002</v>
      </c>
      <c r="Q32" s="23">
        <f>'Annual Raw'!R27</f>
        <v>5.6635796000000003</v>
      </c>
      <c r="R32" s="23">
        <f>'Annual Raw'!S27</f>
        <v>7.2953608000000001</v>
      </c>
      <c r="S32" s="23">
        <f>'Annual Raw'!T27</f>
        <v>8.2640984999999993</v>
      </c>
      <c r="T32" s="23">
        <f>'Annual Raw'!U27</f>
        <v>8.3149999999999995</v>
      </c>
      <c r="U32" s="23">
        <f>'Annual Raw'!V27</f>
        <v>10.579000000000001</v>
      </c>
      <c r="V32" s="23">
        <f>'Annual Raw'!W27</f>
        <v>18.462</v>
      </c>
      <c r="W32" s="23">
        <f>'Annual Raw'!X27</f>
        <v>19.286000000000001</v>
      </c>
      <c r="X32" s="23">
        <f>'Annual Raw'!Y27</f>
        <v>19.414999999999999</v>
      </c>
      <c r="Y32" s="23">
        <f>'Annual Raw'!Z27</f>
        <v>22.312000000000001</v>
      </c>
      <c r="Z32" s="23">
        <f>'Annual Raw'!AA27</f>
        <v>34.061999999999998</v>
      </c>
      <c r="AA32" s="23">
        <f>'Annual Raw'!AB27</f>
        <v>42.752000000000002</v>
      </c>
      <c r="AB32" s="76">
        <f>+SUM(CM32:CP32)</f>
        <v>41.778402483145285</v>
      </c>
      <c r="AC32" s="76">
        <f>+SUM(CQ32:CT32)</f>
        <v>34.103394726311265</v>
      </c>
      <c r="AD32" s="76">
        <f>+SUM(CU32:CX32)</f>
        <v>27.838343802824966</v>
      </c>
      <c r="AE32" s="76">
        <f>+SUM(CY32:DB32)</f>
        <v>22.724230004187234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4.9370000000000003</v>
      </c>
      <c r="BX32" s="23">
        <f>'QTR Raw'!AR28</f>
        <v>4.9560000000000004</v>
      </c>
      <c r="BY32" s="23">
        <f>'QTR Raw'!AS28</f>
        <v>4.6959999999999997</v>
      </c>
      <c r="BZ32" s="23">
        <f>'QTR Raw'!AT28</f>
        <v>4.8259999999999996</v>
      </c>
      <c r="CA32" s="23">
        <f>'QTR Raw'!AU28</f>
        <v>4.8280000000000003</v>
      </c>
      <c r="CB32" s="23">
        <f>'QTR Raw'!AV28</f>
        <v>5.4749999999999996</v>
      </c>
      <c r="CC32" s="23">
        <f>'QTR Raw'!AW28</f>
        <v>5.7640000000000002</v>
      </c>
      <c r="CD32" s="23">
        <f>'QTR Raw'!AX28</f>
        <v>6.2450000000000001</v>
      </c>
      <c r="CE32" s="23">
        <f>'QTR Raw'!AY28</f>
        <v>6.6929999999999996</v>
      </c>
      <c r="CF32" s="23">
        <f>'QTR Raw'!AZ28</f>
        <v>6.87</v>
      </c>
      <c r="CG32" s="23">
        <f>'QTR Raw'!BA28</f>
        <v>10.022</v>
      </c>
      <c r="CH32" s="23">
        <f>'QTR Raw'!BB28</f>
        <v>10.477</v>
      </c>
      <c r="CI32" s="23">
        <f>'QTR Raw'!BC28</f>
        <v>10.516999999999999</v>
      </c>
      <c r="CJ32" s="23">
        <f>'QTR Raw'!BD28</f>
        <v>10.566000000000001</v>
      </c>
      <c r="CK32" s="23">
        <f>'QTR Raw'!BE28</f>
        <v>10.773</v>
      </c>
      <c r="CL32" s="23">
        <f>'QTR Raw'!BF28</f>
        <v>10.896000000000001</v>
      </c>
      <c r="CM32" s="24">
        <f t="shared" ref="CM32:DB32" si="424">CM33*CL134</f>
        <v>11.25254994278241</v>
      </c>
      <c r="CN32" s="24">
        <f t="shared" si="424"/>
        <v>10.695778358234078</v>
      </c>
      <c r="CO32" s="24">
        <f t="shared" si="424"/>
        <v>10.166555604745083</v>
      </c>
      <c r="CP32" s="24">
        <f t="shared" si="424"/>
        <v>9.6635185773837122</v>
      </c>
      <c r="CQ32" s="24">
        <f t="shared" si="424"/>
        <v>9.1853716170946598</v>
      </c>
      <c r="CR32" s="24">
        <f t="shared" si="424"/>
        <v>8.7308831735045587</v>
      </c>
      <c r="CS32" s="24">
        <f t="shared" si="424"/>
        <v>8.2988826328505265</v>
      </c>
      <c r="CT32" s="24">
        <f t="shared" si="424"/>
        <v>7.8882573028615193</v>
      </c>
      <c r="CU32" s="24">
        <f t="shared" si="424"/>
        <v>7.4979495468265211</v>
      </c>
      <c r="CV32" s="24">
        <f t="shared" si="424"/>
        <v>7.1269540594678755</v>
      </c>
      <c r="CW32" s="24">
        <f t="shared" si="424"/>
        <v>6.7743152776032991</v>
      </c>
      <c r="CX32" s="24">
        <f t="shared" si="424"/>
        <v>6.4391249189272708</v>
      </c>
      <c r="CY32" s="24">
        <f t="shared" si="424"/>
        <v>6.120519642572523</v>
      </c>
      <c r="CZ32" s="24">
        <f t="shared" si="424"/>
        <v>5.8176788254260003</v>
      </c>
      <c r="DA32" s="24">
        <f t="shared" si="424"/>
        <v>5.5298224484717844</v>
      </c>
      <c r="DB32" s="24">
        <f t="shared" si="424"/>
        <v>5.2562090877169263</v>
      </c>
      <c r="DE32" s="123"/>
      <c r="DF32" s="23">
        <v>42.751999999999995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 t="e">
        <f t="shared" si="426"/>
        <v>#DIV/0!</v>
      </c>
      <c r="K33" s="46" t="e">
        <f t="shared" si="426"/>
        <v>#DIV/0!</v>
      </c>
      <c r="L33" s="46">
        <f t="shared" si="426"/>
        <v>0.18902615786334312</v>
      </c>
      <c r="M33" s="46">
        <f t="shared" si="426"/>
        <v>0.2200731496760138</v>
      </c>
      <c r="N33" s="46">
        <f t="shared" si="426"/>
        <v>0.24665263878766777</v>
      </c>
      <c r="O33" s="46">
        <f t="shared" si="426"/>
        <v>0.11348925218282647</v>
      </c>
      <c r="P33" s="46">
        <f t="shared" si="426"/>
        <v>0.12584005887055161</v>
      </c>
      <c r="Q33" s="46">
        <f t="shared" si="426"/>
        <v>0.15504724045209664</v>
      </c>
      <c r="R33" s="46">
        <f t="shared" si="426"/>
        <v>0.18679235650500864</v>
      </c>
      <c r="S33" s="46">
        <f t="shared" si="426"/>
        <v>0.1827204182546108</v>
      </c>
      <c r="T33" s="46">
        <f t="shared" si="426"/>
        <v>0.18378939923080323</v>
      </c>
      <c r="U33" s="46">
        <f t="shared" si="426"/>
        <v>0.10254645560908467</v>
      </c>
      <c r="V33" s="46">
        <f t="shared" si="426"/>
        <v>0.10110956548407944</v>
      </c>
      <c r="W33" s="46">
        <f t="shared" si="426"/>
        <v>0.11399625253426801</v>
      </c>
      <c r="X33" s="46">
        <f t="shared" si="426"/>
        <v>0.12293888199387046</v>
      </c>
      <c r="Y33" s="46">
        <f t="shared" si="426"/>
        <v>0.11798798544716135</v>
      </c>
      <c r="Z33" s="46">
        <f t="shared" si="426"/>
        <v>0.12258206146017392</v>
      </c>
      <c r="AA33" s="46">
        <f t="shared" ref="AA33" si="427">+AA32/AA134</f>
        <v>0.15272116741386396</v>
      </c>
      <c r="AB33" s="110">
        <f t="shared" si="426"/>
        <v>0.22505113694481108</v>
      </c>
      <c r="AC33" s="110">
        <f t="shared" si="426"/>
        <v>0.22505113694481108</v>
      </c>
      <c r="AD33" s="110">
        <f t="shared" si="426"/>
        <v>0.22505113694481116</v>
      </c>
      <c r="AE33" s="110">
        <f t="shared" si="426"/>
        <v>0.2250511369448111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 t="e">
        <f t="shared" si="428"/>
        <v>#DIV/0!</v>
      </c>
      <c r="AX33" s="46" t="e">
        <f t="shared" si="428"/>
        <v>#DIV/0!</v>
      </c>
      <c r="AY33" s="46" t="e">
        <f t="shared" si="428"/>
        <v>#DIV/0!</v>
      </c>
      <c r="AZ33" s="46" t="e">
        <f t="shared" si="428"/>
        <v>#DIV/0!</v>
      </c>
      <c r="BA33" s="46" t="e">
        <f t="shared" si="428"/>
        <v>#DIV/0!</v>
      </c>
      <c r="BB33" s="46" t="e">
        <f t="shared" si="428"/>
        <v>#DIV/0!</v>
      </c>
      <c r="BC33" s="46" t="e">
        <f t="shared" si="428"/>
        <v>#DIV/0!</v>
      </c>
      <c r="BD33" s="46" t="e">
        <f t="shared" si="428"/>
        <v>#DIV/0!</v>
      </c>
      <c r="BE33" s="46" t="e">
        <f t="shared" si="428"/>
        <v>#DIV/0!</v>
      </c>
      <c r="BF33" s="46" t="e">
        <f t="shared" si="428"/>
        <v>#DIV/0!</v>
      </c>
      <c r="BG33" s="46" t="e">
        <f t="shared" si="428"/>
        <v>#DIV/0!</v>
      </c>
      <c r="BH33" s="46" t="e">
        <f t="shared" si="428"/>
        <v>#DIV/0!</v>
      </c>
      <c r="BI33" s="46" t="e">
        <f t="shared" si="428"/>
        <v>#DIV/0!</v>
      </c>
      <c r="BJ33" s="46" t="e">
        <f t="shared" si="428"/>
        <v>#DIV/0!</v>
      </c>
      <c r="BK33" s="46" t="e">
        <f t="shared" si="428"/>
        <v>#DIV/0!</v>
      </c>
      <c r="BL33" s="46" t="e">
        <f t="shared" si="428"/>
        <v>#DIV/0!</v>
      </c>
      <c r="BM33" s="46" t="e">
        <f t="shared" si="428"/>
        <v>#DIV/0!</v>
      </c>
      <c r="BN33" s="46" t="e">
        <f t="shared" si="428"/>
        <v>#DIV/0!</v>
      </c>
      <c r="BO33" s="46" t="e">
        <f t="shared" ref="BO33:CL33" si="429">+BO32/BN134</f>
        <v>#DIV/0!</v>
      </c>
      <c r="BP33" s="46" t="e">
        <f t="shared" si="429"/>
        <v>#DIV/0!</v>
      </c>
      <c r="BQ33" s="46" t="e">
        <f t="shared" si="429"/>
        <v>#DIV/0!</v>
      </c>
      <c r="BR33" s="46" t="e">
        <f t="shared" si="429"/>
        <v>#DIV/0!</v>
      </c>
      <c r="BS33" s="46" t="e">
        <f t="shared" si="429"/>
        <v>#DIV/0!</v>
      </c>
      <c r="BT33" s="46" t="e">
        <f t="shared" si="429"/>
        <v>#DIV/0!</v>
      </c>
      <c r="BU33" s="46" t="e">
        <f t="shared" si="429"/>
        <v>#DIV/0!</v>
      </c>
      <c r="BV33" s="46" t="e">
        <f t="shared" si="429"/>
        <v>#DIV/0!</v>
      </c>
      <c r="BW33" s="46" t="e">
        <f t="shared" si="429"/>
        <v>#DIV/0!</v>
      </c>
      <c r="BX33" s="46" t="e">
        <f t="shared" si="429"/>
        <v>#DIV/0!</v>
      </c>
      <c r="BY33" s="46" t="e">
        <f t="shared" si="429"/>
        <v>#DIV/0!</v>
      </c>
      <c r="BZ33" s="46" t="e">
        <f t="shared" si="429"/>
        <v>#DIV/0!</v>
      </c>
      <c r="CA33" s="46">
        <f t="shared" si="429"/>
        <v>3.9126065674738246E-2</v>
      </c>
      <c r="CB33" s="46">
        <f t="shared" si="429"/>
        <v>4.4369347466692598E-2</v>
      </c>
      <c r="CC33" s="46">
        <f t="shared" si="429"/>
        <v>4.2708001452249879E-2</v>
      </c>
      <c r="CD33" s="46">
        <f t="shared" si="429"/>
        <v>4.6271941198698908E-2</v>
      </c>
      <c r="CE33" s="46">
        <f t="shared" si="429"/>
        <v>4.7913236452144028E-2</v>
      </c>
      <c r="CF33" s="46">
        <f t="shared" si="429"/>
        <v>4.9180327868852458E-2</v>
      </c>
      <c r="CG33" s="46">
        <f t="shared" si="429"/>
        <v>6.7296974254979117E-2</v>
      </c>
      <c r="CH33" s="46">
        <f t="shared" si="429"/>
        <v>7.0352264944064685E-2</v>
      </c>
      <c r="CI33" s="46">
        <f t="shared" si="429"/>
        <v>3.7848498044056399E-2</v>
      </c>
      <c r="CJ33" s="46">
        <f t="shared" si="429"/>
        <v>3.9520635561839358E-2</v>
      </c>
      <c r="CK33" s="46">
        <f t="shared" si="429"/>
        <v>4.6639392168322615E-2</v>
      </c>
      <c r="CL33" s="46">
        <f t="shared" si="429"/>
        <v>4.9479592392785134E-2</v>
      </c>
      <c r="CM33" s="47">
        <f t="shared" ref="CM33" si="430">CL33</f>
        <v>4.9479592392785134E-2</v>
      </c>
      <c r="CN33" s="47">
        <f t="shared" ref="CN33" si="431">CM33</f>
        <v>4.9479592392785134E-2</v>
      </c>
      <c r="CO33" s="47">
        <f t="shared" ref="CO33" si="432">CN33</f>
        <v>4.9479592392785134E-2</v>
      </c>
      <c r="CP33" s="47">
        <f t="shared" ref="CP33" si="433">CO33</f>
        <v>4.9479592392785134E-2</v>
      </c>
      <c r="CQ33" s="47">
        <f t="shared" ref="CQ33" si="434">CP33</f>
        <v>4.9479592392785134E-2</v>
      </c>
      <c r="CR33" s="47">
        <f t="shared" ref="CR33" si="435">CQ33</f>
        <v>4.9479592392785134E-2</v>
      </c>
      <c r="CS33" s="47">
        <f t="shared" ref="CS33" si="436">CR33</f>
        <v>4.9479592392785134E-2</v>
      </c>
      <c r="CT33" s="47">
        <f t="shared" ref="CT33" si="437">CS33</f>
        <v>4.9479592392785134E-2</v>
      </c>
      <c r="CU33" s="47">
        <f t="shared" ref="CU33" si="438">CT33</f>
        <v>4.9479592392785134E-2</v>
      </c>
      <c r="CV33" s="47">
        <f t="shared" ref="CV33" si="439">CU33</f>
        <v>4.9479592392785134E-2</v>
      </c>
      <c r="CW33" s="47">
        <f t="shared" ref="CW33" si="440">CV33</f>
        <v>4.9479592392785134E-2</v>
      </c>
      <c r="CX33" s="47">
        <f t="shared" ref="CX33" si="441">CW33</f>
        <v>4.9479592392785134E-2</v>
      </c>
      <c r="CY33" s="47">
        <f t="shared" ref="CY33" si="442">CX33</f>
        <v>4.9479592392785134E-2</v>
      </c>
      <c r="CZ33" s="47">
        <f t="shared" ref="CZ33" si="443">CY33</f>
        <v>4.9479592392785134E-2</v>
      </c>
      <c r="DA33" s="47">
        <f t="shared" ref="DA33" si="444">CZ33</f>
        <v>4.9479592392785134E-2</v>
      </c>
      <c r="DB33" s="47">
        <f t="shared" ref="DB33" si="445">DA33</f>
        <v>4.9479592392785134E-2</v>
      </c>
      <c r="DE33" s="130"/>
      <c r="DF33" s="46">
        <v>0.18798863766280591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0</v>
      </c>
      <c r="K34" s="26">
        <f t="shared" si="446"/>
        <v>0</v>
      </c>
      <c r="L34" s="26">
        <f t="shared" si="446"/>
        <v>-3.5594141000000001</v>
      </c>
      <c r="M34" s="26">
        <f t="shared" si="446"/>
        <v>-4.3671069999999999</v>
      </c>
      <c r="N34" s="26">
        <f t="shared" si="446"/>
        <v>-4.9994068</v>
      </c>
      <c r="O34" s="26">
        <f t="shared" si="446"/>
        <v>40.100974800000003</v>
      </c>
      <c r="P34" s="26">
        <f t="shared" si="446"/>
        <v>33.719262900000032</v>
      </c>
      <c r="Q34" s="26">
        <f t="shared" si="446"/>
        <v>10.864048999999985</v>
      </c>
      <c r="R34" s="26">
        <f t="shared" si="446"/>
        <v>0.72017940000000369</v>
      </c>
      <c r="S34" s="26">
        <f t="shared" si="446"/>
        <v>-4.4415041000000137</v>
      </c>
      <c r="T34" s="26">
        <f t="shared" si="446"/>
        <v>9.278000000000004</v>
      </c>
      <c r="U34" s="26">
        <f t="shared" ref="U34:Z34" si="447">U28-U32</f>
        <v>3.1530000000000271</v>
      </c>
      <c r="V34" s="26">
        <f t="shared" si="447"/>
        <v>27.482000000000031</v>
      </c>
      <c r="W34" s="26">
        <f t="shared" si="447"/>
        <v>64.754000000000019</v>
      </c>
      <c r="X34" s="26">
        <f t="shared" si="447"/>
        <v>67.808999999999969</v>
      </c>
      <c r="Y34" s="26">
        <f t="shared" si="447"/>
        <v>85.084000000000074</v>
      </c>
      <c r="Z34" s="26">
        <f t="shared" si="447"/>
        <v>100.50700000000008</v>
      </c>
      <c r="AA34" s="26">
        <f t="shared" ref="AA34" si="448">AA28-AA32</f>
        <v>80.643999999999892</v>
      </c>
      <c r="AB34" s="27">
        <f t="shared" ref="AB34:AD34" si="449">AB28-AB32</f>
        <v>62.495280236382243</v>
      </c>
      <c r="AC34" s="27">
        <f t="shared" si="449"/>
        <v>51.574029018781673</v>
      </c>
      <c r="AD34" s="27">
        <f t="shared" si="449"/>
        <v>42.203991649825525</v>
      </c>
      <c r="AE34" s="27">
        <f t="shared" ref="AE34" si="450">AE28-AE32</f>
        <v>34.477092367966378</v>
      </c>
      <c r="AI34" s="26">
        <f t="shared" ref="AI34" si="451">AI28-AI32</f>
        <v>0</v>
      </c>
      <c r="AJ34" s="26">
        <f t="shared" ref="AJ34" si="452">AJ28-AJ32</f>
        <v>0</v>
      </c>
      <c r="AK34" s="26">
        <f t="shared" ref="AK34:AM34" si="453">AK28-AK32</f>
        <v>0</v>
      </c>
      <c r="AL34" s="26">
        <f t="shared" si="453"/>
        <v>0</v>
      </c>
      <c r="AM34" s="26">
        <f t="shared" si="453"/>
        <v>0</v>
      </c>
      <c r="AN34" s="26">
        <f t="shared" ref="AN34:AO34" si="454">AN28-AN32</f>
        <v>0</v>
      </c>
      <c r="AO34" s="26">
        <f t="shared" si="454"/>
        <v>0</v>
      </c>
      <c r="AP34" s="26">
        <f t="shared" ref="AP34:CD34" si="455">AP28-AP32</f>
        <v>0</v>
      </c>
      <c r="AQ34" s="26">
        <f t="shared" si="455"/>
        <v>0</v>
      </c>
      <c r="AR34" s="26">
        <f t="shared" si="455"/>
        <v>0</v>
      </c>
      <c r="AS34" s="26">
        <f t="shared" si="455"/>
        <v>0</v>
      </c>
      <c r="AT34" s="26">
        <f t="shared" si="455"/>
        <v>0</v>
      </c>
      <c r="AU34" s="26">
        <f t="shared" si="455"/>
        <v>0</v>
      </c>
      <c r="AV34" s="26">
        <f t="shared" si="455"/>
        <v>0</v>
      </c>
      <c r="AW34" s="26">
        <f t="shared" si="455"/>
        <v>0</v>
      </c>
      <c r="AX34" s="26">
        <f t="shared" si="455"/>
        <v>0</v>
      </c>
      <c r="AY34" s="26">
        <f t="shared" si="455"/>
        <v>0</v>
      </c>
      <c r="AZ34" s="26">
        <f t="shared" si="455"/>
        <v>0</v>
      </c>
      <c r="BA34" s="26">
        <f t="shared" si="455"/>
        <v>0</v>
      </c>
      <c r="BB34" s="26">
        <f t="shared" si="455"/>
        <v>0</v>
      </c>
      <c r="BC34" s="26">
        <f t="shared" si="455"/>
        <v>0</v>
      </c>
      <c r="BD34" s="26">
        <f t="shared" si="455"/>
        <v>0</v>
      </c>
      <c r="BE34" s="26">
        <f t="shared" si="455"/>
        <v>0</v>
      </c>
      <c r="BF34" s="26">
        <f t="shared" si="455"/>
        <v>0</v>
      </c>
      <c r="BG34" s="26">
        <f t="shared" si="455"/>
        <v>0</v>
      </c>
      <c r="BH34" s="26">
        <f t="shared" si="455"/>
        <v>0</v>
      </c>
      <c r="BI34" s="26">
        <f t="shared" si="455"/>
        <v>0</v>
      </c>
      <c r="BJ34" s="26">
        <f t="shared" si="455"/>
        <v>0</v>
      </c>
      <c r="BK34" s="26">
        <f t="shared" si="455"/>
        <v>0</v>
      </c>
      <c r="BL34" s="26">
        <f t="shared" si="455"/>
        <v>0</v>
      </c>
      <c r="BM34" s="26">
        <f t="shared" si="455"/>
        <v>0</v>
      </c>
      <c r="BN34" s="26">
        <f t="shared" si="455"/>
        <v>0</v>
      </c>
      <c r="BO34" s="26">
        <f t="shared" si="455"/>
        <v>0</v>
      </c>
      <c r="BP34" s="26">
        <f t="shared" si="455"/>
        <v>0</v>
      </c>
      <c r="BQ34" s="26">
        <f t="shared" si="455"/>
        <v>0</v>
      </c>
      <c r="BR34" s="26">
        <f t="shared" si="455"/>
        <v>0</v>
      </c>
      <c r="BS34" s="26">
        <f t="shared" si="455"/>
        <v>0</v>
      </c>
      <c r="BT34" s="26">
        <f t="shared" si="455"/>
        <v>0</v>
      </c>
      <c r="BU34" s="26">
        <f t="shared" si="455"/>
        <v>0</v>
      </c>
      <c r="BV34" s="26">
        <f t="shared" si="455"/>
        <v>0</v>
      </c>
      <c r="BW34" s="26">
        <f t="shared" si="455"/>
        <v>6.6390000000000002</v>
      </c>
      <c r="BX34" s="26">
        <f t="shared" si="455"/>
        <v>18.702999999999999</v>
      </c>
      <c r="BY34" s="26">
        <f t="shared" si="455"/>
        <v>14.508999999999974</v>
      </c>
      <c r="BZ34" s="26">
        <f t="shared" si="455"/>
        <v>27.083999999999996</v>
      </c>
      <c r="CA34" s="26">
        <f t="shared" si="455"/>
        <v>15.154999999999998</v>
      </c>
      <c r="CB34" s="26">
        <f t="shared" si="455"/>
        <v>17.389000000000053</v>
      </c>
      <c r="CC34" s="26">
        <f t="shared" si="455"/>
        <v>23.672999999999977</v>
      </c>
      <c r="CD34" s="26">
        <f t="shared" si="455"/>
        <v>30.042000000000026</v>
      </c>
      <c r="CE34" s="26">
        <f t="shared" ref="CE34:CF34" si="456">CE28-CE32</f>
        <v>12.313000000000001</v>
      </c>
      <c r="CF34" s="26">
        <f t="shared" si="456"/>
        <v>24.764000000000014</v>
      </c>
      <c r="CG34" s="26">
        <f t="shared" ref="CG34:CH34" si="457">CG28-CG32</f>
        <v>18.111999999999959</v>
      </c>
      <c r="CH34" s="26">
        <f t="shared" si="457"/>
        <v>46.938000000000017</v>
      </c>
      <c r="CI34" s="26">
        <f t="shared" ref="CI34:CJ34" si="458">CI28-CI32</f>
        <v>12.392000000000021</v>
      </c>
      <c r="CJ34" s="26">
        <f t="shared" si="458"/>
        <v>20.626999999999995</v>
      </c>
      <c r="CK34" s="26">
        <f t="shared" ref="CK34:CL34" si="459">CK28-CK32</f>
        <v>16.240999999999996</v>
      </c>
      <c r="CL34" s="26">
        <f t="shared" si="459"/>
        <v>32.178999999999988</v>
      </c>
      <c r="CM34" s="27">
        <f t="shared" ref="CM34:DB34" si="460">CM28-CM32</f>
        <v>11.71400404505779</v>
      </c>
      <c r="CN34" s="27">
        <f t="shared" si="460"/>
        <v>14.348232477778511</v>
      </c>
      <c r="CO34" s="27">
        <f t="shared" si="460"/>
        <v>14.291326459931854</v>
      </c>
      <c r="CP34" s="27">
        <f t="shared" si="460"/>
        <v>22.141717253613933</v>
      </c>
      <c r="CQ34" s="27">
        <f t="shared" si="460"/>
        <v>10.331700303991468</v>
      </c>
      <c r="CR34" s="27">
        <f t="shared" si="460"/>
        <v>11.756733440762908</v>
      </c>
      <c r="CS34" s="27">
        <f t="shared" si="460"/>
        <v>11.802323092601322</v>
      </c>
      <c r="CT34" s="27">
        <f t="shared" si="460"/>
        <v>17.683272181425934</v>
      </c>
      <c r="CU34" s="27">
        <f t="shared" si="460"/>
        <v>8.5657305137093935</v>
      </c>
      <c r="CV34" s="27">
        <f t="shared" si="460"/>
        <v>9.604250055292967</v>
      </c>
      <c r="CW34" s="27">
        <f t="shared" si="460"/>
        <v>9.6343148175269278</v>
      </c>
      <c r="CX34" s="27">
        <f t="shared" si="460"/>
        <v>14.399696263296093</v>
      </c>
      <c r="CY34" s="27">
        <f t="shared" si="460"/>
        <v>7.0150380270004735</v>
      </c>
      <c r="CZ34" s="27">
        <f t="shared" si="460"/>
        <v>7.8416086180853597</v>
      </c>
      <c r="DA34" s="27">
        <f t="shared" si="460"/>
        <v>7.8650782841685958</v>
      </c>
      <c r="DB34" s="27">
        <f t="shared" si="460"/>
        <v>11.755367438711993</v>
      </c>
      <c r="DE34" s="121"/>
      <c r="DF34" s="26">
        <v>81.439000000000149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10.714677200000001</v>
      </c>
      <c r="M35" s="23">
        <f>'Annual Raw'!N23</f>
        <v>13.321404599999999</v>
      </c>
      <c r="N35" s="23">
        <f>'Annual Raw'!O23</f>
        <v>15.0490604</v>
      </c>
      <c r="O35" s="23">
        <f>'Annual Raw'!P23</f>
        <v>0</v>
      </c>
      <c r="P35" s="23">
        <f>'Annual Raw'!Q23</f>
        <v>6.4337453</v>
      </c>
      <c r="Q35" s="23">
        <f>'Annual Raw'!R23</f>
        <v>2.6923767999999999</v>
      </c>
      <c r="R35" s="23">
        <f>'Annual Raw'!S23</f>
        <v>11.9268427</v>
      </c>
      <c r="S35" s="23">
        <f>'Annual Raw'!T23</f>
        <v>9.0624324000000005</v>
      </c>
      <c r="T35" s="23">
        <f>'Annual Raw'!U23</f>
        <v>3.4039999999999999</v>
      </c>
      <c r="U35" s="23">
        <f>'Annual Raw'!V23</f>
        <v>7.8250000000000002</v>
      </c>
      <c r="V35" s="23">
        <f>'Annual Raw'!W23</f>
        <v>8.8829999999999991</v>
      </c>
      <c r="W35" s="23">
        <f>'Annual Raw'!X23</f>
        <v>7.9509999999999996</v>
      </c>
      <c r="X35" s="23">
        <f>'Annual Raw'!Y23</f>
        <v>6.867</v>
      </c>
      <c r="Y35" s="23">
        <f>'Annual Raw'!Z23</f>
        <v>31.442</v>
      </c>
      <c r="Z35" s="23">
        <f>'Annual Raw'!AA23</f>
        <v>28.762</v>
      </c>
      <c r="AA35" s="23">
        <f>'Annual Raw'!AB23</f>
        <v>39.686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8.484</v>
      </c>
      <c r="BX35" s="23">
        <f>'QTR Raw'!AR23</f>
        <v>-0.67600000000000005</v>
      </c>
      <c r="BY35" s="23">
        <f>'QTR Raw'!AS23</f>
        <v>1.222</v>
      </c>
      <c r="BZ35" s="23">
        <f>'QTR Raw'!AT23</f>
        <v>-1.2889999999999999</v>
      </c>
      <c r="CA35" s="23">
        <f>'QTR Raw'!AU23</f>
        <v>0.91200000000000003</v>
      </c>
      <c r="CB35" s="23">
        <f>'QTR Raw'!AV23</f>
        <v>9.9610000000000003</v>
      </c>
      <c r="CC35" s="23">
        <f>'QTR Raw'!AW23</f>
        <v>9.32</v>
      </c>
      <c r="CD35" s="23">
        <f>'QTR Raw'!AX23</f>
        <v>10.074</v>
      </c>
      <c r="CE35" s="23">
        <f>'QTR Raw'!AY23</f>
        <v>9.8759999999999994</v>
      </c>
      <c r="CF35" s="23">
        <f>'QTR Raw'!AZ23</f>
        <v>7.0990000000000002</v>
      </c>
      <c r="CG35" s="23">
        <f>'QTR Raw'!BA23</f>
        <v>6.85</v>
      </c>
      <c r="CH35" s="23">
        <f>'QTR Raw'!BB23</f>
        <v>3.3170000000000002</v>
      </c>
      <c r="CI35" s="23">
        <f>'QTR Raw'!BC23</f>
        <v>6.3250000000000002</v>
      </c>
      <c r="CJ35" s="23">
        <f>'QTR Raw'!BD23</f>
        <v>22.661000000000001</v>
      </c>
      <c r="CK35" s="23">
        <f>'QTR Raw'!BE23</f>
        <v>4.7709999999999999</v>
      </c>
      <c r="CL35" s="23">
        <f>'QTR Raw'!BF23</f>
        <v>5.1340000000000003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38.890999999999998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3.7292936000000001</v>
      </c>
      <c r="M36" s="23">
        <f>'Annual Raw'!N25</f>
        <v>4.8090956</v>
      </c>
      <c r="N36" s="23">
        <f>'Annual Raw'!O25</f>
        <v>5.0228600999999999</v>
      </c>
      <c r="O36" s="23">
        <f>'Annual Raw'!P25</f>
        <v>7.2674801000000002</v>
      </c>
      <c r="P36" s="23">
        <f>'Annual Raw'!Q25</f>
        <v>10.788753</v>
      </c>
      <c r="Q36" s="23">
        <f>'Annual Raw'!R25</f>
        <v>13.104795599999999</v>
      </c>
      <c r="R36" s="23">
        <f>'Annual Raw'!S25</f>
        <v>10.834354100000001</v>
      </c>
      <c r="S36" s="23">
        <f>'Annual Raw'!T25</f>
        <v>10.823828000000001</v>
      </c>
      <c r="T36" s="23">
        <f>'Annual Raw'!U25</f>
        <v>14.064</v>
      </c>
      <c r="U36" s="23">
        <f>'Annual Raw'!V25</f>
        <v>18.193999999999999</v>
      </c>
      <c r="V36" s="23">
        <f>'Annual Raw'!W25</f>
        <v>20.77</v>
      </c>
      <c r="W36" s="23">
        <f>'Annual Raw'!X25</f>
        <v>21.975000000000001</v>
      </c>
      <c r="X36" s="23">
        <f>'Annual Raw'!Y25</f>
        <v>31.515999999999998</v>
      </c>
      <c r="Y36" s="23">
        <f>'Annual Raw'!Z25</f>
        <v>34.387</v>
      </c>
      <c r="Z36" s="23">
        <f>'Annual Raw'!AA25</f>
        <v>37.545000000000002</v>
      </c>
      <c r="AA36" s="23">
        <f>'Annual Raw'!AB25</f>
        <v>27.169</v>
      </c>
      <c r="AB36" s="76">
        <f t="shared" si="461"/>
        <v>2.5910154385649005</v>
      </c>
      <c r="AC36" s="76">
        <f t="shared" si="462"/>
        <v>4.4235020104677663</v>
      </c>
      <c r="AD36" s="76">
        <f t="shared" si="463"/>
        <v>5.9165143182404485</v>
      </c>
      <c r="AE36" s="76">
        <f t="shared" si="464"/>
        <v>7.1189289343537325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6.65</v>
      </c>
      <c r="BX36" s="23">
        <f>'QTR Raw'!AR25</f>
        <v>7.83</v>
      </c>
      <c r="BY36" s="23">
        <f>'QTR Raw'!AS25</f>
        <v>8.4629999999999992</v>
      </c>
      <c r="BZ36" s="23">
        <f>'QTR Raw'!AT25</f>
        <v>8.5730000000000004</v>
      </c>
      <c r="CA36" s="23">
        <f>'QTR Raw'!AU25</f>
        <v>9.08</v>
      </c>
      <c r="CB36" s="23">
        <f>'QTR Raw'!AV25</f>
        <v>7.5880000000000001</v>
      </c>
      <c r="CC36" s="23">
        <f>'QTR Raw'!AW25</f>
        <v>8.2989999999999995</v>
      </c>
      <c r="CD36" s="23">
        <f>'QTR Raw'!AX25</f>
        <v>9.42</v>
      </c>
      <c r="CE36" s="23">
        <f>'QTR Raw'!AY25</f>
        <v>8.0299999999999994</v>
      </c>
      <c r="CF36" s="23">
        <f>'QTR Raw'!AZ25</f>
        <v>10.972</v>
      </c>
      <c r="CG36" s="23">
        <f>'QTR Raw'!BA25</f>
        <v>9.9529999999999994</v>
      </c>
      <c r="CH36" s="23">
        <f>'QTR Raw'!BB25</f>
        <v>8.59</v>
      </c>
      <c r="CI36" s="23">
        <f>'QTR Raw'!BC25</f>
        <v>8.6159999999999997</v>
      </c>
      <c r="CJ36" s="23">
        <f>'QTR Raw'!BD25</f>
        <v>6.8109999999999999</v>
      </c>
      <c r="CK36" s="23">
        <f>'QTR Raw'!BE25</f>
        <v>6.1050000000000004</v>
      </c>
      <c r="CL36" s="23">
        <f>'QTR Raw'!BF25</f>
        <v>5.6369999999999996</v>
      </c>
      <c r="CM36" s="24">
        <f t="shared" ref="CM36:DB36" si="465">CM37*CL168</f>
        <v>0.10847919233961822</v>
      </c>
      <c r="CN36" s="24">
        <f t="shared" si="465"/>
        <v>0.79931811258222552</v>
      </c>
      <c r="CO36" s="24">
        <f t="shared" si="465"/>
        <v>0.79925002072397766</v>
      </c>
      <c r="CP36" s="24">
        <f t="shared" si="465"/>
        <v>0.88396811291907906</v>
      </c>
      <c r="CQ36" s="24">
        <f t="shared" si="465"/>
        <v>0.64953073906528747</v>
      </c>
      <c r="CR36" s="24">
        <f t="shared" si="465"/>
        <v>1.2310422926562499</v>
      </c>
      <c r="CS36" s="24">
        <f t="shared" si="465"/>
        <v>1.2392019056225339</v>
      </c>
      <c r="CT36" s="24">
        <f t="shared" si="465"/>
        <v>1.303727073123695</v>
      </c>
      <c r="CU36" s="24">
        <f t="shared" si="465"/>
        <v>1.1052819701239118</v>
      </c>
      <c r="CV36" s="24">
        <f t="shared" si="465"/>
        <v>1.5826573593679258</v>
      </c>
      <c r="CW36" s="24">
        <f t="shared" si="465"/>
        <v>1.5889837530293602</v>
      </c>
      <c r="CX36" s="24">
        <f t="shared" si="465"/>
        <v>1.6395912357192501</v>
      </c>
      <c r="CY36" s="24">
        <f t="shared" si="465"/>
        <v>1.4758524105346367</v>
      </c>
      <c r="CZ36" s="24">
        <f t="shared" si="465"/>
        <v>1.8650308049482101</v>
      </c>
      <c r="DA36" s="24">
        <f t="shared" si="465"/>
        <v>1.8690309966092289</v>
      </c>
      <c r="DB36" s="24">
        <f t="shared" si="465"/>
        <v>1.9090147222616574</v>
      </c>
      <c r="DE36" s="123"/>
      <c r="DF36" s="23">
        <v>27.169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>
        <f t="shared" si="467"/>
        <v>9.7382731899729513E-2</v>
      </c>
      <c r="M37" s="46">
        <f t="shared" si="467"/>
        <v>0.11308657338071265</v>
      </c>
      <c r="N37" s="46">
        <f t="shared" si="467"/>
        <v>0.10565116498577354</v>
      </c>
      <c r="O37" s="46">
        <f t="shared" si="467"/>
        <v>9.0167961305956459E-2</v>
      </c>
      <c r="P37" s="46">
        <f t="shared" si="467"/>
        <v>0.11579375158318496</v>
      </c>
      <c r="Q37" s="46">
        <f t="shared" si="467"/>
        <v>0.10536028949899108</v>
      </c>
      <c r="R37" s="46">
        <f t="shared" si="467"/>
        <v>8.9750584691161914E-2</v>
      </c>
      <c r="S37" s="46">
        <f t="shared" si="467"/>
        <v>7.17883373088824E-2</v>
      </c>
      <c r="T37" s="46">
        <f t="shared" si="467"/>
        <v>8.7706497539802822E-2</v>
      </c>
      <c r="U37" s="46">
        <f t="shared" si="467"/>
        <v>6.9609864904675731E-2</v>
      </c>
      <c r="V37" s="46">
        <f t="shared" si="467"/>
        <v>8.8849913374542816E-2</v>
      </c>
      <c r="W37" s="46">
        <f t="shared" si="467"/>
        <v>7.4950629789933595E-2</v>
      </c>
      <c r="X37" s="46">
        <f t="shared" si="467"/>
        <v>0.10021814204035946</v>
      </c>
      <c r="Y37" s="46">
        <f t="shared" si="467"/>
        <v>0.25745902682629174</v>
      </c>
      <c r="Z37" s="46">
        <f t="shared" si="467"/>
        <v>0.1540269777974696</v>
      </c>
      <c r="AA37" s="46">
        <f t="shared" ref="AA37" si="468">+AA36/AA128</f>
        <v>0.25600942285041223</v>
      </c>
      <c r="AB37" s="110">
        <f t="shared" si="467"/>
        <v>2.4414750893426623E-2</v>
      </c>
      <c r="AC37" s="110">
        <f t="shared" si="467"/>
        <v>4.1681997742923589E-2</v>
      </c>
      <c r="AD37" s="110">
        <f t="shared" si="467"/>
        <v>5.5750429382713296E-2</v>
      </c>
      <c r="AE37" s="110">
        <f t="shared" si="467"/>
        <v>6.7080602443851431E-2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 t="e">
        <f t="shared" si="469"/>
        <v>#DIV/0!</v>
      </c>
      <c r="AM37" s="46" t="e">
        <f t="shared" si="469"/>
        <v>#DIV/0!</v>
      </c>
      <c r="AN37" s="46" t="e">
        <f t="shared" si="469"/>
        <v>#DIV/0!</v>
      </c>
      <c r="AO37" s="46" t="e">
        <f t="shared" si="469"/>
        <v>#DIV/0!</v>
      </c>
      <c r="AP37" s="46" t="e">
        <f t="shared" si="469"/>
        <v>#DIV/0!</v>
      </c>
      <c r="AQ37" s="46" t="e">
        <f t="shared" si="469"/>
        <v>#DIV/0!</v>
      </c>
      <c r="AR37" s="46" t="e">
        <f t="shared" si="469"/>
        <v>#DIV/0!</v>
      </c>
      <c r="AS37" s="46" t="e">
        <f t="shared" si="469"/>
        <v>#DIV/0!</v>
      </c>
      <c r="AT37" s="46" t="e">
        <f t="shared" si="469"/>
        <v>#DIV/0!</v>
      </c>
      <c r="AU37" s="46" t="e">
        <f t="shared" si="469"/>
        <v>#DIV/0!</v>
      </c>
      <c r="AV37" s="46" t="e">
        <f t="shared" si="469"/>
        <v>#DIV/0!</v>
      </c>
      <c r="AW37" s="46" t="e">
        <f t="shared" si="469"/>
        <v>#DIV/0!</v>
      </c>
      <c r="AX37" s="46" t="e">
        <f t="shared" si="469"/>
        <v>#DIV/0!</v>
      </c>
      <c r="AY37" s="46" t="e">
        <f t="shared" si="469"/>
        <v>#DIV/0!</v>
      </c>
      <c r="AZ37" s="46" t="e">
        <f t="shared" si="469"/>
        <v>#DIV/0!</v>
      </c>
      <c r="BA37" s="46" t="e">
        <f t="shared" si="469"/>
        <v>#DIV/0!</v>
      </c>
      <c r="BB37" s="46" t="e">
        <f t="shared" si="469"/>
        <v>#DIV/0!</v>
      </c>
      <c r="BC37" s="46" t="e">
        <f t="shared" si="469"/>
        <v>#DIV/0!</v>
      </c>
      <c r="BD37" s="46" t="e">
        <f t="shared" si="469"/>
        <v>#DIV/0!</v>
      </c>
      <c r="BE37" s="46" t="e">
        <f t="shared" si="469"/>
        <v>#DIV/0!</v>
      </c>
      <c r="BF37" s="46" t="e">
        <f t="shared" si="469"/>
        <v>#DIV/0!</v>
      </c>
      <c r="BG37" s="46" t="e">
        <f t="shared" si="469"/>
        <v>#DIV/0!</v>
      </c>
      <c r="BH37" s="46" t="e">
        <f t="shared" si="469"/>
        <v>#DIV/0!</v>
      </c>
      <c r="BI37" s="46" t="e">
        <f t="shared" si="469"/>
        <v>#DIV/0!</v>
      </c>
      <c r="BJ37" s="46" t="e">
        <f t="shared" si="469"/>
        <v>#DIV/0!</v>
      </c>
      <c r="BK37" s="46" t="e">
        <f t="shared" si="469"/>
        <v>#DIV/0!</v>
      </c>
      <c r="BL37" s="46" t="e">
        <f t="shared" si="469"/>
        <v>#DIV/0!</v>
      </c>
      <c r="BM37" s="46" t="e">
        <f t="shared" si="469"/>
        <v>#DIV/0!</v>
      </c>
      <c r="BN37" s="46" t="e">
        <f t="shared" si="469"/>
        <v>#DIV/0!</v>
      </c>
      <c r="BO37" s="46" t="e">
        <f t="shared" ref="BO37:CL37" si="470">(BO36-BO35)/BN168</f>
        <v>#DIV/0!</v>
      </c>
      <c r="BP37" s="46" t="e">
        <f t="shared" si="470"/>
        <v>#DIV/0!</v>
      </c>
      <c r="BQ37" s="46" t="e">
        <f t="shared" si="470"/>
        <v>#DIV/0!</v>
      </c>
      <c r="BR37" s="46" t="e">
        <f t="shared" si="470"/>
        <v>#DIV/0!</v>
      </c>
      <c r="BS37" s="46" t="e">
        <f t="shared" si="470"/>
        <v>#DIV/0!</v>
      </c>
      <c r="BT37" s="46" t="e">
        <f t="shared" si="470"/>
        <v>#DIV/0!</v>
      </c>
      <c r="BU37" s="46" t="e">
        <f t="shared" si="470"/>
        <v>#DIV/0!</v>
      </c>
      <c r="BV37" s="46" t="e">
        <f t="shared" si="470"/>
        <v>#DIV/0!</v>
      </c>
      <c r="BW37" s="46" t="e">
        <f t="shared" si="470"/>
        <v>#DIV/0!</v>
      </c>
      <c r="BX37" s="46" t="e">
        <f t="shared" si="470"/>
        <v>#DIV/0!</v>
      </c>
      <c r="BY37" s="46" t="e">
        <f t="shared" si="470"/>
        <v>#DIV/0!</v>
      </c>
      <c r="BZ37" s="46">
        <f t="shared" si="470"/>
        <v>-1.7247289261979795</v>
      </c>
      <c r="CA37" s="46">
        <f t="shared" si="470"/>
        <v>5.5612672172557241E-2</v>
      </c>
      <c r="CB37" s="46">
        <f t="shared" si="470"/>
        <v>-3.1205649942712459E-2</v>
      </c>
      <c r="CC37" s="46">
        <f t="shared" si="470"/>
        <v>3.1975997644862887E-3</v>
      </c>
      <c r="CD37" s="46">
        <f t="shared" si="470"/>
        <v>2.2457270315779619E-3</v>
      </c>
      <c r="CE37" s="46">
        <f t="shared" si="470"/>
        <v>4.5803723847711308E-3</v>
      </c>
      <c r="CF37" s="46">
        <f t="shared" si="470"/>
        <v>-7.3885744991614693E-3</v>
      </c>
      <c r="CG37" s="46">
        <f t="shared" si="470"/>
        <v>-1.8194824765601636E-2</v>
      </c>
      <c r="CH37" s="46">
        <f t="shared" si="470"/>
        <v>-5.3812602653163948E-2</v>
      </c>
      <c r="CI37" s="46">
        <f t="shared" si="470"/>
        <v>-5.2037432426293564E-2</v>
      </c>
      <c r="CJ37" s="46">
        <f t="shared" si="470"/>
        <v>6.5293350741411973E-2</v>
      </c>
      <c r="CK37" s="46">
        <f t="shared" si="470"/>
        <v>-8.9094892070955365E-3</v>
      </c>
      <c r="CL37" s="46">
        <f t="shared" si="470"/>
        <v>-2.7341951440357452E-3</v>
      </c>
      <c r="CM37" s="47">
        <f t="shared" ref="CM37" si="471">+CL37</f>
        <v>-2.7341951440357452E-3</v>
      </c>
      <c r="CN37" s="47">
        <f t="shared" ref="CN37" si="472">+CM37</f>
        <v>-2.7341951440357452E-3</v>
      </c>
      <c r="CO37" s="47">
        <f t="shared" ref="CO37" si="473">+CN37</f>
        <v>-2.7341951440357452E-3</v>
      </c>
      <c r="CP37" s="47">
        <f t="shared" ref="CP37" si="474">+CO37</f>
        <v>-2.7341951440357452E-3</v>
      </c>
      <c r="CQ37" s="47">
        <f t="shared" ref="CQ37" si="475">+CP37</f>
        <v>-2.7341951440357452E-3</v>
      </c>
      <c r="CR37" s="47">
        <f t="shared" ref="CR37" si="476">+CQ37</f>
        <v>-2.7341951440357452E-3</v>
      </c>
      <c r="CS37" s="47">
        <f t="shared" ref="CS37" si="477">+CR37</f>
        <v>-2.7341951440357452E-3</v>
      </c>
      <c r="CT37" s="47">
        <f t="shared" ref="CT37" si="478">+CS37</f>
        <v>-2.7341951440357452E-3</v>
      </c>
      <c r="CU37" s="47">
        <f t="shared" ref="CU37" si="479">+CT37</f>
        <v>-2.7341951440357452E-3</v>
      </c>
      <c r="CV37" s="47">
        <f t="shared" ref="CV37" si="480">+CU37</f>
        <v>-2.7341951440357452E-3</v>
      </c>
      <c r="CW37" s="47">
        <f t="shared" ref="CW37" si="481">+CV37</f>
        <v>-2.7341951440357452E-3</v>
      </c>
      <c r="CX37" s="47">
        <f t="shared" ref="CX37" si="482">+CW37</f>
        <v>-2.7341951440357452E-3</v>
      </c>
      <c r="CY37" s="47">
        <f t="shared" ref="CY37" si="483">+CX37</f>
        <v>-2.7341951440357452E-3</v>
      </c>
      <c r="CZ37" s="47">
        <f t="shared" ref="CZ37" si="484">+CY37</f>
        <v>-2.7341951440357452E-3</v>
      </c>
      <c r="DA37" s="47">
        <f t="shared" ref="DA37" si="485">+CZ37</f>
        <v>-2.7341951440357452E-3</v>
      </c>
      <c r="DB37" s="47">
        <f t="shared" ref="DB37" si="486">+DA37</f>
        <v>-2.7341951440357452E-3</v>
      </c>
      <c r="DE37" s="130"/>
      <c r="DF37" s="46">
        <v>0.25600942285041223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0</v>
      </c>
      <c r="K38" s="26">
        <f t="shared" si="487"/>
        <v>0</v>
      </c>
      <c r="L38" s="26">
        <f t="shared" si="487"/>
        <v>3.4259695000000008</v>
      </c>
      <c r="M38" s="26">
        <f t="shared" si="487"/>
        <v>4.1452020000000003</v>
      </c>
      <c r="N38" s="26">
        <f t="shared" si="487"/>
        <v>5.0267934999999992</v>
      </c>
      <c r="O38" s="26">
        <f t="shared" si="487"/>
        <v>32.833494700000003</v>
      </c>
      <c r="P38" s="26">
        <f t="shared" si="487"/>
        <v>29.364255200000031</v>
      </c>
      <c r="Q38" s="26">
        <f t="shared" si="487"/>
        <v>0.4516301999999861</v>
      </c>
      <c r="R38" s="26">
        <f t="shared" si="487"/>
        <v>1.8126680000000039</v>
      </c>
      <c r="S38" s="26">
        <f t="shared" si="487"/>
        <v>-6.2028997000000139</v>
      </c>
      <c r="T38" s="26">
        <f t="shared" si="487"/>
        <v>-1.3819999999999961</v>
      </c>
      <c r="U38" s="26">
        <f t="shared" ref="U38:Z38" si="488">U34+U35-U36</f>
        <v>-7.2159999999999727</v>
      </c>
      <c r="V38" s="26">
        <f t="shared" si="488"/>
        <v>15.595000000000031</v>
      </c>
      <c r="W38" s="26">
        <f t="shared" si="488"/>
        <v>50.730000000000011</v>
      </c>
      <c r="X38" s="26">
        <f t="shared" si="488"/>
        <v>43.159999999999975</v>
      </c>
      <c r="Y38" s="26">
        <f t="shared" si="488"/>
        <v>82.139000000000067</v>
      </c>
      <c r="Z38" s="26">
        <f t="shared" si="488"/>
        <v>91.724000000000061</v>
      </c>
      <c r="AA38" s="26">
        <f t="shared" ref="AA38" si="489">AA34+AA35-AA36</f>
        <v>93.160999999999902</v>
      </c>
      <c r="AB38" s="27">
        <f t="shared" ref="AB38:AD38" si="490">AB34+AB35-AB36</f>
        <v>59.904264797817341</v>
      </c>
      <c r="AC38" s="27">
        <f t="shared" si="490"/>
        <v>47.150527008313908</v>
      </c>
      <c r="AD38" s="27">
        <f t="shared" si="490"/>
        <v>36.28747733158508</v>
      </c>
      <c r="AE38" s="27">
        <f t="shared" ref="AE38" si="491">AE34+AE35-AE36</f>
        <v>27.358163433612646</v>
      </c>
      <c r="AI38" s="26">
        <f>AI34+AI35-AI36</f>
        <v>0</v>
      </c>
      <c r="AJ38" s="26">
        <f t="shared" ref="AJ38" si="492">AJ34+AJ35-AJ36</f>
        <v>0</v>
      </c>
      <c r="AK38" s="26">
        <f t="shared" ref="AK38:AM38" si="493">AK34+AK35-AK36</f>
        <v>0</v>
      </c>
      <c r="AL38" s="26">
        <f t="shared" si="493"/>
        <v>0</v>
      </c>
      <c r="AM38" s="26">
        <f t="shared" si="493"/>
        <v>0</v>
      </c>
      <c r="AN38" s="26">
        <f t="shared" ref="AN38:AO38" si="494">AN34+AN35-AN36</f>
        <v>0</v>
      </c>
      <c r="AO38" s="26">
        <f t="shared" si="494"/>
        <v>0</v>
      </c>
      <c r="AP38" s="26">
        <f t="shared" ref="AP38:CD38" si="495">AP34+AP35-AP36</f>
        <v>0</v>
      </c>
      <c r="AQ38" s="26">
        <f t="shared" si="495"/>
        <v>0</v>
      </c>
      <c r="AR38" s="26">
        <f t="shared" si="495"/>
        <v>0</v>
      </c>
      <c r="AS38" s="26">
        <f t="shared" si="495"/>
        <v>0</v>
      </c>
      <c r="AT38" s="26">
        <f t="shared" si="495"/>
        <v>0</v>
      </c>
      <c r="AU38" s="26">
        <f t="shared" si="495"/>
        <v>0</v>
      </c>
      <c r="AV38" s="26">
        <f t="shared" si="495"/>
        <v>0</v>
      </c>
      <c r="AW38" s="26">
        <f t="shared" si="495"/>
        <v>0</v>
      </c>
      <c r="AX38" s="26">
        <f t="shared" si="495"/>
        <v>0</v>
      </c>
      <c r="AY38" s="26">
        <f t="shared" si="495"/>
        <v>0</v>
      </c>
      <c r="AZ38" s="26">
        <f t="shared" si="495"/>
        <v>0</v>
      </c>
      <c r="BA38" s="26">
        <f t="shared" si="495"/>
        <v>0</v>
      </c>
      <c r="BB38" s="26">
        <f t="shared" si="495"/>
        <v>0</v>
      </c>
      <c r="BC38" s="26">
        <f t="shared" si="495"/>
        <v>0</v>
      </c>
      <c r="BD38" s="26">
        <f t="shared" si="495"/>
        <v>0</v>
      </c>
      <c r="BE38" s="26">
        <f t="shared" si="495"/>
        <v>0</v>
      </c>
      <c r="BF38" s="26">
        <f t="shared" si="495"/>
        <v>0</v>
      </c>
      <c r="BG38" s="26">
        <f t="shared" si="495"/>
        <v>0</v>
      </c>
      <c r="BH38" s="26">
        <f t="shared" si="495"/>
        <v>0</v>
      </c>
      <c r="BI38" s="26">
        <f t="shared" si="495"/>
        <v>0</v>
      </c>
      <c r="BJ38" s="26">
        <f t="shared" si="495"/>
        <v>0</v>
      </c>
      <c r="BK38" s="26">
        <f t="shared" si="495"/>
        <v>0</v>
      </c>
      <c r="BL38" s="26">
        <f t="shared" si="495"/>
        <v>0</v>
      </c>
      <c r="BM38" s="26">
        <f t="shared" si="495"/>
        <v>0</v>
      </c>
      <c r="BN38" s="26">
        <f t="shared" si="495"/>
        <v>0</v>
      </c>
      <c r="BO38" s="26">
        <f t="shared" si="495"/>
        <v>0</v>
      </c>
      <c r="BP38" s="26">
        <f t="shared" si="495"/>
        <v>0</v>
      </c>
      <c r="BQ38" s="26">
        <f t="shared" si="495"/>
        <v>0</v>
      </c>
      <c r="BR38" s="26">
        <f t="shared" si="495"/>
        <v>0</v>
      </c>
      <c r="BS38" s="26">
        <f t="shared" si="495"/>
        <v>0</v>
      </c>
      <c r="BT38" s="26">
        <f t="shared" si="495"/>
        <v>0</v>
      </c>
      <c r="BU38" s="26">
        <f t="shared" si="495"/>
        <v>0</v>
      </c>
      <c r="BV38" s="26">
        <f t="shared" si="495"/>
        <v>0</v>
      </c>
      <c r="BW38" s="26">
        <f t="shared" si="495"/>
        <v>8.4730000000000008</v>
      </c>
      <c r="BX38" s="26">
        <f t="shared" si="495"/>
        <v>10.197000000000001</v>
      </c>
      <c r="BY38" s="26">
        <f t="shared" si="495"/>
        <v>7.267999999999974</v>
      </c>
      <c r="BZ38" s="26">
        <f t="shared" si="495"/>
        <v>17.221999999999994</v>
      </c>
      <c r="CA38" s="26">
        <f t="shared" si="495"/>
        <v>6.9869999999999965</v>
      </c>
      <c r="CB38" s="26">
        <f t="shared" si="495"/>
        <v>19.76200000000005</v>
      </c>
      <c r="CC38" s="26">
        <f t="shared" si="495"/>
        <v>24.693999999999981</v>
      </c>
      <c r="CD38" s="26">
        <f t="shared" si="495"/>
        <v>30.696000000000026</v>
      </c>
      <c r="CE38" s="26">
        <f t="shared" ref="CE38:CF38" si="496">CE34+CE35-CE36</f>
        <v>14.159000000000001</v>
      </c>
      <c r="CF38" s="26">
        <f t="shared" si="496"/>
        <v>20.891000000000012</v>
      </c>
      <c r="CG38" s="26">
        <f t="shared" ref="CG38:CH38" si="497">CG34+CG35-CG36</f>
        <v>15.008999999999961</v>
      </c>
      <c r="CH38" s="26">
        <f t="shared" si="497"/>
        <v>41.66500000000002</v>
      </c>
      <c r="CI38" s="26">
        <f t="shared" ref="CI38:CJ38" si="498">CI34+CI35-CI36</f>
        <v>10.10100000000002</v>
      </c>
      <c r="CJ38" s="26">
        <f t="shared" si="498"/>
        <v>36.476999999999997</v>
      </c>
      <c r="CK38" s="26">
        <f t="shared" ref="CK38:CL38" si="499">CK34+CK35-CK36</f>
        <v>14.906999999999996</v>
      </c>
      <c r="CL38" s="26">
        <f t="shared" si="499"/>
        <v>31.675999999999988</v>
      </c>
      <c r="CM38" s="27">
        <f t="shared" ref="CM38:DB38" si="500">CM34+CM35-CM36</f>
        <v>11.605524852718171</v>
      </c>
      <c r="CN38" s="27">
        <f t="shared" si="500"/>
        <v>13.548914365196286</v>
      </c>
      <c r="CO38" s="27">
        <f t="shared" si="500"/>
        <v>13.492076439207876</v>
      </c>
      <c r="CP38" s="27">
        <f t="shared" si="500"/>
        <v>21.257749140694855</v>
      </c>
      <c r="CQ38" s="27">
        <f t="shared" si="500"/>
        <v>9.6821695649261805</v>
      </c>
      <c r="CR38" s="27">
        <f t="shared" si="500"/>
        <v>10.525691148106658</v>
      </c>
      <c r="CS38" s="27">
        <f t="shared" si="500"/>
        <v>10.563121186978787</v>
      </c>
      <c r="CT38" s="27">
        <f t="shared" si="500"/>
        <v>16.379545108302239</v>
      </c>
      <c r="CU38" s="27">
        <f t="shared" si="500"/>
        <v>7.4604485435854819</v>
      </c>
      <c r="CV38" s="27">
        <f t="shared" si="500"/>
        <v>8.0215926959250403</v>
      </c>
      <c r="CW38" s="27">
        <f t="shared" si="500"/>
        <v>8.0453310644975673</v>
      </c>
      <c r="CX38" s="27">
        <f t="shared" si="500"/>
        <v>12.760105027576843</v>
      </c>
      <c r="CY38" s="27">
        <f t="shared" si="500"/>
        <v>5.5391856164658364</v>
      </c>
      <c r="CZ38" s="27">
        <f t="shared" si="500"/>
        <v>5.9765778131371494</v>
      </c>
      <c r="DA38" s="27">
        <f t="shared" si="500"/>
        <v>5.9960472875593673</v>
      </c>
      <c r="DB38" s="27">
        <f t="shared" si="500"/>
        <v>9.8463527164503351</v>
      </c>
      <c r="DE38" s="121"/>
      <c r="DF38" s="26">
        <v>93.161000000000158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11.427471199999999</v>
      </c>
      <c r="P39" s="23">
        <f>'Annual Raw'!Q30</f>
        <v>8.6642966999999995</v>
      </c>
      <c r="Q39" s="23">
        <f>'Annual Raw'!R30</f>
        <v>-3.3043450000000001</v>
      </c>
      <c r="R39" s="23">
        <f>'Annual Raw'!S30</f>
        <v>1.2221491</v>
      </c>
      <c r="S39" s="23">
        <f>'Annual Raw'!T30</f>
        <v>-2.3588532</v>
      </c>
      <c r="T39" s="23">
        <f>'Annual Raw'!U30</f>
        <v>-0.44900000000000001</v>
      </c>
      <c r="U39" s="23">
        <f>'Annual Raw'!V30</f>
        <v>-0.51200000000000001</v>
      </c>
      <c r="V39" s="23">
        <f>'Annual Raw'!W30</f>
        <v>3.7810000000000001</v>
      </c>
      <c r="W39" s="23">
        <f>'Annual Raw'!X30</f>
        <v>10.935</v>
      </c>
      <c r="X39" s="23">
        <f>'Annual Raw'!Y30</f>
        <v>11.433</v>
      </c>
      <c r="Y39" s="23">
        <f>'Annual Raw'!Z30</f>
        <v>20.943000000000001</v>
      </c>
      <c r="Z39" s="23">
        <f>'Annual Raw'!AA30</f>
        <v>23.648</v>
      </c>
      <c r="AA39" s="23">
        <f>'Annual Raw'!AB30</f>
        <v>19.879000000000001</v>
      </c>
      <c r="AB39" s="24">
        <f>+SUM(CM39:CP39)</f>
        <v>14.261792388524521</v>
      </c>
      <c r="AC39" s="24">
        <f>+SUM(CQ39:CT39)</f>
        <v>11.305378459898208</v>
      </c>
      <c r="AD39" s="24">
        <f>+SUM(CU39:CX39)</f>
        <v>8.7197187885927736</v>
      </c>
      <c r="AE39" s="24">
        <f>+SUM(CY39:DB39)</f>
        <v>6.5770164271535281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2.1509999999999998</v>
      </c>
      <c r="BX39" s="23">
        <f>'QTR Raw'!AR29</f>
        <v>3.097</v>
      </c>
      <c r="BY39" s="23">
        <f>'QTR Raw'!AS29</f>
        <v>1.55</v>
      </c>
      <c r="BZ39" s="23">
        <f>'QTR Raw'!AT29</f>
        <v>4.6349999999999998</v>
      </c>
      <c r="CA39" s="23">
        <f>'QTR Raw'!AU29</f>
        <v>1.6279999999999999</v>
      </c>
      <c r="CB39" s="23">
        <f>'QTR Raw'!AV29</f>
        <v>5.109</v>
      </c>
      <c r="CC39" s="23">
        <f>'QTR Raw'!AW29</f>
        <v>6.2539999999999996</v>
      </c>
      <c r="CD39" s="23">
        <f>'QTR Raw'!AX29</f>
        <v>7.952</v>
      </c>
      <c r="CE39" s="23">
        <f>'QTR Raw'!AY29</f>
        <v>3.5630000000000002</v>
      </c>
      <c r="CF39" s="23">
        <f>'QTR Raw'!AZ29</f>
        <v>5.4370000000000003</v>
      </c>
      <c r="CG39" s="23">
        <f>'QTR Raw'!BA29</f>
        <v>4.0179999999999998</v>
      </c>
      <c r="CH39" s="23">
        <f>'QTR Raw'!BB29</f>
        <v>10.63</v>
      </c>
      <c r="CI39" s="23">
        <f>'QTR Raw'!BC29</f>
        <v>2.6379999999999999</v>
      </c>
      <c r="CJ39" s="23">
        <f>'QTR Raw'!BD29</f>
        <v>4.3319999999999999</v>
      </c>
      <c r="CK39" s="23">
        <f>'QTR Raw'!BE29</f>
        <v>3.6739999999999999</v>
      </c>
      <c r="CL39" s="23">
        <f>'QTR Raw'!BF29</f>
        <v>9.2349999999999994</v>
      </c>
      <c r="CM39" s="24">
        <f t="shared" ref="CM39:DB39" si="501">+CM38*CM40</f>
        <v>2.6632621624131101</v>
      </c>
      <c r="CN39" s="24">
        <f t="shared" si="501"/>
        <v>3.0019282157593312</v>
      </c>
      <c r="CO39" s="24">
        <f t="shared" si="501"/>
        <v>3.3360898832181149</v>
      </c>
      <c r="CP39" s="24">
        <f t="shared" si="501"/>
        <v>5.2605121271339641</v>
      </c>
      <c r="CQ39" s="24">
        <f t="shared" si="501"/>
        <v>2.2892780792496792</v>
      </c>
      <c r="CR39" s="24">
        <f t="shared" si="501"/>
        <v>2.5070383555614755</v>
      </c>
      <c r="CS39" s="24">
        <f t="shared" si="501"/>
        <v>2.5598446569919107</v>
      </c>
      <c r="CT39" s="24">
        <f t="shared" si="501"/>
        <v>3.949217368095141</v>
      </c>
      <c r="CU39" s="24">
        <f t="shared" si="501"/>
        <v>1.7869080131604338</v>
      </c>
      <c r="CV39" s="24">
        <f t="shared" si="501"/>
        <v>1.9274781145708331</v>
      </c>
      <c r="CW39" s="24">
        <f t="shared" si="501"/>
        <v>1.9374128212641606</v>
      </c>
      <c r="CX39" s="24">
        <f t="shared" si="501"/>
        <v>3.0679198395973457</v>
      </c>
      <c r="CY39" s="24">
        <f t="shared" si="501"/>
        <v>1.3308535911433752</v>
      </c>
      <c r="CZ39" s="24">
        <f t="shared" si="501"/>
        <v>1.4370539244904392</v>
      </c>
      <c r="DA39" s="24">
        <f t="shared" si="501"/>
        <v>1.4419772708234089</v>
      </c>
      <c r="DB39" s="24">
        <f t="shared" si="501"/>
        <v>2.3671316406963046</v>
      </c>
      <c r="DE39" s="123"/>
      <c r="DF39" s="23">
        <v>19.878999999999998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 t="e">
        <f t="shared" si="503"/>
        <v>#DIV/0!</v>
      </c>
      <c r="K40" s="90" t="e">
        <f t="shared" si="503"/>
        <v>#DIV/0!</v>
      </c>
      <c r="L40" s="90">
        <f t="shared" si="503"/>
        <v>0</v>
      </c>
      <c r="M40" s="90">
        <f t="shared" si="503"/>
        <v>0</v>
      </c>
      <c r="N40" s="90">
        <f t="shared" si="503"/>
        <v>0</v>
      </c>
      <c r="O40" s="90">
        <f t="shared" si="503"/>
        <v>0.34804309758717211</v>
      </c>
      <c r="P40" s="90">
        <f t="shared" si="503"/>
        <v>0.295062709440013</v>
      </c>
      <c r="Q40" s="90">
        <f t="shared" si="503"/>
        <v>-7.3164837072456663</v>
      </c>
      <c r="R40" s="90">
        <f t="shared" si="503"/>
        <v>0.67422666478362137</v>
      </c>
      <c r="S40" s="90">
        <f t="shared" si="503"/>
        <v>0.38028233795236038</v>
      </c>
      <c r="T40" s="90">
        <f t="shared" si="503"/>
        <v>0.32489146164978383</v>
      </c>
      <c r="U40" s="90">
        <f t="shared" ref="U40:Z40" si="504">U39/U38</f>
        <v>7.0953436807095607E-2</v>
      </c>
      <c r="V40" s="90">
        <f t="shared" si="504"/>
        <v>0.24244950304584756</v>
      </c>
      <c r="W40" s="90">
        <f t="shared" si="504"/>
        <v>0.21555292726197511</v>
      </c>
      <c r="X40" s="90">
        <f t="shared" si="504"/>
        <v>0.26489805375347558</v>
      </c>
      <c r="Y40" s="90">
        <f t="shared" si="504"/>
        <v>0.25497023338487179</v>
      </c>
      <c r="Z40" s="90">
        <f t="shared" si="504"/>
        <v>0.25781692904801345</v>
      </c>
      <c r="AA40" s="90">
        <f t="shared" ref="AA40" si="505">AA39/AA38</f>
        <v>0.21338328270413609</v>
      </c>
      <c r="AB40" s="91">
        <f t="shared" ref="AB40:AD40" si="506">AB39/AB38</f>
        <v>0.23807641136502455</v>
      </c>
      <c r="AC40" s="91">
        <f t="shared" si="506"/>
        <v>0.239772048738814</v>
      </c>
      <c r="AD40" s="91">
        <f t="shared" si="506"/>
        <v>0.2402955352590195</v>
      </c>
      <c r="AE40" s="91">
        <f t="shared" ref="AE40" si="507">AE39/AE38</f>
        <v>0.24040416466965425</v>
      </c>
      <c r="AI40" s="90" t="e">
        <f t="shared" ref="AI40" si="508">AI39/AI38</f>
        <v>#DIV/0!</v>
      </c>
      <c r="AJ40" s="90" t="e">
        <f t="shared" ref="AJ40" si="509">AJ39/AJ38</f>
        <v>#DIV/0!</v>
      </c>
      <c r="AK40" s="90" t="e">
        <f t="shared" ref="AK40:AM40" si="510">AK39/AK38</f>
        <v>#DIV/0!</v>
      </c>
      <c r="AL40" s="90" t="e">
        <f t="shared" si="510"/>
        <v>#DIV/0!</v>
      </c>
      <c r="AM40" s="90" t="e">
        <f t="shared" si="510"/>
        <v>#DIV/0!</v>
      </c>
      <c r="AN40" s="90" t="e">
        <f t="shared" ref="AN40:AO40" si="511">AN39/AN38</f>
        <v>#DIV/0!</v>
      </c>
      <c r="AO40" s="90" t="e">
        <f t="shared" si="511"/>
        <v>#DIV/0!</v>
      </c>
      <c r="AP40" s="90" t="e">
        <f t="shared" ref="AP40:CD40" si="512">AP39/AP38</f>
        <v>#DIV/0!</v>
      </c>
      <c r="AQ40" s="90" t="e">
        <f t="shared" si="512"/>
        <v>#DIV/0!</v>
      </c>
      <c r="AR40" s="90" t="e">
        <f t="shared" si="512"/>
        <v>#DIV/0!</v>
      </c>
      <c r="AS40" s="90" t="e">
        <f t="shared" si="512"/>
        <v>#DIV/0!</v>
      </c>
      <c r="AT40" s="90" t="e">
        <f t="shared" si="512"/>
        <v>#DIV/0!</v>
      </c>
      <c r="AU40" s="90" t="e">
        <f t="shared" si="512"/>
        <v>#DIV/0!</v>
      </c>
      <c r="AV40" s="90" t="e">
        <f t="shared" si="512"/>
        <v>#DIV/0!</v>
      </c>
      <c r="AW40" s="90" t="e">
        <f t="shared" si="512"/>
        <v>#DIV/0!</v>
      </c>
      <c r="AX40" s="90" t="e">
        <f t="shared" si="512"/>
        <v>#DIV/0!</v>
      </c>
      <c r="AY40" s="90" t="e">
        <f t="shared" si="512"/>
        <v>#DIV/0!</v>
      </c>
      <c r="AZ40" s="90" t="e">
        <f t="shared" si="512"/>
        <v>#DIV/0!</v>
      </c>
      <c r="BA40" s="90" t="e">
        <f t="shared" si="512"/>
        <v>#DIV/0!</v>
      </c>
      <c r="BB40" s="90" t="e">
        <f t="shared" si="512"/>
        <v>#DIV/0!</v>
      </c>
      <c r="BC40" s="90" t="e">
        <f t="shared" si="512"/>
        <v>#DIV/0!</v>
      </c>
      <c r="BD40" s="90" t="e">
        <f t="shared" si="512"/>
        <v>#DIV/0!</v>
      </c>
      <c r="BE40" s="90" t="e">
        <f t="shared" si="512"/>
        <v>#DIV/0!</v>
      </c>
      <c r="BF40" s="90" t="e">
        <f t="shared" si="512"/>
        <v>#DIV/0!</v>
      </c>
      <c r="BG40" s="90" t="e">
        <f t="shared" si="512"/>
        <v>#DIV/0!</v>
      </c>
      <c r="BH40" s="90" t="e">
        <f t="shared" si="512"/>
        <v>#DIV/0!</v>
      </c>
      <c r="BI40" s="90" t="e">
        <f t="shared" si="512"/>
        <v>#DIV/0!</v>
      </c>
      <c r="BJ40" s="90" t="e">
        <f t="shared" si="512"/>
        <v>#DIV/0!</v>
      </c>
      <c r="BK40" s="90" t="e">
        <f t="shared" si="512"/>
        <v>#DIV/0!</v>
      </c>
      <c r="BL40" s="90" t="e">
        <f t="shared" si="512"/>
        <v>#DIV/0!</v>
      </c>
      <c r="BM40" s="90" t="e">
        <f t="shared" si="512"/>
        <v>#DIV/0!</v>
      </c>
      <c r="BN40" s="90" t="e">
        <f t="shared" si="512"/>
        <v>#DIV/0!</v>
      </c>
      <c r="BO40" s="90" t="e">
        <f t="shared" si="512"/>
        <v>#DIV/0!</v>
      </c>
      <c r="BP40" s="90" t="e">
        <f t="shared" si="512"/>
        <v>#DIV/0!</v>
      </c>
      <c r="BQ40" s="90" t="e">
        <f t="shared" si="512"/>
        <v>#DIV/0!</v>
      </c>
      <c r="BR40" s="90" t="e">
        <f t="shared" si="512"/>
        <v>#DIV/0!</v>
      </c>
      <c r="BS40" s="90" t="e">
        <f t="shared" si="512"/>
        <v>#DIV/0!</v>
      </c>
      <c r="BT40" s="90" t="e">
        <f t="shared" si="512"/>
        <v>#DIV/0!</v>
      </c>
      <c r="BU40" s="90" t="e">
        <f t="shared" si="512"/>
        <v>#DIV/0!</v>
      </c>
      <c r="BV40" s="90" t="e">
        <f t="shared" si="512"/>
        <v>#DIV/0!</v>
      </c>
      <c r="BW40" s="90">
        <f t="shared" si="512"/>
        <v>0.25386521893072106</v>
      </c>
      <c r="BX40" s="90">
        <f t="shared" si="512"/>
        <v>0.30371677944493475</v>
      </c>
      <c r="BY40" s="90">
        <f t="shared" si="512"/>
        <v>0.2132636213538808</v>
      </c>
      <c r="BZ40" s="90">
        <f t="shared" si="512"/>
        <v>0.26913250493554763</v>
      </c>
      <c r="CA40" s="90">
        <f t="shared" si="512"/>
        <v>0.23300415056533572</v>
      </c>
      <c r="CB40" s="90">
        <f t="shared" si="512"/>
        <v>0.25852646493269849</v>
      </c>
      <c r="CC40" s="90">
        <f t="shared" si="512"/>
        <v>0.25325990119057279</v>
      </c>
      <c r="CD40" s="90">
        <f t="shared" si="512"/>
        <v>0.25905655459994764</v>
      </c>
      <c r="CE40" s="90">
        <f t="shared" ref="CE40:CF40" si="513">CE39/CE38</f>
        <v>0.25164206511759307</v>
      </c>
      <c r="CF40" s="90">
        <f t="shared" si="513"/>
        <v>0.26025561246469758</v>
      </c>
      <c r="CG40" s="90">
        <f t="shared" ref="CG40:CH40" si="514">CG39/CG38</f>
        <v>0.26770604304084283</v>
      </c>
      <c r="CH40" s="90">
        <f t="shared" si="514"/>
        <v>0.25513020520820823</v>
      </c>
      <c r="CI40" s="90">
        <f t="shared" ref="CI40:CJ40" si="515">CI39/CI38</f>
        <v>0.2611622611622606</v>
      </c>
      <c r="CJ40" s="90">
        <f t="shared" si="515"/>
        <v>0.11875976642816022</v>
      </c>
      <c r="CK40" s="90">
        <f t="shared" ref="CK40:CL40" si="516">CK39/CK38</f>
        <v>0.24646139397598449</v>
      </c>
      <c r="CL40" s="90">
        <f t="shared" si="516"/>
        <v>0.29154564970324548</v>
      </c>
      <c r="CM40" s="91">
        <f t="shared" ref="CM40:DB40" si="517">AVERAGE(CI40:CL40)</f>
        <v>0.22948226781741268</v>
      </c>
      <c r="CN40" s="91">
        <f t="shared" si="517"/>
        <v>0.22156226948120072</v>
      </c>
      <c r="CO40" s="91">
        <f t="shared" si="517"/>
        <v>0.24726289524446082</v>
      </c>
      <c r="CP40" s="91">
        <f t="shared" si="517"/>
        <v>0.24746327056157991</v>
      </c>
      <c r="CQ40" s="91">
        <f t="shared" si="517"/>
        <v>0.23644267577616354</v>
      </c>
      <c r="CR40" s="91">
        <f t="shared" si="517"/>
        <v>0.23818277776585123</v>
      </c>
      <c r="CS40" s="91">
        <f t="shared" si="517"/>
        <v>0.2423379048370139</v>
      </c>
      <c r="CT40" s="91">
        <f t="shared" si="517"/>
        <v>0.24110665723515215</v>
      </c>
      <c r="CU40" s="91">
        <f t="shared" si="517"/>
        <v>0.2395175039035452</v>
      </c>
      <c r="CV40" s="91">
        <f t="shared" si="517"/>
        <v>0.24028621093539063</v>
      </c>
      <c r="CW40" s="91">
        <f t="shared" si="517"/>
        <v>0.24081206922777545</v>
      </c>
      <c r="CX40" s="91">
        <f t="shared" si="517"/>
        <v>0.24043061032546584</v>
      </c>
      <c r="CY40" s="91">
        <f t="shared" si="517"/>
        <v>0.24026159859804427</v>
      </c>
      <c r="CZ40" s="91">
        <f t="shared" si="517"/>
        <v>0.24044762227166905</v>
      </c>
      <c r="DA40" s="91">
        <f t="shared" si="517"/>
        <v>0.24048797510573866</v>
      </c>
      <c r="DB40" s="91">
        <f t="shared" si="517"/>
        <v>0.24040695157522946</v>
      </c>
      <c r="DE40" s="127"/>
      <c r="DF40" s="90">
        <v>0.21338328270413548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0</v>
      </c>
      <c r="K41" s="26">
        <f t="shared" si="519"/>
        <v>0</v>
      </c>
      <c r="L41" s="26">
        <f t="shared" si="519"/>
        <v>3.4259695000000008</v>
      </c>
      <c r="M41" s="26">
        <f t="shared" si="519"/>
        <v>4.1452020000000003</v>
      </c>
      <c r="N41" s="26">
        <f t="shared" si="519"/>
        <v>5.0267934999999992</v>
      </c>
      <c r="O41" s="26">
        <f t="shared" si="519"/>
        <v>21.406023500000003</v>
      </c>
      <c r="P41" s="26">
        <f t="shared" si="519"/>
        <v>20.699958500000029</v>
      </c>
      <c r="Q41" s="26">
        <f t="shared" si="519"/>
        <v>3.7559751999999862</v>
      </c>
      <c r="R41" s="26">
        <f t="shared" si="519"/>
        <v>0.59051890000000395</v>
      </c>
      <c r="S41" s="26">
        <f t="shared" si="519"/>
        <v>-3.8440465000000139</v>
      </c>
      <c r="T41" s="26">
        <f t="shared" si="519"/>
        <v>-0.93299999999999605</v>
      </c>
      <c r="U41" s="26">
        <f t="shared" ref="U41:Z41" si="520">U38-U39</f>
        <v>-6.7039999999999722</v>
      </c>
      <c r="V41" s="26">
        <f t="shared" si="520"/>
        <v>11.81400000000003</v>
      </c>
      <c r="W41" s="26">
        <f t="shared" si="520"/>
        <v>39.795000000000009</v>
      </c>
      <c r="X41" s="26">
        <f t="shared" si="520"/>
        <v>31.726999999999975</v>
      </c>
      <c r="Y41" s="26">
        <f t="shared" si="520"/>
        <v>61.196000000000069</v>
      </c>
      <c r="Z41" s="26">
        <f t="shared" si="520"/>
        <v>68.076000000000064</v>
      </c>
      <c r="AA41" s="26">
        <f t="shared" ref="AA41" si="521">AA38-AA39</f>
        <v>73.281999999999897</v>
      </c>
      <c r="AB41" s="27">
        <f t="shared" ref="AB41:AD41" si="522">AB38-AB39</f>
        <v>45.642472409292822</v>
      </c>
      <c r="AC41" s="27">
        <f t="shared" si="522"/>
        <v>35.8451485484157</v>
      </c>
      <c r="AD41" s="27">
        <f t="shared" si="522"/>
        <v>27.567758542992308</v>
      </c>
      <c r="AE41" s="27">
        <f t="shared" ref="AE41" si="523">AE38-AE39</f>
        <v>20.781147006459118</v>
      </c>
      <c r="AI41" s="26">
        <f>AI38-AI39</f>
        <v>0</v>
      </c>
      <c r="AJ41" s="26">
        <f t="shared" ref="AJ41" si="524">AJ38-AJ39</f>
        <v>0</v>
      </c>
      <c r="AK41" s="26">
        <f t="shared" ref="AK41:AM41" si="525">AK38-AK39</f>
        <v>0</v>
      </c>
      <c r="AL41" s="26">
        <f t="shared" si="525"/>
        <v>0</v>
      </c>
      <c r="AM41" s="26">
        <f t="shared" si="525"/>
        <v>0</v>
      </c>
      <c r="AN41" s="26">
        <f t="shared" ref="AN41:AO41" si="526">AN38-AN39</f>
        <v>0</v>
      </c>
      <c r="AO41" s="26">
        <f t="shared" si="526"/>
        <v>0</v>
      </c>
      <c r="AP41" s="26">
        <f t="shared" ref="AP41:CD41" si="527">AP38-AP39</f>
        <v>0</v>
      </c>
      <c r="AQ41" s="26">
        <f t="shared" si="527"/>
        <v>0</v>
      </c>
      <c r="AR41" s="26">
        <f t="shared" si="527"/>
        <v>0</v>
      </c>
      <c r="AS41" s="26">
        <f t="shared" si="527"/>
        <v>0</v>
      </c>
      <c r="AT41" s="26">
        <f t="shared" si="527"/>
        <v>0</v>
      </c>
      <c r="AU41" s="26">
        <f t="shared" si="527"/>
        <v>0</v>
      </c>
      <c r="AV41" s="26">
        <f t="shared" si="527"/>
        <v>0</v>
      </c>
      <c r="AW41" s="26">
        <f t="shared" si="527"/>
        <v>0</v>
      </c>
      <c r="AX41" s="26">
        <f t="shared" si="527"/>
        <v>0</v>
      </c>
      <c r="AY41" s="26">
        <f t="shared" si="527"/>
        <v>0</v>
      </c>
      <c r="AZ41" s="26">
        <f t="shared" si="527"/>
        <v>0</v>
      </c>
      <c r="BA41" s="26">
        <f t="shared" si="527"/>
        <v>0</v>
      </c>
      <c r="BB41" s="26">
        <f t="shared" si="527"/>
        <v>0</v>
      </c>
      <c r="BC41" s="26">
        <f t="shared" si="527"/>
        <v>0</v>
      </c>
      <c r="BD41" s="26">
        <f t="shared" si="527"/>
        <v>0</v>
      </c>
      <c r="BE41" s="26">
        <f t="shared" si="527"/>
        <v>0</v>
      </c>
      <c r="BF41" s="26">
        <f t="shared" si="527"/>
        <v>0</v>
      </c>
      <c r="BG41" s="26">
        <f t="shared" si="527"/>
        <v>0</v>
      </c>
      <c r="BH41" s="26">
        <f t="shared" si="527"/>
        <v>0</v>
      </c>
      <c r="BI41" s="26">
        <f t="shared" si="527"/>
        <v>0</v>
      </c>
      <c r="BJ41" s="26">
        <f t="shared" si="527"/>
        <v>0</v>
      </c>
      <c r="BK41" s="26">
        <f t="shared" si="527"/>
        <v>0</v>
      </c>
      <c r="BL41" s="26">
        <f t="shared" si="527"/>
        <v>0</v>
      </c>
      <c r="BM41" s="26">
        <f t="shared" si="527"/>
        <v>0</v>
      </c>
      <c r="BN41" s="26">
        <f t="shared" si="527"/>
        <v>0</v>
      </c>
      <c r="BO41" s="26">
        <f t="shared" si="527"/>
        <v>0</v>
      </c>
      <c r="BP41" s="26">
        <f t="shared" si="527"/>
        <v>0</v>
      </c>
      <c r="BQ41" s="26">
        <f t="shared" si="527"/>
        <v>0</v>
      </c>
      <c r="BR41" s="26">
        <f t="shared" si="527"/>
        <v>0</v>
      </c>
      <c r="BS41" s="26">
        <f t="shared" si="527"/>
        <v>0</v>
      </c>
      <c r="BT41" s="26">
        <f t="shared" si="527"/>
        <v>0</v>
      </c>
      <c r="BU41" s="26">
        <f t="shared" si="527"/>
        <v>0</v>
      </c>
      <c r="BV41" s="26">
        <f t="shared" si="527"/>
        <v>0</v>
      </c>
      <c r="BW41" s="26">
        <f t="shared" si="527"/>
        <v>6.322000000000001</v>
      </c>
      <c r="BX41" s="26">
        <f t="shared" si="527"/>
        <v>7.1000000000000014</v>
      </c>
      <c r="BY41" s="26">
        <f t="shared" si="527"/>
        <v>5.7179999999999742</v>
      </c>
      <c r="BZ41" s="26">
        <f t="shared" si="527"/>
        <v>12.586999999999994</v>
      </c>
      <c r="CA41" s="26">
        <f t="shared" si="527"/>
        <v>5.3589999999999964</v>
      </c>
      <c r="CB41" s="26">
        <f t="shared" si="527"/>
        <v>14.65300000000005</v>
      </c>
      <c r="CC41" s="26">
        <f t="shared" si="527"/>
        <v>18.439999999999984</v>
      </c>
      <c r="CD41" s="26">
        <f t="shared" si="527"/>
        <v>22.744000000000028</v>
      </c>
      <c r="CE41" s="26">
        <f t="shared" ref="CE41:CF41" si="528">CE38-CE39</f>
        <v>10.596</v>
      </c>
      <c r="CF41" s="26">
        <f t="shared" si="528"/>
        <v>15.454000000000011</v>
      </c>
      <c r="CG41" s="26">
        <f t="shared" ref="CG41:CH41" si="529">CG38-CG39</f>
        <v>10.990999999999961</v>
      </c>
      <c r="CH41" s="26">
        <f t="shared" si="529"/>
        <v>31.035000000000018</v>
      </c>
      <c r="CI41" s="26">
        <f t="shared" ref="CI41:CJ41" si="530">CI38-CI39</f>
        <v>7.4630000000000205</v>
      </c>
      <c r="CJ41" s="26">
        <f t="shared" si="530"/>
        <v>32.144999999999996</v>
      </c>
      <c r="CK41" s="26">
        <f t="shared" ref="CK41:CL41" si="531">CK38-CK39</f>
        <v>11.232999999999997</v>
      </c>
      <c r="CL41" s="26">
        <f t="shared" si="531"/>
        <v>22.440999999999988</v>
      </c>
      <c r="CM41" s="27">
        <f t="shared" ref="CM41:DB41" si="532">CM38-CM39</f>
        <v>8.9422626903050606</v>
      </c>
      <c r="CN41" s="27">
        <f t="shared" si="532"/>
        <v>10.546986149436954</v>
      </c>
      <c r="CO41" s="27">
        <f t="shared" si="532"/>
        <v>10.155986555989761</v>
      </c>
      <c r="CP41" s="27">
        <f t="shared" si="532"/>
        <v>15.997237013560891</v>
      </c>
      <c r="CQ41" s="27">
        <f t="shared" si="532"/>
        <v>7.3928914856765013</v>
      </c>
      <c r="CR41" s="27">
        <f t="shared" si="532"/>
        <v>8.0186527925451827</v>
      </c>
      <c r="CS41" s="27">
        <f t="shared" si="532"/>
        <v>8.0032765299868771</v>
      </c>
      <c r="CT41" s="27">
        <f t="shared" si="532"/>
        <v>12.430327740207098</v>
      </c>
      <c r="CU41" s="27">
        <f t="shared" si="532"/>
        <v>5.6735405304250479</v>
      </c>
      <c r="CV41" s="27">
        <f t="shared" si="532"/>
        <v>6.0941145813542068</v>
      </c>
      <c r="CW41" s="27">
        <f t="shared" si="532"/>
        <v>6.1079182432334065</v>
      </c>
      <c r="CX41" s="27">
        <f t="shared" si="532"/>
        <v>9.6921851879794971</v>
      </c>
      <c r="CY41" s="27">
        <f t="shared" si="532"/>
        <v>4.208332025322461</v>
      </c>
      <c r="CZ41" s="27">
        <f t="shared" si="532"/>
        <v>4.53952388864671</v>
      </c>
      <c r="DA41" s="27">
        <f t="shared" si="532"/>
        <v>4.5540700167359587</v>
      </c>
      <c r="DB41" s="27">
        <f t="shared" si="532"/>
        <v>7.4792210757540305</v>
      </c>
      <c r="DE41" s="121"/>
      <c r="DF41" s="26">
        <v>73.282000000000153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>
        <f t="shared" si="534"/>
        <v>5.2601010982162959E-2</v>
      </c>
      <c r="P42" s="45">
        <f t="shared" si="534"/>
        <v>4.6624555042368822E-2</v>
      </c>
      <c r="Q42" s="45">
        <f t="shared" si="534"/>
        <v>1.4646361098847043E-2</v>
      </c>
      <c r="R42" s="45">
        <f t="shared" si="534"/>
        <v>1.7101417181489796E-3</v>
      </c>
      <c r="S42" s="45">
        <f t="shared" si="534"/>
        <v>-9.9123903793750696E-3</v>
      </c>
      <c r="T42" s="45">
        <f t="shared" si="534"/>
        <v>-1.9418486065727225E-3</v>
      </c>
      <c r="U42" s="45">
        <f t="shared" si="534"/>
        <v>-1.4666792098659495E-2</v>
      </c>
      <c r="V42" s="45">
        <f t="shared" si="534"/>
        <v>1.8811263192087025E-2</v>
      </c>
      <c r="W42" s="45">
        <f t="shared" si="534"/>
        <v>5.5229947830286757E-2</v>
      </c>
      <c r="X42" s="45">
        <f t="shared" si="534"/>
        <v>3.8131901018348999E-2</v>
      </c>
      <c r="Y42" s="45">
        <f t="shared" si="534"/>
        <v>5.1344482750230576E-2</v>
      </c>
      <c r="Z42" s="45">
        <f t="shared" ref="Z42:AA42" si="535">+Z41/Z10</f>
        <v>4.4797864737771045E-2</v>
      </c>
      <c r="AA42" s="45">
        <f t="shared" ref="AA42" si="536">+AA41/AA10</f>
        <v>5.8091852063242848E-2</v>
      </c>
      <c r="AB42" s="48">
        <f t="shared" si="534"/>
        <v>4.4221454044619746E-2</v>
      </c>
      <c r="AC42" s="48">
        <f t="shared" si="534"/>
        <v>4.2527502145045769E-2</v>
      </c>
      <c r="AD42" s="48">
        <f t="shared" si="534"/>
        <v>4.0061907491080358E-2</v>
      </c>
      <c r="AE42" s="48">
        <f t="shared" si="534"/>
        <v>3.6988385602639062E-2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 t="e">
        <f t="shared" si="537"/>
        <v>#DIV/0!</v>
      </c>
      <c r="AT42" s="45" t="e">
        <f t="shared" si="537"/>
        <v>#DIV/0!</v>
      </c>
      <c r="AU42" s="45" t="e">
        <f t="shared" si="537"/>
        <v>#DIV/0!</v>
      </c>
      <c r="AV42" s="45" t="e">
        <f t="shared" si="537"/>
        <v>#DIV/0!</v>
      </c>
      <c r="AW42" s="45" t="e">
        <f t="shared" si="537"/>
        <v>#DIV/0!</v>
      </c>
      <c r="AX42" s="45" t="e">
        <f t="shared" si="537"/>
        <v>#DIV/0!</v>
      </c>
      <c r="AY42" s="45" t="e">
        <f t="shared" si="537"/>
        <v>#DIV/0!</v>
      </c>
      <c r="AZ42" s="45" t="e">
        <f t="shared" si="537"/>
        <v>#DIV/0!</v>
      </c>
      <c r="BA42" s="45" t="e">
        <f t="shared" si="537"/>
        <v>#DIV/0!</v>
      </c>
      <c r="BB42" s="45" t="e">
        <f t="shared" si="537"/>
        <v>#DIV/0!</v>
      </c>
      <c r="BC42" s="45" t="e">
        <f t="shared" si="537"/>
        <v>#DIV/0!</v>
      </c>
      <c r="BD42" s="45" t="e">
        <f t="shared" si="537"/>
        <v>#DIV/0!</v>
      </c>
      <c r="BE42" s="45" t="e">
        <f t="shared" si="537"/>
        <v>#DIV/0!</v>
      </c>
      <c r="BF42" s="45" t="e">
        <f t="shared" si="537"/>
        <v>#DIV/0!</v>
      </c>
      <c r="BG42" s="45" t="e">
        <f t="shared" si="537"/>
        <v>#DIV/0!</v>
      </c>
      <c r="BH42" s="45" t="e">
        <f t="shared" si="537"/>
        <v>#DIV/0!</v>
      </c>
      <c r="BI42" s="45" t="e">
        <f t="shared" si="537"/>
        <v>#DIV/0!</v>
      </c>
      <c r="BJ42" s="45" t="e">
        <f t="shared" si="537"/>
        <v>#DIV/0!</v>
      </c>
      <c r="BK42" s="45" t="e">
        <f t="shared" si="537"/>
        <v>#DIV/0!</v>
      </c>
      <c r="BL42" s="45" t="e">
        <f t="shared" si="537"/>
        <v>#DIV/0!</v>
      </c>
      <c r="BM42" s="45" t="e">
        <f t="shared" si="537"/>
        <v>#DIV/0!</v>
      </c>
      <c r="BN42" s="45" t="e">
        <f t="shared" si="537"/>
        <v>#DIV/0!</v>
      </c>
      <c r="BO42" s="45" t="e">
        <f t="shared" ref="BO42:CT42" si="538">+BO41/BO10</f>
        <v>#DIV/0!</v>
      </c>
      <c r="BP42" s="45" t="e">
        <f t="shared" si="538"/>
        <v>#DIV/0!</v>
      </c>
      <c r="BQ42" s="45" t="e">
        <f t="shared" si="538"/>
        <v>#DIV/0!</v>
      </c>
      <c r="BR42" s="45" t="e">
        <f t="shared" si="538"/>
        <v>#DIV/0!</v>
      </c>
      <c r="BS42" s="45" t="e">
        <f t="shared" si="538"/>
        <v>#DIV/0!</v>
      </c>
      <c r="BT42" s="45" t="e">
        <f t="shared" si="538"/>
        <v>#DIV/0!</v>
      </c>
      <c r="BU42" s="45" t="e">
        <f t="shared" si="538"/>
        <v>#DIV/0!</v>
      </c>
      <c r="BV42" s="45" t="e">
        <f t="shared" si="538"/>
        <v>#DIV/0!</v>
      </c>
      <c r="BW42" s="45">
        <f t="shared" si="538"/>
        <v>3.7163095553008264E-2</v>
      </c>
      <c r="BX42" s="45">
        <f t="shared" si="538"/>
        <v>4.1726660985571984E-2</v>
      </c>
      <c r="BY42" s="45">
        <f t="shared" si="538"/>
        <v>2.6848851950978889E-2</v>
      </c>
      <c r="BZ42" s="45">
        <f t="shared" si="538"/>
        <v>4.5380962853733171E-2</v>
      </c>
      <c r="CA42" s="45">
        <f t="shared" si="538"/>
        <v>2.4679020760034615E-2</v>
      </c>
      <c r="CB42" s="45">
        <f t="shared" si="538"/>
        <v>5.0326453930670347E-2</v>
      </c>
      <c r="CC42" s="45">
        <f t="shared" si="538"/>
        <v>5.7437967617944022E-2</v>
      </c>
      <c r="CD42" s="45">
        <f t="shared" si="538"/>
        <v>6.3163565975433378E-2</v>
      </c>
      <c r="CE42" s="45">
        <f t="shared" si="538"/>
        <v>4.1245620864149478E-2</v>
      </c>
      <c r="CF42" s="45">
        <f t="shared" si="538"/>
        <v>3.9681602259596896E-2</v>
      </c>
      <c r="CG42" s="45">
        <f t="shared" si="538"/>
        <v>2.4741353694882812E-2</v>
      </c>
      <c r="CH42" s="45">
        <f t="shared" si="538"/>
        <v>7.2502365350247094E-2</v>
      </c>
      <c r="CI42" s="45">
        <f t="shared" ref="CI42:CJ42" si="539">+CI41/CI10</f>
        <v>2.701264668196534E-2</v>
      </c>
      <c r="CJ42" s="45">
        <f t="shared" si="539"/>
        <v>0.10348191118808628</v>
      </c>
      <c r="CK42" s="45">
        <f t="shared" ref="CK42:CL42" si="540">+CK41/CK10</f>
        <v>3.7088764742396016E-2</v>
      </c>
      <c r="CL42" s="45">
        <f t="shared" si="540"/>
        <v>6.0803030261977822E-2</v>
      </c>
      <c r="CM42" s="48">
        <f t="shared" si="538"/>
        <v>3.7888775066890444E-2</v>
      </c>
      <c r="CN42" s="48">
        <f t="shared" si="538"/>
        <v>4.2496155605588545E-2</v>
      </c>
      <c r="CO42" s="48">
        <f t="shared" si="538"/>
        <v>4.195232765353752E-2</v>
      </c>
      <c r="CP42" s="48">
        <f t="shared" si="538"/>
        <v>5.230422252568899E-2</v>
      </c>
      <c r="CQ42" s="48">
        <f t="shared" si="538"/>
        <v>3.818578173753065E-2</v>
      </c>
      <c r="CR42" s="48">
        <f t="shared" si="538"/>
        <v>3.9798300148904009E-2</v>
      </c>
      <c r="CS42" s="48">
        <f t="shared" si="538"/>
        <v>4.056286711591648E-2</v>
      </c>
      <c r="CT42" s="48">
        <f t="shared" si="538"/>
        <v>4.9626268189511019E-2</v>
      </c>
      <c r="CU42" s="48">
        <f t="shared" ref="CU42:DB42" si="541">+CU41/CU10</f>
        <v>3.5889749784988163E-2</v>
      </c>
      <c r="CV42" s="48">
        <f t="shared" si="541"/>
        <v>3.7085596500275757E-2</v>
      </c>
      <c r="CW42" s="48">
        <f t="shared" si="541"/>
        <v>3.7912676927440166E-2</v>
      </c>
      <c r="CX42" s="48">
        <f t="shared" si="541"/>
        <v>4.7367696704096754E-2</v>
      </c>
      <c r="CY42" s="48">
        <f t="shared" si="541"/>
        <v>3.2608572462293157E-2</v>
      </c>
      <c r="CZ42" s="48">
        <f t="shared" si="541"/>
        <v>3.3839943831221429E-2</v>
      </c>
      <c r="DA42" s="48">
        <f t="shared" si="541"/>
        <v>3.4618955142617189E-2</v>
      </c>
      <c r="DB42" s="48">
        <f t="shared" si="541"/>
        <v>4.4764949952185593E-2</v>
      </c>
      <c r="DE42" s="129"/>
      <c r="DF42" s="45">
        <v>5.82131250809267E-2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 t="e">
        <f t="shared" si="543"/>
        <v>#DIV/0!</v>
      </c>
      <c r="L43" s="39" t="e">
        <f t="shared" si="543"/>
        <v>#DIV/0!</v>
      </c>
      <c r="M43" s="39">
        <f t="shared" si="543"/>
        <v>0.20993546498297766</v>
      </c>
      <c r="N43" s="39">
        <f t="shared" si="543"/>
        <v>0.21267757276967414</v>
      </c>
      <c r="O43" s="39">
        <f t="shared" si="543"/>
        <v>3.2583852907424991</v>
      </c>
      <c r="P43" s="39">
        <f t="shared" si="543"/>
        <v>-3.2984407402896432E-2</v>
      </c>
      <c r="Q43" s="39">
        <f t="shared" si="543"/>
        <v>-0.81855155893187026</v>
      </c>
      <c r="R43" s="39">
        <f t="shared" si="543"/>
        <v>-0.84277880748520217</v>
      </c>
      <c r="S43" s="39">
        <f t="shared" si="543"/>
        <v>-7.5096079058604017</v>
      </c>
      <c r="T43" s="39">
        <f t="shared" si="543"/>
        <v>0.75728701512846097</v>
      </c>
      <c r="U43" s="39">
        <f t="shared" si="543"/>
        <v>-6.1854233654876749</v>
      </c>
      <c r="V43" s="39">
        <f t="shared" si="543"/>
        <v>2.7622315035799643</v>
      </c>
      <c r="W43" s="39">
        <f t="shared" si="543"/>
        <v>2.3684611477907489</v>
      </c>
      <c r="X43" s="39">
        <f t="shared" si="543"/>
        <v>-0.20273903756753442</v>
      </c>
      <c r="Y43" s="39">
        <f t="shared" si="543"/>
        <v>0.92883033378510782</v>
      </c>
      <c r="Z43" s="39">
        <f t="shared" ref="Z43:AA43" si="544">+IF(Y41&lt;0,1-Z41/Y41,Z41/Y41-1)</f>
        <v>0.11242564873521133</v>
      </c>
      <c r="AA43" s="39">
        <f t="shared" si="544"/>
        <v>7.6473353311002912E-2</v>
      </c>
      <c r="AB43" s="40">
        <f t="shared" si="543"/>
        <v>-0.37716666563012902</v>
      </c>
      <c r="AC43" s="40">
        <f t="shared" si="543"/>
        <v>-0.21465366233934302</v>
      </c>
      <c r="AD43" s="40">
        <f t="shared" si="543"/>
        <v>-0.2309207895803026</v>
      </c>
      <c r="AE43" s="40">
        <f t="shared" si="543"/>
        <v>-0.24617930130044385</v>
      </c>
      <c r="AM43" s="39" t="e">
        <f>+IF(AI41&lt;0,1-AM41/AI41,AM41/AI41-1)</f>
        <v>#DIV/0!</v>
      </c>
      <c r="AN43" s="39" t="e">
        <f t="shared" ref="AN43" si="545">+IF(AJ41&lt;0,1-AN41/AJ41,AN41/AJ41-1)</f>
        <v>#DIV/0!</v>
      </c>
      <c r="AO43" s="39" t="e">
        <f t="shared" ref="AO43" si="546">+IF(AK41&lt;0,1-AO41/AK41,AO41/AK41-1)</f>
        <v>#DIV/0!</v>
      </c>
      <c r="AP43" s="39" t="e">
        <f t="shared" ref="AP43" si="547">+IF(AL41&lt;0,1-AP41/AL41,AP41/AL41-1)</f>
        <v>#DIV/0!</v>
      </c>
      <c r="AQ43" s="39" t="e">
        <f t="shared" ref="AQ43" si="548">+IF(AM41&lt;0,1-AQ41/AM41,AQ41/AM41-1)</f>
        <v>#DIV/0!</v>
      </c>
      <c r="AR43" s="39" t="e">
        <f t="shared" ref="AR43" si="549">+IF(AN41&lt;0,1-AR41/AN41,AR41/AN41-1)</f>
        <v>#DIV/0!</v>
      </c>
      <c r="AS43" s="39" t="e">
        <f t="shared" ref="AS43" si="550">+IF(AO41&lt;0,1-AS41/AO41,AS41/AO41-1)</f>
        <v>#DIV/0!</v>
      </c>
      <c r="AT43" s="39" t="e">
        <f t="shared" ref="AT43" si="551">+IF(AP41&lt;0,1-AT41/AP41,AT41/AP41-1)</f>
        <v>#DIV/0!</v>
      </c>
      <c r="AU43" s="39" t="e">
        <f t="shared" ref="AU43" si="552">+IF(AQ41&lt;0,1-AU41/AQ41,AU41/AQ41-1)</f>
        <v>#DIV/0!</v>
      </c>
      <c r="AV43" s="39" t="e">
        <f t="shared" ref="AV43" si="553">+IF(AR41&lt;0,1-AV41/AR41,AV41/AR41-1)</f>
        <v>#DIV/0!</v>
      </c>
      <c r="AW43" s="39" t="e">
        <f t="shared" ref="AW43" si="554">+IF(AS41&lt;0,1-AW41/AS41,AW41/AS41-1)</f>
        <v>#DIV/0!</v>
      </c>
      <c r="AX43" s="39" t="e">
        <f t="shared" ref="AX43" si="555">+IF(AT41&lt;0,1-AX41/AT41,AX41/AT41-1)</f>
        <v>#DIV/0!</v>
      </c>
      <c r="AY43" s="39" t="e">
        <f t="shared" ref="AY43" si="556">+IF(AU41&lt;0,1-AY41/AU41,AY41/AU41-1)</f>
        <v>#DIV/0!</v>
      </c>
      <c r="AZ43" s="39" t="e">
        <f t="shared" ref="AZ43" si="557">+IF(AV41&lt;0,1-AZ41/AV41,AZ41/AV41-1)</f>
        <v>#DIV/0!</v>
      </c>
      <c r="BA43" s="39" t="e">
        <f t="shared" ref="BA43" si="558">+IF(AW41&lt;0,1-BA41/AW41,BA41/AW41-1)</f>
        <v>#DIV/0!</v>
      </c>
      <c r="BB43" s="39" t="e">
        <f t="shared" ref="BB43" si="559">+IF(AX41&lt;0,1-BB41/AX41,BB41/AX41-1)</f>
        <v>#DIV/0!</v>
      </c>
      <c r="BC43" s="39" t="e">
        <f t="shared" ref="BC43" si="560">+IF(AY41&lt;0,1-BC41/AY41,BC41/AY41-1)</f>
        <v>#DIV/0!</v>
      </c>
      <c r="BD43" s="39" t="e">
        <f t="shared" ref="BD43" si="561">+IF(AZ41&lt;0,1-BD41/AZ41,BD41/AZ41-1)</f>
        <v>#DIV/0!</v>
      </c>
      <c r="BE43" s="39" t="e">
        <f t="shared" ref="BE43" si="562">+IF(BA41&lt;0,1-BE41/BA41,BE41/BA41-1)</f>
        <v>#DIV/0!</v>
      </c>
      <c r="BF43" s="39" t="e">
        <f t="shared" ref="BF43" si="563">+IF(BB41&lt;0,1-BF41/BB41,BF41/BB41-1)</f>
        <v>#DIV/0!</v>
      </c>
      <c r="BG43" s="39" t="e">
        <f t="shared" ref="BG43" si="564">+IF(BC41&lt;0,1-BG41/BC41,BG41/BC41-1)</f>
        <v>#DIV/0!</v>
      </c>
      <c r="BH43" s="39" t="e">
        <f t="shared" ref="BH43" si="565">+IF(BD41&lt;0,1-BH41/BD41,BH41/BD41-1)</f>
        <v>#DIV/0!</v>
      </c>
      <c r="BI43" s="39" t="e">
        <f t="shared" ref="BI43" si="566">+IF(BE41&lt;0,1-BI41/BE41,BI41/BE41-1)</f>
        <v>#DIV/0!</v>
      </c>
      <c r="BJ43" s="39" t="e">
        <f t="shared" ref="BJ43" si="567">+IF(BF41&lt;0,1-BJ41/BF41,BJ41/BF41-1)</f>
        <v>#DIV/0!</v>
      </c>
      <c r="BK43" s="39" t="e">
        <f t="shared" ref="BK43" si="568">+IF(BG41&lt;0,1-BK41/BG41,BK41/BG41-1)</f>
        <v>#DIV/0!</v>
      </c>
      <c r="BL43" s="39" t="e">
        <f t="shared" ref="BL43" si="569">+IF(BH41&lt;0,1-BL41/BH41,BL41/BH41-1)</f>
        <v>#DIV/0!</v>
      </c>
      <c r="BM43" s="39" t="e">
        <f t="shared" ref="BM43" si="570">+IF(BI41&lt;0,1-BM41/BI41,BM41/BI41-1)</f>
        <v>#DIV/0!</v>
      </c>
      <c r="BN43" s="39" t="e">
        <f t="shared" ref="BN43" si="571">+IF(BJ41&lt;0,1-BN41/BJ41,BN41/BJ41-1)</f>
        <v>#DIV/0!</v>
      </c>
      <c r="BO43" s="39" t="e">
        <f t="shared" ref="BO43" si="572">+IF(BK41&lt;0,1-BO41/BK41,BO41/BK41-1)</f>
        <v>#DIV/0!</v>
      </c>
      <c r="BP43" s="39" t="e">
        <f t="shared" ref="BP43" si="573">+IF(BL41&lt;0,1-BP41/BL41,BP41/BL41-1)</f>
        <v>#DIV/0!</v>
      </c>
      <c r="BQ43" s="39" t="e">
        <f t="shared" ref="BQ43" si="574">+IF(BM41&lt;0,1-BQ41/BM41,BQ41/BM41-1)</f>
        <v>#DIV/0!</v>
      </c>
      <c r="BR43" s="39" t="e">
        <f t="shared" ref="BR43" si="575">+IF(BN41&lt;0,1-BR41/BN41,BR41/BN41-1)</f>
        <v>#DIV/0!</v>
      </c>
      <c r="BS43" s="39" t="e">
        <f t="shared" ref="BS43" si="576">+IF(BO41&lt;0,1-BS41/BO41,BS41/BO41-1)</f>
        <v>#DIV/0!</v>
      </c>
      <c r="BT43" s="39" t="e">
        <f t="shared" ref="BT43" si="577">+IF(BP41&lt;0,1-BT41/BP41,BT41/BP41-1)</f>
        <v>#DIV/0!</v>
      </c>
      <c r="BU43" s="39" t="e">
        <f t="shared" ref="BU43" si="578">+IF(BQ41&lt;0,1-BU41/BQ41,BU41/BQ41-1)</f>
        <v>#DIV/0!</v>
      </c>
      <c r="BV43" s="39" t="e">
        <f t="shared" ref="BV43" si="579">+IF(BR41&lt;0,1-BV41/BR41,BV41/BR41-1)</f>
        <v>#DIV/0!</v>
      </c>
      <c r="BW43" s="39" t="e">
        <f t="shared" ref="BW43" si="580">+IF(BS41&lt;0,1-BW41/BS41,BW41/BS41-1)</f>
        <v>#DIV/0!</v>
      </c>
      <c r="BX43" s="39" t="e">
        <f t="shared" ref="BX43" si="581">+IF(BT41&lt;0,1-BX41/BT41,BX41/BT41-1)</f>
        <v>#DIV/0!</v>
      </c>
      <c r="BY43" s="39" t="e">
        <f t="shared" ref="BY43" si="582">+IF(BU41&lt;0,1-BY41/BU41,BY41/BU41-1)</f>
        <v>#DIV/0!</v>
      </c>
      <c r="BZ43" s="39" t="e">
        <f t="shared" ref="BZ43" si="583">+IF(BV41&lt;0,1-BZ41/BV41,BZ41/BV41-1)</f>
        <v>#DIV/0!</v>
      </c>
      <c r="CA43" s="39">
        <f t="shared" ref="CA43" si="584">+IF(BW41&lt;0,1-CA41/BW41,CA41/BW41-1)</f>
        <v>-0.15232521354001971</v>
      </c>
      <c r="CB43" s="39">
        <f t="shared" ref="CB43" si="585">+IF(BX41&lt;0,1-CB41/BX41,CB41/BX41-1)</f>
        <v>1.0638028169014153</v>
      </c>
      <c r="CC43" s="39">
        <f t="shared" ref="CC43" si="586">+IF(BY41&lt;0,1-CC41/BY41,CC41/BY41-1)</f>
        <v>2.2249038125218723</v>
      </c>
      <c r="CD43" s="39">
        <f t="shared" ref="CD43" si="587">+IF(BZ41&lt;0,1-CD41/BZ41,CD41/BZ41-1)</f>
        <v>0.80694367204258666</v>
      </c>
      <c r="CE43" s="39">
        <f t="shared" ref="CE43" si="588">+IF(CA41&lt;0,1-CE41/CA41,CE41/CA41-1)</f>
        <v>0.97723455868632336</v>
      </c>
      <c r="CF43" s="39">
        <f t="shared" ref="CF43" si="589">+IF(CB41&lt;0,1-CF41/CB41,CF41/CB41-1)</f>
        <v>5.4664573807408523E-2</v>
      </c>
      <c r="CG43" s="39">
        <f t="shared" ref="CG43" si="590">+IF(CC41&lt;0,1-CG41/CC41,CG41/CC41-1)</f>
        <v>-0.40395878524945927</v>
      </c>
      <c r="CH43" s="39">
        <f t="shared" ref="CH43:CL43" si="591">+IF(CD41&lt;0,1-CH41/CD41,CH41/CD41-1)</f>
        <v>0.36453570172353067</v>
      </c>
      <c r="CI43" s="39">
        <f t="shared" si="591"/>
        <v>-0.2956776141940336</v>
      </c>
      <c r="CJ43" s="39">
        <f t="shared" si="591"/>
        <v>1.0800440015529942</v>
      </c>
      <c r="CK43" s="39">
        <f t="shared" si="591"/>
        <v>2.2018014739335623E-2</v>
      </c>
      <c r="CL43" s="39">
        <f t="shared" si="591"/>
        <v>-0.27691316255840259</v>
      </c>
      <c r="CM43" s="40">
        <f t="shared" ref="CM43" si="592">+CM41/CI41-1</f>
        <v>0.19821287556010136</v>
      </c>
      <c r="CN43" s="40">
        <f t="shared" ref="CN43" si="593">+CN41/CJ41-1</f>
        <v>-0.67189341578979755</v>
      </c>
      <c r="CO43" s="40">
        <f t="shared" ref="CO43" si="594">+CO41/CK41-1</f>
        <v>-9.5879412802478026E-2</v>
      </c>
      <c r="CP43" s="40">
        <f t="shared" ref="CP43" si="595">+CP41/CL41-1</f>
        <v>-0.28714241729152445</v>
      </c>
      <c r="CQ43" s="40">
        <f t="shared" ref="CQ43" si="596">+CQ41/CM41-1</f>
        <v>-0.17326388837898288</v>
      </c>
      <c r="CR43" s="40">
        <f t="shared" ref="CR43" si="597">+CR41/CN41-1</f>
        <v>-0.23972093269760719</v>
      </c>
      <c r="CS43" s="40">
        <f t="shared" ref="CS43" si="598">+CS41/CO41-1</f>
        <v>-0.21196463919433473</v>
      </c>
      <c r="CT43" s="40">
        <f t="shared" ref="CT43" si="599">+CT41/CP41-1</f>
        <v>-0.22297033358511331</v>
      </c>
      <c r="CU43" s="40">
        <f t="shared" ref="CU43" si="600">+CU41/CQ41-1</f>
        <v>-0.23256813096508222</v>
      </c>
      <c r="CV43" s="40">
        <f t="shared" ref="CV43" si="601">+CV41/CR41-1</f>
        <v>-0.24000767472812756</v>
      </c>
      <c r="CW43" s="40">
        <f t="shared" ref="CW43" si="602">+CW41/CS41-1</f>
        <v>-0.23682279122205696</v>
      </c>
      <c r="CX43" s="40">
        <f t="shared" ref="CX43" si="603">+CX41/CT41-1</f>
        <v>-0.22027919210615932</v>
      </c>
      <c r="CY43" s="40">
        <f t="shared" ref="CY43" si="604">+CY41/CU41-1</f>
        <v>-0.2582529369879758</v>
      </c>
      <c r="CZ43" s="40">
        <f t="shared" ref="CZ43" si="605">+CZ41/CV41-1</f>
        <v>-0.25509705666906624</v>
      </c>
      <c r="DA43" s="40">
        <f t="shared" ref="DA43" si="606">+DA41/CW41-1</f>
        <v>-0.25439898908582514</v>
      </c>
      <c r="DB43" s="40">
        <f t="shared" ref="DB43" si="607">+DB41/CX41-1</f>
        <v>-0.22832457998945821</v>
      </c>
      <c r="DE43" s="122"/>
      <c r="DF43" s="39">
        <v>7.6473353311006464E-2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8">+IF(AJ41&lt;0,1-AK41/AJ41,AK41/AJ41-1)</f>
        <v>#DIV/0!</v>
      </c>
      <c r="AL44" s="39" t="e">
        <f t="shared" si="608"/>
        <v>#DIV/0!</v>
      </c>
      <c r="AM44" s="39" t="e">
        <f t="shared" si="608"/>
        <v>#DIV/0!</v>
      </c>
      <c r="AN44" s="39" t="e">
        <f t="shared" ref="AN44" si="609">+IF(AM41&lt;0,1-AN41/AM41,AN41/AM41-1)</f>
        <v>#DIV/0!</v>
      </c>
      <c r="AO44" s="39" t="e">
        <f t="shared" ref="AO44" si="610">+IF(AN41&lt;0,1-AO41/AN41,AO41/AN41-1)</f>
        <v>#DIV/0!</v>
      </c>
      <c r="AP44" s="39" t="e">
        <f t="shared" ref="AP44" si="611">+IF(AO41&lt;0,1-AP41/AO41,AP41/AO41-1)</f>
        <v>#DIV/0!</v>
      </c>
      <c r="AQ44" s="39" t="e">
        <f t="shared" ref="AQ44" si="612">+IF(AP41&lt;0,1-AQ41/AP41,AQ41/AP41-1)</f>
        <v>#DIV/0!</v>
      </c>
      <c r="AR44" s="39" t="e">
        <f t="shared" ref="AR44" si="613">+IF(AQ41&lt;0,1-AR41/AQ41,AR41/AQ41-1)</f>
        <v>#DIV/0!</v>
      </c>
      <c r="AS44" s="39" t="e">
        <f t="shared" ref="AS44" si="614">+IF(AR41&lt;0,1-AS41/AR41,AS41/AR41-1)</f>
        <v>#DIV/0!</v>
      </c>
      <c r="AT44" s="39" t="e">
        <f t="shared" ref="AT44" si="615">+IF(AS41&lt;0,1-AT41/AS41,AT41/AS41-1)</f>
        <v>#DIV/0!</v>
      </c>
      <c r="AU44" s="39" t="e">
        <f t="shared" ref="AU44" si="616">+IF(AT41&lt;0,1-AU41/AT41,AU41/AT41-1)</f>
        <v>#DIV/0!</v>
      </c>
      <c r="AV44" s="39" t="e">
        <f t="shared" ref="AV44" si="617">+IF(AU41&lt;0,1-AV41/AU41,AV41/AU41-1)</f>
        <v>#DIV/0!</v>
      </c>
      <c r="AW44" s="39" t="e">
        <f t="shared" ref="AW44" si="618">+IF(AV41&lt;0,1-AW41/AV41,AW41/AV41-1)</f>
        <v>#DIV/0!</v>
      </c>
      <c r="AX44" s="39" t="e">
        <f t="shared" ref="AX44" si="619">+IF(AW41&lt;0,1-AX41/AW41,AX41/AW41-1)</f>
        <v>#DIV/0!</v>
      </c>
      <c r="AY44" s="39" t="e">
        <f t="shared" ref="AY44" si="620">+IF(AX41&lt;0,1-AY41/AX41,AY41/AX41-1)</f>
        <v>#DIV/0!</v>
      </c>
      <c r="AZ44" s="39" t="e">
        <f t="shared" ref="AZ44" si="621">+IF(AY41&lt;0,1-AZ41/AY41,AZ41/AY41-1)</f>
        <v>#DIV/0!</v>
      </c>
      <c r="BA44" s="39" t="e">
        <f t="shared" ref="BA44" si="622">+IF(AZ41&lt;0,1-BA41/AZ41,BA41/AZ41-1)</f>
        <v>#DIV/0!</v>
      </c>
      <c r="BB44" s="39" t="e">
        <f t="shared" ref="BB44" si="623">+IF(BA41&lt;0,1-BB41/BA41,BB41/BA41-1)</f>
        <v>#DIV/0!</v>
      </c>
      <c r="BC44" s="39" t="e">
        <f t="shared" ref="BC44" si="624">+IF(BB41&lt;0,1-BC41/BB41,BC41/BB41-1)</f>
        <v>#DIV/0!</v>
      </c>
      <c r="BD44" s="39" t="e">
        <f t="shared" ref="BD44" si="625">+IF(BC41&lt;0,1-BD41/BC41,BD41/BC41-1)</f>
        <v>#DIV/0!</v>
      </c>
      <c r="BE44" s="39" t="e">
        <f t="shared" ref="BE44" si="626">+IF(BD41&lt;0,1-BE41/BD41,BE41/BD41-1)</f>
        <v>#DIV/0!</v>
      </c>
      <c r="BF44" s="39" t="e">
        <f t="shared" ref="BF44" si="627">+IF(BE41&lt;0,1-BF41/BE41,BF41/BE41-1)</f>
        <v>#DIV/0!</v>
      </c>
      <c r="BG44" s="39" t="e">
        <f t="shared" ref="BG44" si="628">+IF(BF41&lt;0,1-BG41/BF41,BG41/BF41-1)</f>
        <v>#DIV/0!</v>
      </c>
      <c r="BH44" s="39" t="e">
        <f t="shared" ref="BH44" si="629">+IF(BG41&lt;0,1-BH41/BG41,BH41/BG41-1)</f>
        <v>#DIV/0!</v>
      </c>
      <c r="BI44" s="39" t="e">
        <f t="shared" ref="BI44" si="630">+IF(BH41&lt;0,1-BI41/BH41,BI41/BH41-1)</f>
        <v>#DIV/0!</v>
      </c>
      <c r="BJ44" s="39" t="e">
        <f t="shared" ref="BJ44" si="631">+IF(BI41&lt;0,1-BJ41/BI41,BJ41/BI41-1)</f>
        <v>#DIV/0!</v>
      </c>
      <c r="BK44" s="39" t="e">
        <f t="shared" ref="BK44" si="632">+IF(BJ41&lt;0,1-BK41/BJ41,BK41/BJ41-1)</f>
        <v>#DIV/0!</v>
      </c>
      <c r="BL44" s="39" t="e">
        <f t="shared" ref="BL44" si="633">+IF(BK41&lt;0,1-BL41/BK41,BL41/BK41-1)</f>
        <v>#DIV/0!</v>
      </c>
      <c r="BM44" s="39" t="e">
        <f t="shared" ref="BM44" si="634">+IF(BL41&lt;0,1-BM41/BL41,BM41/BL41-1)</f>
        <v>#DIV/0!</v>
      </c>
      <c r="BN44" s="39" t="e">
        <f t="shared" ref="BN44" si="635">+IF(BM41&lt;0,1-BN41/BM41,BN41/BM41-1)</f>
        <v>#DIV/0!</v>
      </c>
      <c r="BO44" s="39" t="e">
        <f t="shared" ref="BO44" si="636">+IF(BN41&lt;0,1-BO41/BN41,BO41/BN41-1)</f>
        <v>#DIV/0!</v>
      </c>
      <c r="BP44" s="39" t="e">
        <f t="shared" ref="BP44" si="637">+IF(BO41&lt;0,1-BP41/BO41,BP41/BO41-1)</f>
        <v>#DIV/0!</v>
      </c>
      <c r="BQ44" s="39" t="e">
        <f t="shared" ref="BQ44" si="638">+IF(BP41&lt;0,1-BQ41/BP41,BQ41/BP41-1)</f>
        <v>#DIV/0!</v>
      </c>
      <c r="BR44" s="39" t="e">
        <f t="shared" ref="BR44" si="639">+IF(BQ41&lt;0,1-BR41/BQ41,BR41/BQ41-1)</f>
        <v>#DIV/0!</v>
      </c>
      <c r="BS44" s="39" t="e">
        <f t="shared" ref="BS44" si="640">+IF(BR41&lt;0,1-BS41/BR41,BS41/BR41-1)</f>
        <v>#DIV/0!</v>
      </c>
      <c r="BT44" s="39" t="e">
        <f t="shared" ref="BT44" si="641">+IF(BS41&lt;0,1-BT41/BS41,BT41/BS41-1)</f>
        <v>#DIV/0!</v>
      </c>
      <c r="BU44" s="39" t="e">
        <f t="shared" ref="BU44" si="642">+IF(BT41&lt;0,1-BU41/BT41,BU41/BT41-1)</f>
        <v>#DIV/0!</v>
      </c>
      <c r="BV44" s="39" t="e">
        <f t="shared" ref="BV44" si="643">+IF(BU41&lt;0,1-BV41/BU41,BV41/BU41-1)</f>
        <v>#DIV/0!</v>
      </c>
      <c r="BW44" s="39" t="e">
        <f t="shared" ref="BW44" si="644">+IF(BV41&lt;0,1-BW41/BV41,BW41/BV41-1)</f>
        <v>#DIV/0!</v>
      </c>
      <c r="BX44" s="39">
        <f t="shared" ref="BX44" si="645">+IF(BW41&lt;0,1-BX41/BW41,BX41/BW41-1)</f>
        <v>0.12306232204998424</v>
      </c>
      <c r="BY44" s="39">
        <f t="shared" ref="BY44" si="646">+IF(BX41&lt;0,1-BY41/BX41,BY41/BX41-1)</f>
        <v>-0.19464788732394744</v>
      </c>
      <c r="BZ44" s="39">
        <f t="shared" ref="BZ44" si="647">+IF(BY41&lt;0,1-BZ41/BY41,BZ41/BY41-1)</f>
        <v>1.2012941587967911</v>
      </c>
      <c r="CA44" s="39">
        <f t="shared" ref="CA44" si="648">+IF(BZ41&lt;0,1-CA41/BZ41,CA41/BZ41-1)</f>
        <v>-0.57424326686263616</v>
      </c>
      <c r="CB44" s="39">
        <f t="shared" ref="CB44" si="649">+IF(CA41&lt;0,1-CB41/CA41,CB41/CA41-1)</f>
        <v>1.7342787833551148</v>
      </c>
      <c r="CC44" s="39">
        <f t="shared" ref="CC44" si="650">+IF(CB41&lt;0,1-CC41/CB41,CC41/CB41-1)</f>
        <v>0.25844536954889241</v>
      </c>
      <c r="CD44" s="39">
        <f t="shared" ref="CD44" si="651">+IF(CC41&lt;0,1-CD41/CC41,CD41/CC41-1)</f>
        <v>0.23340563991323471</v>
      </c>
      <c r="CE44" s="39">
        <f t="shared" ref="CE44" si="652">+IF(CD41&lt;0,1-CE41/CD41,CE41/CD41-1)</f>
        <v>-0.53411888849806599</v>
      </c>
      <c r="CF44" s="39">
        <f t="shared" ref="CF44" si="653">+IF(CE41&lt;0,1-CF41/CE41,CF41/CE41-1)</f>
        <v>0.45847489618724158</v>
      </c>
      <c r="CG44" s="39">
        <f t="shared" ref="CG44" si="654">+IF(CF41&lt;0,1-CG41/CF41,CG41/CF41-1)</f>
        <v>-0.28879254561926027</v>
      </c>
      <c r="CH44" s="39">
        <f t="shared" ref="CH44:CL44" si="655">+IF(CG41&lt;0,1-CH41/CG41,CH41/CG41-1)</f>
        <v>1.8236739150213928</v>
      </c>
      <c r="CI44" s="39">
        <f t="shared" si="655"/>
        <v>-0.75952956339616506</v>
      </c>
      <c r="CJ44" s="39">
        <f t="shared" si="655"/>
        <v>3.3072490955379754</v>
      </c>
      <c r="CK44" s="39">
        <f t="shared" si="655"/>
        <v>-0.65055218540986159</v>
      </c>
      <c r="CL44" s="39">
        <f t="shared" si="655"/>
        <v>0.99777441467105787</v>
      </c>
      <c r="CM44" s="40">
        <f t="shared" ref="CM44" si="656">+CM41/CL41-1</f>
        <v>-0.60152120269573262</v>
      </c>
      <c r="CN44" s="40">
        <f t="shared" ref="CN44" si="657">+CN41/CM41-1</f>
        <v>0.17945384906570538</v>
      </c>
      <c r="CO44" s="40">
        <f t="shared" ref="CO44" si="658">+CO41/CN41-1</f>
        <v>-3.7072163356170362E-2</v>
      </c>
      <c r="CP44" s="40">
        <f t="shared" ref="CP44" si="659">+CP41/CO41-1</f>
        <v>0.57515342555530435</v>
      </c>
      <c r="CQ44" s="40">
        <f t="shared" ref="CQ44" si="660">+CQ41/CP41-1</f>
        <v>-0.53786447750886412</v>
      </c>
      <c r="CR44" s="40">
        <f t="shared" ref="CR44" si="661">+CR41/CQ41-1</f>
        <v>8.4643648304736363E-2</v>
      </c>
      <c r="CS44" s="40">
        <f t="shared" ref="CS44" si="662">+CS41/CR41-1</f>
        <v>-1.9175618344019485E-3</v>
      </c>
      <c r="CT44" s="40">
        <f t="shared" ref="CT44" si="663">+CT41/CS41-1</f>
        <v>0.55315484772178425</v>
      </c>
      <c r="CU44" s="40">
        <f t="shared" ref="CU44" si="664">+CU41/CT41-1</f>
        <v>-0.54357273203075473</v>
      </c>
      <c r="CV44" s="40">
        <f t="shared" ref="CV44" si="665">+CV41/CU41-1</f>
        <v>7.4129029073429553E-2</v>
      </c>
      <c r="CW44" s="40">
        <f t="shared" ref="CW44" si="666">+CW41/CV41-1</f>
        <v>2.2650807914630366E-3</v>
      </c>
      <c r="CX44" s="40">
        <f t="shared" ref="CX44" si="667">+CX41/CW41-1</f>
        <v>0.58682300613910199</v>
      </c>
      <c r="CY44" s="40">
        <f t="shared" ref="CY44" si="668">+CY41/CX41-1</f>
        <v>-0.56580152528020777</v>
      </c>
      <c r="CZ44" s="40">
        <f t="shared" ref="CZ44" si="669">+CZ41/CY41-1</f>
        <v>7.869908109231738E-2</v>
      </c>
      <c r="DA44" s="40">
        <f t="shared" ref="DA44" si="670">+DA41/CZ41-1</f>
        <v>3.2043290102796718E-3</v>
      </c>
      <c r="DB44" s="40">
        <f t="shared" ref="DB44" si="671">+DB41/DA41-1</f>
        <v>0.64231578527960731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-4.1349150999999997</v>
      </c>
      <c r="Q47" s="75">
        <f>'Annual Raw'!R29+'Annual Raw'!R31+'Annual Raw'!R34+'Annual Raw'!R36</f>
        <v>-10.686216699999999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-0.33500000000000002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0</v>
      </c>
      <c r="K48" s="26">
        <f t="shared" si="692"/>
        <v>0</v>
      </c>
      <c r="L48" s="26">
        <f t="shared" si="692"/>
        <v>3.4259695000000008</v>
      </c>
      <c r="M48" s="26">
        <f t="shared" si="692"/>
        <v>4.1452020000000003</v>
      </c>
      <c r="N48" s="26">
        <f t="shared" si="692"/>
        <v>5.0267934999999992</v>
      </c>
      <c r="O48" s="26">
        <f t="shared" si="692"/>
        <v>21.406023500000003</v>
      </c>
      <c r="P48" s="26">
        <f t="shared" si="692"/>
        <v>16.565043400000029</v>
      </c>
      <c r="Q48" s="26">
        <f t="shared" si="692"/>
        <v>-6.9302415000000135</v>
      </c>
      <c r="R48" s="26">
        <f t="shared" si="692"/>
        <v>0.59051890000000395</v>
      </c>
      <c r="S48" s="26">
        <f t="shared" si="692"/>
        <v>-3.8440465000000139</v>
      </c>
      <c r="T48" s="26">
        <f t="shared" si="692"/>
        <v>-0.93299999999999605</v>
      </c>
      <c r="U48" s="26">
        <f t="shared" si="692"/>
        <v>-6.7039999999999722</v>
      </c>
      <c r="V48" s="26">
        <f t="shared" ref="V48:AA48" si="693">V41+V45+V46+V47</f>
        <v>11.81400000000003</v>
      </c>
      <c r="W48" s="26">
        <f t="shared" si="693"/>
        <v>39.460000000000008</v>
      </c>
      <c r="X48" s="26">
        <f t="shared" si="693"/>
        <v>31.726999999999975</v>
      </c>
      <c r="Y48" s="26">
        <f t="shared" si="693"/>
        <v>61.196000000000069</v>
      </c>
      <c r="Z48" s="26">
        <f t="shared" si="693"/>
        <v>68.076000000000064</v>
      </c>
      <c r="AA48" s="26">
        <f t="shared" si="693"/>
        <v>73.281999999999897</v>
      </c>
      <c r="AB48" s="27">
        <f t="shared" ref="AB48:AD48" si="694">AB41+AB45+AB46+AB47</f>
        <v>45.642472409292822</v>
      </c>
      <c r="AC48" s="27">
        <f t="shared" si="694"/>
        <v>35.8451485484157</v>
      </c>
      <c r="AD48" s="27">
        <f t="shared" si="694"/>
        <v>27.567758542992308</v>
      </c>
      <c r="AE48" s="27">
        <f t="shared" ref="AE48" si="695">AE41+AE45+AE46+AE47</f>
        <v>20.781147006459118</v>
      </c>
      <c r="AI48" s="26">
        <f t="shared" ref="AI48" si="696">AI41+AI45+AI46+AI47</f>
        <v>0</v>
      </c>
      <c r="AJ48" s="26">
        <f t="shared" ref="AJ48" si="697">AJ41+AJ45+AJ46+AJ47</f>
        <v>0</v>
      </c>
      <c r="AK48" s="26">
        <f t="shared" ref="AK48:AM48" si="698">AK41+AK45+AK46+AK47</f>
        <v>0</v>
      </c>
      <c r="AL48" s="26">
        <f t="shared" si="698"/>
        <v>0</v>
      </c>
      <c r="AM48" s="26">
        <f t="shared" si="698"/>
        <v>0</v>
      </c>
      <c r="AN48" s="26">
        <f t="shared" ref="AN48:AO48" si="699">AN41+AN45+AN46+AN47</f>
        <v>0</v>
      </c>
      <c r="AO48" s="26">
        <f t="shared" si="699"/>
        <v>0</v>
      </c>
      <c r="AP48" s="26">
        <f t="shared" ref="AP48:CD48" si="700">AP41+AP45+AP46+AP47</f>
        <v>0</v>
      </c>
      <c r="AQ48" s="26">
        <f t="shared" si="700"/>
        <v>0</v>
      </c>
      <c r="AR48" s="26">
        <f t="shared" si="700"/>
        <v>0</v>
      </c>
      <c r="AS48" s="26">
        <f t="shared" si="700"/>
        <v>0</v>
      </c>
      <c r="AT48" s="26">
        <f t="shared" si="700"/>
        <v>0</v>
      </c>
      <c r="AU48" s="26">
        <f t="shared" si="700"/>
        <v>0</v>
      </c>
      <c r="AV48" s="26">
        <f t="shared" si="700"/>
        <v>0</v>
      </c>
      <c r="AW48" s="26">
        <f t="shared" si="700"/>
        <v>0</v>
      </c>
      <c r="AX48" s="26">
        <f t="shared" si="700"/>
        <v>0</v>
      </c>
      <c r="AY48" s="26">
        <f t="shared" si="700"/>
        <v>0</v>
      </c>
      <c r="AZ48" s="26">
        <f t="shared" si="700"/>
        <v>0</v>
      </c>
      <c r="BA48" s="26">
        <f t="shared" si="700"/>
        <v>0</v>
      </c>
      <c r="BB48" s="26">
        <f t="shared" si="700"/>
        <v>0</v>
      </c>
      <c r="BC48" s="26">
        <f t="shared" si="700"/>
        <v>0</v>
      </c>
      <c r="BD48" s="26">
        <f t="shared" si="700"/>
        <v>0</v>
      </c>
      <c r="BE48" s="26">
        <f t="shared" si="700"/>
        <v>0</v>
      </c>
      <c r="BF48" s="26">
        <f t="shared" si="700"/>
        <v>0</v>
      </c>
      <c r="BG48" s="26">
        <f t="shared" si="700"/>
        <v>0</v>
      </c>
      <c r="BH48" s="26">
        <f t="shared" si="700"/>
        <v>0</v>
      </c>
      <c r="BI48" s="26">
        <f t="shared" si="700"/>
        <v>0</v>
      </c>
      <c r="BJ48" s="26">
        <f t="shared" si="700"/>
        <v>0</v>
      </c>
      <c r="BK48" s="26">
        <f t="shared" si="700"/>
        <v>0</v>
      </c>
      <c r="BL48" s="26">
        <f t="shared" si="700"/>
        <v>0</v>
      </c>
      <c r="BM48" s="26">
        <f t="shared" si="700"/>
        <v>0</v>
      </c>
      <c r="BN48" s="26">
        <f t="shared" si="700"/>
        <v>0</v>
      </c>
      <c r="BO48" s="26">
        <f t="shared" si="700"/>
        <v>0</v>
      </c>
      <c r="BP48" s="26">
        <f t="shared" si="700"/>
        <v>0</v>
      </c>
      <c r="BQ48" s="26">
        <f t="shared" si="700"/>
        <v>0</v>
      </c>
      <c r="BR48" s="26">
        <f t="shared" si="700"/>
        <v>0</v>
      </c>
      <c r="BS48" s="26">
        <f t="shared" si="700"/>
        <v>0</v>
      </c>
      <c r="BT48" s="26">
        <f t="shared" si="700"/>
        <v>0</v>
      </c>
      <c r="BU48" s="26">
        <f t="shared" si="700"/>
        <v>0</v>
      </c>
      <c r="BV48" s="26">
        <f t="shared" si="700"/>
        <v>0</v>
      </c>
      <c r="BW48" s="26">
        <f t="shared" si="700"/>
        <v>6.322000000000001</v>
      </c>
      <c r="BX48" s="26">
        <f t="shared" si="700"/>
        <v>7.1000000000000014</v>
      </c>
      <c r="BY48" s="26">
        <f t="shared" si="700"/>
        <v>5.7179999999999742</v>
      </c>
      <c r="BZ48" s="26">
        <f t="shared" si="700"/>
        <v>12.586999999999994</v>
      </c>
      <c r="CA48" s="26">
        <f t="shared" si="700"/>
        <v>5.3589999999999964</v>
      </c>
      <c r="CB48" s="26">
        <f t="shared" si="700"/>
        <v>14.65300000000005</v>
      </c>
      <c r="CC48" s="26">
        <f t="shared" si="700"/>
        <v>18.439999999999984</v>
      </c>
      <c r="CD48" s="26">
        <f t="shared" si="700"/>
        <v>22.744000000000028</v>
      </c>
      <c r="CE48" s="26">
        <f t="shared" ref="CE48:CF48" si="701">CE41+CE45+CE46+CE47</f>
        <v>10.596</v>
      </c>
      <c r="CF48" s="26">
        <f t="shared" si="701"/>
        <v>15.454000000000011</v>
      </c>
      <c r="CG48" s="26">
        <f t="shared" ref="CG48:CH48" si="702">CG41+CG45+CG46+CG47</f>
        <v>10.990999999999961</v>
      </c>
      <c r="CH48" s="26">
        <f t="shared" si="702"/>
        <v>31.035000000000018</v>
      </c>
      <c r="CI48" s="26">
        <f t="shared" ref="CI48:CJ48" si="703">CI41+CI45+CI46+CI47</f>
        <v>7.4630000000000205</v>
      </c>
      <c r="CJ48" s="26">
        <f t="shared" si="703"/>
        <v>32.144999999999996</v>
      </c>
      <c r="CK48" s="26">
        <f t="shared" ref="CK48:CL48" si="704">CK41+CK45+CK46+CK47</f>
        <v>11.232999999999997</v>
      </c>
      <c r="CL48" s="26">
        <f t="shared" si="704"/>
        <v>22.440999999999988</v>
      </c>
      <c r="CM48" s="27">
        <f t="shared" ref="CM48:DB48" si="705">CM41+CM45+CM46+CM47</f>
        <v>8.9422626903050606</v>
      </c>
      <c r="CN48" s="27">
        <f t="shared" si="705"/>
        <v>10.546986149436954</v>
      </c>
      <c r="CO48" s="27">
        <f t="shared" si="705"/>
        <v>10.155986555989761</v>
      </c>
      <c r="CP48" s="27">
        <f t="shared" si="705"/>
        <v>15.997237013560891</v>
      </c>
      <c r="CQ48" s="27">
        <f t="shared" si="705"/>
        <v>7.3928914856765013</v>
      </c>
      <c r="CR48" s="27">
        <f t="shared" si="705"/>
        <v>8.0186527925451827</v>
      </c>
      <c r="CS48" s="27">
        <f t="shared" si="705"/>
        <v>8.0032765299868771</v>
      </c>
      <c r="CT48" s="27">
        <f t="shared" si="705"/>
        <v>12.430327740207098</v>
      </c>
      <c r="CU48" s="27">
        <f t="shared" si="705"/>
        <v>5.6735405304250479</v>
      </c>
      <c r="CV48" s="27">
        <f t="shared" si="705"/>
        <v>6.0941145813542068</v>
      </c>
      <c r="CW48" s="27">
        <f t="shared" si="705"/>
        <v>6.1079182432334065</v>
      </c>
      <c r="CX48" s="27">
        <f t="shared" si="705"/>
        <v>9.6921851879794971</v>
      </c>
      <c r="CY48" s="27">
        <f t="shared" si="705"/>
        <v>4.208332025322461</v>
      </c>
      <c r="CZ48" s="27">
        <f t="shared" si="705"/>
        <v>4.53952388864671</v>
      </c>
      <c r="DA48" s="27">
        <f t="shared" si="705"/>
        <v>4.5540700167359587</v>
      </c>
      <c r="DB48" s="27">
        <f t="shared" si="705"/>
        <v>7.4792210757540305</v>
      </c>
      <c r="DE48" s="121"/>
      <c r="DF48" s="26">
        <v>73.282000000000153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3.4259694999999999</v>
      </c>
      <c r="M51" s="22">
        <f>'Annual Raw'!N35</f>
        <v>4.1452020000000003</v>
      </c>
      <c r="N51" s="22">
        <f>'Annual Raw'!O35</f>
        <v>5.0267935000000001</v>
      </c>
      <c r="O51" s="22">
        <f>'Annual Raw'!P35</f>
        <v>21.4060235</v>
      </c>
      <c r="P51" s="22">
        <f>'Annual Raw'!Q35</f>
        <v>16.5650434</v>
      </c>
      <c r="Q51" s="22">
        <f>'Annual Raw'!R35</f>
        <v>-6.9302415000000002</v>
      </c>
      <c r="R51" s="22">
        <f>'Annual Raw'!S35</f>
        <v>0.59051889999999996</v>
      </c>
      <c r="S51" s="22">
        <f>'Annual Raw'!T35</f>
        <v>-3.8440465000000001</v>
      </c>
      <c r="T51" s="22">
        <f>'Annual Raw'!U35</f>
        <v>-0.93300000000000005</v>
      </c>
      <c r="U51" s="22">
        <f>'Annual Raw'!V35</f>
        <v>-6.7039999999999997</v>
      </c>
      <c r="V51" s="22">
        <f>'Annual Raw'!W35</f>
        <v>11.814</v>
      </c>
      <c r="W51" s="22">
        <f>'Annual Raw'!X35</f>
        <v>39.795000000000002</v>
      </c>
      <c r="X51" s="22">
        <f>'Annual Raw'!Y35</f>
        <v>31.727</v>
      </c>
      <c r="Y51" s="22">
        <f>'Annual Raw'!Z35</f>
        <v>61.195999999999998</v>
      </c>
      <c r="Z51" s="22">
        <f>'Annual Raw'!AA35</f>
        <v>68.075999999999993</v>
      </c>
      <c r="AA51" s="22">
        <f>'Annual Raw'!AB35</f>
        <v>73.281999999999996</v>
      </c>
      <c r="AB51" s="21">
        <f t="shared" ref="AB51:AD51" si="706">+AB48</f>
        <v>45.642472409292822</v>
      </c>
      <c r="AC51" s="21">
        <f t="shared" si="706"/>
        <v>35.8451485484157</v>
      </c>
      <c r="AD51" s="21">
        <f t="shared" si="706"/>
        <v>27.567758542992308</v>
      </c>
      <c r="AE51" s="21">
        <f t="shared" ref="AE51" si="707">+AE48</f>
        <v>20.781147006459118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</v>
      </c>
      <c r="BV51" s="22">
        <f>'QTR Raw'!AP42</f>
        <v>0</v>
      </c>
      <c r="BW51" s="22">
        <f>'QTR Raw'!AQ42</f>
        <v>6.3219999999999903</v>
      </c>
      <c r="BX51" s="22">
        <f>'QTR Raw'!AR42</f>
        <v>7.0999999999999899</v>
      </c>
      <c r="BY51" s="22">
        <f>'QTR Raw'!AS42</f>
        <v>5.7179999999999804</v>
      </c>
      <c r="BZ51" s="22">
        <f>'QTR Raw'!AT42</f>
        <v>12.587</v>
      </c>
      <c r="CA51" s="22">
        <f>'QTR Raw'!AU42</f>
        <v>5.359</v>
      </c>
      <c r="CB51" s="22">
        <f>'QTR Raw'!AV42</f>
        <v>14.653</v>
      </c>
      <c r="CC51" s="22">
        <f>'QTR Raw'!AW42</f>
        <v>18.440000000000001</v>
      </c>
      <c r="CD51" s="22">
        <f>'QTR Raw'!AX42</f>
        <v>22.744</v>
      </c>
      <c r="CE51" s="22">
        <f>'QTR Raw'!AY42</f>
        <v>10.596</v>
      </c>
      <c r="CF51" s="22">
        <f>'QTR Raw'!AZ42</f>
        <v>15.454000000000001</v>
      </c>
      <c r="CG51" s="22">
        <f>'QTR Raw'!BA42</f>
        <v>10.991</v>
      </c>
      <c r="CH51" s="22">
        <f>'QTR Raw'!BB42</f>
        <v>31.035</v>
      </c>
      <c r="CI51" s="22">
        <f>'QTR Raw'!BC42</f>
        <v>7.4630000000000001</v>
      </c>
      <c r="CJ51" s="22">
        <f>'QTR Raw'!BD42</f>
        <v>32.145000000000003</v>
      </c>
      <c r="CK51" s="22">
        <f>'QTR Raw'!BE42</f>
        <v>11.233000000000001</v>
      </c>
      <c r="CL51" s="22">
        <f>'QTR Raw'!BF42</f>
        <v>22.440999999999999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73.282000000000153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-2.8421709430404007E-14</v>
      </c>
      <c r="Q52" s="25">
        <f t="shared" si="708"/>
        <v>1.3322676295501878E-14</v>
      </c>
      <c r="R52" s="25">
        <f t="shared" si="708"/>
        <v>-3.9968028886505635E-15</v>
      </c>
      <c r="S52" s="25">
        <f t="shared" si="708"/>
        <v>1.3766765505351941E-14</v>
      </c>
      <c r="T52" s="25">
        <f t="shared" si="708"/>
        <v>-3.9968028886505635E-15</v>
      </c>
      <c r="U52" s="25">
        <f t="shared" si="708"/>
        <v>-2.7533531010703882E-14</v>
      </c>
      <c r="V52" s="25">
        <f t="shared" si="708"/>
        <v>-3.0198066269804258E-14</v>
      </c>
      <c r="W52" s="25">
        <f t="shared" ref="W52" si="709">W51-W48</f>
        <v>0.33499999999999375</v>
      </c>
      <c r="X52" s="25">
        <f t="shared" ref="X52:Y52" si="710">X51-X48</f>
        <v>0</v>
      </c>
      <c r="Y52" s="25">
        <f t="shared" si="710"/>
        <v>-7.1054273576010019E-14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-1.0658141036401503E-14</v>
      </c>
      <c r="BX52" s="25">
        <f t="shared" si="719"/>
        <v>-1.1546319456101628E-14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-4.9737991503207013E-14</v>
      </c>
      <c r="CC52" s="25">
        <f t="shared" si="719"/>
        <v>0</v>
      </c>
      <c r="CD52" s="25">
        <f t="shared" si="719"/>
        <v>-2.8421709430404007E-14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3.907985046680551E-14</v>
      </c>
      <c r="CH52" s="25">
        <f t="shared" si="721"/>
        <v>0</v>
      </c>
      <c r="CI52" s="25">
        <f t="shared" ref="CI52:CJ52" si="722">CI51-CI48</f>
        <v>-2.042810365310288E-14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 t="e">
        <f t="shared" si="724"/>
        <v>#DIV/0!</v>
      </c>
      <c r="K54" s="39" t="e">
        <f t="shared" si="724"/>
        <v>#DIV/0!</v>
      </c>
      <c r="L54" s="39">
        <f t="shared" si="724"/>
        <v>0.17749963508889827</v>
      </c>
      <c r="M54" s="39">
        <f t="shared" si="724"/>
        <v>0.18841588926627351</v>
      </c>
      <c r="N54" s="39">
        <f t="shared" si="724"/>
        <v>0.19860945465830129</v>
      </c>
      <c r="O54" s="39">
        <f t="shared" si="724"/>
        <v>0.50271244960942041</v>
      </c>
      <c r="P54" s="39">
        <f t="shared" si="724"/>
        <v>0.43997345054595366</v>
      </c>
      <c r="Q54" s="39">
        <f t="shared" si="724"/>
        <v>9.3623290533613457E-2</v>
      </c>
      <c r="R54" s="39">
        <f t="shared" si="724"/>
        <v>1.4588482974027631E-2</v>
      </c>
      <c r="S54" s="39">
        <f t="shared" si="724"/>
        <v>-0.1062641787637327</v>
      </c>
      <c r="T54" s="39">
        <f t="shared" si="724"/>
        <v>-2.6714387974230383E-2</v>
      </c>
      <c r="U54" s="39">
        <f t="shared" si="724"/>
        <v>-0.26079514510230967</v>
      </c>
      <c r="V54" s="39">
        <f t="shared" si="724"/>
        <v>0.3137681929246795</v>
      </c>
      <c r="W54" s="39">
        <f t="shared" si="724"/>
        <v>0.51606753812636175</v>
      </c>
      <c r="X54" s="39">
        <f t="shared" si="724"/>
        <v>0.16034102854370488</v>
      </c>
      <c r="Y54" s="39">
        <f t="shared" si="724"/>
        <v>6.7323961636035282E-2</v>
      </c>
      <c r="Z54" s="39">
        <f t="shared" si="724"/>
        <v>7.1701590946194382E-2</v>
      </c>
      <c r="AA54" s="39">
        <f t="shared" ref="AA54" si="725">(AA48-AA47)/AA120</f>
        <v>7.2405316428681421E-2</v>
      </c>
      <c r="AB54" s="40">
        <f t="shared" si="724"/>
        <v>4.3150510068154929E-2</v>
      </c>
      <c r="AC54" s="40">
        <f t="shared" si="724"/>
        <v>3.2777333651925721E-2</v>
      </c>
      <c r="AD54" s="40">
        <f t="shared" si="724"/>
        <v>2.4588529242963099E-2</v>
      </c>
      <c r="AE54" s="40">
        <f t="shared" si="724"/>
        <v>1.8198035477276595E-2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 t="e">
        <f t="shared" si="726"/>
        <v>#DIV/0!</v>
      </c>
      <c r="AN54" s="39" t="e">
        <f t="shared" si="726"/>
        <v>#DIV/0!</v>
      </c>
      <c r="AO54" s="39" t="e">
        <f t="shared" si="726"/>
        <v>#DIV/0!</v>
      </c>
      <c r="AP54" s="39" t="e">
        <f t="shared" si="726"/>
        <v>#DIV/0!</v>
      </c>
      <c r="AQ54" s="39" t="e">
        <f t="shared" si="726"/>
        <v>#DIV/0!</v>
      </c>
      <c r="AR54" s="39" t="e">
        <f t="shared" si="726"/>
        <v>#DIV/0!</v>
      </c>
      <c r="AS54" s="39" t="e">
        <f t="shared" si="726"/>
        <v>#DIV/0!</v>
      </c>
      <c r="AT54" s="39" t="e">
        <f t="shared" si="726"/>
        <v>#DIV/0!</v>
      </c>
      <c r="AU54" s="39" t="e">
        <f t="shared" si="726"/>
        <v>#DIV/0!</v>
      </c>
      <c r="AV54" s="39" t="e">
        <f t="shared" si="726"/>
        <v>#DIV/0!</v>
      </c>
      <c r="AW54" s="39" t="e">
        <f t="shared" si="726"/>
        <v>#DIV/0!</v>
      </c>
      <c r="AX54" s="39" t="e">
        <f t="shared" si="726"/>
        <v>#DIV/0!</v>
      </c>
      <c r="AY54" s="39" t="e">
        <f t="shared" si="726"/>
        <v>#DIV/0!</v>
      </c>
      <c r="AZ54" s="39" t="e">
        <f t="shared" si="726"/>
        <v>#DIV/0!</v>
      </c>
      <c r="BA54" s="39" t="e">
        <f t="shared" si="726"/>
        <v>#DIV/0!</v>
      </c>
      <c r="BB54" s="39" t="e">
        <f t="shared" si="726"/>
        <v>#DIV/0!</v>
      </c>
      <c r="BC54" s="39" t="e">
        <f t="shared" si="726"/>
        <v>#DIV/0!</v>
      </c>
      <c r="BD54" s="39" t="e">
        <f t="shared" si="726"/>
        <v>#DIV/0!</v>
      </c>
      <c r="BE54" s="39" t="e">
        <f t="shared" si="726"/>
        <v>#DIV/0!</v>
      </c>
      <c r="BF54" s="39" t="e">
        <f t="shared" si="726"/>
        <v>#DIV/0!</v>
      </c>
      <c r="BG54" s="39" t="e">
        <f t="shared" si="726"/>
        <v>#DIV/0!</v>
      </c>
      <c r="BH54" s="39" t="e">
        <f t="shared" si="726"/>
        <v>#DIV/0!</v>
      </c>
      <c r="BI54" s="39" t="e">
        <f t="shared" si="726"/>
        <v>#DIV/0!</v>
      </c>
      <c r="BJ54" s="39" t="e">
        <f t="shared" si="726"/>
        <v>#DIV/0!</v>
      </c>
      <c r="BK54" s="39" t="e">
        <f t="shared" si="726"/>
        <v>#DIV/0!</v>
      </c>
      <c r="BL54" s="39" t="e">
        <f t="shared" si="726"/>
        <v>#DIV/0!</v>
      </c>
      <c r="BM54" s="39" t="e">
        <f t="shared" si="726"/>
        <v>#DIV/0!</v>
      </c>
      <c r="BN54" s="39" t="e">
        <f t="shared" si="726"/>
        <v>#DIV/0!</v>
      </c>
      <c r="BO54" s="39" t="e">
        <f t="shared" si="726"/>
        <v>#DIV/0!</v>
      </c>
      <c r="BP54" s="39" t="e">
        <f t="shared" si="726"/>
        <v>#DIV/0!</v>
      </c>
      <c r="BQ54" s="39" t="e">
        <f t="shared" si="726"/>
        <v>#DIV/0!</v>
      </c>
      <c r="BR54" s="39" t="e">
        <f t="shared" ref="BR54:CW54" si="727">(SUM(BO48:BR48)-SUM(BO47:BR47))/BR120</f>
        <v>#DIV/0!</v>
      </c>
      <c r="BS54" s="39" t="e">
        <f t="shared" si="727"/>
        <v>#DIV/0!</v>
      </c>
      <c r="BT54" s="39" t="e">
        <f t="shared" si="727"/>
        <v>#DIV/0!</v>
      </c>
      <c r="BU54" s="39" t="e">
        <f t="shared" si="727"/>
        <v>#DIV/0!</v>
      </c>
      <c r="BV54" s="39" t="e">
        <f t="shared" si="727"/>
        <v>#DIV/0!</v>
      </c>
      <c r="BW54" s="39">
        <f t="shared" si="727"/>
        <v>1</v>
      </c>
      <c r="BX54" s="39" t="e">
        <f t="shared" si="727"/>
        <v>#DIV/0!</v>
      </c>
      <c r="BY54" s="39">
        <f t="shared" si="727"/>
        <v>3.347324239244502</v>
      </c>
      <c r="BZ54" s="39">
        <f t="shared" si="727"/>
        <v>0.16034102854370486</v>
      </c>
      <c r="CA54" s="39">
        <f t="shared" si="727"/>
        <v>0.15137454423783758</v>
      </c>
      <c r="CB54" s="39">
        <f t="shared" si="727"/>
        <v>4.3066648383637898E-2</v>
      </c>
      <c r="CC54" s="39">
        <f t="shared" si="727"/>
        <v>5.6200820565675012E-2</v>
      </c>
      <c r="CD54" s="39">
        <f t="shared" si="727"/>
        <v>6.7323961636035254E-2</v>
      </c>
      <c r="CE54" s="39">
        <f t="shared" si="727"/>
        <v>7.2243234367217926E-2</v>
      </c>
      <c r="CF54" s="39">
        <f t="shared" si="727"/>
        <v>7.1724376302814002E-2</v>
      </c>
      <c r="CG54" s="39">
        <f t="shared" si="727"/>
        <v>6.3038744813551456E-2</v>
      </c>
      <c r="CH54" s="39">
        <f t="shared" si="727"/>
        <v>7.1701590946194299E-2</v>
      </c>
      <c r="CI54" s="39">
        <f t="shared" si="727"/>
        <v>6.7868257640835289E-2</v>
      </c>
      <c r="CJ54" s="39">
        <f t="shared" si="727"/>
        <v>8.2771193426486492E-2</v>
      </c>
      <c r="CK54" s="39">
        <f t="shared" si="727"/>
        <v>8.2081696732010448E-2</v>
      </c>
      <c r="CL54" s="39">
        <f t="shared" si="727"/>
        <v>7.2405316428681532E-2</v>
      </c>
      <c r="CM54" s="40">
        <f t="shared" si="727"/>
        <v>7.3219963230136201E-2</v>
      </c>
      <c r="CN54" s="40">
        <f t="shared" si="727"/>
        <v>5.1534888154786934E-2</v>
      </c>
      <c r="CO54" s="40">
        <f t="shared" si="727"/>
        <v>4.9998630794696526E-2</v>
      </c>
      <c r="CP54" s="40">
        <f t="shared" si="727"/>
        <v>4.3150510068154783E-2</v>
      </c>
      <c r="CQ54" s="40">
        <f t="shared" si="727"/>
        <v>4.1396400427662995E-2</v>
      </c>
      <c r="CR54" s="40">
        <f t="shared" si="727"/>
        <v>3.8731120931831543E-2</v>
      </c>
      <c r="CS54" s="40">
        <f t="shared" si="727"/>
        <v>3.6453313909551116E-2</v>
      </c>
      <c r="CT54" s="40">
        <f t="shared" si="727"/>
        <v>3.2777333651925679E-2</v>
      </c>
      <c r="CU54" s="40">
        <f t="shared" si="727"/>
        <v>3.1044078000847831E-2</v>
      </c>
      <c r="CV54" s="40">
        <f t="shared" si="727"/>
        <v>2.9131833922035354E-2</v>
      </c>
      <c r="CW54" s="40">
        <f t="shared" si="727"/>
        <v>2.7266474606172257E-2</v>
      </c>
      <c r="CX54" s="40">
        <f t="shared" ref="CX54:DB54" si="728">(SUM(CU48:CX48)-SUM(CU47:CX47))/CX120</f>
        <v>2.4588529242962964E-2</v>
      </c>
      <c r="CY54" s="40">
        <f t="shared" si="728"/>
        <v>2.319460296588944E-2</v>
      </c>
      <c r="CZ54" s="40">
        <f t="shared" si="728"/>
        <v>2.1725564429999795E-2</v>
      </c>
      <c r="DA54" s="40">
        <f t="shared" si="728"/>
        <v>2.0268677242571649E-2</v>
      </c>
      <c r="DB54" s="40">
        <f t="shared" si="728"/>
        <v>1.8198035477276633E-2</v>
      </c>
      <c r="DE54" s="122"/>
      <c r="DF54" s="38">
        <v>7.2405316428681671E-2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 t="e">
        <f t="shared" si="729"/>
        <v>#DIV/0!</v>
      </c>
      <c r="K55" s="39" t="e">
        <f t="shared" si="729"/>
        <v>#DIV/0!</v>
      </c>
      <c r="L55" s="39">
        <f t="shared" si="729"/>
        <v>-6.1799137763594351E-2</v>
      </c>
      <c r="M55" s="39">
        <f t="shared" si="729"/>
        <v>-6.7679734369176833E-2</v>
      </c>
      <c r="N55" s="39">
        <f t="shared" si="729"/>
        <v>-6.8624276663716816E-2</v>
      </c>
      <c r="O55" s="39">
        <f t="shared" si="729"/>
        <v>0.32554668909793905</v>
      </c>
      <c r="P55" s="39">
        <f t="shared" si="729"/>
        <v>0.24047338837461169</v>
      </c>
      <c r="Q55" s="39">
        <f t="shared" si="729"/>
        <v>6.6043355562799916E-2</v>
      </c>
      <c r="R55" s="39">
        <f t="shared" si="729"/>
        <v>4.4677615412495797E-3</v>
      </c>
      <c r="S55" s="39">
        <f t="shared" si="729"/>
        <v>-2.3757886766642079E-2</v>
      </c>
      <c r="T55" s="39">
        <f t="shared" si="729"/>
        <v>4.7511752475957382E-2</v>
      </c>
      <c r="U55" s="39">
        <f t="shared" si="729"/>
        <v>1.0983116028104053E-2</v>
      </c>
      <c r="V55" s="39">
        <f t="shared" si="729"/>
        <v>0.10125379029316525</v>
      </c>
      <c r="W55" s="39">
        <f t="shared" si="729"/>
        <v>0.17486666396619008</v>
      </c>
      <c r="X55" s="39">
        <f t="shared" si="729"/>
        <v>0.13235001346746139</v>
      </c>
      <c r="Y55" s="39">
        <f t="shared" si="729"/>
        <v>8.1612138035818335E-2</v>
      </c>
      <c r="Z55" s="39">
        <f t="shared" si="729"/>
        <v>8.4233789896169239E-2</v>
      </c>
      <c r="AA55" s="39">
        <f t="shared" ref="AA55" si="730">+AA34/AA129</f>
        <v>7.2117349425388E-2</v>
      </c>
      <c r="AB55" s="40">
        <f t="shared" si="729"/>
        <v>5.369584781008678E-2</v>
      </c>
      <c r="AC55" s="40">
        <f t="shared" si="729"/>
        <v>4.2988365889394607E-2</v>
      </c>
      <c r="AD55" s="40">
        <f t="shared" si="729"/>
        <v>3.4387999067501507E-2</v>
      </c>
      <c r="AE55" s="40">
        <f t="shared" si="729"/>
        <v>2.7624336333612574E-2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 t="e">
        <f t="shared" si="731"/>
        <v>#DIV/0!</v>
      </c>
      <c r="AN55" s="39" t="e">
        <f t="shared" si="731"/>
        <v>#DIV/0!</v>
      </c>
      <c r="AO55" s="39" t="e">
        <f t="shared" si="731"/>
        <v>#DIV/0!</v>
      </c>
      <c r="AP55" s="39" t="e">
        <f t="shared" si="731"/>
        <v>#DIV/0!</v>
      </c>
      <c r="AQ55" s="39" t="e">
        <f t="shared" si="731"/>
        <v>#DIV/0!</v>
      </c>
      <c r="AR55" s="39" t="e">
        <f t="shared" si="731"/>
        <v>#DIV/0!</v>
      </c>
      <c r="AS55" s="39" t="e">
        <f t="shared" si="731"/>
        <v>#DIV/0!</v>
      </c>
      <c r="AT55" s="39" t="e">
        <f t="shared" si="731"/>
        <v>#DIV/0!</v>
      </c>
      <c r="AU55" s="39" t="e">
        <f t="shared" si="731"/>
        <v>#DIV/0!</v>
      </c>
      <c r="AV55" s="39" t="e">
        <f t="shared" si="731"/>
        <v>#DIV/0!</v>
      </c>
      <c r="AW55" s="39" t="e">
        <f t="shared" si="731"/>
        <v>#DIV/0!</v>
      </c>
      <c r="AX55" s="39" t="e">
        <f t="shared" si="731"/>
        <v>#DIV/0!</v>
      </c>
      <c r="AY55" s="39" t="e">
        <f t="shared" si="731"/>
        <v>#DIV/0!</v>
      </c>
      <c r="AZ55" s="39" t="e">
        <f t="shared" si="731"/>
        <v>#DIV/0!</v>
      </c>
      <c r="BA55" s="39" t="e">
        <f t="shared" si="731"/>
        <v>#DIV/0!</v>
      </c>
      <c r="BB55" s="39" t="e">
        <f t="shared" si="731"/>
        <v>#DIV/0!</v>
      </c>
      <c r="BC55" s="39" t="e">
        <f t="shared" si="731"/>
        <v>#DIV/0!</v>
      </c>
      <c r="BD55" s="39" t="e">
        <f t="shared" si="731"/>
        <v>#DIV/0!</v>
      </c>
      <c r="BE55" s="39" t="e">
        <f t="shared" si="731"/>
        <v>#DIV/0!</v>
      </c>
      <c r="BF55" s="39" t="e">
        <f t="shared" si="731"/>
        <v>#DIV/0!</v>
      </c>
      <c r="BG55" s="39" t="e">
        <f t="shared" si="731"/>
        <v>#DIV/0!</v>
      </c>
      <c r="BH55" s="39" t="e">
        <f t="shared" si="731"/>
        <v>#DIV/0!</v>
      </c>
      <c r="BI55" s="39" t="e">
        <f t="shared" si="731"/>
        <v>#DIV/0!</v>
      </c>
      <c r="BJ55" s="39" t="e">
        <f t="shared" si="731"/>
        <v>#DIV/0!</v>
      </c>
      <c r="BK55" s="39" t="e">
        <f t="shared" si="731"/>
        <v>#DIV/0!</v>
      </c>
      <c r="BL55" s="39" t="e">
        <f t="shared" si="731"/>
        <v>#DIV/0!</v>
      </c>
      <c r="BM55" s="39" t="e">
        <f t="shared" si="731"/>
        <v>#DIV/0!</v>
      </c>
      <c r="BN55" s="39" t="e">
        <f t="shared" si="731"/>
        <v>#DIV/0!</v>
      </c>
      <c r="BO55" s="39" t="e">
        <f t="shared" si="731"/>
        <v>#DIV/0!</v>
      </c>
      <c r="BP55" s="39" t="e">
        <f t="shared" si="731"/>
        <v>#DIV/0!</v>
      </c>
      <c r="BQ55" s="39" t="e">
        <f t="shared" si="731"/>
        <v>#DIV/0!</v>
      </c>
      <c r="BR55" s="39" t="e">
        <f t="shared" ref="BR55:CW55" si="732">+SUM(BO34:BR34)/BR129</f>
        <v>#DIV/0!</v>
      </c>
      <c r="BS55" s="39" t="e">
        <f t="shared" si="732"/>
        <v>#DIV/0!</v>
      </c>
      <c r="BT55" s="39" t="e">
        <f t="shared" si="732"/>
        <v>#DIV/0!</v>
      </c>
      <c r="BU55" s="39" t="e">
        <f t="shared" si="732"/>
        <v>#DIV/0!</v>
      </c>
      <c r="BV55" s="39" t="e">
        <f t="shared" si="732"/>
        <v>#DIV/0!</v>
      </c>
      <c r="BW55" s="39">
        <f t="shared" si="732"/>
        <v>1.050142360012654</v>
      </c>
      <c r="BX55" s="39" t="e">
        <f t="shared" si="732"/>
        <v>#DIV/0!</v>
      </c>
      <c r="BY55" s="39">
        <f t="shared" si="732"/>
        <v>6.969394893319369</v>
      </c>
      <c r="BZ55" s="39">
        <f t="shared" si="732"/>
        <v>0.13064413501813221</v>
      </c>
      <c r="CA55" s="39">
        <f t="shared" si="732"/>
        <v>0.14574130054760912</v>
      </c>
      <c r="CB55" s="39">
        <f t="shared" si="732"/>
        <v>6.5364611574430423E-2</v>
      </c>
      <c r="CC55" s="39">
        <f t="shared" si="732"/>
        <v>7.2269307081873305E-2</v>
      </c>
      <c r="CD55" s="39">
        <f t="shared" si="732"/>
        <v>8.2739192031776251E-2</v>
      </c>
      <c r="CE55" s="39">
        <f t="shared" si="732"/>
        <v>7.9208118222035731E-2</v>
      </c>
      <c r="CF55" s="39">
        <f t="shared" si="732"/>
        <v>7.4042540698442544E-2</v>
      </c>
      <c r="CG55" s="39">
        <f t="shared" si="732"/>
        <v>6.8889957606055582E-2</v>
      </c>
      <c r="CH55" s="39">
        <f t="shared" si="732"/>
        <v>8.5591493734029148E-2</v>
      </c>
      <c r="CI55" s="39">
        <f t="shared" si="732"/>
        <v>8.5125273392667677E-2</v>
      </c>
      <c r="CJ55" s="39">
        <f t="shared" si="732"/>
        <v>8.5615460701779805E-2</v>
      </c>
      <c r="CK55" s="39">
        <f t="shared" si="732"/>
        <v>8.3166478198172064E-2</v>
      </c>
      <c r="CL55" s="39">
        <f t="shared" si="732"/>
        <v>7.2828292493603744E-2</v>
      </c>
      <c r="CM55" s="40">
        <f t="shared" si="732"/>
        <v>7.1649020980375358E-2</v>
      </c>
      <c r="CN55" s="40">
        <f t="shared" si="732"/>
        <v>6.5466098249193819E-2</v>
      </c>
      <c r="CO55" s="40">
        <f t="shared" si="732"/>
        <v>6.3188377256549771E-2</v>
      </c>
      <c r="CP55" s="40">
        <f t="shared" si="732"/>
        <v>5.3695847810086648E-2</v>
      </c>
      <c r="CQ55" s="40">
        <f t="shared" si="732"/>
        <v>5.2176749905622759E-2</v>
      </c>
      <c r="CR55" s="40">
        <f t="shared" si="732"/>
        <v>4.9624456667623176E-2</v>
      </c>
      <c r="CS55" s="40">
        <f t="shared" si="732"/>
        <v>4.7193575497972137E-2</v>
      </c>
      <c r="CT55" s="40">
        <f t="shared" si="732"/>
        <v>4.2988365889394572E-2</v>
      </c>
      <c r="CU55" s="40">
        <f t="shared" si="732"/>
        <v>4.1320972690798867E-2</v>
      </c>
      <c r="CV55" s="40">
        <f t="shared" si="732"/>
        <v>3.9336390441715025E-2</v>
      </c>
      <c r="CW55" s="40">
        <f t="shared" si="732"/>
        <v>3.7358500117217378E-2</v>
      </c>
      <c r="CX55" s="40">
        <f t="shared" ref="CX55:DB55" si="733">+SUM(CU34:CX34)/CX129</f>
        <v>3.4387999067501389E-2</v>
      </c>
      <c r="CY55" s="40">
        <f t="shared" si="733"/>
        <v>3.3011293317008097E-2</v>
      </c>
      <c r="CZ55" s="40">
        <f t="shared" si="733"/>
        <v>3.146401101490498E-2</v>
      </c>
      <c r="DA55" s="40">
        <f t="shared" si="733"/>
        <v>2.9922385359638797E-2</v>
      </c>
      <c r="DB55" s="40">
        <f t="shared" si="733"/>
        <v>2.7624336333612606E-2</v>
      </c>
      <c r="DE55" s="122"/>
      <c r="DF55" s="38">
        <v>7.2828292493603869E-2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406.95080000000002</v>
      </c>
      <c r="P58" s="9">
        <f>P10-SUM(AQ10:AT10)</f>
        <v>443.97117530000003</v>
      </c>
      <c r="Q58" s="9">
        <f>Q10-SUM(AU10:AX10)</f>
        <v>256.44425769999998</v>
      </c>
      <c r="R58" s="9">
        <f>R10-SUM(AY10:BB10)</f>
        <v>345.30407259999998</v>
      </c>
      <c r="S58" s="9">
        <f>S10-SUM(BC10:BF10)</f>
        <v>387.80217009999996</v>
      </c>
      <c r="T58" s="9">
        <f>T10-SUM(BG10:BJ10)</f>
        <v>480.47</v>
      </c>
      <c r="U58" s="9">
        <f>U10-SUM(BK10:BN10)</f>
        <v>457.08699999999999</v>
      </c>
      <c r="V58" s="9">
        <f>V10-SUM(BO10:BR10)</f>
        <v>628.02800000000002</v>
      </c>
      <c r="W58" s="9">
        <f>W10-SUM(BS10:BV10)</f>
        <v>720.53300000000002</v>
      </c>
      <c r="X58" s="9">
        <f>X10-SUM(BW10:BZ10)</f>
        <v>1.42999999999995</v>
      </c>
      <c r="Y58" s="9">
        <f>Y10-SUM(CA10:CD10)</f>
        <v>2.4410000000002583</v>
      </c>
      <c r="Z58" s="9">
        <f>Z10-SUM(CE10:CH10)</f>
        <v>0.98500000000012733</v>
      </c>
      <c r="AA58" s="9">
        <f>AA10-SUM(CF10:CI10)</f>
        <v>-276.53400000000011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444.78320489999999</v>
      </c>
      <c r="P59" s="9">
        <f>P16-SUM(AQ16:AT16)</f>
        <v>81.673943100000031</v>
      </c>
      <c r="Q59" s="9">
        <f>Q16-SUM(AU16:AX16)</f>
        <v>67.585248299999989</v>
      </c>
      <c r="R59" s="9">
        <f>R16-SUM(AY16:BB16)</f>
        <v>71.1223703</v>
      </c>
      <c r="S59" s="9">
        <f>S16-SUM(BC16:BF16)</f>
        <v>79.952163499999983</v>
      </c>
      <c r="T59" s="9">
        <f>T16-SUM(BG16:BJ16)</f>
        <v>97.199999999999989</v>
      </c>
      <c r="U59" s="9">
        <f>U16-SUM(BK16:BN16)</f>
        <v>92.177000000000021</v>
      </c>
      <c r="V59" s="9">
        <f>V16-SUM(BO16:BR16)</f>
        <v>132.73500000000001</v>
      </c>
      <c r="W59" s="9">
        <f>W16-SUM(BS16:BV16)</f>
        <v>176.57100000000003</v>
      </c>
      <c r="X59" s="9">
        <f>X16-SUM(BW16:BZ16)</f>
        <v>1.4300000000000068</v>
      </c>
      <c r="Y59" s="9">
        <f>Y16-SUM(CA16:CD16)</f>
        <v>2.4410000000000309</v>
      </c>
      <c r="Z59" s="9">
        <f>Z16-SUM(CE16:CH16)</f>
        <v>0.98500000000001364</v>
      </c>
      <c r="AA59" s="9">
        <f>AA16-SUM(CF16:CI16)</f>
        <v>53.215999999999894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42.8247748</v>
      </c>
      <c r="P60" s="9">
        <f>P28-SUM(AQ28:AT28)</f>
        <v>37.717908200000032</v>
      </c>
      <c r="Q60" s="9">
        <f>Q28-SUM(AU28:AX28)</f>
        <v>16.527628599999986</v>
      </c>
      <c r="R60" s="9">
        <f>R28-SUM(AY28:BB28)</f>
        <v>8.0155402000000038</v>
      </c>
      <c r="S60" s="9">
        <f>S28-SUM(BC28:BF28)</f>
        <v>3.8225943999999856</v>
      </c>
      <c r="T60" s="9">
        <f>T28-SUM(BG28:BJ28)</f>
        <v>17.593000000000004</v>
      </c>
      <c r="U60" s="9">
        <f>U28-SUM(BK28:BN28)</f>
        <v>13.732000000000028</v>
      </c>
      <c r="V60" s="9">
        <f>V28-SUM(BO28:BR28)</f>
        <v>45.944000000000031</v>
      </c>
      <c r="W60" s="9">
        <f>W28-SUM(BS28:BV28)</f>
        <v>84.04000000000002</v>
      </c>
      <c r="X60" s="9">
        <f>X28-SUM(BW28:BZ28)</f>
        <v>0.87399999999999523</v>
      </c>
      <c r="Y60" s="9">
        <f>Y28-SUM(CA28:CD28)</f>
        <v>-1.1749999999999829</v>
      </c>
      <c r="Z60" s="9">
        <f>Z28-SUM(CE28:CH28)</f>
        <v>-1.6199999999999193</v>
      </c>
      <c r="AA60" s="9">
        <f>AA28-SUM(CF28:CI28)</f>
        <v>-16.696000000000112</v>
      </c>
      <c r="AB60" s="15">
        <f>AB28-SUM(CM28:CP28)</f>
        <v>1.5631940186722204E-13</v>
      </c>
      <c r="AC60" s="15">
        <f>AC28-SUM(CQ28:CT28)</f>
        <v>0</v>
      </c>
      <c r="AD60" s="15">
        <f>AD28-SUM(CU28:CX28)</f>
        <v>1.4210854715202004E-13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1.4210854715202004E-13</v>
      </c>
    </row>
    <row r="61" spans="1:110" s="9" customFormat="1" x14ac:dyDescent="0.2">
      <c r="A61" s="9" t="s">
        <v>456</v>
      </c>
      <c r="N61" s="9">
        <f>N48-SUM(AI48:AL48)</f>
        <v>5.0267934999999992</v>
      </c>
      <c r="O61" s="9">
        <f>O48-SUM(AM48:AP48)</f>
        <v>21.406023500000003</v>
      </c>
      <c r="P61" s="9">
        <f>P48-SUM(AQ48:AT48)</f>
        <v>16.565043400000029</v>
      </c>
      <c r="Q61" s="9">
        <f>Q48-SUM(AU48:AX48)</f>
        <v>-6.9302415000000135</v>
      </c>
      <c r="R61" s="9">
        <f>R48-SUM(AY48:BB48)</f>
        <v>0.59051890000000395</v>
      </c>
      <c r="S61" s="9">
        <f>S48-SUM(BC48:BF48)</f>
        <v>-3.8440465000000139</v>
      </c>
      <c r="T61" s="9">
        <f>T48-SUM(BG48:BJ48)</f>
        <v>-0.93299999999999605</v>
      </c>
      <c r="U61" s="9">
        <f>U48-SUM(BK48:BN48)</f>
        <v>-6.7039999999999722</v>
      </c>
      <c r="V61" s="9">
        <f>V48-SUM(BO48:BR48)</f>
        <v>11.81400000000003</v>
      </c>
      <c r="W61" s="9">
        <f>W41-SUM(BS41:BV41)</f>
        <v>39.795000000000009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8.3389999999998849</v>
      </c>
      <c r="AB61" s="15">
        <f>AB41-SUM(CM41:CP41)</f>
        <v>1.5631940186722204E-13</v>
      </c>
      <c r="AC61" s="15">
        <f>AC41-SUM(CQ41:CT41)</f>
        <v>0</v>
      </c>
      <c r="AD61" s="15">
        <f>AD41-SUM(CU41:CX41)</f>
        <v>1.4921397450962104E-13</v>
      </c>
      <c r="AE61" s="15">
        <f>AE41-SUM(CY41:DB41)</f>
        <v>-4.2632564145606011E-14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1.4210854715202004E-13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79.364000000000004</v>
      </c>
      <c r="F63" s="3">
        <f t="shared" ca="1" si="734"/>
        <v>79.364000000000004</v>
      </c>
      <c r="G63" s="3">
        <f t="shared" ca="1" si="734"/>
        <v>79.364000000000004</v>
      </c>
      <c r="H63" s="3">
        <f t="shared" ca="1" si="734"/>
        <v>79.364000000000004</v>
      </c>
      <c r="I63" s="3">
        <f t="shared" ca="1" si="734"/>
        <v>79.364000000000004</v>
      </c>
      <c r="J63" s="3">
        <f t="shared" ca="1" si="734"/>
        <v>79.364000000000004</v>
      </c>
      <c r="K63" s="3">
        <f t="shared" ca="1" si="734"/>
        <v>79.364000000000004</v>
      </c>
      <c r="L63" s="3">
        <f t="shared" ca="1" si="734"/>
        <v>79.364000000000004</v>
      </c>
      <c r="M63" s="3">
        <f t="shared" ca="1" si="734"/>
        <v>79.364000000000004</v>
      </c>
      <c r="N63" s="3">
        <f t="shared" ca="1" si="734"/>
        <v>79.364000000000004</v>
      </c>
      <c r="O63" s="3">
        <f t="shared" ca="1" si="734"/>
        <v>79.364000000000004</v>
      </c>
      <c r="P63" s="3">
        <f t="shared" ca="1" si="734"/>
        <v>79.364000000000004</v>
      </c>
      <c r="Q63" s="3">
        <f t="shared" ca="1" si="734"/>
        <v>79.364000000000004</v>
      </c>
      <c r="R63" s="3">
        <f t="shared" ca="1" si="734"/>
        <v>79.364000000000004</v>
      </c>
      <c r="S63" s="3">
        <f t="shared" ca="1" si="734"/>
        <v>79.364000000000004</v>
      </c>
      <c r="T63" s="3">
        <f t="shared" ca="1" si="734"/>
        <v>79.364000000000004</v>
      </c>
      <c r="U63" s="3">
        <f t="shared" ca="1" si="734"/>
        <v>79.364000000000004</v>
      </c>
      <c r="V63" s="3">
        <f t="shared" ca="1" si="734"/>
        <v>79.364000000000004</v>
      </c>
      <c r="W63" s="3">
        <f t="shared" ca="1" si="734"/>
        <v>79.364000000000004</v>
      </c>
      <c r="X63" s="3">
        <f t="shared" ca="1" si="734"/>
        <v>79.364000000000004</v>
      </c>
      <c r="Y63" s="3">
        <f t="shared" ca="1" si="734"/>
        <v>79.364000000000004</v>
      </c>
      <c r="Z63" s="3">
        <f ca="1">+AA63</f>
        <v>79.364000000000004</v>
      </c>
      <c r="AA63" s="3">
        <f ca="1">+AB63</f>
        <v>79.364000000000004</v>
      </c>
      <c r="AB63" s="37">
        <f t="shared" ref="AB63:AB64" ca="1" si="735">AA63</f>
        <v>79.364000000000004</v>
      </c>
      <c r="AC63" s="37">
        <f t="shared" ref="AC63:AC64" ca="1" si="736">AB63</f>
        <v>79.364000000000004</v>
      </c>
      <c r="AD63" s="37">
        <f t="shared" ref="AD63:AD64" ca="1" si="737">AC63</f>
        <v>79.364000000000004</v>
      </c>
      <c r="AE63" s="37">
        <f t="shared" ref="AE63:AE64" ca="1" si="738">AD63</f>
        <v>79.364000000000004</v>
      </c>
      <c r="AI63" s="3">
        <f t="shared" ref="AI63:CH63" si="739">+AJ63</f>
        <v>79.364000000000004</v>
      </c>
      <c r="AJ63" s="3">
        <f t="shared" si="739"/>
        <v>79.364000000000004</v>
      </c>
      <c r="AK63" s="3">
        <f t="shared" si="739"/>
        <v>79.364000000000004</v>
      </c>
      <c r="AL63" s="3">
        <f t="shared" si="739"/>
        <v>79.364000000000004</v>
      </c>
      <c r="AM63" s="3">
        <f t="shared" si="739"/>
        <v>79.364000000000004</v>
      </c>
      <c r="AN63" s="3">
        <f t="shared" si="739"/>
        <v>79.364000000000004</v>
      </c>
      <c r="AO63" s="3">
        <f t="shared" si="739"/>
        <v>79.364000000000004</v>
      </c>
      <c r="AP63" s="3">
        <f t="shared" si="739"/>
        <v>79.364000000000004</v>
      </c>
      <c r="AQ63" s="3">
        <f t="shared" si="739"/>
        <v>79.364000000000004</v>
      </c>
      <c r="AR63" s="3">
        <f t="shared" si="739"/>
        <v>79.364000000000004</v>
      </c>
      <c r="AS63" s="3">
        <f t="shared" si="739"/>
        <v>79.364000000000004</v>
      </c>
      <c r="AT63" s="3">
        <f t="shared" si="739"/>
        <v>79.364000000000004</v>
      </c>
      <c r="AU63" s="3">
        <f t="shared" si="739"/>
        <v>79.364000000000004</v>
      </c>
      <c r="AV63" s="3">
        <f t="shared" si="739"/>
        <v>79.364000000000004</v>
      </c>
      <c r="AW63" s="3">
        <f t="shared" si="739"/>
        <v>79.364000000000004</v>
      </c>
      <c r="AX63" s="3">
        <f t="shared" si="739"/>
        <v>79.364000000000004</v>
      </c>
      <c r="AY63" s="3">
        <f t="shared" si="739"/>
        <v>79.364000000000004</v>
      </c>
      <c r="AZ63" s="3">
        <f t="shared" si="739"/>
        <v>79.364000000000004</v>
      </c>
      <c r="BA63" s="3">
        <f t="shared" si="739"/>
        <v>79.364000000000004</v>
      </c>
      <c r="BB63" s="3">
        <f t="shared" si="739"/>
        <v>79.364000000000004</v>
      </c>
      <c r="BC63" s="3">
        <f t="shared" si="739"/>
        <v>79.364000000000004</v>
      </c>
      <c r="BD63" s="3">
        <f t="shared" si="739"/>
        <v>79.364000000000004</v>
      </c>
      <c r="BE63" s="3">
        <f t="shared" si="739"/>
        <v>79.364000000000004</v>
      </c>
      <c r="BF63" s="3">
        <f t="shared" si="739"/>
        <v>79.364000000000004</v>
      </c>
      <c r="BG63" s="3">
        <f t="shared" si="739"/>
        <v>79.364000000000004</v>
      </c>
      <c r="BH63" s="3">
        <f t="shared" si="739"/>
        <v>79.364000000000004</v>
      </c>
      <c r="BI63" s="3">
        <f t="shared" si="739"/>
        <v>79.364000000000004</v>
      </c>
      <c r="BJ63" s="3">
        <f t="shared" si="739"/>
        <v>79.364000000000004</v>
      </c>
      <c r="BK63" s="3">
        <f t="shared" si="739"/>
        <v>79.364000000000004</v>
      </c>
      <c r="BL63" s="3">
        <f t="shared" si="739"/>
        <v>79.364000000000004</v>
      </c>
      <c r="BM63" s="3">
        <f t="shared" si="739"/>
        <v>79.364000000000004</v>
      </c>
      <c r="BN63" s="3">
        <f t="shared" si="739"/>
        <v>79.364000000000004</v>
      </c>
      <c r="BO63" s="3">
        <f t="shared" si="739"/>
        <v>79.364000000000004</v>
      </c>
      <c r="BP63" s="3">
        <f t="shared" si="739"/>
        <v>79.364000000000004</v>
      </c>
      <c r="BQ63" s="3">
        <f t="shared" si="739"/>
        <v>79.364000000000004</v>
      </c>
      <c r="BR63" s="3">
        <f t="shared" si="739"/>
        <v>79.364000000000004</v>
      </c>
      <c r="BS63" s="3">
        <f t="shared" si="739"/>
        <v>79.364000000000004</v>
      </c>
      <c r="BT63" s="3">
        <f t="shared" si="739"/>
        <v>79.364000000000004</v>
      </c>
      <c r="BU63" s="3">
        <f t="shared" si="739"/>
        <v>79.364000000000004</v>
      </c>
      <c r="BV63" s="3">
        <f t="shared" si="739"/>
        <v>79.364000000000004</v>
      </c>
      <c r="BW63" s="3">
        <f t="shared" si="739"/>
        <v>79.364000000000004</v>
      </c>
      <c r="BX63" s="3">
        <f t="shared" si="739"/>
        <v>79.364000000000004</v>
      </c>
      <c r="BY63" s="3">
        <f t="shared" si="739"/>
        <v>79.364000000000004</v>
      </c>
      <c r="BZ63" s="3">
        <f t="shared" si="739"/>
        <v>79.364000000000004</v>
      </c>
      <c r="CA63" s="3">
        <f t="shared" si="739"/>
        <v>79.364000000000004</v>
      </c>
      <c r="CB63" s="3">
        <f t="shared" si="739"/>
        <v>79.364000000000004</v>
      </c>
      <c r="CC63" s="3">
        <f t="shared" si="739"/>
        <v>79.364000000000004</v>
      </c>
      <c r="CD63" s="3">
        <f t="shared" si="739"/>
        <v>79.364000000000004</v>
      </c>
      <c r="CE63" s="3">
        <f t="shared" si="739"/>
        <v>79.364000000000004</v>
      </c>
      <c r="CF63" s="3">
        <f t="shared" si="739"/>
        <v>79.364000000000004</v>
      </c>
      <c r="CG63" s="3">
        <f t="shared" si="739"/>
        <v>79.364000000000004</v>
      </c>
      <c r="CH63" s="3">
        <f t="shared" si="739"/>
        <v>79.364000000000004</v>
      </c>
      <c r="CI63" s="3">
        <f>+CJ63</f>
        <v>79.364000000000004</v>
      </c>
      <c r="CJ63" s="3">
        <f>'QTR Raw'!BD45</f>
        <v>79.364000000000004</v>
      </c>
      <c r="CK63" s="3">
        <f>'QTR Raw'!BE45</f>
        <v>79.364000000000004</v>
      </c>
      <c r="CL63" s="3">
        <f>'QTR Raw'!BF45</f>
        <v>79.364000000000004</v>
      </c>
      <c r="CM63" s="37">
        <f t="shared" ref="CM63:CM64" si="740">+CL63</f>
        <v>79.364000000000004</v>
      </c>
      <c r="CN63" s="37">
        <f t="shared" ref="CN63:CN64" si="741">+CM63</f>
        <v>79.364000000000004</v>
      </c>
      <c r="CO63" s="37">
        <f t="shared" ref="CO63:CO64" si="742">+CN63</f>
        <v>79.364000000000004</v>
      </c>
      <c r="CP63" s="37">
        <f t="shared" ref="CP63:CP64" si="743">+CO63</f>
        <v>79.364000000000004</v>
      </c>
      <c r="CQ63" s="37">
        <f t="shared" ref="CQ63:CQ64" si="744">+CP63</f>
        <v>79.364000000000004</v>
      </c>
      <c r="CR63" s="37">
        <f t="shared" ref="CR63:CR64" si="745">+CQ63</f>
        <v>79.364000000000004</v>
      </c>
      <c r="CS63" s="37">
        <f t="shared" ref="CS63:CS64" si="746">+CR63</f>
        <v>79.364000000000004</v>
      </c>
      <c r="CT63" s="37">
        <f t="shared" ref="CT63:CT64" si="747">+CS63</f>
        <v>79.364000000000004</v>
      </c>
      <c r="CU63" s="37">
        <f t="shared" ref="CU63:CU64" si="748">+CT63</f>
        <v>79.364000000000004</v>
      </c>
      <c r="CV63" s="37">
        <f t="shared" ref="CV63:CV64" si="749">+CU63</f>
        <v>79.364000000000004</v>
      </c>
      <c r="CW63" s="37">
        <f t="shared" ref="CW63:CW64" si="750">+CV63</f>
        <v>79.364000000000004</v>
      </c>
      <c r="CX63" s="37">
        <f t="shared" ref="CX63:CX64" si="751">+CW63</f>
        <v>79.364000000000004</v>
      </c>
      <c r="CY63" s="37">
        <f t="shared" ref="CY63:CY64" si="752">+CX63</f>
        <v>79.364000000000004</v>
      </c>
      <c r="CZ63" s="37">
        <f t="shared" ref="CZ63:CZ64" si="753">+CY63</f>
        <v>79.364000000000004</v>
      </c>
      <c r="DA63" s="37">
        <f t="shared" ref="DA63:DA64" si="754">+CZ63</f>
        <v>79.364000000000004</v>
      </c>
      <c r="DB63" s="37">
        <f t="shared" ref="DB63:DB64" si="755">+DA63</f>
        <v>79.364000000000004</v>
      </c>
      <c r="DE63" s="134"/>
      <c r="DF63" s="3">
        <v>79.364000000000004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7.9364000000000008</v>
      </c>
      <c r="F65" s="3">
        <f t="shared" ca="1" si="758"/>
        <v>7.9364000000000008</v>
      </c>
      <c r="G65" s="3">
        <f t="shared" ca="1" si="758"/>
        <v>7.9364000000000008</v>
      </c>
      <c r="H65" s="3">
        <f t="shared" ca="1" si="758"/>
        <v>7.9364000000000008</v>
      </c>
      <c r="I65" s="3">
        <f t="shared" ca="1" si="758"/>
        <v>7.9364000000000008</v>
      </c>
      <c r="J65" s="3">
        <f t="shared" ca="1" si="758"/>
        <v>7.9364000000000008</v>
      </c>
      <c r="K65" s="3">
        <f t="shared" ca="1" si="758"/>
        <v>7.9364000000000008</v>
      </c>
      <c r="L65" s="3">
        <f t="shared" ca="1" si="758"/>
        <v>7.9364000000000008</v>
      </c>
      <c r="M65" s="3">
        <f t="shared" ca="1" si="758"/>
        <v>7.9364000000000008</v>
      </c>
      <c r="N65" s="3">
        <f t="shared" ca="1" si="758"/>
        <v>7.9364000000000008</v>
      </c>
      <c r="O65" s="3">
        <f t="shared" ca="1" si="758"/>
        <v>7.9364000000000008</v>
      </c>
      <c r="P65" s="3">
        <f t="shared" ca="1" si="758"/>
        <v>7.9364000000000008</v>
      </c>
      <c r="Q65" s="3">
        <f t="shared" ca="1" si="758"/>
        <v>7.9364000000000008</v>
      </c>
      <c r="R65" s="3">
        <f t="shared" ca="1" si="758"/>
        <v>7.9364000000000008</v>
      </c>
      <c r="S65" s="3">
        <f t="shared" ca="1" si="758"/>
        <v>7.9364000000000008</v>
      </c>
      <c r="T65" s="3">
        <f t="shared" ca="1" si="758"/>
        <v>7.9364000000000008</v>
      </c>
      <c r="U65" s="3">
        <f t="shared" ca="1" si="758"/>
        <v>7.9364000000000008</v>
      </c>
      <c r="V65" s="3">
        <f ca="1">V63/V64</f>
        <v>7.9364000000000008</v>
      </c>
      <c r="W65" s="3">
        <f t="shared" ca="1" si="758"/>
        <v>7.9364000000000008</v>
      </c>
      <c r="X65" s="3">
        <f t="shared" ref="X65:Y65" ca="1" si="759">X63/X64</f>
        <v>7.9364000000000008</v>
      </c>
      <c r="Y65" s="3">
        <f t="shared" ca="1" si="759"/>
        <v>7.9364000000000008</v>
      </c>
      <c r="Z65" s="3">
        <f t="shared" ref="Z65:AA65" ca="1" si="760">Z63/Z64</f>
        <v>7.9364000000000008</v>
      </c>
      <c r="AA65" s="3">
        <f t="shared" ref="AA65" ca="1" si="761">AA63/AA64</f>
        <v>7.9364000000000008</v>
      </c>
      <c r="AB65" s="37">
        <f t="shared" ref="AB65:AD65" ca="1" si="762">AB63/AB64</f>
        <v>7.9364000000000008</v>
      </c>
      <c r="AC65" s="37">
        <f t="shared" ca="1" si="762"/>
        <v>7.9364000000000008</v>
      </c>
      <c r="AD65" s="37">
        <f t="shared" ca="1" si="762"/>
        <v>7.9364000000000008</v>
      </c>
      <c r="AE65" s="37">
        <f t="shared" ref="AE65" ca="1" si="763">AE63/AE64</f>
        <v>7.9364000000000008</v>
      </c>
      <c r="AI65" s="3">
        <f t="shared" ref="AI65" si="764">AI63/AI64</f>
        <v>7.9364000000000008</v>
      </c>
      <c r="AJ65" s="3">
        <f t="shared" ref="AJ65" si="765">AJ63/AJ64</f>
        <v>7.9364000000000008</v>
      </c>
      <c r="AK65" s="3">
        <f t="shared" ref="AK65:AM65" si="766">AK63/AK64</f>
        <v>7.9364000000000008</v>
      </c>
      <c r="AL65" s="3">
        <f t="shared" si="766"/>
        <v>7.9364000000000008</v>
      </c>
      <c r="AM65" s="3">
        <f t="shared" si="766"/>
        <v>7.9364000000000008</v>
      </c>
      <c r="AN65" s="3">
        <f t="shared" ref="AN65:AO65" si="767">AN63/AN64</f>
        <v>7.9364000000000008</v>
      </c>
      <c r="AO65" s="3">
        <f t="shared" si="767"/>
        <v>7.9364000000000008</v>
      </c>
      <c r="AP65" s="3">
        <f t="shared" ref="AP65:CD65" si="768">AP63/AP64</f>
        <v>7.9364000000000008</v>
      </c>
      <c r="AQ65" s="3">
        <f t="shared" si="768"/>
        <v>7.9364000000000008</v>
      </c>
      <c r="AR65" s="3">
        <f t="shared" si="768"/>
        <v>7.9364000000000008</v>
      </c>
      <c r="AS65" s="3">
        <f t="shared" si="768"/>
        <v>7.9364000000000008</v>
      </c>
      <c r="AT65" s="3">
        <f t="shared" si="768"/>
        <v>7.9364000000000008</v>
      </c>
      <c r="AU65" s="3">
        <f t="shared" si="768"/>
        <v>7.9364000000000008</v>
      </c>
      <c r="AV65" s="3">
        <f t="shared" si="768"/>
        <v>7.9364000000000008</v>
      </c>
      <c r="AW65" s="3">
        <f t="shared" si="768"/>
        <v>7.9364000000000008</v>
      </c>
      <c r="AX65" s="3">
        <f t="shared" si="768"/>
        <v>7.9364000000000008</v>
      </c>
      <c r="AY65" s="3">
        <f t="shared" si="768"/>
        <v>7.9364000000000008</v>
      </c>
      <c r="AZ65" s="3">
        <f t="shared" si="768"/>
        <v>7.9364000000000008</v>
      </c>
      <c r="BA65" s="3">
        <f t="shared" si="768"/>
        <v>7.9364000000000008</v>
      </c>
      <c r="BB65" s="3">
        <f t="shared" si="768"/>
        <v>7.9364000000000008</v>
      </c>
      <c r="BC65" s="3">
        <f t="shared" si="768"/>
        <v>7.9364000000000008</v>
      </c>
      <c r="BD65" s="3">
        <f t="shared" si="768"/>
        <v>7.9364000000000008</v>
      </c>
      <c r="BE65" s="3">
        <f t="shared" si="768"/>
        <v>7.9364000000000008</v>
      </c>
      <c r="BF65" s="3">
        <f t="shared" si="768"/>
        <v>7.9364000000000008</v>
      </c>
      <c r="BG65" s="3">
        <f t="shared" si="768"/>
        <v>7.9364000000000008</v>
      </c>
      <c r="BH65" s="3">
        <f t="shared" si="768"/>
        <v>7.9364000000000008</v>
      </c>
      <c r="BI65" s="3">
        <f t="shared" si="768"/>
        <v>7.9364000000000008</v>
      </c>
      <c r="BJ65" s="3">
        <f t="shared" si="768"/>
        <v>7.9364000000000008</v>
      </c>
      <c r="BK65" s="3">
        <f t="shared" si="768"/>
        <v>7.9364000000000008</v>
      </c>
      <c r="BL65" s="3">
        <f t="shared" si="768"/>
        <v>7.9364000000000008</v>
      </c>
      <c r="BM65" s="3">
        <f t="shared" si="768"/>
        <v>7.9364000000000008</v>
      </c>
      <c r="BN65" s="3">
        <f t="shared" si="768"/>
        <v>7.9364000000000008</v>
      </c>
      <c r="BO65" s="3">
        <f t="shared" si="768"/>
        <v>7.9364000000000008</v>
      </c>
      <c r="BP65" s="3">
        <f t="shared" si="768"/>
        <v>7.9364000000000008</v>
      </c>
      <c r="BQ65" s="3">
        <f t="shared" si="768"/>
        <v>7.9364000000000008</v>
      </c>
      <c r="BR65" s="3">
        <f t="shared" si="768"/>
        <v>7.9364000000000008</v>
      </c>
      <c r="BS65" s="3">
        <f t="shared" si="768"/>
        <v>7.9364000000000008</v>
      </c>
      <c r="BT65" s="3">
        <f t="shared" si="768"/>
        <v>7.9364000000000008</v>
      </c>
      <c r="BU65" s="3">
        <f t="shared" si="768"/>
        <v>7.9364000000000008</v>
      </c>
      <c r="BV65" s="3">
        <f t="shared" si="768"/>
        <v>7.9364000000000008</v>
      </c>
      <c r="BW65" s="3">
        <f t="shared" si="768"/>
        <v>7.9364000000000008</v>
      </c>
      <c r="BX65" s="3">
        <f t="shared" si="768"/>
        <v>7.9364000000000008</v>
      </c>
      <c r="BY65" s="3">
        <f t="shared" si="768"/>
        <v>7.9364000000000008</v>
      </c>
      <c r="BZ65" s="3">
        <f t="shared" si="768"/>
        <v>7.9364000000000008</v>
      </c>
      <c r="CA65" s="3">
        <f t="shared" si="768"/>
        <v>7.9364000000000008</v>
      </c>
      <c r="CB65" s="3">
        <f t="shared" si="768"/>
        <v>7.9364000000000008</v>
      </c>
      <c r="CC65" s="3">
        <f t="shared" si="768"/>
        <v>7.9364000000000008</v>
      </c>
      <c r="CD65" s="3">
        <f t="shared" si="768"/>
        <v>7.9364000000000008</v>
      </c>
      <c r="CE65" s="3">
        <f t="shared" ref="CE65:CF65" si="769">CE63/CE64</f>
        <v>7.9364000000000008</v>
      </c>
      <c r="CF65" s="3">
        <f t="shared" si="769"/>
        <v>7.9364000000000008</v>
      </c>
      <c r="CG65" s="3">
        <f t="shared" ref="CG65:CH65" si="770">CG63/CG64</f>
        <v>7.9364000000000008</v>
      </c>
      <c r="CH65" s="3">
        <f t="shared" si="770"/>
        <v>7.9364000000000008</v>
      </c>
      <c r="CI65" s="3">
        <f t="shared" ref="CI65:CJ65" si="771">CI63/CI64</f>
        <v>7.9364000000000008</v>
      </c>
      <c r="CJ65" s="3">
        <f t="shared" si="771"/>
        <v>7.9364000000000008</v>
      </c>
      <c r="CK65" s="3">
        <f t="shared" ref="CK65:CL65" si="772">CK63/CK64</f>
        <v>7.9364000000000008</v>
      </c>
      <c r="CL65" s="3">
        <f t="shared" si="772"/>
        <v>7.9364000000000008</v>
      </c>
      <c r="CM65" s="37">
        <f t="shared" ref="CM65:DB65" si="773">CM63/CM64</f>
        <v>7.9364000000000008</v>
      </c>
      <c r="CN65" s="37">
        <f t="shared" si="773"/>
        <v>7.9364000000000008</v>
      </c>
      <c r="CO65" s="37">
        <f t="shared" si="773"/>
        <v>7.9364000000000008</v>
      </c>
      <c r="CP65" s="37">
        <f t="shared" si="773"/>
        <v>7.9364000000000008</v>
      </c>
      <c r="CQ65" s="37">
        <f t="shared" si="773"/>
        <v>7.9364000000000008</v>
      </c>
      <c r="CR65" s="37">
        <f t="shared" si="773"/>
        <v>7.9364000000000008</v>
      </c>
      <c r="CS65" s="37">
        <f t="shared" si="773"/>
        <v>7.9364000000000008</v>
      </c>
      <c r="CT65" s="37">
        <f t="shared" si="773"/>
        <v>7.9364000000000008</v>
      </c>
      <c r="CU65" s="37">
        <f t="shared" si="773"/>
        <v>7.9364000000000008</v>
      </c>
      <c r="CV65" s="37">
        <f t="shared" si="773"/>
        <v>7.9364000000000008</v>
      </c>
      <c r="CW65" s="37">
        <f t="shared" si="773"/>
        <v>7.9364000000000008</v>
      </c>
      <c r="CX65" s="37">
        <f t="shared" si="773"/>
        <v>7.9364000000000008</v>
      </c>
      <c r="CY65" s="37">
        <f t="shared" si="773"/>
        <v>7.9364000000000008</v>
      </c>
      <c r="CZ65" s="37">
        <f t="shared" si="773"/>
        <v>7.9364000000000008</v>
      </c>
      <c r="DA65" s="37">
        <f t="shared" si="773"/>
        <v>7.9364000000000008</v>
      </c>
      <c r="DB65" s="37">
        <f t="shared" si="773"/>
        <v>7.9364000000000008</v>
      </c>
      <c r="DE65" s="134"/>
      <c r="DF65" s="3">
        <v>7.9364000000000008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0</v>
      </c>
      <c r="K66" s="53">
        <f t="shared" ca="1" si="774"/>
        <v>0</v>
      </c>
      <c r="L66" s="53">
        <f t="shared" ca="1" si="774"/>
        <v>0.43167802782117842</v>
      </c>
      <c r="M66" s="53">
        <f t="shared" ca="1" si="774"/>
        <v>0.52230255531475223</v>
      </c>
      <c r="N66" s="53">
        <f t="shared" ca="1" si="774"/>
        <v>0.63338459503049227</v>
      </c>
      <c r="O66" s="53">
        <f t="shared" ca="1" si="774"/>
        <v>2.6971956428607431</v>
      </c>
      <c r="P66" s="53">
        <f t="shared" ca="1" si="774"/>
        <v>2.6082302429313073</v>
      </c>
      <c r="Q66" s="53">
        <f t="shared" ca="1" si="774"/>
        <v>0.47325931152663492</v>
      </c>
      <c r="R66" s="53">
        <f t="shared" ca="1" si="774"/>
        <v>7.4406393326949732E-2</v>
      </c>
      <c r="S66" s="53">
        <f t="shared" ca="1" si="774"/>
        <v>-0.48435644624767066</v>
      </c>
      <c r="T66" s="53">
        <f t="shared" ca="1" si="774"/>
        <v>-0.11755959881054331</v>
      </c>
      <c r="U66" s="53">
        <f t="shared" ca="1" si="774"/>
        <v>-0.84471548813063502</v>
      </c>
      <c r="V66" s="53">
        <f t="shared" ca="1" si="774"/>
        <v>1.4885842447457323</v>
      </c>
      <c r="W66" s="53">
        <f t="shared" ca="1" si="774"/>
        <v>5.014238193639434</v>
      </c>
      <c r="X66" s="53">
        <f t="shared" ca="1" si="774"/>
        <v>3.9976563681266031</v>
      </c>
      <c r="Y66" s="53">
        <f t="shared" ca="1" si="774"/>
        <v>7.7108008668917973</v>
      </c>
      <c r="Z66" s="53">
        <f t="shared" ca="1" si="774"/>
        <v>8.5776926566201368</v>
      </c>
      <c r="AA66" s="53">
        <f t="shared" ref="AA66" ca="1" si="775">(AA48-AA47)/AA65</f>
        <v>8.5776926566201368</v>
      </c>
      <c r="AB66" s="54">
        <f t="shared" ca="1" si="774"/>
        <v>5.7510297375753261</v>
      </c>
      <c r="AC66" s="54">
        <f t="shared" ca="1" si="774"/>
        <v>4.5165501421823118</v>
      </c>
      <c r="AD66" s="54">
        <f t="shared" ca="1" si="774"/>
        <v>3.4735848171705439</v>
      </c>
      <c r="AE66" s="54">
        <f t="shared" ca="1" si="774"/>
        <v>2.6184601338716691</v>
      </c>
      <c r="AI66" s="53">
        <f t="shared" ref="AI66:BN66" si="776">(AI48-AI47)/AI65</f>
        <v>0</v>
      </c>
      <c r="AJ66" s="53">
        <f t="shared" si="776"/>
        <v>0</v>
      </c>
      <c r="AK66" s="53">
        <f t="shared" si="776"/>
        <v>0</v>
      </c>
      <c r="AL66" s="53">
        <f t="shared" si="776"/>
        <v>0</v>
      </c>
      <c r="AM66" s="53">
        <f t="shared" si="776"/>
        <v>0</v>
      </c>
      <c r="AN66" s="53">
        <f t="shared" si="776"/>
        <v>0</v>
      </c>
      <c r="AO66" s="53">
        <f t="shared" si="776"/>
        <v>0</v>
      </c>
      <c r="AP66" s="53">
        <f t="shared" si="776"/>
        <v>0</v>
      </c>
      <c r="AQ66" s="53">
        <f t="shared" si="776"/>
        <v>0</v>
      </c>
      <c r="AR66" s="53">
        <f t="shared" si="776"/>
        <v>0</v>
      </c>
      <c r="AS66" s="53">
        <f t="shared" si="776"/>
        <v>0</v>
      </c>
      <c r="AT66" s="53">
        <f t="shared" si="776"/>
        <v>0</v>
      </c>
      <c r="AU66" s="53">
        <f t="shared" si="776"/>
        <v>0</v>
      </c>
      <c r="AV66" s="53">
        <f t="shared" si="776"/>
        <v>0</v>
      </c>
      <c r="AW66" s="53">
        <f t="shared" si="776"/>
        <v>0</v>
      </c>
      <c r="AX66" s="53">
        <f t="shared" si="776"/>
        <v>0</v>
      </c>
      <c r="AY66" s="53">
        <f t="shared" si="776"/>
        <v>0</v>
      </c>
      <c r="AZ66" s="53">
        <f t="shared" si="776"/>
        <v>0</v>
      </c>
      <c r="BA66" s="53">
        <f t="shared" si="776"/>
        <v>0</v>
      </c>
      <c r="BB66" s="53">
        <f t="shared" si="776"/>
        <v>0</v>
      </c>
      <c r="BC66" s="53">
        <f t="shared" si="776"/>
        <v>0</v>
      </c>
      <c r="BD66" s="53">
        <f t="shared" si="776"/>
        <v>0</v>
      </c>
      <c r="BE66" s="53">
        <f t="shared" si="776"/>
        <v>0</v>
      </c>
      <c r="BF66" s="53">
        <f t="shared" si="776"/>
        <v>0</v>
      </c>
      <c r="BG66" s="53">
        <f t="shared" si="776"/>
        <v>0</v>
      </c>
      <c r="BH66" s="53">
        <f t="shared" si="776"/>
        <v>0</v>
      </c>
      <c r="BI66" s="53">
        <f t="shared" si="776"/>
        <v>0</v>
      </c>
      <c r="BJ66" s="53">
        <f t="shared" si="776"/>
        <v>0</v>
      </c>
      <c r="BK66" s="53">
        <f t="shared" si="776"/>
        <v>0</v>
      </c>
      <c r="BL66" s="53">
        <f t="shared" si="776"/>
        <v>0</v>
      </c>
      <c r="BM66" s="53">
        <f t="shared" si="776"/>
        <v>0</v>
      </c>
      <c r="BN66" s="53">
        <f t="shared" si="776"/>
        <v>0</v>
      </c>
      <c r="BO66" s="53">
        <f t="shared" ref="BO66:CT66" si="777">(BO48-BO47)/BO65</f>
        <v>0</v>
      </c>
      <c r="BP66" s="53">
        <f t="shared" si="777"/>
        <v>0</v>
      </c>
      <c r="BQ66" s="53">
        <f t="shared" si="777"/>
        <v>0</v>
      </c>
      <c r="BR66" s="53">
        <f t="shared" si="777"/>
        <v>0</v>
      </c>
      <c r="BS66" s="53">
        <f t="shared" si="777"/>
        <v>0</v>
      </c>
      <c r="BT66" s="53">
        <f t="shared" si="777"/>
        <v>0</v>
      </c>
      <c r="BU66" s="53">
        <f t="shared" si="777"/>
        <v>0</v>
      </c>
      <c r="BV66" s="53">
        <f t="shared" si="777"/>
        <v>0</v>
      </c>
      <c r="BW66" s="53">
        <f t="shared" si="777"/>
        <v>0.79658283352653603</v>
      </c>
      <c r="BX66" s="53">
        <f t="shared" si="777"/>
        <v>0.89461216672546751</v>
      </c>
      <c r="BY66" s="53">
        <f t="shared" si="777"/>
        <v>0.72047779849805627</v>
      </c>
      <c r="BZ66" s="53">
        <f t="shared" si="777"/>
        <v>1.5859835693765427</v>
      </c>
      <c r="CA66" s="53">
        <f t="shared" si="777"/>
        <v>0.67524318330729249</v>
      </c>
      <c r="CB66" s="53">
        <f t="shared" si="777"/>
        <v>1.8463031097222984</v>
      </c>
      <c r="CC66" s="53">
        <f t="shared" si="777"/>
        <v>2.3234715992137471</v>
      </c>
      <c r="CD66" s="53">
        <f t="shared" si="777"/>
        <v>2.8657829746484587</v>
      </c>
      <c r="CE66" s="53">
        <f t="shared" si="777"/>
        <v>1.3351141575525427</v>
      </c>
      <c r="CF66" s="53">
        <f t="shared" si="777"/>
        <v>1.947230482334561</v>
      </c>
      <c r="CG66" s="53">
        <f t="shared" si="777"/>
        <v>1.3848848344337432</v>
      </c>
      <c r="CH66" s="53">
        <f t="shared" si="777"/>
        <v>3.910463182299281</v>
      </c>
      <c r="CI66" s="53">
        <f t="shared" si="777"/>
        <v>0.94035078877072975</v>
      </c>
      <c r="CJ66" s="53">
        <f t="shared" si="777"/>
        <v>4.0503250844211474</v>
      </c>
      <c r="CK66" s="53">
        <f t="shared" ref="CK66:CL66" si="778">(CK48-CK47)/CK65</f>
        <v>1.4153772491305876</v>
      </c>
      <c r="CL66" s="53">
        <f t="shared" si="778"/>
        <v>2.8276044554205919</v>
      </c>
      <c r="CM66" s="54">
        <f t="shared" si="777"/>
        <v>1.1267404226481856</v>
      </c>
      <c r="CN66" s="54">
        <f t="shared" si="777"/>
        <v>1.3289383283903222</v>
      </c>
      <c r="CO66" s="54">
        <f t="shared" si="777"/>
        <v>1.2796717095899601</v>
      </c>
      <c r="CP66" s="54">
        <f t="shared" si="777"/>
        <v>2.0156792769468383</v>
      </c>
      <c r="CQ66" s="54">
        <f t="shared" si="777"/>
        <v>0.93151699582638237</v>
      </c>
      <c r="CR66" s="54">
        <f t="shared" si="777"/>
        <v>1.0103639928109951</v>
      </c>
      <c r="CS66" s="54">
        <f t="shared" si="777"/>
        <v>1.0084265573795268</v>
      </c>
      <c r="CT66" s="54">
        <f t="shared" si="777"/>
        <v>1.5662425961654021</v>
      </c>
      <c r="CU66" s="54">
        <f t="shared" ref="CU66:DB66" si="779">(CU48-CU47)/CU65</f>
        <v>0.71487582914483239</v>
      </c>
      <c r="CV66" s="54">
        <f t="shared" si="779"/>
        <v>0.76786888026740163</v>
      </c>
      <c r="CW66" s="54">
        <f t="shared" si="779"/>
        <v>0.76960816531845744</v>
      </c>
      <c r="CX66" s="54">
        <f t="shared" si="779"/>
        <v>1.2212319424398337</v>
      </c>
      <c r="CY66" s="54">
        <f t="shared" si="779"/>
        <v>0.53025704668646501</v>
      </c>
      <c r="CZ66" s="54">
        <f t="shared" si="779"/>
        <v>0.57198778900341585</v>
      </c>
      <c r="DA66" s="54">
        <f t="shared" si="779"/>
        <v>0.57382062606924533</v>
      </c>
      <c r="DB66" s="54">
        <f t="shared" si="779"/>
        <v>0.94239467211254846</v>
      </c>
      <c r="DE66" s="132"/>
      <c r="DF66" s="53">
        <v>9.2336575777430756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5.4166666666666696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 t="e">
        <f t="shared" ca="1" si="780"/>
        <v>#DIV/0!</v>
      </c>
      <c r="K68" s="3" t="e">
        <f t="shared" ca="1" si="780"/>
        <v>#DIV/0!</v>
      </c>
      <c r="L68" s="3">
        <f t="shared" ca="1" si="780"/>
        <v>0</v>
      </c>
      <c r="M68" s="3">
        <f t="shared" ca="1" si="780"/>
        <v>0</v>
      </c>
      <c r="N68" s="3">
        <f t="shared" ca="1" si="780"/>
        <v>0</v>
      </c>
      <c r="O68" s="3">
        <f t="shared" ca="1" si="780"/>
        <v>0</v>
      </c>
      <c r="P68" s="3">
        <f t="shared" ca="1" si="780"/>
        <v>2.0767593970458105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</v>
      </c>
      <c r="U68" s="3">
        <f t="shared" ca="1" si="780"/>
        <v>0</v>
      </c>
      <c r="V68" s="3">
        <f ca="1">V67/V66</f>
        <v>0</v>
      </c>
      <c r="W68" s="3">
        <f t="shared" ref="W68" ca="1" si="781">W67/W66</f>
        <v>0</v>
      </c>
      <c r="X68" s="3">
        <f t="shared" ref="X68:Y68" ca="1" si="782">X67/X66</f>
        <v>0</v>
      </c>
      <c r="Y68" s="3">
        <f t="shared" ca="1" si="782"/>
        <v>0</v>
      </c>
      <c r="Z68" s="3">
        <f t="shared" ref="Z68:AA68" ca="1" si="783">Z67/Z66</f>
        <v>0</v>
      </c>
      <c r="AA68" s="3">
        <f t="shared" ref="AA68" ca="1" si="784">AA67/AA66</f>
        <v>0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0</v>
      </c>
      <c r="K69" s="3">
        <f t="shared" ca="1" si="787"/>
        <v>0</v>
      </c>
      <c r="L69" s="3">
        <f t="shared" ca="1" si="787"/>
        <v>0.43167802782117842</v>
      </c>
      <c r="M69" s="3">
        <f t="shared" ca="1" si="787"/>
        <v>0.52230255531475223</v>
      </c>
      <c r="N69" s="3">
        <f t="shared" ca="1" si="787"/>
        <v>0.63338459503049227</v>
      </c>
      <c r="O69" s="3">
        <f t="shared" ca="1" si="787"/>
        <v>2.6971956428607431</v>
      </c>
      <c r="P69" s="3">
        <f t="shared" ca="1" si="787"/>
        <v>2.6082302429313073</v>
      </c>
      <c r="Q69" s="3">
        <f t="shared" ca="1" si="787"/>
        <v>0.47325931152663492</v>
      </c>
      <c r="R69" s="3">
        <f t="shared" ca="1" si="787"/>
        <v>7.4406393326949732E-2</v>
      </c>
      <c r="S69" s="3">
        <f t="shared" ca="1" si="787"/>
        <v>-0.48435644624767066</v>
      </c>
      <c r="T69" s="3">
        <f ca="1">+T66</f>
        <v>-0.11755959881054331</v>
      </c>
      <c r="U69" s="3">
        <f t="shared" ca="1" si="787"/>
        <v>-0.84471548813063502</v>
      </c>
      <c r="V69" s="3">
        <f ca="1">+V66</f>
        <v>1.4885842447457323</v>
      </c>
      <c r="W69" s="3">
        <f t="shared" ref="W69" ca="1" si="788">+W66</f>
        <v>5.014238193639434</v>
      </c>
      <c r="X69" s="3">
        <f t="shared" ref="X69:Y69" ca="1" si="789">+X66</f>
        <v>3.9976563681266031</v>
      </c>
      <c r="Y69" s="3">
        <f t="shared" ca="1" si="789"/>
        <v>7.7108008668917973</v>
      </c>
      <c r="Z69" s="3">
        <f t="shared" ref="Z69:AA69" ca="1" si="790">+Z66</f>
        <v>8.5776926566201368</v>
      </c>
      <c r="AA69" s="3">
        <f t="shared" ref="AA69" ca="1" si="791">+AA66</f>
        <v>8.5776926566201368</v>
      </c>
      <c r="AB69" s="37">
        <f t="shared" ref="AB69:AD69" ca="1" si="792">+AB66</f>
        <v>5.7510297375753261</v>
      </c>
      <c r="AC69" s="37">
        <f t="shared" ca="1" si="792"/>
        <v>4.5165501421823118</v>
      </c>
      <c r="AD69" s="37">
        <f t="shared" ca="1" si="792"/>
        <v>3.4735848171705439</v>
      </c>
      <c r="AE69" s="37">
        <f t="shared" ref="AE69" ca="1" si="793">+AE66</f>
        <v>2.6184601338716691</v>
      </c>
      <c r="AL69" s="3">
        <f>SUM(AI66:AL66)</f>
        <v>0</v>
      </c>
      <c r="AM69" s="3">
        <f t="shared" ref="AM69" si="794">SUM(AJ66:AM66)</f>
        <v>0</v>
      </c>
      <c r="AN69" s="3">
        <f t="shared" ref="AN69" si="795">SUM(AK66:AN66)</f>
        <v>0</v>
      </c>
      <c r="AO69" s="3">
        <f t="shared" ref="AO69" si="796">SUM(AL66:AO66)</f>
        <v>0</v>
      </c>
      <c r="AP69" s="3">
        <f t="shared" ref="AP69" si="797">SUM(AM66:AP66)</f>
        <v>0</v>
      </c>
      <c r="AQ69" s="3">
        <f t="shared" ref="AQ69" si="798">SUM(AN66:AQ66)</f>
        <v>0</v>
      </c>
      <c r="AR69" s="3">
        <f t="shared" ref="AR69" si="799">SUM(AO66:AR66)</f>
        <v>0</v>
      </c>
      <c r="AS69" s="3">
        <f t="shared" ref="AS69" si="800">SUM(AP66:AS66)</f>
        <v>0</v>
      </c>
      <c r="AT69" s="3">
        <f t="shared" ref="AT69" si="801">SUM(AQ66:AT66)</f>
        <v>0</v>
      </c>
      <c r="AU69" s="3">
        <f t="shared" ref="AU69" si="802">SUM(AR66:AU66)</f>
        <v>0</v>
      </c>
      <c r="AV69" s="3">
        <f t="shared" ref="AV69" si="803">SUM(AS66:AV66)</f>
        <v>0</v>
      </c>
      <c r="AW69" s="3">
        <f t="shared" ref="AW69" si="804">SUM(AT66:AW66)</f>
        <v>0</v>
      </c>
      <c r="AX69" s="3">
        <f t="shared" ref="AX69" si="805">SUM(AU66:AX66)</f>
        <v>0</v>
      </c>
      <c r="AY69" s="3">
        <f t="shared" ref="AY69" si="806">SUM(AV66:AY66)</f>
        <v>0</v>
      </c>
      <c r="AZ69" s="3">
        <f t="shared" ref="AZ69" si="807">SUM(AW66:AZ66)</f>
        <v>0</v>
      </c>
      <c r="BA69" s="3">
        <f t="shared" ref="BA69" si="808">SUM(AX66:BA66)</f>
        <v>0</v>
      </c>
      <c r="BB69" s="3">
        <f t="shared" ref="BB69" si="809">SUM(AY66:BB66)</f>
        <v>0</v>
      </c>
      <c r="BC69" s="3">
        <f t="shared" ref="BC69" si="810">SUM(AZ66:BC66)</f>
        <v>0</v>
      </c>
      <c r="BD69" s="3">
        <f t="shared" ref="BD69" si="811">SUM(BA66:BD66)</f>
        <v>0</v>
      </c>
      <c r="BE69" s="3">
        <f t="shared" ref="BE69" si="812">SUM(BB66:BE66)</f>
        <v>0</v>
      </c>
      <c r="BF69" s="3">
        <f t="shared" ref="BF69" si="813">SUM(BC66:BF66)</f>
        <v>0</v>
      </c>
      <c r="BG69" s="3">
        <f t="shared" ref="BG69" si="814">SUM(BD66:BG66)</f>
        <v>0</v>
      </c>
      <c r="BH69" s="3">
        <f t="shared" ref="BH69" si="815">SUM(BE66:BH66)</f>
        <v>0</v>
      </c>
      <c r="BI69" s="3">
        <f t="shared" ref="BI69" si="816">SUM(BF66:BI66)</f>
        <v>0</v>
      </c>
      <c r="BJ69" s="3">
        <f t="shared" ref="BJ69" si="817">SUM(BG66:BJ66)</f>
        <v>0</v>
      </c>
      <c r="BK69" s="3">
        <f t="shared" ref="BK69" si="818">SUM(BH66:BK66)</f>
        <v>0</v>
      </c>
      <c r="BL69" s="3">
        <f t="shared" ref="BL69" si="819">SUM(BI66:BL66)</f>
        <v>0</v>
      </c>
      <c r="BM69" s="3">
        <f t="shared" ref="BM69" si="820">SUM(BJ66:BM66)</f>
        <v>0</v>
      </c>
      <c r="BN69" s="3">
        <f t="shared" ref="BN69" si="821">SUM(BK66:BN66)</f>
        <v>0</v>
      </c>
      <c r="BO69" s="3">
        <f t="shared" ref="BO69" si="822">SUM(BL66:BO66)</f>
        <v>0</v>
      </c>
      <c r="BP69" s="3">
        <f t="shared" ref="BP69" si="823">SUM(BM66:BP66)</f>
        <v>0</v>
      </c>
      <c r="BQ69" s="3">
        <f t="shared" ref="BQ69" si="824">SUM(BN66:BQ66)</f>
        <v>0</v>
      </c>
      <c r="BR69" s="3">
        <f t="shared" ref="BR69" si="825">SUM(BO66:BR66)</f>
        <v>0</v>
      </c>
      <c r="BS69" s="3">
        <f t="shared" ref="BS69" si="826">SUM(BP66:BS66)</f>
        <v>0</v>
      </c>
      <c r="BT69" s="3">
        <f t="shared" ref="BT69" si="827">SUM(BQ66:BT66)</f>
        <v>0</v>
      </c>
      <c r="BU69" s="3">
        <f t="shared" ref="BU69" si="828">SUM(BR66:BU66)</f>
        <v>0</v>
      </c>
      <c r="BV69" s="3">
        <f t="shared" ref="BV69" si="829">SUM(BS66:BV66)</f>
        <v>0</v>
      </c>
      <c r="BW69" s="3">
        <f t="shared" ref="BW69" si="830">SUM(BT66:BW66)</f>
        <v>0.79658283352653603</v>
      </c>
      <c r="BX69" s="3">
        <f t="shared" ref="BX69" si="831">SUM(BU66:BX66)</f>
        <v>1.6911950002520035</v>
      </c>
      <c r="BY69" s="3">
        <f t="shared" ref="BY69" si="832">SUM(BV66:BY66)</f>
        <v>2.4116727987500597</v>
      </c>
      <c r="BZ69" s="3">
        <f t="shared" ref="BZ69" si="833">SUM(BW66:BZ66)</f>
        <v>3.9976563681266022</v>
      </c>
      <c r="CA69" s="3">
        <f t="shared" ref="CA69" si="834">SUM(BX66:CA66)</f>
        <v>3.876316717907359</v>
      </c>
      <c r="CB69" s="3">
        <f t="shared" ref="CB69" si="835">SUM(BY66:CB66)</f>
        <v>4.8280076609041895</v>
      </c>
      <c r="CC69" s="3">
        <f t="shared" ref="CC69" si="836">SUM(BZ66:CC66)</f>
        <v>6.4310014616198803</v>
      </c>
      <c r="CD69" s="3">
        <f t="shared" ref="CD69" si="837">SUM(CA66:CD66)</f>
        <v>7.7108008668917964</v>
      </c>
      <c r="CE69" s="3">
        <f t="shared" ref="CE69" si="838">SUM(CB66:CE66)</f>
        <v>8.370671841137046</v>
      </c>
      <c r="CF69" s="3">
        <f t="shared" ref="CF69" si="839">SUM(CC66:CF66)</f>
        <v>8.4715992137493092</v>
      </c>
      <c r="CG69" s="3">
        <f t="shared" ref="CG69" si="840">SUM(CD66:CG66)</f>
        <v>7.5330124489693056</v>
      </c>
      <c r="CH69" s="3">
        <f t="shared" ref="CH69:CL69" si="841">SUM(CE66:CH66)</f>
        <v>8.5776926566201279</v>
      </c>
      <c r="CI69" s="3">
        <f t="shared" si="841"/>
        <v>8.1829292878383146</v>
      </c>
      <c r="CJ69" s="3">
        <f t="shared" si="841"/>
        <v>10.286023889924902</v>
      </c>
      <c r="CK69" s="3">
        <f t="shared" si="841"/>
        <v>10.316516304621745</v>
      </c>
      <c r="CL69" s="3">
        <f t="shared" si="841"/>
        <v>9.2336575777430561</v>
      </c>
      <c r="CM69" s="37">
        <f t="shared" ref="CM69" si="842">SUM(CJ66:CM66)</f>
        <v>9.4200472116205134</v>
      </c>
      <c r="CN69" s="37">
        <f t="shared" ref="CN69" si="843">SUM(CK66:CN66)</f>
        <v>6.6986604555896871</v>
      </c>
      <c r="CO69" s="37">
        <f t="shared" ref="CO69" si="844">SUM(CL66:CO66)</f>
        <v>6.5629549160490601</v>
      </c>
      <c r="CP69" s="37">
        <f t="shared" ref="CP69" si="845">SUM(CM66:CP66)</f>
        <v>5.7510297375753066</v>
      </c>
      <c r="CQ69" s="37">
        <f t="shared" ref="CQ69" si="846">SUM(CN66:CQ66)</f>
        <v>5.5558063107535034</v>
      </c>
      <c r="CR69" s="37">
        <f t="shared" ref="CR69" si="847">SUM(CO66:CR66)</f>
        <v>5.2372319751741756</v>
      </c>
      <c r="CS69" s="37">
        <f t="shared" ref="CS69" si="848">SUM(CP66:CS66)</f>
        <v>4.9659868229637425</v>
      </c>
      <c r="CT69" s="37">
        <f t="shared" ref="CT69" si="849">SUM(CQ66:CT66)</f>
        <v>4.5165501421823064</v>
      </c>
      <c r="CU69" s="37">
        <f t="shared" ref="CU69" si="850">SUM(CR66:CU66)</f>
        <v>4.299908975500756</v>
      </c>
      <c r="CV69" s="37">
        <f t="shared" ref="CV69" si="851">SUM(CS66:CV66)</f>
        <v>4.057413862957163</v>
      </c>
      <c r="CW69" s="37">
        <f t="shared" ref="CW69" si="852">SUM(CT66:CW66)</f>
        <v>3.8185954708960934</v>
      </c>
      <c r="CX69" s="37">
        <f t="shared" ref="CX69" si="853">SUM(CU66:CX66)</f>
        <v>3.4735848171705253</v>
      </c>
      <c r="CY69" s="37">
        <f t="shared" ref="CY69" si="854">SUM(CV66:CY66)</f>
        <v>3.2889660347121579</v>
      </c>
      <c r="CZ69" s="37">
        <f t="shared" ref="CZ69" si="855">SUM(CW66:CZ66)</f>
        <v>3.0930849434481722</v>
      </c>
      <c r="DA69" s="37">
        <f t="shared" ref="DA69" si="856">SUM(CX66:DA66)</f>
        <v>2.8972974041989601</v>
      </c>
      <c r="DB69" s="37">
        <f t="shared" ref="DB69" si="857">SUM(CY66:DB66)</f>
        <v>2.6184601338716744</v>
      </c>
      <c r="DE69" s="134"/>
      <c r="DF69" s="3">
        <v>9.2336575777430756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 t="e">
        <f t="shared" ca="1" si="858"/>
        <v>#DIV/0!</v>
      </c>
      <c r="L70" s="101" t="e">
        <f t="shared" ca="1" si="858"/>
        <v>#DIV/0!</v>
      </c>
      <c r="M70" s="101">
        <f t="shared" ca="1" si="858"/>
        <v>0.20993546498297744</v>
      </c>
      <c r="N70" s="101">
        <f t="shared" ca="1" si="858"/>
        <v>0.21267757276967436</v>
      </c>
      <c r="O70" s="101">
        <f t="shared" ca="1" si="858"/>
        <v>3.2583852907424991</v>
      </c>
      <c r="P70" s="101">
        <f t="shared" ca="1" si="858"/>
        <v>-3.2984407402896432E-2</v>
      </c>
      <c r="Q70" s="101">
        <f t="shared" ca="1" si="858"/>
        <v>-0.81855155893187037</v>
      </c>
      <c r="R70" s="101">
        <f t="shared" ca="1" si="858"/>
        <v>-0.84277880748520217</v>
      </c>
      <c r="S70" s="101">
        <f t="shared" ca="1" si="858"/>
        <v>-7.5096079058604026</v>
      </c>
      <c r="T70" s="101">
        <f t="shared" ca="1" si="858"/>
        <v>-0.75728701512846097</v>
      </c>
      <c r="U70" s="101">
        <f t="shared" ca="1" si="858"/>
        <v>6.1854233654876749</v>
      </c>
      <c r="V70" s="101">
        <f t="shared" ca="1" si="858"/>
        <v>-2.7622315035799643</v>
      </c>
      <c r="W70" s="101">
        <f t="shared" ca="1" si="858"/>
        <v>2.3684611477907485</v>
      </c>
      <c r="X70" s="101">
        <f t="shared" ca="1" si="858"/>
        <v>-0.20273903756753442</v>
      </c>
      <c r="Y70" s="101">
        <f t="shared" ca="1" si="858"/>
        <v>0.92883033378510782</v>
      </c>
      <c r="Z70" s="101">
        <f t="shared" ca="1" si="858"/>
        <v>0.11242564873521133</v>
      </c>
      <c r="AA70" s="101">
        <f t="shared" ca="1" si="858"/>
        <v>0.11242564873521133</v>
      </c>
      <c r="AB70" s="174">
        <f t="shared" ref="AB70" ca="1" si="859">+AB69/AA69-1</f>
        <v>-0.37716666563013113</v>
      </c>
      <c r="AC70" s="174">
        <f t="shared" ref="AC70" ca="1" si="860">+AC69/AB69-1</f>
        <v>-0.21465366233934302</v>
      </c>
      <c r="AD70" s="174">
        <f t="shared" ref="AD70" ca="1" si="861">+AD69/AC69-1</f>
        <v>-0.23092078958030271</v>
      </c>
      <c r="AE70" s="174">
        <f t="shared" ref="AE70" ca="1" si="862">+AE69/AD69-1</f>
        <v>-0.24617930130044396</v>
      </c>
      <c r="AL70" s="176"/>
      <c r="AM70" s="176"/>
      <c r="AN70" s="176"/>
      <c r="AO70" s="176"/>
      <c r="AP70" s="176" t="e">
        <f t="shared" ref="AP70:CL70" si="863">+IF(AL69&lt;0,1-AP69/AL69,AP69/AL69-1)</f>
        <v>#DIV/0!</v>
      </c>
      <c r="AQ70" s="176" t="e">
        <f t="shared" si="863"/>
        <v>#DIV/0!</v>
      </c>
      <c r="AR70" s="176" t="e">
        <f t="shared" si="863"/>
        <v>#DIV/0!</v>
      </c>
      <c r="AS70" s="176" t="e">
        <f t="shared" si="863"/>
        <v>#DIV/0!</v>
      </c>
      <c r="AT70" s="176" t="e">
        <f t="shared" si="863"/>
        <v>#DIV/0!</v>
      </c>
      <c r="AU70" s="176" t="e">
        <f t="shared" si="863"/>
        <v>#DIV/0!</v>
      </c>
      <c r="AV70" s="176" t="e">
        <f t="shared" si="863"/>
        <v>#DIV/0!</v>
      </c>
      <c r="AW70" s="176" t="e">
        <f t="shared" si="863"/>
        <v>#DIV/0!</v>
      </c>
      <c r="AX70" s="176" t="e">
        <f t="shared" si="863"/>
        <v>#DIV/0!</v>
      </c>
      <c r="AY70" s="176" t="e">
        <f t="shared" si="863"/>
        <v>#DIV/0!</v>
      </c>
      <c r="AZ70" s="176" t="e">
        <f t="shared" si="863"/>
        <v>#DIV/0!</v>
      </c>
      <c r="BA70" s="176" t="e">
        <f t="shared" si="863"/>
        <v>#DIV/0!</v>
      </c>
      <c r="BB70" s="176" t="e">
        <f t="shared" si="863"/>
        <v>#DIV/0!</v>
      </c>
      <c r="BC70" s="176" t="e">
        <f t="shared" si="863"/>
        <v>#DIV/0!</v>
      </c>
      <c r="BD70" s="176" t="e">
        <f t="shared" si="863"/>
        <v>#DIV/0!</v>
      </c>
      <c r="BE70" s="176" t="e">
        <f t="shared" si="863"/>
        <v>#DIV/0!</v>
      </c>
      <c r="BF70" s="176" t="e">
        <f t="shared" si="863"/>
        <v>#DIV/0!</v>
      </c>
      <c r="BG70" s="176" t="e">
        <f t="shared" si="863"/>
        <v>#DIV/0!</v>
      </c>
      <c r="BH70" s="176" t="e">
        <f t="shared" si="863"/>
        <v>#DIV/0!</v>
      </c>
      <c r="BI70" s="176" t="e">
        <f t="shared" si="863"/>
        <v>#DIV/0!</v>
      </c>
      <c r="BJ70" s="176" t="e">
        <f t="shared" si="863"/>
        <v>#DIV/0!</v>
      </c>
      <c r="BK70" s="176" t="e">
        <f t="shared" si="863"/>
        <v>#DIV/0!</v>
      </c>
      <c r="BL70" s="176" t="e">
        <f t="shared" si="863"/>
        <v>#DIV/0!</v>
      </c>
      <c r="BM70" s="176" t="e">
        <f t="shared" si="863"/>
        <v>#DIV/0!</v>
      </c>
      <c r="BN70" s="176" t="e">
        <f t="shared" si="863"/>
        <v>#DIV/0!</v>
      </c>
      <c r="BO70" s="176" t="e">
        <f t="shared" si="863"/>
        <v>#DIV/0!</v>
      </c>
      <c r="BP70" s="176" t="e">
        <f t="shared" si="863"/>
        <v>#DIV/0!</v>
      </c>
      <c r="BQ70" s="176" t="e">
        <f t="shared" si="863"/>
        <v>#DIV/0!</v>
      </c>
      <c r="BR70" s="176" t="e">
        <f t="shared" si="863"/>
        <v>#DIV/0!</v>
      </c>
      <c r="BS70" s="176" t="e">
        <f t="shared" si="863"/>
        <v>#DIV/0!</v>
      </c>
      <c r="BT70" s="176" t="e">
        <f t="shared" si="863"/>
        <v>#DIV/0!</v>
      </c>
      <c r="BU70" s="176" t="e">
        <f t="shared" si="863"/>
        <v>#DIV/0!</v>
      </c>
      <c r="BV70" s="176" t="e">
        <f t="shared" si="863"/>
        <v>#DIV/0!</v>
      </c>
      <c r="BW70" s="176" t="e">
        <f t="shared" si="863"/>
        <v>#DIV/0!</v>
      </c>
      <c r="BX70" s="176" t="e">
        <f t="shared" si="863"/>
        <v>#DIV/0!</v>
      </c>
      <c r="BY70" s="176" t="e">
        <f t="shared" si="863"/>
        <v>#DIV/0!</v>
      </c>
      <c r="BZ70" s="176" t="e">
        <f t="shared" si="863"/>
        <v>#DIV/0!</v>
      </c>
      <c r="CA70" s="176">
        <f t="shared" si="863"/>
        <v>3.8661815881050243</v>
      </c>
      <c r="CB70" s="176">
        <f t="shared" si="863"/>
        <v>1.8547906422291764</v>
      </c>
      <c r="CC70" s="176">
        <f t="shared" si="863"/>
        <v>1.6666144200627007</v>
      </c>
      <c r="CD70" s="176">
        <f t="shared" si="863"/>
        <v>0.92883033378510804</v>
      </c>
      <c r="CE70" s="176">
        <f t="shared" si="863"/>
        <v>1.1594396047328086</v>
      </c>
      <c r="CF70" s="176">
        <f t="shared" si="863"/>
        <v>0.75467808022548732</v>
      </c>
      <c r="CG70" s="176">
        <f t="shared" si="863"/>
        <v>0.1713591567232895</v>
      </c>
      <c r="CH70" s="176">
        <f t="shared" si="863"/>
        <v>0.11242564873521022</v>
      </c>
      <c r="CI70" s="176">
        <f t="shared" si="863"/>
        <v>-2.242861228606341E-2</v>
      </c>
      <c r="CJ70" s="176">
        <f t="shared" si="863"/>
        <v>0.21417735074515831</v>
      </c>
      <c r="CK70" s="176">
        <f t="shared" si="863"/>
        <v>0.36950740152212136</v>
      </c>
      <c r="CL70" s="176">
        <f t="shared" si="863"/>
        <v>7.6473353311005576E-2</v>
      </c>
      <c r="CM70" s="102">
        <f t="shared" ref="CM70:DB70" si="864">+IF(CI69&lt;0,1-CM69/CI69,CM69/CI69-1)</f>
        <v>0.15118277089609422</v>
      </c>
      <c r="CN70" s="102">
        <f t="shared" si="864"/>
        <v>-0.34876094715753236</v>
      </c>
      <c r="CO70" s="102">
        <f t="shared" si="864"/>
        <v>-0.36384000933446004</v>
      </c>
      <c r="CP70" s="102">
        <f t="shared" si="864"/>
        <v>-0.37716666563013201</v>
      </c>
      <c r="CQ70" s="102">
        <f t="shared" si="864"/>
        <v>-0.41021460020923306</v>
      </c>
      <c r="CR70" s="102">
        <f t="shared" si="864"/>
        <v>-0.21816727241280376</v>
      </c>
      <c r="CS70" s="102">
        <f t="shared" si="864"/>
        <v>-0.2433306511340021</v>
      </c>
      <c r="CT70" s="102">
        <f t="shared" si="864"/>
        <v>-0.21465366233934124</v>
      </c>
      <c r="CU70" s="102">
        <f t="shared" si="864"/>
        <v>-0.22605131730778727</v>
      </c>
      <c r="CV70" s="102">
        <f t="shared" si="864"/>
        <v>-0.22527512965048202</v>
      </c>
      <c r="CW70" s="102">
        <f t="shared" si="864"/>
        <v>-0.23105001945673231</v>
      </c>
      <c r="CX70" s="102">
        <f t="shared" si="864"/>
        <v>-0.23092078958030593</v>
      </c>
      <c r="CY70" s="102">
        <f t="shared" si="864"/>
        <v>-0.23510798636635477</v>
      </c>
      <c r="CZ70" s="102">
        <f t="shared" si="864"/>
        <v>-0.2376708297649871</v>
      </c>
      <c r="DA70" s="102">
        <f t="shared" si="864"/>
        <v>-0.24126621259542225</v>
      </c>
      <c r="DB70" s="102">
        <f t="shared" si="864"/>
        <v>-0.24617930130043841</v>
      </c>
      <c r="DE70" s="135"/>
      <c r="DF70" s="97">
        <v>7.6473353311006687E-2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74</v>
      </c>
      <c r="S73" s="3">
        <f>'Annual Raw'!T112</f>
        <v>74</v>
      </c>
      <c r="T73" s="3">
        <f>'Annual Raw'!U112</f>
        <v>0</v>
      </c>
      <c r="U73" s="3">
        <f>'Annual Raw'!V112</f>
        <v>100</v>
      </c>
      <c r="V73" s="3">
        <f>'Annual Raw'!W112</f>
        <v>100</v>
      </c>
      <c r="W73" s="3">
        <f>'Annual Raw'!X112</f>
        <v>100</v>
      </c>
      <c r="X73" s="3">
        <f>'Annual Raw'!Y112</f>
        <v>0</v>
      </c>
      <c r="Y73" s="3">
        <f>'Annual Raw'!Z112</f>
        <v>66.66</v>
      </c>
      <c r="Z73" s="3">
        <f>'Annual Raw'!AA112</f>
        <v>52.16</v>
      </c>
      <c r="AA73" s="3">
        <f>'Annual Raw'!AB112</f>
        <v>52.12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66.66</v>
      </c>
      <c r="CB73" s="3">
        <f>'QTR Raw'!AV49</f>
        <v>66.66</v>
      </c>
      <c r="CC73" s="3">
        <f>'QTR Raw'!AW49</f>
        <v>66.66</v>
      </c>
      <c r="CD73" s="3">
        <f>'QTR Raw'!AX49</f>
        <v>66.66</v>
      </c>
      <c r="CE73" s="3">
        <f>'QTR Raw'!AY49</f>
        <v>66.66</v>
      </c>
      <c r="CF73" s="3">
        <f>'QTR Raw'!AZ49</f>
        <v>52.16</v>
      </c>
      <c r="CG73" s="3">
        <f>'QTR Raw'!BA49</f>
        <v>52.16</v>
      </c>
      <c r="CH73" s="3">
        <f>'QTR Raw'!BB49</f>
        <v>52.16</v>
      </c>
      <c r="CI73" s="3">
        <f>'QTR Raw'!BC49</f>
        <v>52.12</v>
      </c>
      <c r="CJ73" s="3">
        <f>'QTR Raw'!BD49</f>
        <v>52.12</v>
      </c>
      <c r="CK73" s="3">
        <f>'QTR Raw'!BE49</f>
        <v>52.12</v>
      </c>
      <c r="CL73" s="3">
        <f>'QTR Raw'!BF49</f>
        <v>52.12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720.2</v>
      </c>
      <c r="Z77" s="13">
        <f>'Annual Raw'!AA106</f>
        <v>457.15</v>
      </c>
      <c r="AA77" s="13">
        <f>'Annual Raw'!AB106</f>
        <v>272</v>
      </c>
      <c r="AB77" s="37">
        <f>+CP77</f>
        <v>272</v>
      </c>
      <c r="AC77" s="37">
        <f>+CT77</f>
        <v>272</v>
      </c>
      <c r="AD77" s="37">
        <f>+CX77</f>
        <v>272</v>
      </c>
      <c r="AE77" s="37">
        <f>+DB77</f>
        <v>272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720.6</v>
      </c>
      <c r="CC77" s="13">
        <f>'QTR Share Price'!JI21</f>
        <v>675.05</v>
      </c>
      <c r="CD77" s="13">
        <f>'QTR Share Price'!JJ21</f>
        <v>720.2</v>
      </c>
      <c r="CE77" s="13">
        <f>'QTR Share Price'!JK21</f>
        <v>742.1</v>
      </c>
      <c r="CF77" s="13">
        <f>'QTR Share Price'!JL21</f>
        <v>669.1</v>
      </c>
      <c r="CG77" s="13">
        <f>'QTR Share Price'!JM21</f>
        <v>669.2</v>
      </c>
      <c r="CH77" s="13">
        <f>'QTR Share Price'!JN21</f>
        <v>457.15</v>
      </c>
      <c r="CI77" s="13">
        <f>'QTR Share Price'!JO21</f>
        <v>475.5</v>
      </c>
      <c r="CJ77" s="13">
        <f>'QTR Share Price'!JP21</f>
        <v>421.1</v>
      </c>
      <c r="CK77" s="13">
        <f>'QTR Share Price'!JQ21</f>
        <v>416.3</v>
      </c>
      <c r="CL77" s="13">
        <f>'QTR Share Price'!JR21</f>
        <v>272</v>
      </c>
      <c r="CM77" s="37">
        <f t="shared" ref="CM77" si="865">+CL77</f>
        <v>272</v>
      </c>
      <c r="CN77" s="37">
        <f t="shared" ref="CN77" si="866">+CM77</f>
        <v>272</v>
      </c>
      <c r="CO77" s="37">
        <f t="shared" ref="CO77" si="867">+CN77</f>
        <v>272</v>
      </c>
      <c r="CP77" s="37">
        <f t="shared" ref="CP77" si="868">+CO77</f>
        <v>272</v>
      </c>
      <c r="CQ77" s="37">
        <f t="shared" ref="CQ77" si="869">+CP77</f>
        <v>272</v>
      </c>
      <c r="CR77" s="37">
        <f t="shared" ref="CR77" si="870">+CQ77</f>
        <v>272</v>
      </c>
      <c r="CS77" s="37">
        <f t="shared" ref="CS77" si="871">+CR77</f>
        <v>272</v>
      </c>
      <c r="CT77" s="37">
        <f t="shared" ref="CT77" si="872">+CS77</f>
        <v>272</v>
      </c>
      <c r="CU77" s="37">
        <f t="shared" ref="CU77" si="873">+CT77</f>
        <v>272</v>
      </c>
      <c r="CV77" s="37">
        <f t="shared" ref="CV77" si="874">+CU77</f>
        <v>272</v>
      </c>
      <c r="CW77" s="37">
        <f t="shared" ref="CW77" si="875">+CV77</f>
        <v>272</v>
      </c>
      <c r="CX77" s="37">
        <f t="shared" ref="CX77" si="876">+CW77</f>
        <v>272</v>
      </c>
      <c r="CY77" s="37">
        <f t="shared" ref="CY77" si="877">+CX77</f>
        <v>272</v>
      </c>
      <c r="CZ77" s="37">
        <f t="shared" ref="CZ77" si="878">+CY77</f>
        <v>272</v>
      </c>
      <c r="DA77" s="37">
        <f t="shared" ref="DA77" si="879">+CZ77</f>
        <v>272</v>
      </c>
      <c r="DB77" s="37">
        <f t="shared" ref="DB77" si="880">+DA77</f>
        <v>272</v>
      </c>
      <c r="DE77" s="134"/>
      <c r="DF77" s="13">
        <v>272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882.9</v>
      </c>
      <c r="Z78" s="13">
        <f>'Annual Raw'!AA107</f>
        <v>872.55</v>
      </c>
      <c r="AA78" s="13">
        <f>'Annual Raw'!AB107</f>
        <v>541</v>
      </c>
      <c r="AB78" s="37">
        <f>+MAX(CM78:CP78)</f>
        <v>428.27403833670019</v>
      </c>
      <c r="AC78" s="37">
        <f>+MAX(CQ78:CT78)</f>
        <v>252.58977492041694</v>
      </c>
      <c r="AD78" s="37">
        <f>+MAX(CU78:CX78)</f>
        <v>195.49152356117918</v>
      </c>
      <c r="AE78" s="37">
        <f>+MAX(CY78:DB78)</f>
        <v>149.52990510501957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779</v>
      </c>
      <c r="CC78" s="13">
        <f>'QTR Share Price'!JI19</f>
        <v>748</v>
      </c>
      <c r="CD78" s="13">
        <f>'QTR Share Price'!JJ19</f>
        <v>882.9</v>
      </c>
      <c r="CE78" s="13">
        <f>'QTR Share Price'!JK19</f>
        <v>779.55</v>
      </c>
      <c r="CF78" s="13">
        <f>'QTR Share Price'!JL19</f>
        <v>872.55</v>
      </c>
      <c r="CG78" s="13">
        <f>'QTR Share Price'!JM19</f>
        <v>743.15</v>
      </c>
      <c r="CH78" s="13">
        <f>'QTR Share Price'!JN19</f>
        <v>680.35</v>
      </c>
      <c r="CI78" s="13">
        <f>'QTR Share Price'!JO19</f>
        <v>541</v>
      </c>
      <c r="CJ78" s="13">
        <f>'QTR Share Price'!JP19</f>
        <v>505</v>
      </c>
      <c r="CK78" s="13">
        <f>'QTR Share Price'!JQ19</f>
        <v>495.5</v>
      </c>
      <c r="CL78" s="13">
        <f>'QTR Share Price'!JR19</f>
        <v>419.8</v>
      </c>
      <c r="CM78" s="37">
        <f t="shared" ref="CM78:DB78" si="881">+CM69*CM86</f>
        <v>428.27403833670019</v>
      </c>
      <c r="CN78" s="37">
        <f t="shared" si="881"/>
        <v>304.54861852738316</v>
      </c>
      <c r="CO78" s="37">
        <f t="shared" si="881"/>
        <v>298.37888730013094</v>
      </c>
      <c r="CP78" s="37">
        <f t="shared" si="881"/>
        <v>261.46543376847063</v>
      </c>
      <c r="CQ78" s="37">
        <f t="shared" si="881"/>
        <v>252.58977492041694</v>
      </c>
      <c r="CR78" s="37">
        <f t="shared" si="881"/>
        <v>238.10607710617649</v>
      </c>
      <c r="CS78" s="37">
        <f t="shared" si="881"/>
        <v>225.77415836875107</v>
      </c>
      <c r="CT78" s="37">
        <f t="shared" si="881"/>
        <v>205.34092083492393</v>
      </c>
      <c r="CU78" s="37">
        <f t="shared" si="881"/>
        <v>195.49152356117918</v>
      </c>
      <c r="CV78" s="37">
        <f t="shared" si="881"/>
        <v>184.46669971551492</v>
      </c>
      <c r="CW78" s="37">
        <f t="shared" si="881"/>
        <v>173.60903468482377</v>
      </c>
      <c r="CX78" s="37">
        <f t="shared" si="881"/>
        <v>157.9234332625762</v>
      </c>
      <c r="CY78" s="37">
        <f t="shared" si="881"/>
        <v>149.52990510501957</v>
      </c>
      <c r="CZ78" s="37">
        <f t="shared" si="881"/>
        <v>140.62434613011976</v>
      </c>
      <c r="DA78" s="37">
        <f t="shared" si="881"/>
        <v>131.72304041406906</v>
      </c>
      <c r="DB78" s="37">
        <f t="shared" si="881"/>
        <v>119.04595280302878</v>
      </c>
      <c r="DE78" s="134"/>
      <c r="DF78" s="13">
        <v>541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401</v>
      </c>
      <c r="Z79" s="13">
        <f>'Annual Raw'!AA108</f>
        <v>380.5</v>
      </c>
      <c r="AA79" s="13">
        <f>'Annual Raw'!AB108</f>
        <v>264.95</v>
      </c>
      <c r="AB79" s="37">
        <f>+MIN(CM79:CP79)</f>
        <v>165.01969194129651</v>
      </c>
      <c r="AC79" s="37">
        <f>+MIN(CQ79:CT79)</f>
        <v>129.59761070798734</v>
      </c>
      <c r="AD79" s="37">
        <f>+MIN(CU79:CX79)</f>
        <v>99.670828115577791</v>
      </c>
      <c r="AE79" s="37">
        <f>+MIN(CY79:DB79)</f>
        <v>75.133933290048773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401</v>
      </c>
      <c r="CC79" s="13">
        <f>+'QTR Share Price'!JI20</f>
        <v>604.95000000000005</v>
      </c>
      <c r="CD79" s="13">
        <f>+'QTR Share Price'!JJ20</f>
        <v>636</v>
      </c>
      <c r="CE79" s="13">
        <f>+'QTR Share Price'!JK20</f>
        <v>580</v>
      </c>
      <c r="CF79" s="13">
        <f>+'QTR Share Price'!JL20</f>
        <v>662.05</v>
      </c>
      <c r="CG79" s="13">
        <f>+'QTR Share Price'!JM20</f>
        <v>600.5</v>
      </c>
      <c r="CH79" s="13">
        <f>+'QTR Share Price'!JN20</f>
        <v>380.5</v>
      </c>
      <c r="CI79" s="13">
        <f>+'QTR Share Price'!JO20</f>
        <v>350.15</v>
      </c>
      <c r="CJ79" s="13">
        <f>+'QTR Share Price'!JP20</f>
        <v>413.3</v>
      </c>
      <c r="CK79" s="13">
        <f>+'QTR Share Price'!JQ20</f>
        <v>407</v>
      </c>
      <c r="CL79" s="13">
        <f>+'QTR Share Price'!JR20</f>
        <v>264.95</v>
      </c>
      <c r="CM79" s="37">
        <f t="shared" ref="CM79:DB79" si="882">+CM87*CM69</f>
        <v>270.29825263770533</v>
      </c>
      <c r="CN79" s="37">
        <f t="shared" si="882"/>
        <v>192.21094921112473</v>
      </c>
      <c r="CO79" s="37">
        <f t="shared" si="882"/>
        <v>188.31702284461574</v>
      </c>
      <c r="CP79" s="37">
        <f t="shared" si="882"/>
        <v>165.01969194129651</v>
      </c>
      <c r="CQ79" s="37">
        <f t="shared" si="882"/>
        <v>159.41796299467475</v>
      </c>
      <c r="CR79" s="37">
        <f t="shared" si="882"/>
        <v>150.27681069385767</v>
      </c>
      <c r="CS79" s="37">
        <f t="shared" si="882"/>
        <v>142.49371905621865</v>
      </c>
      <c r="CT79" s="37">
        <f t="shared" si="882"/>
        <v>129.59761070798734</v>
      </c>
      <c r="CU79" s="37">
        <f t="shared" si="882"/>
        <v>123.38132245720443</v>
      </c>
      <c r="CV79" s="37">
        <f t="shared" si="882"/>
        <v>116.42318268133795</v>
      </c>
      <c r="CW79" s="37">
        <f t="shared" si="882"/>
        <v>109.57054249581718</v>
      </c>
      <c r="CX79" s="37">
        <f t="shared" si="882"/>
        <v>99.670828115577791</v>
      </c>
      <c r="CY79" s="37">
        <f t="shared" si="882"/>
        <v>94.373388179073189</v>
      </c>
      <c r="CZ79" s="37">
        <f t="shared" si="882"/>
        <v>88.752788249583674</v>
      </c>
      <c r="DA79" s="37">
        <f t="shared" si="882"/>
        <v>83.134872695825607</v>
      </c>
      <c r="DB79" s="37">
        <f t="shared" si="882"/>
        <v>75.133933290048773</v>
      </c>
      <c r="DE79" s="134"/>
      <c r="DF79" s="13">
        <v>264.95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0.574536905649633</v>
      </c>
      <c r="AC81" s="48">
        <f t="shared" si="883"/>
        <v>-7.1361121616114187E-2</v>
      </c>
      <c r="AD81" s="48">
        <f t="shared" si="883"/>
        <v>-0.28128116337801767</v>
      </c>
      <c r="AE81" s="48">
        <f t="shared" ref="AE81" si="884">+AE78/AE77-1</f>
        <v>-0.45025770181978098</v>
      </c>
      <c r="CM81" s="48">
        <f t="shared" ref="CM81:DB81" si="885">+CM78/CM77-1</f>
        <v>0.574536905649633</v>
      </c>
      <c r="CN81" s="48">
        <f t="shared" si="885"/>
        <v>0.11966403870361453</v>
      </c>
      <c r="CO81" s="48">
        <f t="shared" si="885"/>
        <v>9.6981203309304931E-2</v>
      </c>
      <c r="CP81" s="48">
        <f t="shared" si="885"/>
        <v>-3.8730022910034467E-2</v>
      </c>
      <c r="CQ81" s="48">
        <f t="shared" si="885"/>
        <v>-7.1361121616114187E-2</v>
      </c>
      <c r="CR81" s="48">
        <f t="shared" si="885"/>
        <v>-0.12461001063905708</v>
      </c>
      <c r="CS81" s="48">
        <f t="shared" si="885"/>
        <v>-0.16994794717370931</v>
      </c>
      <c r="CT81" s="48">
        <f t="shared" si="885"/>
        <v>-0.2450701439892502</v>
      </c>
      <c r="CU81" s="48">
        <f t="shared" si="885"/>
        <v>-0.28128116337801767</v>
      </c>
      <c r="CV81" s="48">
        <f t="shared" si="885"/>
        <v>-0.32181360398707748</v>
      </c>
      <c r="CW81" s="48">
        <f t="shared" si="885"/>
        <v>-0.36173149012932437</v>
      </c>
      <c r="CX81" s="48">
        <f t="shared" si="885"/>
        <v>-0.41939914241699927</v>
      </c>
      <c r="CY81" s="48">
        <f t="shared" si="885"/>
        <v>-0.45025770181978098</v>
      </c>
      <c r="CZ81" s="48">
        <f t="shared" si="885"/>
        <v>-0.48299872746279504</v>
      </c>
      <c r="DA81" s="48">
        <f t="shared" si="885"/>
        <v>-0.51572411612474611</v>
      </c>
      <c r="DB81" s="48">
        <f t="shared" si="885"/>
        <v>-0.56233105587121779</v>
      </c>
      <c r="DE81" s="129"/>
      <c r="DF81" s="51">
        <v>0.98897058823529416</v>
      </c>
    </row>
    <row r="82" spans="1:110" s="51" customFormat="1" x14ac:dyDescent="0.2">
      <c r="A82" s="51" t="s">
        <v>347</v>
      </c>
      <c r="AB82" s="48">
        <f t="shared" ref="AB82:AD82" si="886">+AB79/AB77-1</f>
        <v>-0.39330995609817454</v>
      </c>
      <c r="AC82" s="48">
        <f t="shared" si="886"/>
        <v>-0.52353819592651707</v>
      </c>
      <c r="AD82" s="48">
        <f t="shared" si="886"/>
        <v>-0.63356313192802283</v>
      </c>
      <c r="AE82" s="48">
        <f t="shared" ref="AE82" si="887">+AE79/AE77-1</f>
        <v>-0.72377230408070303</v>
      </c>
      <c r="CM82" s="48">
        <f t="shared" ref="CM82:DB82" si="888">+CM79/CM77-1</f>
        <v>-6.2564241260832931E-3</v>
      </c>
      <c r="CN82" s="48">
        <f t="shared" si="888"/>
        <v>-0.293342098488512</v>
      </c>
      <c r="CO82" s="48">
        <f t="shared" si="888"/>
        <v>-0.30765800424773626</v>
      </c>
      <c r="CP82" s="48">
        <f t="shared" si="888"/>
        <v>-0.39330995609817454</v>
      </c>
      <c r="CQ82" s="48">
        <f t="shared" si="888"/>
        <v>-0.41390454781369579</v>
      </c>
      <c r="CR82" s="48">
        <f t="shared" si="888"/>
        <v>-0.44751172539022921</v>
      </c>
      <c r="CS82" s="48">
        <f t="shared" si="888"/>
        <v>-0.47612603288154909</v>
      </c>
      <c r="CT82" s="48">
        <f t="shared" si="888"/>
        <v>-0.52353819592651707</v>
      </c>
      <c r="CU82" s="48">
        <f t="shared" si="888"/>
        <v>-0.54639219684851303</v>
      </c>
      <c r="CV82" s="48">
        <f t="shared" si="888"/>
        <v>-0.5719735930833163</v>
      </c>
      <c r="CW82" s="48">
        <f t="shared" si="888"/>
        <v>-0.59716712317714271</v>
      </c>
      <c r="CX82" s="48">
        <f t="shared" si="888"/>
        <v>-0.63356313192802283</v>
      </c>
      <c r="CY82" s="48">
        <f t="shared" si="888"/>
        <v>-0.65303901404752507</v>
      </c>
      <c r="CZ82" s="48">
        <f t="shared" si="888"/>
        <v>-0.67370298437653053</v>
      </c>
      <c r="DA82" s="48">
        <f t="shared" si="888"/>
        <v>-0.69435708567711174</v>
      </c>
      <c r="DB82" s="48">
        <f t="shared" si="888"/>
        <v>-0.72377230408070303</v>
      </c>
      <c r="DE82" s="129"/>
      <c r="DF82" s="51">
        <v>-2.5919117647058898E-2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 t="e">
        <f t="shared" ca="1" si="890"/>
        <v>#DIV/0!</v>
      </c>
      <c r="K85" s="13" t="e">
        <f t="shared" ca="1" si="890"/>
        <v>#DIV/0!</v>
      </c>
      <c r="L85" s="13">
        <f t="shared" ca="1" si="890"/>
        <v>0</v>
      </c>
      <c r="M85" s="13">
        <f t="shared" ca="1" si="890"/>
        <v>0</v>
      </c>
      <c r="N85" s="13">
        <f t="shared" ca="1" si="890"/>
        <v>0</v>
      </c>
      <c r="O85" s="13">
        <f t="shared" ca="1" si="890"/>
        <v>0</v>
      </c>
      <c r="P85" s="13">
        <f t="shared" ca="1" si="890"/>
        <v>0</v>
      </c>
      <c r="Q85" s="13">
        <f t="shared" ca="1" si="890"/>
        <v>0</v>
      </c>
      <c r="R85" s="13">
        <f t="shared" ca="1" si="890"/>
        <v>0</v>
      </c>
      <c r="S85" s="13">
        <f t="shared" ca="1" si="890"/>
        <v>0</v>
      </c>
      <c r="T85" s="13">
        <f t="shared" ca="1" si="890"/>
        <v>0</v>
      </c>
      <c r="U85" s="13">
        <f t="shared" ca="1" si="890"/>
        <v>0</v>
      </c>
      <c r="V85" s="13">
        <f t="shared" ca="1" si="890"/>
        <v>0</v>
      </c>
      <c r="W85" s="13">
        <f t="shared" ca="1" si="890"/>
        <v>0</v>
      </c>
      <c r="X85" s="13">
        <f t="shared" ca="1" si="890"/>
        <v>0</v>
      </c>
      <c r="Y85" s="13">
        <f t="shared" ca="1" si="890"/>
        <v>93.40145238250858</v>
      </c>
      <c r="Z85" s="13">
        <f t="shared" ref="Z85:AA85" ca="1" si="891">+Z77/Z69</f>
        <v>53.295217991656337</v>
      </c>
      <c r="AA85" s="13">
        <f t="shared" ref="AA85" ca="1" si="892">+AA77/AA69</f>
        <v>53.295217991656337</v>
      </c>
      <c r="AB85" s="37">
        <f t="shared" ca="1" si="890"/>
        <v>47.295877853463693</v>
      </c>
      <c r="AC85" s="37">
        <f t="shared" ca="1" si="890"/>
        <v>60.222955892741339</v>
      </c>
      <c r="AD85" s="37">
        <f t="shared" ca="1" si="890"/>
        <v>78.305270870443678</v>
      </c>
      <c r="AE85" s="37">
        <f t="shared" ca="1" si="890"/>
        <v>103.87784655625799</v>
      </c>
      <c r="AL85" s="13" t="e">
        <f t="shared" ref="AL85:BQ85" si="893">+AL77/AL69</f>
        <v>#DIV/0!</v>
      </c>
      <c r="AM85" s="13" t="e">
        <f t="shared" si="893"/>
        <v>#DIV/0!</v>
      </c>
      <c r="AN85" s="13" t="e">
        <f t="shared" si="893"/>
        <v>#DIV/0!</v>
      </c>
      <c r="AO85" s="13" t="e">
        <f t="shared" si="893"/>
        <v>#DIV/0!</v>
      </c>
      <c r="AP85" s="13" t="e">
        <f t="shared" si="893"/>
        <v>#DIV/0!</v>
      </c>
      <c r="AQ85" s="13" t="e">
        <f t="shared" si="893"/>
        <v>#DIV/0!</v>
      </c>
      <c r="AR85" s="13" t="e">
        <f t="shared" si="893"/>
        <v>#DIV/0!</v>
      </c>
      <c r="AS85" s="13" t="e">
        <f t="shared" si="893"/>
        <v>#DIV/0!</v>
      </c>
      <c r="AT85" s="13" t="e">
        <f t="shared" si="893"/>
        <v>#DIV/0!</v>
      </c>
      <c r="AU85" s="13" t="e">
        <f t="shared" si="893"/>
        <v>#DIV/0!</v>
      </c>
      <c r="AV85" s="13" t="e">
        <f t="shared" si="893"/>
        <v>#DIV/0!</v>
      </c>
      <c r="AW85" s="13" t="e">
        <f t="shared" si="893"/>
        <v>#DIV/0!</v>
      </c>
      <c r="AX85" s="13" t="e">
        <f t="shared" si="893"/>
        <v>#DIV/0!</v>
      </c>
      <c r="AY85" s="13" t="e">
        <f t="shared" si="893"/>
        <v>#DIV/0!</v>
      </c>
      <c r="AZ85" s="13" t="e">
        <f t="shared" si="893"/>
        <v>#DIV/0!</v>
      </c>
      <c r="BA85" s="13" t="e">
        <f t="shared" si="893"/>
        <v>#DIV/0!</v>
      </c>
      <c r="BB85" s="13" t="e">
        <f t="shared" si="893"/>
        <v>#DIV/0!</v>
      </c>
      <c r="BC85" s="13" t="e">
        <f t="shared" si="893"/>
        <v>#DIV/0!</v>
      </c>
      <c r="BD85" s="13" t="e">
        <f t="shared" si="893"/>
        <v>#DIV/0!</v>
      </c>
      <c r="BE85" s="13" t="e">
        <f t="shared" si="893"/>
        <v>#DIV/0!</v>
      </c>
      <c r="BF85" s="13" t="e">
        <f t="shared" si="893"/>
        <v>#DIV/0!</v>
      </c>
      <c r="BG85" s="13" t="e">
        <f t="shared" si="893"/>
        <v>#DIV/0!</v>
      </c>
      <c r="BH85" s="13" t="e">
        <f t="shared" si="893"/>
        <v>#DIV/0!</v>
      </c>
      <c r="BI85" s="13" t="e">
        <f t="shared" si="893"/>
        <v>#DIV/0!</v>
      </c>
      <c r="BJ85" s="13" t="e">
        <f t="shared" si="893"/>
        <v>#DIV/0!</v>
      </c>
      <c r="BK85" s="13" t="e">
        <f t="shared" si="893"/>
        <v>#DIV/0!</v>
      </c>
      <c r="BL85" s="13" t="e">
        <f t="shared" si="893"/>
        <v>#DIV/0!</v>
      </c>
      <c r="BM85" s="13" t="e">
        <f t="shared" si="893"/>
        <v>#DIV/0!</v>
      </c>
      <c r="BN85" s="13" t="e">
        <f t="shared" si="893"/>
        <v>#DIV/0!</v>
      </c>
      <c r="BO85" s="13" t="e">
        <f t="shared" si="893"/>
        <v>#DIV/0!</v>
      </c>
      <c r="BP85" s="13" t="e">
        <f t="shared" si="893"/>
        <v>#DIV/0!</v>
      </c>
      <c r="BQ85" s="13" t="e">
        <f t="shared" si="893"/>
        <v>#DIV/0!</v>
      </c>
      <c r="BR85" s="13" t="e">
        <f t="shared" ref="BR85:DB85" si="894">+BR77/BR69</f>
        <v>#DIV/0!</v>
      </c>
      <c r="BS85" s="13" t="e">
        <f t="shared" si="894"/>
        <v>#DIV/0!</v>
      </c>
      <c r="BT85" s="13" t="e">
        <f t="shared" si="894"/>
        <v>#DIV/0!</v>
      </c>
      <c r="BU85" s="13" t="e">
        <f t="shared" si="894"/>
        <v>#DIV/0!</v>
      </c>
      <c r="BV85" s="13" t="e">
        <f t="shared" si="894"/>
        <v>#DIV/0!</v>
      </c>
      <c r="BW85" s="13">
        <f t="shared" si="894"/>
        <v>0</v>
      </c>
      <c r="BX85" s="13">
        <f t="shared" si="894"/>
        <v>0</v>
      </c>
      <c r="BY85" s="13">
        <f t="shared" si="894"/>
        <v>0</v>
      </c>
      <c r="BZ85" s="13">
        <f t="shared" si="894"/>
        <v>0</v>
      </c>
      <c r="CA85" s="13">
        <f t="shared" si="894"/>
        <v>0</v>
      </c>
      <c r="CB85" s="13">
        <f t="shared" si="894"/>
        <v>149.2541127958869</v>
      </c>
      <c r="CC85" s="13">
        <f t="shared" si="894"/>
        <v>104.96809929661627</v>
      </c>
      <c r="CD85" s="13">
        <f t="shared" si="894"/>
        <v>93.40145238250858</v>
      </c>
      <c r="CE85" s="13">
        <f t="shared" si="894"/>
        <v>88.654771574368098</v>
      </c>
      <c r="CF85" s="13">
        <f t="shared" si="894"/>
        <v>78.981545646547858</v>
      </c>
      <c r="CG85" s="13">
        <f t="shared" si="894"/>
        <v>88.835642385213688</v>
      </c>
      <c r="CH85" s="13">
        <f t="shared" si="894"/>
        <v>53.295217991656394</v>
      </c>
      <c r="CI85" s="13">
        <f t="shared" ref="CI85:CJ85" si="895">+CI77/CI69</f>
        <v>58.108775387647633</v>
      </c>
      <c r="CJ85" s="13">
        <f t="shared" si="895"/>
        <v>40.939045495749326</v>
      </c>
      <c r="CK85" s="13">
        <f t="shared" ref="CK85:CL85" si="896">+CK77/CK69</f>
        <v>40.352769065415991</v>
      </c>
      <c r="CL85" s="13">
        <f t="shared" si="896"/>
        <v>29.457449305422891</v>
      </c>
      <c r="CM85" s="37">
        <f t="shared" si="894"/>
        <v>28.874589892125215</v>
      </c>
      <c r="CN85" s="37">
        <f t="shared" si="894"/>
        <v>40.605133190924761</v>
      </c>
      <c r="CO85" s="37">
        <f t="shared" si="894"/>
        <v>41.444746075407402</v>
      </c>
      <c r="CP85" s="37">
        <f t="shared" si="894"/>
        <v>47.295877853463857</v>
      </c>
      <c r="CQ85" s="37">
        <f t="shared" si="894"/>
        <v>48.957790244330916</v>
      </c>
      <c r="CR85" s="37">
        <f t="shared" si="894"/>
        <v>51.935831998534695</v>
      </c>
      <c r="CS85" s="37">
        <f t="shared" si="894"/>
        <v>54.772598014601279</v>
      </c>
      <c r="CT85" s="37">
        <f t="shared" si="894"/>
        <v>60.22295589274141</v>
      </c>
      <c r="CU85" s="37">
        <f t="shared" si="894"/>
        <v>63.257153011785235</v>
      </c>
      <c r="CV85" s="37">
        <f t="shared" si="894"/>
        <v>67.037775584903827</v>
      </c>
      <c r="CW85" s="37">
        <f t="shared" si="894"/>
        <v>71.230378308747888</v>
      </c>
      <c r="CX85" s="37">
        <f t="shared" si="894"/>
        <v>78.30527087044409</v>
      </c>
      <c r="CY85" s="37">
        <f t="shared" si="894"/>
        <v>82.700762832233011</v>
      </c>
      <c r="CZ85" s="37">
        <f t="shared" si="894"/>
        <v>87.938095775919521</v>
      </c>
      <c r="DA85" s="37">
        <f t="shared" si="894"/>
        <v>93.880593551010378</v>
      </c>
      <c r="DB85" s="37">
        <f t="shared" si="894"/>
        <v>103.87784655625778</v>
      </c>
      <c r="DE85" s="134"/>
      <c r="DF85" s="13">
        <v>29.457449305422827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 t="e">
        <f t="shared" ca="1" si="898"/>
        <v>#DIV/0!</v>
      </c>
      <c r="K86" s="13" t="e">
        <f t="shared" ca="1" si="898"/>
        <v>#DIV/0!</v>
      </c>
      <c r="L86" s="13">
        <f t="shared" ca="1" si="898"/>
        <v>0</v>
      </c>
      <c r="M86" s="13">
        <f t="shared" ca="1" si="898"/>
        <v>0</v>
      </c>
      <c r="N86" s="13">
        <f t="shared" ca="1" si="898"/>
        <v>0</v>
      </c>
      <c r="O86" s="13">
        <f t="shared" ca="1" si="898"/>
        <v>0</v>
      </c>
      <c r="P86" s="13">
        <f t="shared" ca="1" si="898"/>
        <v>0</v>
      </c>
      <c r="Q86" s="13">
        <f t="shared" ca="1" si="898"/>
        <v>0</v>
      </c>
      <c r="R86" s="13">
        <f t="shared" ca="1" si="898"/>
        <v>0</v>
      </c>
      <c r="S86" s="13">
        <f t="shared" ca="1" si="898"/>
        <v>0</v>
      </c>
      <c r="T86" s="13">
        <f t="shared" ca="1" si="898"/>
        <v>0</v>
      </c>
      <c r="U86" s="13">
        <f t="shared" ca="1" si="898"/>
        <v>0</v>
      </c>
      <c r="V86" s="13">
        <f t="shared" ca="1" si="898"/>
        <v>0</v>
      </c>
      <c r="W86" s="13">
        <f t="shared" ca="1" si="898"/>
        <v>0</v>
      </c>
      <c r="X86" s="13">
        <f t="shared" ca="1" si="898"/>
        <v>0</v>
      </c>
      <c r="Y86" s="13">
        <f t="shared" ca="1" si="898"/>
        <v>114.50172494934297</v>
      </c>
      <c r="Z86" s="13">
        <f t="shared" ref="Z86:AA86" ca="1" si="899">+Z78/Z69</f>
        <v>101.7231597038603</v>
      </c>
      <c r="AA86" s="13">
        <f t="shared" ref="AA86" ca="1" si="900">+AA78/AA69</f>
        <v>101.7231597038603</v>
      </c>
      <c r="AB86" s="60">
        <f t="shared" ca="1" si="898"/>
        <v>74.469105165375737</v>
      </c>
      <c r="AC86" s="60">
        <f t="shared" ca="1" si="898"/>
        <v>55.925378213197547</v>
      </c>
      <c r="AD86" s="60">
        <f t="shared" ca="1" si="898"/>
        <v>56.27947318137447</v>
      </c>
      <c r="AE86" s="60">
        <f t="shared" ca="1" si="898"/>
        <v>57.106046095849415</v>
      </c>
      <c r="AL86" s="13" t="e">
        <f t="shared" ref="AL86:BQ86" si="901">+AL78/AL69</f>
        <v>#DIV/0!</v>
      </c>
      <c r="AM86" s="13" t="e">
        <f t="shared" si="901"/>
        <v>#DIV/0!</v>
      </c>
      <c r="AN86" s="13" t="e">
        <f t="shared" si="901"/>
        <v>#DIV/0!</v>
      </c>
      <c r="AO86" s="13" t="e">
        <f t="shared" si="901"/>
        <v>#DIV/0!</v>
      </c>
      <c r="AP86" s="13" t="e">
        <f t="shared" si="901"/>
        <v>#DIV/0!</v>
      </c>
      <c r="AQ86" s="13" t="e">
        <f t="shared" si="901"/>
        <v>#DIV/0!</v>
      </c>
      <c r="AR86" s="13" t="e">
        <f t="shared" si="901"/>
        <v>#DIV/0!</v>
      </c>
      <c r="AS86" s="13" t="e">
        <f t="shared" si="901"/>
        <v>#DIV/0!</v>
      </c>
      <c r="AT86" s="13" t="e">
        <f t="shared" si="901"/>
        <v>#DIV/0!</v>
      </c>
      <c r="AU86" s="13" t="e">
        <f t="shared" si="901"/>
        <v>#DIV/0!</v>
      </c>
      <c r="AV86" s="13" t="e">
        <f t="shared" si="901"/>
        <v>#DIV/0!</v>
      </c>
      <c r="AW86" s="13" t="e">
        <f t="shared" si="901"/>
        <v>#DIV/0!</v>
      </c>
      <c r="AX86" s="13" t="e">
        <f t="shared" si="901"/>
        <v>#DIV/0!</v>
      </c>
      <c r="AY86" s="13" t="e">
        <f t="shared" si="901"/>
        <v>#DIV/0!</v>
      </c>
      <c r="AZ86" s="13" t="e">
        <f t="shared" si="901"/>
        <v>#DIV/0!</v>
      </c>
      <c r="BA86" s="13" t="e">
        <f t="shared" si="901"/>
        <v>#DIV/0!</v>
      </c>
      <c r="BB86" s="13" t="e">
        <f t="shared" si="901"/>
        <v>#DIV/0!</v>
      </c>
      <c r="BC86" s="13" t="e">
        <f t="shared" si="901"/>
        <v>#DIV/0!</v>
      </c>
      <c r="BD86" s="13" t="e">
        <f t="shared" si="901"/>
        <v>#DIV/0!</v>
      </c>
      <c r="BE86" s="13" t="e">
        <f t="shared" si="901"/>
        <v>#DIV/0!</v>
      </c>
      <c r="BF86" s="13" t="e">
        <f t="shared" si="901"/>
        <v>#DIV/0!</v>
      </c>
      <c r="BG86" s="13" t="e">
        <f t="shared" si="901"/>
        <v>#DIV/0!</v>
      </c>
      <c r="BH86" s="13" t="e">
        <f t="shared" si="901"/>
        <v>#DIV/0!</v>
      </c>
      <c r="BI86" s="13" t="e">
        <f t="shared" si="901"/>
        <v>#DIV/0!</v>
      </c>
      <c r="BJ86" s="13" t="e">
        <f t="shared" si="901"/>
        <v>#DIV/0!</v>
      </c>
      <c r="BK86" s="13" t="e">
        <f t="shared" si="901"/>
        <v>#DIV/0!</v>
      </c>
      <c r="BL86" s="13" t="e">
        <f t="shared" si="901"/>
        <v>#DIV/0!</v>
      </c>
      <c r="BM86" s="13" t="e">
        <f t="shared" si="901"/>
        <v>#DIV/0!</v>
      </c>
      <c r="BN86" s="13" t="e">
        <f t="shared" si="901"/>
        <v>#DIV/0!</v>
      </c>
      <c r="BO86" s="13" t="e">
        <f t="shared" si="901"/>
        <v>#DIV/0!</v>
      </c>
      <c r="BP86" s="13" t="e">
        <f t="shared" si="901"/>
        <v>#DIV/0!</v>
      </c>
      <c r="BQ86" s="13" t="e">
        <f t="shared" si="901"/>
        <v>#DIV/0!</v>
      </c>
      <c r="BR86" s="13" t="e">
        <f t="shared" ref="BR86:CH86" si="902">+BR78/BR69</f>
        <v>#DIV/0!</v>
      </c>
      <c r="BS86" s="13" t="e">
        <f t="shared" si="902"/>
        <v>#DIV/0!</v>
      </c>
      <c r="BT86" s="13" t="e">
        <f t="shared" si="902"/>
        <v>#DIV/0!</v>
      </c>
      <c r="BU86" s="13" t="e">
        <f t="shared" si="902"/>
        <v>#DIV/0!</v>
      </c>
      <c r="BV86" s="13" t="e">
        <f t="shared" si="902"/>
        <v>#DIV/0!</v>
      </c>
      <c r="BW86" s="13">
        <f t="shared" si="902"/>
        <v>0</v>
      </c>
      <c r="BX86" s="13">
        <f t="shared" si="902"/>
        <v>0</v>
      </c>
      <c r="BY86" s="13">
        <f t="shared" si="902"/>
        <v>0</v>
      </c>
      <c r="BZ86" s="13">
        <f t="shared" si="902"/>
        <v>0</v>
      </c>
      <c r="CA86" s="13">
        <f t="shared" si="902"/>
        <v>0</v>
      </c>
      <c r="CB86" s="13">
        <f t="shared" si="902"/>
        <v>161.35019965028573</v>
      </c>
      <c r="CC86" s="13">
        <f t="shared" si="902"/>
        <v>116.31158917690389</v>
      </c>
      <c r="CD86" s="13">
        <f t="shared" si="902"/>
        <v>114.50172494934299</v>
      </c>
      <c r="CE86" s="13">
        <f t="shared" si="902"/>
        <v>93.128725482817202</v>
      </c>
      <c r="CF86" s="13">
        <f t="shared" si="902"/>
        <v>102.9970821310646</v>
      </c>
      <c r="CG86" s="13">
        <f t="shared" si="902"/>
        <v>98.652432215438651</v>
      </c>
      <c r="CH86" s="13">
        <f t="shared" si="902"/>
        <v>79.31620159821378</v>
      </c>
      <c r="CI86" s="13">
        <f t="shared" ref="CI86:CJ86" si="903">+CI78/CI69</f>
        <v>66.113243921592783</v>
      </c>
      <c r="CJ86" s="13">
        <f t="shared" si="903"/>
        <v>49.095744420217073</v>
      </c>
      <c r="CK86" s="13">
        <f t="shared" ref="CK86:CL86" si="904">+CK78/CK69</f>
        <v>48.029779178269571</v>
      </c>
      <c r="CL86" s="13">
        <f t="shared" si="904"/>
        <v>45.464107420649007</v>
      </c>
      <c r="CM86" s="60">
        <f t="shared" ref="CM86:CM87" si="905">+CL86</f>
        <v>45.464107420649007</v>
      </c>
      <c r="CN86" s="60">
        <f t="shared" ref="CN86:CN87" si="906">+CM86</f>
        <v>45.464107420649007</v>
      </c>
      <c r="CO86" s="60">
        <f t="shared" ref="CO86:CO87" si="907">+CN86</f>
        <v>45.464107420649007</v>
      </c>
      <c r="CP86" s="60">
        <f t="shared" ref="CP86:CP87" si="908">+CO86</f>
        <v>45.464107420649007</v>
      </c>
      <c r="CQ86" s="60">
        <f t="shared" ref="CQ86:CQ87" si="909">+CP86</f>
        <v>45.464107420649007</v>
      </c>
      <c r="CR86" s="60">
        <f t="shared" ref="CR86:CR87" si="910">+CQ86</f>
        <v>45.464107420649007</v>
      </c>
      <c r="CS86" s="60">
        <f t="shared" ref="CS86:CS87" si="911">+CR86</f>
        <v>45.464107420649007</v>
      </c>
      <c r="CT86" s="60">
        <f t="shared" ref="CT86:CT87" si="912">+CS86</f>
        <v>45.464107420649007</v>
      </c>
      <c r="CU86" s="60">
        <f t="shared" ref="CU86:CU87" si="913">+CT86</f>
        <v>45.464107420649007</v>
      </c>
      <c r="CV86" s="60">
        <f t="shared" ref="CV86:CV87" si="914">+CU86</f>
        <v>45.464107420649007</v>
      </c>
      <c r="CW86" s="60">
        <f t="shared" ref="CW86:CW87" si="915">+CV86</f>
        <v>45.464107420649007</v>
      </c>
      <c r="CX86" s="60">
        <f t="shared" ref="CX86:CX87" si="916">+CW86</f>
        <v>45.464107420649007</v>
      </c>
      <c r="CY86" s="60">
        <f t="shared" ref="CY86:CY87" si="917">+CX86</f>
        <v>45.464107420649007</v>
      </c>
      <c r="CZ86" s="60">
        <f t="shared" ref="CZ86:CZ87" si="918">+CY86</f>
        <v>45.464107420649007</v>
      </c>
      <c r="DA86" s="60">
        <f t="shared" ref="DA86:DA87" si="919">+CZ86</f>
        <v>45.464107420649007</v>
      </c>
      <c r="DB86" s="60">
        <f t="shared" ref="DB86:DB87" si="920">+DA86</f>
        <v>45.464107420649007</v>
      </c>
      <c r="DE86" s="136"/>
      <c r="DF86" s="13">
        <v>58.590000272918196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 t="e">
        <f t="shared" ca="1" si="922"/>
        <v>#DIV/0!</v>
      </c>
      <c r="K87" s="13" t="e">
        <f t="shared" ca="1" si="922"/>
        <v>#DIV/0!</v>
      </c>
      <c r="L87" s="13">
        <f t="shared" ca="1" si="922"/>
        <v>0</v>
      </c>
      <c r="M87" s="13">
        <f t="shared" ca="1" si="922"/>
        <v>0</v>
      </c>
      <c r="N87" s="13">
        <f t="shared" ca="1" si="922"/>
        <v>0</v>
      </c>
      <c r="O87" s="13">
        <f t="shared" ca="1" si="922"/>
        <v>0</v>
      </c>
      <c r="P87" s="13">
        <f t="shared" ca="1" si="922"/>
        <v>0</v>
      </c>
      <c r="Q87" s="13">
        <f t="shared" ca="1" si="922"/>
        <v>0</v>
      </c>
      <c r="R87" s="13">
        <f t="shared" ca="1" si="922"/>
        <v>0</v>
      </c>
      <c r="S87" s="13">
        <f t="shared" ca="1" si="922"/>
        <v>0</v>
      </c>
      <c r="T87" s="13">
        <f t="shared" ca="1" si="922"/>
        <v>0</v>
      </c>
      <c r="U87" s="13">
        <f t="shared" ca="1" si="922"/>
        <v>0</v>
      </c>
      <c r="V87" s="13">
        <f t="shared" ca="1" si="922"/>
        <v>0</v>
      </c>
      <c r="W87" s="13">
        <f t="shared" ca="1" si="922"/>
        <v>0</v>
      </c>
      <c r="X87" s="13">
        <f t="shared" ca="1" si="922"/>
        <v>0</v>
      </c>
      <c r="Y87" s="13">
        <f t="shared" ca="1" si="922"/>
        <v>52.004974181318993</v>
      </c>
      <c r="Z87" s="13">
        <f t="shared" ref="Z87:AA87" ca="1" si="923">+Z79/Z69</f>
        <v>44.359248486985102</v>
      </c>
      <c r="AA87" s="13">
        <f t="shared" ref="AA87" ca="1" si="924">+AA79/AA69</f>
        <v>44.359248486985102</v>
      </c>
      <c r="AB87" s="60">
        <f t="shared" ca="1" si="922"/>
        <v>28.693938211293261</v>
      </c>
      <c r="AC87" s="60">
        <f t="shared" ca="1" si="922"/>
        <v>28.693938211293325</v>
      </c>
      <c r="AD87" s="60">
        <f t="shared" ca="1" si="922"/>
        <v>28.693938211293204</v>
      </c>
      <c r="AE87" s="60">
        <f t="shared" ca="1" si="922"/>
        <v>28.693938211293421</v>
      </c>
      <c r="AL87" s="13" t="e">
        <f t="shared" ref="AL87:BQ87" si="925">+AL79/AL69</f>
        <v>#DIV/0!</v>
      </c>
      <c r="AM87" s="13" t="e">
        <f t="shared" si="925"/>
        <v>#DIV/0!</v>
      </c>
      <c r="AN87" s="13" t="e">
        <f t="shared" si="925"/>
        <v>#DIV/0!</v>
      </c>
      <c r="AO87" s="13" t="e">
        <f t="shared" si="925"/>
        <v>#DIV/0!</v>
      </c>
      <c r="AP87" s="13" t="e">
        <f t="shared" si="925"/>
        <v>#DIV/0!</v>
      </c>
      <c r="AQ87" s="13" t="e">
        <f t="shared" si="925"/>
        <v>#DIV/0!</v>
      </c>
      <c r="AR87" s="13" t="e">
        <f t="shared" si="925"/>
        <v>#DIV/0!</v>
      </c>
      <c r="AS87" s="13" t="e">
        <f t="shared" si="925"/>
        <v>#DIV/0!</v>
      </c>
      <c r="AT87" s="13" t="e">
        <f t="shared" si="925"/>
        <v>#DIV/0!</v>
      </c>
      <c r="AU87" s="13" t="e">
        <f t="shared" si="925"/>
        <v>#DIV/0!</v>
      </c>
      <c r="AV87" s="13" t="e">
        <f t="shared" si="925"/>
        <v>#DIV/0!</v>
      </c>
      <c r="AW87" s="13" t="e">
        <f t="shared" si="925"/>
        <v>#DIV/0!</v>
      </c>
      <c r="AX87" s="13" t="e">
        <f t="shared" si="925"/>
        <v>#DIV/0!</v>
      </c>
      <c r="AY87" s="13" t="e">
        <f t="shared" si="925"/>
        <v>#DIV/0!</v>
      </c>
      <c r="AZ87" s="13" t="e">
        <f t="shared" si="925"/>
        <v>#DIV/0!</v>
      </c>
      <c r="BA87" s="13" t="e">
        <f t="shared" si="925"/>
        <v>#DIV/0!</v>
      </c>
      <c r="BB87" s="13" t="e">
        <f t="shared" si="925"/>
        <v>#DIV/0!</v>
      </c>
      <c r="BC87" s="13" t="e">
        <f t="shared" si="925"/>
        <v>#DIV/0!</v>
      </c>
      <c r="BD87" s="13" t="e">
        <f t="shared" si="925"/>
        <v>#DIV/0!</v>
      </c>
      <c r="BE87" s="13" t="e">
        <f t="shared" si="925"/>
        <v>#DIV/0!</v>
      </c>
      <c r="BF87" s="13" t="e">
        <f t="shared" si="925"/>
        <v>#DIV/0!</v>
      </c>
      <c r="BG87" s="13" t="e">
        <f t="shared" si="925"/>
        <v>#DIV/0!</v>
      </c>
      <c r="BH87" s="13" t="e">
        <f t="shared" si="925"/>
        <v>#DIV/0!</v>
      </c>
      <c r="BI87" s="13" t="e">
        <f t="shared" si="925"/>
        <v>#DIV/0!</v>
      </c>
      <c r="BJ87" s="13" t="e">
        <f t="shared" si="925"/>
        <v>#DIV/0!</v>
      </c>
      <c r="BK87" s="13" t="e">
        <f t="shared" si="925"/>
        <v>#DIV/0!</v>
      </c>
      <c r="BL87" s="13" t="e">
        <f t="shared" si="925"/>
        <v>#DIV/0!</v>
      </c>
      <c r="BM87" s="13" t="e">
        <f t="shared" si="925"/>
        <v>#DIV/0!</v>
      </c>
      <c r="BN87" s="13" t="e">
        <f t="shared" si="925"/>
        <v>#DIV/0!</v>
      </c>
      <c r="BO87" s="13" t="e">
        <f t="shared" si="925"/>
        <v>#DIV/0!</v>
      </c>
      <c r="BP87" s="13" t="e">
        <f t="shared" si="925"/>
        <v>#DIV/0!</v>
      </c>
      <c r="BQ87" s="13" t="e">
        <f t="shared" si="925"/>
        <v>#DIV/0!</v>
      </c>
      <c r="BR87" s="13" t="e">
        <f t="shared" ref="BR87:CH87" si="926">+BR79/BR69</f>
        <v>#DIV/0!</v>
      </c>
      <c r="BS87" s="13" t="e">
        <f t="shared" si="926"/>
        <v>#DIV/0!</v>
      </c>
      <c r="BT87" s="13" t="e">
        <f t="shared" si="926"/>
        <v>#DIV/0!</v>
      </c>
      <c r="BU87" s="13" t="e">
        <f t="shared" si="926"/>
        <v>#DIV/0!</v>
      </c>
      <c r="BV87" s="13" t="e">
        <f t="shared" si="926"/>
        <v>#DIV/0!</v>
      </c>
      <c r="BW87" s="13">
        <f t="shared" si="926"/>
        <v>0</v>
      </c>
      <c r="BX87" s="13">
        <f t="shared" si="926"/>
        <v>0</v>
      </c>
      <c r="BY87" s="13">
        <f t="shared" si="926"/>
        <v>0</v>
      </c>
      <c r="BZ87" s="13">
        <f t="shared" si="926"/>
        <v>0</v>
      </c>
      <c r="CA87" s="13">
        <f t="shared" si="926"/>
        <v>0</v>
      </c>
      <c r="CB87" s="13">
        <f t="shared" si="926"/>
        <v>83.05703473653989</v>
      </c>
      <c r="CC87" s="13">
        <f t="shared" si="926"/>
        <v>94.067775230705905</v>
      </c>
      <c r="CD87" s="13">
        <f t="shared" si="926"/>
        <v>82.481704686580755</v>
      </c>
      <c r="CE87" s="13">
        <f t="shared" si="926"/>
        <v>69.289539837129084</v>
      </c>
      <c r="CF87" s="13">
        <f t="shared" si="926"/>
        <v>78.149353303388139</v>
      </c>
      <c r="CG87" s="13">
        <f t="shared" si="926"/>
        <v>79.715784895876894</v>
      </c>
      <c r="CH87" s="13">
        <f t="shared" si="926"/>
        <v>44.359248486985145</v>
      </c>
      <c r="CI87" s="13">
        <f t="shared" ref="CI87:CJ87" si="927">+CI79/CI69</f>
        <v>42.790300109326637</v>
      </c>
      <c r="CJ87" s="13">
        <f t="shared" si="927"/>
        <v>40.180734987872704</v>
      </c>
      <c r="CK87" s="13">
        <f t="shared" ref="CK87:CL87" si="928">+CK79/CK69</f>
        <v>39.451301968830904</v>
      </c>
      <c r="CL87" s="13">
        <f t="shared" si="928"/>
        <v>28.693938211293361</v>
      </c>
      <c r="CM87" s="60">
        <f t="shared" si="905"/>
        <v>28.693938211293361</v>
      </c>
      <c r="CN87" s="60">
        <f t="shared" si="906"/>
        <v>28.693938211293361</v>
      </c>
      <c r="CO87" s="60">
        <f t="shared" si="907"/>
        <v>28.693938211293361</v>
      </c>
      <c r="CP87" s="60">
        <f t="shared" si="908"/>
        <v>28.693938211293361</v>
      </c>
      <c r="CQ87" s="60">
        <f t="shared" si="909"/>
        <v>28.693938211293361</v>
      </c>
      <c r="CR87" s="60">
        <f t="shared" si="910"/>
        <v>28.693938211293361</v>
      </c>
      <c r="CS87" s="60">
        <f t="shared" si="911"/>
        <v>28.693938211293361</v>
      </c>
      <c r="CT87" s="60">
        <f t="shared" si="912"/>
        <v>28.693938211293361</v>
      </c>
      <c r="CU87" s="60">
        <f t="shared" si="913"/>
        <v>28.693938211293361</v>
      </c>
      <c r="CV87" s="60">
        <f t="shared" si="914"/>
        <v>28.693938211293361</v>
      </c>
      <c r="CW87" s="60">
        <f t="shared" si="915"/>
        <v>28.693938211293361</v>
      </c>
      <c r="CX87" s="60">
        <f t="shared" si="916"/>
        <v>28.693938211293361</v>
      </c>
      <c r="CY87" s="60">
        <f t="shared" si="917"/>
        <v>28.693938211293361</v>
      </c>
      <c r="CZ87" s="60">
        <f t="shared" si="918"/>
        <v>28.693938211293361</v>
      </c>
      <c r="DA87" s="60">
        <f t="shared" si="919"/>
        <v>28.693938211293361</v>
      </c>
      <c r="DB87" s="60">
        <f t="shared" si="920"/>
        <v>28.693938211293361</v>
      </c>
      <c r="DE87" s="136"/>
      <c r="DF87" s="13">
        <v>28.6939382112933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 t="e">
        <f t="shared" ca="1" si="929"/>
        <v>#DIV/0!</v>
      </c>
      <c r="J89" s="13" t="e">
        <f t="shared" ca="1" si="929"/>
        <v>#DIV/0!</v>
      </c>
      <c r="K89" s="13">
        <f t="shared" ca="1" si="929"/>
        <v>0</v>
      </c>
      <c r="L89" s="13">
        <f t="shared" ca="1" si="929"/>
        <v>0</v>
      </c>
      <c r="M89" s="13">
        <f t="shared" ca="1" si="929"/>
        <v>0</v>
      </c>
      <c r="N89" s="13">
        <f t="shared" ca="1" si="929"/>
        <v>0</v>
      </c>
      <c r="O89" s="13">
        <f t="shared" ca="1" si="929"/>
        <v>0</v>
      </c>
      <c r="P89" s="13">
        <f t="shared" ca="1" si="929"/>
        <v>0</v>
      </c>
      <c r="Q89" s="13">
        <f t="shared" ca="1" si="929"/>
        <v>0</v>
      </c>
      <c r="R89" s="13">
        <f t="shared" ca="1" si="929"/>
        <v>0</v>
      </c>
      <c r="S89" s="13">
        <f t="shared" ca="1" si="929"/>
        <v>0</v>
      </c>
      <c r="T89" s="13">
        <f t="shared" ca="1" si="929"/>
        <v>0</v>
      </c>
      <c r="U89" s="13">
        <f t="shared" ca="1" si="929"/>
        <v>0</v>
      </c>
      <c r="V89" s="13">
        <f t="shared" ca="1" si="929"/>
        <v>0</v>
      </c>
      <c r="W89" s="13">
        <f t="shared" ca="1" si="929"/>
        <v>0</v>
      </c>
      <c r="X89" s="13">
        <f t="shared" ca="1" si="929"/>
        <v>0</v>
      </c>
      <c r="Y89" s="13">
        <f t="shared" ca="1" si="929"/>
        <v>102.92977789529341</v>
      </c>
      <c r="Z89" s="13">
        <f t="shared" ref="Z89:AA89" ca="1" si="930">+Z78/AA69</f>
        <v>94.496681586201063</v>
      </c>
      <c r="AA89" s="13">
        <f t="shared" ca="1" si="930"/>
        <v>94.496681586201063</v>
      </c>
      <c r="AB89" s="37">
        <f t="shared" ca="1" si="929"/>
        <v>94.823266620431284</v>
      </c>
      <c r="AC89" s="37">
        <f t="shared" ca="1" si="929"/>
        <v>72.717318912675182</v>
      </c>
      <c r="AD89" s="37">
        <f t="shared" ca="1" si="929"/>
        <v>74.658965027710536</v>
      </c>
      <c r="AE89" s="37"/>
      <c r="AL89" s="13" t="e">
        <f t="shared" ref="AL89:BQ89" si="931">+AL78/AP69</f>
        <v>#DIV/0!</v>
      </c>
      <c r="AM89" s="13" t="e">
        <f t="shared" si="931"/>
        <v>#DIV/0!</v>
      </c>
      <c r="AN89" s="13" t="e">
        <f t="shared" si="931"/>
        <v>#DIV/0!</v>
      </c>
      <c r="AO89" s="13" t="e">
        <f t="shared" si="931"/>
        <v>#DIV/0!</v>
      </c>
      <c r="AP89" s="13" t="e">
        <f t="shared" si="931"/>
        <v>#DIV/0!</v>
      </c>
      <c r="AQ89" s="13" t="e">
        <f t="shared" si="931"/>
        <v>#DIV/0!</v>
      </c>
      <c r="AR89" s="13" t="e">
        <f t="shared" si="931"/>
        <v>#DIV/0!</v>
      </c>
      <c r="AS89" s="13" t="e">
        <f t="shared" si="931"/>
        <v>#DIV/0!</v>
      </c>
      <c r="AT89" s="13" t="e">
        <f t="shared" si="931"/>
        <v>#DIV/0!</v>
      </c>
      <c r="AU89" s="13" t="e">
        <f t="shared" si="931"/>
        <v>#DIV/0!</v>
      </c>
      <c r="AV89" s="13" t="e">
        <f t="shared" si="931"/>
        <v>#DIV/0!</v>
      </c>
      <c r="AW89" s="13" t="e">
        <f t="shared" si="931"/>
        <v>#DIV/0!</v>
      </c>
      <c r="AX89" s="13" t="e">
        <f t="shared" si="931"/>
        <v>#DIV/0!</v>
      </c>
      <c r="AY89" s="13" t="e">
        <f t="shared" si="931"/>
        <v>#DIV/0!</v>
      </c>
      <c r="AZ89" s="13" t="e">
        <f t="shared" si="931"/>
        <v>#DIV/0!</v>
      </c>
      <c r="BA89" s="13" t="e">
        <f t="shared" si="931"/>
        <v>#DIV/0!</v>
      </c>
      <c r="BB89" s="13" t="e">
        <f t="shared" si="931"/>
        <v>#DIV/0!</v>
      </c>
      <c r="BC89" s="13" t="e">
        <f t="shared" si="931"/>
        <v>#DIV/0!</v>
      </c>
      <c r="BD89" s="13" t="e">
        <f t="shared" si="931"/>
        <v>#DIV/0!</v>
      </c>
      <c r="BE89" s="13" t="e">
        <f t="shared" si="931"/>
        <v>#DIV/0!</v>
      </c>
      <c r="BF89" s="13" t="e">
        <f t="shared" si="931"/>
        <v>#DIV/0!</v>
      </c>
      <c r="BG89" s="13" t="e">
        <f t="shared" si="931"/>
        <v>#DIV/0!</v>
      </c>
      <c r="BH89" s="13" t="e">
        <f t="shared" si="931"/>
        <v>#DIV/0!</v>
      </c>
      <c r="BI89" s="13" t="e">
        <f t="shared" si="931"/>
        <v>#DIV/0!</v>
      </c>
      <c r="BJ89" s="13" t="e">
        <f t="shared" si="931"/>
        <v>#DIV/0!</v>
      </c>
      <c r="BK89" s="13" t="e">
        <f t="shared" si="931"/>
        <v>#DIV/0!</v>
      </c>
      <c r="BL89" s="13" t="e">
        <f t="shared" si="931"/>
        <v>#DIV/0!</v>
      </c>
      <c r="BM89" s="13" t="e">
        <f t="shared" si="931"/>
        <v>#DIV/0!</v>
      </c>
      <c r="BN89" s="13" t="e">
        <f t="shared" si="931"/>
        <v>#DIV/0!</v>
      </c>
      <c r="BO89" s="13" t="e">
        <f t="shared" si="931"/>
        <v>#DIV/0!</v>
      </c>
      <c r="BP89" s="13" t="e">
        <f t="shared" si="931"/>
        <v>#DIV/0!</v>
      </c>
      <c r="BQ89" s="13" t="e">
        <f t="shared" si="931"/>
        <v>#DIV/0!</v>
      </c>
      <c r="BR89" s="13" t="e">
        <f t="shared" ref="BR89:CL89" si="932">+BR78/BV69</f>
        <v>#DIV/0!</v>
      </c>
      <c r="BS89" s="13">
        <f t="shared" si="932"/>
        <v>0</v>
      </c>
      <c r="BT89" s="13">
        <f t="shared" si="932"/>
        <v>0</v>
      </c>
      <c r="BU89" s="13">
        <f t="shared" si="932"/>
        <v>0</v>
      </c>
      <c r="BV89" s="13">
        <f t="shared" si="932"/>
        <v>0</v>
      </c>
      <c r="BW89" s="13">
        <f t="shared" si="932"/>
        <v>0</v>
      </c>
      <c r="BX89" s="13">
        <f t="shared" si="932"/>
        <v>0</v>
      </c>
      <c r="BY89" s="13">
        <f t="shared" si="932"/>
        <v>0</v>
      </c>
      <c r="BZ89" s="13">
        <f t="shared" si="932"/>
        <v>0</v>
      </c>
      <c r="CA89" s="13">
        <f t="shared" si="932"/>
        <v>0</v>
      </c>
      <c r="CB89" s="13">
        <f t="shared" si="932"/>
        <v>91.954302882470159</v>
      </c>
      <c r="CC89" s="13">
        <f t="shared" si="932"/>
        <v>99.29626494940203</v>
      </c>
      <c r="CD89" s="13">
        <f t="shared" si="932"/>
        <v>102.92977789529351</v>
      </c>
      <c r="CE89" s="13">
        <f t="shared" si="932"/>
        <v>95.265396116594545</v>
      </c>
      <c r="CF89" s="13">
        <f t="shared" si="932"/>
        <v>84.828696621505756</v>
      </c>
      <c r="CG89" s="13">
        <f t="shared" si="932"/>
        <v>72.034975572817416</v>
      </c>
      <c r="CH89" s="13">
        <f t="shared" si="932"/>
        <v>73.681528069648763</v>
      </c>
      <c r="CI89" s="13">
        <f t="shared" si="932"/>
        <v>57.430710042793166</v>
      </c>
      <c r="CJ89" s="13">
        <f t="shared" si="932"/>
        <v>75.388206843444877</v>
      </c>
      <c r="CK89" s="13">
        <f t="shared" si="932"/>
        <v>75.499528236633708</v>
      </c>
      <c r="CL89" s="13">
        <f t="shared" si="932"/>
        <v>72.995623245897534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94.070109995308314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3">+CORREL(AL69:AO69,AL86:AO86)</f>
        <v>#DIV/0!</v>
      </c>
      <c r="AP90" s="175" t="e">
        <f t="shared" si="933"/>
        <v>#DIV/0!</v>
      </c>
      <c r="AQ90" s="175" t="e">
        <f t="shared" si="933"/>
        <v>#DIV/0!</v>
      </c>
      <c r="AR90" s="175" t="e">
        <f t="shared" si="933"/>
        <v>#DIV/0!</v>
      </c>
      <c r="AS90" s="175" t="e">
        <f t="shared" si="933"/>
        <v>#DIV/0!</v>
      </c>
      <c r="AT90" s="175" t="e">
        <f t="shared" si="933"/>
        <v>#DIV/0!</v>
      </c>
      <c r="AU90" s="175" t="e">
        <f t="shared" si="933"/>
        <v>#DIV/0!</v>
      </c>
      <c r="AV90" s="175" t="e">
        <f t="shared" si="933"/>
        <v>#DIV/0!</v>
      </c>
      <c r="AW90" s="175" t="e">
        <f t="shared" si="933"/>
        <v>#DIV/0!</v>
      </c>
      <c r="AX90" s="175" t="e">
        <f t="shared" si="933"/>
        <v>#DIV/0!</v>
      </c>
      <c r="AY90" s="175" t="e">
        <f t="shared" si="933"/>
        <v>#DIV/0!</v>
      </c>
      <c r="AZ90" s="175" t="e">
        <f t="shared" si="933"/>
        <v>#DIV/0!</v>
      </c>
      <c r="BA90" s="175" t="e">
        <f t="shared" si="933"/>
        <v>#DIV/0!</v>
      </c>
      <c r="BB90" s="175" t="e">
        <f t="shared" si="933"/>
        <v>#DIV/0!</v>
      </c>
      <c r="BC90" s="175" t="e">
        <f t="shared" si="933"/>
        <v>#DIV/0!</v>
      </c>
      <c r="BD90" s="175" t="e">
        <f t="shared" si="933"/>
        <v>#DIV/0!</v>
      </c>
      <c r="BE90" s="175" t="e">
        <f t="shared" si="933"/>
        <v>#DIV/0!</v>
      </c>
      <c r="BF90" s="175" t="e">
        <f t="shared" si="933"/>
        <v>#DIV/0!</v>
      </c>
      <c r="BG90" s="175" t="e">
        <f t="shared" si="933"/>
        <v>#DIV/0!</v>
      </c>
      <c r="BH90" s="175" t="e">
        <f t="shared" si="933"/>
        <v>#DIV/0!</v>
      </c>
      <c r="BI90" s="175" t="e">
        <f t="shared" si="933"/>
        <v>#DIV/0!</v>
      </c>
      <c r="BJ90" s="175" t="e">
        <f t="shared" si="933"/>
        <v>#DIV/0!</v>
      </c>
      <c r="BK90" s="175" t="e">
        <f t="shared" si="933"/>
        <v>#DIV/0!</v>
      </c>
      <c r="BL90" s="175" t="e">
        <f t="shared" si="933"/>
        <v>#DIV/0!</v>
      </c>
      <c r="BM90" s="175" t="e">
        <f t="shared" si="933"/>
        <v>#DIV/0!</v>
      </c>
      <c r="BN90" s="175" t="e">
        <f t="shared" si="933"/>
        <v>#DIV/0!</v>
      </c>
      <c r="BO90" s="175" t="e">
        <f t="shared" si="933"/>
        <v>#DIV/0!</v>
      </c>
      <c r="BP90" s="175" t="e">
        <f t="shared" si="933"/>
        <v>#DIV/0!</v>
      </c>
      <c r="BQ90" s="175" t="e">
        <f t="shared" si="933"/>
        <v>#DIV/0!</v>
      </c>
      <c r="BR90" s="175" t="e">
        <f t="shared" si="933"/>
        <v>#DIV/0!</v>
      </c>
      <c r="BS90" s="175" t="e">
        <f t="shared" si="933"/>
        <v>#DIV/0!</v>
      </c>
      <c r="BT90" s="175" t="e">
        <f t="shared" si="933"/>
        <v>#DIV/0!</v>
      </c>
      <c r="BU90" s="175" t="e">
        <f t="shared" si="933"/>
        <v>#DIV/0!</v>
      </c>
      <c r="BV90" s="175" t="e">
        <f t="shared" si="933"/>
        <v>#DIV/0!</v>
      </c>
      <c r="BW90" s="175" t="e">
        <f t="shared" si="933"/>
        <v>#DIV/0!</v>
      </c>
      <c r="BX90" s="175" t="e">
        <f t="shared" si="933"/>
        <v>#DIV/0!</v>
      </c>
      <c r="BY90" s="175" t="e">
        <f t="shared" si="933"/>
        <v>#DIV/0!</v>
      </c>
      <c r="BZ90" s="175" t="e">
        <f t="shared" si="933"/>
        <v>#DIV/0!</v>
      </c>
      <c r="CA90" s="175" t="e">
        <f t="shared" si="933"/>
        <v>#DIV/0!</v>
      </c>
      <c r="CB90" s="175">
        <f t="shared" si="933"/>
        <v>0.69656955363618511</v>
      </c>
      <c r="CC90" s="175">
        <f t="shared" si="933"/>
        <v>0.68482675336293131</v>
      </c>
      <c r="CD90" s="175">
        <f t="shared" si="933"/>
        <v>0.48439403987662966</v>
      </c>
      <c r="CE90" s="175">
        <f t="shared" si="933"/>
        <v>-0.94928167490138837</v>
      </c>
      <c r="CF90" s="175">
        <f t="shared" si="933"/>
        <v>-0.78976312758019362</v>
      </c>
      <c r="CG90" s="175">
        <f t="shared" si="933"/>
        <v>-0.38387318306126761</v>
      </c>
      <c r="CH90" s="175">
        <f t="shared" si="933"/>
        <v>-0.42568476430359647</v>
      </c>
      <c r="CI90" s="175">
        <f t="shared" si="933"/>
        <v>-0.24697954901469188</v>
      </c>
      <c r="CJ90" s="175">
        <f>+CORREL(CG69:CJ69,CG86:CJ86)</f>
        <v>-0.87960852028199077</v>
      </c>
      <c r="CK90" s="175">
        <f>+CORREL(CH69:CK69,CH86:CK86)</f>
        <v>-0.87109842254498449</v>
      </c>
      <c r="CL90" s="175">
        <f>+CORREL(CI69:CL69,CI86:CL86)</f>
        <v>-0.78048521503739576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0</v>
      </c>
      <c r="K92" s="162">
        <f t="shared" ca="1" si="934"/>
        <v>0</v>
      </c>
      <c r="L92" s="162">
        <f t="shared" ca="1" si="934"/>
        <v>2.4319938889168893</v>
      </c>
      <c r="M92" s="162">
        <f t="shared" ca="1" si="934"/>
        <v>2.7720727659896172</v>
      </c>
      <c r="N92" s="162">
        <f t="shared" ca="1" si="934"/>
        <v>3.1890958873040671</v>
      </c>
      <c r="O92" s="162">
        <f t="shared" ca="1" si="934"/>
        <v>5.3652851544780997</v>
      </c>
      <c r="P92" s="162">
        <f t="shared" ca="1" si="934"/>
        <v>5.9281537094904486</v>
      </c>
      <c r="Q92" s="162">
        <f t="shared" ca="1" si="934"/>
        <v>5.0549314046671023</v>
      </c>
      <c r="R92" s="162">
        <f t="shared" ca="1" si="934"/>
        <v>5.100351658182551</v>
      </c>
      <c r="S92" s="162">
        <f t="shared" ca="1" si="934"/>
        <v>4.5580406481528142</v>
      </c>
      <c r="T92" s="162">
        <f t="shared" ca="1" si="934"/>
        <v>4.4006098482939358</v>
      </c>
      <c r="U92" s="162">
        <f t="shared" ca="1" si="934"/>
        <v>3.2390000504006853</v>
      </c>
      <c r="V92" s="162">
        <f t="shared" ca="1" si="934"/>
        <v>4.744216521344689</v>
      </c>
      <c r="W92" s="162">
        <f t="shared" ca="1" si="934"/>
        <v>9.7162441409203169</v>
      </c>
      <c r="X92" s="162">
        <f t="shared" ca="1" si="934"/>
        <v>24.932211078070662</v>
      </c>
      <c r="Y92" s="162">
        <f t="shared" ca="1" si="934"/>
        <v>114.53278564588477</v>
      </c>
      <c r="Z92" s="162">
        <f t="shared" ca="1" si="934"/>
        <v>119.63043697394284</v>
      </c>
      <c r="AA92" s="162">
        <f t="shared" ca="1" si="934"/>
        <v>119.63043697394284</v>
      </c>
      <c r="AB92" s="21">
        <f t="shared" ca="1" si="934"/>
        <v>133.27837210943156</v>
      </c>
      <c r="AC92" s="21">
        <f t="shared" ca="1" si="934"/>
        <v>137.79492225161388</v>
      </c>
      <c r="AD92" s="21">
        <f t="shared" ca="1" si="934"/>
        <v>141.2685070687844</v>
      </c>
      <c r="AE92" s="21">
        <f t="shared" ca="1" si="934"/>
        <v>143.88696720265608</v>
      </c>
      <c r="AL92" s="162">
        <f t="shared" ref="AL92:BQ92" si="935">+AL$120/AL$65</f>
        <v>0</v>
      </c>
      <c r="AM92" s="162">
        <f t="shared" si="935"/>
        <v>0</v>
      </c>
      <c r="AN92" s="162">
        <f t="shared" si="935"/>
        <v>0</v>
      </c>
      <c r="AO92" s="162">
        <f t="shared" si="935"/>
        <v>0</v>
      </c>
      <c r="AP92" s="162">
        <f t="shared" si="935"/>
        <v>0</v>
      </c>
      <c r="AQ92" s="162">
        <f t="shared" si="935"/>
        <v>0</v>
      </c>
      <c r="AR92" s="162">
        <f t="shared" si="935"/>
        <v>0</v>
      </c>
      <c r="AS92" s="162">
        <f t="shared" si="935"/>
        <v>0</v>
      </c>
      <c r="AT92" s="162">
        <f t="shared" si="935"/>
        <v>0</v>
      </c>
      <c r="AU92" s="162">
        <f t="shared" si="935"/>
        <v>0</v>
      </c>
      <c r="AV92" s="162">
        <f t="shared" si="935"/>
        <v>0</v>
      </c>
      <c r="AW92" s="162">
        <f t="shared" si="935"/>
        <v>0</v>
      </c>
      <c r="AX92" s="162">
        <f t="shared" si="935"/>
        <v>0</v>
      </c>
      <c r="AY92" s="162">
        <f t="shared" si="935"/>
        <v>0</v>
      </c>
      <c r="AZ92" s="162">
        <f t="shared" si="935"/>
        <v>0</v>
      </c>
      <c r="BA92" s="162">
        <f t="shared" si="935"/>
        <v>0</v>
      </c>
      <c r="BB92" s="162">
        <f t="shared" si="935"/>
        <v>0</v>
      </c>
      <c r="BC92" s="162">
        <f t="shared" si="935"/>
        <v>0</v>
      </c>
      <c r="BD92" s="162">
        <f t="shared" si="935"/>
        <v>0</v>
      </c>
      <c r="BE92" s="162">
        <f t="shared" si="935"/>
        <v>0</v>
      </c>
      <c r="BF92" s="162">
        <f t="shared" si="935"/>
        <v>0</v>
      </c>
      <c r="BG92" s="162">
        <f t="shared" si="935"/>
        <v>0</v>
      </c>
      <c r="BH92" s="162">
        <f t="shared" si="935"/>
        <v>0</v>
      </c>
      <c r="BI92" s="162">
        <f t="shared" si="935"/>
        <v>0</v>
      </c>
      <c r="BJ92" s="162">
        <f t="shared" si="935"/>
        <v>0</v>
      </c>
      <c r="BK92" s="162">
        <f t="shared" si="935"/>
        <v>0</v>
      </c>
      <c r="BL92" s="162">
        <f t="shared" si="935"/>
        <v>0</v>
      </c>
      <c r="BM92" s="162">
        <f t="shared" si="935"/>
        <v>0</v>
      </c>
      <c r="BN92" s="162">
        <f t="shared" si="935"/>
        <v>0</v>
      </c>
      <c r="BO92" s="162">
        <f t="shared" si="935"/>
        <v>0</v>
      </c>
      <c r="BP92" s="162">
        <f t="shared" si="935"/>
        <v>0</v>
      </c>
      <c r="BQ92" s="162">
        <f t="shared" si="935"/>
        <v>0</v>
      </c>
      <c r="BR92" s="162">
        <f t="shared" ref="BR92:DB92" si="936">+BR$120/BR$65</f>
        <v>0</v>
      </c>
      <c r="BS92" s="162">
        <f t="shared" si="936"/>
        <v>0</v>
      </c>
      <c r="BT92" s="162">
        <f t="shared" si="936"/>
        <v>0</v>
      </c>
      <c r="BU92" s="162">
        <f t="shared" si="936"/>
        <v>0</v>
      </c>
      <c r="BV92" s="162">
        <f t="shared" si="936"/>
        <v>0</v>
      </c>
      <c r="BW92" s="162">
        <f t="shared" si="936"/>
        <v>0.79658283352653603</v>
      </c>
      <c r="BX92" s="162">
        <f t="shared" si="936"/>
        <v>0</v>
      </c>
      <c r="BY92" s="162">
        <f t="shared" si="936"/>
        <v>0.72047779849805627</v>
      </c>
      <c r="BZ92" s="162">
        <f t="shared" si="936"/>
        <v>24.932211078070662</v>
      </c>
      <c r="CA92" s="162">
        <f t="shared" si="936"/>
        <v>25.607454261377953</v>
      </c>
      <c r="CB92" s="162">
        <f t="shared" si="936"/>
        <v>112.10548863464543</v>
      </c>
      <c r="CC92" s="162">
        <f t="shared" si="936"/>
        <v>114.42896023385917</v>
      </c>
      <c r="CD92" s="162">
        <f t="shared" si="936"/>
        <v>114.53278564588479</v>
      </c>
      <c r="CE92" s="162">
        <f t="shared" si="936"/>
        <v>115.86789980343733</v>
      </c>
      <c r="CF92" s="162">
        <f t="shared" si="936"/>
        <v>118.11325034020462</v>
      </c>
      <c r="CG92" s="162">
        <f t="shared" si="936"/>
        <v>119.49813517463836</v>
      </c>
      <c r="CH92" s="162">
        <f t="shared" si="936"/>
        <v>119.63043697394284</v>
      </c>
      <c r="CI92" s="162">
        <f t="shared" si="936"/>
        <v>120.57078776271356</v>
      </c>
      <c r="CJ92" s="162">
        <f t="shared" si="936"/>
        <v>124.27057607983468</v>
      </c>
      <c r="CK92" s="162">
        <f t="shared" si="936"/>
        <v>125.68595332896527</v>
      </c>
      <c r="CL92" s="162">
        <f t="shared" si="936"/>
        <v>127.52734237185625</v>
      </c>
      <c r="CM92" s="21">
        <f t="shared" si="936"/>
        <v>128.65408279450443</v>
      </c>
      <c r="CN92" s="21">
        <f t="shared" si="936"/>
        <v>129.98302112289474</v>
      </c>
      <c r="CO92" s="21">
        <f t="shared" si="936"/>
        <v>131.2626928324847</v>
      </c>
      <c r="CP92" s="21">
        <f t="shared" si="936"/>
        <v>133.27837210943156</v>
      </c>
      <c r="CQ92" s="21">
        <f t="shared" si="936"/>
        <v>134.20988910525796</v>
      </c>
      <c r="CR92" s="21">
        <f t="shared" si="936"/>
        <v>135.22025309806892</v>
      </c>
      <c r="CS92" s="21">
        <f t="shared" si="936"/>
        <v>136.22867965544847</v>
      </c>
      <c r="CT92" s="21">
        <f t="shared" si="936"/>
        <v>137.79492225161388</v>
      </c>
      <c r="CU92" s="21">
        <f t="shared" si="936"/>
        <v>138.50979808075871</v>
      </c>
      <c r="CV92" s="21">
        <f t="shared" si="936"/>
        <v>139.27766696102611</v>
      </c>
      <c r="CW92" s="21">
        <f t="shared" si="936"/>
        <v>140.04727512634457</v>
      </c>
      <c r="CX92" s="21">
        <f t="shared" si="936"/>
        <v>141.2685070687844</v>
      </c>
      <c r="CY92" s="21">
        <f t="shared" si="936"/>
        <v>141.79876411547087</v>
      </c>
      <c r="CZ92" s="21">
        <f t="shared" si="936"/>
        <v>142.37075190447428</v>
      </c>
      <c r="DA92" s="21">
        <f t="shared" si="936"/>
        <v>142.94457253054352</v>
      </c>
      <c r="DB92" s="21">
        <f t="shared" si="936"/>
        <v>143.88696720265608</v>
      </c>
      <c r="DE92" s="22"/>
      <c r="DF92" s="162">
        <v>127.52734237185625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 t="e">
        <f t="shared" ca="1" si="937"/>
        <v>#DIV/0!</v>
      </c>
      <c r="K94" s="162" t="e">
        <f t="shared" ca="1" si="937"/>
        <v>#DIV/0!</v>
      </c>
      <c r="L94" s="162">
        <f t="shared" ca="1" si="937"/>
        <v>0</v>
      </c>
      <c r="M94" s="162">
        <f t="shared" ca="1" si="937"/>
        <v>0</v>
      </c>
      <c r="N94" s="162">
        <f t="shared" ca="1" si="937"/>
        <v>0</v>
      </c>
      <c r="O94" s="162">
        <f t="shared" ca="1" si="937"/>
        <v>0</v>
      </c>
      <c r="P94" s="162">
        <f t="shared" ca="1" si="937"/>
        <v>0</v>
      </c>
      <c r="Q94" s="162">
        <f t="shared" ca="1" si="937"/>
        <v>0</v>
      </c>
      <c r="R94" s="162">
        <f t="shared" ca="1" si="937"/>
        <v>0</v>
      </c>
      <c r="S94" s="162">
        <f t="shared" ca="1" si="937"/>
        <v>0</v>
      </c>
      <c r="T94" s="162">
        <f t="shared" ca="1" si="937"/>
        <v>0</v>
      </c>
      <c r="U94" s="162">
        <f t="shared" ca="1" si="937"/>
        <v>0</v>
      </c>
      <c r="V94" s="162">
        <f t="shared" ca="1" si="937"/>
        <v>0</v>
      </c>
      <c r="W94" s="162">
        <f t="shared" ca="1" si="937"/>
        <v>0</v>
      </c>
      <c r="X94" s="162">
        <f t="shared" ca="1" si="937"/>
        <v>0</v>
      </c>
      <c r="Y94" s="162">
        <f t="shared" ca="1" si="937"/>
        <v>6.2881557969499822</v>
      </c>
      <c r="Z94" s="162">
        <f t="shared" ca="1" si="937"/>
        <v>3.821351919826002</v>
      </c>
      <c r="AA94" s="162">
        <f t="shared" ref="AA94" ca="1" si="938">+AA77/AA$92</f>
        <v>3.821351919826002</v>
      </c>
      <c r="AB94" s="21">
        <f t="shared" ca="1" si="937"/>
        <v>2.0408412534981113</v>
      </c>
      <c r="AC94" s="21">
        <f t="shared" ca="1" si="937"/>
        <v>1.9739479188015892</v>
      </c>
      <c r="AD94" s="21">
        <f t="shared" ca="1" si="937"/>
        <v>1.9254114426760505</v>
      </c>
      <c r="AE94" s="21">
        <f t="shared" ca="1" si="937"/>
        <v>1.8903727369338772</v>
      </c>
      <c r="AL94" s="162" t="e">
        <f t="shared" ref="AL94:CI96" si="939">+AL77/AL$92</f>
        <v>#DIV/0!</v>
      </c>
      <c r="AM94" s="162" t="e">
        <f t="shared" si="939"/>
        <v>#DIV/0!</v>
      </c>
      <c r="AN94" s="162" t="e">
        <f t="shared" si="939"/>
        <v>#DIV/0!</v>
      </c>
      <c r="AO94" s="162" t="e">
        <f t="shared" si="939"/>
        <v>#DIV/0!</v>
      </c>
      <c r="AP94" s="162" t="e">
        <f t="shared" si="939"/>
        <v>#DIV/0!</v>
      </c>
      <c r="AQ94" s="162" t="e">
        <f t="shared" si="939"/>
        <v>#DIV/0!</v>
      </c>
      <c r="AR94" s="162" t="e">
        <f t="shared" si="939"/>
        <v>#DIV/0!</v>
      </c>
      <c r="AS94" s="162" t="e">
        <f t="shared" si="939"/>
        <v>#DIV/0!</v>
      </c>
      <c r="AT94" s="162" t="e">
        <f t="shared" si="939"/>
        <v>#DIV/0!</v>
      </c>
      <c r="AU94" s="162" t="e">
        <f t="shared" si="939"/>
        <v>#DIV/0!</v>
      </c>
      <c r="AV94" s="162" t="e">
        <f t="shared" si="939"/>
        <v>#DIV/0!</v>
      </c>
      <c r="AW94" s="162" t="e">
        <f t="shared" si="939"/>
        <v>#DIV/0!</v>
      </c>
      <c r="AX94" s="162" t="e">
        <f t="shared" si="939"/>
        <v>#DIV/0!</v>
      </c>
      <c r="AY94" s="162" t="e">
        <f t="shared" si="939"/>
        <v>#DIV/0!</v>
      </c>
      <c r="AZ94" s="162" t="e">
        <f t="shared" si="939"/>
        <v>#DIV/0!</v>
      </c>
      <c r="BA94" s="162" t="e">
        <f t="shared" si="939"/>
        <v>#DIV/0!</v>
      </c>
      <c r="BB94" s="162" t="e">
        <f t="shared" si="939"/>
        <v>#DIV/0!</v>
      </c>
      <c r="BC94" s="162" t="e">
        <f t="shared" si="939"/>
        <v>#DIV/0!</v>
      </c>
      <c r="BD94" s="162" t="e">
        <f t="shared" si="939"/>
        <v>#DIV/0!</v>
      </c>
      <c r="BE94" s="162" t="e">
        <f t="shared" si="939"/>
        <v>#DIV/0!</v>
      </c>
      <c r="BF94" s="162" t="e">
        <f t="shared" si="939"/>
        <v>#DIV/0!</v>
      </c>
      <c r="BG94" s="162" t="e">
        <f t="shared" si="939"/>
        <v>#DIV/0!</v>
      </c>
      <c r="BH94" s="162" t="e">
        <f t="shared" si="939"/>
        <v>#DIV/0!</v>
      </c>
      <c r="BI94" s="162" t="e">
        <f t="shared" si="939"/>
        <v>#DIV/0!</v>
      </c>
      <c r="BJ94" s="162" t="e">
        <f t="shared" si="939"/>
        <v>#DIV/0!</v>
      </c>
      <c r="BK94" s="162" t="e">
        <f t="shared" si="939"/>
        <v>#DIV/0!</v>
      </c>
      <c r="BL94" s="162" t="e">
        <f t="shared" si="939"/>
        <v>#DIV/0!</v>
      </c>
      <c r="BM94" s="162" t="e">
        <f t="shared" si="939"/>
        <v>#DIV/0!</v>
      </c>
      <c r="BN94" s="162" t="e">
        <f t="shared" si="939"/>
        <v>#DIV/0!</v>
      </c>
      <c r="BO94" s="162" t="e">
        <f t="shared" si="939"/>
        <v>#DIV/0!</v>
      </c>
      <c r="BP94" s="162" t="e">
        <f t="shared" si="939"/>
        <v>#DIV/0!</v>
      </c>
      <c r="BQ94" s="162" t="e">
        <f t="shared" si="939"/>
        <v>#DIV/0!</v>
      </c>
      <c r="BR94" s="162" t="e">
        <f t="shared" si="939"/>
        <v>#DIV/0!</v>
      </c>
      <c r="BS94" s="162" t="e">
        <f t="shared" si="939"/>
        <v>#DIV/0!</v>
      </c>
      <c r="BT94" s="162" t="e">
        <f t="shared" si="939"/>
        <v>#DIV/0!</v>
      </c>
      <c r="BU94" s="162" t="e">
        <f t="shared" si="939"/>
        <v>#DIV/0!</v>
      </c>
      <c r="BV94" s="162" t="e">
        <f t="shared" si="939"/>
        <v>#DIV/0!</v>
      </c>
      <c r="BW94" s="162">
        <f t="shared" si="939"/>
        <v>0</v>
      </c>
      <c r="BX94" s="162" t="e">
        <f t="shared" si="939"/>
        <v>#DIV/0!</v>
      </c>
      <c r="BY94" s="162">
        <f t="shared" si="939"/>
        <v>0</v>
      </c>
      <c r="BZ94" s="162">
        <f t="shared" si="939"/>
        <v>0</v>
      </c>
      <c r="CA94" s="162">
        <f t="shared" si="939"/>
        <v>0</v>
      </c>
      <c r="CB94" s="162">
        <f t="shared" si="939"/>
        <v>6.4278743955922923</v>
      </c>
      <c r="CC94" s="162">
        <f t="shared" si="939"/>
        <v>5.8992933136890882</v>
      </c>
      <c r="CD94" s="162">
        <f t="shared" si="939"/>
        <v>6.2881557969499813</v>
      </c>
      <c r="CE94" s="162">
        <f t="shared" si="939"/>
        <v>6.4047074406192435</v>
      </c>
      <c r="CF94" s="162">
        <f t="shared" si="939"/>
        <v>5.6649021009308793</v>
      </c>
      <c r="CG94" s="162">
        <f t="shared" si="939"/>
        <v>5.600087390669402</v>
      </c>
      <c r="CH94" s="162">
        <f t="shared" si="939"/>
        <v>3.821351919826002</v>
      </c>
      <c r="CI94" s="162">
        <f t="shared" si="939"/>
        <v>3.9437413392022975</v>
      </c>
      <c r="CJ94" s="162">
        <f>+CJ77/CJ$92</f>
        <v>3.3885736534243982</v>
      </c>
      <c r="CK94" s="162">
        <f>+CK77/CK$92</f>
        <v>3.3122237527243272</v>
      </c>
      <c r="CL94" s="162">
        <f>+CL77/CL$92</f>
        <v>2.1328759381409892</v>
      </c>
      <c r="CM94" s="21">
        <f t="shared" ref="CM94:DB94" si="940">+CM77/CM$92</f>
        <v>2.1141964101866706</v>
      </c>
      <c r="CN94" s="21">
        <f t="shared" si="940"/>
        <v>2.092580997504534</v>
      </c>
      <c r="CO94" s="21">
        <f t="shared" si="940"/>
        <v>2.0721805574042422</v>
      </c>
      <c r="CP94" s="21">
        <f t="shared" si="940"/>
        <v>2.0408412534981113</v>
      </c>
      <c r="CQ94" s="21">
        <f t="shared" si="940"/>
        <v>2.0266762890078556</v>
      </c>
      <c r="CR94" s="21">
        <f t="shared" si="940"/>
        <v>2.0115329898305334</v>
      </c>
      <c r="CS94" s="21">
        <f t="shared" si="940"/>
        <v>1.9966427090679164</v>
      </c>
      <c r="CT94" s="21">
        <f t="shared" si="940"/>
        <v>1.9739479188015892</v>
      </c>
      <c r="CU94" s="21">
        <f t="shared" si="940"/>
        <v>1.9637599922094267</v>
      </c>
      <c r="CV94" s="21">
        <f t="shared" si="940"/>
        <v>1.9529333448420945</v>
      </c>
      <c r="CW94" s="21">
        <f t="shared" si="940"/>
        <v>1.9422013013435171</v>
      </c>
      <c r="CX94" s="21">
        <f t="shared" si="940"/>
        <v>1.9254114426760505</v>
      </c>
      <c r="CY94" s="21">
        <f t="shared" si="940"/>
        <v>1.9182113588698309</v>
      </c>
      <c r="CZ94" s="21">
        <f t="shared" si="940"/>
        <v>1.9105047656312326</v>
      </c>
      <c r="DA94" s="21">
        <f t="shared" si="940"/>
        <v>1.9028354500264828</v>
      </c>
      <c r="DB94" s="21">
        <f t="shared" si="940"/>
        <v>1.8903727369338772</v>
      </c>
      <c r="DE94" s="22"/>
      <c r="DF94" s="162">
        <v>2.1328759381409892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 t="e">
        <f t="shared" ca="1" si="937"/>
        <v>#DIV/0!</v>
      </c>
      <c r="K95" s="162" t="e">
        <f t="shared" ca="1" si="937"/>
        <v>#DIV/0!</v>
      </c>
      <c r="L95" s="162">
        <f t="shared" ca="1" si="937"/>
        <v>0</v>
      </c>
      <c r="M95" s="162">
        <f t="shared" ca="1" si="937"/>
        <v>0</v>
      </c>
      <c r="N95" s="162">
        <f t="shared" ca="1" si="937"/>
        <v>0</v>
      </c>
      <c r="O95" s="162">
        <f t="shared" ca="1" si="937"/>
        <v>0</v>
      </c>
      <c r="P95" s="162">
        <f t="shared" ca="1" si="937"/>
        <v>0</v>
      </c>
      <c r="Q95" s="162">
        <f t="shared" ca="1" si="937"/>
        <v>0</v>
      </c>
      <c r="R95" s="162">
        <f t="shared" ca="1" si="937"/>
        <v>0</v>
      </c>
      <c r="S95" s="162">
        <f t="shared" ca="1" si="937"/>
        <v>0</v>
      </c>
      <c r="T95" s="162">
        <f t="shared" ca="1" si="937"/>
        <v>0</v>
      </c>
      <c r="U95" s="162">
        <f t="shared" ca="1" si="937"/>
        <v>0</v>
      </c>
      <c r="V95" s="162">
        <f t="shared" ca="1" si="937"/>
        <v>0</v>
      </c>
      <c r="W95" s="162">
        <f t="shared" ca="1" si="937"/>
        <v>0</v>
      </c>
      <c r="X95" s="162">
        <f t="shared" ca="1" si="937"/>
        <v>0</v>
      </c>
      <c r="Y95" s="162">
        <f t="shared" ca="1" si="937"/>
        <v>7.7087097377494294</v>
      </c>
      <c r="Z95" s="162">
        <f t="shared" ca="1" si="937"/>
        <v>7.2937123868405953</v>
      </c>
      <c r="AA95" s="162">
        <f t="shared" ref="AA95" ca="1" si="941">+AA78/AA$92</f>
        <v>7.2937123868405953</v>
      </c>
      <c r="AB95" s="21">
        <f t="shared" ca="1" si="937"/>
        <v>3.2133798722050342</v>
      </c>
      <c r="AC95" s="21">
        <f t="shared" ca="1" si="937"/>
        <v>1.8330847813041133</v>
      </c>
      <c r="AD95" s="21">
        <f t="shared" ca="1" si="937"/>
        <v>1.3838294720987834</v>
      </c>
      <c r="AE95" s="21">
        <f t="shared" ca="1" si="937"/>
        <v>1.0392178528192602</v>
      </c>
      <c r="AL95" s="162" t="e">
        <f t="shared" si="939"/>
        <v>#DIV/0!</v>
      </c>
      <c r="AM95" s="162" t="e">
        <f t="shared" si="939"/>
        <v>#DIV/0!</v>
      </c>
      <c r="AN95" s="162" t="e">
        <f t="shared" si="939"/>
        <v>#DIV/0!</v>
      </c>
      <c r="AO95" s="162" t="e">
        <f t="shared" si="939"/>
        <v>#DIV/0!</v>
      </c>
      <c r="AP95" s="162" t="e">
        <f t="shared" si="939"/>
        <v>#DIV/0!</v>
      </c>
      <c r="AQ95" s="162" t="e">
        <f t="shared" si="939"/>
        <v>#DIV/0!</v>
      </c>
      <c r="AR95" s="162" t="e">
        <f t="shared" si="939"/>
        <v>#DIV/0!</v>
      </c>
      <c r="AS95" s="162" t="e">
        <f t="shared" si="939"/>
        <v>#DIV/0!</v>
      </c>
      <c r="AT95" s="162" t="e">
        <f t="shared" si="939"/>
        <v>#DIV/0!</v>
      </c>
      <c r="AU95" s="162" t="e">
        <f t="shared" si="939"/>
        <v>#DIV/0!</v>
      </c>
      <c r="AV95" s="162" t="e">
        <f t="shared" si="939"/>
        <v>#DIV/0!</v>
      </c>
      <c r="AW95" s="162" t="e">
        <f t="shared" si="939"/>
        <v>#DIV/0!</v>
      </c>
      <c r="AX95" s="162" t="e">
        <f t="shared" si="939"/>
        <v>#DIV/0!</v>
      </c>
      <c r="AY95" s="162" t="e">
        <f t="shared" si="939"/>
        <v>#DIV/0!</v>
      </c>
      <c r="AZ95" s="162" t="e">
        <f t="shared" si="939"/>
        <v>#DIV/0!</v>
      </c>
      <c r="BA95" s="162" t="e">
        <f t="shared" si="939"/>
        <v>#DIV/0!</v>
      </c>
      <c r="BB95" s="162" t="e">
        <f t="shared" si="939"/>
        <v>#DIV/0!</v>
      </c>
      <c r="BC95" s="162" t="e">
        <f t="shared" si="939"/>
        <v>#DIV/0!</v>
      </c>
      <c r="BD95" s="162" t="e">
        <f t="shared" si="939"/>
        <v>#DIV/0!</v>
      </c>
      <c r="BE95" s="162" t="e">
        <f t="shared" si="939"/>
        <v>#DIV/0!</v>
      </c>
      <c r="BF95" s="162" t="e">
        <f t="shared" si="939"/>
        <v>#DIV/0!</v>
      </c>
      <c r="BG95" s="162" t="e">
        <f t="shared" si="939"/>
        <v>#DIV/0!</v>
      </c>
      <c r="BH95" s="162" t="e">
        <f t="shared" si="939"/>
        <v>#DIV/0!</v>
      </c>
      <c r="BI95" s="162" t="e">
        <f t="shared" si="939"/>
        <v>#DIV/0!</v>
      </c>
      <c r="BJ95" s="162" t="e">
        <f t="shared" si="939"/>
        <v>#DIV/0!</v>
      </c>
      <c r="BK95" s="162" t="e">
        <f t="shared" si="939"/>
        <v>#DIV/0!</v>
      </c>
      <c r="BL95" s="162" t="e">
        <f t="shared" si="939"/>
        <v>#DIV/0!</v>
      </c>
      <c r="BM95" s="162" t="e">
        <f t="shared" si="939"/>
        <v>#DIV/0!</v>
      </c>
      <c r="BN95" s="162" t="e">
        <f t="shared" si="939"/>
        <v>#DIV/0!</v>
      </c>
      <c r="BO95" s="162" t="e">
        <f t="shared" si="939"/>
        <v>#DIV/0!</v>
      </c>
      <c r="BP95" s="162" t="e">
        <f t="shared" si="939"/>
        <v>#DIV/0!</v>
      </c>
      <c r="BQ95" s="162" t="e">
        <f t="shared" si="939"/>
        <v>#DIV/0!</v>
      </c>
      <c r="BR95" s="162" t="e">
        <f t="shared" si="939"/>
        <v>#DIV/0!</v>
      </c>
      <c r="BS95" s="162" t="e">
        <f t="shared" si="939"/>
        <v>#DIV/0!</v>
      </c>
      <c r="BT95" s="162" t="e">
        <f t="shared" si="939"/>
        <v>#DIV/0!</v>
      </c>
      <c r="BU95" s="162" t="e">
        <f t="shared" si="939"/>
        <v>#DIV/0!</v>
      </c>
      <c r="BV95" s="162" t="e">
        <f t="shared" si="939"/>
        <v>#DIV/0!</v>
      </c>
      <c r="BW95" s="162">
        <f t="shared" si="939"/>
        <v>0</v>
      </c>
      <c r="BX95" s="162" t="e">
        <f t="shared" si="939"/>
        <v>#DIV/0!</v>
      </c>
      <c r="BY95" s="162">
        <f t="shared" si="939"/>
        <v>0</v>
      </c>
      <c r="BZ95" s="162">
        <f t="shared" si="939"/>
        <v>0</v>
      </c>
      <c r="CA95" s="162">
        <f t="shared" si="939"/>
        <v>0</v>
      </c>
      <c r="CB95" s="162">
        <f t="shared" si="939"/>
        <v>6.9488123149686309</v>
      </c>
      <c r="CC95" s="162">
        <f t="shared" si="939"/>
        <v>6.5368067530396834</v>
      </c>
      <c r="CD95" s="162">
        <f t="shared" si="939"/>
        <v>7.7087097377494285</v>
      </c>
      <c r="CE95" s="162">
        <f t="shared" si="939"/>
        <v>6.7279203413754631</v>
      </c>
      <c r="CF95" s="162">
        <f t="shared" si="939"/>
        <v>7.3874014768603171</v>
      </c>
      <c r="CG95" s="162">
        <f t="shared" si="939"/>
        <v>6.2189254996652208</v>
      </c>
      <c r="CH95" s="162">
        <f t="shared" si="939"/>
        <v>5.6870978424010072</v>
      </c>
      <c r="CI95" s="162">
        <f t="shared" si="939"/>
        <v>4.4869906719420465</v>
      </c>
      <c r="CJ95" s="162">
        <f t="shared" ref="CJ95:CK96" si="942">+CJ78/CJ$92</f>
        <v>4.0637133578231319</v>
      </c>
      <c r="CK95" s="162">
        <f t="shared" si="942"/>
        <v>3.9423657686161522</v>
      </c>
      <c r="CL95" s="162">
        <f t="shared" ref="CL95" si="943">+CL78/CL$92</f>
        <v>3.2918430839396589</v>
      </c>
      <c r="CM95" s="94">
        <f t="shared" ref="CM95:DB95" si="944">+CL95</f>
        <v>3.2918430839396589</v>
      </c>
      <c r="CN95" s="94">
        <f t="shared" si="944"/>
        <v>3.2918430839396589</v>
      </c>
      <c r="CO95" s="94">
        <f t="shared" si="944"/>
        <v>3.2918430839396589</v>
      </c>
      <c r="CP95" s="94">
        <f t="shared" si="944"/>
        <v>3.2918430839396589</v>
      </c>
      <c r="CQ95" s="94">
        <f t="shared" si="944"/>
        <v>3.2918430839396589</v>
      </c>
      <c r="CR95" s="94">
        <f t="shared" si="944"/>
        <v>3.2918430839396589</v>
      </c>
      <c r="CS95" s="94">
        <f t="shared" si="944"/>
        <v>3.2918430839396589</v>
      </c>
      <c r="CT95" s="94">
        <f t="shared" si="944"/>
        <v>3.2918430839396589</v>
      </c>
      <c r="CU95" s="94">
        <f t="shared" si="944"/>
        <v>3.2918430839396589</v>
      </c>
      <c r="CV95" s="94">
        <f t="shared" si="944"/>
        <v>3.2918430839396589</v>
      </c>
      <c r="CW95" s="94">
        <f t="shared" si="944"/>
        <v>3.2918430839396589</v>
      </c>
      <c r="CX95" s="94">
        <f t="shared" si="944"/>
        <v>3.2918430839396589</v>
      </c>
      <c r="CY95" s="94">
        <f t="shared" si="944"/>
        <v>3.2918430839396589</v>
      </c>
      <c r="CZ95" s="94">
        <f t="shared" si="944"/>
        <v>3.2918430839396589</v>
      </c>
      <c r="DA95" s="94">
        <f t="shared" si="944"/>
        <v>3.2918430839396589</v>
      </c>
      <c r="DB95" s="94">
        <f t="shared" si="944"/>
        <v>3.2918430839396589</v>
      </c>
      <c r="DC95" s="94"/>
      <c r="DE95" s="22"/>
      <c r="DF95" s="162">
        <v>4.2422275093171882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 t="e">
        <f t="shared" ca="1" si="937"/>
        <v>#DIV/0!</v>
      </c>
      <c r="K96" s="162" t="e">
        <f t="shared" ca="1" si="937"/>
        <v>#DIV/0!</v>
      </c>
      <c r="L96" s="162">
        <f t="shared" ca="1" si="937"/>
        <v>0</v>
      </c>
      <c r="M96" s="162">
        <f t="shared" ca="1" si="937"/>
        <v>0</v>
      </c>
      <c r="N96" s="162">
        <f t="shared" ca="1" si="937"/>
        <v>0</v>
      </c>
      <c r="O96" s="162">
        <f t="shared" ca="1" si="937"/>
        <v>0</v>
      </c>
      <c r="P96" s="162">
        <f t="shared" ca="1" si="937"/>
        <v>0</v>
      </c>
      <c r="Q96" s="162">
        <f t="shared" ca="1" si="937"/>
        <v>0</v>
      </c>
      <c r="R96" s="162">
        <f t="shared" ca="1" si="937"/>
        <v>0</v>
      </c>
      <c r="S96" s="162">
        <f t="shared" ca="1" si="937"/>
        <v>0</v>
      </c>
      <c r="T96" s="162">
        <f t="shared" ca="1" si="937"/>
        <v>0</v>
      </c>
      <c r="U96" s="162">
        <f t="shared" ca="1" si="937"/>
        <v>0</v>
      </c>
      <c r="V96" s="162">
        <f t="shared" ca="1" si="937"/>
        <v>0</v>
      </c>
      <c r="W96" s="162">
        <f t="shared" ca="1" si="937"/>
        <v>0</v>
      </c>
      <c r="X96" s="162">
        <f t="shared" ca="1" si="937"/>
        <v>0</v>
      </c>
      <c r="Y96" s="162">
        <f t="shared" ca="1" si="937"/>
        <v>3.5011808866661243</v>
      </c>
      <c r="Z96" s="162">
        <f t="shared" ca="1" si="937"/>
        <v>3.1806286896943976</v>
      </c>
      <c r="AA96" s="162">
        <f t="shared" ref="AA96" ca="1" si="945">+AA79/AA$92</f>
        <v>3.1806286896943976</v>
      </c>
      <c r="AB96" s="21">
        <f t="shared" ca="1" si="937"/>
        <v>1.2381580696814254</v>
      </c>
      <c r="AC96" s="21">
        <f t="shared" ca="1" si="937"/>
        <v>0.94051078653930198</v>
      </c>
      <c r="AD96" s="21">
        <f t="shared" ca="1" si="937"/>
        <v>0.70554173880415916</v>
      </c>
      <c r="AE96" s="21">
        <f t="shared" ca="1" si="937"/>
        <v>0.52217330555190022</v>
      </c>
      <c r="AL96" s="162" t="e">
        <f t="shared" si="939"/>
        <v>#DIV/0!</v>
      </c>
      <c r="AM96" s="162" t="e">
        <f t="shared" si="939"/>
        <v>#DIV/0!</v>
      </c>
      <c r="AN96" s="162" t="e">
        <f t="shared" si="939"/>
        <v>#DIV/0!</v>
      </c>
      <c r="AO96" s="162" t="e">
        <f t="shared" si="939"/>
        <v>#DIV/0!</v>
      </c>
      <c r="AP96" s="162" t="e">
        <f t="shared" si="939"/>
        <v>#DIV/0!</v>
      </c>
      <c r="AQ96" s="162" t="e">
        <f t="shared" si="939"/>
        <v>#DIV/0!</v>
      </c>
      <c r="AR96" s="162" t="e">
        <f t="shared" si="939"/>
        <v>#DIV/0!</v>
      </c>
      <c r="AS96" s="162" t="e">
        <f t="shared" si="939"/>
        <v>#DIV/0!</v>
      </c>
      <c r="AT96" s="162" t="e">
        <f t="shared" si="939"/>
        <v>#DIV/0!</v>
      </c>
      <c r="AU96" s="162" t="e">
        <f t="shared" si="939"/>
        <v>#DIV/0!</v>
      </c>
      <c r="AV96" s="162" t="e">
        <f t="shared" si="939"/>
        <v>#DIV/0!</v>
      </c>
      <c r="AW96" s="162" t="e">
        <f t="shared" si="939"/>
        <v>#DIV/0!</v>
      </c>
      <c r="AX96" s="162" t="e">
        <f t="shared" si="939"/>
        <v>#DIV/0!</v>
      </c>
      <c r="AY96" s="162" t="e">
        <f t="shared" si="939"/>
        <v>#DIV/0!</v>
      </c>
      <c r="AZ96" s="162" t="e">
        <f t="shared" si="939"/>
        <v>#DIV/0!</v>
      </c>
      <c r="BA96" s="162" t="e">
        <f t="shared" si="939"/>
        <v>#DIV/0!</v>
      </c>
      <c r="BB96" s="162" t="e">
        <f t="shared" si="939"/>
        <v>#DIV/0!</v>
      </c>
      <c r="BC96" s="162" t="e">
        <f t="shared" si="939"/>
        <v>#DIV/0!</v>
      </c>
      <c r="BD96" s="162" t="e">
        <f t="shared" si="939"/>
        <v>#DIV/0!</v>
      </c>
      <c r="BE96" s="162" t="e">
        <f t="shared" si="939"/>
        <v>#DIV/0!</v>
      </c>
      <c r="BF96" s="162" t="e">
        <f t="shared" si="939"/>
        <v>#DIV/0!</v>
      </c>
      <c r="BG96" s="162" t="e">
        <f t="shared" si="939"/>
        <v>#DIV/0!</v>
      </c>
      <c r="BH96" s="162" t="e">
        <f t="shared" si="939"/>
        <v>#DIV/0!</v>
      </c>
      <c r="BI96" s="162" t="e">
        <f t="shared" si="939"/>
        <v>#DIV/0!</v>
      </c>
      <c r="BJ96" s="162" t="e">
        <f t="shared" si="939"/>
        <v>#DIV/0!</v>
      </c>
      <c r="BK96" s="162" t="e">
        <f t="shared" si="939"/>
        <v>#DIV/0!</v>
      </c>
      <c r="BL96" s="162" t="e">
        <f t="shared" si="939"/>
        <v>#DIV/0!</v>
      </c>
      <c r="BM96" s="162" t="e">
        <f t="shared" si="939"/>
        <v>#DIV/0!</v>
      </c>
      <c r="BN96" s="162" t="e">
        <f t="shared" si="939"/>
        <v>#DIV/0!</v>
      </c>
      <c r="BO96" s="162" t="e">
        <f t="shared" si="939"/>
        <v>#DIV/0!</v>
      </c>
      <c r="BP96" s="162" t="e">
        <f t="shared" si="939"/>
        <v>#DIV/0!</v>
      </c>
      <c r="BQ96" s="162" t="e">
        <f t="shared" si="939"/>
        <v>#DIV/0!</v>
      </c>
      <c r="BR96" s="162" t="e">
        <f t="shared" si="939"/>
        <v>#DIV/0!</v>
      </c>
      <c r="BS96" s="162" t="e">
        <f t="shared" si="939"/>
        <v>#DIV/0!</v>
      </c>
      <c r="BT96" s="162" t="e">
        <f t="shared" si="939"/>
        <v>#DIV/0!</v>
      </c>
      <c r="BU96" s="162" t="e">
        <f t="shared" si="939"/>
        <v>#DIV/0!</v>
      </c>
      <c r="BV96" s="162" t="e">
        <f t="shared" si="939"/>
        <v>#DIV/0!</v>
      </c>
      <c r="BW96" s="162">
        <f t="shared" si="939"/>
        <v>0</v>
      </c>
      <c r="BX96" s="162" t="e">
        <f t="shared" si="939"/>
        <v>#DIV/0!</v>
      </c>
      <c r="BY96" s="162">
        <f t="shared" si="939"/>
        <v>0</v>
      </c>
      <c r="BZ96" s="162">
        <f t="shared" si="939"/>
        <v>0</v>
      </c>
      <c r="CA96" s="162">
        <f t="shared" si="939"/>
        <v>0</v>
      </c>
      <c r="CB96" s="162">
        <f t="shared" si="939"/>
        <v>3.576988110786163</v>
      </c>
      <c r="CC96" s="162">
        <f t="shared" si="939"/>
        <v>5.2866861567531505</v>
      </c>
      <c r="CD96" s="162">
        <f t="shared" si="939"/>
        <v>5.5529951219941518</v>
      </c>
      <c r="CE96" s="162">
        <f t="shared" si="939"/>
        <v>5.0057004656503992</v>
      </c>
      <c r="CF96" s="162">
        <f t="shared" si="939"/>
        <v>5.6052136241537713</v>
      </c>
      <c r="CG96" s="162">
        <f t="shared" si="939"/>
        <v>5.0251830216631435</v>
      </c>
      <c r="CH96" s="162">
        <f t="shared" si="939"/>
        <v>3.1806286896943976</v>
      </c>
      <c r="CI96" s="162">
        <f t="shared" si="939"/>
        <v>2.9041031123484427</v>
      </c>
      <c r="CJ96" s="162">
        <f t="shared" si="942"/>
        <v>3.325807387699605</v>
      </c>
      <c r="CK96" s="162">
        <f t="shared" si="942"/>
        <v>3.2382298038885446</v>
      </c>
      <c r="CL96" s="162">
        <f t="shared" ref="CL96" si="946">+CL79/CL$92</f>
        <v>2.0775936757737319</v>
      </c>
      <c r="CM96" s="94">
        <f t="shared" ref="CM96:DB96" si="947">+CL96</f>
        <v>2.0775936757737319</v>
      </c>
      <c r="CN96" s="94">
        <f t="shared" si="947"/>
        <v>2.0775936757737319</v>
      </c>
      <c r="CO96" s="94">
        <f t="shared" si="947"/>
        <v>2.0775936757737319</v>
      </c>
      <c r="CP96" s="94">
        <f t="shared" si="947"/>
        <v>2.0775936757737319</v>
      </c>
      <c r="CQ96" s="94">
        <f t="shared" si="947"/>
        <v>2.0775936757737319</v>
      </c>
      <c r="CR96" s="94">
        <f t="shared" si="947"/>
        <v>2.0775936757737319</v>
      </c>
      <c r="CS96" s="94">
        <f t="shared" si="947"/>
        <v>2.0775936757737319</v>
      </c>
      <c r="CT96" s="94">
        <f t="shared" si="947"/>
        <v>2.0775936757737319</v>
      </c>
      <c r="CU96" s="94">
        <f t="shared" si="947"/>
        <v>2.0775936757737319</v>
      </c>
      <c r="CV96" s="94">
        <f t="shared" si="947"/>
        <v>2.0775936757737319</v>
      </c>
      <c r="CW96" s="94">
        <f t="shared" si="947"/>
        <v>2.0775936757737319</v>
      </c>
      <c r="CX96" s="94">
        <f t="shared" si="947"/>
        <v>2.0775936757737319</v>
      </c>
      <c r="CY96" s="94">
        <f t="shared" si="947"/>
        <v>2.0775936757737319</v>
      </c>
      <c r="CZ96" s="94">
        <f t="shared" si="947"/>
        <v>2.0775936757737319</v>
      </c>
      <c r="DA96" s="94">
        <f t="shared" si="947"/>
        <v>2.0775936757737319</v>
      </c>
      <c r="DB96" s="94">
        <f t="shared" si="947"/>
        <v>2.0775936757737319</v>
      </c>
      <c r="DC96" s="94"/>
      <c r="DE96" s="22"/>
      <c r="DF96" s="162">
        <v>2.0775936757737319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406.95080000000002</v>
      </c>
      <c r="P98" s="177">
        <f t="shared" si="948"/>
        <v>443.97117530000003</v>
      </c>
      <c r="Q98" s="177">
        <f t="shared" si="948"/>
        <v>256.44425769999998</v>
      </c>
      <c r="R98" s="177">
        <f t="shared" si="948"/>
        <v>345.30407259999998</v>
      </c>
      <c r="S98" s="177">
        <f t="shared" si="948"/>
        <v>387.80217009999996</v>
      </c>
      <c r="T98" s="177">
        <f t="shared" si="948"/>
        <v>480.47</v>
      </c>
      <c r="U98" s="177">
        <f t="shared" si="948"/>
        <v>457.08699999999999</v>
      </c>
      <c r="V98" s="177">
        <f t="shared" si="948"/>
        <v>628.02800000000002</v>
      </c>
      <c r="W98" s="177">
        <f t="shared" si="948"/>
        <v>720.53300000000002</v>
      </c>
      <c r="X98" s="177">
        <f t="shared" si="948"/>
        <v>832.03300000000002</v>
      </c>
      <c r="Y98" s="177">
        <f t="shared" si="948"/>
        <v>1191.8710000000001</v>
      </c>
      <c r="Z98" s="177">
        <f>+Z10</f>
        <v>1519.626</v>
      </c>
      <c r="AA98" s="177">
        <f>+AA10</f>
        <v>1261.4849999999999</v>
      </c>
      <c r="AB98" s="178">
        <f t="shared" ref="AB98:AE98" si="949">+AB10</f>
        <v>1032.1341393080213</v>
      </c>
      <c r="AC98" s="178">
        <f t="shared" si="949"/>
        <v>842.86983106040407</v>
      </c>
      <c r="AD98" s="178">
        <f t="shared" si="949"/>
        <v>688.12895514598677</v>
      </c>
      <c r="AE98" s="178">
        <f t="shared" si="949"/>
        <v>561.82898139183499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0</v>
      </c>
      <c r="AT98" s="177">
        <f t="shared" si="950"/>
        <v>0</v>
      </c>
      <c r="AU98" s="177">
        <f t="shared" si="950"/>
        <v>0</v>
      </c>
      <c r="AV98" s="177">
        <f t="shared" si="950"/>
        <v>0</v>
      </c>
      <c r="AW98" s="177">
        <f t="shared" si="950"/>
        <v>0</v>
      </c>
      <c r="AX98" s="177">
        <f t="shared" si="950"/>
        <v>0</v>
      </c>
      <c r="AY98" s="177">
        <f t="shared" si="950"/>
        <v>0</v>
      </c>
      <c r="AZ98" s="177">
        <f t="shared" si="950"/>
        <v>0</v>
      </c>
      <c r="BA98" s="177">
        <f t="shared" si="950"/>
        <v>0</v>
      </c>
      <c r="BB98" s="177">
        <f t="shared" si="950"/>
        <v>0</v>
      </c>
      <c r="BC98" s="177">
        <f t="shared" si="950"/>
        <v>0</v>
      </c>
      <c r="BD98" s="177">
        <f t="shared" si="950"/>
        <v>0</v>
      </c>
      <c r="BE98" s="177">
        <f t="shared" si="950"/>
        <v>0</v>
      </c>
      <c r="BF98" s="177">
        <f t="shared" si="950"/>
        <v>0</v>
      </c>
      <c r="BG98" s="177">
        <f t="shared" si="950"/>
        <v>0</v>
      </c>
      <c r="BH98" s="177">
        <f t="shared" si="950"/>
        <v>0</v>
      </c>
      <c r="BI98" s="177">
        <f t="shared" si="950"/>
        <v>0</v>
      </c>
      <c r="BJ98" s="177">
        <f t="shared" si="950"/>
        <v>0</v>
      </c>
      <c r="BK98" s="177">
        <f t="shared" si="950"/>
        <v>0</v>
      </c>
      <c r="BL98" s="177">
        <f t="shared" si="950"/>
        <v>0</v>
      </c>
      <c r="BM98" s="177">
        <f t="shared" si="950"/>
        <v>0</v>
      </c>
      <c r="BN98" s="177">
        <f t="shared" si="950"/>
        <v>0</v>
      </c>
      <c r="BO98" s="177">
        <f t="shared" si="950"/>
        <v>0</v>
      </c>
      <c r="BP98" s="177">
        <f t="shared" si="950"/>
        <v>0</v>
      </c>
      <c r="BQ98" s="177">
        <f t="shared" si="950"/>
        <v>0</v>
      </c>
      <c r="BR98" s="177">
        <f t="shared" ref="BR98:CW98" si="951">+SUM(BO8:BR8)</f>
        <v>0</v>
      </c>
      <c r="BS98" s="177">
        <f t="shared" si="951"/>
        <v>0</v>
      </c>
      <c r="BT98" s="177">
        <f t="shared" si="951"/>
        <v>0</v>
      </c>
      <c r="BU98" s="177">
        <f t="shared" si="951"/>
        <v>0</v>
      </c>
      <c r="BV98" s="177">
        <f t="shared" si="951"/>
        <v>0</v>
      </c>
      <c r="BW98" s="177">
        <f t="shared" si="951"/>
        <v>170.11500000000001</v>
      </c>
      <c r="BX98" s="177">
        <f t="shared" si="951"/>
        <v>340.27</v>
      </c>
      <c r="BY98" s="177">
        <f t="shared" si="951"/>
        <v>554.66999999999996</v>
      </c>
      <c r="BZ98" s="177">
        <f t="shared" si="951"/>
        <v>832.0329999999999</v>
      </c>
      <c r="CA98" s="177">
        <f t="shared" si="951"/>
        <v>879.06600000000003</v>
      </c>
      <c r="CB98" s="177">
        <f t="shared" si="951"/>
        <v>1000.749</v>
      </c>
      <c r="CC98" s="177">
        <f t="shared" si="951"/>
        <v>1107.3909999999998</v>
      </c>
      <c r="CD98" s="177">
        <f t="shared" si="951"/>
        <v>1191.8710000000001</v>
      </c>
      <c r="CE98" s="177">
        <f t="shared" si="951"/>
        <v>1232.6079999999999</v>
      </c>
      <c r="CF98" s="177">
        <f t="shared" si="951"/>
        <v>1330.22</v>
      </c>
      <c r="CG98" s="177">
        <f t="shared" si="951"/>
        <v>1453.4140000000002</v>
      </c>
      <c r="CH98" s="177">
        <f t="shared" si="951"/>
        <v>1519.626</v>
      </c>
      <c r="CI98" s="177">
        <f t="shared" si="951"/>
        <v>1540.1680000000001</v>
      </c>
      <c r="CJ98" s="177">
        <f t="shared" si="951"/>
        <v>1461.3519999999999</v>
      </c>
      <c r="CK98" s="177">
        <f t="shared" si="951"/>
        <v>1320.463</v>
      </c>
      <c r="CL98" s="177">
        <f t="shared" si="951"/>
        <v>1261.4850000000001</v>
      </c>
      <c r="CM98" s="178">
        <f t="shared" si="951"/>
        <v>1219.0715072859446</v>
      </c>
      <c r="CN98" s="178">
        <f t="shared" si="951"/>
        <v>1156.6243373447546</v>
      </c>
      <c r="CO98" s="178">
        <f t="shared" si="951"/>
        <v>1095.3613199037864</v>
      </c>
      <c r="CP98" s="178">
        <f t="shared" si="951"/>
        <v>1032.1341393080213</v>
      </c>
      <c r="CQ98" s="178">
        <f t="shared" si="951"/>
        <v>989.72388300411558</v>
      </c>
      <c r="CR98" s="178">
        <f t="shared" si="951"/>
        <v>943.01934647401549</v>
      </c>
      <c r="CS98" s="178">
        <f t="shared" si="951"/>
        <v>898.24085780711721</v>
      </c>
      <c r="CT98" s="178">
        <f t="shared" si="951"/>
        <v>842.86983106040407</v>
      </c>
      <c r="CU98" s="178">
        <f t="shared" si="951"/>
        <v>807.34905667445889</v>
      </c>
      <c r="CV98" s="178">
        <f t="shared" si="951"/>
        <v>770.19240858356432</v>
      </c>
      <c r="CW98" s="178">
        <f t="shared" si="951"/>
        <v>733.99182044427846</v>
      </c>
      <c r="CX98" s="178">
        <f t="shared" ref="CX98:DB98" si="952">+SUM(CU8:CX8)</f>
        <v>688.12895514598677</v>
      </c>
      <c r="CY98" s="178">
        <f t="shared" si="952"/>
        <v>659.10248154385272</v>
      </c>
      <c r="CZ98" s="178">
        <f t="shared" si="952"/>
        <v>628.92374578436988</v>
      </c>
      <c r="DA98" s="178">
        <f t="shared" si="952"/>
        <v>599.36729370306989</v>
      </c>
      <c r="DB98" s="178">
        <f t="shared" si="952"/>
        <v>561.82898139183499</v>
      </c>
      <c r="DE98" s="179"/>
      <c r="DF98" s="177">
        <v>1258.8570000000002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51.276498160374977</v>
      </c>
      <c r="P99" s="163">
        <f t="shared" ca="1" si="953"/>
        <v>55.941128887152864</v>
      </c>
      <c r="Q99" s="163">
        <f t="shared" ca="1" si="953"/>
        <v>32.312415919056491</v>
      </c>
      <c r="R99" s="163">
        <f t="shared" ca="1" si="953"/>
        <v>43.50890486870621</v>
      </c>
      <c r="S99" s="163">
        <f t="shared" ca="1" si="953"/>
        <v>48.863737979436507</v>
      </c>
      <c r="T99" s="163">
        <f t="shared" ca="1" si="953"/>
        <v>60.540043344589485</v>
      </c>
      <c r="U99" s="163">
        <f t="shared" ca="1" si="953"/>
        <v>57.593745274935735</v>
      </c>
      <c r="V99" s="163">
        <f t="shared" ca="1" si="953"/>
        <v>79.132604203417159</v>
      </c>
      <c r="W99" s="163">
        <f t="shared" ca="1" si="953"/>
        <v>90.788392722141012</v>
      </c>
      <c r="X99" s="163">
        <f t="shared" ca="1" si="953"/>
        <v>104.83758379113955</v>
      </c>
      <c r="Y99" s="163">
        <f t="shared" ca="1" si="953"/>
        <v>150.17778841792247</v>
      </c>
      <c r="Z99" s="163">
        <f t="shared" ref="Z99:AA99" ca="1" si="954">+Z98/Z65</f>
        <v>191.47548006652889</v>
      </c>
      <c r="AA99" s="163">
        <f t="shared" ref="AA99" ca="1" si="955">+AA98/AA65</f>
        <v>191.47548006652889</v>
      </c>
      <c r="AB99" s="94">
        <f t="shared" ca="1" si="953"/>
        <v>130.05067024192596</v>
      </c>
      <c r="AC99" s="94">
        <f t="shared" ca="1" si="953"/>
        <v>106.20304307499673</v>
      </c>
      <c r="AD99" s="94">
        <f t="shared" ca="1" si="953"/>
        <v>86.705427542208895</v>
      </c>
      <c r="AE99" s="94">
        <f t="shared" ca="1" si="953"/>
        <v>70.791414418607289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0</v>
      </c>
      <c r="AT99" s="163">
        <f t="shared" si="956"/>
        <v>0</v>
      </c>
      <c r="AU99" s="163">
        <f t="shared" si="956"/>
        <v>0</v>
      </c>
      <c r="AV99" s="163">
        <f t="shared" si="956"/>
        <v>0</v>
      </c>
      <c r="AW99" s="163">
        <f t="shared" si="956"/>
        <v>0</v>
      </c>
      <c r="AX99" s="163">
        <f t="shared" si="956"/>
        <v>0</v>
      </c>
      <c r="AY99" s="163">
        <f t="shared" si="956"/>
        <v>0</v>
      </c>
      <c r="AZ99" s="163">
        <f t="shared" si="956"/>
        <v>0</v>
      </c>
      <c r="BA99" s="163">
        <f t="shared" si="956"/>
        <v>0</v>
      </c>
      <c r="BB99" s="163">
        <f t="shared" si="956"/>
        <v>0</v>
      </c>
      <c r="BC99" s="163">
        <f t="shared" si="956"/>
        <v>0</v>
      </c>
      <c r="BD99" s="163">
        <f t="shared" si="956"/>
        <v>0</v>
      </c>
      <c r="BE99" s="163">
        <f t="shared" si="956"/>
        <v>0</v>
      </c>
      <c r="BF99" s="163">
        <f t="shared" si="956"/>
        <v>0</v>
      </c>
      <c r="BG99" s="163">
        <f t="shared" si="956"/>
        <v>0</v>
      </c>
      <c r="BH99" s="163">
        <f t="shared" si="956"/>
        <v>0</v>
      </c>
      <c r="BI99" s="163">
        <f t="shared" si="956"/>
        <v>0</v>
      </c>
      <c r="BJ99" s="163">
        <f t="shared" si="956"/>
        <v>0</v>
      </c>
      <c r="BK99" s="163">
        <f t="shared" si="956"/>
        <v>0</v>
      </c>
      <c r="BL99" s="163">
        <f t="shared" si="956"/>
        <v>0</v>
      </c>
      <c r="BM99" s="163">
        <f t="shared" si="956"/>
        <v>0</v>
      </c>
      <c r="BN99" s="163">
        <f t="shared" si="956"/>
        <v>0</v>
      </c>
      <c r="BO99" s="163">
        <f t="shared" si="956"/>
        <v>0</v>
      </c>
      <c r="BP99" s="163">
        <f t="shared" si="956"/>
        <v>0</v>
      </c>
      <c r="BQ99" s="163">
        <f t="shared" si="956"/>
        <v>0</v>
      </c>
      <c r="BR99" s="163">
        <f t="shared" ref="BR99:CW99" si="957">+BR98/BR65</f>
        <v>0</v>
      </c>
      <c r="BS99" s="163">
        <f t="shared" si="957"/>
        <v>0</v>
      </c>
      <c r="BT99" s="163">
        <f t="shared" si="957"/>
        <v>0</v>
      </c>
      <c r="BU99" s="163">
        <f t="shared" si="957"/>
        <v>0</v>
      </c>
      <c r="BV99" s="163">
        <f t="shared" si="957"/>
        <v>0</v>
      </c>
      <c r="BW99" s="163">
        <f t="shared" si="957"/>
        <v>21.434781513028575</v>
      </c>
      <c r="BX99" s="163">
        <f t="shared" si="957"/>
        <v>42.87460309460208</v>
      </c>
      <c r="BY99" s="163">
        <f t="shared" si="957"/>
        <v>69.889370495438726</v>
      </c>
      <c r="BZ99" s="163">
        <f t="shared" si="957"/>
        <v>104.83758379113954</v>
      </c>
      <c r="CA99" s="163">
        <f t="shared" si="957"/>
        <v>110.76382238798448</v>
      </c>
      <c r="CB99" s="163">
        <f t="shared" si="957"/>
        <v>126.09608890680913</v>
      </c>
      <c r="CC99" s="163">
        <f t="shared" si="957"/>
        <v>139.53316365102563</v>
      </c>
      <c r="CD99" s="163">
        <f t="shared" si="957"/>
        <v>150.17778841792247</v>
      </c>
      <c r="CE99" s="163">
        <f t="shared" si="957"/>
        <v>155.31072022579505</v>
      </c>
      <c r="CF99" s="163">
        <f t="shared" si="957"/>
        <v>167.60999949599312</v>
      </c>
      <c r="CG99" s="163">
        <f t="shared" si="957"/>
        <v>183.13265460410261</v>
      </c>
      <c r="CH99" s="163">
        <f t="shared" si="957"/>
        <v>191.47548006652889</v>
      </c>
      <c r="CI99" s="163">
        <f t="shared" si="957"/>
        <v>194.06380726777883</v>
      </c>
      <c r="CJ99" s="163">
        <f t="shared" si="957"/>
        <v>184.13285620684437</v>
      </c>
      <c r="CK99" s="163">
        <f t="shared" ref="CK99:CL99" si="958">+CK98/CK65</f>
        <v>166.38060077617052</v>
      </c>
      <c r="CL99" s="163">
        <f t="shared" si="958"/>
        <v>158.94927171009525</v>
      </c>
      <c r="CM99" s="50">
        <f t="shared" si="957"/>
        <v>153.60509894737467</v>
      </c>
      <c r="CN99" s="50">
        <f t="shared" si="957"/>
        <v>145.736648523859</v>
      </c>
      <c r="CO99" s="50">
        <f t="shared" si="957"/>
        <v>138.01740334456255</v>
      </c>
      <c r="CP99" s="50">
        <f t="shared" si="957"/>
        <v>130.05067024192596</v>
      </c>
      <c r="CQ99" s="50">
        <f t="shared" si="957"/>
        <v>124.70690527243026</v>
      </c>
      <c r="CR99" s="50">
        <f t="shared" si="957"/>
        <v>118.82205363565538</v>
      </c>
      <c r="CS99" s="50">
        <f t="shared" si="957"/>
        <v>113.17988733016445</v>
      </c>
      <c r="CT99" s="50">
        <f t="shared" si="957"/>
        <v>106.20304307499673</v>
      </c>
      <c r="CU99" s="50">
        <f t="shared" si="957"/>
        <v>101.72736463314082</v>
      </c>
      <c r="CV99" s="50">
        <f t="shared" si="957"/>
        <v>97.045563301189986</v>
      </c>
      <c r="CW99" s="50">
        <f t="shared" si="957"/>
        <v>92.484227161468468</v>
      </c>
      <c r="CX99" s="50">
        <f t="shared" ref="CX99:DB99" si="959">+CX98/CX65</f>
        <v>86.705427542208895</v>
      </c>
      <c r="CY99" s="50">
        <f t="shared" si="959"/>
        <v>83.04804212789837</v>
      </c>
      <c r="CZ99" s="50">
        <f t="shared" si="959"/>
        <v>79.245469707218618</v>
      </c>
      <c r="DA99" s="50">
        <f t="shared" si="959"/>
        <v>75.521306096349704</v>
      </c>
      <c r="DB99" s="50">
        <f t="shared" si="959"/>
        <v>70.791414418607289</v>
      </c>
      <c r="DE99" s="164"/>
      <c r="DF99" s="163">
        <v>158.61813920669323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>
        <f t="shared" ca="1" si="960"/>
        <v>0</v>
      </c>
      <c r="P102" s="163">
        <f t="shared" ca="1" si="960"/>
        <v>0</v>
      </c>
      <c r="Q102" s="163">
        <f t="shared" ca="1" si="960"/>
        <v>0</v>
      </c>
      <c r="R102" s="163">
        <f t="shared" ca="1" si="960"/>
        <v>0</v>
      </c>
      <c r="S102" s="163">
        <f t="shared" ca="1" si="960"/>
        <v>0</v>
      </c>
      <c r="T102" s="163">
        <f t="shared" ca="1" si="960"/>
        <v>0</v>
      </c>
      <c r="U102" s="163">
        <f t="shared" ca="1" si="960"/>
        <v>0</v>
      </c>
      <c r="V102" s="163">
        <f t="shared" ca="1" si="960"/>
        <v>0</v>
      </c>
      <c r="W102" s="163">
        <f t="shared" ca="1" si="960"/>
        <v>0</v>
      </c>
      <c r="X102" s="163">
        <f t="shared" ca="1" si="960"/>
        <v>0</v>
      </c>
      <c r="Y102" s="163">
        <f t="shared" ca="1" si="960"/>
        <v>4.7956492607001939</v>
      </c>
      <c r="Z102" s="163">
        <f ca="1">+Z77/Z$99</f>
        <v>2.3875119667602425</v>
      </c>
      <c r="AA102" s="163">
        <f ca="1">+AA77/AA$99</f>
        <v>2.3875119667602425</v>
      </c>
      <c r="AB102" s="50">
        <f t="shared" ref="AB102:AE102" ca="1" si="961">+AB77/AB$99</f>
        <v>2.0914924889968938</v>
      </c>
      <c r="AC102" s="50">
        <f t="shared" ca="1" si="961"/>
        <v>2.5611318859095542</v>
      </c>
      <c r="AD102" s="50">
        <f t="shared" ca="1" si="961"/>
        <v>3.1370585176757042</v>
      </c>
      <c r="AE102" s="50">
        <f t="shared" ca="1" si="961"/>
        <v>3.8422738439946427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 t="e">
        <f t="shared" si="962"/>
        <v>#DIV/0!</v>
      </c>
      <c r="AT102" s="163" t="e">
        <f t="shared" si="962"/>
        <v>#DIV/0!</v>
      </c>
      <c r="AU102" s="163" t="e">
        <f t="shared" si="962"/>
        <v>#DIV/0!</v>
      </c>
      <c r="AV102" s="163" t="e">
        <f t="shared" si="962"/>
        <v>#DIV/0!</v>
      </c>
      <c r="AW102" s="163" t="e">
        <f t="shared" si="962"/>
        <v>#DIV/0!</v>
      </c>
      <c r="AX102" s="163" t="e">
        <f t="shared" si="962"/>
        <v>#DIV/0!</v>
      </c>
      <c r="AY102" s="163" t="e">
        <f t="shared" si="962"/>
        <v>#DIV/0!</v>
      </c>
      <c r="AZ102" s="163" t="e">
        <f t="shared" si="962"/>
        <v>#DIV/0!</v>
      </c>
      <c r="BA102" s="163" t="e">
        <f t="shared" si="962"/>
        <v>#DIV/0!</v>
      </c>
      <c r="BB102" s="163" t="e">
        <f t="shared" si="962"/>
        <v>#DIV/0!</v>
      </c>
      <c r="BC102" s="163" t="e">
        <f t="shared" si="962"/>
        <v>#DIV/0!</v>
      </c>
      <c r="BD102" s="163" t="e">
        <f t="shared" si="962"/>
        <v>#DIV/0!</v>
      </c>
      <c r="BE102" s="163" t="e">
        <f t="shared" si="962"/>
        <v>#DIV/0!</v>
      </c>
      <c r="BF102" s="163" t="e">
        <f t="shared" si="962"/>
        <v>#DIV/0!</v>
      </c>
      <c r="BG102" s="163" t="e">
        <f t="shared" si="962"/>
        <v>#DIV/0!</v>
      </c>
      <c r="BH102" s="163" t="e">
        <f t="shared" si="962"/>
        <v>#DIV/0!</v>
      </c>
      <c r="BI102" s="163" t="e">
        <f t="shared" si="962"/>
        <v>#DIV/0!</v>
      </c>
      <c r="BJ102" s="163" t="e">
        <f t="shared" si="962"/>
        <v>#DIV/0!</v>
      </c>
      <c r="BK102" s="163" t="e">
        <f t="shared" si="962"/>
        <v>#DIV/0!</v>
      </c>
      <c r="BL102" s="163" t="e">
        <f t="shared" si="962"/>
        <v>#DIV/0!</v>
      </c>
      <c r="BM102" s="163" t="e">
        <f t="shared" si="962"/>
        <v>#DIV/0!</v>
      </c>
      <c r="BN102" s="163" t="e">
        <f t="shared" si="962"/>
        <v>#DIV/0!</v>
      </c>
      <c r="BO102" s="163" t="e">
        <f t="shared" si="962"/>
        <v>#DIV/0!</v>
      </c>
      <c r="BP102" s="163" t="e">
        <f t="shared" si="962"/>
        <v>#DIV/0!</v>
      </c>
      <c r="BQ102" s="163" t="e">
        <f t="shared" si="962"/>
        <v>#DIV/0!</v>
      </c>
      <c r="BR102" s="163" t="e">
        <f t="shared" ref="BR102:DB102" si="963">+BR77/BR99</f>
        <v>#DIV/0!</v>
      </c>
      <c r="BS102" s="163" t="e">
        <f t="shared" si="963"/>
        <v>#DIV/0!</v>
      </c>
      <c r="BT102" s="163" t="e">
        <f t="shared" si="963"/>
        <v>#DIV/0!</v>
      </c>
      <c r="BU102" s="163" t="e">
        <f t="shared" si="963"/>
        <v>#DIV/0!</v>
      </c>
      <c r="BV102" s="163" t="e">
        <f t="shared" si="963"/>
        <v>#DIV/0!</v>
      </c>
      <c r="BW102" s="163">
        <f t="shared" si="963"/>
        <v>0</v>
      </c>
      <c r="BX102" s="163">
        <f t="shared" si="963"/>
        <v>0</v>
      </c>
      <c r="BY102" s="163">
        <f t="shared" si="963"/>
        <v>0</v>
      </c>
      <c r="BZ102" s="163">
        <f t="shared" si="963"/>
        <v>0</v>
      </c>
      <c r="CA102" s="163">
        <f t="shared" si="963"/>
        <v>0</v>
      </c>
      <c r="CB102" s="163">
        <f t="shared" si="963"/>
        <v>5.714689537536386</v>
      </c>
      <c r="CC102" s="163">
        <f t="shared" si="963"/>
        <v>4.8379179711592384</v>
      </c>
      <c r="CD102" s="163">
        <f t="shared" si="963"/>
        <v>4.7956492607001939</v>
      </c>
      <c r="CE102" s="163">
        <f t="shared" si="963"/>
        <v>4.7781634063708829</v>
      </c>
      <c r="CF102" s="163">
        <f t="shared" si="963"/>
        <v>3.9920052622874418</v>
      </c>
      <c r="CG102" s="163">
        <f t="shared" si="963"/>
        <v>3.6541817266105876</v>
      </c>
      <c r="CH102" s="163">
        <f t="shared" si="963"/>
        <v>2.3875119667602425</v>
      </c>
      <c r="CI102" s="163">
        <f t="shared" si="963"/>
        <v>2.4502250403852051</v>
      </c>
      <c r="CJ102" s="163">
        <f t="shared" si="963"/>
        <v>2.2869356869529045</v>
      </c>
      <c r="CK102" s="163">
        <f t="shared" ref="CK102:CL102" si="964">+CK77/CK99</f>
        <v>2.5020945834907913</v>
      </c>
      <c r="CL102" s="163">
        <f t="shared" si="964"/>
        <v>1.7112377872111044</v>
      </c>
      <c r="CM102" s="50">
        <f t="shared" si="963"/>
        <v>1.7707745502197658</v>
      </c>
      <c r="CN102" s="50">
        <f t="shared" si="963"/>
        <v>1.866380232803762</v>
      </c>
      <c r="CO102" s="50">
        <f t="shared" si="963"/>
        <v>1.9707659571086689</v>
      </c>
      <c r="CP102" s="50">
        <f t="shared" si="963"/>
        <v>2.0914924889968938</v>
      </c>
      <c r="CQ102" s="50">
        <f t="shared" si="963"/>
        <v>2.1811141845417339</v>
      </c>
      <c r="CR102" s="50">
        <f t="shared" si="963"/>
        <v>2.2891373417432668</v>
      </c>
      <c r="CS102" s="50">
        <f t="shared" si="963"/>
        <v>2.4032538502758092</v>
      </c>
      <c r="CT102" s="50">
        <f t="shared" si="963"/>
        <v>2.5611318859095542</v>
      </c>
      <c r="CU102" s="50">
        <f t="shared" si="963"/>
        <v>2.6738134913935205</v>
      </c>
      <c r="CV102" s="50">
        <f t="shared" si="963"/>
        <v>2.8028071634333509</v>
      </c>
      <c r="CW102" s="50">
        <f t="shared" si="963"/>
        <v>2.9410420387155796</v>
      </c>
      <c r="CX102" s="50">
        <f t="shared" si="963"/>
        <v>3.1370585176757042</v>
      </c>
      <c r="CY102" s="50">
        <f t="shared" si="963"/>
        <v>3.275212672456572</v>
      </c>
      <c r="CZ102" s="50">
        <f t="shared" si="963"/>
        <v>3.4323728662967721</v>
      </c>
      <c r="DA102" s="50">
        <f t="shared" si="963"/>
        <v>3.6016326260695726</v>
      </c>
      <c r="DB102" s="50">
        <f t="shared" si="963"/>
        <v>3.8422738439946427</v>
      </c>
      <c r="DE102" s="106"/>
      <c r="DF102" s="163">
        <v>1.7148101809816363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>
        <f t="shared" ca="1" si="960"/>
        <v>0</v>
      </c>
      <c r="P103" s="163">
        <f t="shared" ca="1" si="960"/>
        <v>0</v>
      </c>
      <c r="Q103" s="163">
        <f t="shared" ca="1" si="960"/>
        <v>0</v>
      </c>
      <c r="R103" s="163">
        <f t="shared" ca="1" si="960"/>
        <v>0</v>
      </c>
      <c r="S103" s="163">
        <f t="shared" ca="1" si="960"/>
        <v>0</v>
      </c>
      <c r="T103" s="163">
        <f t="shared" ca="1" si="960"/>
        <v>0</v>
      </c>
      <c r="U103" s="163">
        <f t="shared" ca="1" si="960"/>
        <v>0</v>
      </c>
      <c r="V103" s="163">
        <f t="shared" ca="1" si="960"/>
        <v>0</v>
      </c>
      <c r="W103" s="163">
        <f t="shared" ca="1" si="960"/>
        <v>0</v>
      </c>
      <c r="X103" s="163">
        <f t="shared" ca="1" si="960"/>
        <v>0</v>
      </c>
      <c r="Y103" s="163">
        <f t="shared" ca="1" si="960"/>
        <v>5.8790318415331866</v>
      </c>
      <c r="Z103" s="163">
        <f t="shared" ref="Z103:AA104" ca="1" si="965">+Z78/Z$99</f>
        <v>4.5569803491122158</v>
      </c>
      <c r="AA103" s="163">
        <f t="shared" ref="AA103" ca="1" si="966">+AA78/AA$99</f>
        <v>4.5569803491122158</v>
      </c>
      <c r="AB103" s="94">
        <f t="shared" ca="1" si="960"/>
        <v>3.2931321118146184</v>
      </c>
      <c r="AC103" s="94">
        <f t="shared" ca="1" si="960"/>
        <v>2.3783666419242548</v>
      </c>
      <c r="AD103" s="94">
        <f t="shared" ca="1" si="960"/>
        <v>2.254663048238962</v>
      </c>
      <c r="AE103" s="94">
        <f t="shared" ca="1" si="960"/>
        <v>2.112260453235359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 t="e">
        <f t="shared" si="967"/>
        <v>#DIV/0!</v>
      </c>
      <c r="AT103" s="163" t="e">
        <f t="shared" si="967"/>
        <v>#DIV/0!</v>
      </c>
      <c r="AU103" s="163" t="e">
        <f t="shared" si="967"/>
        <v>#DIV/0!</v>
      </c>
      <c r="AV103" s="163" t="e">
        <f t="shared" si="967"/>
        <v>#DIV/0!</v>
      </c>
      <c r="AW103" s="163" t="e">
        <f t="shared" si="967"/>
        <v>#DIV/0!</v>
      </c>
      <c r="AX103" s="163" t="e">
        <f t="shared" si="967"/>
        <v>#DIV/0!</v>
      </c>
      <c r="AY103" s="163" t="e">
        <f t="shared" si="967"/>
        <v>#DIV/0!</v>
      </c>
      <c r="AZ103" s="163" t="e">
        <f t="shared" si="967"/>
        <v>#DIV/0!</v>
      </c>
      <c r="BA103" s="163" t="e">
        <f t="shared" si="967"/>
        <v>#DIV/0!</v>
      </c>
      <c r="BB103" s="163" t="e">
        <f t="shared" si="967"/>
        <v>#DIV/0!</v>
      </c>
      <c r="BC103" s="163" t="e">
        <f t="shared" si="967"/>
        <v>#DIV/0!</v>
      </c>
      <c r="BD103" s="163" t="e">
        <f t="shared" si="967"/>
        <v>#DIV/0!</v>
      </c>
      <c r="BE103" s="163" t="e">
        <f t="shared" si="967"/>
        <v>#DIV/0!</v>
      </c>
      <c r="BF103" s="163" t="e">
        <f t="shared" si="967"/>
        <v>#DIV/0!</v>
      </c>
      <c r="BG103" s="163" t="e">
        <f t="shared" si="967"/>
        <v>#DIV/0!</v>
      </c>
      <c r="BH103" s="163" t="e">
        <f t="shared" si="967"/>
        <v>#DIV/0!</v>
      </c>
      <c r="BI103" s="163" t="e">
        <f t="shared" si="967"/>
        <v>#DIV/0!</v>
      </c>
      <c r="BJ103" s="163" t="e">
        <f t="shared" si="967"/>
        <v>#DIV/0!</v>
      </c>
      <c r="BK103" s="163" t="e">
        <f t="shared" si="967"/>
        <v>#DIV/0!</v>
      </c>
      <c r="BL103" s="163" t="e">
        <f t="shared" si="967"/>
        <v>#DIV/0!</v>
      </c>
      <c r="BM103" s="163" t="e">
        <f t="shared" si="967"/>
        <v>#DIV/0!</v>
      </c>
      <c r="BN103" s="163" t="e">
        <f t="shared" si="967"/>
        <v>#DIV/0!</v>
      </c>
      <c r="BO103" s="163" t="e">
        <f t="shared" si="967"/>
        <v>#DIV/0!</v>
      </c>
      <c r="BP103" s="163" t="e">
        <f t="shared" si="967"/>
        <v>#DIV/0!</v>
      </c>
      <c r="BQ103" s="163" t="e">
        <f t="shared" si="967"/>
        <v>#DIV/0!</v>
      </c>
      <c r="BR103" s="163" t="e">
        <f t="shared" ref="BR103:CJ103" si="968">+BR78/BR99</f>
        <v>#DIV/0!</v>
      </c>
      <c r="BS103" s="163" t="e">
        <f t="shared" si="968"/>
        <v>#DIV/0!</v>
      </c>
      <c r="BT103" s="163" t="e">
        <f t="shared" si="968"/>
        <v>#DIV/0!</v>
      </c>
      <c r="BU103" s="163" t="e">
        <f t="shared" si="968"/>
        <v>#DIV/0!</v>
      </c>
      <c r="BV103" s="163" t="e">
        <f t="shared" si="968"/>
        <v>#DIV/0!</v>
      </c>
      <c r="BW103" s="163">
        <f t="shared" si="968"/>
        <v>0</v>
      </c>
      <c r="BX103" s="163">
        <f t="shared" si="968"/>
        <v>0</v>
      </c>
      <c r="BY103" s="163">
        <f t="shared" si="968"/>
        <v>0</v>
      </c>
      <c r="BZ103" s="163">
        <f t="shared" si="968"/>
        <v>0</v>
      </c>
      <c r="CA103" s="163">
        <f t="shared" si="968"/>
        <v>0</v>
      </c>
      <c r="CB103" s="163">
        <f t="shared" si="968"/>
        <v>6.1778284065235143</v>
      </c>
      <c r="CC103" s="163">
        <f t="shared" si="968"/>
        <v>5.3607327493179922</v>
      </c>
      <c r="CD103" s="163">
        <f t="shared" si="968"/>
        <v>5.8790318415331866</v>
      </c>
      <c r="CE103" s="163">
        <f t="shared" si="968"/>
        <v>5.0192929301124121</v>
      </c>
      <c r="CF103" s="163">
        <f t="shared" si="968"/>
        <v>5.2058349897009526</v>
      </c>
      <c r="CG103" s="163">
        <f t="shared" si="968"/>
        <v>4.0579873731779106</v>
      </c>
      <c r="CH103" s="163">
        <f t="shared" si="968"/>
        <v>3.553196470710557</v>
      </c>
      <c r="CI103" s="163">
        <f t="shared" si="968"/>
        <v>2.7877428955802226</v>
      </c>
      <c r="CJ103" s="163">
        <f t="shared" si="968"/>
        <v>2.7425849487324072</v>
      </c>
      <c r="CK103" s="163">
        <f t="shared" ref="CK103:CL103" si="969">+CK78/CK99</f>
        <v>2.9781116169101298</v>
      </c>
      <c r="CL103" s="163">
        <f t="shared" si="969"/>
        <v>2.6410942024677269</v>
      </c>
      <c r="CM103" s="94">
        <f t="shared" ref="CM103:DB103" si="970">+CL103</f>
        <v>2.6410942024677269</v>
      </c>
      <c r="CN103" s="94">
        <f t="shared" si="970"/>
        <v>2.6410942024677269</v>
      </c>
      <c r="CO103" s="94">
        <f t="shared" si="970"/>
        <v>2.6410942024677269</v>
      </c>
      <c r="CP103" s="94">
        <f t="shared" si="970"/>
        <v>2.6410942024677269</v>
      </c>
      <c r="CQ103" s="94">
        <f t="shared" si="970"/>
        <v>2.6410942024677269</v>
      </c>
      <c r="CR103" s="94">
        <f t="shared" si="970"/>
        <v>2.6410942024677269</v>
      </c>
      <c r="CS103" s="94">
        <f t="shared" si="970"/>
        <v>2.6410942024677269</v>
      </c>
      <c r="CT103" s="94">
        <f t="shared" si="970"/>
        <v>2.6410942024677269</v>
      </c>
      <c r="CU103" s="94">
        <f t="shared" si="970"/>
        <v>2.6410942024677269</v>
      </c>
      <c r="CV103" s="94">
        <f t="shared" si="970"/>
        <v>2.6410942024677269</v>
      </c>
      <c r="CW103" s="94">
        <f t="shared" si="970"/>
        <v>2.6410942024677269</v>
      </c>
      <c r="CX103" s="94">
        <f t="shared" si="970"/>
        <v>2.6410942024677269</v>
      </c>
      <c r="CY103" s="94">
        <f t="shared" si="970"/>
        <v>2.6410942024677269</v>
      </c>
      <c r="CZ103" s="94">
        <f t="shared" si="970"/>
        <v>2.6410942024677269</v>
      </c>
      <c r="DA103" s="94">
        <f t="shared" si="970"/>
        <v>2.6410942024677269</v>
      </c>
      <c r="DB103" s="94">
        <f t="shared" si="970"/>
        <v>2.6410942024677269</v>
      </c>
      <c r="DE103" s="164"/>
      <c r="DF103" s="163">
        <v>3.4107070143789162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>
        <f t="shared" ca="1" si="960"/>
        <v>0</v>
      </c>
      <c r="P104" s="163">
        <f t="shared" ca="1" si="960"/>
        <v>0</v>
      </c>
      <c r="Q104" s="163">
        <f t="shared" ca="1" si="960"/>
        <v>0</v>
      </c>
      <c r="R104" s="163">
        <f t="shared" ca="1" si="960"/>
        <v>0</v>
      </c>
      <c r="S104" s="163">
        <f t="shared" ca="1" si="960"/>
        <v>0</v>
      </c>
      <c r="T104" s="163">
        <f t="shared" ca="1" si="960"/>
        <v>0</v>
      </c>
      <c r="U104" s="163">
        <f t="shared" ca="1" si="960"/>
        <v>0</v>
      </c>
      <c r="V104" s="163">
        <f t="shared" ca="1" si="960"/>
        <v>0</v>
      </c>
      <c r="W104" s="163">
        <f t="shared" ca="1" si="960"/>
        <v>0</v>
      </c>
      <c r="X104" s="163">
        <f t="shared" ca="1" si="960"/>
        <v>0</v>
      </c>
      <c r="Y104" s="163">
        <f t="shared" ca="1" si="960"/>
        <v>2.6701684997789195</v>
      </c>
      <c r="Z104" s="163">
        <f t="shared" ca="1" si="965"/>
        <v>1.9871996135891332</v>
      </c>
      <c r="AA104" s="163">
        <f t="shared" ref="AA104" ca="1" si="971">+AA79/AA$99</f>
        <v>1.9871996135891332</v>
      </c>
      <c r="AB104" s="94">
        <f t="shared" ca="1" si="960"/>
        <v>1.2688876699698637</v>
      </c>
      <c r="AC104" s="94">
        <f t="shared" ca="1" si="960"/>
        <v>1.2202815188305878</v>
      </c>
      <c r="AD104" s="94">
        <f t="shared" ca="1" si="960"/>
        <v>1.1495338981756043</v>
      </c>
      <c r="AE104" s="94">
        <f t="shared" ca="1" si="960"/>
        <v>1.0613424510176204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 t="e">
        <f t="shared" si="972"/>
        <v>#DIV/0!</v>
      </c>
      <c r="AT104" s="163" t="e">
        <f t="shared" si="972"/>
        <v>#DIV/0!</v>
      </c>
      <c r="AU104" s="163" t="e">
        <f t="shared" si="972"/>
        <v>#DIV/0!</v>
      </c>
      <c r="AV104" s="163" t="e">
        <f t="shared" si="972"/>
        <v>#DIV/0!</v>
      </c>
      <c r="AW104" s="163" t="e">
        <f t="shared" si="972"/>
        <v>#DIV/0!</v>
      </c>
      <c r="AX104" s="163" t="e">
        <f t="shared" si="972"/>
        <v>#DIV/0!</v>
      </c>
      <c r="AY104" s="163" t="e">
        <f t="shared" si="972"/>
        <v>#DIV/0!</v>
      </c>
      <c r="AZ104" s="163" t="e">
        <f t="shared" si="972"/>
        <v>#DIV/0!</v>
      </c>
      <c r="BA104" s="163" t="e">
        <f t="shared" si="972"/>
        <v>#DIV/0!</v>
      </c>
      <c r="BB104" s="163" t="e">
        <f t="shared" si="972"/>
        <v>#DIV/0!</v>
      </c>
      <c r="BC104" s="163" t="e">
        <f t="shared" si="972"/>
        <v>#DIV/0!</v>
      </c>
      <c r="BD104" s="163" t="e">
        <f t="shared" si="972"/>
        <v>#DIV/0!</v>
      </c>
      <c r="BE104" s="163" t="e">
        <f t="shared" si="972"/>
        <v>#DIV/0!</v>
      </c>
      <c r="BF104" s="163" t="e">
        <f t="shared" si="972"/>
        <v>#DIV/0!</v>
      </c>
      <c r="BG104" s="163" t="e">
        <f t="shared" si="972"/>
        <v>#DIV/0!</v>
      </c>
      <c r="BH104" s="163" t="e">
        <f t="shared" si="972"/>
        <v>#DIV/0!</v>
      </c>
      <c r="BI104" s="163" t="e">
        <f t="shared" si="972"/>
        <v>#DIV/0!</v>
      </c>
      <c r="BJ104" s="163" t="e">
        <f t="shared" si="972"/>
        <v>#DIV/0!</v>
      </c>
      <c r="BK104" s="163" t="e">
        <f t="shared" si="972"/>
        <v>#DIV/0!</v>
      </c>
      <c r="BL104" s="163" t="e">
        <f t="shared" si="972"/>
        <v>#DIV/0!</v>
      </c>
      <c r="BM104" s="163" t="e">
        <f t="shared" si="972"/>
        <v>#DIV/0!</v>
      </c>
      <c r="BN104" s="163" t="e">
        <f t="shared" si="972"/>
        <v>#DIV/0!</v>
      </c>
      <c r="BO104" s="163" t="e">
        <f t="shared" si="972"/>
        <v>#DIV/0!</v>
      </c>
      <c r="BP104" s="163" t="e">
        <f t="shared" si="972"/>
        <v>#DIV/0!</v>
      </c>
      <c r="BQ104" s="163" t="e">
        <f t="shared" si="972"/>
        <v>#DIV/0!</v>
      </c>
      <c r="BR104" s="163" t="e">
        <f t="shared" ref="BR104:CJ104" si="973">+BR79/BR99</f>
        <v>#DIV/0!</v>
      </c>
      <c r="BS104" s="163" t="e">
        <f t="shared" si="973"/>
        <v>#DIV/0!</v>
      </c>
      <c r="BT104" s="163" t="e">
        <f t="shared" si="973"/>
        <v>#DIV/0!</v>
      </c>
      <c r="BU104" s="163" t="e">
        <f t="shared" si="973"/>
        <v>#DIV/0!</v>
      </c>
      <c r="BV104" s="163" t="e">
        <f t="shared" si="973"/>
        <v>#DIV/0!</v>
      </c>
      <c r="BW104" s="163">
        <f t="shared" si="973"/>
        <v>0</v>
      </c>
      <c r="BX104" s="163">
        <f t="shared" si="973"/>
        <v>0</v>
      </c>
      <c r="BY104" s="163">
        <f t="shared" si="973"/>
        <v>0</v>
      </c>
      <c r="BZ104" s="163">
        <f t="shared" si="973"/>
        <v>0</v>
      </c>
      <c r="CA104" s="163">
        <f t="shared" si="973"/>
        <v>0</v>
      </c>
      <c r="CB104" s="163">
        <f t="shared" si="973"/>
        <v>3.1801144942438113</v>
      </c>
      <c r="CC104" s="163">
        <f t="shared" si="973"/>
        <v>4.3355284447859894</v>
      </c>
      <c r="CD104" s="163">
        <f t="shared" si="973"/>
        <v>4.234980463489757</v>
      </c>
      <c r="CE104" s="163">
        <f t="shared" si="973"/>
        <v>3.7344492328461283</v>
      </c>
      <c r="CF104" s="163">
        <f t="shared" si="973"/>
        <v>3.9499433326818125</v>
      </c>
      <c r="CG104" s="163">
        <f t="shared" si="973"/>
        <v>3.279043823714372</v>
      </c>
      <c r="CH104" s="163">
        <f t="shared" si="973"/>
        <v>1.9871996135891332</v>
      </c>
      <c r="CI104" s="163">
        <f t="shared" si="973"/>
        <v>1.8043034655959609</v>
      </c>
      <c r="CJ104" s="163">
        <f t="shared" si="973"/>
        <v>2.2445749689328793</v>
      </c>
      <c r="CK104" s="163">
        <f t="shared" ref="CK104:CL104" si="974">+CK79/CK99</f>
        <v>2.4461986439604901</v>
      </c>
      <c r="CL104" s="163">
        <f t="shared" si="974"/>
        <v>1.6668840136822871</v>
      </c>
      <c r="CM104" s="94">
        <f t="shared" ref="CM104:DB104" si="975">+CL104</f>
        <v>1.6668840136822871</v>
      </c>
      <c r="CN104" s="94">
        <f t="shared" si="975"/>
        <v>1.6668840136822871</v>
      </c>
      <c r="CO104" s="94">
        <f t="shared" si="975"/>
        <v>1.6668840136822871</v>
      </c>
      <c r="CP104" s="94">
        <f t="shared" si="975"/>
        <v>1.6668840136822871</v>
      </c>
      <c r="CQ104" s="94">
        <f t="shared" si="975"/>
        <v>1.6668840136822871</v>
      </c>
      <c r="CR104" s="94">
        <f t="shared" si="975"/>
        <v>1.6668840136822871</v>
      </c>
      <c r="CS104" s="94">
        <f t="shared" si="975"/>
        <v>1.6668840136822871</v>
      </c>
      <c r="CT104" s="94">
        <f t="shared" si="975"/>
        <v>1.6668840136822871</v>
      </c>
      <c r="CU104" s="94">
        <f t="shared" si="975"/>
        <v>1.6668840136822871</v>
      </c>
      <c r="CV104" s="94">
        <f t="shared" si="975"/>
        <v>1.6668840136822871</v>
      </c>
      <c r="CW104" s="94">
        <f t="shared" si="975"/>
        <v>1.6668840136822871</v>
      </c>
      <c r="CX104" s="94">
        <f t="shared" si="975"/>
        <v>1.6668840136822871</v>
      </c>
      <c r="CY104" s="94">
        <f t="shared" si="975"/>
        <v>1.6668840136822871</v>
      </c>
      <c r="CZ104" s="94">
        <f t="shared" si="975"/>
        <v>1.6668840136822871</v>
      </c>
      <c r="DA104" s="94">
        <f t="shared" si="975"/>
        <v>1.6668840136822871</v>
      </c>
      <c r="DB104" s="94">
        <f t="shared" si="975"/>
        <v>1.6668840136822871</v>
      </c>
      <c r="DE104" s="164"/>
      <c r="DF104" s="163">
        <v>1.670363814158399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0</v>
      </c>
      <c r="S107" s="162">
        <f t="shared" ca="1" si="976"/>
        <v>0</v>
      </c>
      <c r="T107" s="162">
        <f t="shared" ca="1" si="976"/>
        <v>0</v>
      </c>
      <c r="U107" s="162">
        <f t="shared" ca="1" si="976"/>
        <v>0</v>
      </c>
      <c r="V107" s="162">
        <f t="shared" ca="1" si="976"/>
        <v>0</v>
      </c>
      <c r="W107" s="162">
        <f t="shared" ca="1" si="976"/>
        <v>0</v>
      </c>
      <c r="X107" s="162">
        <f t="shared" ca="1" si="976"/>
        <v>0</v>
      </c>
      <c r="Y107" s="162">
        <f t="shared" ca="1" si="976"/>
        <v>7007.0475600000009</v>
      </c>
      <c r="Z107" s="162">
        <f t="shared" ca="1" si="976"/>
        <v>6924.9058199999999</v>
      </c>
      <c r="AA107" s="162">
        <f t="shared" ref="AA107" ca="1" si="977">+AA78*AA65</f>
        <v>6924.9058199999999</v>
      </c>
      <c r="AB107" s="21">
        <f t="shared" ca="1" si="976"/>
        <v>3398.9540778553878</v>
      </c>
      <c r="AC107" s="21">
        <f t="shared" ca="1" si="976"/>
        <v>2004.6534896783971</v>
      </c>
      <c r="AD107" s="21">
        <f t="shared" ca="1" si="976"/>
        <v>1551.4989275909427</v>
      </c>
      <c r="AE107" s="21">
        <f t="shared" ca="1" si="976"/>
        <v>1186.7291388754775</v>
      </c>
      <c r="AL107" s="162">
        <f t="shared" ref="AL107:BQ107" si="978">+AL78*AL65</f>
        <v>0</v>
      </c>
      <c r="AM107" s="162">
        <f t="shared" si="978"/>
        <v>0</v>
      </c>
      <c r="AN107" s="162">
        <f t="shared" si="978"/>
        <v>0</v>
      </c>
      <c r="AO107" s="162">
        <f t="shared" si="978"/>
        <v>0</v>
      </c>
      <c r="AP107" s="162">
        <f t="shared" si="978"/>
        <v>0</v>
      </c>
      <c r="AQ107" s="162">
        <f t="shared" si="978"/>
        <v>0</v>
      </c>
      <c r="AR107" s="162">
        <f t="shared" si="978"/>
        <v>0</v>
      </c>
      <c r="AS107" s="162">
        <f t="shared" si="978"/>
        <v>0</v>
      </c>
      <c r="AT107" s="162">
        <f t="shared" si="978"/>
        <v>0</v>
      </c>
      <c r="AU107" s="162">
        <f t="shared" si="978"/>
        <v>0</v>
      </c>
      <c r="AV107" s="162">
        <f t="shared" si="978"/>
        <v>0</v>
      </c>
      <c r="AW107" s="162">
        <f t="shared" si="978"/>
        <v>0</v>
      </c>
      <c r="AX107" s="162">
        <f t="shared" si="978"/>
        <v>0</v>
      </c>
      <c r="AY107" s="162">
        <f t="shared" si="978"/>
        <v>0</v>
      </c>
      <c r="AZ107" s="162">
        <f t="shared" si="978"/>
        <v>0</v>
      </c>
      <c r="BA107" s="162">
        <f t="shared" si="978"/>
        <v>0</v>
      </c>
      <c r="BB107" s="162">
        <f t="shared" si="978"/>
        <v>0</v>
      </c>
      <c r="BC107" s="162">
        <f t="shared" si="978"/>
        <v>0</v>
      </c>
      <c r="BD107" s="162">
        <f t="shared" si="978"/>
        <v>0</v>
      </c>
      <c r="BE107" s="162">
        <f t="shared" si="978"/>
        <v>0</v>
      </c>
      <c r="BF107" s="162">
        <f t="shared" si="978"/>
        <v>0</v>
      </c>
      <c r="BG107" s="162">
        <f t="shared" si="978"/>
        <v>0</v>
      </c>
      <c r="BH107" s="162">
        <f t="shared" si="978"/>
        <v>0</v>
      </c>
      <c r="BI107" s="162">
        <f t="shared" si="978"/>
        <v>0</v>
      </c>
      <c r="BJ107" s="162">
        <f t="shared" si="978"/>
        <v>0</v>
      </c>
      <c r="BK107" s="162">
        <f t="shared" si="978"/>
        <v>0</v>
      </c>
      <c r="BL107" s="162">
        <f t="shared" si="978"/>
        <v>0</v>
      </c>
      <c r="BM107" s="162">
        <f t="shared" si="978"/>
        <v>0</v>
      </c>
      <c r="BN107" s="162">
        <f t="shared" si="978"/>
        <v>0</v>
      </c>
      <c r="BO107" s="162">
        <f t="shared" si="978"/>
        <v>0</v>
      </c>
      <c r="BP107" s="162">
        <f t="shared" si="978"/>
        <v>0</v>
      </c>
      <c r="BQ107" s="162">
        <f t="shared" si="978"/>
        <v>0</v>
      </c>
      <c r="BR107" s="162">
        <f t="shared" ref="BR107:CJ107" si="979">+BR78*BR65</f>
        <v>0</v>
      </c>
      <c r="BS107" s="162">
        <f t="shared" si="979"/>
        <v>0</v>
      </c>
      <c r="BT107" s="162">
        <f t="shared" si="979"/>
        <v>0</v>
      </c>
      <c r="BU107" s="162">
        <f t="shared" si="979"/>
        <v>0</v>
      </c>
      <c r="BV107" s="162">
        <f t="shared" si="979"/>
        <v>0</v>
      </c>
      <c r="BW107" s="162">
        <f t="shared" si="979"/>
        <v>0</v>
      </c>
      <c r="BX107" s="162">
        <f t="shared" si="979"/>
        <v>0</v>
      </c>
      <c r="BY107" s="162">
        <f t="shared" si="979"/>
        <v>0</v>
      </c>
      <c r="BZ107" s="162">
        <f t="shared" si="979"/>
        <v>0</v>
      </c>
      <c r="CA107" s="162">
        <f t="shared" si="979"/>
        <v>0</v>
      </c>
      <c r="CB107" s="162">
        <f t="shared" si="979"/>
        <v>6182.4556000000002</v>
      </c>
      <c r="CC107" s="162">
        <f t="shared" si="979"/>
        <v>5936.427200000001</v>
      </c>
      <c r="CD107" s="162">
        <f t="shared" si="979"/>
        <v>7007.0475600000009</v>
      </c>
      <c r="CE107" s="162">
        <f t="shared" si="979"/>
        <v>6186.8206200000004</v>
      </c>
      <c r="CF107" s="162">
        <f t="shared" si="979"/>
        <v>6924.9058199999999</v>
      </c>
      <c r="CG107" s="162">
        <f t="shared" si="979"/>
        <v>5897.9356600000001</v>
      </c>
      <c r="CH107" s="162">
        <f t="shared" si="979"/>
        <v>5399.5297400000009</v>
      </c>
      <c r="CI107" s="162">
        <f t="shared" si="979"/>
        <v>4293.5924000000005</v>
      </c>
      <c r="CJ107" s="162">
        <f t="shared" si="979"/>
        <v>4007.8820000000005</v>
      </c>
      <c r="CK107" s="162">
        <f t="shared" ref="CK107:CL107" si="980">+CK78*CK65</f>
        <v>3932.4862000000003</v>
      </c>
      <c r="CL107" s="162">
        <f t="shared" si="980"/>
        <v>3331.7007200000003</v>
      </c>
      <c r="CM107" s="21">
        <f t="shared" ref="CM107:DB107" si="981">+CM78*CM65</f>
        <v>3398.9540778553878</v>
      </c>
      <c r="CN107" s="21">
        <f t="shared" si="981"/>
        <v>2417.019656080724</v>
      </c>
      <c r="CO107" s="21">
        <f t="shared" si="981"/>
        <v>2368.0542011687594</v>
      </c>
      <c r="CP107" s="21">
        <f t="shared" si="981"/>
        <v>2075.0942685600903</v>
      </c>
      <c r="CQ107" s="21">
        <f t="shared" si="981"/>
        <v>2004.6534896783971</v>
      </c>
      <c r="CR107" s="21">
        <f t="shared" si="981"/>
        <v>1889.7050703454593</v>
      </c>
      <c r="CS107" s="21">
        <f t="shared" si="981"/>
        <v>1791.8340304777562</v>
      </c>
      <c r="CT107" s="21">
        <f t="shared" si="981"/>
        <v>1629.6676841142905</v>
      </c>
      <c r="CU107" s="21">
        <f t="shared" si="981"/>
        <v>1551.4989275909427</v>
      </c>
      <c r="CV107" s="21">
        <f t="shared" si="981"/>
        <v>1464.0015156222128</v>
      </c>
      <c r="CW107" s="21">
        <f t="shared" si="981"/>
        <v>1377.8307428726355</v>
      </c>
      <c r="CX107" s="21">
        <f t="shared" si="981"/>
        <v>1253.3435357451099</v>
      </c>
      <c r="CY107" s="21">
        <f t="shared" si="981"/>
        <v>1186.7291388754775</v>
      </c>
      <c r="CZ107" s="21">
        <f t="shared" si="981"/>
        <v>1116.0510606270825</v>
      </c>
      <c r="DA107" s="21">
        <f t="shared" si="981"/>
        <v>1045.4067379422179</v>
      </c>
      <c r="DB107" s="21">
        <f t="shared" si="981"/>
        <v>944.7962998259577</v>
      </c>
      <c r="DE107" s="22"/>
      <c r="DF107" s="162">
        <v>4293.5924000000005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0</v>
      </c>
      <c r="S108" s="162">
        <f t="shared" ca="1" si="982"/>
        <v>0</v>
      </c>
      <c r="T108" s="162">
        <f t="shared" ca="1" si="982"/>
        <v>0</v>
      </c>
      <c r="U108" s="162">
        <f t="shared" ca="1" si="982"/>
        <v>0</v>
      </c>
      <c r="V108" s="162">
        <f t="shared" ca="1" si="982"/>
        <v>0</v>
      </c>
      <c r="W108" s="162">
        <f t="shared" ca="1" si="982"/>
        <v>0</v>
      </c>
      <c r="X108" s="162">
        <f t="shared" ca="1" si="982"/>
        <v>0</v>
      </c>
      <c r="Y108" s="162">
        <f t="shared" ca="1" si="982"/>
        <v>3182.4964000000004</v>
      </c>
      <c r="Z108" s="162">
        <f t="shared" ca="1" si="982"/>
        <v>3019.8002000000001</v>
      </c>
      <c r="AA108" s="162">
        <f t="shared" ref="AA108" ca="1" si="983">+AA79*AA65</f>
        <v>3019.8002000000001</v>
      </c>
      <c r="AB108" s="21">
        <f t="shared" ca="1" si="982"/>
        <v>1309.6622831229058</v>
      </c>
      <c r="AC108" s="21">
        <f t="shared" ca="1" si="982"/>
        <v>1028.5384776228709</v>
      </c>
      <c r="AD108" s="21">
        <f t="shared" ca="1" si="982"/>
        <v>791.0275602564717</v>
      </c>
      <c r="AE108" s="21">
        <f t="shared" ca="1" si="982"/>
        <v>596.29294816314314</v>
      </c>
      <c r="AL108" s="162">
        <f t="shared" ref="AL108:BQ108" si="984">+AL79*AL65</f>
        <v>0</v>
      </c>
      <c r="AM108" s="162">
        <f t="shared" si="984"/>
        <v>0</v>
      </c>
      <c r="AN108" s="162">
        <f t="shared" si="984"/>
        <v>0</v>
      </c>
      <c r="AO108" s="162">
        <f t="shared" si="984"/>
        <v>0</v>
      </c>
      <c r="AP108" s="162">
        <f t="shared" si="984"/>
        <v>0</v>
      </c>
      <c r="AQ108" s="162">
        <f t="shared" si="984"/>
        <v>0</v>
      </c>
      <c r="AR108" s="162">
        <f t="shared" si="984"/>
        <v>0</v>
      </c>
      <c r="AS108" s="162">
        <f t="shared" si="984"/>
        <v>0</v>
      </c>
      <c r="AT108" s="162">
        <f t="shared" si="984"/>
        <v>0</v>
      </c>
      <c r="AU108" s="162">
        <f t="shared" si="984"/>
        <v>0</v>
      </c>
      <c r="AV108" s="162">
        <f t="shared" si="984"/>
        <v>0</v>
      </c>
      <c r="AW108" s="162">
        <f t="shared" si="984"/>
        <v>0</v>
      </c>
      <c r="AX108" s="162">
        <f t="shared" si="984"/>
        <v>0</v>
      </c>
      <c r="AY108" s="162">
        <f t="shared" si="984"/>
        <v>0</v>
      </c>
      <c r="AZ108" s="162">
        <f t="shared" si="984"/>
        <v>0</v>
      </c>
      <c r="BA108" s="162">
        <f t="shared" si="984"/>
        <v>0</v>
      </c>
      <c r="BB108" s="162">
        <f t="shared" si="984"/>
        <v>0</v>
      </c>
      <c r="BC108" s="162">
        <f t="shared" si="984"/>
        <v>0</v>
      </c>
      <c r="BD108" s="162">
        <f t="shared" si="984"/>
        <v>0</v>
      </c>
      <c r="BE108" s="162">
        <f t="shared" si="984"/>
        <v>0</v>
      </c>
      <c r="BF108" s="162">
        <f t="shared" si="984"/>
        <v>0</v>
      </c>
      <c r="BG108" s="162">
        <f t="shared" si="984"/>
        <v>0</v>
      </c>
      <c r="BH108" s="162">
        <f t="shared" si="984"/>
        <v>0</v>
      </c>
      <c r="BI108" s="162">
        <f t="shared" si="984"/>
        <v>0</v>
      </c>
      <c r="BJ108" s="162">
        <f t="shared" si="984"/>
        <v>0</v>
      </c>
      <c r="BK108" s="162">
        <f t="shared" si="984"/>
        <v>0</v>
      </c>
      <c r="BL108" s="162">
        <f t="shared" si="984"/>
        <v>0</v>
      </c>
      <c r="BM108" s="162">
        <f t="shared" si="984"/>
        <v>0</v>
      </c>
      <c r="BN108" s="162">
        <f t="shared" si="984"/>
        <v>0</v>
      </c>
      <c r="BO108" s="162">
        <f t="shared" si="984"/>
        <v>0</v>
      </c>
      <c r="BP108" s="162">
        <f t="shared" si="984"/>
        <v>0</v>
      </c>
      <c r="BQ108" s="162">
        <f t="shared" si="984"/>
        <v>0</v>
      </c>
      <c r="BR108" s="162">
        <f t="shared" ref="BR108:CJ108" si="985">+BR79*BR65</f>
        <v>0</v>
      </c>
      <c r="BS108" s="162">
        <f t="shared" si="985"/>
        <v>0</v>
      </c>
      <c r="BT108" s="162">
        <f t="shared" si="985"/>
        <v>0</v>
      </c>
      <c r="BU108" s="162">
        <f t="shared" si="985"/>
        <v>0</v>
      </c>
      <c r="BV108" s="162">
        <f t="shared" si="985"/>
        <v>0</v>
      </c>
      <c r="BW108" s="162">
        <f t="shared" si="985"/>
        <v>0</v>
      </c>
      <c r="BX108" s="162">
        <f t="shared" si="985"/>
        <v>0</v>
      </c>
      <c r="BY108" s="162">
        <f t="shared" si="985"/>
        <v>0</v>
      </c>
      <c r="BZ108" s="162">
        <f t="shared" si="985"/>
        <v>0</v>
      </c>
      <c r="CA108" s="162">
        <f t="shared" si="985"/>
        <v>0</v>
      </c>
      <c r="CB108" s="162">
        <f t="shared" si="985"/>
        <v>3182.4964000000004</v>
      </c>
      <c r="CC108" s="162">
        <f t="shared" si="985"/>
        <v>4801.1251800000009</v>
      </c>
      <c r="CD108" s="162">
        <f t="shared" si="985"/>
        <v>5047.5504000000001</v>
      </c>
      <c r="CE108" s="162">
        <f t="shared" si="985"/>
        <v>4603.1120000000001</v>
      </c>
      <c r="CF108" s="162">
        <f t="shared" si="985"/>
        <v>5254.2936200000004</v>
      </c>
      <c r="CG108" s="162">
        <f t="shared" si="985"/>
        <v>4765.8082000000004</v>
      </c>
      <c r="CH108" s="162">
        <f t="shared" si="985"/>
        <v>3019.8002000000001</v>
      </c>
      <c r="CI108" s="162">
        <f t="shared" si="985"/>
        <v>2778.93046</v>
      </c>
      <c r="CJ108" s="162">
        <f t="shared" si="985"/>
        <v>3280.1141200000006</v>
      </c>
      <c r="CK108" s="162">
        <f t="shared" ref="CK108:CL108" si="986">+CK79*CK65</f>
        <v>3230.1148000000003</v>
      </c>
      <c r="CL108" s="162">
        <f t="shared" si="986"/>
        <v>2102.7491800000003</v>
      </c>
      <c r="CM108" s="21">
        <f t="shared" ref="CM108:DB108" si="987">+CM79*CM65</f>
        <v>2145.1950522338848</v>
      </c>
      <c r="CN108" s="21">
        <f t="shared" si="987"/>
        <v>1525.4629773191705</v>
      </c>
      <c r="CO108" s="21">
        <f t="shared" si="987"/>
        <v>1494.5592201040085</v>
      </c>
      <c r="CP108" s="21">
        <f t="shared" si="987"/>
        <v>1309.6622831229058</v>
      </c>
      <c r="CQ108" s="21">
        <f t="shared" si="987"/>
        <v>1265.2047215109369</v>
      </c>
      <c r="CR108" s="21">
        <f t="shared" si="987"/>
        <v>1192.6568803907321</v>
      </c>
      <c r="CS108" s="21">
        <f t="shared" si="987"/>
        <v>1130.8871519177737</v>
      </c>
      <c r="CT108" s="21">
        <f t="shared" si="987"/>
        <v>1028.5384776228709</v>
      </c>
      <c r="CU108" s="21">
        <f t="shared" si="987"/>
        <v>979.20352754935732</v>
      </c>
      <c r="CV108" s="21">
        <f t="shared" si="987"/>
        <v>923.98094703217055</v>
      </c>
      <c r="CW108" s="21">
        <f t="shared" si="987"/>
        <v>869.5956534638035</v>
      </c>
      <c r="CX108" s="21">
        <f t="shared" si="987"/>
        <v>791.0275602564717</v>
      </c>
      <c r="CY108" s="21">
        <f t="shared" si="987"/>
        <v>748.98495794439657</v>
      </c>
      <c r="CZ108" s="21">
        <f t="shared" si="987"/>
        <v>704.37762866399589</v>
      </c>
      <c r="DA108" s="21">
        <f t="shared" si="987"/>
        <v>659.79160366315045</v>
      </c>
      <c r="DB108" s="21">
        <f t="shared" si="987"/>
        <v>596.29294816314314</v>
      </c>
      <c r="DE108" s="22"/>
      <c r="DF108" s="162">
        <v>2102.7491800000003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0</v>
      </c>
      <c r="K109" s="162">
        <f t="shared" si="988"/>
        <v>0</v>
      </c>
      <c r="L109" s="162">
        <f t="shared" si="988"/>
        <v>35.945686500000008</v>
      </c>
      <c r="M109" s="162">
        <f t="shared" si="988"/>
        <v>37.423695100000003</v>
      </c>
      <c r="N109" s="162">
        <f t="shared" si="988"/>
        <v>43.347301800000004</v>
      </c>
      <c r="O109" s="162">
        <f t="shared" si="988"/>
        <v>2.2640976999999936</v>
      </c>
      <c r="P109" s="162">
        <f t="shared" si="988"/>
        <v>39.710218700000006</v>
      </c>
      <c r="Q109" s="162">
        <f t="shared" si="988"/>
        <v>90.554671899999988</v>
      </c>
      <c r="R109" s="162">
        <f t="shared" si="988"/>
        <v>97.163364700000002</v>
      </c>
      <c r="S109" s="162">
        <f t="shared" si="988"/>
        <v>137.30160549999999</v>
      </c>
      <c r="T109" s="162">
        <f t="shared" si="988"/>
        <v>100.71199999999999</v>
      </c>
      <c r="U109" s="162">
        <f t="shared" si="988"/>
        <v>195.226</v>
      </c>
      <c r="V109" s="162">
        <f t="shared" si="988"/>
        <v>199.589</v>
      </c>
      <c r="W109" s="162">
        <f t="shared" si="988"/>
        <v>171.38499999999999</v>
      </c>
      <c r="X109" s="162">
        <f t="shared" ref="X109:Y109" si="989">+X168</f>
        <v>146.87299999999999</v>
      </c>
      <c r="Y109" s="162">
        <f t="shared" si="989"/>
        <v>-403.024</v>
      </c>
      <c r="Z109" s="162">
        <f t="shared" ref="Z109:AA109" si="990">+Z168</f>
        <v>-44.025999999999982</v>
      </c>
      <c r="AA109" s="162">
        <f t="shared" ref="AA109" si="991">+AA168</f>
        <v>-39.675000000000011</v>
      </c>
      <c r="AB109" s="21">
        <f t="shared" ref="AB109:AD109" si="992">+AB168</f>
        <v>-237.55829589637949</v>
      </c>
      <c r="AC109" s="21">
        <f t="shared" si="992"/>
        <v>-404.24399572756397</v>
      </c>
      <c r="AD109" s="21">
        <f t="shared" si="992"/>
        <v>-539.77581437594063</v>
      </c>
      <c r="AE109" s="21">
        <f t="shared" ref="AE109" si="993">+AE168</f>
        <v>-648.86331634027806</v>
      </c>
      <c r="AL109" s="162">
        <f t="shared" ref="AL109:AM109" si="994">+AL168</f>
        <v>0</v>
      </c>
      <c r="AM109" s="162" t="e">
        <f t="shared" si="994"/>
        <v>#DIV/0!</v>
      </c>
      <c r="AN109" s="162">
        <f t="shared" ref="AN109:AO109" si="995">+AN168</f>
        <v>0</v>
      </c>
      <c r="AO109" s="162" t="e">
        <f t="shared" si="995"/>
        <v>#DIV/0!</v>
      </c>
      <c r="AP109" s="162">
        <f t="shared" ref="AP109:CD109" si="996">+AP168</f>
        <v>0</v>
      </c>
      <c r="AQ109" s="162" t="e">
        <f t="shared" si="996"/>
        <v>#DIV/0!</v>
      </c>
      <c r="AR109" s="162">
        <f t="shared" si="996"/>
        <v>0</v>
      </c>
      <c r="AS109" s="162" t="e">
        <f t="shared" si="996"/>
        <v>#DIV/0!</v>
      </c>
      <c r="AT109" s="162">
        <f t="shared" si="996"/>
        <v>0</v>
      </c>
      <c r="AU109" s="162" t="e">
        <f t="shared" si="996"/>
        <v>#DIV/0!</v>
      </c>
      <c r="AV109" s="162">
        <f t="shared" si="996"/>
        <v>0</v>
      </c>
      <c r="AW109" s="162" t="e">
        <f t="shared" si="996"/>
        <v>#DIV/0!</v>
      </c>
      <c r="AX109" s="162">
        <f t="shared" si="996"/>
        <v>0</v>
      </c>
      <c r="AY109" s="162" t="e">
        <f t="shared" si="996"/>
        <v>#DIV/0!</v>
      </c>
      <c r="AZ109" s="162">
        <f t="shared" si="996"/>
        <v>0</v>
      </c>
      <c r="BA109" s="162" t="e">
        <f t="shared" si="996"/>
        <v>#DIV/0!</v>
      </c>
      <c r="BB109" s="162">
        <f t="shared" si="996"/>
        <v>0</v>
      </c>
      <c r="BC109" s="162" t="e">
        <f t="shared" si="996"/>
        <v>#DIV/0!</v>
      </c>
      <c r="BD109" s="162">
        <f t="shared" si="996"/>
        <v>0</v>
      </c>
      <c r="BE109" s="162" t="e">
        <f t="shared" si="996"/>
        <v>#DIV/0!</v>
      </c>
      <c r="BF109" s="162">
        <f t="shared" si="996"/>
        <v>0</v>
      </c>
      <c r="BG109" s="162" t="e">
        <f t="shared" si="996"/>
        <v>#DIV/0!</v>
      </c>
      <c r="BH109" s="162">
        <f t="shared" si="996"/>
        <v>0</v>
      </c>
      <c r="BI109" s="162" t="e">
        <f t="shared" si="996"/>
        <v>#DIV/0!</v>
      </c>
      <c r="BJ109" s="162">
        <f t="shared" si="996"/>
        <v>0</v>
      </c>
      <c r="BK109" s="162" t="e">
        <f t="shared" si="996"/>
        <v>#DIV/0!</v>
      </c>
      <c r="BL109" s="162">
        <f t="shared" si="996"/>
        <v>0</v>
      </c>
      <c r="BM109" s="162" t="e">
        <f t="shared" si="996"/>
        <v>#DIV/0!</v>
      </c>
      <c r="BN109" s="162">
        <f t="shared" si="996"/>
        <v>0</v>
      </c>
      <c r="BO109" s="162" t="e">
        <f t="shared" si="996"/>
        <v>#DIV/0!</v>
      </c>
      <c r="BP109" s="162">
        <f t="shared" si="996"/>
        <v>0</v>
      </c>
      <c r="BQ109" s="162" t="e">
        <f t="shared" si="996"/>
        <v>#DIV/0!</v>
      </c>
      <c r="BR109" s="162">
        <f t="shared" si="996"/>
        <v>0</v>
      </c>
      <c r="BS109" s="162" t="e">
        <f t="shared" si="996"/>
        <v>#DIV/0!</v>
      </c>
      <c r="BT109" s="162">
        <f t="shared" si="996"/>
        <v>0</v>
      </c>
      <c r="BU109" s="162" t="e">
        <f t="shared" si="996"/>
        <v>#DIV/0!</v>
      </c>
      <c r="BV109" s="162">
        <f t="shared" si="996"/>
        <v>0</v>
      </c>
      <c r="BW109" s="162" t="e">
        <f t="shared" si="996"/>
        <v>#DIV/0!</v>
      </c>
      <c r="BX109" s="162">
        <f t="shared" si="996"/>
        <v>0</v>
      </c>
      <c r="BY109" s="162">
        <f t="shared" si="996"/>
        <v>-5.7179999999999733</v>
      </c>
      <c r="BZ109" s="162">
        <f t="shared" si="996"/>
        <v>146.87299999999999</v>
      </c>
      <c r="CA109" s="162">
        <f t="shared" si="996"/>
        <v>76.043921673042206</v>
      </c>
      <c r="CB109" s="162">
        <f t="shared" si="996"/>
        <v>-319.30199999999996</v>
      </c>
      <c r="CC109" s="162">
        <f t="shared" si="996"/>
        <v>-291.21972118778223</v>
      </c>
      <c r="CD109" s="162">
        <f t="shared" si="996"/>
        <v>-403.024</v>
      </c>
      <c r="CE109" s="162">
        <f t="shared" ref="CE109:CF109" si="997">+CE168</f>
        <v>-524.18771718949938</v>
      </c>
      <c r="CF109" s="162">
        <f t="shared" si="997"/>
        <v>-170.54300000000001</v>
      </c>
      <c r="CG109" s="162">
        <f t="shared" ref="CG109:CH109" si="998">+CG168</f>
        <v>-97.988198675054605</v>
      </c>
      <c r="CH109" s="162">
        <f t="shared" si="998"/>
        <v>-44.025999999999982</v>
      </c>
      <c r="CI109" s="162">
        <f t="shared" ref="CI109:CJ109" si="999">+CI168</f>
        <v>-242.75059895106929</v>
      </c>
      <c r="CJ109" s="162">
        <f t="shared" si="999"/>
        <v>-149.72800000000001</v>
      </c>
      <c r="CK109" s="162">
        <f t="shared" ref="CK109:CL109" si="1000">+CK168</f>
        <v>-183.96638626808391</v>
      </c>
      <c r="CL109" s="162">
        <f t="shared" si="1000"/>
        <v>-39.675000000000011</v>
      </c>
      <c r="CM109" s="21">
        <f t="shared" ref="CM109:DB109" si="1001">+CM168</f>
        <v>-292.3412816110889</v>
      </c>
      <c r="CN109" s="21">
        <f t="shared" si="1001"/>
        <v>-292.31637780771683</v>
      </c>
      <c r="CO109" s="21">
        <f t="shared" si="1001"/>
        <v>-323.30103242532954</v>
      </c>
      <c r="CP109" s="21">
        <f t="shared" si="1001"/>
        <v>-237.55829589637949</v>
      </c>
      <c r="CQ109" s="21">
        <f t="shared" si="1001"/>
        <v>-450.23936764045254</v>
      </c>
      <c r="CR109" s="21">
        <f t="shared" si="1001"/>
        <v>-453.22365096202998</v>
      </c>
      <c r="CS109" s="21">
        <f t="shared" si="1001"/>
        <v>-476.82297877223164</v>
      </c>
      <c r="CT109" s="21">
        <f t="shared" si="1001"/>
        <v>-404.24399572756397</v>
      </c>
      <c r="CU109" s="21">
        <f t="shared" si="1001"/>
        <v>-578.83847933102584</v>
      </c>
      <c r="CV109" s="21">
        <f t="shared" si="1001"/>
        <v>-581.15228406264293</v>
      </c>
      <c r="CW109" s="21">
        <f t="shared" si="1001"/>
        <v>-599.66138089879337</v>
      </c>
      <c r="CX109" s="21">
        <f t="shared" si="1001"/>
        <v>-539.77581437594063</v>
      </c>
      <c r="CY109" s="21">
        <f t="shared" si="1001"/>
        <v>-682.11327527828712</v>
      </c>
      <c r="CZ109" s="21">
        <f t="shared" si="1001"/>
        <v>-683.57629874599559</v>
      </c>
      <c r="DA109" s="21">
        <f t="shared" si="1001"/>
        <v>-698.19988029234105</v>
      </c>
      <c r="DB109" s="21">
        <f t="shared" si="1001"/>
        <v>-648.86331634027806</v>
      </c>
      <c r="DE109" s="22"/>
      <c r="DF109" s="162">
        <v>-39.675000000000011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0</v>
      </c>
      <c r="K110" s="162">
        <f t="shared" ca="1" si="1002"/>
        <v>0</v>
      </c>
      <c r="L110" s="162">
        <f t="shared" ca="1" si="1002"/>
        <v>35.945686500000008</v>
      </c>
      <c r="M110" s="162">
        <f t="shared" ca="1" si="1002"/>
        <v>37.423695100000003</v>
      </c>
      <c r="N110" s="162">
        <f t="shared" ca="1" si="1002"/>
        <v>43.347301800000004</v>
      </c>
      <c r="O110" s="162">
        <f t="shared" ca="1" si="1002"/>
        <v>2.2640976999999936</v>
      </c>
      <c r="P110" s="162">
        <f t="shared" ca="1" si="1002"/>
        <v>39.710218700000006</v>
      </c>
      <c r="Q110" s="162">
        <f t="shared" ca="1" si="1002"/>
        <v>90.554671899999988</v>
      </c>
      <c r="R110" s="162">
        <f t="shared" ca="1" si="1002"/>
        <v>97.163364700000002</v>
      </c>
      <c r="S110" s="162">
        <f t="shared" ca="1" si="1002"/>
        <v>137.30160549999999</v>
      </c>
      <c r="T110" s="162">
        <f t="shared" ca="1" si="1002"/>
        <v>100.71199999999999</v>
      </c>
      <c r="U110" s="162">
        <f t="shared" ca="1" si="1002"/>
        <v>195.226</v>
      </c>
      <c r="V110" s="162">
        <f t="shared" ca="1" si="1002"/>
        <v>199.589</v>
      </c>
      <c r="W110" s="162">
        <f t="shared" ca="1" si="1002"/>
        <v>171.38499999999999</v>
      </c>
      <c r="X110" s="162">
        <f t="shared" ref="X110:Y110" ca="1" si="1003">+X107+X109</f>
        <v>146.87299999999999</v>
      </c>
      <c r="Y110" s="162">
        <f t="shared" ca="1" si="1003"/>
        <v>6604.0235600000005</v>
      </c>
      <c r="Z110" s="162">
        <f t="shared" ref="Z110:AA110" ca="1" si="1004">+Z107+Z109</f>
        <v>6880.8798200000001</v>
      </c>
      <c r="AA110" s="162">
        <f t="shared" ref="AA110" ca="1" si="1005">+AA107+AA109</f>
        <v>6880.8798200000001</v>
      </c>
      <c r="AB110" s="21">
        <f t="shared" ref="AB110:AD110" ca="1" si="1006">+AB107+AB109</f>
        <v>3161.3957819590082</v>
      </c>
      <c r="AC110" s="21">
        <f t="shared" ca="1" si="1006"/>
        <v>1600.4094939508332</v>
      </c>
      <c r="AD110" s="21">
        <f t="shared" ca="1" si="1006"/>
        <v>1011.7231132150021</v>
      </c>
      <c r="AE110" s="21">
        <f t="shared" ref="AE110" ca="1" si="1007">+AE107+AE109</f>
        <v>537.86582253519941</v>
      </c>
      <c r="AL110" s="162">
        <f t="shared" ref="AL110" si="1008">+AL107+AL109</f>
        <v>0</v>
      </c>
      <c r="AM110" s="162" t="e">
        <f t="shared" ref="AM110:AO110" si="1009">+AM107+AM109</f>
        <v>#DIV/0!</v>
      </c>
      <c r="AN110" s="162">
        <f t="shared" si="1009"/>
        <v>0</v>
      </c>
      <c r="AO110" s="162" t="e">
        <f t="shared" si="1009"/>
        <v>#DIV/0!</v>
      </c>
      <c r="AP110" s="162">
        <f t="shared" ref="AP110:CD110" si="1010">+AP107+AP109</f>
        <v>0</v>
      </c>
      <c r="AQ110" s="162" t="e">
        <f t="shared" si="1010"/>
        <v>#DIV/0!</v>
      </c>
      <c r="AR110" s="162">
        <f t="shared" si="1010"/>
        <v>0</v>
      </c>
      <c r="AS110" s="162" t="e">
        <f t="shared" si="1010"/>
        <v>#DIV/0!</v>
      </c>
      <c r="AT110" s="162">
        <f t="shared" si="1010"/>
        <v>0</v>
      </c>
      <c r="AU110" s="162" t="e">
        <f t="shared" si="1010"/>
        <v>#DIV/0!</v>
      </c>
      <c r="AV110" s="162">
        <f t="shared" si="1010"/>
        <v>0</v>
      </c>
      <c r="AW110" s="162" t="e">
        <f t="shared" si="1010"/>
        <v>#DIV/0!</v>
      </c>
      <c r="AX110" s="162">
        <f t="shared" si="1010"/>
        <v>0</v>
      </c>
      <c r="AY110" s="162" t="e">
        <f t="shared" si="1010"/>
        <v>#DIV/0!</v>
      </c>
      <c r="AZ110" s="162">
        <f t="shared" si="1010"/>
        <v>0</v>
      </c>
      <c r="BA110" s="162" t="e">
        <f t="shared" si="1010"/>
        <v>#DIV/0!</v>
      </c>
      <c r="BB110" s="162">
        <f t="shared" si="1010"/>
        <v>0</v>
      </c>
      <c r="BC110" s="162" t="e">
        <f t="shared" si="1010"/>
        <v>#DIV/0!</v>
      </c>
      <c r="BD110" s="162">
        <f t="shared" si="1010"/>
        <v>0</v>
      </c>
      <c r="BE110" s="162" t="e">
        <f t="shared" si="1010"/>
        <v>#DIV/0!</v>
      </c>
      <c r="BF110" s="162">
        <f t="shared" si="1010"/>
        <v>0</v>
      </c>
      <c r="BG110" s="162" t="e">
        <f t="shared" si="1010"/>
        <v>#DIV/0!</v>
      </c>
      <c r="BH110" s="162">
        <f t="shared" si="1010"/>
        <v>0</v>
      </c>
      <c r="BI110" s="162" t="e">
        <f t="shared" si="1010"/>
        <v>#DIV/0!</v>
      </c>
      <c r="BJ110" s="162">
        <f t="shared" si="1010"/>
        <v>0</v>
      </c>
      <c r="BK110" s="162" t="e">
        <f t="shared" si="1010"/>
        <v>#DIV/0!</v>
      </c>
      <c r="BL110" s="162">
        <f t="shared" si="1010"/>
        <v>0</v>
      </c>
      <c r="BM110" s="162" t="e">
        <f t="shared" si="1010"/>
        <v>#DIV/0!</v>
      </c>
      <c r="BN110" s="162">
        <f t="shared" si="1010"/>
        <v>0</v>
      </c>
      <c r="BO110" s="162" t="e">
        <f t="shared" si="1010"/>
        <v>#DIV/0!</v>
      </c>
      <c r="BP110" s="162">
        <f t="shared" si="1010"/>
        <v>0</v>
      </c>
      <c r="BQ110" s="162" t="e">
        <f t="shared" si="1010"/>
        <v>#DIV/0!</v>
      </c>
      <c r="BR110" s="162">
        <f t="shared" si="1010"/>
        <v>0</v>
      </c>
      <c r="BS110" s="162" t="e">
        <f t="shared" si="1010"/>
        <v>#DIV/0!</v>
      </c>
      <c r="BT110" s="162">
        <f t="shared" si="1010"/>
        <v>0</v>
      </c>
      <c r="BU110" s="162" t="e">
        <f t="shared" si="1010"/>
        <v>#DIV/0!</v>
      </c>
      <c r="BV110" s="162">
        <f t="shared" si="1010"/>
        <v>0</v>
      </c>
      <c r="BW110" s="162" t="e">
        <f t="shared" si="1010"/>
        <v>#DIV/0!</v>
      </c>
      <c r="BX110" s="162">
        <f t="shared" si="1010"/>
        <v>0</v>
      </c>
      <c r="BY110" s="162">
        <f t="shared" si="1010"/>
        <v>-5.7179999999999733</v>
      </c>
      <c r="BZ110" s="162">
        <f t="shared" si="1010"/>
        <v>146.87299999999999</v>
      </c>
      <c r="CA110" s="162">
        <f t="shared" si="1010"/>
        <v>76.043921673042206</v>
      </c>
      <c r="CB110" s="162">
        <f t="shared" si="1010"/>
        <v>5863.1536000000006</v>
      </c>
      <c r="CC110" s="162">
        <f t="shared" si="1010"/>
        <v>5645.2074788122191</v>
      </c>
      <c r="CD110" s="162">
        <f t="shared" si="1010"/>
        <v>6604.0235600000005</v>
      </c>
      <c r="CE110" s="162">
        <f t="shared" ref="CE110:CF110" si="1011">+CE107+CE109</f>
        <v>5662.632902810501</v>
      </c>
      <c r="CF110" s="162">
        <f t="shared" si="1011"/>
        <v>6754.3628200000003</v>
      </c>
      <c r="CG110" s="162">
        <f t="shared" ref="CG110:CH110" si="1012">+CG107+CG109</f>
        <v>5799.9474613249458</v>
      </c>
      <c r="CH110" s="162">
        <f t="shared" si="1012"/>
        <v>5355.503740000001</v>
      </c>
      <c r="CI110" s="162">
        <f t="shared" ref="CI110:CJ110" si="1013">+CI107+CI109</f>
        <v>4050.8418010489313</v>
      </c>
      <c r="CJ110" s="162">
        <f t="shared" si="1013"/>
        <v>3858.1540000000005</v>
      </c>
      <c r="CK110" s="162">
        <f t="shared" ref="CK110:CL110" si="1014">+CK107+CK109</f>
        <v>3748.5198137319162</v>
      </c>
      <c r="CL110" s="162">
        <f t="shared" si="1014"/>
        <v>3292.0257200000001</v>
      </c>
      <c r="CM110" s="21">
        <f t="shared" ref="CM110:DB110" si="1015">+CM107+CM109</f>
        <v>3106.6127962442988</v>
      </c>
      <c r="CN110" s="21">
        <f t="shared" si="1015"/>
        <v>2124.7032782730071</v>
      </c>
      <c r="CO110" s="21">
        <f t="shared" si="1015"/>
        <v>2044.7531687434298</v>
      </c>
      <c r="CP110" s="21">
        <f t="shared" si="1015"/>
        <v>1837.5359726637107</v>
      </c>
      <c r="CQ110" s="21">
        <f t="shared" si="1015"/>
        <v>1554.4141220379447</v>
      </c>
      <c r="CR110" s="21">
        <f t="shared" si="1015"/>
        <v>1436.4814193834293</v>
      </c>
      <c r="CS110" s="21">
        <f t="shared" si="1015"/>
        <v>1315.0110517055246</v>
      </c>
      <c r="CT110" s="21">
        <f t="shared" si="1015"/>
        <v>1225.4236883867266</v>
      </c>
      <c r="CU110" s="21">
        <f t="shared" si="1015"/>
        <v>972.66044825991685</v>
      </c>
      <c r="CV110" s="21">
        <f t="shared" si="1015"/>
        <v>882.84923155956983</v>
      </c>
      <c r="CW110" s="21">
        <f t="shared" si="1015"/>
        <v>778.16936197384211</v>
      </c>
      <c r="CX110" s="21">
        <f t="shared" si="1015"/>
        <v>713.56772136916925</v>
      </c>
      <c r="CY110" s="21">
        <f t="shared" si="1015"/>
        <v>504.61586359719035</v>
      </c>
      <c r="CZ110" s="21">
        <f t="shared" si="1015"/>
        <v>432.47476188108692</v>
      </c>
      <c r="DA110" s="21">
        <f t="shared" si="1015"/>
        <v>347.20685764987684</v>
      </c>
      <c r="DB110" s="21">
        <f t="shared" si="1015"/>
        <v>295.93298348567964</v>
      </c>
      <c r="DE110" s="22"/>
      <c r="DF110" s="162">
        <v>4253.9174000000003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0</v>
      </c>
      <c r="K111" s="162">
        <f t="shared" ca="1" si="1016"/>
        <v>0</v>
      </c>
      <c r="L111" s="162">
        <f t="shared" ca="1" si="1016"/>
        <v>35.945686500000008</v>
      </c>
      <c r="M111" s="162">
        <f t="shared" ca="1" si="1016"/>
        <v>37.423695100000003</v>
      </c>
      <c r="N111" s="162">
        <f t="shared" ca="1" si="1016"/>
        <v>43.347301800000004</v>
      </c>
      <c r="O111" s="162">
        <f t="shared" ca="1" si="1016"/>
        <v>2.2640976999999936</v>
      </c>
      <c r="P111" s="162">
        <f t="shared" ca="1" si="1016"/>
        <v>39.710218700000006</v>
      </c>
      <c r="Q111" s="162">
        <f t="shared" ca="1" si="1016"/>
        <v>90.554671899999988</v>
      </c>
      <c r="R111" s="162">
        <f t="shared" ca="1" si="1016"/>
        <v>97.163364700000002</v>
      </c>
      <c r="S111" s="162">
        <f t="shared" ca="1" si="1016"/>
        <v>137.30160549999999</v>
      </c>
      <c r="T111" s="162">
        <f t="shared" ca="1" si="1016"/>
        <v>100.71199999999999</v>
      </c>
      <c r="U111" s="162">
        <f t="shared" ca="1" si="1016"/>
        <v>195.226</v>
      </c>
      <c r="V111" s="162">
        <f t="shared" ca="1" si="1016"/>
        <v>199.589</v>
      </c>
      <c r="W111" s="162">
        <f t="shared" ca="1" si="1016"/>
        <v>171.38499999999999</v>
      </c>
      <c r="X111" s="162">
        <f t="shared" ref="X111:Y111" ca="1" si="1017">+X108+X109</f>
        <v>146.87299999999999</v>
      </c>
      <c r="Y111" s="162">
        <f t="shared" ca="1" si="1017"/>
        <v>2779.4724000000006</v>
      </c>
      <c r="Z111" s="162">
        <f t="shared" ref="Z111:AA111" ca="1" si="1018">+Z108+Z109</f>
        <v>2975.7742000000003</v>
      </c>
      <c r="AA111" s="162">
        <f t="shared" ref="AA111" ca="1" si="1019">+AA108+AA109</f>
        <v>2975.7742000000003</v>
      </c>
      <c r="AB111" s="21">
        <f t="shared" ref="AB111:AD111" ca="1" si="1020">+AB108+AB109</f>
        <v>1072.1039872265264</v>
      </c>
      <c r="AC111" s="21">
        <f t="shared" ca="1" si="1020"/>
        <v>624.29448189530694</v>
      </c>
      <c r="AD111" s="21">
        <f t="shared" ca="1" si="1020"/>
        <v>251.25174588053108</v>
      </c>
      <c r="AE111" s="21">
        <f t="shared" ref="AE111" ca="1" si="1021">+AE108+AE109</f>
        <v>-52.570368177134924</v>
      </c>
      <c r="AL111" s="162">
        <f t="shared" ref="AL111:AM111" si="1022">+AL108+AL109</f>
        <v>0</v>
      </c>
      <c r="AM111" s="162" t="e">
        <f t="shared" si="1022"/>
        <v>#DIV/0!</v>
      </c>
      <c r="AN111" s="162">
        <f t="shared" ref="AN111:AO111" si="1023">+AN108+AN109</f>
        <v>0</v>
      </c>
      <c r="AO111" s="162" t="e">
        <f t="shared" si="1023"/>
        <v>#DIV/0!</v>
      </c>
      <c r="AP111" s="162">
        <f t="shared" ref="AP111:CD111" si="1024">+AP108+AP109</f>
        <v>0</v>
      </c>
      <c r="AQ111" s="162" t="e">
        <f t="shared" si="1024"/>
        <v>#DIV/0!</v>
      </c>
      <c r="AR111" s="162">
        <f t="shared" si="1024"/>
        <v>0</v>
      </c>
      <c r="AS111" s="162" t="e">
        <f t="shared" si="1024"/>
        <v>#DIV/0!</v>
      </c>
      <c r="AT111" s="162">
        <f t="shared" si="1024"/>
        <v>0</v>
      </c>
      <c r="AU111" s="162" t="e">
        <f t="shared" si="1024"/>
        <v>#DIV/0!</v>
      </c>
      <c r="AV111" s="162">
        <f t="shared" si="1024"/>
        <v>0</v>
      </c>
      <c r="AW111" s="162" t="e">
        <f t="shared" si="1024"/>
        <v>#DIV/0!</v>
      </c>
      <c r="AX111" s="162">
        <f t="shared" si="1024"/>
        <v>0</v>
      </c>
      <c r="AY111" s="162" t="e">
        <f t="shared" si="1024"/>
        <v>#DIV/0!</v>
      </c>
      <c r="AZ111" s="162">
        <f t="shared" si="1024"/>
        <v>0</v>
      </c>
      <c r="BA111" s="162" t="e">
        <f t="shared" si="1024"/>
        <v>#DIV/0!</v>
      </c>
      <c r="BB111" s="162">
        <f t="shared" si="1024"/>
        <v>0</v>
      </c>
      <c r="BC111" s="162" t="e">
        <f t="shared" si="1024"/>
        <v>#DIV/0!</v>
      </c>
      <c r="BD111" s="162">
        <f t="shared" si="1024"/>
        <v>0</v>
      </c>
      <c r="BE111" s="162" t="e">
        <f t="shared" si="1024"/>
        <v>#DIV/0!</v>
      </c>
      <c r="BF111" s="162">
        <f t="shared" si="1024"/>
        <v>0</v>
      </c>
      <c r="BG111" s="162" t="e">
        <f t="shared" si="1024"/>
        <v>#DIV/0!</v>
      </c>
      <c r="BH111" s="162">
        <f t="shared" si="1024"/>
        <v>0</v>
      </c>
      <c r="BI111" s="162" t="e">
        <f t="shared" si="1024"/>
        <v>#DIV/0!</v>
      </c>
      <c r="BJ111" s="162">
        <f t="shared" si="1024"/>
        <v>0</v>
      </c>
      <c r="BK111" s="162" t="e">
        <f t="shared" si="1024"/>
        <v>#DIV/0!</v>
      </c>
      <c r="BL111" s="162">
        <f t="shared" si="1024"/>
        <v>0</v>
      </c>
      <c r="BM111" s="162" t="e">
        <f t="shared" si="1024"/>
        <v>#DIV/0!</v>
      </c>
      <c r="BN111" s="162">
        <f t="shared" si="1024"/>
        <v>0</v>
      </c>
      <c r="BO111" s="162" t="e">
        <f t="shared" si="1024"/>
        <v>#DIV/0!</v>
      </c>
      <c r="BP111" s="162">
        <f t="shared" si="1024"/>
        <v>0</v>
      </c>
      <c r="BQ111" s="162" t="e">
        <f t="shared" si="1024"/>
        <v>#DIV/0!</v>
      </c>
      <c r="BR111" s="162">
        <f t="shared" si="1024"/>
        <v>0</v>
      </c>
      <c r="BS111" s="162" t="e">
        <f t="shared" si="1024"/>
        <v>#DIV/0!</v>
      </c>
      <c r="BT111" s="162">
        <f t="shared" si="1024"/>
        <v>0</v>
      </c>
      <c r="BU111" s="162" t="e">
        <f t="shared" si="1024"/>
        <v>#DIV/0!</v>
      </c>
      <c r="BV111" s="162">
        <f t="shared" si="1024"/>
        <v>0</v>
      </c>
      <c r="BW111" s="162" t="e">
        <f t="shared" si="1024"/>
        <v>#DIV/0!</v>
      </c>
      <c r="BX111" s="162">
        <f t="shared" si="1024"/>
        <v>0</v>
      </c>
      <c r="BY111" s="162">
        <f t="shared" si="1024"/>
        <v>-5.7179999999999733</v>
      </c>
      <c r="BZ111" s="162">
        <f t="shared" si="1024"/>
        <v>146.87299999999999</v>
      </c>
      <c r="CA111" s="162">
        <f t="shared" si="1024"/>
        <v>76.043921673042206</v>
      </c>
      <c r="CB111" s="162">
        <f t="shared" si="1024"/>
        <v>2863.1944000000003</v>
      </c>
      <c r="CC111" s="162">
        <f t="shared" si="1024"/>
        <v>4509.905458812219</v>
      </c>
      <c r="CD111" s="162">
        <f t="shared" si="1024"/>
        <v>4644.5263999999997</v>
      </c>
      <c r="CE111" s="162">
        <f t="shared" ref="CE111:CF111" si="1025">+CE108+CE109</f>
        <v>4078.9242828105007</v>
      </c>
      <c r="CF111" s="162">
        <f t="shared" si="1025"/>
        <v>5083.7506200000007</v>
      </c>
      <c r="CG111" s="162">
        <f t="shared" ref="CG111:CH111" si="1026">+CG108+CG109</f>
        <v>4667.8200013249461</v>
      </c>
      <c r="CH111" s="162">
        <f t="shared" si="1026"/>
        <v>2975.7742000000003</v>
      </c>
      <c r="CI111" s="162">
        <f t="shared" ref="CI111:CJ111" si="1027">+CI108+CI109</f>
        <v>2536.1798610489309</v>
      </c>
      <c r="CJ111" s="162">
        <f t="shared" si="1027"/>
        <v>3130.3861200000006</v>
      </c>
      <c r="CK111" s="162">
        <f t="shared" ref="CK111:CL111" si="1028">+CK108+CK109</f>
        <v>3046.1484137319162</v>
      </c>
      <c r="CL111" s="162">
        <f t="shared" si="1028"/>
        <v>2063.0741800000001</v>
      </c>
      <c r="CM111" s="21">
        <f t="shared" ref="CM111:DB111" si="1029">+CM108+CM109</f>
        <v>1852.8537706227958</v>
      </c>
      <c r="CN111" s="21">
        <f t="shared" si="1029"/>
        <v>1233.1465995114536</v>
      </c>
      <c r="CO111" s="21">
        <f t="shared" si="1029"/>
        <v>1171.258187678679</v>
      </c>
      <c r="CP111" s="21">
        <f t="shared" si="1029"/>
        <v>1072.1039872265264</v>
      </c>
      <c r="CQ111" s="21">
        <f t="shared" si="1029"/>
        <v>814.96535387048436</v>
      </c>
      <c r="CR111" s="21">
        <f t="shared" si="1029"/>
        <v>739.43322942870213</v>
      </c>
      <c r="CS111" s="21">
        <f t="shared" si="1029"/>
        <v>654.0641731455421</v>
      </c>
      <c r="CT111" s="21">
        <f t="shared" si="1029"/>
        <v>624.29448189530694</v>
      </c>
      <c r="CU111" s="21">
        <f t="shared" si="1029"/>
        <v>400.36504821833148</v>
      </c>
      <c r="CV111" s="21">
        <f t="shared" si="1029"/>
        <v>342.82866296952761</v>
      </c>
      <c r="CW111" s="21">
        <f t="shared" si="1029"/>
        <v>269.93427256501013</v>
      </c>
      <c r="CX111" s="21">
        <f t="shared" si="1029"/>
        <v>251.25174588053108</v>
      </c>
      <c r="CY111" s="21">
        <f t="shared" si="1029"/>
        <v>66.87168266610945</v>
      </c>
      <c r="CZ111" s="21">
        <f t="shared" si="1029"/>
        <v>20.801329918000306</v>
      </c>
      <c r="DA111" s="21">
        <f t="shared" si="1029"/>
        <v>-38.408276629190595</v>
      </c>
      <c r="DB111" s="21">
        <f t="shared" si="1029"/>
        <v>-52.570368177134924</v>
      </c>
      <c r="DE111" s="22"/>
      <c r="DF111" s="162">
        <v>2063.0741800000001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0</v>
      </c>
      <c r="K112" s="162">
        <f t="shared" si="1030"/>
        <v>0</v>
      </c>
      <c r="L112" s="162">
        <f t="shared" si="1030"/>
        <v>0</v>
      </c>
      <c r="M112" s="162">
        <f t="shared" si="1030"/>
        <v>0</v>
      </c>
      <c r="N112" s="162">
        <f t="shared" si="1030"/>
        <v>0</v>
      </c>
      <c r="O112" s="162">
        <f t="shared" si="1030"/>
        <v>42.8247748</v>
      </c>
      <c r="P112" s="162">
        <f t="shared" si="1030"/>
        <v>37.717908200000032</v>
      </c>
      <c r="Q112" s="162">
        <f t="shared" si="1030"/>
        <v>16.527628599999986</v>
      </c>
      <c r="R112" s="162">
        <f t="shared" si="1030"/>
        <v>8.0155402000000038</v>
      </c>
      <c r="S112" s="162">
        <f t="shared" si="1030"/>
        <v>3.8225943999999856</v>
      </c>
      <c r="T112" s="162">
        <f t="shared" si="1030"/>
        <v>17.593000000000004</v>
      </c>
      <c r="U112" s="162">
        <f t="shared" si="1030"/>
        <v>13.732000000000028</v>
      </c>
      <c r="V112" s="162">
        <f t="shared" si="1030"/>
        <v>45.944000000000031</v>
      </c>
      <c r="W112" s="162">
        <f t="shared" si="1030"/>
        <v>84.04000000000002</v>
      </c>
      <c r="X112" s="162">
        <f t="shared" si="1030"/>
        <v>87.223999999999961</v>
      </c>
      <c r="Y112" s="162">
        <f t="shared" si="1030"/>
        <v>107.39600000000007</v>
      </c>
      <c r="Z112" s="162">
        <f t="shared" si="1030"/>
        <v>134.56900000000007</v>
      </c>
      <c r="AA112" s="162">
        <f t="shared" ref="AA112" si="1031">+AA28</f>
        <v>123.3959999999999</v>
      </c>
      <c r="AB112" s="21">
        <f t="shared" si="1030"/>
        <v>104.27368271952753</v>
      </c>
      <c r="AC112" s="21">
        <f t="shared" si="1030"/>
        <v>85.677423745092938</v>
      </c>
      <c r="AD112" s="21">
        <f t="shared" si="1030"/>
        <v>70.042335452650491</v>
      </c>
      <c r="AE112" s="21">
        <f t="shared" si="1030"/>
        <v>57.201322372153612</v>
      </c>
      <c r="AL112" s="162">
        <f t="shared" ref="AL112:BQ112" si="1032">+SUM(AI28:AL28)</f>
        <v>0</v>
      </c>
      <c r="AM112" s="162">
        <f t="shared" si="1032"/>
        <v>0</v>
      </c>
      <c r="AN112" s="162">
        <f t="shared" si="1032"/>
        <v>0</v>
      </c>
      <c r="AO112" s="162">
        <f t="shared" si="1032"/>
        <v>0</v>
      </c>
      <c r="AP112" s="162">
        <f t="shared" si="1032"/>
        <v>0</v>
      </c>
      <c r="AQ112" s="162">
        <f t="shared" si="1032"/>
        <v>0</v>
      </c>
      <c r="AR112" s="162">
        <f t="shared" si="1032"/>
        <v>0</v>
      </c>
      <c r="AS112" s="162">
        <f t="shared" si="1032"/>
        <v>0</v>
      </c>
      <c r="AT112" s="162">
        <f t="shared" si="1032"/>
        <v>0</v>
      </c>
      <c r="AU112" s="162">
        <f t="shared" si="1032"/>
        <v>0</v>
      </c>
      <c r="AV112" s="162">
        <f t="shared" si="1032"/>
        <v>0</v>
      </c>
      <c r="AW112" s="162">
        <f t="shared" si="1032"/>
        <v>0</v>
      </c>
      <c r="AX112" s="162">
        <f t="shared" si="1032"/>
        <v>0</v>
      </c>
      <c r="AY112" s="162">
        <f t="shared" si="1032"/>
        <v>0</v>
      </c>
      <c r="AZ112" s="162">
        <f t="shared" si="1032"/>
        <v>0</v>
      </c>
      <c r="BA112" s="162">
        <f t="shared" si="1032"/>
        <v>0</v>
      </c>
      <c r="BB112" s="162">
        <f t="shared" si="1032"/>
        <v>0</v>
      </c>
      <c r="BC112" s="162">
        <f t="shared" si="1032"/>
        <v>0</v>
      </c>
      <c r="BD112" s="162">
        <f t="shared" si="1032"/>
        <v>0</v>
      </c>
      <c r="BE112" s="162">
        <f t="shared" si="1032"/>
        <v>0</v>
      </c>
      <c r="BF112" s="162">
        <f t="shared" si="1032"/>
        <v>0</v>
      </c>
      <c r="BG112" s="162">
        <f t="shared" si="1032"/>
        <v>0</v>
      </c>
      <c r="BH112" s="162">
        <f t="shared" si="1032"/>
        <v>0</v>
      </c>
      <c r="BI112" s="162">
        <f t="shared" si="1032"/>
        <v>0</v>
      </c>
      <c r="BJ112" s="162">
        <f t="shared" si="1032"/>
        <v>0</v>
      </c>
      <c r="BK112" s="162">
        <f t="shared" si="1032"/>
        <v>0</v>
      </c>
      <c r="BL112" s="162">
        <f t="shared" si="1032"/>
        <v>0</v>
      </c>
      <c r="BM112" s="162">
        <f t="shared" si="1032"/>
        <v>0</v>
      </c>
      <c r="BN112" s="162">
        <f t="shared" si="1032"/>
        <v>0</v>
      </c>
      <c r="BO112" s="162">
        <f t="shared" si="1032"/>
        <v>0</v>
      </c>
      <c r="BP112" s="162">
        <f t="shared" si="1032"/>
        <v>0</v>
      </c>
      <c r="BQ112" s="162">
        <f t="shared" si="1032"/>
        <v>0</v>
      </c>
      <c r="BR112" s="162">
        <f t="shared" ref="BR112:CW112" si="1033">+SUM(BO28:BR28)</f>
        <v>0</v>
      </c>
      <c r="BS112" s="162">
        <f t="shared" si="1033"/>
        <v>0</v>
      </c>
      <c r="BT112" s="162">
        <f t="shared" si="1033"/>
        <v>0</v>
      </c>
      <c r="BU112" s="162">
        <f t="shared" si="1033"/>
        <v>0</v>
      </c>
      <c r="BV112" s="162">
        <f t="shared" si="1033"/>
        <v>0</v>
      </c>
      <c r="BW112" s="162">
        <f t="shared" si="1033"/>
        <v>11.576000000000001</v>
      </c>
      <c r="BX112" s="162">
        <f t="shared" si="1033"/>
        <v>35.234999999999999</v>
      </c>
      <c r="BY112" s="162">
        <f t="shared" si="1033"/>
        <v>54.439999999999969</v>
      </c>
      <c r="BZ112" s="162">
        <f t="shared" si="1033"/>
        <v>86.349999999999966</v>
      </c>
      <c r="CA112" s="162">
        <f t="shared" si="1033"/>
        <v>94.756999999999977</v>
      </c>
      <c r="CB112" s="162">
        <f t="shared" si="1033"/>
        <v>93.962000000000018</v>
      </c>
      <c r="CC112" s="162">
        <f t="shared" si="1033"/>
        <v>104.19400000000002</v>
      </c>
      <c r="CD112" s="162">
        <f t="shared" si="1033"/>
        <v>108.57100000000005</v>
      </c>
      <c r="CE112" s="162">
        <f t="shared" si="1033"/>
        <v>107.59400000000005</v>
      </c>
      <c r="CF112" s="162">
        <f t="shared" si="1033"/>
        <v>116.36400000000002</v>
      </c>
      <c r="CG112" s="162">
        <f t="shared" si="1033"/>
        <v>115.06100000000001</v>
      </c>
      <c r="CH112" s="162">
        <f t="shared" si="1033"/>
        <v>136.18899999999999</v>
      </c>
      <c r="CI112" s="162">
        <f t="shared" si="1033"/>
        <v>140.09200000000001</v>
      </c>
      <c r="CJ112" s="162">
        <f t="shared" si="1033"/>
        <v>139.65100000000001</v>
      </c>
      <c r="CK112" s="162">
        <f t="shared" si="1033"/>
        <v>138.53100000000003</v>
      </c>
      <c r="CL112" s="162">
        <f t="shared" si="1033"/>
        <v>124.191</v>
      </c>
      <c r="CM112" s="21">
        <f t="shared" si="1033"/>
        <v>124.24855398784018</v>
      </c>
      <c r="CN112" s="21">
        <f t="shared" si="1033"/>
        <v>118.09956482385277</v>
      </c>
      <c r="CO112" s="21">
        <f t="shared" si="1033"/>
        <v>115.54344688852972</v>
      </c>
      <c r="CP112" s="21">
        <f t="shared" si="1033"/>
        <v>104.27368271952737</v>
      </c>
      <c r="CQ112" s="21">
        <f t="shared" si="1033"/>
        <v>100.8242006527733</v>
      </c>
      <c r="CR112" s="21">
        <f t="shared" si="1033"/>
        <v>96.267806431028177</v>
      </c>
      <c r="CS112" s="21">
        <f t="shared" si="1033"/>
        <v>91.911130091803088</v>
      </c>
      <c r="CT112" s="21">
        <f t="shared" si="1033"/>
        <v>85.677423745092895</v>
      </c>
      <c r="CU112" s="21">
        <f t="shared" si="1033"/>
        <v>82.224031884542683</v>
      </c>
      <c r="CV112" s="21">
        <f t="shared" si="1033"/>
        <v>78.467619385036059</v>
      </c>
      <c r="CW112" s="21">
        <f t="shared" si="1033"/>
        <v>74.775043754714432</v>
      </c>
      <c r="CX112" s="21">
        <f t="shared" ref="CX112:DB112" si="1034">+SUM(CU28:CX28)</f>
        <v>70.042335452650349</v>
      </c>
      <c r="CY112" s="21">
        <f t="shared" si="1034"/>
        <v>67.114213061687423</v>
      </c>
      <c r="CZ112" s="21">
        <f t="shared" si="1034"/>
        <v>64.04229639043794</v>
      </c>
      <c r="DA112" s="21">
        <f t="shared" si="1034"/>
        <v>61.0285670279481</v>
      </c>
      <c r="DB112" s="21">
        <f t="shared" si="1034"/>
        <v>57.201322372153655</v>
      </c>
      <c r="DE112" s="22"/>
      <c r="DF112" s="162">
        <v>124.19100000000014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 t="e">
        <f t="shared" ca="1" si="1035"/>
        <v>#DIV/0!</v>
      </c>
      <c r="K113" s="162" t="e">
        <f t="shared" ca="1" si="1035"/>
        <v>#DIV/0!</v>
      </c>
      <c r="L113" s="162" t="e">
        <f t="shared" ca="1" si="1035"/>
        <v>#DIV/0!</v>
      </c>
      <c r="M113" s="162" t="e">
        <f t="shared" ca="1" si="1035"/>
        <v>#DIV/0!</v>
      </c>
      <c r="N113" s="162" t="e">
        <f t="shared" ca="1" si="1035"/>
        <v>#DIV/0!</v>
      </c>
      <c r="O113" s="162">
        <f t="shared" ca="1" si="1035"/>
        <v>5.286887579850142E-2</v>
      </c>
      <c r="P113" s="162">
        <f t="shared" ca="1" si="1035"/>
        <v>1.052821341242884</v>
      </c>
      <c r="Q113" s="162">
        <f t="shared" ca="1" si="1035"/>
        <v>5.4789875844620601</v>
      </c>
      <c r="R113" s="162">
        <f t="shared" ca="1" si="1035"/>
        <v>12.121873545091814</v>
      </c>
      <c r="S113" s="162">
        <f t="shared" ca="1" si="1035"/>
        <v>35.918434218393799</v>
      </c>
      <c r="T113" s="162">
        <f t="shared" ca="1" si="1035"/>
        <v>5.7245495367475687</v>
      </c>
      <c r="U113" s="162">
        <f t="shared" ca="1" si="1035"/>
        <v>14.216865715117944</v>
      </c>
      <c r="V113" s="162">
        <f t="shared" ca="1" si="1035"/>
        <v>4.3441798711474808</v>
      </c>
      <c r="W113" s="162">
        <f t="shared" ca="1" si="1035"/>
        <v>2.0393265111851493</v>
      </c>
      <c r="X113" s="162">
        <f t="shared" ref="X113:Y113" ca="1" si="1036">+X110/X112</f>
        <v>1.6838599468036326</v>
      </c>
      <c r="Y113" s="162">
        <f t="shared" ca="1" si="1036"/>
        <v>61.492267495996089</v>
      </c>
      <c r="Z113" s="162">
        <f t="shared" ref="Z113:AA113" ca="1" si="1037">+Z110/Z112</f>
        <v>51.132726110768424</v>
      </c>
      <c r="AA113" s="162">
        <f t="shared" ref="AA113" ca="1" si="1038">+AA110/AA112</f>
        <v>51.132726110768424</v>
      </c>
      <c r="AB113" s="21">
        <f t="shared" ref="AB113:AD113" ca="1" si="1039">+AB110/AB112</f>
        <v>30.318251926159004</v>
      </c>
      <c r="AC113" s="21">
        <f t="shared" ca="1" si="1039"/>
        <v>18.679477323131984</v>
      </c>
      <c r="AD113" s="21">
        <f t="shared" ca="1" si="1039"/>
        <v>14.44445144035695</v>
      </c>
      <c r="AE113" s="21">
        <f t="shared" ref="AE113" ca="1" si="1040">+AE110/AE112</f>
        <v>9.4030312627359791</v>
      </c>
      <c r="AL113" s="162" t="e">
        <f t="shared" ref="AL113" si="1041">+AL110/AL112</f>
        <v>#DIV/0!</v>
      </c>
      <c r="AM113" s="162" t="e">
        <f t="shared" ref="AM113:AO113" si="1042">+AM110/AM112</f>
        <v>#DIV/0!</v>
      </c>
      <c r="AN113" s="162" t="e">
        <f t="shared" si="1042"/>
        <v>#DIV/0!</v>
      </c>
      <c r="AO113" s="162" t="e">
        <f t="shared" si="1042"/>
        <v>#DIV/0!</v>
      </c>
      <c r="AP113" s="162" t="e">
        <f t="shared" ref="AP113:CD113" si="1043">+AP110/AP112</f>
        <v>#DIV/0!</v>
      </c>
      <c r="AQ113" s="162" t="e">
        <f t="shared" si="1043"/>
        <v>#DIV/0!</v>
      </c>
      <c r="AR113" s="162" t="e">
        <f t="shared" si="1043"/>
        <v>#DIV/0!</v>
      </c>
      <c r="AS113" s="162" t="e">
        <f t="shared" si="1043"/>
        <v>#DIV/0!</v>
      </c>
      <c r="AT113" s="162" t="e">
        <f t="shared" si="1043"/>
        <v>#DIV/0!</v>
      </c>
      <c r="AU113" s="162" t="e">
        <f t="shared" si="1043"/>
        <v>#DIV/0!</v>
      </c>
      <c r="AV113" s="162" t="e">
        <f t="shared" si="1043"/>
        <v>#DIV/0!</v>
      </c>
      <c r="AW113" s="162" t="e">
        <f t="shared" si="1043"/>
        <v>#DIV/0!</v>
      </c>
      <c r="AX113" s="162" t="e">
        <f t="shared" si="1043"/>
        <v>#DIV/0!</v>
      </c>
      <c r="AY113" s="162" t="e">
        <f t="shared" si="1043"/>
        <v>#DIV/0!</v>
      </c>
      <c r="AZ113" s="162" t="e">
        <f t="shared" si="1043"/>
        <v>#DIV/0!</v>
      </c>
      <c r="BA113" s="162" t="e">
        <f t="shared" si="1043"/>
        <v>#DIV/0!</v>
      </c>
      <c r="BB113" s="162" t="e">
        <f t="shared" si="1043"/>
        <v>#DIV/0!</v>
      </c>
      <c r="BC113" s="162" t="e">
        <f t="shared" si="1043"/>
        <v>#DIV/0!</v>
      </c>
      <c r="BD113" s="162" t="e">
        <f t="shared" si="1043"/>
        <v>#DIV/0!</v>
      </c>
      <c r="BE113" s="162" t="e">
        <f t="shared" si="1043"/>
        <v>#DIV/0!</v>
      </c>
      <c r="BF113" s="162" t="e">
        <f t="shared" si="1043"/>
        <v>#DIV/0!</v>
      </c>
      <c r="BG113" s="162" t="e">
        <f t="shared" si="1043"/>
        <v>#DIV/0!</v>
      </c>
      <c r="BH113" s="162" t="e">
        <f t="shared" si="1043"/>
        <v>#DIV/0!</v>
      </c>
      <c r="BI113" s="162" t="e">
        <f t="shared" si="1043"/>
        <v>#DIV/0!</v>
      </c>
      <c r="BJ113" s="162" t="e">
        <f t="shared" si="1043"/>
        <v>#DIV/0!</v>
      </c>
      <c r="BK113" s="162" t="e">
        <f t="shared" si="1043"/>
        <v>#DIV/0!</v>
      </c>
      <c r="BL113" s="162" t="e">
        <f t="shared" si="1043"/>
        <v>#DIV/0!</v>
      </c>
      <c r="BM113" s="162" t="e">
        <f t="shared" si="1043"/>
        <v>#DIV/0!</v>
      </c>
      <c r="BN113" s="162" t="e">
        <f t="shared" si="1043"/>
        <v>#DIV/0!</v>
      </c>
      <c r="BO113" s="162" t="e">
        <f t="shared" si="1043"/>
        <v>#DIV/0!</v>
      </c>
      <c r="BP113" s="162" t="e">
        <f t="shared" si="1043"/>
        <v>#DIV/0!</v>
      </c>
      <c r="BQ113" s="162" t="e">
        <f t="shared" si="1043"/>
        <v>#DIV/0!</v>
      </c>
      <c r="BR113" s="162" t="e">
        <f t="shared" si="1043"/>
        <v>#DIV/0!</v>
      </c>
      <c r="BS113" s="162" t="e">
        <f t="shared" si="1043"/>
        <v>#DIV/0!</v>
      </c>
      <c r="BT113" s="162" t="e">
        <f t="shared" si="1043"/>
        <v>#DIV/0!</v>
      </c>
      <c r="BU113" s="162" t="e">
        <f t="shared" si="1043"/>
        <v>#DIV/0!</v>
      </c>
      <c r="BV113" s="162" t="e">
        <f t="shared" si="1043"/>
        <v>#DIV/0!</v>
      </c>
      <c r="BW113" s="162" t="e">
        <f t="shared" si="1043"/>
        <v>#DIV/0!</v>
      </c>
      <c r="BX113" s="162">
        <f t="shared" si="1043"/>
        <v>0</v>
      </c>
      <c r="BY113" s="162">
        <f t="shared" si="1043"/>
        <v>-0.10503306392358516</v>
      </c>
      <c r="BZ113" s="162">
        <f t="shared" si="1043"/>
        <v>1.7009033005211356</v>
      </c>
      <c r="CA113" s="162">
        <f t="shared" si="1043"/>
        <v>0.8025150825062235</v>
      </c>
      <c r="CB113" s="162">
        <f t="shared" si="1043"/>
        <v>62.399199676464946</v>
      </c>
      <c r="CC113" s="162">
        <f t="shared" si="1043"/>
        <v>54.179775023631095</v>
      </c>
      <c r="CD113" s="162">
        <f t="shared" si="1043"/>
        <v>60.826772895156139</v>
      </c>
      <c r="CE113" s="162">
        <f t="shared" ref="CE113:CF113" si="1044">+CE110/CE112</f>
        <v>52.629634578233905</v>
      </c>
      <c r="CF113" s="162">
        <f t="shared" si="1044"/>
        <v>58.045124093362205</v>
      </c>
      <c r="CG113" s="162">
        <f t="shared" ref="CG113:CH113" si="1045">+CG110/CG112</f>
        <v>50.407587812768405</v>
      </c>
      <c r="CH113" s="162">
        <f t="shared" si="1045"/>
        <v>39.324055099897947</v>
      </c>
      <c r="CI113" s="162">
        <f t="shared" ref="CI113:CJ113" si="1046">+CI110/CI112</f>
        <v>28.915582624624754</v>
      </c>
      <c r="CJ113" s="162">
        <f t="shared" si="1046"/>
        <v>27.627113303878957</v>
      </c>
      <c r="CK113" s="162">
        <f t="shared" ref="CK113:CL113" si="1047">+CK110/CK112</f>
        <v>27.059068466494253</v>
      </c>
      <c r="CL113" s="162">
        <f t="shared" si="1047"/>
        <v>26.507764008664076</v>
      </c>
      <c r="CM113" s="21">
        <f t="shared" ref="CM113:DB113" si="1048">+CM110/CM112</f>
        <v>25.003210874778738</v>
      </c>
      <c r="CN113" s="21">
        <f t="shared" si="1048"/>
        <v>17.990779910510536</v>
      </c>
      <c r="CO113" s="21">
        <f t="shared" si="1048"/>
        <v>17.696833734898881</v>
      </c>
      <c r="CP113" s="21">
        <f t="shared" si="1048"/>
        <v>17.622241055840206</v>
      </c>
      <c r="CQ113" s="21">
        <f t="shared" si="1048"/>
        <v>15.417073599136822</v>
      </c>
      <c r="CR113" s="21">
        <f t="shared" si="1048"/>
        <v>14.921721732722846</v>
      </c>
      <c r="CS113" s="21">
        <f t="shared" si="1048"/>
        <v>14.307419029578456</v>
      </c>
      <c r="CT113" s="21">
        <f t="shared" si="1048"/>
        <v>14.302760690291084</v>
      </c>
      <c r="CU113" s="21">
        <f t="shared" si="1048"/>
        <v>11.829393742521734</v>
      </c>
      <c r="CV113" s="21">
        <f t="shared" si="1048"/>
        <v>11.251128025529612</v>
      </c>
      <c r="CW113" s="21">
        <f t="shared" si="1048"/>
        <v>10.406805839211293</v>
      </c>
      <c r="CX113" s="21">
        <f t="shared" si="1048"/>
        <v>10.187663171961928</v>
      </c>
      <c r="CY113" s="21">
        <f t="shared" si="1048"/>
        <v>7.5187630246573445</v>
      </c>
      <c r="CZ113" s="21">
        <f t="shared" si="1048"/>
        <v>6.7529552538915372</v>
      </c>
      <c r="DA113" s="21">
        <f t="shared" si="1048"/>
        <v>5.6892513548757107</v>
      </c>
      <c r="DB113" s="21">
        <f t="shared" si="1048"/>
        <v>5.1735339536441147</v>
      </c>
      <c r="DE113" s="22"/>
      <c r="DF113" s="162">
        <v>34.253024776352518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 t="e">
        <f t="shared" ca="1" si="1049"/>
        <v>#DIV/0!</v>
      </c>
      <c r="K114" s="162" t="e">
        <f t="shared" ca="1" si="1049"/>
        <v>#DIV/0!</v>
      </c>
      <c r="L114" s="162" t="e">
        <f t="shared" ca="1" si="1049"/>
        <v>#DIV/0!</v>
      </c>
      <c r="M114" s="162" t="e">
        <f t="shared" ca="1" si="1049"/>
        <v>#DIV/0!</v>
      </c>
      <c r="N114" s="162" t="e">
        <f t="shared" ca="1" si="1049"/>
        <v>#DIV/0!</v>
      </c>
      <c r="O114" s="162">
        <f t="shared" ca="1" si="1049"/>
        <v>5.286887579850142E-2</v>
      </c>
      <c r="P114" s="162">
        <f t="shared" ca="1" si="1049"/>
        <v>1.052821341242884</v>
      </c>
      <c r="Q114" s="162">
        <f t="shared" ca="1" si="1049"/>
        <v>5.4789875844620601</v>
      </c>
      <c r="R114" s="162">
        <f t="shared" ca="1" si="1049"/>
        <v>12.121873545091814</v>
      </c>
      <c r="S114" s="162">
        <f t="shared" ca="1" si="1049"/>
        <v>35.918434218393799</v>
      </c>
      <c r="T114" s="162">
        <f t="shared" ca="1" si="1049"/>
        <v>5.7245495367475687</v>
      </c>
      <c r="U114" s="162">
        <f t="shared" ca="1" si="1049"/>
        <v>14.216865715117944</v>
      </c>
      <c r="V114" s="162">
        <f t="shared" ca="1" si="1049"/>
        <v>4.3441798711474808</v>
      </c>
      <c r="W114" s="162">
        <f t="shared" ca="1" si="1049"/>
        <v>2.0393265111851493</v>
      </c>
      <c r="X114" s="162">
        <f t="shared" ref="X114:Y114" ca="1" si="1050">+X111/X112</f>
        <v>1.6838599468036326</v>
      </c>
      <c r="Y114" s="162">
        <f t="shared" ca="1" si="1050"/>
        <v>25.880595180453636</v>
      </c>
      <c r="Z114" s="162">
        <f t="shared" ref="Z114:AA114" ca="1" si="1051">+Z111/Z112</f>
        <v>22.113370835779403</v>
      </c>
      <c r="AA114" s="162">
        <f t="shared" ref="AA114" ca="1" si="1052">+AA111/AA112</f>
        <v>22.113370835779403</v>
      </c>
      <c r="AB114" s="21">
        <f t="shared" ref="AB114:AD114" ca="1" si="1053">+AB111/AB112</f>
        <v>10.281635397018077</v>
      </c>
      <c r="AC114" s="21">
        <f t="shared" ca="1" si="1053"/>
        <v>7.2865692571791714</v>
      </c>
      <c r="AD114" s="21">
        <f t="shared" ca="1" si="1053"/>
        <v>3.587141180499049</v>
      </c>
      <c r="AE114" s="21">
        <f t="shared" ref="AE114" ca="1" si="1054">+AE111/AE112</f>
        <v>-0.91904113396383469</v>
      </c>
      <c r="AL114" s="162" t="e">
        <f t="shared" ref="AL114:AM114" si="1055">+AL111/AL112</f>
        <v>#DIV/0!</v>
      </c>
      <c r="AM114" s="162" t="e">
        <f t="shared" si="1055"/>
        <v>#DIV/0!</v>
      </c>
      <c r="AN114" s="162" t="e">
        <f t="shared" ref="AN114:AO114" si="1056">+AN111/AN112</f>
        <v>#DIV/0!</v>
      </c>
      <c r="AO114" s="162" t="e">
        <f t="shared" si="1056"/>
        <v>#DIV/0!</v>
      </c>
      <c r="AP114" s="162" t="e">
        <f t="shared" ref="AP114:CD114" si="1057">+AP111/AP112</f>
        <v>#DIV/0!</v>
      </c>
      <c r="AQ114" s="162" t="e">
        <f t="shared" si="1057"/>
        <v>#DIV/0!</v>
      </c>
      <c r="AR114" s="162" t="e">
        <f t="shared" si="1057"/>
        <v>#DIV/0!</v>
      </c>
      <c r="AS114" s="162" t="e">
        <f t="shared" si="1057"/>
        <v>#DIV/0!</v>
      </c>
      <c r="AT114" s="162" t="e">
        <f t="shared" si="1057"/>
        <v>#DIV/0!</v>
      </c>
      <c r="AU114" s="162" t="e">
        <f t="shared" si="1057"/>
        <v>#DIV/0!</v>
      </c>
      <c r="AV114" s="162" t="e">
        <f t="shared" si="1057"/>
        <v>#DIV/0!</v>
      </c>
      <c r="AW114" s="162" t="e">
        <f t="shared" si="1057"/>
        <v>#DIV/0!</v>
      </c>
      <c r="AX114" s="162" t="e">
        <f t="shared" si="1057"/>
        <v>#DIV/0!</v>
      </c>
      <c r="AY114" s="162" t="e">
        <f t="shared" si="1057"/>
        <v>#DIV/0!</v>
      </c>
      <c r="AZ114" s="162" t="e">
        <f t="shared" si="1057"/>
        <v>#DIV/0!</v>
      </c>
      <c r="BA114" s="162" t="e">
        <f t="shared" si="1057"/>
        <v>#DIV/0!</v>
      </c>
      <c r="BB114" s="162" t="e">
        <f t="shared" si="1057"/>
        <v>#DIV/0!</v>
      </c>
      <c r="BC114" s="162" t="e">
        <f t="shared" si="1057"/>
        <v>#DIV/0!</v>
      </c>
      <c r="BD114" s="162" t="e">
        <f t="shared" si="1057"/>
        <v>#DIV/0!</v>
      </c>
      <c r="BE114" s="162" t="e">
        <f t="shared" si="1057"/>
        <v>#DIV/0!</v>
      </c>
      <c r="BF114" s="162" t="e">
        <f t="shared" si="1057"/>
        <v>#DIV/0!</v>
      </c>
      <c r="BG114" s="162" t="e">
        <f t="shared" si="1057"/>
        <v>#DIV/0!</v>
      </c>
      <c r="BH114" s="162" t="e">
        <f t="shared" si="1057"/>
        <v>#DIV/0!</v>
      </c>
      <c r="BI114" s="162" t="e">
        <f t="shared" si="1057"/>
        <v>#DIV/0!</v>
      </c>
      <c r="BJ114" s="162" t="e">
        <f t="shared" si="1057"/>
        <v>#DIV/0!</v>
      </c>
      <c r="BK114" s="162" t="e">
        <f t="shared" si="1057"/>
        <v>#DIV/0!</v>
      </c>
      <c r="BL114" s="162" t="e">
        <f t="shared" si="1057"/>
        <v>#DIV/0!</v>
      </c>
      <c r="BM114" s="162" t="e">
        <f t="shared" si="1057"/>
        <v>#DIV/0!</v>
      </c>
      <c r="BN114" s="162" t="e">
        <f t="shared" si="1057"/>
        <v>#DIV/0!</v>
      </c>
      <c r="BO114" s="162" t="e">
        <f t="shared" si="1057"/>
        <v>#DIV/0!</v>
      </c>
      <c r="BP114" s="162" t="e">
        <f t="shared" si="1057"/>
        <v>#DIV/0!</v>
      </c>
      <c r="BQ114" s="162" t="e">
        <f t="shared" si="1057"/>
        <v>#DIV/0!</v>
      </c>
      <c r="BR114" s="162" t="e">
        <f t="shared" si="1057"/>
        <v>#DIV/0!</v>
      </c>
      <c r="BS114" s="162" t="e">
        <f t="shared" si="1057"/>
        <v>#DIV/0!</v>
      </c>
      <c r="BT114" s="162" t="e">
        <f t="shared" si="1057"/>
        <v>#DIV/0!</v>
      </c>
      <c r="BU114" s="162" t="e">
        <f t="shared" si="1057"/>
        <v>#DIV/0!</v>
      </c>
      <c r="BV114" s="162" t="e">
        <f t="shared" si="1057"/>
        <v>#DIV/0!</v>
      </c>
      <c r="BW114" s="162" t="e">
        <f t="shared" si="1057"/>
        <v>#DIV/0!</v>
      </c>
      <c r="BX114" s="162">
        <f t="shared" si="1057"/>
        <v>0</v>
      </c>
      <c r="BY114" s="162">
        <f t="shared" si="1057"/>
        <v>-0.10503306392358516</v>
      </c>
      <c r="BZ114" s="162">
        <f t="shared" si="1057"/>
        <v>1.7009033005211356</v>
      </c>
      <c r="CA114" s="162">
        <f t="shared" si="1057"/>
        <v>0.8025150825062235</v>
      </c>
      <c r="CB114" s="162">
        <f t="shared" si="1057"/>
        <v>30.471833294310464</v>
      </c>
      <c r="CC114" s="162">
        <f t="shared" si="1057"/>
        <v>43.283734752598214</v>
      </c>
      <c r="CD114" s="162">
        <f t="shared" si="1057"/>
        <v>42.778701494874298</v>
      </c>
      <c r="CE114" s="162">
        <f t="shared" ref="CE114:CF114" si="1058">+CE111/CE112</f>
        <v>37.910332200777916</v>
      </c>
      <c r="CF114" s="162">
        <f t="shared" si="1058"/>
        <v>43.688345364545732</v>
      </c>
      <c r="CG114" s="162">
        <f t="shared" ref="CG114:CH114" si="1059">+CG111/CG112</f>
        <v>40.568220346815565</v>
      </c>
      <c r="CH114" s="162">
        <f t="shared" si="1059"/>
        <v>21.850327118930313</v>
      </c>
      <c r="CI114" s="162">
        <f t="shared" ref="CI114:CJ114" si="1060">+CI111/CI112</f>
        <v>18.103673736180014</v>
      </c>
      <c r="CJ114" s="162">
        <f t="shared" si="1060"/>
        <v>22.415780194914468</v>
      </c>
      <c r="CK114" s="162">
        <f t="shared" ref="CK114:CL114" si="1061">+CK111/CK112</f>
        <v>21.988929652799126</v>
      </c>
      <c r="CL114" s="162">
        <f t="shared" si="1061"/>
        <v>16.612106996481227</v>
      </c>
      <c r="CM114" s="21">
        <f t="shared" ref="CM114:DB114" si="1062">+CM111/CM112</f>
        <v>14.912477539208455</v>
      </c>
      <c r="CN114" s="21">
        <f t="shared" si="1062"/>
        <v>10.441584618459093</v>
      </c>
      <c r="CO114" s="21">
        <f t="shared" si="1062"/>
        <v>10.136950378576188</v>
      </c>
      <c r="CP114" s="21">
        <f t="shared" si="1062"/>
        <v>10.281635397018093</v>
      </c>
      <c r="CQ114" s="21">
        <f t="shared" si="1062"/>
        <v>8.0830331269089779</v>
      </c>
      <c r="CR114" s="21">
        <f t="shared" si="1062"/>
        <v>7.6810021630489196</v>
      </c>
      <c r="CS114" s="21">
        <f t="shared" si="1062"/>
        <v>7.1162673388113795</v>
      </c>
      <c r="CT114" s="21">
        <f t="shared" si="1062"/>
        <v>7.2865692571791749</v>
      </c>
      <c r="CU114" s="21">
        <f t="shared" si="1062"/>
        <v>4.8691974723462348</v>
      </c>
      <c r="CV114" s="21">
        <f t="shared" si="1062"/>
        <v>4.3690463105206145</v>
      </c>
      <c r="CW114" s="21">
        <f t="shared" si="1062"/>
        <v>3.6099513823151894</v>
      </c>
      <c r="CX114" s="21">
        <f t="shared" si="1062"/>
        <v>3.5871411804990565</v>
      </c>
      <c r="CY114" s="21">
        <f t="shared" si="1062"/>
        <v>0.99638630351882318</v>
      </c>
      <c r="CZ114" s="21">
        <f t="shared" si="1062"/>
        <v>0.32480612174153894</v>
      </c>
      <c r="DA114" s="21">
        <f t="shared" si="1062"/>
        <v>-0.62934914745092219</v>
      </c>
      <c r="DB114" s="21">
        <f t="shared" si="1062"/>
        <v>-0.91904113396383402</v>
      </c>
      <c r="DE114" s="22"/>
      <c r="DF114" s="162">
        <v>16.612106996481209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1.367</v>
      </c>
      <c r="M117" s="23">
        <f>'Annual Raw'!N41</f>
        <v>1.367</v>
      </c>
      <c r="N117" s="23">
        <f>'Annual Raw'!O41</f>
        <v>1.367</v>
      </c>
      <c r="O117" s="23">
        <f>'Annual Raw'!P41</f>
        <v>1.367</v>
      </c>
      <c r="P117" s="23">
        <f>'Annual Raw'!Q41</f>
        <v>1.367</v>
      </c>
      <c r="Q117" s="23">
        <f>'Annual Raw'!R41</f>
        <v>1.367</v>
      </c>
      <c r="R117" s="23">
        <f>'Annual Raw'!S41</f>
        <v>1.367</v>
      </c>
      <c r="S117" s="23">
        <f>'Annual Raw'!T41</f>
        <v>1.367</v>
      </c>
      <c r="T117" s="23">
        <f>'Annual Raw'!U41</f>
        <v>1.367</v>
      </c>
      <c r="U117" s="23">
        <f>'Annual Raw'!V41</f>
        <v>1.367</v>
      </c>
      <c r="V117" s="23">
        <f>'Annual Raw'!W41</f>
        <v>1.367</v>
      </c>
      <c r="W117" s="23">
        <f>'Annual Raw'!X41</f>
        <v>1.367</v>
      </c>
      <c r="X117" s="23">
        <f>'Annual Raw'!Y41</f>
        <v>52.866</v>
      </c>
      <c r="Y117" s="23">
        <f>'Annual Raw'!Z41</f>
        <v>79.305999999999997</v>
      </c>
      <c r="Z117" s="23">
        <f>'Annual Raw'!AA41</f>
        <v>79.305999999999997</v>
      </c>
      <c r="AA117" s="23">
        <f>'Annual Raw'!AB41</f>
        <v>79.364000000000004</v>
      </c>
      <c r="AB117" s="24">
        <f>+CP117</f>
        <v>79.364000000000004</v>
      </c>
      <c r="AC117" s="24">
        <f>+CT117</f>
        <v>79.364000000000004</v>
      </c>
      <c r="AD117" s="24">
        <f>+CX117</f>
        <v>79.364000000000004</v>
      </c>
      <c r="AE117" s="24">
        <f>+DB117</f>
        <v>79.364000000000004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0</v>
      </c>
      <c r="AW117" s="23">
        <f t="shared" si="1063"/>
        <v>0</v>
      </c>
      <c r="AX117" s="23">
        <f>+'QTR Raw'!R56</f>
        <v>0</v>
      </c>
      <c r="AY117" s="23">
        <f t="shared" si="1063"/>
        <v>0</v>
      </c>
      <c r="AZ117" s="23">
        <f>+'QTR Raw'!T56</f>
        <v>0</v>
      </c>
      <c r="BA117" s="23">
        <f t="shared" si="1063"/>
        <v>0</v>
      </c>
      <c r="BB117" s="23">
        <f>+'QTR Raw'!V56</f>
        <v>0</v>
      </c>
      <c r="BC117" s="23">
        <f t="shared" si="1063"/>
        <v>0</v>
      </c>
      <c r="BD117" s="23">
        <f>+'QTR Raw'!X56</f>
        <v>0</v>
      </c>
      <c r="BE117" s="23">
        <f t="shared" si="1063"/>
        <v>0</v>
      </c>
      <c r="BF117" s="23">
        <f>+'QTR Raw'!Z56</f>
        <v>0</v>
      </c>
      <c r="BG117" s="23">
        <f t="shared" si="1063"/>
        <v>0</v>
      </c>
      <c r="BH117" s="23">
        <f>+'QTR Raw'!AB56</f>
        <v>0</v>
      </c>
      <c r="BI117" s="23">
        <f t="shared" si="1063"/>
        <v>0</v>
      </c>
      <c r="BJ117" s="23">
        <f>+'QTR Raw'!AD56</f>
        <v>0</v>
      </c>
      <c r="BK117" s="23">
        <f t="shared" si="1063"/>
        <v>0</v>
      </c>
      <c r="BL117" s="23">
        <f>+'QTR Raw'!AF56</f>
        <v>0</v>
      </c>
      <c r="BM117" s="23">
        <f t="shared" si="1063"/>
        <v>0</v>
      </c>
      <c r="BN117" s="23">
        <f>+'QTR Raw'!AH56</f>
        <v>0</v>
      </c>
      <c r="BO117" s="23">
        <f t="shared" si="1063"/>
        <v>0</v>
      </c>
      <c r="BP117" s="23">
        <f>+'QTR Raw'!AJ56</f>
        <v>0</v>
      </c>
      <c r="BQ117" s="23">
        <f t="shared" si="1063"/>
        <v>0</v>
      </c>
      <c r="BR117" s="23">
        <f>+'QTR Raw'!AL56</f>
        <v>0</v>
      </c>
      <c r="BS117" s="23">
        <f t="shared" si="1063"/>
        <v>0</v>
      </c>
      <c r="BT117" s="23">
        <f>+'QTR Raw'!AN56</f>
        <v>0</v>
      </c>
      <c r="BU117" s="23">
        <f t="shared" si="1063"/>
        <v>0</v>
      </c>
      <c r="BV117" s="23">
        <f>+'QTR Raw'!AP56</f>
        <v>0</v>
      </c>
      <c r="BW117" s="23">
        <f t="shared" si="1063"/>
        <v>0</v>
      </c>
      <c r="BX117" s="23">
        <f>+'QTR Raw'!AR56</f>
        <v>0</v>
      </c>
      <c r="BY117" s="23">
        <f t="shared" si="1063"/>
        <v>0</v>
      </c>
      <c r="BZ117" s="23">
        <f>+'QTR Raw'!AT56</f>
        <v>52.866</v>
      </c>
      <c r="CA117" s="23">
        <f t="shared" si="1063"/>
        <v>52.866</v>
      </c>
      <c r="CB117" s="23">
        <f>+'QTR Raw'!AV56</f>
        <v>79.305999999999997</v>
      </c>
      <c r="CC117" s="23">
        <f t="shared" si="1063"/>
        <v>79.305999999999997</v>
      </c>
      <c r="CD117" s="23">
        <f>+'QTR Raw'!AX56</f>
        <v>79.305999999999997</v>
      </c>
      <c r="CE117" s="23">
        <f t="shared" si="1063"/>
        <v>79.305999999999997</v>
      </c>
      <c r="CF117" s="23">
        <f>+'QTR Raw'!AZ56</f>
        <v>79.305999999999997</v>
      </c>
      <c r="CG117" s="23">
        <f t="shared" ref="CG117:CG118" si="1064">+CF117</f>
        <v>79.305999999999997</v>
      </c>
      <c r="CH117" s="23">
        <f>Z117</f>
        <v>79.305999999999997</v>
      </c>
      <c r="CI117" s="23">
        <f>CH117</f>
        <v>79.305999999999997</v>
      </c>
      <c r="CJ117" s="23">
        <f>+'QTR Raw'!BD56</f>
        <v>79.364000000000004</v>
      </c>
      <c r="CK117" s="24">
        <f t="shared" ref="CK117:DB117" si="1065">CJ117</f>
        <v>79.364000000000004</v>
      </c>
      <c r="CL117" s="23">
        <f>+'QTR Raw'!BF56</f>
        <v>79.364000000000004</v>
      </c>
      <c r="CM117" s="24">
        <f t="shared" si="1065"/>
        <v>79.364000000000004</v>
      </c>
      <c r="CN117" s="24">
        <f t="shared" si="1065"/>
        <v>79.364000000000004</v>
      </c>
      <c r="CO117" s="24">
        <f t="shared" si="1065"/>
        <v>79.364000000000004</v>
      </c>
      <c r="CP117" s="24">
        <f t="shared" si="1065"/>
        <v>79.364000000000004</v>
      </c>
      <c r="CQ117" s="24">
        <f t="shared" si="1065"/>
        <v>79.364000000000004</v>
      </c>
      <c r="CR117" s="24">
        <f t="shared" si="1065"/>
        <v>79.364000000000004</v>
      </c>
      <c r="CS117" s="24">
        <f t="shared" si="1065"/>
        <v>79.364000000000004</v>
      </c>
      <c r="CT117" s="24">
        <f t="shared" si="1065"/>
        <v>79.364000000000004</v>
      </c>
      <c r="CU117" s="24">
        <f t="shared" si="1065"/>
        <v>79.364000000000004</v>
      </c>
      <c r="CV117" s="24">
        <f t="shared" si="1065"/>
        <v>79.364000000000004</v>
      </c>
      <c r="CW117" s="24">
        <f t="shared" si="1065"/>
        <v>79.364000000000004</v>
      </c>
      <c r="CX117" s="24">
        <f t="shared" si="1065"/>
        <v>79.364000000000004</v>
      </c>
      <c r="CY117" s="24">
        <f t="shared" si="1065"/>
        <v>79.364000000000004</v>
      </c>
      <c r="CZ117" s="24">
        <f t="shared" si="1065"/>
        <v>79.364000000000004</v>
      </c>
      <c r="DA117" s="24">
        <f t="shared" si="1065"/>
        <v>79.364000000000004</v>
      </c>
      <c r="DB117" s="24">
        <f t="shared" si="1065"/>
        <v>79.364000000000004</v>
      </c>
      <c r="DE117" s="123"/>
      <c r="DF117" s="23">
        <v>79.364000000000004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4.8049999999999997</v>
      </c>
      <c r="Z118" s="23">
        <f>'Annual Raw'!AA42</f>
        <v>10.78</v>
      </c>
      <c r="AA118" s="23">
        <f>'Annual Raw'!AB42</f>
        <v>4.0259999999999998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10.78</v>
      </c>
      <c r="CI118" s="23">
        <f>CH118</f>
        <v>10.78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17.934276300000001</v>
      </c>
      <c r="M119" s="23">
        <f>'Annual Raw'!N43</f>
        <v>20.633278300000001</v>
      </c>
      <c r="N119" s="23">
        <f>'Annual Raw'!O43</f>
        <v>23.9429406</v>
      </c>
      <c r="O119" s="23">
        <f>'Annual Raw'!P43</f>
        <v>41.214049099999997</v>
      </c>
      <c r="P119" s="23">
        <f>'Annual Raw'!Q43</f>
        <v>45.681199100000001</v>
      </c>
      <c r="Q119" s="23">
        <f>'Annual Raw'!R43</f>
        <v>38.7509576</v>
      </c>
      <c r="R119" s="23">
        <f>'Annual Raw'!S43</f>
        <v>39.111430900000002</v>
      </c>
      <c r="S119" s="23">
        <f>'Annual Raw'!T43</f>
        <v>34.807433799999998</v>
      </c>
      <c r="T119" s="23">
        <f>'Annual Raw'!U43</f>
        <v>33.558</v>
      </c>
      <c r="U119" s="23">
        <f>'Annual Raw'!V43</f>
        <v>24.338999999999999</v>
      </c>
      <c r="V119" s="23">
        <f>'Annual Raw'!W43</f>
        <v>36.284999999999997</v>
      </c>
      <c r="W119" s="23">
        <f>'Annual Raw'!X43</f>
        <v>75.745000000000005</v>
      </c>
      <c r="X119" s="23">
        <f>'Annual Raw'!Y43</f>
        <v>145.006</v>
      </c>
      <c r="Y119" s="23">
        <f>'Annual Raw'!Z43</f>
        <v>824.86699999999996</v>
      </c>
      <c r="Z119" s="23">
        <f>'Annual Raw'!AA43</f>
        <v>859.34900000000005</v>
      </c>
      <c r="AA119" s="23">
        <f>'Annual Raw'!AB43</f>
        <v>928.71799999999996</v>
      </c>
      <c r="AB119" s="24">
        <f t="shared" si="1066"/>
        <v>978.38647240929276</v>
      </c>
      <c r="AC119" s="24">
        <f t="shared" si="1067"/>
        <v>1014.2316209577084</v>
      </c>
      <c r="AD119" s="24">
        <f t="shared" si="1068"/>
        <v>1041.7993795007005</v>
      </c>
      <c r="AE119" s="24">
        <f t="shared" si="1069"/>
        <v>1062.5805265071599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</v>
      </c>
      <c r="BV119" s="23">
        <f>+'QTR Raw'!AP58</f>
        <v>0</v>
      </c>
      <c r="BW119" s="23">
        <f>+BV119+BW48</f>
        <v>6.322000000000001</v>
      </c>
      <c r="BX119" s="23">
        <f>+'QTR Raw'!AR58</f>
        <v>0</v>
      </c>
      <c r="BY119" s="23">
        <f>+BX119+BY48</f>
        <v>5.7179999999999742</v>
      </c>
      <c r="BZ119" s="23">
        <f>+'QTR Raw'!AT58</f>
        <v>145.006</v>
      </c>
      <c r="CA119" s="23">
        <f>+BZ119+CA48</f>
        <v>150.36500000000001</v>
      </c>
      <c r="CB119" s="23">
        <f>+'QTR Raw'!AV58</f>
        <v>810.40800000000002</v>
      </c>
      <c r="CC119" s="23">
        <f>+CB119+CC48</f>
        <v>828.84799999999996</v>
      </c>
      <c r="CD119" s="23">
        <f>+'QTR Raw'!AX58</f>
        <v>829.67200000000003</v>
      </c>
      <c r="CE119" s="23">
        <f>+CD119+CE48</f>
        <v>840.26800000000003</v>
      </c>
      <c r="CF119" s="23">
        <f>+'QTR Raw'!AZ58</f>
        <v>858.08799999999997</v>
      </c>
      <c r="CG119" s="23">
        <f>+CF119+CG48</f>
        <v>869.07899999999995</v>
      </c>
      <c r="CH119" s="23">
        <f t="shared" si="1071"/>
        <v>859.34900000000005</v>
      </c>
      <c r="CI119" s="23">
        <f>CH119+CI48</f>
        <v>866.81200000000001</v>
      </c>
      <c r="CJ119" s="23">
        <f>+'QTR Raw'!BD58</f>
        <v>906.89700000000005</v>
      </c>
      <c r="CK119" s="24">
        <f t="shared" ref="CK119:DB119" si="1073">CJ119+CK48</f>
        <v>918.13</v>
      </c>
      <c r="CL119" s="23">
        <f>+'QTR Raw'!BF58</f>
        <v>932.74400000000003</v>
      </c>
      <c r="CM119" s="24">
        <f t="shared" si="1073"/>
        <v>941.68626269030506</v>
      </c>
      <c r="CN119" s="24">
        <f t="shared" si="1073"/>
        <v>952.23324883974203</v>
      </c>
      <c r="CO119" s="24">
        <f t="shared" si="1073"/>
        <v>962.38923539573182</v>
      </c>
      <c r="CP119" s="24">
        <f t="shared" si="1073"/>
        <v>978.38647240929276</v>
      </c>
      <c r="CQ119" s="24">
        <f t="shared" si="1073"/>
        <v>985.77936389496926</v>
      </c>
      <c r="CR119" s="24">
        <f t="shared" si="1073"/>
        <v>993.79801668751441</v>
      </c>
      <c r="CS119" s="24">
        <f t="shared" si="1073"/>
        <v>1001.8012932175013</v>
      </c>
      <c r="CT119" s="24">
        <f t="shared" si="1073"/>
        <v>1014.2316209577084</v>
      </c>
      <c r="CU119" s="24">
        <f t="shared" si="1073"/>
        <v>1019.9051614881334</v>
      </c>
      <c r="CV119" s="24">
        <f t="shared" si="1073"/>
        <v>1025.9992760694877</v>
      </c>
      <c r="CW119" s="24">
        <f t="shared" si="1073"/>
        <v>1032.107194312721</v>
      </c>
      <c r="CX119" s="24">
        <f t="shared" si="1073"/>
        <v>1041.7993795007005</v>
      </c>
      <c r="CY119" s="24">
        <f t="shared" si="1073"/>
        <v>1046.0077115260231</v>
      </c>
      <c r="CZ119" s="24">
        <f t="shared" si="1073"/>
        <v>1050.5472354146698</v>
      </c>
      <c r="DA119" s="24">
        <f t="shared" si="1073"/>
        <v>1055.1013054314058</v>
      </c>
      <c r="DB119" s="24">
        <f t="shared" si="1073"/>
        <v>1062.5805265071599</v>
      </c>
      <c r="DE119" s="123"/>
      <c r="DF119" s="23">
        <v>932.74400000000003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0</v>
      </c>
      <c r="K120" s="22">
        <f t="shared" si="1074"/>
        <v>0</v>
      </c>
      <c r="L120" s="22">
        <f t="shared" si="1074"/>
        <v>19.301276300000001</v>
      </c>
      <c r="M120" s="22">
        <f>M117+M118+M119</f>
        <v>22.000278300000002</v>
      </c>
      <c r="N120" s="22">
        <f t="shared" si="1074"/>
        <v>25.309940600000001</v>
      </c>
      <c r="O120" s="22">
        <f t="shared" si="1074"/>
        <v>42.581049099999994</v>
      </c>
      <c r="P120" s="22">
        <f t="shared" si="1074"/>
        <v>47.048199099999998</v>
      </c>
      <c r="Q120" s="22">
        <f t="shared" si="1074"/>
        <v>40.117957599999997</v>
      </c>
      <c r="R120" s="22">
        <f t="shared" si="1074"/>
        <v>40.478430899999999</v>
      </c>
      <c r="S120" s="22">
        <f t="shared" si="1074"/>
        <v>36.174433799999996</v>
      </c>
      <c r="T120" s="22">
        <f t="shared" si="1074"/>
        <v>34.924999999999997</v>
      </c>
      <c r="U120" s="22">
        <f t="shared" si="1074"/>
        <v>25.706</v>
      </c>
      <c r="V120" s="22">
        <f t="shared" si="1074"/>
        <v>37.651999999999994</v>
      </c>
      <c r="W120" s="22">
        <f t="shared" ref="W120" si="1075">W117+W118+W119</f>
        <v>77.112000000000009</v>
      </c>
      <c r="X120" s="22">
        <f t="shared" ref="X120:Y120" si="1076">X117+X118+X119</f>
        <v>197.87200000000001</v>
      </c>
      <c r="Y120" s="22">
        <f t="shared" si="1076"/>
        <v>908.97799999999995</v>
      </c>
      <c r="Z120" s="22">
        <f t="shared" ref="Z120:AA120" si="1077">Z117+Z118+Z119</f>
        <v>949.43500000000006</v>
      </c>
      <c r="AA120" s="22">
        <f t="shared" ref="AA120" si="1078">AA117+AA118+AA119</f>
        <v>1012.1079999999999</v>
      </c>
      <c r="AB120" s="21">
        <f t="shared" ref="AB120:AD120" si="1079">AB117+AB118+AB119</f>
        <v>1057.7504724092928</v>
      </c>
      <c r="AC120" s="21">
        <f t="shared" si="1079"/>
        <v>1093.5956209577084</v>
      </c>
      <c r="AD120" s="21">
        <f t="shared" si="1079"/>
        <v>1121.1633795007006</v>
      </c>
      <c r="AE120" s="21">
        <f t="shared" ref="AE120" si="1080">AE117+AE118+AE119</f>
        <v>1141.9445265071599</v>
      </c>
      <c r="AJ120" s="22">
        <f t="shared" ref="AJ120" si="1081">AJ117+AJ118+AJ119</f>
        <v>0</v>
      </c>
      <c r="AK120" s="22">
        <f t="shared" ref="AK120" si="1082">AK117+AK118+AK119</f>
        <v>0</v>
      </c>
      <c r="AL120" s="22">
        <f t="shared" ref="AL120:AM120" si="1083">AL117+AL118+AL119</f>
        <v>0</v>
      </c>
      <c r="AM120" s="22">
        <f t="shared" si="1083"/>
        <v>0</v>
      </c>
      <c r="AN120" s="22">
        <f t="shared" ref="AN120:AO120" si="1084">AN117+AN118+AN119</f>
        <v>0</v>
      </c>
      <c r="AO120" s="22">
        <f t="shared" si="1084"/>
        <v>0</v>
      </c>
      <c r="AP120" s="22">
        <f t="shared" ref="AP120:CE120" si="1085">AP117+AP118+AP119</f>
        <v>0</v>
      </c>
      <c r="AQ120" s="22">
        <f t="shared" si="1085"/>
        <v>0</v>
      </c>
      <c r="AR120" s="22">
        <f t="shared" si="1085"/>
        <v>0</v>
      </c>
      <c r="AS120" s="22">
        <f t="shared" si="1085"/>
        <v>0</v>
      </c>
      <c r="AT120" s="22">
        <f t="shared" si="1085"/>
        <v>0</v>
      </c>
      <c r="AU120" s="22">
        <f t="shared" si="1085"/>
        <v>0</v>
      </c>
      <c r="AV120" s="22">
        <f t="shared" si="1085"/>
        <v>0</v>
      </c>
      <c r="AW120" s="22">
        <f t="shared" si="1085"/>
        <v>0</v>
      </c>
      <c r="AX120" s="22">
        <f t="shared" si="1085"/>
        <v>0</v>
      </c>
      <c r="AY120" s="22">
        <f t="shared" si="1085"/>
        <v>0</v>
      </c>
      <c r="AZ120" s="22">
        <f t="shared" si="1085"/>
        <v>0</v>
      </c>
      <c r="BA120" s="22">
        <f t="shared" si="1085"/>
        <v>0</v>
      </c>
      <c r="BB120" s="22">
        <f t="shared" si="1085"/>
        <v>0</v>
      </c>
      <c r="BC120" s="22">
        <f t="shared" si="1085"/>
        <v>0</v>
      </c>
      <c r="BD120" s="22">
        <f t="shared" si="1085"/>
        <v>0</v>
      </c>
      <c r="BE120" s="22">
        <f t="shared" si="1085"/>
        <v>0</v>
      </c>
      <c r="BF120" s="22">
        <f t="shared" si="1085"/>
        <v>0</v>
      </c>
      <c r="BG120" s="22">
        <f t="shared" si="1085"/>
        <v>0</v>
      </c>
      <c r="BH120" s="22">
        <f t="shared" si="1085"/>
        <v>0</v>
      </c>
      <c r="BI120" s="22">
        <f t="shared" si="1085"/>
        <v>0</v>
      </c>
      <c r="BJ120" s="22">
        <f t="shared" si="1085"/>
        <v>0</v>
      </c>
      <c r="BK120" s="22">
        <f t="shared" si="1085"/>
        <v>0</v>
      </c>
      <c r="BL120" s="22">
        <f t="shared" si="1085"/>
        <v>0</v>
      </c>
      <c r="BM120" s="22">
        <f t="shared" si="1085"/>
        <v>0</v>
      </c>
      <c r="BN120" s="22">
        <f t="shared" si="1085"/>
        <v>0</v>
      </c>
      <c r="BO120" s="22">
        <f t="shared" si="1085"/>
        <v>0</v>
      </c>
      <c r="BP120" s="22">
        <f t="shared" si="1085"/>
        <v>0</v>
      </c>
      <c r="BQ120" s="22">
        <f t="shared" si="1085"/>
        <v>0</v>
      </c>
      <c r="BR120" s="22">
        <f t="shared" si="1085"/>
        <v>0</v>
      </c>
      <c r="BS120" s="22">
        <f t="shared" si="1085"/>
        <v>0</v>
      </c>
      <c r="BT120" s="22">
        <f t="shared" si="1085"/>
        <v>0</v>
      </c>
      <c r="BU120" s="22">
        <f t="shared" si="1085"/>
        <v>0</v>
      </c>
      <c r="BV120" s="22">
        <f t="shared" si="1085"/>
        <v>0</v>
      </c>
      <c r="BW120" s="22">
        <f t="shared" si="1085"/>
        <v>6.322000000000001</v>
      </c>
      <c r="BX120" s="22">
        <f t="shared" si="1085"/>
        <v>0</v>
      </c>
      <c r="BY120" s="22">
        <f t="shared" si="1085"/>
        <v>5.7179999999999742</v>
      </c>
      <c r="BZ120" s="22">
        <f t="shared" si="1085"/>
        <v>197.87200000000001</v>
      </c>
      <c r="CA120" s="22">
        <f t="shared" si="1085"/>
        <v>203.23099999999999</v>
      </c>
      <c r="CB120" s="22">
        <f t="shared" si="1085"/>
        <v>889.71400000000006</v>
      </c>
      <c r="CC120" s="22">
        <f t="shared" si="1085"/>
        <v>908.154</v>
      </c>
      <c r="CD120" s="22">
        <f t="shared" si="1085"/>
        <v>908.97800000000007</v>
      </c>
      <c r="CE120" s="22">
        <f t="shared" si="1085"/>
        <v>919.57400000000007</v>
      </c>
      <c r="CF120" s="22">
        <f t="shared" ref="CF120:CG120" si="1086">CF117+CF118+CF119</f>
        <v>937.39400000000001</v>
      </c>
      <c r="CG120" s="22">
        <f t="shared" si="1086"/>
        <v>948.38499999999999</v>
      </c>
      <c r="CH120" s="22">
        <f t="shared" ref="CH120:CI120" si="1087">CH117+CH118+CH119</f>
        <v>949.43500000000006</v>
      </c>
      <c r="CI120" s="22">
        <f t="shared" si="1087"/>
        <v>956.89800000000002</v>
      </c>
      <c r="CJ120" s="22">
        <f t="shared" ref="CJ120:DB120" si="1088">CJ117+CJ118+CJ119</f>
        <v>986.26100000000008</v>
      </c>
      <c r="CK120" s="21">
        <f t="shared" si="1088"/>
        <v>997.49400000000003</v>
      </c>
      <c r="CL120" s="22">
        <f t="shared" ref="CL120" si="1089">CL117+CL118+CL119</f>
        <v>1012.1080000000001</v>
      </c>
      <c r="CM120" s="21">
        <f t="shared" si="1088"/>
        <v>1021.0502626903051</v>
      </c>
      <c r="CN120" s="21">
        <f t="shared" si="1088"/>
        <v>1031.597248839742</v>
      </c>
      <c r="CO120" s="21">
        <f t="shared" si="1088"/>
        <v>1041.7532353957317</v>
      </c>
      <c r="CP120" s="21">
        <f t="shared" si="1088"/>
        <v>1057.7504724092928</v>
      </c>
      <c r="CQ120" s="21">
        <f t="shared" si="1088"/>
        <v>1065.1433638949693</v>
      </c>
      <c r="CR120" s="21">
        <f t="shared" si="1088"/>
        <v>1073.1620166875143</v>
      </c>
      <c r="CS120" s="21">
        <f t="shared" si="1088"/>
        <v>1081.1652932175014</v>
      </c>
      <c r="CT120" s="21">
        <f t="shared" si="1088"/>
        <v>1093.5956209577084</v>
      </c>
      <c r="CU120" s="21">
        <f t="shared" si="1088"/>
        <v>1099.2691614881335</v>
      </c>
      <c r="CV120" s="21">
        <f t="shared" si="1088"/>
        <v>1105.3632760694877</v>
      </c>
      <c r="CW120" s="21">
        <f t="shared" si="1088"/>
        <v>1111.4711943127211</v>
      </c>
      <c r="CX120" s="21">
        <f t="shared" si="1088"/>
        <v>1121.1633795007006</v>
      </c>
      <c r="CY120" s="21">
        <f t="shared" si="1088"/>
        <v>1125.3717115260231</v>
      </c>
      <c r="CZ120" s="21">
        <f t="shared" si="1088"/>
        <v>1129.9112354146698</v>
      </c>
      <c r="DA120" s="21">
        <f t="shared" si="1088"/>
        <v>1134.4653054314058</v>
      </c>
      <c r="DB120" s="21">
        <f t="shared" si="1088"/>
        <v>1141.9445265071599</v>
      </c>
      <c r="DE120" s="126"/>
      <c r="DF120" s="22">
        <v>1012.1080000000001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5.4891459999999999</v>
      </c>
      <c r="M124" s="23">
        <f>'Annual Raw'!N47</f>
        <v>5.7052360999999996</v>
      </c>
      <c r="N124" s="23">
        <f>'Annual Raw'!O47</f>
        <v>6.9979714</v>
      </c>
      <c r="O124" s="23">
        <f>'Annual Raw'!P47</f>
        <v>3.58</v>
      </c>
      <c r="P124" s="23">
        <f>'Annual Raw'!Q47</f>
        <v>8.23</v>
      </c>
      <c r="Q124" s="23">
        <f>'Annual Raw'!R47</f>
        <v>6.3279671000000004</v>
      </c>
      <c r="R124" s="23">
        <f>'Annual Raw'!S47</f>
        <v>6.3703915999999996</v>
      </c>
      <c r="S124" s="23">
        <f>'Annual Raw'!T47</f>
        <v>6.4195659999999997</v>
      </c>
      <c r="T124" s="23">
        <f>'Annual Raw'!U47</f>
        <v>1.579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4.3519237999999998</v>
      </c>
      <c r="M125" s="23">
        <f>'Annual Raw'!N48</f>
        <v>4.3519239000000001</v>
      </c>
      <c r="N125" s="23">
        <f>'Annual Raw'!O48</f>
        <v>4.3519239000000001</v>
      </c>
      <c r="O125" s="23">
        <f>'Annual Raw'!P48</f>
        <v>4.3519239000000001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6.5629999999999997</v>
      </c>
      <c r="U125" s="23">
        <f>'Annual Raw'!V48</f>
        <v>65.188000000000002</v>
      </c>
      <c r="V125" s="23">
        <f>'Annual Raw'!W48</f>
        <v>64</v>
      </c>
      <c r="W125" s="23">
        <f>'Annual Raw'!X48</f>
        <v>99.563000000000002</v>
      </c>
      <c r="X125" s="23">
        <f>'Annual Raw'!Y48</f>
        <v>99.563000000000002</v>
      </c>
      <c r="Y125" s="23">
        <f>'Annual Raw'!Z48</f>
        <v>74.671999999999997</v>
      </c>
      <c r="Z125" s="23">
        <f>'Annual Raw'!AA48</f>
        <v>148.006</v>
      </c>
      <c r="AA125" s="23">
        <f>'Annual Raw'!AB48</f>
        <v>77.825000000000003</v>
      </c>
      <c r="AB125" s="24">
        <f t="shared" si="1110"/>
        <v>77.825000000000003</v>
      </c>
      <c r="AC125" s="24">
        <f t="shared" si="1111"/>
        <v>77.825000000000003</v>
      </c>
      <c r="AD125" s="24">
        <f t="shared" si="1112"/>
        <v>77.825000000000003</v>
      </c>
      <c r="AE125" s="24">
        <f t="shared" si="1113"/>
        <v>77.825000000000003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0</v>
      </c>
      <c r="BK125" s="23">
        <f t="shared" si="1114"/>
        <v>0</v>
      </c>
      <c r="BL125" s="23">
        <f>+'QTR Raw'!AF63</f>
        <v>0</v>
      </c>
      <c r="BM125" s="23">
        <f t="shared" si="1114"/>
        <v>0</v>
      </c>
      <c r="BN125" s="23">
        <f>+'QTR Raw'!AH63</f>
        <v>0</v>
      </c>
      <c r="BO125" s="23">
        <f t="shared" si="1114"/>
        <v>0</v>
      </c>
      <c r="BP125" s="23">
        <f>+'QTR Raw'!AJ63</f>
        <v>0</v>
      </c>
      <c r="BQ125" s="23">
        <f t="shared" si="1114"/>
        <v>0</v>
      </c>
      <c r="BR125" s="23">
        <f>+'QTR Raw'!AL63</f>
        <v>0</v>
      </c>
      <c r="BS125" s="23">
        <f t="shared" si="1114"/>
        <v>0</v>
      </c>
      <c r="BT125" s="23">
        <f>+'QTR Raw'!AN63</f>
        <v>0</v>
      </c>
      <c r="BU125" s="23">
        <f t="shared" si="1114"/>
        <v>0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99.563000000000002</v>
      </c>
      <c r="CA125" s="23">
        <f t="shared" si="1114"/>
        <v>99.563000000000002</v>
      </c>
      <c r="CB125" s="23">
        <f>+'QTR Raw'!AV63</f>
        <v>87.117000000000004</v>
      </c>
      <c r="CC125" s="23">
        <f t="shared" si="1114"/>
        <v>87.117000000000004</v>
      </c>
      <c r="CD125" s="23">
        <f>+'QTR Raw'!AX63</f>
        <v>74.671999999999997</v>
      </c>
      <c r="CE125" s="23">
        <f t="shared" si="1115"/>
        <v>74.671999999999997</v>
      </c>
      <c r="CF125" s="23">
        <f>+'QTR Raw'!AZ63</f>
        <v>62.226999999999997</v>
      </c>
      <c r="CG125" s="23">
        <f t="shared" si="1116"/>
        <v>62.226999999999997</v>
      </c>
      <c r="CH125" s="23">
        <f t="shared" si="1092"/>
        <v>148.006</v>
      </c>
      <c r="CI125" s="23">
        <f t="shared" si="1116"/>
        <v>148.006</v>
      </c>
      <c r="CJ125" s="23">
        <f>+'QTR Raw'!BD63</f>
        <v>92.853999999999999</v>
      </c>
      <c r="CK125" s="24">
        <f t="shared" si="1117"/>
        <v>92.853999999999999</v>
      </c>
      <c r="CL125" s="23">
        <f>+'QTR Raw'!BF63</f>
        <v>77.825000000000003</v>
      </c>
      <c r="CM125" s="24">
        <f t="shared" si="1118"/>
        <v>77.825000000000003</v>
      </c>
      <c r="CN125" s="24">
        <f t="shared" si="1119"/>
        <v>77.825000000000003</v>
      </c>
      <c r="CO125" s="24">
        <f t="shared" si="1120"/>
        <v>77.825000000000003</v>
      </c>
      <c r="CP125" s="24">
        <f t="shared" si="1121"/>
        <v>77.825000000000003</v>
      </c>
      <c r="CQ125" s="24">
        <f t="shared" si="1122"/>
        <v>77.825000000000003</v>
      </c>
      <c r="CR125" s="24">
        <f t="shared" si="1123"/>
        <v>77.825000000000003</v>
      </c>
      <c r="CS125" s="24">
        <f t="shared" si="1124"/>
        <v>77.825000000000003</v>
      </c>
      <c r="CT125" s="24">
        <f t="shared" si="1125"/>
        <v>77.825000000000003</v>
      </c>
      <c r="CU125" s="24">
        <f t="shared" si="1126"/>
        <v>77.825000000000003</v>
      </c>
      <c r="CV125" s="24">
        <f t="shared" si="1127"/>
        <v>77.825000000000003</v>
      </c>
      <c r="CW125" s="24">
        <f t="shared" si="1128"/>
        <v>77.825000000000003</v>
      </c>
      <c r="CX125" s="24">
        <f t="shared" si="1129"/>
        <v>77.825000000000003</v>
      </c>
      <c r="CY125" s="24">
        <f t="shared" si="1130"/>
        <v>77.825000000000003</v>
      </c>
      <c r="CZ125" s="24">
        <f t="shared" si="1131"/>
        <v>77.825000000000003</v>
      </c>
      <c r="DA125" s="24">
        <f t="shared" si="1132"/>
        <v>77.825000000000003</v>
      </c>
      <c r="DB125" s="24">
        <f t="shared" si="1133"/>
        <v>77.825000000000003</v>
      </c>
      <c r="DE125" s="123"/>
      <c r="DF125" s="23">
        <v>77.825000000000003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4.1954190000000002</v>
      </c>
      <c r="M126" s="23">
        <f>'Annual Raw'!N87+'Annual Raw'!N88+'Annual Raw'!N89+'Annual Raw'!N90</f>
        <v>3.4565999999999999</v>
      </c>
      <c r="N126" s="23">
        <f>'Annual Raw'!O87+'Annual Raw'!O88+'Annual Raw'!O89+'Annual Raw'!O90</f>
        <v>4.2210000000000001</v>
      </c>
      <c r="O126" s="23">
        <f>'Annual Raw'!P87+'Annual Raw'!P88+'Annual Raw'!P89+'Annual Raw'!P90</f>
        <v>3.46</v>
      </c>
      <c r="P126" s="23">
        <f>'Annual Raw'!Q87+'Annual Raw'!Q88+'Annual Raw'!Q89+'Annual Raw'!Q90</f>
        <v>3.7523730999999998</v>
      </c>
      <c r="Q126" s="23">
        <f>'Annual Raw'!R87+'Annual Raw'!R88+'Annual Raw'!R89+'Annual Raw'!R90</f>
        <v>2.9555015999999998</v>
      </c>
      <c r="R126" s="23">
        <f>'Annual Raw'!S87+'Annual Raw'!S88+'Annual Raw'!S89+'Annual Raw'!S90</f>
        <v>4.1960220000000001</v>
      </c>
      <c r="S126" s="23">
        <f>'Annual Raw'!T87+'Annual Raw'!T88+'Annual Raw'!T89+'Annual Raw'!T90</f>
        <v>5.5902757000000003</v>
      </c>
      <c r="T126" s="23">
        <f>'Annual Raw'!U87+'Annual Raw'!U88+'Annual Raw'!U89+'Annual Raw'!U90</f>
        <v>3.79</v>
      </c>
      <c r="U126" s="23">
        <f>'Annual Raw'!V87+'Annual Raw'!V88+'Annual Raw'!V89+'Annual Raw'!V90</f>
        <v>12.954000000000001</v>
      </c>
      <c r="V126" s="23">
        <f>'Annual Raw'!W87+'Annual Raw'!W88+'Annual Raw'!W89+'Annual Raw'!W90</f>
        <v>35.563000000000002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24.890999999999998</v>
      </c>
      <c r="Z126" s="23">
        <f>'Annual Raw'!AA87+'Annual Raw'!AA88+'Annual Raw'!AA89+'Annual Raw'!AA90</f>
        <v>29.263000000000002</v>
      </c>
      <c r="AA126" s="23">
        <f>'Annual Raw'!AB87+'Annual Raw'!AB88+'Annual Raw'!AB89+'Annual Raw'!AB90</f>
        <v>28.3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29.263000000000002</v>
      </c>
      <c r="CI126" s="23">
        <f t="shared" si="1116"/>
        <v>29.263000000000002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24.258735900000001</v>
      </c>
      <c r="M127" s="23">
        <f>'Annual Raw'!N56</f>
        <v>29.0120276</v>
      </c>
      <c r="N127" s="23">
        <f>'Annual Raw'!O56</f>
        <v>31.971032900000001</v>
      </c>
      <c r="O127" s="23">
        <f>'Annual Raw'!P56</f>
        <v>69.207437499999997</v>
      </c>
      <c r="P127" s="23">
        <f>'Annual Raw'!Q56</f>
        <v>81.189778700000005</v>
      </c>
      <c r="Q127" s="23">
        <f>'Annual Raw'!R56</f>
        <v>115.0973171</v>
      </c>
      <c r="R127" s="23">
        <f>'Annual Raw'!S56</f>
        <v>110.1498373</v>
      </c>
      <c r="S127" s="23">
        <f>'Annual Raw'!T56</f>
        <v>138.76434259999999</v>
      </c>
      <c r="T127" s="23">
        <f>'Annual Raw'!U56</f>
        <v>148.42099999999999</v>
      </c>
      <c r="U127" s="23">
        <f>'Annual Raw'!V56</f>
        <v>183.22900000000001</v>
      </c>
      <c r="V127" s="23">
        <f>'Annual Raw'!W56</f>
        <v>134.202</v>
      </c>
      <c r="W127" s="23">
        <f>'Annual Raw'!X56</f>
        <v>193.63</v>
      </c>
      <c r="X127" s="23">
        <f>'Annual Raw'!Y56</f>
        <v>214.911</v>
      </c>
      <c r="Y127" s="23">
        <f>'Annual Raw'!Z56</f>
        <v>34</v>
      </c>
      <c r="Z127" s="23">
        <f>'Annual Raw'!AA56</f>
        <v>66.486999999999995</v>
      </c>
      <c r="AA127" s="23">
        <f>'Annual Raw'!AB56</f>
        <v>0</v>
      </c>
      <c r="AB127" s="24">
        <f t="shared" si="1110"/>
        <v>28.3</v>
      </c>
      <c r="AC127" s="24">
        <f t="shared" si="1111"/>
        <v>28.3</v>
      </c>
      <c r="AD127" s="24">
        <f t="shared" si="1112"/>
        <v>28.3</v>
      </c>
      <c r="AE127" s="24">
        <f t="shared" si="1113"/>
        <v>28.3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214.911</v>
      </c>
      <c r="CA127" s="23">
        <f t="shared" si="1114"/>
        <v>214.911</v>
      </c>
      <c r="CB127" s="23">
        <f>+'QTR Raw'!AV88</f>
        <v>157.376</v>
      </c>
      <c r="CC127" s="23">
        <f t="shared" si="1114"/>
        <v>157.376</v>
      </c>
      <c r="CD127" s="23">
        <f>+'QTR Raw'!AX88</f>
        <v>58.890999999999998</v>
      </c>
      <c r="CE127" s="23">
        <f t="shared" si="1115"/>
        <v>58.890999999999998</v>
      </c>
      <c r="CF127" s="23">
        <f>+'QTR Raw'!AZ88</f>
        <v>226.59299999999999</v>
      </c>
      <c r="CG127" s="23">
        <f t="shared" si="1116"/>
        <v>226.59299999999999</v>
      </c>
      <c r="CH127" s="23">
        <f t="shared" si="1092"/>
        <v>66.486999999999995</v>
      </c>
      <c r="CI127" s="23">
        <f t="shared" si="1116"/>
        <v>66.486999999999995</v>
      </c>
      <c r="CJ127" s="23">
        <f>+'QTR Raw'!BD88</f>
        <v>66.343999999999994</v>
      </c>
      <c r="CK127" s="24">
        <f t="shared" si="1117"/>
        <v>66.343999999999994</v>
      </c>
      <c r="CL127" s="23">
        <f>+'QTR Raw'!BF88</f>
        <v>28.3</v>
      </c>
      <c r="CM127" s="24">
        <f t="shared" si="1118"/>
        <v>28.3</v>
      </c>
      <c r="CN127" s="24">
        <f t="shared" si="1119"/>
        <v>28.3</v>
      </c>
      <c r="CO127" s="24">
        <f t="shared" si="1120"/>
        <v>28.3</v>
      </c>
      <c r="CP127" s="24">
        <f t="shared" si="1121"/>
        <v>28.3</v>
      </c>
      <c r="CQ127" s="24">
        <f t="shared" si="1122"/>
        <v>28.3</v>
      </c>
      <c r="CR127" s="24">
        <f t="shared" si="1123"/>
        <v>28.3</v>
      </c>
      <c r="CS127" s="24">
        <f t="shared" si="1124"/>
        <v>28.3</v>
      </c>
      <c r="CT127" s="24">
        <f t="shared" si="1125"/>
        <v>28.3</v>
      </c>
      <c r="CU127" s="24">
        <f t="shared" si="1126"/>
        <v>28.3</v>
      </c>
      <c r="CV127" s="24">
        <f t="shared" si="1127"/>
        <v>28.3</v>
      </c>
      <c r="CW127" s="24">
        <f t="shared" si="1128"/>
        <v>28.3</v>
      </c>
      <c r="CX127" s="24">
        <f t="shared" si="1129"/>
        <v>28.3</v>
      </c>
      <c r="CY127" s="24">
        <f t="shared" si="1130"/>
        <v>28.3</v>
      </c>
      <c r="CZ127" s="24">
        <f t="shared" si="1131"/>
        <v>28.3</v>
      </c>
      <c r="DA127" s="24">
        <f t="shared" si="1132"/>
        <v>28.3</v>
      </c>
      <c r="DB127" s="24">
        <f t="shared" si="1133"/>
        <v>28.3</v>
      </c>
      <c r="DE127" s="123"/>
      <c r="DF127" s="23">
        <v>28.3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38.295224700000006</v>
      </c>
      <c r="M128" s="22">
        <f t="shared" si="1134"/>
        <v>42.525787600000001</v>
      </c>
      <c r="N128" s="22">
        <f t="shared" si="1134"/>
        <v>47.541928200000001</v>
      </c>
      <c r="O128" s="22">
        <f t="shared" si="1134"/>
        <v>80.599361399999992</v>
      </c>
      <c r="P128" s="22">
        <f t="shared" si="1134"/>
        <v>93.172151800000009</v>
      </c>
      <c r="Q128" s="22">
        <f t="shared" si="1134"/>
        <v>124.3807858</v>
      </c>
      <c r="R128" s="22">
        <f t="shared" si="1134"/>
        <v>120.71625090000001</v>
      </c>
      <c r="S128" s="22">
        <f t="shared" si="1134"/>
        <v>150.7741843</v>
      </c>
      <c r="T128" s="22">
        <f t="shared" si="1134"/>
        <v>160.35299999999998</v>
      </c>
      <c r="U128" s="22">
        <f t="shared" si="1134"/>
        <v>261.37099999999998</v>
      </c>
      <c r="V128" s="22">
        <f t="shared" si="1134"/>
        <v>233.76499999999999</v>
      </c>
      <c r="W128" s="22">
        <f t="shared" ref="W128" si="1135">SUM(W124:W127)</f>
        <v>293.19299999999998</v>
      </c>
      <c r="X128" s="22">
        <f t="shared" ref="X128:Y128" si="1136">SUM(X124:X127)</f>
        <v>314.47399999999999</v>
      </c>
      <c r="Y128" s="22">
        <f t="shared" si="1136"/>
        <v>133.56299999999999</v>
      </c>
      <c r="Z128" s="22">
        <f t="shared" ref="Z128:AA128" si="1137">SUM(Z124:Z127)</f>
        <v>243.756</v>
      </c>
      <c r="AA128" s="22">
        <f t="shared" ref="AA128" si="1138">SUM(AA124:AA127)</f>
        <v>106.125</v>
      </c>
      <c r="AB128" s="21">
        <f t="shared" ref="AB128:AD128" si="1139">SUM(AB124:AB127)</f>
        <v>106.125</v>
      </c>
      <c r="AC128" s="21">
        <f t="shared" si="1139"/>
        <v>106.125</v>
      </c>
      <c r="AD128" s="21">
        <f t="shared" si="1139"/>
        <v>106.125</v>
      </c>
      <c r="AE128" s="21">
        <f t="shared" ref="AE128" si="1140">SUM(AE124:AE127)</f>
        <v>106.125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0</v>
      </c>
      <c r="BG128" s="22">
        <f t="shared" si="1145"/>
        <v>0</v>
      </c>
      <c r="BH128" s="22">
        <f t="shared" ref="BH128" si="1146">SUM(BH124:BH127)</f>
        <v>0</v>
      </c>
      <c r="BI128" s="22">
        <f t="shared" si="1145"/>
        <v>0</v>
      </c>
      <c r="BJ128" s="22">
        <f t="shared" si="1145"/>
        <v>0</v>
      </c>
      <c r="BK128" s="22">
        <f t="shared" si="1145"/>
        <v>0</v>
      </c>
      <c r="BL128" s="22">
        <f t="shared" si="1145"/>
        <v>0</v>
      </c>
      <c r="BM128" s="22">
        <f t="shared" si="1145"/>
        <v>0</v>
      </c>
      <c r="BN128" s="22">
        <f t="shared" si="1145"/>
        <v>0</v>
      </c>
      <c r="BO128" s="22">
        <f t="shared" si="1145"/>
        <v>0</v>
      </c>
      <c r="BP128" s="22">
        <f t="shared" si="1145"/>
        <v>0</v>
      </c>
      <c r="BQ128" s="22">
        <f t="shared" si="1145"/>
        <v>0</v>
      </c>
      <c r="BR128" s="22">
        <f t="shared" si="1145"/>
        <v>0</v>
      </c>
      <c r="BS128" s="22">
        <f t="shared" si="1145"/>
        <v>0</v>
      </c>
      <c r="BT128" s="22">
        <f t="shared" si="1145"/>
        <v>0</v>
      </c>
      <c r="BU128" s="22">
        <f t="shared" si="1145"/>
        <v>0</v>
      </c>
      <c r="BV128" s="22">
        <f t="shared" si="1145"/>
        <v>0</v>
      </c>
      <c r="BW128" s="22">
        <f t="shared" si="1145"/>
        <v>0</v>
      </c>
      <c r="BX128" s="22">
        <f t="shared" si="1145"/>
        <v>0</v>
      </c>
      <c r="BY128" s="22">
        <f t="shared" si="1145"/>
        <v>0</v>
      </c>
      <c r="BZ128" s="22">
        <f t="shared" si="1145"/>
        <v>314.47399999999999</v>
      </c>
      <c r="CA128" s="22">
        <f t="shared" si="1145"/>
        <v>314.47399999999999</v>
      </c>
      <c r="CB128" s="22">
        <f t="shared" si="1145"/>
        <v>244.49299999999999</v>
      </c>
      <c r="CC128" s="22">
        <f t="shared" si="1145"/>
        <v>244.49299999999999</v>
      </c>
      <c r="CD128" s="22">
        <f t="shared" si="1145"/>
        <v>133.56299999999999</v>
      </c>
      <c r="CE128" s="22">
        <f t="shared" si="1145"/>
        <v>133.56299999999999</v>
      </c>
      <c r="CF128" s="22">
        <f t="shared" ref="CF128:CG128" si="1147">SUM(CF124:CF127)</f>
        <v>288.82</v>
      </c>
      <c r="CG128" s="22">
        <f t="shared" si="1147"/>
        <v>288.82</v>
      </c>
      <c r="CH128" s="22">
        <f t="shared" ref="CH128:CI128" si="1148">SUM(CH124:CH127)</f>
        <v>243.756</v>
      </c>
      <c r="CI128" s="22">
        <f t="shared" si="1148"/>
        <v>243.756</v>
      </c>
      <c r="CJ128" s="22">
        <f t="shared" ref="CJ128:DB128" si="1149">SUM(CJ124:CJ127)</f>
        <v>159.19799999999998</v>
      </c>
      <c r="CK128" s="21">
        <f t="shared" si="1149"/>
        <v>159.19799999999998</v>
      </c>
      <c r="CL128" s="22">
        <f t="shared" ref="CL128" si="1150">SUM(CL124:CL127)</f>
        <v>106.125</v>
      </c>
      <c r="CM128" s="21">
        <f t="shared" si="1149"/>
        <v>106.125</v>
      </c>
      <c r="CN128" s="21">
        <f t="shared" si="1149"/>
        <v>106.125</v>
      </c>
      <c r="CO128" s="21">
        <f t="shared" si="1149"/>
        <v>106.125</v>
      </c>
      <c r="CP128" s="21">
        <f t="shared" si="1149"/>
        <v>106.125</v>
      </c>
      <c r="CQ128" s="21">
        <f t="shared" si="1149"/>
        <v>106.125</v>
      </c>
      <c r="CR128" s="21">
        <f t="shared" si="1149"/>
        <v>106.125</v>
      </c>
      <c r="CS128" s="21">
        <f t="shared" si="1149"/>
        <v>106.125</v>
      </c>
      <c r="CT128" s="21">
        <f t="shared" si="1149"/>
        <v>106.125</v>
      </c>
      <c r="CU128" s="21">
        <f t="shared" si="1149"/>
        <v>106.125</v>
      </c>
      <c r="CV128" s="21">
        <f t="shared" si="1149"/>
        <v>106.125</v>
      </c>
      <c r="CW128" s="21">
        <f t="shared" si="1149"/>
        <v>106.125</v>
      </c>
      <c r="CX128" s="21">
        <f t="shared" si="1149"/>
        <v>106.125</v>
      </c>
      <c r="CY128" s="21">
        <f t="shared" si="1149"/>
        <v>106.125</v>
      </c>
      <c r="CZ128" s="21">
        <f t="shared" si="1149"/>
        <v>106.125</v>
      </c>
      <c r="DA128" s="21">
        <f t="shared" si="1149"/>
        <v>106.125</v>
      </c>
      <c r="DB128" s="21">
        <f t="shared" si="1149"/>
        <v>106.125</v>
      </c>
      <c r="DE128" s="126"/>
      <c r="DF128" s="22">
        <v>106.125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0</v>
      </c>
      <c r="K129" s="26">
        <f t="shared" si="1151"/>
        <v>0</v>
      </c>
      <c r="L129" s="26">
        <f t="shared" si="1151"/>
        <v>57.596501000000004</v>
      </c>
      <c r="M129" s="26">
        <f t="shared" si="1151"/>
        <v>64.526065900000006</v>
      </c>
      <c r="N129" s="26">
        <f t="shared" si="1151"/>
        <v>72.851868800000005</v>
      </c>
      <c r="O129" s="26">
        <f t="shared" si="1151"/>
        <v>123.18041049999999</v>
      </c>
      <c r="P129" s="26">
        <f t="shared" si="1151"/>
        <v>140.2203509</v>
      </c>
      <c r="Q129" s="26">
        <f t="shared" si="1151"/>
        <v>164.4987434</v>
      </c>
      <c r="R129" s="26">
        <f t="shared" si="1151"/>
        <v>161.19468180000001</v>
      </c>
      <c r="S129" s="26">
        <f t="shared" si="1151"/>
        <v>186.9486181</v>
      </c>
      <c r="T129" s="26">
        <f t="shared" si="1151"/>
        <v>195.27799999999996</v>
      </c>
      <c r="U129" s="26">
        <f t="shared" si="1151"/>
        <v>287.077</v>
      </c>
      <c r="V129" s="26">
        <f t="shared" si="1151"/>
        <v>271.41699999999997</v>
      </c>
      <c r="W129" s="26">
        <f t="shared" ref="W129" si="1152">W128+W120+W122</f>
        <v>370.30500000000001</v>
      </c>
      <c r="X129" s="26">
        <f t="shared" ref="X129:Y129" si="1153">X128+X120+X122</f>
        <v>512.346</v>
      </c>
      <c r="Y129" s="26">
        <f t="shared" si="1153"/>
        <v>1042.5409999999999</v>
      </c>
      <c r="Z129" s="26">
        <f t="shared" ref="Z129:AA129" si="1154">Z128+Z120+Z122</f>
        <v>1193.191</v>
      </c>
      <c r="AA129" s="26">
        <f t="shared" ref="AA129" si="1155">AA128+AA120+AA122</f>
        <v>1118.2329999999999</v>
      </c>
      <c r="AB129" s="27">
        <f t="shared" ref="AB129:AD129" si="1156">AB128+AB120+AB122</f>
        <v>1163.8754724092928</v>
      </c>
      <c r="AC129" s="27">
        <f t="shared" si="1156"/>
        <v>1199.7206209577084</v>
      </c>
      <c r="AD129" s="27">
        <f t="shared" si="1156"/>
        <v>1227.2883795007006</v>
      </c>
      <c r="AE129" s="27">
        <f t="shared" ref="AE129" si="1157">AE128+AE120+AE122</f>
        <v>1248.0695265071599</v>
      </c>
      <c r="AJ129" s="26">
        <f t="shared" ref="AJ129" si="1158">AJ128+AJ120+AJ122</f>
        <v>0</v>
      </c>
      <c r="AK129" s="26">
        <f t="shared" ref="AK129" si="1159">AK128+AK120+AK122</f>
        <v>0</v>
      </c>
      <c r="AL129" s="26">
        <f t="shared" ref="AL129" si="1160">AL128+AL120+AL122</f>
        <v>0</v>
      </c>
      <c r="AM129" s="26">
        <f t="shared" ref="AM129:AO129" si="1161">AM128+AM120+AM122</f>
        <v>0</v>
      </c>
      <c r="AN129" s="26">
        <f t="shared" si="1161"/>
        <v>0</v>
      </c>
      <c r="AO129" s="26">
        <f t="shared" si="1161"/>
        <v>0</v>
      </c>
      <c r="AP129" s="26">
        <f t="shared" ref="AP129:CE129" si="1162">AP128+AP120+AP122</f>
        <v>0</v>
      </c>
      <c r="AQ129" s="26">
        <f t="shared" si="1162"/>
        <v>0</v>
      </c>
      <c r="AR129" s="26">
        <f t="shared" si="1162"/>
        <v>0</v>
      </c>
      <c r="AS129" s="26">
        <f t="shared" si="1162"/>
        <v>0</v>
      </c>
      <c r="AT129" s="26">
        <f t="shared" si="1162"/>
        <v>0</v>
      </c>
      <c r="AU129" s="26">
        <f t="shared" si="1162"/>
        <v>0</v>
      </c>
      <c r="AV129" s="26">
        <f t="shared" si="1162"/>
        <v>0</v>
      </c>
      <c r="AW129" s="26">
        <f t="shared" si="1162"/>
        <v>0</v>
      </c>
      <c r="AX129" s="26">
        <f t="shared" si="1162"/>
        <v>0</v>
      </c>
      <c r="AY129" s="26">
        <f t="shared" si="1162"/>
        <v>0</v>
      </c>
      <c r="AZ129" s="26">
        <f t="shared" si="1162"/>
        <v>0</v>
      </c>
      <c r="BA129" s="26">
        <f t="shared" si="1162"/>
        <v>0</v>
      </c>
      <c r="BB129" s="26">
        <f t="shared" si="1162"/>
        <v>0</v>
      </c>
      <c r="BC129" s="26">
        <f t="shared" si="1162"/>
        <v>0</v>
      </c>
      <c r="BD129" s="26">
        <f t="shared" si="1162"/>
        <v>0</v>
      </c>
      <c r="BE129" s="26">
        <f t="shared" si="1162"/>
        <v>0</v>
      </c>
      <c r="BF129" s="26">
        <f t="shared" si="1162"/>
        <v>0</v>
      </c>
      <c r="BG129" s="26">
        <f t="shared" si="1162"/>
        <v>0</v>
      </c>
      <c r="BH129" s="26">
        <f t="shared" ref="BH129" si="1163">BH128+BH120+BH122</f>
        <v>0</v>
      </c>
      <c r="BI129" s="26">
        <f t="shared" si="1162"/>
        <v>0</v>
      </c>
      <c r="BJ129" s="26">
        <f t="shared" si="1162"/>
        <v>0</v>
      </c>
      <c r="BK129" s="26">
        <f t="shared" si="1162"/>
        <v>0</v>
      </c>
      <c r="BL129" s="26">
        <f t="shared" si="1162"/>
        <v>0</v>
      </c>
      <c r="BM129" s="26">
        <f t="shared" si="1162"/>
        <v>0</v>
      </c>
      <c r="BN129" s="26">
        <f t="shared" si="1162"/>
        <v>0</v>
      </c>
      <c r="BO129" s="26">
        <f t="shared" si="1162"/>
        <v>0</v>
      </c>
      <c r="BP129" s="26">
        <f t="shared" si="1162"/>
        <v>0</v>
      </c>
      <c r="BQ129" s="26">
        <f t="shared" si="1162"/>
        <v>0</v>
      </c>
      <c r="BR129" s="26">
        <f t="shared" si="1162"/>
        <v>0</v>
      </c>
      <c r="BS129" s="26">
        <f t="shared" si="1162"/>
        <v>0</v>
      </c>
      <c r="BT129" s="26">
        <f t="shared" si="1162"/>
        <v>0</v>
      </c>
      <c r="BU129" s="26">
        <f t="shared" si="1162"/>
        <v>0</v>
      </c>
      <c r="BV129" s="26">
        <f t="shared" si="1162"/>
        <v>0</v>
      </c>
      <c r="BW129" s="26">
        <f t="shared" si="1162"/>
        <v>6.322000000000001</v>
      </c>
      <c r="BX129" s="26">
        <f t="shared" si="1162"/>
        <v>0</v>
      </c>
      <c r="BY129" s="26">
        <f t="shared" si="1162"/>
        <v>5.7179999999999742</v>
      </c>
      <c r="BZ129" s="26">
        <f t="shared" si="1162"/>
        <v>512.346</v>
      </c>
      <c r="CA129" s="26">
        <f t="shared" si="1162"/>
        <v>517.70499999999993</v>
      </c>
      <c r="CB129" s="26">
        <f t="shared" si="1162"/>
        <v>1134.2070000000001</v>
      </c>
      <c r="CC129" s="26">
        <f t="shared" si="1162"/>
        <v>1152.6469999999999</v>
      </c>
      <c r="CD129" s="26">
        <f t="shared" si="1162"/>
        <v>1042.5410000000002</v>
      </c>
      <c r="CE129" s="26">
        <f t="shared" si="1162"/>
        <v>1053.1370000000002</v>
      </c>
      <c r="CF129" s="26">
        <f t="shared" ref="CF129:CG129" si="1164">CF128+CF120+CF122</f>
        <v>1226.2139999999999</v>
      </c>
      <c r="CG129" s="26">
        <f t="shared" si="1164"/>
        <v>1237.2049999999999</v>
      </c>
      <c r="CH129" s="26">
        <f t="shared" ref="CH129:CI129" si="1165">CH128+CH120+CH122</f>
        <v>1193.191</v>
      </c>
      <c r="CI129" s="26">
        <f t="shared" si="1165"/>
        <v>1200.654</v>
      </c>
      <c r="CJ129" s="26">
        <f t="shared" ref="CJ129:DB129" si="1166">CJ128+CJ120+CJ122</f>
        <v>1145.4590000000001</v>
      </c>
      <c r="CK129" s="27">
        <f t="shared" si="1166"/>
        <v>1156.692</v>
      </c>
      <c r="CL129" s="26">
        <f t="shared" ref="CL129" si="1167">CL128+CL120+CL122</f>
        <v>1118.2330000000002</v>
      </c>
      <c r="CM129" s="27">
        <f t="shared" si="1166"/>
        <v>1127.1752626903051</v>
      </c>
      <c r="CN129" s="27">
        <f t="shared" si="1166"/>
        <v>1137.722248839742</v>
      </c>
      <c r="CO129" s="27">
        <f t="shared" si="1166"/>
        <v>1147.8782353957317</v>
      </c>
      <c r="CP129" s="27">
        <f t="shared" si="1166"/>
        <v>1163.8754724092928</v>
      </c>
      <c r="CQ129" s="27">
        <f t="shared" si="1166"/>
        <v>1171.2683638949693</v>
      </c>
      <c r="CR129" s="27">
        <f t="shared" si="1166"/>
        <v>1179.2870166875143</v>
      </c>
      <c r="CS129" s="27">
        <f t="shared" si="1166"/>
        <v>1187.2902932175014</v>
      </c>
      <c r="CT129" s="27">
        <f t="shared" si="1166"/>
        <v>1199.7206209577084</v>
      </c>
      <c r="CU129" s="27">
        <f t="shared" si="1166"/>
        <v>1205.3941614881335</v>
      </c>
      <c r="CV129" s="27">
        <f t="shared" si="1166"/>
        <v>1211.4882760694877</v>
      </c>
      <c r="CW129" s="27">
        <f t="shared" si="1166"/>
        <v>1217.5961943127211</v>
      </c>
      <c r="CX129" s="27">
        <f t="shared" si="1166"/>
        <v>1227.2883795007006</v>
      </c>
      <c r="CY129" s="27">
        <f t="shared" si="1166"/>
        <v>1231.4967115260231</v>
      </c>
      <c r="CZ129" s="27">
        <f t="shared" si="1166"/>
        <v>1236.0362354146698</v>
      </c>
      <c r="DA129" s="27">
        <f t="shared" si="1166"/>
        <v>1240.5903054314058</v>
      </c>
      <c r="DB129" s="27">
        <f t="shared" si="1166"/>
        <v>1248.0695265071599</v>
      </c>
      <c r="DE129" s="121"/>
      <c r="DF129" s="26">
        <v>1118.2330000000002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34.293324599999998</v>
      </c>
      <c r="M131" s="23">
        <f>'Annual Raw'!N62-M135</f>
        <v>39.674047000000002</v>
      </c>
      <c r="N131" s="23">
        <f>'Annual Raw'!O62-N135</f>
        <v>45.098583699999999</v>
      </c>
      <c r="O131" s="23">
        <f>'Annual Raw'!P62-O135</f>
        <v>51.553849100000001</v>
      </c>
      <c r="P131" s="23">
        <f>'Annual Raw'!Q62-P135</f>
        <v>63.502698899999999</v>
      </c>
      <c r="Q131" s="23">
        <f>'Annual Raw'!R62-Q135</f>
        <v>73.918753500000008</v>
      </c>
      <c r="R131" s="23">
        <f>'Annual Raw'!S62-R135</f>
        <v>83.714337499999999</v>
      </c>
      <c r="S131" s="23">
        <f>'Annual Raw'!T62-S135</f>
        <v>96.494288600000004</v>
      </c>
      <c r="T131" s="23">
        <f>'Annual Raw'!U62-T135</f>
        <v>103.871</v>
      </c>
      <c r="U131" s="23">
        <f>'Annual Raw'!V62-U135</f>
        <v>174.62299999999999</v>
      </c>
      <c r="V131" s="23">
        <f>'Annual Raw'!W62-V135</f>
        <v>268.98500000000001</v>
      </c>
      <c r="W131" s="23">
        <f>'Annual Raw'!X62-W135</f>
        <v>278.65200000000004</v>
      </c>
      <c r="X131" s="23">
        <f>'Annual Raw'!Y62-X135</f>
        <v>264.19200000000001</v>
      </c>
      <c r="Y131" s="23">
        <f>'Annual Raw'!Z62-Y135</f>
        <v>317.68400000000003</v>
      </c>
      <c r="Z131" s="23">
        <f>'Annual Raw'!AA62-Z135</f>
        <v>436.23300000000006</v>
      </c>
      <c r="AA131" s="23">
        <f>'Annual Raw'!AB62-AA135</f>
        <v>481.41699999999997</v>
      </c>
      <c r="AB131" s="24">
        <f t="shared" ref="AB131:AB137" si="1168">+CP131</f>
        <v>428.53199999999998</v>
      </c>
      <c r="AC131" s="24">
        <f t="shared" ref="AC131:AC137" si="1169">+CT131</f>
        <v>428.53199999999998</v>
      </c>
      <c r="AD131" s="24">
        <f t="shared" ref="AD131:AD137" si="1170">+CX131</f>
        <v>428.53199999999998</v>
      </c>
      <c r="AE131" s="24">
        <f t="shared" ref="AE131:AE137" si="1171">+DB131</f>
        <v>428.53199999999998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123.396</v>
      </c>
      <c r="CB131" s="23">
        <f>+'QTR Raw'!AV68</f>
        <v>134.96299999999999</v>
      </c>
      <c r="CD131" s="23">
        <f>+'QTR Raw'!AX68</f>
        <v>139.69</v>
      </c>
      <c r="CF131" s="23">
        <f>+'QTR Raw'!AZ68</f>
        <v>148.922</v>
      </c>
      <c r="CH131" s="23">
        <f t="shared" ref="CH131:CH137" si="1172">Z131</f>
        <v>436.23300000000006</v>
      </c>
      <c r="CI131" s="23">
        <f>CH131</f>
        <v>436.23300000000006</v>
      </c>
      <c r="CJ131" s="23">
        <f>+CJ132+CJ134</f>
        <v>410.43</v>
      </c>
      <c r="CK131" s="24">
        <f>+CJ131</f>
        <v>410.43</v>
      </c>
      <c r="CL131" s="23">
        <f>+CL132+CL134</f>
        <v>428.53199999999998</v>
      </c>
      <c r="CM131" s="24">
        <f t="shared" ref="CM131:DB131" si="1173">+CL131</f>
        <v>428.53199999999998</v>
      </c>
      <c r="CN131" s="24">
        <f t="shared" si="1173"/>
        <v>428.53199999999998</v>
      </c>
      <c r="CO131" s="24">
        <f t="shared" si="1173"/>
        <v>428.53199999999998</v>
      </c>
      <c r="CP131" s="24">
        <f t="shared" si="1173"/>
        <v>428.53199999999998</v>
      </c>
      <c r="CQ131" s="24">
        <f t="shared" si="1173"/>
        <v>428.53199999999998</v>
      </c>
      <c r="CR131" s="24">
        <f t="shared" si="1173"/>
        <v>428.53199999999998</v>
      </c>
      <c r="CS131" s="24">
        <f t="shared" si="1173"/>
        <v>428.53199999999998</v>
      </c>
      <c r="CT131" s="24">
        <f t="shared" si="1173"/>
        <v>428.53199999999998</v>
      </c>
      <c r="CU131" s="24">
        <f t="shared" si="1173"/>
        <v>428.53199999999998</v>
      </c>
      <c r="CV131" s="24">
        <f t="shared" si="1173"/>
        <v>428.53199999999998</v>
      </c>
      <c r="CW131" s="24">
        <f t="shared" si="1173"/>
        <v>428.53199999999998</v>
      </c>
      <c r="CX131" s="24">
        <f t="shared" si="1173"/>
        <v>428.53199999999998</v>
      </c>
      <c r="CY131" s="24">
        <f t="shared" si="1173"/>
        <v>428.53199999999998</v>
      </c>
      <c r="CZ131" s="24">
        <f t="shared" si="1173"/>
        <v>428.53199999999998</v>
      </c>
      <c r="DA131" s="24">
        <f t="shared" si="1173"/>
        <v>428.53199999999998</v>
      </c>
      <c r="DB131" s="24">
        <f t="shared" si="1173"/>
        <v>428.53199999999998</v>
      </c>
      <c r="DE131" s="123"/>
      <c r="DF131" s="23">
        <v>428.53199999999998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15.4630519</v>
      </c>
      <c r="M132" s="23">
        <f>'Annual Raw'!N63</f>
        <v>19.830158699999998</v>
      </c>
      <c r="N132" s="23">
        <f>'Annual Raw'!O63</f>
        <v>24.829565599999999</v>
      </c>
      <c r="O132" s="23">
        <f>'Annual Raw'!P63</f>
        <v>27.553338499999999</v>
      </c>
      <c r="P132" s="23">
        <f>'Annual Raw'!Q63</f>
        <v>31.7270836</v>
      </c>
      <c r="Q132" s="23">
        <f>'Annual Raw'!R63</f>
        <v>37.390663199999999</v>
      </c>
      <c r="R132" s="23">
        <f>'Annual Raw'!S63</f>
        <v>44.658345400000002</v>
      </c>
      <c r="S132" s="23">
        <f>'Annual Raw'!T63</f>
        <v>51.266182299999997</v>
      </c>
      <c r="T132" s="23">
        <f>'Annual Raw'!U63</f>
        <v>58.628999999999998</v>
      </c>
      <c r="U132" s="23">
        <f>'Annual Raw'!V63</f>
        <v>71.459999999999994</v>
      </c>
      <c r="V132" s="23">
        <f>'Annual Raw'!W63</f>
        <v>86.391000000000005</v>
      </c>
      <c r="W132" s="23">
        <f>'Annual Raw'!X63</f>
        <v>109.471</v>
      </c>
      <c r="X132" s="23">
        <f>'Annual Raw'!Y63</f>
        <v>106.268</v>
      </c>
      <c r="Y132" s="23">
        <f>'Annual Raw'!Z63</f>
        <v>128.58000000000001</v>
      </c>
      <c r="Z132" s="23">
        <f>'Annual Raw'!AA63</f>
        <v>158.36199999999999</v>
      </c>
      <c r="AA132" s="23">
        <f>'Annual Raw'!AB63</f>
        <v>201.482</v>
      </c>
      <c r="AB132" s="24">
        <f t="shared" si="1168"/>
        <v>242.89240248314525</v>
      </c>
      <c r="AC132" s="24">
        <f t="shared" si="1169"/>
        <v>276.9957972094565</v>
      </c>
      <c r="AD132" s="24">
        <f t="shared" si="1170"/>
        <v>304.83414101228152</v>
      </c>
      <c r="AE132" s="24">
        <f t="shared" si="1171"/>
        <v>327.55837101646875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158.36199999999999</v>
      </c>
      <c r="CI132" s="23">
        <f t="shared" ref="CI132:DB132" si="1174">CH132+CI32</f>
        <v>168.87899999999999</v>
      </c>
      <c r="CJ132" s="23">
        <f t="shared" si="1174"/>
        <v>179.44499999999999</v>
      </c>
      <c r="CK132" s="24">
        <f t="shared" si="1174"/>
        <v>190.21799999999999</v>
      </c>
      <c r="CL132" s="23">
        <f t="shared" si="1174"/>
        <v>201.11399999999998</v>
      </c>
      <c r="CM132" s="24">
        <f t="shared" si="1174"/>
        <v>212.3665499427824</v>
      </c>
      <c r="CN132" s="24">
        <f t="shared" si="1174"/>
        <v>223.06232830101646</v>
      </c>
      <c r="CO132" s="24">
        <f t="shared" si="1174"/>
        <v>233.22888390576153</v>
      </c>
      <c r="CP132" s="24">
        <f t="shared" si="1174"/>
        <v>242.89240248314525</v>
      </c>
      <c r="CQ132" s="24">
        <f t="shared" si="1174"/>
        <v>252.07777410023991</v>
      </c>
      <c r="CR132" s="24">
        <f t="shared" si="1174"/>
        <v>260.80865727374447</v>
      </c>
      <c r="CS132" s="24">
        <f t="shared" si="1174"/>
        <v>269.10753990659498</v>
      </c>
      <c r="CT132" s="24">
        <f t="shared" si="1174"/>
        <v>276.9957972094565</v>
      </c>
      <c r="CU132" s="24">
        <f t="shared" si="1174"/>
        <v>284.49374675628303</v>
      </c>
      <c r="CV132" s="24">
        <f t="shared" si="1174"/>
        <v>291.62070081575092</v>
      </c>
      <c r="CW132" s="24">
        <f t="shared" si="1174"/>
        <v>298.39501609335423</v>
      </c>
      <c r="CX132" s="24">
        <f t="shared" si="1174"/>
        <v>304.83414101228152</v>
      </c>
      <c r="CY132" s="24">
        <f t="shared" si="1174"/>
        <v>310.95466065485402</v>
      </c>
      <c r="CZ132" s="24">
        <f t="shared" si="1174"/>
        <v>316.77233948028004</v>
      </c>
      <c r="DA132" s="24">
        <f t="shared" si="1174"/>
        <v>322.30216192875184</v>
      </c>
      <c r="DB132" s="24">
        <f t="shared" si="1174"/>
        <v>327.55837101646875</v>
      </c>
      <c r="DE132" s="123"/>
      <c r="DF132" s="23">
        <v>201.11399999999998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0</v>
      </c>
      <c r="K134" s="22">
        <f t="shared" si="1176"/>
        <v>0</v>
      </c>
      <c r="L134" s="22">
        <f t="shared" si="1176"/>
        <v>18.830272699999998</v>
      </c>
      <c r="M134" s="22">
        <f t="shared" si="1176"/>
        <v>19.843888300000003</v>
      </c>
      <c r="N134" s="22">
        <f t="shared" si="1176"/>
        <v>20.2690181</v>
      </c>
      <c r="O134" s="22">
        <f t="shared" si="1176"/>
        <v>24.000510600000002</v>
      </c>
      <c r="P134" s="22">
        <f t="shared" si="1176"/>
        <v>31.775615299999998</v>
      </c>
      <c r="Q134" s="22">
        <f t="shared" si="1176"/>
        <v>36.528090300000009</v>
      </c>
      <c r="R134" s="22">
        <f t="shared" si="1176"/>
        <v>39.055992099999997</v>
      </c>
      <c r="S134" s="22">
        <f t="shared" si="1176"/>
        <v>45.228106300000007</v>
      </c>
      <c r="T134" s="22">
        <f t="shared" si="1176"/>
        <v>45.241999999999997</v>
      </c>
      <c r="U134" s="22">
        <f t="shared" si="1176"/>
        <v>103.163</v>
      </c>
      <c r="V134" s="22">
        <f t="shared" si="1176"/>
        <v>182.59399999999999</v>
      </c>
      <c r="W134" s="22">
        <f t="shared" si="1176"/>
        <v>169.18100000000004</v>
      </c>
      <c r="X134" s="22">
        <f t="shared" ref="X134:Y134" si="1177">+X131-X132-X133</f>
        <v>157.92400000000001</v>
      </c>
      <c r="Y134" s="22">
        <f t="shared" si="1177"/>
        <v>189.10400000000001</v>
      </c>
      <c r="Z134" s="22">
        <f t="shared" ref="Z134:AE134" si="1178">+Z131-Z132-Z133</f>
        <v>277.87100000000009</v>
      </c>
      <c r="AA134" s="22">
        <f t="shared" ref="AA134" si="1179">+AA131-AA132-AA133</f>
        <v>279.93499999999995</v>
      </c>
      <c r="AB134" s="21">
        <f t="shared" si="1178"/>
        <v>185.63959751685474</v>
      </c>
      <c r="AC134" s="21">
        <f t="shared" si="1178"/>
        <v>151.53620279054348</v>
      </c>
      <c r="AD134" s="21">
        <f t="shared" si="1178"/>
        <v>123.69785898771846</v>
      </c>
      <c r="AE134" s="21">
        <f t="shared" si="1178"/>
        <v>100.97362898353123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0</v>
      </c>
      <c r="AW134" s="22">
        <f t="shared" si="1181"/>
        <v>0</v>
      </c>
      <c r="AX134" s="22">
        <f t="shared" si="1183"/>
        <v>0</v>
      </c>
      <c r="AY134" s="22">
        <f t="shared" si="1181"/>
        <v>0</v>
      </c>
      <c r="AZ134" s="22">
        <f t="shared" si="1183"/>
        <v>0</v>
      </c>
      <c r="BA134" s="22">
        <f t="shared" si="1181"/>
        <v>0</v>
      </c>
      <c r="BB134" s="22">
        <f t="shared" si="1183"/>
        <v>0</v>
      </c>
      <c r="BC134" s="22">
        <f t="shared" si="1181"/>
        <v>0</v>
      </c>
      <c r="BD134" s="22">
        <f t="shared" si="1183"/>
        <v>0</v>
      </c>
      <c r="BE134" s="22">
        <f t="shared" si="1181"/>
        <v>0</v>
      </c>
      <c r="BF134" s="22">
        <f t="shared" si="1183"/>
        <v>0</v>
      </c>
      <c r="BG134" s="22">
        <f t="shared" si="1181"/>
        <v>0</v>
      </c>
      <c r="BH134" s="22">
        <f t="shared" si="1183"/>
        <v>0</v>
      </c>
      <c r="BI134" s="22">
        <f t="shared" si="1181"/>
        <v>0</v>
      </c>
      <c r="BJ134" s="22">
        <f t="shared" si="1183"/>
        <v>0</v>
      </c>
      <c r="BK134" s="22">
        <f t="shared" si="1181"/>
        <v>0</v>
      </c>
      <c r="BL134" s="22">
        <f t="shared" si="1183"/>
        <v>0</v>
      </c>
      <c r="BM134" s="22">
        <f t="shared" si="1181"/>
        <v>0</v>
      </c>
      <c r="BN134" s="22">
        <f t="shared" si="1183"/>
        <v>0</v>
      </c>
      <c r="BO134" s="22">
        <f t="shared" si="1181"/>
        <v>0</v>
      </c>
      <c r="BP134" s="22">
        <f t="shared" si="1183"/>
        <v>0</v>
      </c>
      <c r="BQ134" s="22">
        <f t="shared" si="1181"/>
        <v>0</v>
      </c>
      <c r="BR134" s="22">
        <f t="shared" si="1183"/>
        <v>0</v>
      </c>
      <c r="BS134" s="22">
        <f t="shared" si="1181"/>
        <v>0</v>
      </c>
      <c r="BT134" s="22">
        <f t="shared" si="1183"/>
        <v>0</v>
      </c>
      <c r="BU134" s="22">
        <f t="shared" si="1181"/>
        <v>0</v>
      </c>
      <c r="BV134" s="22">
        <f t="shared" si="1183"/>
        <v>0</v>
      </c>
      <c r="BW134" s="22">
        <f t="shared" si="1181"/>
        <v>0</v>
      </c>
      <c r="BX134" s="22">
        <f t="shared" si="1183"/>
        <v>0</v>
      </c>
      <c r="BY134" s="22">
        <f t="shared" si="1181"/>
        <v>0</v>
      </c>
      <c r="BZ134" s="22">
        <f t="shared" si="1183"/>
        <v>123.396</v>
      </c>
      <c r="CA134" s="22">
        <f t="shared" si="1181"/>
        <v>123.396</v>
      </c>
      <c r="CB134" s="22">
        <f t="shared" si="1183"/>
        <v>134.96299999999999</v>
      </c>
      <c r="CC134" s="22">
        <f t="shared" si="1181"/>
        <v>134.96299999999999</v>
      </c>
      <c r="CD134" s="22">
        <f t="shared" si="1183"/>
        <v>139.69</v>
      </c>
      <c r="CE134" s="22">
        <f t="shared" si="1181"/>
        <v>139.69</v>
      </c>
      <c r="CF134" s="22">
        <f t="shared" ref="CF134:CI134" si="1184">+CF131-CF132-CF133</f>
        <v>148.922</v>
      </c>
      <c r="CG134" s="22">
        <f t="shared" ref="CG134:CI137" si="1185">+CF134</f>
        <v>148.922</v>
      </c>
      <c r="CH134" s="22">
        <f t="shared" si="1184"/>
        <v>277.87100000000009</v>
      </c>
      <c r="CI134" s="22">
        <f t="shared" si="1184"/>
        <v>267.35400000000004</v>
      </c>
      <c r="CJ134" s="23">
        <f>+'QTR Raw'!BD68</f>
        <v>230.98500000000001</v>
      </c>
      <c r="CK134" s="21">
        <f t="shared" ref="CK134:DB134" si="1186">+CK131-CK132-CK133</f>
        <v>220.21200000000002</v>
      </c>
      <c r="CL134" s="23">
        <f>+'QTR Raw'!BF68</f>
        <v>227.41800000000001</v>
      </c>
      <c r="CM134" s="21">
        <f t="shared" si="1186"/>
        <v>216.16545005721758</v>
      </c>
      <c r="CN134" s="21">
        <f t="shared" si="1186"/>
        <v>205.46967169898352</v>
      </c>
      <c r="CO134" s="21">
        <f t="shared" si="1186"/>
        <v>195.30311609423845</v>
      </c>
      <c r="CP134" s="21">
        <f t="shared" si="1186"/>
        <v>185.63959751685474</v>
      </c>
      <c r="CQ134" s="21">
        <f t="shared" si="1186"/>
        <v>176.45422589976008</v>
      </c>
      <c r="CR134" s="21">
        <f t="shared" si="1186"/>
        <v>167.72334272625551</v>
      </c>
      <c r="CS134" s="21">
        <f t="shared" si="1186"/>
        <v>159.424460093405</v>
      </c>
      <c r="CT134" s="21">
        <f t="shared" si="1186"/>
        <v>151.53620279054348</v>
      </c>
      <c r="CU134" s="21">
        <f t="shared" si="1186"/>
        <v>144.03825324371695</v>
      </c>
      <c r="CV134" s="21">
        <f t="shared" si="1186"/>
        <v>136.91129918424906</v>
      </c>
      <c r="CW134" s="21">
        <f t="shared" si="1186"/>
        <v>130.13698390664575</v>
      </c>
      <c r="CX134" s="21">
        <f t="shared" si="1186"/>
        <v>123.69785898771846</v>
      </c>
      <c r="CY134" s="21">
        <f t="shared" si="1186"/>
        <v>117.57733934514596</v>
      </c>
      <c r="CZ134" s="21">
        <f t="shared" si="1186"/>
        <v>111.75966051971994</v>
      </c>
      <c r="DA134" s="21">
        <f t="shared" si="1186"/>
        <v>106.22983807124814</v>
      </c>
      <c r="DB134" s="21">
        <f t="shared" si="1186"/>
        <v>100.97362898353123</v>
      </c>
      <c r="DE134" s="126"/>
      <c r="DF134" s="22">
        <v>227.41800000000001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3.0303146000000001</v>
      </c>
      <c r="Q135" s="23">
        <f>'Annual Raw'!R86</f>
        <v>3.0303146000000001</v>
      </c>
      <c r="R135" s="23">
        <f>'Annual Raw'!S86</f>
        <v>3.0303146000000001</v>
      </c>
      <c r="S135" s="23">
        <f>'Annual Raw'!T86</f>
        <v>3.0303146000000001</v>
      </c>
      <c r="T135" s="23">
        <f>'Annual Raw'!U86</f>
        <v>3.03</v>
      </c>
      <c r="U135" s="23">
        <f>'Annual Raw'!V86</f>
        <v>3.03</v>
      </c>
      <c r="V135" s="23">
        <f>'Annual Raw'!W86</f>
        <v>3.03</v>
      </c>
      <c r="W135" s="23">
        <f>'Annual Raw'!X86</f>
        <v>3.03</v>
      </c>
      <c r="X135" s="23">
        <f>'Annual Raw'!Y86</f>
        <v>3.03</v>
      </c>
      <c r="Y135" s="23">
        <f>'Annual Raw'!Z86</f>
        <v>3.03</v>
      </c>
      <c r="Z135" s="23">
        <f>'Annual Raw'!AA86</f>
        <v>68.063999999999993</v>
      </c>
      <c r="AA135" s="23">
        <f>'Annual Raw'!AB86</f>
        <v>74.876999999999995</v>
      </c>
      <c r="AB135" s="24">
        <f t="shared" si="1168"/>
        <v>74.876999999999995</v>
      </c>
      <c r="AC135" s="24">
        <f t="shared" si="1169"/>
        <v>74.876999999999995</v>
      </c>
      <c r="AD135" s="24">
        <f t="shared" si="1170"/>
        <v>74.876999999999995</v>
      </c>
      <c r="AE135" s="24">
        <f t="shared" si="1171"/>
        <v>74.876999999999995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3.03</v>
      </c>
      <c r="CA135" s="23">
        <f t="shared" si="1187"/>
        <v>3.03</v>
      </c>
      <c r="CB135" s="23">
        <f>+'QTR Raw'!AV72</f>
        <v>0</v>
      </c>
      <c r="CC135" s="23">
        <f t="shared" si="1187"/>
        <v>0</v>
      </c>
      <c r="CD135" s="23">
        <f>+'QTR Raw'!AX72</f>
        <v>3.03</v>
      </c>
      <c r="CE135" s="23">
        <f t="shared" si="1187"/>
        <v>3.03</v>
      </c>
      <c r="CF135" s="23">
        <f>+'QTR Raw'!AZ72</f>
        <v>3.03</v>
      </c>
      <c r="CG135" s="23">
        <f t="shared" si="1185"/>
        <v>3.03</v>
      </c>
      <c r="CH135" s="23">
        <f t="shared" si="1172"/>
        <v>68.063999999999993</v>
      </c>
      <c r="CI135" s="23">
        <f t="shared" si="1185"/>
        <v>68.063999999999993</v>
      </c>
      <c r="CJ135" s="23">
        <f>+'QTR Raw'!BD72</f>
        <v>70.600999999999999</v>
      </c>
      <c r="CK135" s="24">
        <f t="shared" ref="CK135:CK137" si="1188">+CJ135</f>
        <v>70.600999999999999</v>
      </c>
      <c r="CL135" s="23">
        <f>+'QTR Raw'!BF72</f>
        <v>74.876999999999995</v>
      </c>
      <c r="CM135" s="24">
        <f t="shared" ref="CM135:CM137" si="1189">+CL135</f>
        <v>74.876999999999995</v>
      </c>
      <c r="CN135" s="24">
        <f t="shared" ref="CN135:CN137" si="1190">+CM135</f>
        <v>74.876999999999995</v>
      </c>
      <c r="CO135" s="24">
        <f t="shared" ref="CO135:CO137" si="1191">+CN135</f>
        <v>74.876999999999995</v>
      </c>
      <c r="CP135" s="24">
        <f t="shared" ref="CP135:CP137" si="1192">+CO135</f>
        <v>74.876999999999995</v>
      </c>
      <c r="CQ135" s="24">
        <f t="shared" ref="CQ135:CQ137" si="1193">+CP135</f>
        <v>74.876999999999995</v>
      </c>
      <c r="CR135" s="24">
        <f t="shared" ref="CR135:CR137" si="1194">+CQ135</f>
        <v>74.876999999999995</v>
      </c>
      <c r="CS135" s="24">
        <f t="shared" ref="CS135:CS137" si="1195">+CR135</f>
        <v>74.876999999999995</v>
      </c>
      <c r="CT135" s="24">
        <f t="shared" ref="CT135:CT137" si="1196">+CS135</f>
        <v>74.876999999999995</v>
      </c>
      <c r="CU135" s="24">
        <f t="shared" ref="CU135:CU137" si="1197">+CT135</f>
        <v>74.876999999999995</v>
      </c>
      <c r="CV135" s="24">
        <f t="shared" ref="CV135:CV137" si="1198">+CU135</f>
        <v>74.876999999999995</v>
      </c>
      <c r="CW135" s="24">
        <f t="shared" ref="CW135:CW137" si="1199">+CV135</f>
        <v>74.876999999999995</v>
      </c>
      <c r="CX135" s="24">
        <f t="shared" ref="CX135:CX137" si="1200">+CW135</f>
        <v>74.876999999999995</v>
      </c>
      <c r="CY135" s="24">
        <f t="shared" ref="CY135:CY137" si="1201">+CX135</f>
        <v>74.876999999999995</v>
      </c>
      <c r="CZ135" s="24">
        <f t="shared" ref="CZ135:CZ137" si="1202">+CY135</f>
        <v>74.876999999999995</v>
      </c>
      <c r="DA135" s="24">
        <f t="shared" ref="DA135:DA137" si="1203">+CZ135</f>
        <v>74.876999999999995</v>
      </c>
      <c r="DB135" s="24">
        <f t="shared" ref="DB135:DB137" si="1204">+DA135</f>
        <v>74.876999999999995</v>
      </c>
      <c r="DE135" s="123"/>
      <c r="DF135" s="23">
        <v>74.876999999999995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0.83392319999999998</v>
      </c>
      <c r="M137" s="23">
        <f>'Annual Raw'!N67+'Annual Raw'!N66+'Annual Raw'!N69+'Annual Raw'!N70</f>
        <v>0</v>
      </c>
      <c r="N137" s="23">
        <f>'Annual Raw'!O67+'Annual Raw'!O66+'Annual Raw'!O69+'Annual Raw'!O70</f>
        <v>2.8874400000000001E-2</v>
      </c>
      <c r="O137" s="23">
        <f>'Annual Raw'!P67+'Annual Raw'!P66+'Annual Raw'!P69+'Annual Raw'!P70</f>
        <v>0.8427</v>
      </c>
      <c r="P137" s="23">
        <f>'Annual Raw'!Q67+'Annual Raw'!Q66+'Annual Raw'!Q69+'Annual Raw'!Q70</f>
        <v>2.9571640000000001</v>
      </c>
      <c r="Q137" s="23">
        <f>'Annual Raw'!R67+'Annual Raw'!R66+'Annual Raw'!R69+'Annual Raw'!R70</f>
        <v>1.7425948</v>
      </c>
      <c r="R137" s="23">
        <f>'Annual Raw'!S67+'Annual Raw'!S66+'Annual Raw'!S69+'Annual Raw'!S70</f>
        <v>2.0843799999999999E-2</v>
      </c>
      <c r="S137" s="23">
        <f>'Annual Raw'!T67+'Annual Raw'!T66+'Annual Raw'!T69+'Annual Raw'!T70</f>
        <v>0</v>
      </c>
      <c r="T137" s="23">
        <f>'Annual Raw'!U67+'Annual Raw'!U66+'Annual Raw'!U69+'Annual Raw'!U70</f>
        <v>1.028</v>
      </c>
      <c r="U137" s="23">
        <f>'Annual Raw'!V67+'Annual Raw'!V66+'Annual Raw'!V69+'Annual Raw'!V70</f>
        <v>77.400000000000006</v>
      </c>
      <c r="V137" s="23">
        <f>'Annual Raw'!W67+'Annual Raw'!W66+'Annual Raw'!W69+'Annual Raw'!W70</f>
        <v>2.3159999999999998</v>
      </c>
      <c r="W137" s="23">
        <f>'Annual Raw'!X67+'Annual Raw'!X66+'Annual Raw'!X69+'Annual Raw'!X70</f>
        <v>3.391</v>
      </c>
      <c r="X137" s="23">
        <f>'Annual Raw'!Y67+'Annual Raw'!Y66+'Annual Raw'!Y69+'Annual Raw'!Y70</f>
        <v>1.3340000000000001</v>
      </c>
      <c r="Y137" s="23">
        <f>'Annual Raw'!Z67+'Annual Raw'!Z66+'Annual Raw'!Z69+'Annual Raw'!Z70</f>
        <v>0.95099999999999996</v>
      </c>
      <c r="Z137" s="23">
        <f>'Annual Raw'!AA67+'Annual Raw'!AA66+'Annual Raw'!AA69+'Annual Raw'!AA70</f>
        <v>5.56</v>
      </c>
      <c r="AA137" s="23">
        <f>'Annual Raw'!AB67+'Annual Raw'!AB66+'Annual Raw'!AB69+'Annual Raw'!AB70</f>
        <v>2.1160000000000001</v>
      </c>
      <c r="AB137" s="24">
        <f t="shared" si="1168"/>
        <v>2.1160000000000001</v>
      </c>
      <c r="AC137" s="24">
        <f t="shared" si="1169"/>
        <v>2.1160000000000001</v>
      </c>
      <c r="AD137" s="24">
        <f t="shared" si="1170"/>
        <v>2.1160000000000001</v>
      </c>
      <c r="AE137" s="24">
        <f t="shared" si="1171"/>
        <v>2.1160000000000001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1.3340000000000001</v>
      </c>
      <c r="CA137" s="23">
        <f t="shared" si="1187"/>
        <v>1.3340000000000001</v>
      </c>
      <c r="CB137" s="23">
        <f>+'QTR Raw'!AV74+'QTR Raw'!AV75</f>
        <v>3.1840000000000002</v>
      </c>
      <c r="CC137" s="23">
        <f t="shared" si="1187"/>
        <v>3.1840000000000002</v>
      </c>
      <c r="CD137" s="23">
        <f>+'QTR Raw'!AX74+'QTR Raw'!AX75</f>
        <v>0.95099999999999996</v>
      </c>
      <c r="CE137" s="23">
        <f t="shared" si="1187"/>
        <v>0.95099999999999996</v>
      </c>
      <c r="CF137" s="23">
        <f>+'QTR Raw'!AZ74+'QTR Raw'!AZ75</f>
        <v>5.8550000000000004</v>
      </c>
      <c r="CG137" s="23">
        <f t="shared" si="1185"/>
        <v>5.8550000000000004</v>
      </c>
      <c r="CH137" s="23">
        <f t="shared" si="1172"/>
        <v>5.56</v>
      </c>
      <c r="CI137" s="23">
        <f t="shared" si="1185"/>
        <v>5.56</v>
      </c>
      <c r="CJ137" s="23">
        <f>+'QTR Raw'!BD74+'QTR Raw'!BD75</f>
        <v>4.1310000000000002</v>
      </c>
      <c r="CK137" s="24">
        <f t="shared" si="1188"/>
        <v>4.1310000000000002</v>
      </c>
      <c r="CL137" s="23">
        <f>+'QTR Raw'!BF74+'QTR Raw'!BF75</f>
        <v>2.1160000000000001</v>
      </c>
      <c r="CM137" s="24">
        <f t="shared" si="1189"/>
        <v>2.1160000000000001</v>
      </c>
      <c r="CN137" s="24">
        <f t="shared" si="1190"/>
        <v>2.1160000000000001</v>
      </c>
      <c r="CO137" s="24">
        <f t="shared" si="1191"/>
        <v>2.1160000000000001</v>
      </c>
      <c r="CP137" s="24">
        <f t="shared" si="1192"/>
        <v>2.1160000000000001</v>
      </c>
      <c r="CQ137" s="24">
        <f t="shared" si="1193"/>
        <v>2.1160000000000001</v>
      </c>
      <c r="CR137" s="24">
        <f t="shared" si="1194"/>
        <v>2.1160000000000001</v>
      </c>
      <c r="CS137" s="24">
        <f t="shared" si="1195"/>
        <v>2.1160000000000001</v>
      </c>
      <c r="CT137" s="24">
        <f t="shared" si="1196"/>
        <v>2.1160000000000001</v>
      </c>
      <c r="CU137" s="24">
        <f t="shared" si="1197"/>
        <v>2.1160000000000001</v>
      </c>
      <c r="CV137" s="24">
        <f t="shared" si="1198"/>
        <v>2.1160000000000001</v>
      </c>
      <c r="CW137" s="24">
        <f t="shared" si="1199"/>
        <v>2.1160000000000001</v>
      </c>
      <c r="CX137" s="24">
        <f t="shared" si="1200"/>
        <v>2.1160000000000001</v>
      </c>
      <c r="CY137" s="24">
        <f t="shared" si="1201"/>
        <v>2.1160000000000001</v>
      </c>
      <c r="CZ137" s="24">
        <f t="shared" si="1202"/>
        <v>2.1160000000000001</v>
      </c>
      <c r="DA137" s="24">
        <f t="shared" si="1203"/>
        <v>2.1160000000000001</v>
      </c>
      <c r="DB137" s="24">
        <f t="shared" si="1204"/>
        <v>2.1160000000000001</v>
      </c>
      <c r="DE137" s="123"/>
      <c r="DF137" s="23">
        <v>2.1160000000000001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0</v>
      </c>
      <c r="K138" s="22">
        <f t="shared" si="1206"/>
        <v>0</v>
      </c>
      <c r="L138" s="22">
        <f t="shared" si="1206"/>
        <v>19.664195899999999</v>
      </c>
      <c r="M138" s="22">
        <f t="shared" si="1206"/>
        <v>19.843888300000003</v>
      </c>
      <c r="N138" s="22">
        <f t="shared" si="1206"/>
        <v>20.2978925</v>
      </c>
      <c r="O138" s="22">
        <f t="shared" si="1206"/>
        <v>24.843210600000003</v>
      </c>
      <c r="P138" s="22">
        <f t="shared" si="1206"/>
        <v>37.763093899999994</v>
      </c>
      <c r="Q138" s="22">
        <f t="shared" si="1206"/>
        <v>41.300999700000006</v>
      </c>
      <c r="R138" s="22">
        <f t="shared" si="1206"/>
        <v>42.107150499999996</v>
      </c>
      <c r="S138" s="22">
        <f t="shared" si="1206"/>
        <v>48.258420900000004</v>
      </c>
      <c r="T138" s="22">
        <f t="shared" si="1206"/>
        <v>49.3</v>
      </c>
      <c r="U138" s="22">
        <f t="shared" si="1206"/>
        <v>183.59299999999999</v>
      </c>
      <c r="V138" s="22">
        <f t="shared" si="1206"/>
        <v>187.94</v>
      </c>
      <c r="W138" s="22">
        <f t="shared" si="1206"/>
        <v>175.60200000000003</v>
      </c>
      <c r="X138" s="22">
        <f t="shared" si="1206"/>
        <v>162.28800000000001</v>
      </c>
      <c r="Y138" s="22">
        <f t="shared" si="1206"/>
        <v>193.08500000000001</v>
      </c>
      <c r="Z138" s="22">
        <f>Z134+Z137+Z136+Z135</f>
        <v>351.49500000000012</v>
      </c>
      <c r="AA138" s="22">
        <f>AA134+AA137+AA136+AA135</f>
        <v>356.92799999999994</v>
      </c>
      <c r="AB138" s="161">
        <f t="shared" ref="AB138:AE138" si="1207">AB134+AB137+AB136+AB135</f>
        <v>262.63259751685473</v>
      </c>
      <c r="AC138" s="161">
        <f t="shared" si="1207"/>
        <v>228.52920279054348</v>
      </c>
      <c r="AD138" s="161">
        <f t="shared" si="1207"/>
        <v>200.69085898771846</v>
      </c>
      <c r="AE138" s="161">
        <f t="shared" si="1207"/>
        <v>177.96662898353122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0</v>
      </c>
      <c r="AW138" s="22">
        <f t="shared" si="1212"/>
        <v>0</v>
      </c>
      <c r="AX138" s="22">
        <f t="shared" si="1212"/>
        <v>0</v>
      </c>
      <c r="AY138" s="22">
        <f t="shared" si="1212"/>
        <v>0</v>
      </c>
      <c r="AZ138" s="22">
        <f t="shared" si="1212"/>
        <v>0</v>
      </c>
      <c r="BA138" s="22">
        <f t="shared" si="1212"/>
        <v>0</v>
      </c>
      <c r="BB138" s="22">
        <f t="shared" si="1212"/>
        <v>0</v>
      </c>
      <c r="BC138" s="22">
        <f t="shared" si="1212"/>
        <v>0</v>
      </c>
      <c r="BD138" s="22">
        <f t="shared" si="1212"/>
        <v>0</v>
      </c>
      <c r="BE138" s="22">
        <f t="shared" si="1212"/>
        <v>0</v>
      </c>
      <c r="BF138" s="22">
        <f t="shared" si="1212"/>
        <v>0</v>
      </c>
      <c r="BG138" s="22">
        <f t="shared" si="1212"/>
        <v>0</v>
      </c>
      <c r="BH138" s="22">
        <f t="shared" si="1212"/>
        <v>0</v>
      </c>
      <c r="BI138" s="22">
        <f t="shared" si="1212"/>
        <v>0</v>
      </c>
      <c r="BJ138" s="22">
        <f t="shared" si="1212"/>
        <v>0</v>
      </c>
      <c r="BK138" s="22">
        <f t="shared" si="1212"/>
        <v>0</v>
      </c>
      <c r="BL138" s="22">
        <f t="shared" si="1212"/>
        <v>0</v>
      </c>
      <c r="BM138" s="22">
        <f t="shared" si="1212"/>
        <v>0</v>
      </c>
      <c r="BN138" s="22">
        <f t="shared" si="1212"/>
        <v>0</v>
      </c>
      <c r="BO138" s="22">
        <f t="shared" si="1212"/>
        <v>0</v>
      </c>
      <c r="BP138" s="22">
        <f t="shared" si="1212"/>
        <v>0</v>
      </c>
      <c r="BQ138" s="22">
        <f t="shared" si="1212"/>
        <v>0</v>
      </c>
      <c r="BR138" s="22">
        <f t="shared" si="1212"/>
        <v>0</v>
      </c>
      <c r="BS138" s="22">
        <f t="shared" si="1212"/>
        <v>0</v>
      </c>
      <c r="BT138" s="22">
        <f t="shared" si="1212"/>
        <v>0</v>
      </c>
      <c r="BU138" s="22">
        <f t="shared" si="1212"/>
        <v>0</v>
      </c>
      <c r="BV138" s="22">
        <f t="shared" si="1212"/>
        <v>0</v>
      </c>
      <c r="BW138" s="22">
        <f t="shared" si="1212"/>
        <v>0</v>
      </c>
      <c r="BX138" s="22">
        <f t="shared" si="1212"/>
        <v>0</v>
      </c>
      <c r="BY138" s="22">
        <f t="shared" si="1212"/>
        <v>0</v>
      </c>
      <c r="BZ138" s="22">
        <f t="shared" si="1212"/>
        <v>127.76</v>
      </c>
      <c r="CA138" s="22">
        <f t="shared" si="1212"/>
        <v>127.76</v>
      </c>
      <c r="CB138" s="22">
        <f t="shared" si="1212"/>
        <v>138.14699999999999</v>
      </c>
      <c r="CC138" s="22">
        <f t="shared" si="1212"/>
        <v>138.14699999999999</v>
      </c>
      <c r="CD138" s="22">
        <f t="shared" si="1212"/>
        <v>143.67099999999999</v>
      </c>
      <c r="CE138" s="22">
        <f t="shared" si="1212"/>
        <v>143.67099999999999</v>
      </c>
      <c r="CF138" s="22">
        <f t="shared" ref="CF138:CG138" si="1213">CF134+CF137+CF135+CF136</f>
        <v>157.80699999999999</v>
      </c>
      <c r="CG138" s="22">
        <f t="shared" si="1213"/>
        <v>157.80699999999999</v>
      </c>
      <c r="CH138" s="22">
        <f t="shared" ref="CH138:CJ138" si="1214">CH134+CH137+CH135+CH136</f>
        <v>351.49500000000012</v>
      </c>
      <c r="CI138" s="22">
        <f t="shared" si="1214"/>
        <v>340.97800000000007</v>
      </c>
      <c r="CJ138" s="22">
        <f t="shared" si="1214"/>
        <v>305.71699999999998</v>
      </c>
      <c r="CK138" s="21">
        <f t="shared" ref="CK138:DB138" si="1215">CK134+CK137+CK135+CK136</f>
        <v>294.94400000000002</v>
      </c>
      <c r="CL138" s="22">
        <f t="shared" si="1215"/>
        <v>304.411</v>
      </c>
      <c r="CM138" s="21">
        <f t="shared" si="1215"/>
        <v>293.15845005721758</v>
      </c>
      <c r="CN138" s="21">
        <f t="shared" si="1215"/>
        <v>282.46267169898351</v>
      </c>
      <c r="CO138" s="21">
        <f t="shared" si="1215"/>
        <v>272.29611609423847</v>
      </c>
      <c r="CP138" s="21">
        <f t="shared" si="1215"/>
        <v>262.63259751685473</v>
      </c>
      <c r="CQ138" s="21">
        <f t="shared" si="1215"/>
        <v>253.4472258997601</v>
      </c>
      <c r="CR138" s="21">
        <f t="shared" si="1215"/>
        <v>244.7163427262555</v>
      </c>
      <c r="CS138" s="21">
        <f t="shared" si="1215"/>
        <v>236.417460093405</v>
      </c>
      <c r="CT138" s="21">
        <f t="shared" si="1215"/>
        <v>228.52920279054348</v>
      </c>
      <c r="CU138" s="21">
        <f t="shared" si="1215"/>
        <v>221.03125324371695</v>
      </c>
      <c r="CV138" s="21">
        <f t="shared" si="1215"/>
        <v>213.90429918424906</v>
      </c>
      <c r="CW138" s="21">
        <f t="shared" si="1215"/>
        <v>207.12998390664575</v>
      </c>
      <c r="CX138" s="21">
        <f t="shared" si="1215"/>
        <v>200.69085898771846</v>
      </c>
      <c r="CY138" s="21">
        <f t="shared" si="1215"/>
        <v>194.57033934514595</v>
      </c>
      <c r="CZ138" s="21">
        <f t="shared" si="1215"/>
        <v>188.75266051971994</v>
      </c>
      <c r="DA138" s="21">
        <f t="shared" si="1215"/>
        <v>183.22283807124813</v>
      </c>
      <c r="DB138" s="21">
        <f t="shared" si="1215"/>
        <v>177.96662898353122</v>
      </c>
      <c r="DE138" s="126"/>
      <c r="DF138" s="22">
        <v>304.411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2.7425000000000002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3.0000000000000001E-3</v>
      </c>
      <c r="U140" s="23">
        <f>'Annual Raw'!V71</f>
        <v>0.32200000000000001</v>
      </c>
      <c r="V140" s="23">
        <f>'Annual Raw'!W71</f>
        <v>0.32200000000000001</v>
      </c>
      <c r="W140" s="23">
        <f>'Annual Raw'!X71</f>
        <v>0.32200000000000001</v>
      </c>
      <c r="X140" s="23">
        <f>'Annual Raw'!Y71</f>
        <v>89.522000000000006</v>
      </c>
      <c r="Y140" s="23">
        <f>'Annual Raw'!Z71</f>
        <v>66.212000000000003</v>
      </c>
      <c r="Z140" s="23">
        <f>'Annual Raw'!AA71</f>
        <v>30.949000000000002</v>
      </c>
      <c r="AA140" s="23">
        <f>'Annual Raw'!AB71</f>
        <v>10.233000000000001</v>
      </c>
      <c r="AB140" s="24">
        <f>+CP140</f>
        <v>10.233000000000001</v>
      </c>
      <c r="AC140" s="24">
        <f>+CT140</f>
        <v>10.233000000000001</v>
      </c>
      <c r="AD140" s="24">
        <f>+CX140</f>
        <v>10.233000000000001</v>
      </c>
      <c r="AE140" s="24">
        <f>+DB140</f>
        <v>10.233000000000001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</v>
      </c>
      <c r="BK140" s="23">
        <f t="shared" si="1216"/>
        <v>0</v>
      </c>
      <c r="BL140" s="23">
        <f>+'QTR Raw'!AF77</f>
        <v>0</v>
      </c>
      <c r="BM140" s="23">
        <f t="shared" si="1216"/>
        <v>0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0</v>
      </c>
      <c r="BS140" s="23">
        <f t="shared" si="1216"/>
        <v>0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89.522000000000006</v>
      </c>
      <c r="CA140" s="23">
        <f t="shared" si="1216"/>
        <v>89.522000000000006</v>
      </c>
      <c r="CB140" s="23">
        <f>+'QTR Raw'!AV77</f>
        <v>89.522000000000006</v>
      </c>
      <c r="CC140" s="23">
        <f t="shared" si="1216"/>
        <v>89.522000000000006</v>
      </c>
      <c r="CD140" s="23">
        <f>+'QTR Raw'!AX77</f>
        <v>66.212000000000003</v>
      </c>
      <c r="CE140" s="23">
        <f t="shared" si="1216"/>
        <v>66.212000000000003</v>
      </c>
      <c r="CF140" s="23">
        <f>+'QTR Raw'!AZ77</f>
        <v>66.212000000000003</v>
      </c>
      <c r="CG140" s="23">
        <f t="shared" ref="CG140:CI143" si="1217">+CF140</f>
        <v>66.212000000000003</v>
      </c>
      <c r="CH140" s="23">
        <f t="shared" ref="CH140:CH155" si="1218">Z140</f>
        <v>30.949000000000002</v>
      </c>
      <c r="CI140" s="23">
        <f t="shared" si="1217"/>
        <v>30.949000000000002</v>
      </c>
      <c r="CJ140" s="23">
        <f>+'QTR Raw'!BD77</f>
        <v>27.108000000000001</v>
      </c>
      <c r="CK140" s="24">
        <f t="shared" ref="CK140" si="1219">+CJ140</f>
        <v>27.108000000000001</v>
      </c>
      <c r="CL140" s="23">
        <f>+'QTR Raw'!BF77</f>
        <v>10.233000000000001</v>
      </c>
      <c r="CM140" s="24">
        <f t="shared" ref="CM140" si="1220">+CL140</f>
        <v>10.233000000000001</v>
      </c>
      <c r="CN140" s="24">
        <f t="shared" ref="CN140" si="1221">+CM140</f>
        <v>10.233000000000001</v>
      </c>
      <c r="CO140" s="24">
        <f t="shared" ref="CO140" si="1222">+CN140</f>
        <v>10.233000000000001</v>
      </c>
      <c r="CP140" s="24">
        <f t="shared" ref="CP140" si="1223">+CO140</f>
        <v>10.233000000000001</v>
      </c>
      <c r="CQ140" s="24">
        <f t="shared" ref="CQ140" si="1224">+CP140</f>
        <v>10.233000000000001</v>
      </c>
      <c r="CR140" s="24">
        <f t="shared" ref="CR140" si="1225">+CQ140</f>
        <v>10.233000000000001</v>
      </c>
      <c r="CS140" s="24">
        <f t="shared" ref="CS140" si="1226">+CR140</f>
        <v>10.233000000000001</v>
      </c>
      <c r="CT140" s="24">
        <f t="shared" ref="CT140" si="1227">+CS140</f>
        <v>10.233000000000001</v>
      </c>
      <c r="CU140" s="24">
        <f t="shared" ref="CU140" si="1228">+CT140</f>
        <v>10.233000000000001</v>
      </c>
      <c r="CV140" s="24">
        <f t="shared" ref="CV140" si="1229">+CU140</f>
        <v>10.233000000000001</v>
      </c>
      <c r="CW140" s="24">
        <f t="shared" ref="CW140" si="1230">+CV140</f>
        <v>10.233000000000001</v>
      </c>
      <c r="CX140" s="24">
        <f t="shared" ref="CX140" si="1231">+CW140</f>
        <v>10.233000000000001</v>
      </c>
      <c r="CY140" s="24">
        <f t="shared" ref="CY140" si="1232">+CX140</f>
        <v>10.233000000000001</v>
      </c>
      <c r="CZ140" s="24">
        <f t="shared" ref="CZ140" si="1233">+CY140</f>
        <v>10.233000000000001</v>
      </c>
      <c r="DA140" s="24">
        <f t="shared" ref="DA140" si="1234">+CZ140</f>
        <v>10.233000000000001</v>
      </c>
      <c r="DB140" s="24">
        <f t="shared" ref="DB140" si="1235">+DA140</f>
        <v>10.233000000000001</v>
      </c>
      <c r="DE140" s="123"/>
      <c r="DF140" s="23">
        <v>10.233000000000001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1.1426158</v>
      </c>
      <c r="M142" s="23">
        <f>'Annual Raw'!N72+'Annual Raw'!N61</f>
        <v>0.96345550000000002</v>
      </c>
      <c r="N142" s="23">
        <f>'Annual Raw'!O72+'Annual Raw'!O61</f>
        <v>0.97809729999999995</v>
      </c>
      <c r="O142" s="23">
        <f>'Annual Raw'!P72+'Annual Raw'!P61</f>
        <v>2.2955657999999999</v>
      </c>
      <c r="P142" s="23">
        <f>'Annual Raw'!Q72+'Annual Raw'!Q61</f>
        <v>4.2815323999999997</v>
      </c>
      <c r="Q142" s="23">
        <f>'Annual Raw'!R72+'Annual Raw'!R61</f>
        <v>2.8525271999999999</v>
      </c>
      <c r="R142" s="23">
        <f>'Annual Raw'!S72+'Annual Raw'!S61</f>
        <v>2.3121445999999999</v>
      </c>
      <c r="S142" s="23">
        <f>'Annual Raw'!T72+'Annual Raw'!T61</f>
        <v>9.9615832999999991</v>
      </c>
      <c r="T142" s="23">
        <f>'Annual Raw'!U72+'Annual Raw'!U61</f>
        <v>9.7119999999999997</v>
      </c>
      <c r="U142" s="23">
        <f>'Annual Raw'!V72+'Annual Raw'!V61</f>
        <v>15.366</v>
      </c>
      <c r="V142" s="23">
        <f>'Annual Raw'!W72+'Annual Raw'!W61</f>
        <v>7.0030000000000001</v>
      </c>
      <c r="W142" s="23">
        <f>'Annual Raw'!X72+'Annual Raw'!X61</f>
        <v>4.9180000000000001</v>
      </c>
      <c r="X142" s="23">
        <f>'Annual Raw'!Y72+'Annual Raw'!Y61</f>
        <v>6.2629999999999999</v>
      </c>
      <c r="Y142" s="23">
        <f>'Annual Raw'!Z72+'Annual Raw'!Z61</f>
        <v>12.016999999999999</v>
      </c>
      <c r="Z142" s="23">
        <f>'Annual Raw'!AA72+'Annual Raw'!AA61</f>
        <v>16.344999999999999</v>
      </c>
      <c r="AA142" s="23">
        <f>'Annual Raw'!AB72+'Annual Raw'!AB61</f>
        <v>39.472000000000001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0</v>
      </c>
      <c r="AW142" s="23">
        <f t="shared" si="1240"/>
        <v>0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0</v>
      </c>
      <c r="BE142" s="23">
        <f t="shared" si="1240"/>
        <v>0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16.344999999999999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6.2430000000000003</v>
      </c>
      <c r="U143" s="23">
        <f>'Annual Raw'!V73+'Annual Raw'!V81</f>
        <v>0</v>
      </c>
      <c r="V143" s="23">
        <f>'Annual Raw'!W73+'Annual Raw'!W81</f>
        <v>1.76</v>
      </c>
      <c r="W143" s="23">
        <f>'Annual Raw'!X73+'Annual Raw'!X81</f>
        <v>0.27600000000000002</v>
      </c>
      <c r="X143" s="23">
        <f>'Annual Raw'!Y73+'Annual Raw'!Y81</f>
        <v>1.5780000000000001</v>
      </c>
      <c r="Y143" s="23">
        <f>'Annual Raw'!Z73+'Annual Raw'!Z81</f>
        <v>0.185</v>
      </c>
      <c r="Z143" s="23">
        <f>'Annual Raw'!AA73+'Annual Raw'!AA81</f>
        <v>0.24399999999999999</v>
      </c>
      <c r="AA143" s="23">
        <f>'Annual Raw'!AB73+'Annual Raw'!AB81</f>
        <v>0.26700000000000002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</v>
      </c>
      <c r="BG143" s="23">
        <f t="shared" si="1240"/>
        <v>0</v>
      </c>
      <c r="BH143" s="23">
        <f>+'QTR Raw'!AB79+'QTR Raw'!AB76</f>
        <v>0</v>
      </c>
      <c r="BI143" s="23">
        <f t="shared" si="1240"/>
        <v>0</v>
      </c>
      <c r="BJ143" s="23">
        <f>+'QTR Raw'!AD79+'QTR Raw'!AD76</f>
        <v>0</v>
      </c>
      <c r="BK143" s="23">
        <f t="shared" si="1240"/>
        <v>0</v>
      </c>
      <c r="BL143" s="23">
        <f>+'QTR Raw'!AF79+'QTR Raw'!AF76</f>
        <v>0</v>
      </c>
      <c r="BM143" s="23">
        <f t="shared" si="1240"/>
        <v>0</v>
      </c>
      <c r="BN143" s="23">
        <f>+'QTR Raw'!AH79+'QTR Raw'!AH76</f>
        <v>0</v>
      </c>
      <c r="BO143" s="23">
        <f t="shared" si="1240"/>
        <v>0</v>
      </c>
      <c r="BP143" s="23">
        <f>+'QTR Raw'!AJ79+'QTR Raw'!AJ76</f>
        <v>0</v>
      </c>
      <c r="BQ143" s="23">
        <f t="shared" si="1240"/>
        <v>0</v>
      </c>
      <c r="BR143" s="23">
        <f>+'QTR Raw'!AL79+'QTR Raw'!AL76</f>
        <v>0</v>
      </c>
      <c r="BS143" s="23">
        <f t="shared" si="1240"/>
        <v>0</v>
      </c>
      <c r="BT143" s="23">
        <f>+'QTR Raw'!AN79+'QTR Raw'!AN76</f>
        <v>0</v>
      </c>
      <c r="BU143" s="23">
        <f t="shared" si="1240"/>
        <v>0</v>
      </c>
      <c r="BV143" s="23">
        <f>+'QTR Raw'!AP79+'QTR Raw'!AP76</f>
        <v>0</v>
      </c>
      <c r="BW143" s="23">
        <f t="shared" si="1240"/>
        <v>0</v>
      </c>
      <c r="BX143" s="23">
        <f>+'QTR Raw'!AR79+'QTR Raw'!AR76</f>
        <v>0</v>
      </c>
      <c r="BY143" s="23">
        <f t="shared" si="1240"/>
        <v>0</v>
      </c>
      <c r="BZ143" s="23">
        <f>+'QTR Raw'!AT79+'QTR Raw'!AT76</f>
        <v>42.369</v>
      </c>
      <c r="CA143" s="23">
        <f t="shared" si="1240"/>
        <v>42.369</v>
      </c>
      <c r="CB143" s="23">
        <f>+'QTR Raw'!AV79+'QTR Raw'!AV76</f>
        <v>46.034999999999997</v>
      </c>
      <c r="CC143" s="23">
        <f t="shared" si="1240"/>
        <v>46.034999999999997</v>
      </c>
      <c r="CD143" s="23">
        <f>+'QTR Raw'!AX79+'QTR Raw'!AX76</f>
        <v>61.616</v>
      </c>
      <c r="CE143" s="23">
        <f t="shared" si="1240"/>
        <v>61.616</v>
      </c>
      <c r="CF143" s="23">
        <f>+'QTR Raw'!AZ79+'QTR Raw'!AZ76</f>
        <v>58.23</v>
      </c>
      <c r="CG143" s="23">
        <f t="shared" si="1217"/>
        <v>58.23</v>
      </c>
      <c r="CH143" s="23">
        <f t="shared" si="1218"/>
        <v>0.24399999999999999</v>
      </c>
      <c r="CJ143" s="23">
        <f>+'QTR Raw'!BD79+'QTR Raw'!BD76</f>
        <v>77.426000000000002</v>
      </c>
      <c r="CK143" s="24"/>
      <c r="CL143" s="23">
        <f>+'QTR Raw'!BF79+'QTR Raw'!BF76</f>
        <v>92.256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92.256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32.411741599999999</v>
      </c>
      <c r="M144" s="23">
        <f>'Annual Raw'!N76</f>
        <v>38.231341100000002</v>
      </c>
      <c r="N144" s="23">
        <f>'Annual Raw'!O76</f>
        <v>34.5914322</v>
      </c>
      <c r="O144" s="23">
        <f>'Annual Raw'!P76</f>
        <v>108.43305580000001</v>
      </c>
      <c r="P144" s="23">
        <f>'Annual Raw'!Q76</f>
        <v>60.606354899999999</v>
      </c>
      <c r="Q144" s="23">
        <f>'Annual Raw'!R76</f>
        <v>97.857988399999996</v>
      </c>
      <c r="R144" s="23">
        <f>'Annual Raw'!S76</f>
        <v>93.460496399999997</v>
      </c>
      <c r="S144" s="23">
        <f>'Annual Raw'!T76</f>
        <v>122.1668727</v>
      </c>
      <c r="T144" s="23">
        <f>'Annual Raw'!U76</f>
        <v>178.934</v>
      </c>
      <c r="U144" s="23">
        <f>'Annual Raw'!V76</f>
        <v>222.577</v>
      </c>
      <c r="V144" s="23">
        <f>'Annual Raw'!W76</f>
        <v>155.447</v>
      </c>
      <c r="W144" s="23">
        <f>'Annual Raw'!X76</f>
        <v>269.56200000000001</v>
      </c>
      <c r="X144" s="23">
        <f>'Annual Raw'!Y76</f>
        <v>425.08300000000003</v>
      </c>
      <c r="Y144" s="23">
        <f>'Annual Raw'!Z76</f>
        <v>464.21899999999999</v>
      </c>
      <c r="Z144" s="23">
        <f>'Annual Raw'!AA76</f>
        <v>571.27300000000002</v>
      </c>
      <c r="AA144" s="23">
        <f>'Annual Raw'!AB76</f>
        <v>647.33199999999999</v>
      </c>
      <c r="AB144" s="24">
        <f t="shared" si="1236"/>
        <v>536.43650320822542</v>
      </c>
      <c r="AC144" s="24">
        <f t="shared" si="1237"/>
        <v>439.32008174060934</v>
      </c>
      <c r="AD144" s="24">
        <f t="shared" si="1238"/>
        <v>358.88022686134616</v>
      </c>
      <c r="AE144" s="24">
        <f t="shared" si="1239"/>
        <v>293.0409825165176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0</v>
      </c>
      <c r="BW144" s="23" t="e">
        <f>+BW179*BW10/90</f>
        <v>#DIV/0!</v>
      </c>
      <c r="BX144" s="23">
        <f>+'QTR Raw'!AR81</f>
        <v>0</v>
      </c>
      <c r="BY144" s="23">
        <f>+BY179*BY10/90</f>
        <v>0</v>
      </c>
      <c r="BZ144" s="23">
        <f>+'QTR Raw'!AT81</f>
        <v>425.08300000000003</v>
      </c>
      <c r="CA144" s="23">
        <f>+CA179*CA10/90</f>
        <v>332.79825818151664</v>
      </c>
      <c r="CB144" s="23">
        <f>+'QTR Raw'!AV81</f>
        <v>461.63400000000001</v>
      </c>
      <c r="CC144" s="23">
        <f>+CC179*CC10/90</f>
        <v>507.82935268196741</v>
      </c>
      <c r="CD144" s="23">
        <f>+'QTR Raw'!AX81</f>
        <v>464.21899999999999</v>
      </c>
      <c r="CE144" s="23">
        <f>+CE179*CE10/90</f>
        <v>329.58454661275749</v>
      </c>
      <c r="CF144" s="23">
        <f>+'QTR Raw'!AZ81</f>
        <v>523.30999999999995</v>
      </c>
      <c r="CG144" s="23">
        <f>+CG179*CG10/90</f>
        <v>596.92679717550391</v>
      </c>
      <c r="CH144" s="23">
        <f t="shared" si="1218"/>
        <v>571.27300000000002</v>
      </c>
      <c r="CI144" s="23">
        <f>+CI179*CI10/90</f>
        <v>368.71467894079035</v>
      </c>
      <c r="CJ144" s="23">
        <f>+'QTR Raw'!BD81</f>
        <v>591.125</v>
      </c>
      <c r="CK144" s="24">
        <f t="shared" ref="CK144:DB144" si="1241">+CK179*CK10/90</f>
        <v>576.34658955555403</v>
      </c>
      <c r="CL144" s="23">
        <f>+'QTR Raw'!BF81</f>
        <v>647.33199999999999</v>
      </c>
      <c r="CM144" s="24">
        <f t="shared" si="1241"/>
        <v>413.94911007303364</v>
      </c>
      <c r="CN144" s="24">
        <f t="shared" si="1241"/>
        <v>435.30015979221048</v>
      </c>
      <c r="CO144" s="24">
        <f t="shared" si="1241"/>
        <v>424.5962457641715</v>
      </c>
      <c r="CP144" s="24">
        <f t="shared" si="1241"/>
        <v>536.43650320822542</v>
      </c>
      <c r="CQ144" s="24">
        <f t="shared" si="1241"/>
        <v>339.5648595407061</v>
      </c>
      <c r="CR144" s="24">
        <f t="shared" si="1241"/>
        <v>353.38407983842649</v>
      </c>
      <c r="CS144" s="24">
        <f t="shared" si="1241"/>
        <v>346.05830212173203</v>
      </c>
      <c r="CT144" s="24">
        <f t="shared" si="1241"/>
        <v>439.32008174060934</v>
      </c>
      <c r="CU144" s="24">
        <f t="shared" si="1241"/>
        <v>277.2642178729709</v>
      </c>
      <c r="CV144" s="24">
        <f t="shared" si="1241"/>
        <v>288.2142444870637</v>
      </c>
      <c r="CW144" s="24">
        <f t="shared" si="1241"/>
        <v>282.56532065342009</v>
      </c>
      <c r="CX144" s="24">
        <f t="shared" si="1241"/>
        <v>358.88022686134616</v>
      </c>
      <c r="CY144" s="24">
        <f t="shared" si="1241"/>
        <v>226.35406847374935</v>
      </c>
      <c r="CZ144" s="24">
        <f t="shared" si="1241"/>
        <v>235.28311798322414</v>
      </c>
      <c r="DA144" s="24">
        <f t="shared" si="1241"/>
        <v>230.725630727762</v>
      </c>
      <c r="DB144" s="24">
        <f t="shared" si="1241"/>
        <v>293.0409825165176</v>
      </c>
      <c r="DE144" s="123"/>
      <c r="DF144" s="23">
        <v>647.33199999999999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22.972111900000002</v>
      </c>
      <c r="M145" s="23">
        <f>'Annual Raw'!N77</f>
        <v>24.5773732</v>
      </c>
      <c r="N145" s="23">
        <f>'Annual Raw'!O77</f>
        <v>28.666715199999999</v>
      </c>
      <c r="O145" s="23">
        <f>'Annual Raw'!P77</f>
        <v>64.736053699999999</v>
      </c>
      <c r="P145" s="23">
        <f>'Annual Raw'!Q77</f>
        <v>33.916030300000003</v>
      </c>
      <c r="Q145" s="23">
        <f>'Annual Raw'!R77</f>
        <v>66.302238700000004</v>
      </c>
      <c r="R145" s="23">
        <f>'Annual Raw'!S77</f>
        <v>99.679623000000007</v>
      </c>
      <c r="S145" s="23">
        <f>'Annual Raw'!T77</f>
        <v>137.52178610000001</v>
      </c>
      <c r="T145" s="23">
        <f>'Annual Raw'!U77</f>
        <v>119.67</v>
      </c>
      <c r="U145" s="23">
        <f>'Annual Raw'!V77</f>
        <v>54.585000000000001</v>
      </c>
      <c r="V145" s="23">
        <f>'Annual Raw'!W77</f>
        <v>226.38300000000001</v>
      </c>
      <c r="W145" s="23">
        <f>'Annual Raw'!X77</f>
        <v>152.32499999999999</v>
      </c>
      <c r="X145" s="23">
        <f>'Annual Raw'!Y77</f>
        <v>161.74799999999999</v>
      </c>
      <c r="Y145" s="23">
        <f>'Annual Raw'!Z77</f>
        <v>225.869</v>
      </c>
      <c r="Z145" s="23">
        <f>'Annual Raw'!AA77</f>
        <v>347.39699999999999</v>
      </c>
      <c r="AA145" s="23">
        <f>'Annual Raw'!AB77</f>
        <v>307.31200000000001</v>
      </c>
      <c r="AB145" s="24">
        <f t="shared" si="1236"/>
        <v>254.6658819182833</v>
      </c>
      <c r="AC145" s="24">
        <f t="shared" si="1237"/>
        <v>208.56119110420951</v>
      </c>
      <c r="AD145" s="24">
        <f t="shared" si="1238"/>
        <v>170.37347184630761</v>
      </c>
      <c r="AE145" s="24">
        <f t="shared" si="1239"/>
        <v>139.11719244393305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0</v>
      </c>
      <c r="BW145" s="23" t="e">
        <f>+BW180*BW10/90</f>
        <v>#DIV/0!</v>
      </c>
      <c r="BX145" s="23">
        <f>+'QTR Raw'!AR82</f>
        <v>0</v>
      </c>
      <c r="BY145" s="23">
        <f>+BY180*BY10/90</f>
        <v>0</v>
      </c>
      <c r="BZ145" s="23">
        <f>+'QTR Raw'!AT82</f>
        <v>161.74799999999999</v>
      </c>
      <c r="CA145" s="23">
        <f>+CA180*CA10/90</f>
        <v>126.63280503888404</v>
      </c>
      <c r="CB145" s="23">
        <f>+'QTR Raw'!AV82</f>
        <v>278.73099999999999</v>
      </c>
      <c r="CC145" s="23">
        <f>+CC180*CC10/90</f>
        <v>306.62339277955567</v>
      </c>
      <c r="CD145" s="23">
        <f>+'QTR Raw'!AX82</f>
        <v>225.869</v>
      </c>
      <c r="CE145" s="23">
        <f>+CE180*CE10/90</f>
        <v>160.36166541842732</v>
      </c>
      <c r="CF145" s="23">
        <f>+'QTR Raw'!AZ82</f>
        <v>346.75700000000001</v>
      </c>
      <c r="CG145" s="23">
        <f>+CG180*CG10/90</f>
        <v>395.53714893311076</v>
      </c>
      <c r="CH145" s="23">
        <f t="shared" si="1218"/>
        <v>347.39699999999999</v>
      </c>
      <c r="CI145" s="23">
        <f>+CI180*CI10/90</f>
        <v>224.21919698636859</v>
      </c>
      <c r="CJ145" s="23">
        <f>+'QTR Raw'!BD82</f>
        <v>244.09700000000001</v>
      </c>
      <c r="CK145" s="24">
        <f t="shared" ref="CK145:DB145" si="1242">+CK180*CK10/90</f>
        <v>237.99445712961233</v>
      </c>
      <c r="CL145" s="23">
        <f>+'QTR Raw'!BF82</f>
        <v>307.31200000000001</v>
      </c>
      <c r="CM145" s="24">
        <f t="shared" si="1242"/>
        <v>196.51666983057245</v>
      </c>
      <c r="CN145" s="24">
        <f t="shared" si="1242"/>
        <v>206.65278822314326</v>
      </c>
      <c r="CO145" s="24">
        <f t="shared" si="1242"/>
        <v>201.57125165800406</v>
      </c>
      <c r="CP145" s="24">
        <f t="shared" si="1242"/>
        <v>254.6658819182833</v>
      </c>
      <c r="CQ145" s="24">
        <f t="shared" si="1242"/>
        <v>161.20376578814805</v>
      </c>
      <c r="CR145" s="24">
        <f t="shared" si="1242"/>
        <v>167.76425133209315</v>
      </c>
      <c r="CS145" s="24">
        <f t="shared" si="1242"/>
        <v>164.28643870785578</v>
      </c>
      <c r="CT145" s="24">
        <f t="shared" si="1242"/>
        <v>208.56119110420951</v>
      </c>
      <c r="CU145" s="24">
        <f t="shared" si="1242"/>
        <v>131.62738953578449</v>
      </c>
      <c r="CV145" s="24">
        <f t="shared" si="1242"/>
        <v>136.825764679961</v>
      </c>
      <c r="CW145" s="24">
        <f t="shared" si="1242"/>
        <v>134.14401546755582</v>
      </c>
      <c r="CX145" s="24">
        <f t="shared" si="1242"/>
        <v>170.37347184630761</v>
      </c>
      <c r="CY145" s="24">
        <f t="shared" si="1242"/>
        <v>107.45849346363977</v>
      </c>
      <c r="CZ145" s="24">
        <f t="shared" si="1242"/>
        <v>111.6974374102633</v>
      </c>
      <c r="DA145" s="24">
        <f t="shared" si="1242"/>
        <v>109.53383276311071</v>
      </c>
      <c r="DB145" s="24">
        <f t="shared" si="1242"/>
        <v>139.11719244393305</v>
      </c>
      <c r="DE145" s="123"/>
      <c r="DF145" s="23">
        <v>307.31200000000001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0.69475290000000001</v>
      </c>
      <c r="M146" s="23">
        <f>'Annual Raw'!N79</f>
        <v>0.4326796</v>
      </c>
      <c r="N146" s="23">
        <f>'Annual Raw'!O79</f>
        <v>0.85410299999999995</v>
      </c>
      <c r="O146" s="23">
        <f>'Annual Raw'!P79</f>
        <v>3.7029336000000002</v>
      </c>
      <c r="P146" s="23">
        <f>'Annual Raw'!Q79</f>
        <v>1.4744581999999999</v>
      </c>
      <c r="Q146" s="23">
        <f>'Annual Raw'!R79</f>
        <v>0.84082829999999997</v>
      </c>
      <c r="R146" s="23">
        <f>'Annual Raw'!S79</f>
        <v>2.7253096999999999</v>
      </c>
      <c r="S146" s="23">
        <f>'Annual Raw'!T79</f>
        <v>0.99938660000000001</v>
      </c>
      <c r="T146" s="23">
        <f>'Annual Raw'!U79</f>
        <v>3.9470000000000001</v>
      </c>
      <c r="U146" s="23">
        <f>'Annual Raw'!V79</f>
        <v>5.5030000000000001</v>
      </c>
      <c r="V146" s="23">
        <f>'Annual Raw'!W79</f>
        <v>8.9719999999999995</v>
      </c>
      <c r="W146" s="23">
        <f>'Annual Raw'!X79</f>
        <v>5.3840000000000003</v>
      </c>
      <c r="X146" s="23">
        <f>'Annual Raw'!Y79</f>
        <v>15.897</v>
      </c>
      <c r="Y146" s="23">
        <f>'Annual Raw'!Z79</f>
        <v>30.138999999999999</v>
      </c>
      <c r="Z146" s="23">
        <f>'Annual Raw'!AA79</f>
        <v>12.308</v>
      </c>
      <c r="AA146" s="23">
        <f>'Annual Raw'!AB79</f>
        <v>6.194</v>
      </c>
      <c r="AB146" s="24">
        <f t="shared" si="1236"/>
        <v>177.43295405050694</v>
      </c>
      <c r="AC146" s="24">
        <f t="shared" si="1237"/>
        <v>145.31050629619281</v>
      </c>
      <c r="AD146" s="24">
        <f t="shared" si="1238"/>
        <v>118.70403751701353</v>
      </c>
      <c r="AE146" s="24">
        <f t="shared" si="1239"/>
        <v>96.926899781810775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0</v>
      </c>
      <c r="BK146" s="23">
        <f t="shared" si="1240"/>
        <v>0</v>
      </c>
      <c r="BL146" s="23">
        <f>+'QTR Raw'!AF84</f>
        <v>0</v>
      </c>
      <c r="BM146" s="23">
        <f t="shared" si="1240"/>
        <v>0</v>
      </c>
      <c r="BN146" s="23">
        <f>+'QTR Raw'!AH84</f>
        <v>0</v>
      </c>
      <c r="BO146" s="23">
        <f t="shared" si="1240"/>
        <v>0</v>
      </c>
      <c r="BP146" s="23">
        <f>+'QTR Raw'!AJ84</f>
        <v>0</v>
      </c>
      <c r="BQ146" s="23">
        <f t="shared" si="1240"/>
        <v>0</v>
      </c>
      <c r="BR146" s="23">
        <f>+'QTR Raw'!AL84</f>
        <v>0</v>
      </c>
      <c r="BS146" s="23">
        <f t="shared" si="1240"/>
        <v>0</v>
      </c>
      <c r="BT146" s="23">
        <f>+'QTR Raw'!AN84</f>
        <v>0</v>
      </c>
      <c r="BU146" s="23">
        <f t="shared" si="1240"/>
        <v>0</v>
      </c>
      <c r="BV146" s="23">
        <f>+'QTR Raw'!AP84</f>
        <v>0</v>
      </c>
      <c r="BW146" s="23">
        <f t="shared" si="1240"/>
        <v>0</v>
      </c>
      <c r="BX146" s="23">
        <f>+'QTR Raw'!AR84</f>
        <v>0</v>
      </c>
      <c r="BY146" s="23">
        <f t="shared" si="1240"/>
        <v>0</v>
      </c>
      <c r="BZ146" s="23">
        <f>+'QTR Raw'!AT84</f>
        <v>85.256</v>
      </c>
      <c r="CA146" s="23">
        <f t="shared" si="1240"/>
        <v>85.256</v>
      </c>
      <c r="CB146" s="23">
        <f>+'QTR Raw'!AV84</f>
        <v>113.011</v>
      </c>
      <c r="CC146" s="23">
        <f t="shared" si="1240"/>
        <v>113.011</v>
      </c>
      <c r="CD146" s="23">
        <f>+'QTR Raw'!AX84</f>
        <v>99.236000000000004</v>
      </c>
      <c r="CE146" s="23">
        <f t="shared" si="1240"/>
        <v>99.236000000000004</v>
      </c>
      <c r="CF146" s="23">
        <f>+'QTR Raw'!AZ84</f>
        <v>73.430000000000007</v>
      </c>
      <c r="CG146" s="23">
        <f t="shared" ref="CG146:CG147" si="1243">+CF146</f>
        <v>73.430000000000007</v>
      </c>
      <c r="CH146" s="23">
        <f t="shared" si="1218"/>
        <v>12.308</v>
      </c>
      <c r="CI146" s="23">
        <f>CI10/90*CI181</f>
        <v>59.252725729170336</v>
      </c>
      <c r="CJ146" s="23">
        <f>+'QTR Raw'!BD84</f>
        <v>111.587</v>
      </c>
      <c r="CK146" s="24">
        <f t="shared" ref="CK146:DB146" si="1244">CK10/90*CK181</f>
        <v>184.28758372876143</v>
      </c>
      <c r="CL146" s="23">
        <f>+'QTR Raw'!BF84</f>
        <v>121.857</v>
      </c>
      <c r="CM146" s="24">
        <f t="shared" si="1244"/>
        <v>136.91874618444237</v>
      </c>
      <c r="CN146" s="24">
        <f t="shared" si="1244"/>
        <v>143.98086779826974</v>
      </c>
      <c r="CO146" s="24">
        <f t="shared" si="1244"/>
        <v>140.44041692563329</v>
      </c>
      <c r="CP146" s="24">
        <f t="shared" si="1244"/>
        <v>177.43295405050694</v>
      </c>
      <c r="CQ146" s="24">
        <f t="shared" si="1244"/>
        <v>112.31524282877905</v>
      </c>
      <c r="CR146" s="24">
        <f t="shared" si="1244"/>
        <v>116.88611946643302</v>
      </c>
      <c r="CS146" s="24">
        <f t="shared" si="1244"/>
        <v>114.46302861930262</v>
      </c>
      <c r="CT146" s="24">
        <f t="shared" si="1244"/>
        <v>145.31050629619281</v>
      </c>
      <c r="CU146" s="24">
        <f t="shared" si="1244"/>
        <v>91.708541338038941</v>
      </c>
      <c r="CV146" s="24">
        <f t="shared" si="1244"/>
        <v>95.330396967643594</v>
      </c>
      <c r="CW146" s="24">
        <f t="shared" si="1244"/>
        <v>93.461946112760899</v>
      </c>
      <c r="CX146" s="24">
        <f t="shared" si="1244"/>
        <v>118.70403751701353</v>
      </c>
      <c r="CY146" s="24">
        <f t="shared" si="1244"/>
        <v>74.869384895416715</v>
      </c>
      <c r="CZ146" s="24">
        <f t="shared" si="1244"/>
        <v>77.822777555786004</v>
      </c>
      <c r="DA146" s="24">
        <f t="shared" si="1244"/>
        <v>76.315332738090035</v>
      </c>
      <c r="DB146" s="24">
        <f t="shared" si="1244"/>
        <v>96.926899781810775</v>
      </c>
      <c r="DE146" s="123"/>
      <c r="DF146" s="23">
        <v>121.857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4.3640553000000004</v>
      </c>
      <c r="M147" s="23">
        <f>'Annual Raw'!N80</f>
        <v>6.1084059000000002</v>
      </c>
      <c r="N147" s="23">
        <f>'Annual Raw'!O80</f>
        <v>7.1153931999999998</v>
      </c>
      <c r="O147" s="23">
        <f>'Annual Raw'!P80</f>
        <v>9.1027190000000004</v>
      </c>
      <c r="P147" s="23">
        <f>'Annual Raw'!Q80</f>
        <v>8.9032330999999996</v>
      </c>
      <c r="Q147" s="23">
        <f>'Annual Raw'!R80</f>
        <v>12.807979100000001</v>
      </c>
      <c r="R147" s="23">
        <f>'Annual Raw'!S80</f>
        <v>8.3784948000000004</v>
      </c>
      <c r="S147" s="23">
        <f>'Annual Raw'!T80</f>
        <v>11.539888400000001</v>
      </c>
      <c r="T147" s="23">
        <f>'Annual Raw'!U80</f>
        <v>33.768000000000001</v>
      </c>
      <c r="U147" s="23">
        <f>'Annual Raw'!V80</f>
        <v>39.204999999999998</v>
      </c>
      <c r="V147" s="23">
        <f>'Annual Raw'!W80</f>
        <v>17.942</v>
      </c>
      <c r="W147" s="23">
        <f>'Annual Raw'!X80</f>
        <v>42.819000000000003</v>
      </c>
      <c r="X147" s="23">
        <f>'Annual Raw'!Y80</f>
        <v>69.358999999999995</v>
      </c>
      <c r="Y147" s="23">
        <f>'Annual Raw'!Z80</f>
        <v>69.096999999999994</v>
      </c>
      <c r="Z147" s="23">
        <f>'Annual Raw'!AA80</f>
        <v>62.906999999999996</v>
      </c>
      <c r="AA147" s="23">
        <f>'Annual Raw'!AB80</f>
        <v>115.663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0</v>
      </c>
      <c r="AW147" s="23">
        <f t="shared" si="1240"/>
        <v>0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62.906999999999996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0</v>
      </c>
      <c r="K148" s="22">
        <f t="shared" si="1245"/>
        <v>0</v>
      </c>
      <c r="L148" s="22">
        <f>SUM(L142:L147)</f>
        <v>61.585277500000004</v>
      </c>
      <c r="M148" s="22">
        <f>SUM(M142:M147)</f>
        <v>70.313255299999994</v>
      </c>
      <c r="N148" s="22">
        <f t="shared" si="1245"/>
        <v>72.205740899999995</v>
      </c>
      <c r="O148" s="22">
        <f t="shared" si="1245"/>
        <v>188.27032790000001</v>
      </c>
      <c r="P148" s="22">
        <f t="shared" si="1245"/>
        <v>109.1816089</v>
      </c>
      <c r="Q148" s="22">
        <f t="shared" si="1245"/>
        <v>180.66156169999999</v>
      </c>
      <c r="R148" s="22">
        <f t="shared" si="1245"/>
        <v>206.55606850000001</v>
      </c>
      <c r="S148" s="22">
        <f t="shared" si="1245"/>
        <v>282.18951709999999</v>
      </c>
      <c r="T148" s="22">
        <f t="shared" si="1245"/>
        <v>352.274</v>
      </c>
      <c r="U148" s="22">
        <f t="shared" si="1245"/>
        <v>337.23599999999993</v>
      </c>
      <c r="V148" s="22">
        <f t="shared" si="1245"/>
        <v>417.50700000000001</v>
      </c>
      <c r="W148" s="22">
        <f t="shared" ref="W148" si="1246">SUM(W142:W147)</f>
        <v>475.28400000000005</v>
      </c>
      <c r="X148" s="22">
        <f t="shared" ref="X148:Y148" si="1247">SUM(X142:X147)</f>
        <v>679.92800000000011</v>
      </c>
      <c r="Y148" s="22">
        <f t="shared" si="1247"/>
        <v>801.52599999999995</v>
      </c>
      <c r="Z148" s="22">
        <f t="shared" ref="Z148:AA148" si="1248">SUM(Z142:Z147)</f>
        <v>1010.474</v>
      </c>
      <c r="AA148" s="22">
        <f t="shared" ref="AA148" si="1249">SUM(AA142:AA147)</f>
        <v>1116.24</v>
      </c>
      <c r="AB148" s="21">
        <f t="shared" ref="AB148:AD148" si="1250">SUM(AB142:AB147)</f>
        <v>968.53533917701566</v>
      </c>
      <c r="AC148" s="21">
        <f t="shared" si="1250"/>
        <v>793.19177914101158</v>
      </c>
      <c r="AD148" s="21">
        <f t="shared" si="1250"/>
        <v>647.9577362246672</v>
      </c>
      <c r="AE148" s="21">
        <f t="shared" ref="AE148" si="1251">SUM(AE142:AE147)</f>
        <v>529.08507474226144</v>
      </c>
      <c r="AJ148" s="22">
        <f t="shared" ref="AJ148" si="1252">SUM(AJ142:AJ147)</f>
        <v>0</v>
      </c>
      <c r="AK148" s="22" t="e">
        <f t="shared" ref="AK148" si="1253">SUM(AK142:AK147)</f>
        <v>#DIV/0!</v>
      </c>
      <c r="AL148" s="22">
        <f t="shared" ref="AL148:AM148" si="1254">SUM(AL142:AL147)</f>
        <v>0</v>
      </c>
      <c r="AM148" s="22" t="e">
        <f t="shared" si="1254"/>
        <v>#DIV/0!</v>
      </c>
      <c r="AN148" s="22">
        <f t="shared" ref="AN148:AO148" si="1255">SUM(AN142:AN147)</f>
        <v>0</v>
      </c>
      <c r="AO148" s="22" t="e">
        <f t="shared" si="1255"/>
        <v>#DIV/0!</v>
      </c>
      <c r="AP148" s="22">
        <f t="shared" ref="AP148:CE148" si="1256">SUM(AP142:AP147)</f>
        <v>0</v>
      </c>
      <c r="AQ148" s="22" t="e">
        <f t="shared" si="1256"/>
        <v>#DIV/0!</v>
      </c>
      <c r="AR148" s="22">
        <f t="shared" si="1256"/>
        <v>0</v>
      </c>
      <c r="AS148" s="22" t="e">
        <f t="shared" si="1256"/>
        <v>#DIV/0!</v>
      </c>
      <c r="AT148" s="22">
        <f t="shared" si="1256"/>
        <v>0</v>
      </c>
      <c r="AU148" s="22" t="e">
        <f t="shared" si="1256"/>
        <v>#DIV/0!</v>
      </c>
      <c r="AV148" s="22">
        <f t="shared" si="1256"/>
        <v>0</v>
      </c>
      <c r="AW148" s="22" t="e">
        <f t="shared" si="1256"/>
        <v>#DIV/0!</v>
      </c>
      <c r="AX148" s="22">
        <f t="shared" si="1256"/>
        <v>0</v>
      </c>
      <c r="AY148" s="22" t="e">
        <f t="shared" si="1256"/>
        <v>#DIV/0!</v>
      </c>
      <c r="AZ148" s="22">
        <f t="shared" si="1256"/>
        <v>0</v>
      </c>
      <c r="BA148" s="22" t="e">
        <f t="shared" si="1256"/>
        <v>#DIV/0!</v>
      </c>
      <c r="BB148" s="22">
        <f t="shared" si="1256"/>
        <v>0</v>
      </c>
      <c r="BC148" s="22" t="e">
        <f t="shared" si="1256"/>
        <v>#DIV/0!</v>
      </c>
      <c r="BD148" s="22">
        <f t="shared" si="1256"/>
        <v>0</v>
      </c>
      <c r="BE148" s="22" t="e">
        <f t="shared" si="1256"/>
        <v>#DIV/0!</v>
      </c>
      <c r="BF148" s="22">
        <f t="shared" si="1256"/>
        <v>0</v>
      </c>
      <c r="BG148" s="22" t="e">
        <f t="shared" si="1256"/>
        <v>#DIV/0!</v>
      </c>
      <c r="BH148" s="22">
        <f t="shared" si="1256"/>
        <v>0</v>
      </c>
      <c r="BI148" s="22" t="e">
        <f t="shared" si="1256"/>
        <v>#DIV/0!</v>
      </c>
      <c r="BJ148" s="22">
        <f t="shared" si="1256"/>
        <v>0</v>
      </c>
      <c r="BK148" s="22" t="e">
        <f t="shared" si="1256"/>
        <v>#DIV/0!</v>
      </c>
      <c r="BL148" s="22">
        <f t="shared" si="1256"/>
        <v>0</v>
      </c>
      <c r="BM148" s="22" t="e">
        <f t="shared" si="1256"/>
        <v>#DIV/0!</v>
      </c>
      <c r="BN148" s="22">
        <f t="shared" si="1256"/>
        <v>0</v>
      </c>
      <c r="BO148" s="22" t="e">
        <f t="shared" si="1256"/>
        <v>#DIV/0!</v>
      </c>
      <c r="BP148" s="22">
        <f t="shared" si="1256"/>
        <v>0</v>
      </c>
      <c r="BQ148" s="22" t="e">
        <f t="shared" si="1256"/>
        <v>#DIV/0!</v>
      </c>
      <c r="BR148" s="22">
        <f t="shared" si="1256"/>
        <v>0</v>
      </c>
      <c r="BS148" s="22" t="e">
        <f t="shared" si="1256"/>
        <v>#DIV/0!</v>
      </c>
      <c r="BT148" s="22">
        <f t="shared" si="1256"/>
        <v>0</v>
      </c>
      <c r="BU148" s="22" t="e">
        <f t="shared" si="1256"/>
        <v>#DIV/0!</v>
      </c>
      <c r="BV148" s="22">
        <f t="shared" si="1256"/>
        <v>0</v>
      </c>
      <c r="BW148" s="22" t="e">
        <f t="shared" si="1256"/>
        <v>#DIV/0!</v>
      </c>
      <c r="BX148" s="22">
        <f t="shared" si="1256"/>
        <v>0</v>
      </c>
      <c r="BY148" s="22">
        <f t="shared" si="1256"/>
        <v>0</v>
      </c>
      <c r="BZ148" s="22">
        <f t="shared" si="1256"/>
        <v>714.45600000000002</v>
      </c>
      <c r="CA148" s="22">
        <f t="shared" si="1256"/>
        <v>587.05606322040069</v>
      </c>
      <c r="CB148" s="22">
        <f t="shared" si="1256"/>
        <v>899.41099999999994</v>
      </c>
      <c r="CC148" s="22">
        <f t="shared" si="1256"/>
        <v>973.49874546152296</v>
      </c>
      <c r="CD148" s="22">
        <f t="shared" si="1256"/>
        <v>850.94</v>
      </c>
      <c r="CE148" s="22">
        <f t="shared" si="1256"/>
        <v>650.79821203118479</v>
      </c>
      <c r="CF148" s="22">
        <f t="shared" ref="CF148:CG148" si="1257">SUM(CF142:CF147)</f>
        <v>1001.7270000000001</v>
      </c>
      <c r="CG148" s="22">
        <f t="shared" si="1257"/>
        <v>1124.1239461086147</v>
      </c>
      <c r="CH148" s="22">
        <f t="shared" ref="CH148:CI148" si="1258">SUM(CH142:CH147)</f>
        <v>1010.474</v>
      </c>
      <c r="CI148" s="22">
        <f t="shared" si="1258"/>
        <v>652.18660165632934</v>
      </c>
      <c r="CJ148" s="22">
        <f t="shared" ref="CJ148:DB148" si="1259">SUM(CJ142:CJ147)</f>
        <v>1024.2350000000001</v>
      </c>
      <c r="CK148" s="21">
        <f t="shared" si="1259"/>
        <v>998.62863041392779</v>
      </c>
      <c r="CL148" s="22">
        <f t="shared" ref="CL148" si="1260">SUM(CL142:CL147)</f>
        <v>1168.7570000000001</v>
      </c>
      <c r="CM148" s="21">
        <f t="shared" si="1259"/>
        <v>747.38452608804846</v>
      </c>
      <c r="CN148" s="21">
        <f t="shared" si="1259"/>
        <v>785.93381581362348</v>
      </c>
      <c r="CO148" s="21">
        <f t="shared" si="1259"/>
        <v>766.60791434780879</v>
      </c>
      <c r="CP148" s="21">
        <f t="shared" si="1259"/>
        <v>968.53533917701566</v>
      </c>
      <c r="CQ148" s="21">
        <f t="shared" si="1259"/>
        <v>613.08386815763311</v>
      </c>
      <c r="CR148" s="21">
        <f t="shared" si="1259"/>
        <v>638.03445063695267</v>
      </c>
      <c r="CS148" s="21">
        <f t="shared" si="1259"/>
        <v>624.80776944889044</v>
      </c>
      <c r="CT148" s="21">
        <f t="shared" si="1259"/>
        <v>793.19177914101158</v>
      </c>
      <c r="CU148" s="21">
        <f t="shared" si="1259"/>
        <v>500.60014874679428</v>
      </c>
      <c r="CV148" s="21">
        <f t="shared" si="1259"/>
        <v>520.3704061346682</v>
      </c>
      <c r="CW148" s="21">
        <f t="shared" si="1259"/>
        <v>510.17128223373675</v>
      </c>
      <c r="CX148" s="21">
        <f t="shared" si="1259"/>
        <v>647.9577362246672</v>
      </c>
      <c r="CY148" s="21">
        <f t="shared" si="1259"/>
        <v>408.68194683280581</v>
      </c>
      <c r="CZ148" s="21">
        <f t="shared" si="1259"/>
        <v>424.80333294927345</v>
      </c>
      <c r="DA148" s="21">
        <f t="shared" si="1259"/>
        <v>416.57479622896273</v>
      </c>
      <c r="DB148" s="21">
        <f t="shared" si="1259"/>
        <v>529.08507474226144</v>
      </c>
      <c r="DE148" s="126"/>
      <c r="DF148" s="22">
        <v>1168.7570000000001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1.3142872000000001</v>
      </c>
      <c r="M149" s="23">
        <f>'Annual Raw'!N50+'Annual Raw'!N58</f>
        <v>0.75822789999999995</v>
      </c>
      <c r="N149" s="23">
        <f>'Annual Raw'!O50+'Annual Raw'!O58</f>
        <v>0.16614699999999999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41.75</v>
      </c>
      <c r="V149" s="23">
        <f>'Annual Raw'!W50+'Annual Raw'!W58</f>
        <v>48.871000000000002</v>
      </c>
      <c r="W149" s="23">
        <f>'Annual Raw'!X50+'Annual Raw'!X58</f>
        <v>75.111999999999995</v>
      </c>
      <c r="X149" s="23">
        <f>'Annual Raw'!Y50+'Annual Raw'!Y58</f>
        <v>52.887999999999998</v>
      </c>
      <c r="Y149" s="23">
        <f>'Annual Raw'!Z50+'Annual Raw'!Z58</f>
        <v>69.569999999999993</v>
      </c>
      <c r="Z149" s="23">
        <f>'Annual Raw'!AA50+'Annual Raw'!AA58</f>
        <v>56.024999999999999</v>
      </c>
      <c r="AA149" s="23">
        <f>'Annual Raw'!AB50+'Annual Raw'!AB58</f>
        <v>55.006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</v>
      </c>
      <c r="BM149" s="23">
        <f t="shared" si="1265"/>
        <v>0</v>
      </c>
      <c r="BN149" s="23">
        <f>+'QTR Raw'!AH64</f>
        <v>0</v>
      </c>
      <c r="BO149" s="23">
        <f t="shared" si="1265"/>
        <v>0</v>
      </c>
      <c r="BP149" s="23">
        <f>+'QTR Raw'!AJ64</f>
        <v>0</v>
      </c>
      <c r="BQ149" s="23">
        <f t="shared" si="1265"/>
        <v>0</v>
      </c>
      <c r="BR149" s="23">
        <f>+'QTR Raw'!AL64</f>
        <v>0</v>
      </c>
      <c r="BS149" s="23">
        <f t="shared" si="1265"/>
        <v>0</v>
      </c>
      <c r="BT149" s="23">
        <f>+'QTR Raw'!AN64</f>
        <v>0</v>
      </c>
      <c r="BU149" s="23">
        <f t="shared" si="1265"/>
        <v>0</v>
      </c>
      <c r="BV149" s="23">
        <f>+'QTR Raw'!AP64</f>
        <v>0</v>
      </c>
      <c r="BW149" s="23">
        <f t="shared" si="1265"/>
        <v>0</v>
      </c>
      <c r="BX149" s="23">
        <f>+'QTR Raw'!AR64</f>
        <v>0</v>
      </c>
      <c r="BY149" s="23">
        <f t="shared" si="1265"/>
        <v>0</v>
      </c>
      <c r="BZ149" s="23">
        <f>+'QTR Raw'!AT64</f>
        <v>52.887999999999998</v>
      </c>
      <c r="CA149" s="23">
        <f t="shared" si="1265"/>
        <v>52.887999999999998</v>
      </c>
      <c r="CB149" s="23">
        <f>+'QTR Raw'!AV64</f>
        <v>56.683999999999997</v>
      </c>
      <c r="CC149" s="23">
        <f t="shared" si="1265"/>
        <v>56.683999999999997</v>
      </c>
      <c r="CD149" s="23">
        <f>+'QTR Raw'!AX64</f>
        <v>69.569999999999993</v>
      </c>
      <c r="CE149" s="23">
        <f t="shared" si="1265"/>
        <v>69.569999999999993</v>
      </c>
      <c r="CF149" s="23">
        <f>+'QTR Raw'!AZ64</f>
        <v>47.235999999999997</v>
      </c>
      <c r="CG149" s="23">
        <f t="shared" ref="CG149:CG152" si="1266">+CF149</f>
        <v>47.235999999999997</v>
      </c>
      <c r="CH149" s="23">
        <f t="shared" si="1218"/>
        <v>56.024999999999999</v>
      </c>
      <c r="CJ149" s="23">
        <f>+'QTR Raw'!BD64</f>
        <v>58.9</v>
      </c>
      <c r="CK149" s="24"/>
      <c r="CL149" s="23">
        <f>+'QTR Raw'!BF64</f>
        <v>55.006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55.006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4.67266E-2</v>
      </c>
      <c r="P150" s="23">
        <f>'Annual Raw'!Q51</f>
        <v>4.67266E-2</v>
      </c>
      <c r="Q150" s="23">
        <f>'Annual Raw'!R51</f>
        <v>4.67266E-2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0.71922419999999998</v>
      </c>
      <c r="Q151" s="23">
        <f>'Annual Raw'!R52</f>
        <v>1.0662191000000001</v>
      </c>
      <c r="R151" s="23">
        <f>'Annual Raw'!S52</f>
        <v>0.62660179999999999</v>
      </c>
      <c r="S151" s="23">
        <f>'Annual Raw'!T52</f>
        <v>1.0918737000000001</v>
      </c>
      <c r="T151" s="23">
        <f>'Annual Raw'!U52</f>
        <v>3.01</v>
      </c>
      <c r="U151" s="23">
        <f>'Annual Raw'!V52</f>
        <v>4.923</v>
      </c>
      <c r="V151" s="23">
        <f>'Annual Raw'!W52</f>
        <v>5.3780000000000001</v>
      </c>
      <c r="W151" s="23">
        <f>'Annual Raw'!X52</f>
        <v>5.9610000000000003</v>
      </c>
      <c r="X151" s="23">
        <f>'Annual Raw'!Y52</f>
        <v>9.5269999999999992</v>
      </c>
      <c r="Y151" s="23">
        <f>'Annual Raw'!Z52</f>
        <v>7.9930000000000003</v>
      </c>
      <c r="Z151" s="23">
        <f>'Annual Raw'!AA52</f>
        <v>6.6920000000000002</v>
      </c>
      <c r="AA151" s="23">
        <f>'Annual Raw'!AB52</f>
        <v>5.6740000000000004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0</v>
      </c>
      <c r="BS151" s="23">
        <f t="shared" si="1265"/>
        <v>0</v>
      </c>
      <c r="BT151" s="23">
        <f>+'QTR Raw'!AN66</f>
        <v>0</v>
      </c>
      <c r="BU151" s="23">
        <f t="shared" si="1265"/>
        <v>0</v>
      </c>
      <c r="BV151" s="23">
        <f>+'QTR Raw'!AP66</f>
        <v>0</v>
      </c>
      <c r="BW151" s="23">
        <f t="shared" si="1265"/>
        <v>0</v>
      </c>
      <c r="BX151" s="23">
        <f>+'QTR Raw'!AR66</f>
        <v>0</v>
      </c>
      <c r="BY151" s="23">
        <f t="shared" si="1265"/>
        <v>0</v>
      </c>
      <c r="BZ151" s="23">
        <f>+'QTR Raw'!AT66</f>
        <v>9.5269999999999992</v>
      </c>
      <c r="CA151" s="23">
        <f t="shared" si="1265"/>
        <v>9.5269999999999992</v>
      </c>
      <c r="CB151" s="23">
        <f>+'QTR Raw'!AV66</f>
        <v>9.4649999999999999</v>
      </c>
      <c r="CC151" s="23">
        <f t="shared" si="1265"/>
        <v>9.4649999999999999</v>
      </c>
      <c r="CD151" s="23">
        <f>+'QTR Raw'!AX66</f>
        <v>7.9930000000000003</v>
      </c>
      <c r="CE151" s="23">
        <f t="shared" si="1265"/>
        <v>7.9930000000000003</v>
      </c>
      <c r="CF151" s="23">
        <f>+'QTR Raw'!AZ66</f>
        <v>12.837</v>
      </c>
      <c r="CG151" s="23">
        <f t="shared" si="1266"/>
        <v>12.837</v>
      </c>
      <c r="CH151" s="23">
        <f t="shared" si="1218"/>
        <v>6.6920000000000002</v>
      </c>
      <c r="CJ151" s="23">
        <f>+'QTR Raw'!BD66</f>
        <v>5.6269999999999998</v>
      </c>
      <c r="CK151" s="24"/>
      <c r="CL151" s="23">
        <f>+'QTR Raw'!BF66</f>
        <v>5.6740000000000004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5.6740000000000004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207.70162563816783</v>
      </c>
      <c r="AC152" s="24">
        <f t="shared" si="1262"/>
        <v>170.09934001004837</v>
      </c>
      <c r="AD152" s="24">
        <f t="shared" si="1263"/>
        <v>138.95401614673918</v>
      </c>
      <c r="AE152" s="24">
        <f t="shared" si="1264"/>
        <v>113.46186936063332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161.89811412552129</v>
      </c>
      <c r="CJ152" s="23">
        <f>+'QTR Raw'!BD87</f>
        <v>0</v>
      </c>
      <c r="CK152" s="24">
        <f t="shared" ref="CK152:DB152" si="1267">CK10/90*CK184</f>
        <v>233.29300945807609</v>
      </c>
      <c r="CL152" s="23">
        <f>+'QTR Raw'!BF87</f>
        <v>0</v>
      </c>
      <c r="CM152" s="24">
        <f t="shared" si="1267"/>
        <v>160.2760113814783</v>
      </c>
      <c r="CN152" s="24">
        <f t="shared" si="1267"/>
        <v>168.54287560349229</v>
      </c>
      <c r="CO152" s="24">
        <f t="shared" si="1267"/>
        <v>164.39845155513123</v>
      </c>
      <c r="CP152" s="24">
        <f t="shared" si="1267"/>
        <v>207.70162563816783</v>
      </c>
      <c r="CQ152" s="24">
        <f t="shared" si="1267"/>
        <v>131.47534314760134</v>
      </c>
      <c r="CR152" s="24">
        <f t="shared" si="1267"/>
        <v>136.82597552202489</v>
      </c>
      <c r="CS152" s="24">
        <f t="shared" si="1267"/>
        <v>133.98952436383311</v>
      </c>
      <c r="CT152" s="24">
        <f t="shared" si="1267"/>
        <v>170.09934001004837</v>
      </c>
      <c r="CU152" s="24">
        <f t="shared" si="1267"/>
        <v>107.35329985766747</v>
      </c>
      <c r="CV152" s="24">
        <f t="shared" si="1267"/>
        <v>111.5930156766438</v>
      </c>
      <c r="CW152" s="24">
        <f t="shared" si="1267"/>
        <v>109.40582174719091</v>
      </c>
      <c r="CX152" s="24">
        <f t="shared" si="1267"/>
        <v>138.95401614673918</v>
      </c>
      <c r="CY152" s="24">
        <f t="shared" si="1267"/>
        <v>87.641515278392049</v>
      </c>
      <c r="CZ152" s="24">
        <f t="shared" si="1267"/>
        <v>91.098733583690176</v>
      </c>
      <c r="DA152" s="24">
        <f t="shared" si="1267"/>
        <v>89.334130492507015</v>
      </c>
      <c r="DB152" s="24">
        <f t="shared" si="1267"/>
        <v>113.46186936063332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19.831100599999999</v>
      </c>
      <c r="M153" s="23">
        <f>'Annual Raw'!N54</f>
        <v>26.147331000000001</v>
      </c>
      <c r="N153" s="23">
        <f>'Annual Raw'!O54</f>
        <v>20.7235522</v>
      </c>
      <c r="O153" s="23">
        <f>'Annual Raw'!P54</f>
        <v>64.895555299999998</v>
      </c>
      <c r="P153" s="23">
        <f>'Annual Raw'!Q54</f>
        <v>48.6233243</v>
      </c>
      <c r="Q153" s="23">
        <f>'Annual Raw'!R54</f>
        <v>70.783491400000003</v>
      </c>
      <c r="R153" s="23">
        <f>'Annual Raw'!S54</f>
        <v>96.400032899999999</v>
      </c>
      <c r="S153" s="23">
        <f>'Annual Raw'!T54</f>
        <v>113.9804633</v>
      </c>
      <c r="T153" s="23">
        <f>'Annual Raw'!U54</f>
        <v>96.212000000000003</v>
      </c>
      <c r="U153" s="23">
        <f>'Annual Raw'!V54</f>
        <v>104.857</v>
      </c>
      <c r="V153" s="23">
        <f>'Annual Raw'!W54</f>
        <v>190.02500000000001</v>
      </c>
      <c r="W153" s="23">
        <f>'Annual Raw'!X54</f>
        <v>192.48500000000001</v>
      </c>
      <c r="X153" s="23">
        <f>'Annual Raw'!Y54</f>
        <v>285.262</v>
      </c>
      <c r="Y153" s="23">
        <f>'Annual Raw'!Z54</f>
        <v>308.851</v>
      </c>
      <c r="Z153" s="23">
        <f>'Annual Raw'!AA54</f>
        <v>249.88300000000001</v>
      </c>
      <c r="AA153" s="23">
        <f>'Annual Raw'!AB54</f>
        <v>273.31400000000002</v>
      </c>
      <c r="AB153" s="24">
        <f t="shared" si="1261"/>
        <v>226.4921345427893</v>
      </c>
      <c r="AC153" s="24">
        <f t="shared" si="1262"/>
        <v>185.48801669136225</v>
      </c>
      <c r="AD153" s="24">
        <f t="shared" si="1263"/>
        <v>151.52501394088651</v>
      </c>
      <c r="AE153" s="24">
        <f t="shared" si="1264"/>
        <v>123.72662419827769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0</v>
      </c>
      <c r="BW153" s="23" t="e">
        <f>+BW183*BW10/90</f>
        <v>#DIV/0!</v>
      </c>
      <c r="BX153" s="23">
        <f>+'QTR Raw'!AR89</f>
        <v>0</v>
      </c>
      <c r="BY153" s="23">
        <f>+BY183*BY10/90</f>
        <v>0</v>
      </c>
      <c r="BZ153" s="23">
        <f>+'QTR Raw'!AT89</f>
        <v>285.262</v>
      </c>
      <c r="CA153" s="23">
        <f>+CA183*CA10/90</f>
        <v>223.3321415473585</v>
      </c>
      <c r="CB153" s="23">
        <f>+'QTR Raw'!AV89</f>
        <v>275.464</v>
      </c>
      <c r="CC153" s="23">
        <f>+CC183*CC10/90</f>
        <v>303.02946664930539</v>
      </c>
      <c r="CD153" s="23">
        <f>+'QTR Raw'!AX89</f>
        <v>308.851</v>
      </c>
      <c r="CE153" s="23">
        <f>+CE183*CE10/90</f>
        <v>219.27692922068411</v>
      </c>
      <c r="CF153" s="23">
        <f>+'QTR Raw'!AZ89</f>
        <v>276.17599999999999</v>
      </c>
      <c r="CG153" s="23">
        <f>+CG183*CG10/90</f>
        <v>315.02714478366926</v>
      </c>
      <c r="CH153" s="23">
        <f t="shared" si="1218"/>
        <v>249.88300000000001</v>
      </c>
      <c r="CI153" s="23">
        <f>+CI183*CI10/90</f>
        <v>161.28108648187734</v>
      </c>
      <c r="CJ153" s="23">
        <f>+'QTR Raw'!BD89</f>
        <v>295.67399999999998</v>
      </c>
      <c r="CK153" s="24">
        <f t="shared" ref="CK153:DB153" si="1268">+CK183*CK10/90</f>
        <v>288.28200722393552</v>
      </c>
      <c r="CL153" s="23">
        <f>+'QTR Raw'!BF89</f>
        <v>273.31400000000002</v>
      </c>
      <c r="CM153" s="24">
        <f t="shared" si="1268"/>
        <v>174.77598368457163</v>
      </c>
      <c r="CN153" s="24">
        <f t="shared" si="1268"/>
        <v>183.79074087708966</v>
      </c>
      <c r="CO153" s="24">
        <f t="shared" si="1268"/>
        <v>179.27137591651388</v>
      </c>
      <c r="CP153" s="24">
        <f t="shared" si="1268"/>
        <v>226.4921345427893</v>
      </c>
      <c r="CQ153" s="24">
        <f t="shared" si="1268"/>
        <v>143.3697546552751</v>
      </c>
      <c r="CR153" s="24">
        <f t="shared" si="1268"/>
        <v>149.20445211569904</v>
      </c>
      <c r="CS153" s="24">
        <f t="shared" si="1268"/>
        <v>146.11139073319265</v>
      </c>
      <c r="CT153" s="24">
        <f t="shared" si="1268"/>
        <v>185.48801669136225</v>
      </c>
      <c r="CU153" s="24">
        <f t="shared" si="1268"/>
        <v>117.06541997573606</v>
      </c>
      <c r="CV153" s="24">
        <f t="shared" si="1268"/>
        <v>121.68869763542868</v>
      </c>
      <c r="CW153" s="24">
        <f t="shared" si="1268"/>
        <v>119.3036309792639</v>
      </c>
      <c r="CX153" s="24">
        <f t="shared" si="1268"/>
        <v>151.52501394088651</v>
      </c>
      <c r="CY153" s="24">
        <f t="shared" si="1268"/>
        <v>95.570334651823686</v>
      </c>
      <c r="CZ153" s="24">
        <f t="shared" si="1268"/>
        <v>99.340323216629031</v>
      </c>
      <c r="DA153" s="24">
        <f t="shared" si="1268"/>
        <v>97.416078668639173</v>
      </c>
      <c r="DB153" s="24">
        <f t="shared" si="1268"/>
        <v>123.72662419827769</v>
      </c>
      <c r="DE153" s="123"/>
      <c r="DF153" s="23">
        <v>273.31400000000002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4.476695799999999</v>
      </c>
      <c r="M154" s="23">
        <f>'Annual Raw'!N55-Template!M126</f>
        <v>2.8765571000000003</v>
      </c>
      <c r="N154" s="23">
        <f>'Annual Raw'!O55-Template!N126</f>
        <v>2.0863459999999998</v>
      </c>
      <c r="O154" s="23">
        <f>'Annual Raw'!P55-Template!O126</f>
        <v>102.79895830000001</v>
      </c>
      <c r="P154" s="23">
        <f>'Annual Raw'!Q55-Template!P126</f>
        <v>10.0392887</v>
      </c>
      <c r="Q154" s="23">
        <f>'Annual Raw'!R55-Template!Q126</f>
        <v>21.7757638</v>
      </c>
      <c r="R154" s="23">
        <f>'Annual Raw'!S55-Template!R126</f>
        <v>13.8727287</v>
      </c>
      <c r="S154" s="23">
        <f>'Annual Raw'!T55-Template!S126</f>
        <v>43.987401499999997</v>
      </c>
      <c r="T154" s="23">
        <f>'Annual Raw'!U55-Template!T126</f>
        <v>170.39700000000002</v>
      </c>
      <c r="U154" s="23">
        <f>'Annual Raw'!V55-Template!U126</f>
        <v>153.40199999999999</v>
      </c>
      <c r="V154" s="23">
        <f>'Annual Raw'!W55-Template!V126</f>
        <v>125.39200000000001</v>
      </c>
      <c r="W154" s="23">
        <f>'Annual Raw'!X55-Template!W126</f>
        <v>125.652</v>
      </c>
      <c r="X154" s="23">
        <f>'Annual Raw'!Y55-Template!X126</f>
        <v>242.20599999999999</v>
      </c>
      <c r="Y154" s="23">
        <f>'Annual Raw'!Z55-Template!Y126</f>
        <v>167.97300000000001</v>
      </c>
      <c r="Z154" s="23">
        <f>'Annual Raw'!AA55-Template!Z126</f>
        <v>168.08500000000001</v>
      </c>
      <c r="AA154" s="23">
        <f>'Annual Raw'!AB55-Template!AA126</f>
        <v>175.36399999999998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0</v>
      </c>
      <c r="AW154" s="23">
        <f t="shared" si="1265"/>
        <v>0</v>
      </c>
      <c r="AX154" s="23">
        <f>+'QTR Raw'!R91</f>
        <v>0</v>
      </c>
      <c r="AY154" s="23">
        <f t="shared" si="1265"/>
        <v>0</v>
      </c>
      <c r="AZ154" s="23">
        <f>+'QTR Raw'!T91</f>
        <v>0</v>
      </c>
      <c r="BA154" s="23">
        <f t="shared" si="1265"/>
        <v>0</v>
      </c>
      <c r="BB154" s="23">
        <f>+'QTR Raw'!V91</f>
        <v>0</v>
      </c>
      <c r="BC154" s="23">
        <f t="shared" si="1265"/>
        <v>0</v>
      </c>
      <c r="BD154" s="23">
        <f>+'QTR Raw'!X91</f>
        <v>0</v>
      </c>
      <c r="BE154" s="23">
        <f t="shared" si="1265"/>
        <v>0</v>
      </c>
      <c r="BF154" s="23">
        <f>+'QTR Raw'!Z91</f>
        <v>0</v>
      </c>
      <c r="BG154" s="23">
        <f t="shared" si="1265"/>
        <v>0</v>
      </c>
      <c r="BH154" s="23">
        <f>+'QTR Raw'!AB91</f>
        <v>0</v>
      </c>
      <c r="BI154" s="23">
        <f t="shared" si="1265"/>
        <v>0</v>
      </c>
      <c r="BJ154" s="23">
        <f>+'QTR Raw'!AD91</f>
        <v>0</v>
      </c>
      <c r="BK154" s="23">
        <f t="shared" si="1265"/>
        <v>0</v>
      </c>
      <c r="BL154" s="23">
        <f>+'QTR Raw'!AF91</f>
        <v>0</v>
      </c>
      <c r="BM154" s="23">
        <f t="shared" si="1265"/>
        <v>0</v>
      </c>
      <c r="BN154" s="23">
        <f>+'QTR Raw'!AH91</f>
        <v>0</v>
      </c>
      <c r="BO154" s="23">
        <f t="shared" si="1265"/>
        <v>0</v>
      </c>
      <c r="BP154" s="23">
        <f>+'QTR Raw'!AJ91</f>
        <v>0</v>
      </c>
      <c r="BQ154" s="23">
        <f t="shared" si="1265"/>
        <v>0</v>
      </c>
      <c r="BR154" s="23">
        <f>+'QTR Raw'!AL91</f>
        <v>0</v>
      </c>
      <c r="BS154" s="23">
        <f t="shared" si="1265"/>
        <v>0</v>
      </c>
      <c r="BT154" s="23">
        <f>+'QTR Raw'!AN91</f>
        <v>0</v>
      </c>
      <c r="BU154" s="23">
        <f t="shared" si="1265"/>
        <v>0</v>
      </c>
      <c r="BV154" s="23">
        <f>+'QTR Raw'!AP91</f>
        <v>0</v>
      </c>
      <c r="BW154" s="23">
        <f t="shared" si="1265"/>
        <v>0</v>
      </c>
      <c r="BX154" s="23">
        <f>+'QTR Raw'!AR91</f>
        <v>0</v>
      </c>
      <c r="BY154" s="23">
        <f t="shared" si="1265"/>
        <v>0</v>
      </c>
      <c r="BZ154" s="23">
        <f>+'QTR Raw'!AT91</f>
        <v>244.39599999999999</v>
      </c>
      <c r="CA154" s="23">
        <f t="shared" si="1265"/>
        <v>244.39599999999999</v>
      </c>
      <c r="CB154" s="23">
        <f>+'QTR Raw'!AV91</f>
        <v>220.214</v>
      </c>
      <c r="CC154" s="23">
        <f t="shared" si="1265"/>
        <v>220.214</v>
      </c>
      <c r="CD154" s="23">
        <f>+'QTR Raw'!AX91</f>
        <v>171.333</v>
      </c>
      <c r="CE154" s="23">
        <f t="shared" si="1265"/>
        <v>171.333</v>
      </c>
      <c r="CF154" s="23">
        <f>+'QTR Raw'!AZ91</f>
        <v>129.25899999999999</v>
      </c>
      <c r="CG154" s="23">
        <f t="shared" ref="CG154:CG155" si="1269">+CF154</f>
        <v>129.25899999999999</v>
      </c>
      <c r="CH154" s="23">
        <f t="shared" si="1218"/>
        <v>168.08500000000001</v>
      </c>
      <c r="CJ154" s="23">
        <f>+'QTR Raw'!BD91</f>
        <v>163.625</v>
      </c>
      <c r="CK154" s="24"/>
      <c r="CL154" s="23">
        <f>+'QTR Raw'!BF91</f>
        <v>180.88399999999999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180.88399999999999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0.94282699999999997</v>
      </c>
      <c r="M155" s="23">
        <f>'Annual Raw'!N57</f>
        <v>0.89345419999999998</v>
      </c>
      <c r="N155" s="23">
        <f>'Annual Raw'!O57</f>
        <v>0.93774579999999996</v>
      </c>
      <c r="O155" s="23">
        <f>'Annual Raw'!P57</f>
        <v>1.1948057000000001</v>
      </c>
      <c r="P155" s="23">
        <f>'Annual Raw'!Q57</f>
        <v>0.13935359999999999</v>
      </c>
      <c r="Q155" s="23">
        <f>'Annual Raw'!R57</f>
        <v>0.30370839999999999</v>
      </c>
      <c r="R155" s="23">
        <f>'Annual Raw'!S57</f>
        <v>1.748461</v>
      </c>
      <c r="S155" s="23">
        <f>'Annual Raw'!T57</f>
        <v>1.8974143999999999</v>
      </c>
      <c r="T155" s="23">
        <f>'Annual Raw'!U57</f>
        <v>1.236</v>
      </c>
      <c r="U155" s="23">
        <f>'Annual Raw'!V57</f>
        <v>1.4850000000000001</v>
      </c>
      <c r="V155" s="23">
        <f>'Annual Raw'!W57</f>
        <v>3.948</v>
      </c>
      <c r="W155" s="23">
        <f>'Annual Raw'!X57</f>
        <v>7.399</v>
      </c>
      <c r="X155" s="23">
        <f>'Annual Raw'!Y57</f>
        <v>2.4889999999999999</v>
      </c>
      <c r="Y155" s="23">
        <f>'Annual Raw'!Z57</f>
        <v>6.3479999999999999</v>
      </c>
      <c r="Z155" s="23">
        <f>'Annual Raw'!AA57</f>
        <v>20.036999999999999</v>
      </c>
      <c r="AA155" s="23">
        <f>'Annual Raw'!AB57</f>
        <v>14.595000000000001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0</v>
      </c>
      <c r="AW155" s="23">
        <f t="shared" si="1265"/>
        <v>0</v>
      </c>
      <c r="AX155" s="23">
        <f>+'QTR Raw'!R92</f>
        <v>0</v>
      </c>
      <c r="AY155" s="23">
        <f t="shared" si="1265"/>
        <v>0</v>
      </c>
      <c r="AZ155" s="23">
        <f>+'QTR Raw'!T92</f>
        <v>0</v>
      </c>
      <c r="BA155" s="23">
        <f t="shared" si="1265"/>
        <v>0</v>
      </c>
      <c r="BB155" s="23">
        <f>+'QTR Raw'!V92</f>
        <v>0</v>
      </c>
      <c r="BC155" s="23">
        <f t="shared" si="1265"/>
        <v>0</v>
      </c>
      <c r="BD155" s="23">
        <f>+'QTR Raw'!X92</f>
        <v>0</v>
      </c>
      <c r="BE155" s="23">
        <f t="shared" si="1265"/>
        <v>0</v>
      </c>
      <c r="BF155" s="23">
        <f>+'QTR Raw'!Z92</f>
        <v>0</v>
      </c>
      <c r="BG155" s="23">
        <f t="shared" si="1265"/>
        <v>0</v>
      </c>
      <c r="BH155" s="23">
        <f>+'QTR Raw'!AB92</f>
        <v>0</v>
      </c>
      <c r="BI155" s="23">
        <f t="shared" si="1265"/>
        <v>0</v>
      </c>
      <c r="BJ155" s="23">
        <f>+'QTR Raw'!AD92</f>
        <v>0</v>
      </c>
      <c r="BK155" s="23">
        <f t="shared" si="1265"/>
        <v>0</v>
      </c>
      <c r="BL155" s="23">
        <f>+'QTR Raw'!AF92</f>
        <v>0</v>
      </c>
      <c r="BM155" s="23">
        <f t="shared" si="1265"/>
        <v>0</v>
      </c>
      <c r="BN155" s="23">
        <f>+'QTR Raw'!AH92</f>
        <v>0</v>
      </c>
      <c r="BO155" s="23">
        <f t="shared" si="1265"/>
        <v>0</v>
      </c>
      <c r="BP155" s="23">
        <f>+'QTR Raw'!AJ92</f>
        <v>0</v>
      </c>
      <c r="BQ155" s="23">
        <f t="shared" si="1265"/>
        <v>0</v>
      </c>
      <c r="BR155" s="23">
        <f>+'QTR Raw'!AL92</f>
        <v>0</v>
      </c>
      <c r="BS155" s="23">
        <f t="shared" si="1265"/>
        <v>0</v>
      </c>
      <c r="BT155" s="23">
        <f>+'QTR Raw'!AN92</f>
        <v>0</v>
      </c>
      <c r="BU155" s="23">
        <f t="shared" si="1265"/>
        <v>0</v>
      </c>
      <c r="BV155" s="23">
        <f>+'QTR Raw'!AP92</f>
        <v>0</v>
      </c>
      <c r="BW155" s="23">
        <f t="shared" si="1265"/>
        <v>0</v>
      </c>
      <c r="BX155" s="23">
        <f>+'QTR Raw'!AR92</f>
        <v>0</v>
      </c>
      <c r="BY155" s="23">
        <f t="shared" si="1265"/>
        <v>0</v>
      </c>
      <c r="BZ155" s="23">
        <f>+'QTR Raw'!AT92</f>
        <v>0.29899999999999999</v>
      </c>
      <c r="CA155" s="23">
        <f t="shared" si="1265"/>
        <v>0.29899999999999999</v>
      </c>
      <c r="CB155" s="23">
        <f>+'QTR Raw'!AV92</f>
        <v>0.32400000000000001</v>
      </c>
      <c r="CC155" s="23">
        <f t="shared" si="1265"/>
        <v>0.32400000000000001</v>
      </c>
      <c r="CD155" s="23">
        <f>+'QTR Raw'!AX92</f>
        <v>2.988</v>
      </c>
      <c r="CE155" s="23">
        <f t="shared" si="1265"/>
        <v>2.988</v>
      </c>
      <c r="CF155" s="23">
        <f>+'QTR Raw'!AZ92</f>
        <v>0.38800000000000001</v>
      </c>
      <c r="CG155" s="23">
        <f t="shared" si="1269"/>
        <v>0.38800000000000001</v>
      </c>
      <c r="CH155" s="23">
        <f t="shared" si="1218"/>
        <v>20.036999999999999</v>
      </c>
      <c r="CJ155" s="23">
        <f>+'QTR Raw'!BD92</f>
        <v>11.122999999999999</v>
      </c>
      <c r="CK155" s="24"/>
      <c r="CL155" s="23">
        <f>+'QTR Raw'!BF92</f>
        <v>9.0749999999999993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9.0749999999999993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0</v>
      </c>
      <c r="K156" s="22">
        <f t="shared" si="1270"/>
        <v>0</v>
      </c>
      <c r="L156" s="22">
        <f t="shared" si="1270"/>
        <v>26.564910599999997</v>
      </c>
      <c r="M156" s="22">
        <f t="shared" si="1270"/>
        <v>30.675570200000003</v>
      </c>
      <c r="N156" s="22">
        <f t="shared" si="1270"/>
        <v>23.913790999999996</v>
      </c>
      <c r="O156" s="22">
        <f t="shared" si="1270"/>
        <v>168.93604589999998</v>
      </c>
      <c r="P156" s="22">
        <f t="shared" si="1270"/>
        <v>59.567917399999999</v>
      </c>
      <c r="Q156" s="22">
        <f t="shared" si="1270"/>
        <v>93.975909300000012</v>
      </c>
      <c r="R156" s="22">
        <f t="shared" si="1270"/>
        <v>112.6478244</v>
      </c>
      <c r="S156" s="22">
        <f t="shared" si="1270"/>
        <v>160.95715289999998</v>
      </c>
      <c r="T156" s="22">
        <f t="shared" si="1270"/>
        <v>270.85500000000002</v>
      </c>
      <c r="U156" s="22">
        <f t="shared" si="1270"/>
        <v>306.41700000000003</v>
      </c>
      <c r="V156" s="22">
        <f t="shared" si="1270"/>
        <v>373.61399999999998</v>
      </c>
      <c r="W156" s="22">
        <f t="shared" ref="W156" si="1271">SUM(W149:W155)</f>
        <v>406.60899999999998</v>
      </c>
      <c r="X156" s="22">
        <f t="shared" ref="X156:Y156" si="1272">SUM(X149:X155)</f>
        <v>592.37200000000007</v>
      </c>
      <c r="Y156" s="22">
        <f t="shared" si="1272"/>
        <v>560.7349999999999</v>
      </c>
      <c r="Z156" s="22">
        <f t="shared" ref="Z156:AA156" si="1273">SUM(Z149:Z155)</f>
        <v>500.72200000000004</v>
      </c>
      <c r="AA156" s="22">
        <f t="shared" ref="AA156" si="1274">SUM(AA149:AA155)</f>
        <v>523.95299999999997</v>
      </c>
      <c r="AB156" s="21">
        <f t="shared" ref="AB156:AD156" si="1275">SUM(AB149:AB155)</f>
        <v>434.19376018095716</v>
      </c>
      <c r="AC156" s="21">
        <f t="shared" si="1275"/>
        <v>355.58735670141061</v>
      </c>
      <c r="AD156" s="21">
        <f t="shared" si="1275"/>
        <v>290.47903008762569</v>
      </c>
      <c r="AE156" s="21">
        <f t="shared" ref="AE156" si="1276">SUM(AE149:AE155)</f>
        <v>237.18849355891101</v>
      </c>
      <c r="AJ156" s="22">
        <f t="shared" ref="AJ156" si="1277">SUM(AJ149:AJ155)</f>
        <v>0</v>
      </c>
      <c r="AK156" s="22" t="e">
        <f t="shared" ref="AK156" si="1278">SUM(AK149:AK155)</f>
        <v>#DIV/0!</v>
      </c>
      <c r="AL156" s="22">
        <f t="shared" ref="AL156:AM156" si="1279">SUM(AL149:AL155)</f>
        <v>0</v>
      </c>
      <c r="AM156" s="22" t="e">
        <f t="shared" si="1279"/>
        <v>#DIV/0!</v>
      </c>
      <c r="AN156" s="22">
        <f t="shared" ref="AN156:AO156" si="1280">SUM(AN149:AN155)</f>
        <v>0</v>
      </c>
      <c r="AO156" s="22" t="e">
        <f t="shared" si="1280"/>
        <v>#DIV/0!</v>
      </c>
      <c r="AP156" s="22">
        <f t="shared" ref="AP156:CE156" si="1281">SUM(AP149:AP155)</f>
        <v>0</v>
      </c>
      <c r="AQ156" s="22" t="e">
        <f t="shared" si="1281"/>
        <v>#DIV/0!</v>
      </c>
      <c r="AR156" s="22">
        <f t="shared" si="1281"/>
        <v>0</v>
      </c>
      <c r="AS156" s="22" t="e">
        <f t="shared" si="1281"/>
        <v>#DIV/0!</v>
      </c>
      <c r="AT156" s="22">
        <f t="shared" si="1281"/>
        <v>0</v>
      </c>
      <c r="AU156" s="22" t="e">
        <f t="shared" si="1281"/>
        <v>#DIV/0!</v>
      </c>
      <c r="AV156" s="22">
        <f t="shared" si="1281"/>
        <v>0</v>
      </c>
      <c r="AW156" s="22" t="e">
        <f t="shared" si="1281"/>
        <v>#DIV/0!</v>
      </c>
      <c r="AX156" s="22">
        <f t="shared" si="1281"/>
        <v>0</v>
      </c>
      <c r="AY156" s="22" t="e">
        <f t="shared" si="1281"/>
        <v>#DIV/0!</v>
      </c>
      <c r="AZ156" s="22">
        <f t="shared" si="1281"/>
        <v>0</v>
      </c>
      <c r="BA156" s="22" t="e">
        <f t="shared" si="1281"/>
        <v>#DIV/0!</v>
      </c>
      <c r="BB156" s="22">
        <f t="shared" si="1281"/>
        <v>0</v>
      </c>
      <c r="BC156" s="22" t="e">
        <f t="shared" si="1281"/>
        <v>#DIV/0!</v>
      </c>
      <c r="BD156" s="22">
        <f t="shared" si="1281"/>
        <v>0</v>
      </c>
      <c r="BE156" s="22" t="e">
        <f t="shared" si="1281"/>
        <v>#DIV/0!</v>
      </c>
      <c r="BF156" s="22">
        <f t="shared" si="1281"/>
        <v>0</v>
      </c>
      <c r="BG156" s="22" t="e">
        <f t="shared" si="1281"/>
        <v>#DIV/0!</v>
      </c>
      <c r="BH156" s="22">
        <f t="shared" ref="BH156" si="1282">SUM(BH149:BH155)</f>
        <v>0</v>
      </c>
      <c r="BI156" s="22" t="e">
        <f t="shared" si="1281"/>
        <v>#DIV/0!</v>
      </c>
      <c r="BJ156" s="22">
        <f t="shared" si="1281"/>
        <v>0</v>
      </c>
      <c r="BK156" s="22" t="e">
        <f t="shared" si="1281"/>
        <v>#DIV/0!</v>
      </c>
      <c r="BL156" s="22">
        <f t="shared" si="1281"/>
        <v>0</v>
      </c>
      <c r="BM156" s="22" t="e">
        <f t="shared" si="1281"/>
        <v>#DIV/0!</v>
      </c>
      <c r="BN156" s="22">
        <f t="shared" si="1281"/>
        <v>0</v>
      </c>
      <c r="BO156" s="22" t="e">
        <f t="shared" si="1281"/>
        <v>#DIV/0!</v>
      </c>
      <c r="BP156" s="22">
        <f t="shared" si="1281"/>
        <v>0</v>
      </c>
      <c r="BQ156" s="22" t="e">
        <f t="shared" si="1281"/>
        <v>#DIV/0!</v>
      </c>
      <c r="BR156" s="22">
        <f t="shared" si="1281"/>
        <v>0</v>
      </c>
      <c r="BS156" s="22" t="e">
        <f t="shared" si="1281"/>
        <v>#DIV/0!</v>
      </c>
      <c r="BT156" s="22">
        <f t="shared" si="1281"/>
        <v>0</v>
      </c>
      <c r="BU156" s="22" t="e">
        <f t="shared" si="1281"/>
        <v>#DIV/0!</v>
      </c>
      <c r="BV156" s="22">
        <f t="shared" si="1281"/>
        <v>0</v>
      </c>
      <c r="BW156" s="22" t="e">
        <f t="shared" si="1281"/>
        <v>#DIV/0!</v>
      </c>
      <c r="BX156" s="22">
        <f t="shared" si="1281"/>
        <v>0</v>
      </c>
      <c r="BY156" s="22">
        <f t="shared" si="1281"/>
        <v>0</v>
      </c>
      <c r="BZ156" s="22">
        <f t="shared" si="1281"/>
        <v>592.37199999999996</v>
      </c>
      <c r="CA156" s="22">
        <f t="shared" si="1281"/>
        <v>530.44214154735846</v>
      </c>
      <c r="CB156" s="22">
        <f t="shared" si="1281"/>
        <v>562.15099999999995</v>
      </c>
      <c r="CC156" s="22">
        <f t="shared" si="1281"/>
        <v>589.71646664930529</v>
      </c>
      <c r="CD156" s="22">
        <f t="shared" si="1281"/>
        <v>560.73500000000001</v>
      </c>
      <c r="CE156" s="22">
        <f t="shared" si="1281"/>
        <v>471.16092922068407</v>
      </c>
      <c r="CF156" s="22">
        <f t="shared" ref="CF156:CG156" si="1283">SUM(CF149:CF155)</f>
        <v>465.8959999999999</v>
      </c>
      <c r="CG156" s="22">
        <f t="shared" si="1283"/>
        <v>504.74714478366917</v>
      </c>
      <c r="CH156" s="22">
        <f t="shared" ref="CH156:CI156" si="1284">SUM(CH149:CH155)</f>
        <v>500.72200000000004</v>
      </c>
      <c r="CI156" s="22">
        <f t="shared" si="1284"/>
        <v>323.17920060739863</v>
      </c>
      <c r="CJ156" s="22">
        <f t="shared" ref="CJ156:DB156" si="1285">SUM(CJ149:CJ155)</f>
        <v>534.94900000000007</v>
      </c>
      <c r="CK156" s="21">
        <f t="shared" si="1285"/>
        <v>521.57501668201166</v>
      </c>
      <c r="CL156" s="22">
        <f t="shared" ref="CL156" si="1286">SUM(CL149:CL155)</f>
        <v>523.95300000000009</v>
      </c>
      <c r="CM156" s="21">
        <f t="shared" si="1285"/>
        <v>335.05199506604993</v>
      </c>
      <c r="CN156" s="21">
        <f t="shared" si="1285"/>
        <v>352.33361648058195</v>
      </c>
      <c r="CO156" s="21">
        <f t="shared" si="1285"/>
        <v>343.66982747164514</v>
      </c>
      <c r="CP156" s="21">
        <f t="shared" si="1285"/>
        <v>434.19376018095716</v>
      </c>
      <c r="CQ156" s="21">
        <f t="shared" si="1285"/>
        <v>274.84509780287647</v>
      </c>
      <c r="CR156" s="21">
        <f t="shared" si="1285"/>
        <v>286.03042763772396</v>
      </c>
      <c r="CS156" s="21">
        <f t="shared" si="1285"/>
        <v>280.10091509702579</v>
      </c>
      <c r="CT156" s="21">
        <f t="shared" si="1285"/>
        <v>355.58735670141061</v>
      </c>
      <c r="CU156" s="21">
        <f t="shared" si="1285"/>
        <v>224.41871983340354</v>
      </c>
      <c r="CV156" s="21">
        <f t="shared" si="1285"/>
        <v>233.2817133120725</v>
      </c>
      <c r="CW156" s="21">
        <f t="shared" si="1285"/>
        <v>228.7094527264548</v>
      </c>
      <c r="CX156" s="21">
        <f t="shared" si="1285"/>
        <v>290.47903008762569</v>
      </c>
      <c r="CY156" s="21">
        <f t="shared" si="1285"/>
        <v>183.21184993021575</v>
      </c>
      <c r="CZ156" s="21">
        <f t="shared" si="1285"/>
        <v>190.43905680031921</v>
      </c>
      <c r="DA156" s="21">
        <f t="shared" si="1285"/>
        <v>186.75020916114619</v>
      </c>
      <c r="DB156" s="21">
        <f t="shared" si="1285"/>
        <v>237.18849355891101</v>
      </c>
      <c r="DE156" s="126"/>
      <c r="DF156" s="22">
        <v>523.95300000000009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0</v>
      </c>
      <c r="K157" s="22">
        <f t="shared" si="1287"/>
        <v>0</v>
      </c>
      <c r="L157" s="22">
        <f t="shared" si="1287"/>
        <v>35.020366900000006</v>
      </c>
      <c r="M157" s="22">
        <f t="shared" si="1287"/>
        <v>39.637685099999992</v>
      </c>
      <c r="N157" s="22">
        <f t="shared" si="1287"/>
        <v>48.291949899999999</v>
      </c>
      <c r="O157" s="22">
        <f t="shared" si="1287"/>
        <v>19.33428200000003</v>
      </c>
      <c r="P157" s="22">
        <f t="shared" si="1287"/>
        <v>49.613691500000002</v>
      </c>
      <c r="Q157" s="22">
        <f t="shared" si="1287"/>
        <v>86.685652399999981</v>
      </c>
      <c r="R157" s="22">
        <f t="shared" si="1287"/>
        <v>93.908244100000005</v>
      </c>
      <c r="S157" s="22">
        <f t="shared" si="1287"/>
        <v>121.23236420000001</v>
      </c>
      <c r="T157" s="22">
        <f t="shared" si="1287"/>
        <v>81.418999999999983</v>
      </c>
      <c r="U157" s="22">
        <f t="shared" si="1287"/>
        <v>30.818999999999903</v>
      </c>
      <c r="V157" s="22">
        <f t="shared" si="1287"/>
        <v>43.893000000000029</v>
      </c>
      <c r="W157" s="22">
        <f t="shared" ref="W157" si="1288">W148-W156</f>
        <v>68.675000000000068</v>
      </c>
      <c r="X157" s="22">
        <f t="shared" ref="X157:Y157" si="1289">X148-X156</f>
        <v>87.55600000000004</v>
      </c>
      <c r="Y157" s="22">
        <f t="shared" si="1289"/>
        <v>240.79100000000005</v>
      </c>
      <c r="Z157" s="22">
        <f t="shared" ref="Z157:AA157" si="1290">Z148-Z156</f>
        <v>509.75200000000001</v>
      </c>
      <c r="AA157" s="22">
        <f t="shared" ref="AA157" si="1291">AA148-AA156</f>
        <v>592.28700000000003</v>
      </c>
      <c r="AB157" s="21">
        <f t="shared" ref="AB157:AD157" si="1292">AB148-AB156</f>
        <v>534.3415789960585</v>
      </c>
      <c r="AC157" s="21">
        <f t="shared" si="1292"/>
        <v>437.60442243960097</v>
      </c>
      <c r="AD157" s="21">
        <f t="shared" si="1292"/>
        <v>357.47870613704151</v>
      </c>
      <c r="AE157" s="21">
        <f t="shared" ref="AE157" si="1293">AE148-AE156</f>
        <v>291.89658118335046</v>
      </c>
      <c r="AJ157" s="22">
        <f t="shared" ref="AJ157" si="1294">AJ148-AJ156</f>
        <v>0</v>
      </c>
      <c r="AK157" s="22" t="e">
        <f t="shared" ref="AK157" si="1295">AK148-AK156</f>
        <v>#DIV/0!</v>
      </c>
      <c r="AL157" s="22">
        <f t="shared" ref="AL157:AM157" si="1296">AL148-AL156</f>
        <v>0</v>
      </c>
      <c r="AM157" s="22" t="e">
        <f t="shared" si="1296"/>
        <v>#DIV/0!</v>
      </c>
      <c r="AN157" s="22">
        <f t="shared" ref="AN157:AO157" si="1297">AN148-AN156</f>
        <v>0</v>
      </c>
      <c r="AO157" s="22" t="e">
        <f t="shared" si="1297"/>
        <v>#DIV/0!</v>
      </c>
      <c r="AP157" s="22">
        <f t="shared" ref="AP157:CE157" si="1298">AP148-AP156</f>
        <v>0</v>
      </c>
      <c r="AQ157" s="22" t="e">
        <f t="shared" si="1298"/>
        <v>#DIV/0!</v>
      </c>
      <c r="AR157" s="22">
        <f t="shared" si="1298"/>
        <v>0</v>
      </c>
      <c r="AS157" s="22" t="e">
        <f t="shared" si="1298"/>
        <v>#DIV/0!</v>
      </c>
      <c r="AT157" s="22">
        <f t="shared" si="1298"/>
        <v>0</v>
      </c>
      <c r="AU157" s="22" t="e">
        <f t="shared" si="1298"/>
        <v>#DIV/0!</v>
      </c>
      <c r="AV157" s="22">
        <f t="shared" si="1298"/>
        <v>0</v>
      </c>
      <c r="AW157" s="22" t="e">
        <f t="shared" si="1298"/>
        <v>#DIV/0!</v>
      </c>
      <c r="AX157" s="22">
        <f t="shared" si="1298"/>
        <v>0</v>
      </c>
      <c r="AY157" s="22" t="e">
        <f t="shared" si="1298"/>
        <v>#DIV/0!</v>
      </c>
      <c r="AZ157" s="22">
        <f t="shared" si="1298"/>
        <v>0</v>
      </c>
      <c r="BA157" s="22" t="e">
        <f t="shared" si="1298"/>
        <v>#DIV/0!</v>
      </c>
      <c r="BB157" s="22">
        <f t="shared" si="1298"/>
        <v>0</v>
      </c>
      <c r="BC157" s="22" t="e">
        <f t="shared" si="1298"/>
        <v>#DIV/0!</v>
      </c>
      <c r="BD157" s="22">
        <f t="shared" si="1298"/>
        <v>0</v>
      </c>
      <c r="BE157" s="22" t="e">
        <f t="shared" si="1298"/>
        <v>#DIV/0!</v>
      </c>
      <c r="BF157" s="22">
        <f t="shared" si="1298"/>
        <v>0</v>
      </c>
      <c r="BG157" s="22" t="e">
        <f t="shared" si="1298"/>
        <v>#DIV/0!</v>
      </c>
      <c r="BH157" s="22">
        <f t="shared" ref="BH157" si="1299">BH148-BH156</f>
        <v>0</v>
      </c>
      <c r="BI157" s="22" t="e">
        <f t="shared" si="1298"/>
        <v>#DIV/0!</v>
      </c>
      <c r="BJ157" s="22">
        <f t="shared" si="1298"/>
        <v>0</v>
      </c>
      <c r="BK157" s="22" t="e">
        <f t="shared" si="1298"/>
        <v>#DIV/0!</v>
      </c>
      <c r="BL157" s="22">
        <f t="shared" si="1298"/>
        <v>0</v>
      </c>
      <c r="BM157" s="22" t="e">
        <f t="shared" si="1298"/>
        <v>#DIV/0!</v>
      </c>
      <c r="BN157" s="22">
        <f t="shared" si="1298"/>
        <v>0</v>
      </c>
      <c r="BO157" s="22" t="e">
        <f t="shared" si="1298"/>
        <v>#DIV/0!</v>
      </c>
      <c r="BP157" s="22">
        <f t="shared" si="1298"/>
        <v>0</v>
      </c>
      <c r="BQ157" s="22" t="e">
        <f t="shared" si="1298"/>
        <v>#DIV/0!</v>
      </c>
      <c r="BR157" s="22">
        <f t="shared" si="1298"/>
        <v>0</v>
      </c>
      <c r="BS157" s="22" t="e">
        <f t="shared" si="1298"/>
        <v>#DIV/0!</v>
      </c>
      <c r="BT157" s="22">
        <f t="shared" si="1298"/>
        <v>0</v>
      </c>
      <c r="BU157" s="22" t="e">
        <f t="shared" si="1298"/>
        <v>#DIV/0!</v>
      </c>
      <c r="BV157" s="22">
        <f t="shared" si="1298"/>
        <v>0</v>
      </c>
      <c r="BW157" s="22" t="e">
        <f t="shared" si="1298"/>
        <v>#DIV/0!</v>
      </c>
      <c r="BX157" s="22">
        <f t="shared" si="1298"/>
        <v>0</v>
      </c>
      <c r="BY157" s="22">
        <f t="shared" si="1298"/>
        <v>0</v>
      </c>
      <c r="BZ157" s="22">
        <f t="shared" si="1298"/>
        <v>122.08400000000006</v>
      </c>
      <c r="CA157" s="22">
        <f t="shared" si="1298"/>
        <v>56.613921673042228</v>
      </c>
      <c r="CB157" s="22">
        <f t="shared" si="1298"/>
        <v>337.26</v>
      </c>
      <c r="CC157" s="22">
        <f t="shared" si="1298"/>
        <v>383.78227881221767</v>
      </c>
      <c r="CD157" s="22">
        <f t="shared" si="1298"/>
        <v>290.20500000000004</v>
      </c>
      <c r="CE157" s="22">
        <f t="shared" si="1298"/>
        <v>179.63728281050072</v>
      </c>
      <c r="CF157" s="22">
        <f t="shared" ref="CF157:CG157" si="1300">CF148-CF156</f>
        <v>535.83100000000013</v>
      </c>
      <c r="CG157" s="22">
        <f t="shared" si="1300"/>
        <v>619.37680132494552</v>
      </c>
      <c r="CH157" s="22">
        <f t="shared" ref="CH157:CI157" si="1301">CH148-CH156</f>
        <v>509.75200000000001</v>
      </c>
      <c r="CI157" s="22">
        <f t="shared" si="1301"/>
        <v>329.00740104893072</v>
      </c>
      <c r="CJ157" s="22">
        <f t="shared" ref="CJ157:DB157" si="1302">CJ148-CJ156</f>
        <v>489.28600000000006</v>
      </c>
      <c r="CK157" s="21">
        <f t="shared" si="1302"/>
        <v>477.05361373191613</v>
      </c>
      <c r="CL157" s="22">
        <f t="shared" ref="CL157" si="1303">CL148-CL156</f>
        <v>644.80399999999997</v>
      </c>
      <c r="CM157" s="21">
        <f t="shared" si="1302"/>
        <v>412.33253102199853</v>
      </c>
      <c r="CN157" s="21">
        <f t="shared" si="1302"/>
        <v>433.60019933304153</v>
      </c>
      <c r="CO157" s="21">
        <f t="shared" si="1302"/>
        <v>422.93808687616365</v>
      </c>
      <c r="CP157" s="21">
        <f t="shared" si="1302"/>
        <v>534.3415789960585</v>
      </c>
      <c r="CQ157" s="21">
        <f t="shared" si="1302"/>
        <v>338.23877035475664</v>
      </c>
      <c r="CR157" s="21">
        <f t="shared" si="1302"/>
        <v>352.00402299922871</v>
      </c>
      <c r="CS157" s="21">
        <f t="shared" si="1302"/>
        <v>344.70685435186465</v>
      </c>
      <c r="CT157" s="21">
        <f t="shared" si="1302"/>
        <v>437.60442243960097</v>
      </c>
      <c r="CU157" s="21">
        <f t="shared" si="1302"/>
        <v>276.18142891339073</v>
      </c>
      <c r="CV157" s="21">
        <f t="shared" si="1302"/>
        <v>287.0886928225957</v>
      </c>
      <c r="CW157" s="21">
        <f t="shared" si="1302"/>
        <v>281.46182950728195</v>
      </c>
      <c r="CX157" s="21">
        <f t="shared" si="1302"/>
        <v>357.47870613704151</v>
      </c>
      <c r="CY157" s="21">
        <f t="shared" si="1302"/>
        <v>225.47009690259006</v>
      </c>
      <c r="CZ157" s="21">
        <f t="shared" si="1302"/>
        <v>234.36427614895425</v>
      </c>
      <c r="DA157" s="21">
        <f t="shared" si="1302"/>
        <v>229.82458706781654</v>
      </c>
      <c r="DB157" s="21">
        <f t="shared" si="1302"/>
        <v>291.89658118335046</v>
      </c>
      <c r="DE157" s="126"/>
      <c r="DF157" s="22">
        <v>644.80399999999997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2.5000000000000001E-3</v>
      </c>
      <c r="S159" s="23">
        <f>'Annual Raw'!T75</f>
        <v>2.5000000000000001E-3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20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20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2.3495382</v>
      </c>
      <c r="M160" s="23">
        <f>'Annual Raw'!N78</f>
        <v>5.1020925000000004</v>
      </c>
      <c r="N160" s="23">
        <f>'Annual Raw'!O78</f>
        <v>4.1946263999999998</v>
      </c>
      <c r="O160" s="23">
        <f>'Annual Raw'!P78</f>
        <v>78.335263699999999</v>
      </c>
      <c r="P160" s="23">
        <f>'Annual Raw'!Q78</f>
        <v>53.461933100000003</v>
      </c>
      <c r="Q160" s="23">
        <f>'Annual Raw'!R78</f>
        <v>33.826113900000003</v>
      </c>
      <c r="R160" s="23">
        <f>'Annual Raw'!S78</f>
        <v>23.550386199999998</v>
      </c>
      <c r="S160" s="23">
        <f>'Annual Raw'!T78</f>
        <v>13.4700788</v>
      </c>
      <c r="T160" s="23">
        <f>'Annual Raw'!U78</f>
        <v>59.640999999999998</v>
      </c>
      <c r="U160" s="23">
        <f>'Annual Raw'!V78</f>
        <v>66.144999999999996</v>
      </c>
      <c r="V160" s="23">
        <f>'Annual Raw'!W78</f>
        <v>34.176000000000002</v>
      </c>
      <c r="W160" s="23">
        <f>'Annual Raw'!X78</f>
        <v>121.80800000000001</v>
      </c>
      <c r="X160" s="23">
        <f>'Annual Raw'!Y78</f>
        <v>167.601</v>
      </c>
      <c r="Y160" s="23">
        <f>'Annual Raw'!Z78</f>
        <v>536.58699999999999</v>
      </c>
      <c r="Z160" s="23">
        <f>'Annual Raw'!AA78</f>
        <v>287.78199999999998</v>
      </c>
      <c r="AA160" s="23">
        <f>'Annual Raw'!AB78</f>
        <v>125.8</v>
      </c>
      <c r="AB160" s="24">
        <f t="shared" si="1304"/>
        <v>343.68329589637949</v>
      </c>
      <c r="AC160" s="24">
        <f t="shared" si="1305"/>
        <v>510.36899572756397</v>
      </c>
      <c r="AD160" s="24">
        <f t="shared" si="1306"/>
        <v>645.90081437594063</v>
      </c>
      <c r="AE160" s="24">
        <f t="shared" si="1307"/>
        <v>754.98831634027806</v>
      </c>
      <c r="AJ160" s="23">
        <f>+'QTR Raw'!D83</f>
        <v>0</v>
      </c>
      <c r="AK160" s="23" t="e">
        <f t="shared" ref="AK160:AM160" si="1309">+AK210</f>
        <v>#DIV/0!</v>
      </c>
      <c r="AL160" s="23">
        <f>+'QTR Raw'!F83</f>
        <v>0</v>
      </c>
      <c r="AM160" s="23" t="e">
        <f t="shared" si="1309"/>
        <v>#DIV/0!</v>
      </c>
      <c r="AN160" s="23">
        <f>+'QTR Raw'!H83</f>
        <v>0</v>
      </c>
      <c r="AO160" s="23" t="e">
        <f t="shared" ref="AO160" si="1310">+AO210</f>
        <v>#DIV/0!</v>
      </c>
      <c r="AP160" s="23">
        <f>+'QTR Raw'!J83</f>
        <v>0</v>
      </c>
      <c r="AQ160" s="23" t="e">
        <f t="shared" ref="AQ160" si="1311">+AQ210</f>
        <v>#DIV/0!</v>
      </c>
      <c r="AR160" s="23">
        <f>+'QTR Raw'!L83</f>
        <v>0</v>
      </c>
      <c r="AS160" s="23" t="e">
        <f t="shared" ref="AS160" si="1312">+AS210</f>
        <v>#DIV/0!</v>
      </c>
      <c r="AT160" s="23">
        <f>+'QTR Raw'!N83</f>
        <v>0</v>
      </c>
      <c r="AU160" s="23" t="e">
        <f t="shared" ref="AU160" si="1313">+AU210</f>
        <v>#DIV/0!</v>
      </c>
      <c r="AV160" s="23">
        <f>+'QTR Raw'!P83</f>
        <v>0</v>
      </c>
      <c r="AW160" s="23" t="e">
        <f t="shared" ref="AW160" si="1314">+AW210</f>
        <v>#DIV/0!</v>
      </c>
      <c r="AX160" s="23">
        <f>+'QTR Raw'!R83</f>
        <v>0</v>
      </c>
      <c r="AY160" s="23" t="e">
        <f t="shared" ref="AY160" si="1315">+AY210</f>
        <v>#DIV/0!</v>
      </c>
      <c r="AZ160" s="23">
        <f>+'QTR Raw'!T83</f>
        <v>0</v>
      </c>
      <c r="BA160" s="23" t="e">
        <f t="shared" ref="BA160" si="1316">+BA210</f>
        <v>#DIV/0!</v>
      </c>
      <c r="BB160" s="23">
        <f>+'QTR Raw'!V83</f>
        <v>0</v>
      </c>
      <c r="BC160" s="23" t="e">
        <f t="shared" ref="BC160" si="1317">+BC210</f>
        <v>#DIV/0!</v>
      </c>
      <c r="BD160" s="23">
        <f>+'QTR Raw'!X83</f>
        <v>0</v>
      </c>
      <c r="BE160" s="23" t="e">
        <f t="shared" ref="BE160" si="1318">+BE210</f>
        <v>#DIV/0!</v>
      </c>
      <c r="BF160" s="23">
        <f>+'QTR Raw'!Z83</f>
        <v>0</v>
      </c>
      <c r="BG160" s="23" t="e">
        <f t="shared" ref="BG160" si="1319">+BG210</f>
        <v>#DIV/0!</v>
      </c>
      <c r="BH160" s="23">
        <f>+'QTR Raw'!AB83</f>
        <v>0</v>
      </c>
      <c r="BI160" s="23" t="e">
        <f t="shared" ref="BI160" si="1320">+BI210</f>
        <v>#DIV/0!</v>
      </c>
      <c r="BJ160" s="23">
        <f>+'QTR Raw'!AD83</f>
        <v>0</v>
      </c>
      <c r="BK160" s="23" t="e">
        <f t="shared" ref="BK160" si="1321">+BK210</f>
        <v>#DIV/0!</v>
      </c>
      <c r="BL160" s="23">
        <f>+'QTR Raw'!AF83</f>
        <v>0</v>
      </c>
      <c r="BM160" s="23" t="e">
        <f t="shared" ref="BM160" si="1322">+BM210</f>
        <v>#DIV/0!</v>
      </c>
      <c r="BN160" s="23">
        <f>+'QTR Raw'!AH83</f>
        <v>0</v>
      </c>
      <c r="BO160" s="23" t="e">
        <f t="shared" ref="BO160" si="1323">+BO210</f>
        <v>#DIV/0!</v>
      </c>
      <c r="BP160" s="23">
        <f>+'QTR Raw'!AJ83</f>
        <v>0</v>
      </c>
      <c r="BQ160" s="23" t="e">
        <f t="shared" ref="BQ160" si="1324">+BQ210</f>
        <v>#DIV/0!</v>
      </c>
      <c r="BR160" s="23">
        <f>+'QTR Raw'!AL83</f>
        <v>0</v>
      </c>
      <c r="BS160" s="23" t="e">
        <f t="shared" ref="BS160" si="1325">+BS210</f>
        <v>#DIV/0!</v>
      </c>
      <c r="BT160" s="23">
        <f>+'QTR Raw'!AN83</f>
        <v>0</v>
      </c>
      <c r="BU160" s="23" t="e">
        <f t="shared" ref="BU160" si="1326">+BU210</f>
        <v>#DIV/0!</v>
      </c>
      <c r="BV160" s="23">
        <f>+'QTR Raw'!AP83</f>
        <v>0</v>
      </c>
      <c r="BW160" s="23" t="e">
        <f t="shared" ref="BW160" si="1327">+BW210</f>
        <v>#DIV/0!</v>
      </c>
      <c r="BX160" s="23">
        <f>+'QTR Raw'!AR83</f>
        <v>0</v>
      </c>
      <c r="BY160" s="23">
        <f t="shared" ref="BY160" si="1328">+BY210</f>
        <v>5.7179999999999733</v>
      </c>
      <c r="BZ160" s="23">
        <f>+'QTR Raw'!AT83</f>
        <v>167.601</v>
      </c>
      <c r="CA160" s="23">
        <f t="shared" ref="CA160" si="1329">+CA210</f>
        <v>238.43007832695778</v>
      </c>
      <c r="CB160" s="23">
        <f>+'QTR Raw'!AV83</f>
        <v>563.79499999999996</v>
      </c>
      <c r="CC160" s="23">
        <f t="shared" ref="CC160" si="1330">+CC210</f>
        <v>535.71272118778222</v>
      </c>
      <c r="CD160" s="23">
        <f>+'QTR Raw'!AX83</f>
        <v>536.58699999999999</v>
      </c>
      <c r="CE160" s="23">
        <f t="shared" ref="CE160" si="1331">+CE210</f>
        <v>657.75071718949937</v>
      </c>
      <c r="CF160" s="23">
        <f>+'QTR Raw'!AZ83</f>
        <v>459.363</v>
      </c>
      <c r="CG160" s="23">
        <f t="shared" ref="CG160:CI160" si="1332">+CG210</f>
        <v>386.8081986750546</v>
      </c>
      <c r="CH160" s="23">
        <f t="shared" si="1308"/>
        <v>287.78199999999998</v>
      </c>
      <c r="CI160" s="23">
        <f t="shared" si="1332"/>
        <v>486.50659895106929</v>
      </c>
      <c r="CJ160" s="23">
        <f>+'QTR Raw'!BD83</f>
        <v>308.92599999999999</v>
      </c>
      <c r="CK160" s="24">
        <f t="shared" ref="CK160:DB160" si="1333">+CK210</f>
        <v>343.16438626808389</v>
      </c>
      <c r="CL160" s="23">
        <f>+'QTR Raw'!BF83</f>
        <v>125.8</v>
      </c>
      <c r="CM160" s="24">
        <f t="shared" si="1333"/>
        <v>398.4662816110889</v>
      </c>
      <c r="CN160" s="24">
        <f t="shared" si="1333"/>
        <v>398.44137780771683</v>
      </c>
      <c r="CO160" s="24">
        <f t="shared" si="1333"/>
        <v>429.42603242532954</v>
      </c>
      <c r="CP160" s="24">
        <f t="shared" si="1333"/>
        <v>343.68329589637949</v>
      </c>
      <c r="CQ160" s="24">
        <f t="shared" si="1333"/>
        <v>556.36436764045254</v>
      </c>
      <c r="CR160" s="24">
        <f t="shared" si="1333"/>
        <v>559.34865096202998</v>
      </c>
      <c r="CS160" s="24">
        <f t="shared" si="1333"/>
        <v>582.94797877223164</v>
      </c>
      <c r="CT160" s="24">
        <f t="shared" si="1333"/>
        <v>510.36899572756397</v>
      </c>
      <c r="CU160" s="24">
        <f t="shared" si="1333"/>
        <v>684.96347933102584</v>
      </c>
      <c r="CV160" s="24">
        <f t="shared" si="1333"/>
        <v>687.27728406264293</v>
      </c>
      <c r="CW160" s="24">
        <f t="shared" si="1333"/>
        <v>705.78638089879337</v>
      </c>
      <c r="CX160" s="24">
        <f t="shared" si="1333"/>
        <v>645.90081437594063</v>
      </c>
      <c r="CY160" s="24">
        <f t="shared" si="1333"/>
        <v>788.23827527828712</v>
      </c>
      <c r="CZ160" s="24">
        <f t="shared" si="1333"/>
        <v>789.70129874599559</v>
      </c>
      <c r="DA160" s="24">
        <f t="shared" si="1333"/>
        <v>804.32488029234105</v>
      </c>
      <c r="DB160" s="24">
        <f t="shared" si="1333"/>
        <v>754.98831634027806</v>
      </c>
      <c r="DE160" s="123"/>
      <c r="DF160" s="23">
        <v>125.8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0</v>
      </c>
      <c r="K161" s="22">
        <f t="shared" si="1334"/>
        <v>0</v>
      </c>
      <c r="L161" s="22">
        <f t="shared" si="1334"/>
        <v>2.3495382</v>
      </c>
      <c r="M161" s="22">
        <f t="shared" si="1334"/>
        <v>5.1020925000000004</v>
      </c>
      <c r="N161" s="22">
        <f t="shared" si="1334"/>
        <v>4.1946263999999998</v>
      </c>
      <c r="O161" s="22">
        <f t="shared" si="1334"/>
        <v>78.335263699999999</v>
      </c>
      <c r="P161" s="22">
        <f t="shared" si="1334"/>
        <v>53.461933100000003</v>
      </c>
      <c r="Q161" s="22">
        <f t="shared" si="1334"/>
        <v>33.826113900000003</v>
      </c>
      <c r="R161" s="22">
        <f t="shared" si="1334"/>
        <v>23.5528862</v>
      </c>
      <c r="S161" s="22">
        <f t="shared" si="1334"/>
        <v>13.472578799999999</v>
      </c>
      <c r="T161" s="22">
        <f t="shared" si="1334"/>
        <v>59.640999999999998</v>
      </c>
      <c r="U161" s="22">
        <f t="shared" si="1334"/>
        <v>66.144999999999996</v>
      </c>
      <c r="V161" s="22">
        <f t="shared" si="1334"/>
        <v>34.176000000000002</v>
      </c>
      <c r="W161" s="22">
        <f t="shared" ref="W161" si="1335">W159+W160</f>
        <v>121.80800000000001</v>
      </c>
      <c r="X161" s="22">
        <f t="shared" ref="X161:Y161" si="1336">X159+X160</f>
        <v>167.601</v>
      </c>
      <c r="Y161" s="22">
        <f t="shared" si="1336"/>
        <v>536.58699999999999</v>
      </c>
      <c r="Z161" s="22">
        <f t="shared" ref="Z161:AA161" si="1337">Z159+Z160</f>
        <v>287.78199999999998</v>
      </c>
      <c r="AA161" s="22">
        <f t="shared" ref="AA161" si="1338">AA159+AA160</f>
        <v>145.80000000000001</v>
      </c>
      <c r="AB161" s="21">
        <f t="shared" ref="AB161:AD161" si="1339">AB159+AB160</f>
        <v>343.68329589637949</v>
      </c>
      <c r="AC161" s="21">
        <f t="shared" si="1339"/>
        <v>510.36899572756397</v>
      </c>
      <c r="AD161" s="21">
        <f t="shared" si="1339"/>
        <v>645.90081437594063</v>
      </c>
      <c r="AE161" s="21">
        <f t="shared" ref="AE161" si="1340">AE159+AE160</f>
        <v>754.98831634027806</v>
      </c>
      <c r="AJ161" s="22">
        <f t="shared" ref="AJ161" si="1341">AJ159+AJ160</f>
        <v>0</v>
      </c>
      <c r="AK161" s="22" t="e">
        <f t="shared" ref="AK161" si="1342">AK159+AK160</f>
        <v>#DIV/0!</v>
      </c>
      <c r="AL161" s="22">
        <f t="shared" ref="AL161:AM161" si="1343">AL159+AL160</f>
        <v>0</v>
      </c>
      <c r="AM161" s="22" t="e">
        <f t="shared" si="1343"/>
        <v>#DIV/0!</v>
      </c>
      <c r="AN161" s="22">
        <f t="shared" ref="AN161:AO161" si="1344">AN159+AN160</f>
        <v>0</v>
      </c>
      <c r="AO161" s="22" t="e">
        <f t="shared" si="1344"/>
        <v>#DIV/0!</v>
      </c>
      <c r="AP161" s="22">
        <f t="shared" ref="AP161:CE161" si="1345">AP159+AP160</f>
        <v>0</v>
      </c>
      <c r="AQ161" s="22" t="e">
        <f t="shared" si="1345"/>
        <v>#DIV/0!</v>
      </c>
      <c r="AR161" s="22">
        <f t="shared" si="1345"/>
        <v>0</v>
      </c>
      <c r="AS161" s="22" t="e">
        <f t="shared" si="1345"/>
        <v>#DIV/0!</v>
      </c>
      <c r="AT161" s="22">
        <f t="shared" si="1345"/>
        <v>0</v>
      </c>
      <c r="AU161" s="22" t="e">
        <f t="shared" si="1345"/>
        <v>#DIV/0!</v>
      </c>
      <c r="AV161" s="22">
        <f t="shared" si="1345"/>
        <v>0</v>
      </c>
      <c r="AW161" s="22" t="e">
        <f t="shared" si="1345"/>
        <v>#DIV/0!</v>
      </c>
      <c r="AX161" s="22">
        <f t="shared" si="1345"/>
        <v>0</v>
      </c>
      <c r="AY161" s="22" t="e">
        <f t="shared" si="1345"/>
        <v>#DIV/0!</v>
      </c>
      <c r="AZ161" s="22">
        <f t="shared" si="1345"/>
        <v>0</v>
      </c>
      <c r="BA161" s="22" t="e">
        <f t="shared" si="1345"/>
        <v>#DIV/0!</v>
      </c>
      <c r="BB161" s="22">
        <f t="shared" si="1345"/>
        <v>0</v>
      </c>
      <c r="BC161" s="22" t="e">
        <f t="shared" si="1345"/>
        <v>#DIV/0!</v>
      </c>
      <c r="BD161" s="22">
        <f t="shared" si="1345"/>
        <v>0</v>
      </c>
      <c r="BE161" s="22" t="e">
        <f t="shared" si="1345"/>
        <v>#DIV/0!</v>
      </c>
      <c r="BF161" s="22">
        <f t="shared" si="1345"/>
        <v>0</v>
      </c>
      <c r="BG161" s="22" t="e">
        <f t="shared" si="1345"/>
        <v>#DIV/0!</v>
      </c>
      <c r="BH161" s="22">
        <f t="shared" si="1345"/>
        <v>0</v>
      </c>
      <c r="BI161" s="22" t="e">
        <f t="shared" si="1345"/>
        <v>#DIV/0!</v>
      </c>
      <c r="BJ161" s="22">
        <f t="shared" si="1345"/>
        <v>0</v>
      </c>
      <c r="BK161" s="22" t="e">
        <f t="shared" si="1345"/>
        <v>#DIV/0!</v>
      </c>
      <c r="BL161" s="22">
        <f t="shared" si="1345"/>
        <v>0</v>
      </c>
      <c r="BM161" s="22" t="e">
        <f t="shared" si="1345"/>
        <v>#DIV/0!</v>
      </c>
      <c r="BN161" s="22">
        <f t="shared" si="1345"/>
        <v>0</v>
      </c>
      <c r="BO161" s="22" t="e">
        <f t="shared" si="1345"/>
        <v>#DIV/0!</v>
      </c>
      <c r="BP161" s="22">
        <f t="shared" si="1345"/>
        <v>0</v>
      </c>
      <c r="BQ161" s="22" t="e">
        <f t="shared" si="1345"/>
        <v>#DIV/0!</v>
      </c>
      <c r="BR161" s="22">
        <f t="shared" si="1345"/>
        <v>0</v>
      </c>
      <c r="BS161" s="22" t="e">
        <f t="shared" si="1345"/>
        <v>#DIV/0!</v>
      </c>
      <c r="BT161" s="22">
        <f t="shared" si="1345"/>
        <v>0</v>
      </c>
      <c r="BU161" s="22" t="e">
        <f t="shared" si="1345"/>
        <v>#DIV/0!</v>
      </c>
      <c r="BV161" s="22">
        <f t="shared" si="1345"/>
        <v>0</v>
      </c>
      <c r="BW161" s="22" t="e">
        <f t="shared" si="1345"/>
        <v>#DIV/0!</v>
      </c>
      <c r="BX161" s="22">
        <f t="shared" si="1345"/>
        <v>0</v>
      </c>
      <c r="BY161" s="22">
        <f t="shared" si="1345"/>
        <v>5.7179999999999733</v>
      </c>
      <c r="BZ161" s="22">
        <f t="shared" si="1345"/>
        <v>167.601</v>
      </c>
      <c r="CA161" s="22">
        <f t="shared" si="1345"/>
        <v>238.43007832695778</v>
      </c>
      <c r="CB161" s="22">
        <f t="shared" si="1345"/>
        <v>563.79499999999996</v>
      </c>
      <c r="CC161" s="22">
        <f t="shared" si="1345"/>
        <v>535.71272118778222</v>
      </c>
      <c r="CD161" s="22">
        <f t="shared" si="1345"/>
        <v>536.58699999999999</v>
      </c>
      <c r="CE161" s="22">
        <f t="shared" si="1345"/>
        <v>657.75071718949937</v>
      </c>
      <c r="CF161" s="22">
        <f t="shared" ref="CF161:CG161" si="1346">CF159+CF160</f>
        <v>459.363</v>
      </c>
      <c r="CG161" s="22">
        <f t="shared" si="1346"/>
        <v>386.8081986750546</v>
      </c>
      <c r="CH161" s="22">
        <f t="shared" ref="CH161:CI161" si="1347">CH159+CH160</f>
        <v>287.78199999999998</v>
      </c>
      <c r="CI161" s="22">
        <f t="shared" si="1347"/>
        <v>486.50659895106929</v>
      </c>
      <c r="CJ161" s="22">
        <f t="shared" ref="CJ161:DB161" si="1348">CJ159+CJ160</f>
        <v>308.92599999999999</v>
      </c>
      <c r="CK161" s="21">
        <f t="shared" si="1348"/>
        <v>343.16438626808389</v>
      </c>
      <c r="CL161" s="22">
        <f t="shared" ref="CL161" si="1349">CL159+CL160</f>
        <v>145.80000000000001</v>
      </c>
      <c r="CM161" s="21">
        <f t="shared" si="1348"/>
        <v>398.4662816110889</v>
      </c>
      <c r="CN161" s="21">
        <f t="shared" si="1348"/>
        <v>398.44137780771683</v>
      </c>
      <c r="CO161" s="21">
        <f t="shared" si="1348"/>
        <v>429.42603242532954</v>
      </c>
      <c r="CP161" s="21">
        <f t="shared" si="1348"/>
        <v>343.68329589637949</v>
      </c>
      <c r="CQ161" s="21">
        <f t="shared" si="1348"/>
        <v>556.36436764045254</v>
      </c>
      <c r="CR161" s="21">
        <f t="shared" si="1348"/>
        <v>559.34865096202998</v>
      </c>
      <c r="CS161" s="21">
        <f t="shared" si="1348"/>
        <v>582.94797877223164</v>
      </c>
      <c r="CT161" s="21">
        <f t="shared" si="1348"/>
        <v>510.36899572756397</v>
      </c>
      <c r="CU161" s="21">
        <f t="shared" si="1348"/>
        <v>684.96347933102584</v>
      </c>
      <c r="CV161" s="21">
        <f t="shared" si="1348"/>
        <v>687.27728406264293</v>
      </c>
      <c r="CW161" s="21">
        <f t="shared" si="1348"/>
        <v>705.78638089879337</v>
      </c>
      <c r="CX161" s="21">
        <f t="shared" si="1348"/>
        <v>645.90081437594063</v>
      </c>
      <c r="CY161" s="21">
        <f t="shared" si="1348"/>
        <v>788.23827527828712</v>
      </c>
      <c r="CZ161" s="21">
        <f t="shared" si="1348"/>
        <v>789.70129874599559</v>
      </c>
      <c r="DA161" s="21">
        <f t="shared" si="1348"/>
        <v>804.32488029234105</v>
      </c>
      <c r="DB161" s="21">
        <f t="shared" si="1348"/>
        <v>754.98831634027806</v>
      </c>
      <c r="DE161" s="126"/>
      <c r="DF161" s="22">
        <v>145.80000000000001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0.56240000000000001</v>
      </c>
      <c r="M163" s="23">
        <f>-'Annual Raw'!N49</f>
        <v>-5.7599999999999998E-2</v>
      </c>
      <c r="N163" s="23">
        <f>-'Annual Raw'!O49</f>
        <v>6.7400000000000002E-2</v>
      </c>
      <c r="O163" s="23">
        <f>-'Annual Raw'!P49</f>
        <v>-2.0748457999999999</v>
      </c>
      <c r="P163" s="23">
        <f>-'Annual Raw'!Q49</f>
        <v>-0.61836760000000002</v>
      </c>
      <c r="Q163" s="23">
        <f>-'Annual Raw'!R49</f>
        <v>2.6859774000000001</v>
      </c>
      <c r="R163" s="23">
        <f>-'Annual Raw'!S49</f>
        <v>1.626401</v>
      </c>
      <c r="S163" s="23">
        <f>-'Annual Raw'!T49</f>
        <v>3.9852542</v>
      </c>
      <c r="T163" s="23">
        <f>-'Annual Raw'!U49</f>
        <v>4.915</v>
      </c>
      <c r="U163" s="23">
        <f>-'Annual Raw'!V49</f>
        <v>6.1980000000000004</v>
      </c>
      <c r="V163" s="23">
        <f>-'Annual Raw'!W49</f>
        <v>5.0860000000000003</v>
      </c>
      <c r="W163" s="23">
        <f>-'Annual Raw'!X49</f>
        <v>3.8980000000000001</v>
      </c>
      <c r="X163" s="23">
        <f>-'Annual Raw'!Y49</f>
        <v>5.3789999999999996</v>
      </c>
      <c r="Y163" s="23">
        <f>-'Annual Raw'!Z49</f>
        <v>5.8659999999999997</v>
      </c>
      <c r="Z163" s="23">
        <f>-'Annual Raw'!AA49</f>
        <v>13.212999999999999</v>
      </c>
      <c r="AA163" s="23">
        <f>-'Annual Raw'!AB49</f>
        <v>12.984999999999999</v>
      </c>
      <c r="AB163" s="24">
        <f t="shared" ref="AB163:AB164" si="1350">+CP163</f>
        <v>12.984999999999999</v>
      </c>
      <c r="AC163" s="24">
        <f t="shared" ref="AC163:AC164" si="1351">+CT163</f>
        <v>12.984999999999999</v>
      </c>
      <c r="AD163" s="24">
        <f t="shared" ref="AD163:AD164" si="1352">+CX163</f>
        <v>12.984999999999999</v>
      </c>
      <c r="AE163" s="24">
        <f t="shared" ref="AE163:AE164" si="1353">+DB163</f>
        <v>12.984999999999999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0</v>
      </c>
      <c r="BC163" s="23">
        <f t="shared" si="1354"/>
        <v>0</v>
      </c>
      <c r="BD163" s="23">
        <f>+'QTR Raw'!X96</f>
        <v>0</v>
      </c>
      <c r="BE163" s="23">
        <f t="shared" si="1354"/>
        <v>0</v>
      </c>
      <c r="BF163" s="23">
        <f>+'QTR Raw'!Z96</f>
        <v>0</v>
      </c>
      <c r="BG163" s="23">
        <f t="shared" si="1354"/>
        <v>0</v>
      </c>
      <c r="BH163" s="23">
        <f>+'QTR Raw'!AB96</f>
        <v>0</v>
      </c>
      <c r="BI163" s="23">
        <f t="shared" si="1354"/>
        <v>0</v>
      </c>
      <c r="BJ163" s="23">
        <f>+'QTR Raw'!AD96</f>
        <v>0</v>
      </c>
      <c r="BK163" s="23">
        <f t="shared" si="1354"/>
        <v>0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0</v>
      </c>
      <c r="BQ163" s="23">
        <f t="shared" si="1354"/>
        <v>0</v>
      </c>
      <c r="BR163" s="23">
        <f>+'QTR Raw'!AL96</f>
        <v>0</v>
      </c>
      <c r="BS163" s="23">
        <f t="shared" si="1354"/>
        <v>0</v>
      </c>
      <c r="BT163" s="23">
        <f>+'QTR Raw'!AN96</f>
        <v>0</v>
      </c>
      <c r="BU163" s="23">
        <f t="shared" si="1354"/>
        <v>0</v>
      </c>
      <c r="BV163" s="23">
        <f>+'QTR Raw'!AP96</f>
        <v>0</v>
      </c>
      <c r="BW163" s="23">
        <f t="shared" si="1354"/>
        <v>0</v>
      </c>
      <c r="BX163" s="23">
        <f>+'QTR Raw'!AR96</f>
        <v>0</v>
      </c>
      <c r="BY163" s="23">
        <f t="shared" si="1354"/>
        <v>0</v>
      </c>
      <c r="BZ163" s="23">
        <f>+'QTR Raw'!AT96</f>
        <v>5.3789999999999996</v>
      </c>
      <c r="CA163" s="23">
        <f t="shared" si="1354"/>
        <v>5.3789999999999996</v>
      </c>
      <c r="CB163" s="23">
        <f>+'QTR Raw'!AV96</f>
        <v>5.4829999999999997</v>
      </c>
      <c r="CC163" s="23">
        <f t="shared" si="1354"/>
        <v>5.4829999999999997</v>
      </c>
      <c r="CD163" s="23">
        <f>+'QTR Raw'!AX96</f>
        <v>5.8659999999999997</v>
      </c>
      <c r="CE163" s="23">
        <f t="shared" si="1354"/>
        <v>5.8659999999999997</v>
      </c>
      <c r="CF163" s="23">
        <f>+'QTR Raw'!AZ96</f>
        <v>7.0010000000000003</v>
      </c>
      <c r="CG163" s="23">
        <f t="shared" ref="CG163:CI164" si="1355">+CF163</f>
        <v>7.0010000000000003</v>
      </c>
      <c r="CH163" s="23">
        <f t="shared" ref="CH163:CH164" si="1356">Z163</f>
        <v>13.212999999999999</v>
      </c>
      <c r="CI163" s="23">
        <f t="shared" si="1355"/>
        <v>13.212999999999999</v>
      </c>
      <c r="CJ163" s="23">
        <f>+'QTR Raw'!BD96</f>
        <v>14.422000000000001</v>
      </c>
      <c r="CK163" s="24">
        <f t="shared" ref="CK163:CK164" si="1357">+CJ163</f>
        <v>14.422000000000001</v>
      </c>
      <c r="CL163" s="23">
        <f>+'QTR Raw'!BF96</f>
        <v>12.984999999999999</v>
      </c>
      <c r="CM163" s="24">
        <f t="shared" ref="CM163:CM164" si="1358">+CL163</f>
        <v>12.984999999999999</v>
      </c>
      <c r="CN163" s="24">
        <f t="shared" ref="CN163:CN164" si="1359">+CM163</f>
        <v>12.984999999999999</v>
      </c>
      <c r="CO163" s="24">
        <f t="shared" ref="CO163:CO164" si="1360">+CN163</f>
        <v>12.984999999999999</v>
      </c>
      <c r="CP163" s="24">
        <f t="shared" ref="CP163:CP164" si="1361">+CO163</f>
        <v>12.984999999999999</v>
      </c>
      <c r="CQ163" s="24">
        <f t="shared" ref="CQ163:CQ164" si="1362">+CP163</f>
        <v>12.984999999999999</v>
      </c>
      <c r="CR163" s="24">
        <f t="shared" ref="CR163:CR164" si="1363">+CQ163</f>
        <v>12.984999999999999</v>
      </c>
      <c r="CS163" s="24">
        <f t="shared" ref="CS163:CS164" si="1364">+CR163</f>
        <v>12.984999999999999</v>
      </c>
      <c r="CT163" s="24">
        <f t="shared" ref="CT163:CT164" si="1365">+CS163</f>
        <v>12.984999999999999</v>
      </c>
      <c r="CU163" s="24">
        <f t="shared" ref="CU163:CU164" si="1366">+CT163</f>
        <v>12.984999999999999</v>
      </c>
      <c r="CV163" s="24">
        <f t="shared" ref="CV163:CV164" si="1367">+CU163</f>
        <v>12.984999999999999</v>
      </c>
      <c r="CW163" s="24">
        <f t="shared" ref="CW163:CW164" si="1368">+CV163</f>
        <v>12.984999999999999</v>
      </c>
      <c r="CX163" s="24">
        <f t="shared" ref="CX163:CX164" si="1369">+CW163</f>
        <v>12.984999999999999</v>
      </c>
      <c r="CY163" s="24">
        <f t="shared" ref="CY163:CY164" si="1370">+CX163</f>
        <v>12.984999999999999</v>
      </c>
      <c r="CZ163" s="24">
        <f t="shared" ref="CZ163:CZ164" si="1371">+CY163</f>
        <v>12.984999999999999</v>
      </c>
      <c r="DA163" s="24">
        <f t="shared" ref="DA163:DA164" si="1372">+CZ163</f>
        <v>12.984999999999999</v>
      </c>
      <c r="DB163" s="24">
        <f t="shared" ref="DB163:DB164" si="1373">+DA163</f>
        <v>12.984999999999999</v>
      </c>
      <c r="DE163" s="123"/>
      <c r="DF163" s="23">
        <v>12.984999999999999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0</v>
      </c>
      <c r="K165" s="26">
        <f t="shared" si="1375"/>
        <v>0</v>
      </c>
      <c r="L165" s="26">
        <f t="shared" si="1375"/>
        <v>57.596501000000004</v>
      </c>
      <c r="M165" s="26">
        <f t="shared" si="1375"/>
        <v>64.526065899999992</v>
      </c>
      <c r="N165" s="26">
        <f t="shared" si="1375"/>
        <v>72.851868800000005</v>
      </c>
      <c r="O165" s="26">
        <f t="shared" si="1375"/>
        <v>123.18041050000004</v>
      </c>
      <c r="P165" s="26">
        <f t="shared" si="1375"/>
        <v>140.2203509</v>
      </c>
      <c r="Q165" s="26">
        <f t="shared" si="1375"/>
        <v>164.4987434</v>
      </c>
      <c r="R165" s="26">
        <f t="shared" si="1375"/>
        <v>161.19468180000001</v>
      </c>
      <c r="S165" s="26">
        <f t="shared" si="1375"/>
        <v>186.9486181</v>
      </c>
      <c r="T165" s="26">
        <f t="shared" si="1375"/>
        <v>195.27799999999996</v>
      </c>
      <c r="U165" s="26">
        <f t="shared" si="1375"/>
        <v>287.07699999999988</v>
      </c>
      <c r="V165" s="26">
        <f t="shared" si="1375"/>
        <v>271.41700000000003</v>
      </c>
      <c r="W165" s="26">
        <f t="shared" si="1375"/>
        <v>370.30500000000012</v>
      </c>
      <c r="X165" s="26">
        <f t="shared" ref="X165:Y165" si="1376">X163+X161+X157+X140+X138+X164</f>
        <v>512.346</v>
      </c>
      <c r="Y165" s="26">
        <f t="shared" si="1376"/>
        <v>1042.5409999999999</v>
      </c>
      <c r="Z165" s="26">
        <f t="shared" ref="Z165:AA165" si="1377">Z163+Z161+Z157+Z140+Z138+Z164</f>
        <v>1193.1910000000003</v>
      </c>
      <c r="AA165" s="26">
        <f t="shared" ref="AA165" si="1378">AA163+AA161+AA157+AA140+AA138+AA164</f>
        <v>1118.2329999999999</v>
      </c>
      <c r="AB165" s="27">
        <f t="shared" ref="AB165:AD165" si="1379">AB163+AB161+AB157+AB140+AB138+AB164</f>
        <v>1163.8754724092928</v>
      </c>
      <c r="AC165" s="27">
        <f t="shared" si="1379"/>
        <v>1199.7206209577084</v>
      </c>
      <c r="AD165" s="27">
        <f t="shared" si="1379"/>
        <v>1227.2883795007006</v>
      </c>
      <c r="AE165" s="27">
        <f t="shared" ref="AE165" si="1380">AE163+AE161+AE157+AE140+AE138+AE164</f>
        <v>1248.0695265071595</v>
      </c>
      <c r="AJ165" s="26">
        <f t="shared" ref="AJ165" si="1381">AJ163+AJ161+AJ157+AJ140+AJ138+AJ164</f>
        <v>0</v>
      </c>
      <c r="AK165" s="26" t="e">
        <f t="shared" ref="AK165:AL165" si="1382">AK163+AK161+AK157+AK140+AK138+AK164</f>
        <v>#DIV/0!</v>
      </c>
      <c r="AL165" s="26">
        <f t="shared" si="1382"/>
        <v>0</v>
      </c>
      <c r="AM165" s="26" t="e">
        <f t="shared" ref="AM165:AO165" si="1383">AM163+AM161+AM157+AM140+AM138+AM164</f>
        <v>#DIV/0!</v>
      </c>
      <c r="AN165" s="26">
        <f t="shared" si="1383"/>
        <v>0</v>
      </c>
      <c r="AO165" s="26" t="e">
        <f t="shared" si="1383"/>
        <v>#DIV/0!</v>
      </c>
      <c r="AP165" s="26">
        <f t="shared" ref="AP165:CE165" si="1384">AP163+AP161+AP157+AP140+AP138+AP164</f>
        <v>0</v>
      </c>
      <c r="AQ165" s="26" t="e">
        <f t="shared" si="1384"/>
        <v>#DIV/0!</v>
      </c>
      <c r="AR165" s="26">
        <f t="shared" si="1384"/>
        <v>0</v>
      </c>
      <c r="AS165" s="26" t="e">
        <f t="shared" si="1384"/>
        <v>#DIV/0!</v>
      </c>
      <c r="AT165" s="26">
        <f t="shared" si="1384"/>
        <v>0</v>
      </c>
      <c r="AU165" s="26" t="e">
        <f t="shared" si="1384"/>
        <v>#DIV/0!</v>
      </c>
      <c r="AV165" s="26">
        <f t="shared" si="1384"/>
        <v>0</v>
      </c>
      <c r="AW165" s="26" t="e">
        <f t="shared" si="1384"/>
        <v>#DIV/0!</v>
      </c>
      <c r="AX165" s="26">
        <f t="shared" si="1384"/>
        <v>0</v>
      </c>
      <c r="AY165" s="26" t="e">
        <f t="shared" si="1384"/>
        <v>#DIV/0!</v>
      </c>
      <c r="AZ165" s="26">
        <f t="shared" si="1384"/>
        <v>0</v>
      </c>
      <c r="BA165" s="26" t="e">
        <f t="shared" si="1384"/>
        <v>#DIV/0!</v>
      </c>
      <c r="BB165" s="26">
        <f t="shared" si="1384"/>
        <v>0</v>
      </c>
      <c r="BC165" s="26" t="e">
        <f t="shared" si="1384"/>
        <v>#DIV/0!</v>
      </c>
      <c r="BD165" s="26">
        <f t="shared" si="1384"/>
        <v>0</v>
      </c>
      <c r="BE165" s="26" t="e">
        <f t="shared" si="1384"/>
        <v>#DIV/0!</v>
      </c>
      <c r="BF165" s="26">
        <f t="shared" si="1384"/>
        <v>0</v>
      </c>
      <c r="BG165" s="26" t="e">
        <f t="shared" si="1384"/>
        <v>#DIV/0!</v>
      </c>
      <c r="BH165" s="26">
        <f t="shared" ref="BH165" si="1385">BH163+BH161+BH157+BH140+BH138+BH164</f>
        <v>0</v>
      </c>
      <c r="BI165" s="26" t="e">
        <f t="shared" si="1384"/>
        <v>#DIV/0!</v>
      </c>
      <c r="BJ165" s="26">
        <f t="shared" si="1384"/>
        <v>0</v>
      </c>
      <c r="BK165" s="26" t="e">
        <f t="shared" si="1384"/>
        <v>#DIV/0!</v>
      </c>
      <c r="BL165" s="26">
        <f t="shared" si="1384"/>
        <v>0</v>
      </c>
      <c r="BM165" s="26" t="e">
        <f t="shared" si="1384"/>
        <v>#DIV/0!</v>
      </c>
      <c r="BN165" s="26">
        <f t="shared" si="1384"/>
        <v>0</v>
      </c>
      <c r="BO165" s="26" t="e">
        <f t="shared" si="1384"/>
        <v>#DIV/0!</v>
      </c>
      <c r="BP165" s="26">
        <f t="shared" si="1384"/>
        <v>0</v>
      </c>
      <c r="BQ165" s="26" t="e">
        <f t="shared" si="1384"/>
        <v>#DIV/0!</v>
      </c>
      <c r="BR165" s="26">
        <f t="shared" si="1384"/>
        <v>0</v>
      </c>
      <c r="BS165" s="26" t="e">
        <f t="shared" si="1384"/>
        <v>#DIV/0!</v>
      </c>
      <c r="BT165" s="26">
        <f t="shared" si="1384"/>
        <v>0</v>
      </c>
      <c r="BU165" s="26" t="e">
        <f t="shared" si="1384"/>
        <v>#DIV/0!</v>
      </c>
      <c r="BV165" s="26">
        <f t="shared" si="1384"/>
        <v>0</v>
      </c>
      <c r="BW165" s="26" t="e">
        <f t="shared" si="1384"/>
        <v>#DIV/0!</v>
      </c>
      <c r="BX165" s="26">
        <f t="shared" si="1384"/>
        <v>0</v>
      </c>
      <c r="BY165" s="26">
        <f t="shared" si="1384"/>
        <v>5.7179999999999733</v>
      </c>
      <c r="BZ165" s="26">
        <f t="shared" si="1384"/>
        <v>512.34600000000012</v>
      </c>
      <c r="CA165" s="26">
        <f t="shared" si="1384"/>
        <v>517.70500000000004</v>
      </c>
      <c r="CB165" s="26">
        <f t="shared" si="1384"/>
        <v>1134.2069999999999</v>
      </c>
      <c r="CC165" s="26">
        <f t="shared" si="1384"/>
        <v>1152.6469999999999</v>
      </c>
      <c r="CD165" s="26">
        <f t="shared" si="1384"/>
        <v>1042.5409999999999</v>
      </c>
      <c r="CE165" s="26">
        <f t="shared" si="1384"/>
        <v>1053.1370000000002</v>
      </c>
      <c r="CF165" s="26">
        <f t="shared" ref="CF165:CG165" si="1386">CF163+CF161+CF157+CF140+CF138+CF164</f>
        <v>1226.2140000000002</v>
      </c>
      <c r="CG165" s="26">
        <f t="shared" si="1386"/>
        <v>1237.2050000000002</v>
      </c>
      <c r="CH165" s="26">
        <f t="shared" ref="CH165:CI165" si="1387">CH163+CH161+CH157+CH140+CH138+CH164</f>
        <v>1193.1910000000003</v>
      </c>
      <c r="CI165" s="26">
        <f t="shared" si="1387"/>
        <v>1200.654</v>
      </c>
      <c r="CJ165" s="26">
        <f t="shared" ref="CJ165:DB165" si="1388">CJ163+CJ161+CJ157+CJ140+CJ138+CJ164</f>
        <v>1145.4589999999998</v>
      </c>
      <c r="CK165" s="27">
        <f t="shared" si="1388"/>
        <v>1156.692</v>
      </c>
      <c r="CL165" s="26">
        <f t="shared" ref="CL165" si="1389">CL163+CL161+CL157+CL140+CL138+CL164</f>
        <v>1118.2329999999999</v>
      </c>
      <c r="CM165" s="27">
        <f t="shared" si="1388"/>
        <v>1127.1752626903049</v>
      </c>
      <c r="CN165" s="27">
        <f t="shared" si="1388"/>
        <v>1137.722248839742</v>
      </c>
      <c r="CO165" s="27">
        <f t="shared" si="1388"/>
        <v>1147.8782353957315</v>
      </c>
      <c r="CP165" s="27">
        <f t="shared" si="1388"/>
        <v>1163.8754724092928</v>
      </c>
      <c r="CQ165" s="27">
        <f t="shared" si="1388"/>
        <v>1171.2683638949693</v>
      </c>
      <c r="CR165" s="27">
        <f t="shared" si="1388"/>
        <v>1179.2870166875141</v>
      </c>
      <c r="CS165" s="27">
        <f t="shared" si="1388"/>
        <v>1187.2902932175011</v>
      </c>
      <c r="CT165" s="27">
        <f t="shared" si="1388"/>
        <v>1199.7206209577084</v>
      </c>
      <c r="CU165" s="27">
        <f t="shared" si="1388"/>
        <v>1205.3941614881335</v>
      </c>
      <c r="CV165" s="27">
        <f t="shared" si="1388"/>
        <v>1211.4882760694877</v>
      </c>
      <c r="CW165" s="27">
        <f t="shared" si="1388"/>
        <v>1217.5961943127211</v>
      </c>
      <c r="CX165" s="27">
        <f t="shared" si="1388"/>
        <v>1227.2883795007006</v>
      </c>
      <c r="CY165" s="27">
        <f t="shared" si="1388"/>
        <v>1231.4967115260233</v>
      </c>
      <c r="CZ165" s="27">
        <f t="shared" si="1388"/>
        <v>1236.0362354146698</v>
      </c>
      <c r="DA165" s="27">
        <f t="shared" si="1388"/>
        <v>1240.5903054314056</v>
      </c>
      <c r="DB165" s="27">
        <f t="shared" si="1388"/>
        <v>1248.0695265071595</v>
      </c>
      <c r="DE165" s="121"/>
      <c r="DF165" s="26">
        <v>1118.2329999999999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 t="e">
        <f t="shared" si="1400"/>
        <v>#DIV/0!</v>
      </c>
      <c r="AV166" s="23">
        <f t="shared" si="1400"/>
        <v>0</v>
      </c>
      <c r="AW166" s="23" t="e">
        <f t="shared" si="1400"/>
        <v>#DIV/0!</v>
      </c>
      <c r="AX166" s="23">
        <f t="shared" si="1400"/>
        <v>0</v>
      </c>
      <c r="AY166" s="23" t="e">
        <f t="shared" si="1400"/>
        <v>#DIV/0!</v>
      </c>
      <c r="AZ166" s="23">
        <f t="shared" si="1400"/>
        <v>0</v>
      </c>
      <c r="BA166" s="23" t="e">
        <f t="shared" si="1400"/>
        <v>#DIV/0!</v>
      </c>
      <c r="BB166" s="23">
        <f t="shared" si="1400"/>
        <v>0</v>
      </c>
      <c r="BC166" s="23" t="e">
        <f t="shared" si="1400"/>
        <v>#DIV/0!</v>
      </c>
      <c r="BD166" s="23">
        <f t="shared" si="1400"/>
        <v>0</v>
      </c>
      <c r="BE166" s="23" t="e">
        <f t="shared" si="1400"/>
        <v>#DIV/0!</v>
      </c>
      <c r="BF166" s="23">
        <f t="shared" si="1400"/>
        <v>0</v>
      </c>
      <c r="BG166" s="23" t="e">
        <f t="shared" si="1400"/>
        <v>#DIV/0!</v>
      </c>
      <c r="BH166" s="23">
        <f t="shared" ref="BH166" si="1401">BH165-BH129</f>
        <v>0</v>
      </c>
      <c r="BI166" s="23" t="e">
        <f t="shared" si="1400"/>
        <v>#DIV/0!</v>
      </c>
      <c r="BJ166" s="23">
        <f t="shared" si="1400"/>
        <v>0</v>
      </c>
      <c r="BK166" s="23" t="e">
        <f t="shared" si="1400"/>
        <v>#DIV/0!</v>
      </c>
      <c r="BL166" s="23">
        <f t="shared" si="1400"/>
        <v>0</v>
      </c>
      <c r="BM166" s="23" t="e">
        <f t="shared" si="1400"/>
        <v>#DIV/0!</v>
      </c>
      <c r="BN166" s="23">
        <f t="shared" si="1400"/>
        <v>0</v>
      </c>
      <c r="BO166" s="23" t="e">
        <f t="shared" si="1400"/>
        <v>#DIV/0!</v>
      </c>
      <c r="BP166" s="23">
        <f t="shared" si="1400"/>
        <v>0</v>
      </c>
      <c r="BQ166" s="23" t="e">
        <f t="shared" si="1400"/>
        <v>#DIV/0!</v>
      </c>
      <c r="BR166" s="23">
        <f t="shared" si="1400"/>
        <v>0</v>
      </c>
      <c r="BS166" s="23" t="e">
        <f t="shared" si="1400"/>
        <v>#DIV/0!</v>
      </c>
      <c r="BT166" s="23">
        <f t="shared" si="1400"/>
        <v>0</v>
      </c>
      <c r="BU166" s="23" t="e">
        <f t="shared" si="1400"/>
        <v>#DIV/0!</v>
      </c>
      <c r="BV166" s="23">
        <f t="shared" si="1400"/>
        <v>0</v>
      </c>
      <c r="BW166" s="23" t="e">
        <f t="shared" si="1400"/>
        <v>#DIV/0!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0</v>
      </c>
      <c r="K168" s="22">
        <f t="shared" si="1406"/>
        <v>0</v>
      </c>
      <c r="L168" s="22">
        <f t="shared" si="1406"/>
        <v>35.945686500000008</v>
      </c>
      <c r="M168" s="22">
        <f t="shared" si="1406"/>
        <v>37.423695100000003</v>
      </c>
      <c r="N168" s="22">
        <f t="shared" si="1406"/>
        <v>43.347301800000004</v>
      </c>
      <c r="O168" s="22">
        <f t="shared" si="1406"/>
        <v>2.2640976999999936</v>
      </c>
      <c r="P168" s="22">
        <f t="shared" si="1406"/>
        <v>39.710218700000006</v>
      </c>
      <c r="Q168" s="22">
        <f t="shared" si="1406"/>
        <v>90.554671899999988</v>
      </c>
      <c r="R168" s="22">
        <f t="shared" si="1406"/>
        <v>97.163364700000002</v>
      </c>
      <c r="S168" s="22">
        <f t="shared" si="1406"/>
        <v>137.30160549999999</v>
      </c>
      <c r="T168" s="22">
        <f t="shared" si="1406"/>
        <v>100.71199999999999</v>
      </c>
      <c r="U168" s="22">
        <f t="shared" si="1406"/>
        <v>195.226</v>
      </c>
      <c r="V168" s="22">
        <f t="shared" si="1406"/>
        <v>199.589</v>
      </c>
      <c r="W168" s="22">
        <f t="shared" si="1406"/>
        <v>171.38499999999999</v>
      </c>
      <c r="X168" s="22">
        <f t="shared" ref="X168:Y168" si="1407">X128-X161</f>
        <v>146.87299999999999</v>
      </c>
      <c r="Y168" s="22">
        <f t="shared" si="1407"/>
        <v>-403.024</v>
      </c>
      <c r="Z168" s="22">
        <f t="shared" ref="Z168:AA168" si="1408">Z128-Z161</f>
        <v>-44.025999999999982</v>
      </c>
      <c r="AA168" s="22">
        <f t="shared" ref="AA168" si="1409">AA128-AA161</f>
        <v>-39.675000000000011</v>
      </c>
      <c r="AB168" s="21">
        <f t="shared" ref="AB168:AD168" si="1410">AB128-AB161</f>
        <v>-237.55829589637949</v>
      </c>
      <c r="AC168" s="21">
        <f t="shared" si="1410"/>
        <v>-404.24399572756397</v>
      </c>
      <c r="AD168" s="21">
        <f t="shared" si="1410"/>
        <v>-539.77581437594063</v>
      </c>
      <c r="AE168" s="21">
        <f t="shared" ref="AE168" si="1411">AE128-AE161</f>
        <v>-648.86331634027806</v>
      </c>
      <c r="AJ168" s="22">
        <f t="shared" ref="AJ168:AM168" si="1412">AJ128-AJ161</f>
        <v>0</v>
      </c>
      <c r="AK168" s="22" t="e">
        <f t="shared" si="1412"/>
        <v>#DIV/0!</v>
      </c>
      <c r="AL168" s="22">
        <f t="shared" si="1412"/>
        <v>0</v>
      </c>
      <c r="AM168" s="22" t="e">
        <f t="shared" si="1412"/>
        <v>#DIV/0!</v>
      </c>
      <c r="AN168" s="22">
        <f t="shared" ref="AN168:AO168" si="1413">AN128-AN161</f>
        <v>0</v>
      </c>
      <c r="AO168" s="22" t="e">
        <f t="shared" si="1413"/>
        <v>#DIV/0!</v>
      </c>
      <c r="AP168" s="22">
        <f t="shared" ref="AP168:CE168" si="1414">AP128-AP161</f>
        <v>0</v>
      </c>
      <c r="AQ168" s="22" t="e">
        <f t="shared" si="1414"/>
        <v>#DIV/0!</v>
      </c>
      <c r="AR168" s="22">
        <f t="shared" si="1414"/>
        <v>0</v>
      </c>
      <c r="AS168" s="22" t="e">
        <f t="shared" si="1414"/>
        <v>#DIV/0!</v>
      </c>
      <c r="AT168" s="22">
        <f t="shared" si="1414"/>
        <v>0</v>
      </c>
      <c r="AU168" s="22" t="e">
        <f t="shared" si="1414"/>
        <v>#DIV/0!</v>
      </c>
      <c r="AV168" s="22">
        <f t="shared" si="1414"/>
        <v>0</v>
      </c>
      <c r="AW168" s="22" t="e">
        <f t="shared" si="1414"/>
        <v>#DIV/0!</v>
      </c>
      <c r="AX168" s="22">
        <f t="shared" si="1414"/>
        <v>0</v>
      </c>
      <c r="AY168" s="22" t="e">
        <f t="shared" si="1414"/>
        <v>#DIV/0!</v>
      </c>
      <c r="AZ168" s="22">
        <f t="shared" si="1414"/>
        <v>0</v>
      </c>
      <c r="BA168" s="22" t="e">
        <f t="shared" si="1414"/>
        <v>#DIV/0!</v>
      </c>
      <c r="BB168" s="22">
        <f t="shared" si="1414"/>
        <v>0</v>
      </c>
      <c r="BC168" s="22" t="e">
        <f t="shared" si="1414"/>
        <v>#DIV/0!</v>
      </c>
      <c r="BD168" s="22">
        <f t="shared" si="1414"/>
        <v>0</v>
      </c>
      <c r="BE168" s="22" t="e">
        <f t="shared" si="1414"/>
        <v>#DIV/0!</v>
      </c>
      <c r="BF168" s="22">
        <f t="shared" si="1414"/>
        <v>0</v>
      </c>
      <c r="BG168" s="22" t="e">
        <f t="shared" si="1414"/>
        <v>#DIV/0!</v>
      </c>
      <c r="BH168" s="22">
        <f t="shared" si="1414"/>
        <v>0</v>
      </c>
      <c r="BI168" s="22" t="e">
        <f t="shared" si="1414"/>
        <v>#DIV/0!</v>
      </c>
      <c r="BJ168" s="22">
        <f t="shared" si="1414"/>
        <v>0</v>
      </c>
      <c r="BK168" s="22" t="e">
        <f t="shared" si="1414"/>
        <v>#DIV/0!</v>
      </c>
      <c r="BL168" s="22">
        <f t="shared" si="1414"/>
        <v>0</v>
      </c>
      <c r="BM168" s="22" t="e">
        <f t="shared" si="1414"/>
        <v>#DIV/0!</v>
      </c>
      <c r="BN168" s="22">
        <f t="shared" si="1414"/>
        <v>0</v>
      </c>
      <c r="BO168" s="22" t="e">
        <f t="shared" si="1414"/>
        <v>#DIV/0!</v>
      </c>
      <c r="BP168" s="22">
        <f t="shared" si="1414"/>
        <v>0</v>
      </c>
      <c r="BQ168" s="22" t="e">
        <f t="shared" si="1414"/>
        <v>#DIV/0!</v>
      </c>
      <c r="BR168" s="22">
        <f t="shared" si="1414"/>
        <v>0</v>
      </c>
      <c r="BS168" s="22" t="e">
        <f t="shared" si="1414"/>
        <v>#DIV/0!</v>
      </c>
      <c r="BT168" s="22">
        <f t="shared" si="1414"/>
        <v>0</v>
      </c>
      <c r="BU168" s="22" t="e">
        <f t="shared" si="1414"/>
        <v>#DIV/0!</v>
      </c>
      <c r="BV168" s="22">
        <f t="shared" si="1414"/>
        <v>0</v>
      </c>
      <c r="BW168" s="22" t="e">
        <f t="shared" si="1414"/>
        <v>#DIV/0!</v>
      </c>
      <c r="BX168" s="22">
        <f t="shared" si="1414"/>
        <v>0</v>
      </c>
      <c r="BY168" s="22">
        <f t="shared" si="1414"/>
        <v>-5.7179999999999733</v>
      </c>
      <c r="BZ168" s="22">
        <f t="shared" si="1414"/>
        <v>146.87299999999999</v>
      </c>
      <c r="CA168" s="22">
        <f t="shared" si="1414"/>
        <v>76.043921673042206</v>
      </c>
      <c r="CB168" s="22">
        <f t="shared" si="1414"/>
        <v>-319.30199999999996</v>
      </c>
      <c r="CC168" s="22">
        <f t="shared" si="1414"/>
        <v>-291.21972118778223</v>
      </c>
      <c r="CD168" s="22">
        <f t="shared" si="1414"/>
        <v>-403.024</v>
      </c>
      <c r="CE168" s="22">
        <f t="shared" si="1414"/>
        <v>-524.18771718949938</v>
      </c>
      <c r="CF168" s="22">
        <f t="shared" ref="CF168:CG168" si="1415">CF128-CF161</f>
        <v>-170.54300000000001</v>
      </c>
      <c r="CG168" s="22">
        <f t="shared" si="1415"/>
        <v>-97.988198675054605</v>
      </c>
      <c r="CH168" s="22">
        <f t="shared" ref="CH168:CI168" si="1416">CH128-CH161</f>
        <v>-44.025999999999982</v>
      </c>
      <c r="CI168" s="22">
        <f t="shared" si="1416"/>
        <v>-242.75059895106929</v>
      </c>
      <c r="CJ168" s="22">
        <f t="shared" ref="CJ168:DB168" si="1417">CJ128-CJ161</f>
        <v>-149.72800000000001</v>
      </c>
      <c r="CK168" s="21">
        <f t="shared" si="1417"/>
        <v>-183.96638626808391</v>
      </c>
      <c r="CL168" s="22">
        <f t="shared" ref="CL168" si="1418">CL128-CL161</f>
        <v>-39.675000000000011</v>
      </c>
      <c r="CM168" s="21">
        <f t="shared" si="1417"/>
        <v>-292.3412816110889</v>
      </c>
      <c r="CN168" s="21">
        <f t="shared" si="1417"/>
        <v>-292.31637780771683</v>
      </c>
      <c r="CO168" s="21">
        <f t="shared" si="1417"/>
        <v>-323.30103242532954</v>
      </c>
      <c r="CP168" s="21">
        <f t="shared" si="1417"/>
        <v>-237.55829589637949</v>
      </c>
      <c r="CQ168" s="21">
        <f t="shared" si="1417"/>
        <v>-450.23936764045254</v>
      </c>
      <c r="CR168" s="21">
        <f t="shared" si="1417"/>
        <v>-453.22365096202998</v>
      </c>
      <c r="CS168" s="21">
        <f t="shared" si="1417"/>
        <v>-476.82297877223164</v>
      </c>
      <c r="CT168" s="21">
        <f t="shared" si="1417"/>
        <v>-404.24399572756397</v>
      </c>
      <c r="CU168" s="21">
        <f t="shared" si="1417"/>
        <v>-578.83847933102584</v>
      </c>
      <c r="CV168" s="21">
        <f t="shared" si="1417"/>
        <v>-581.15228406264293</v>
      </c>
      <c r="CW168" s="21">
        <f t="shared" si="1417"/>
        <v>-599.66138089879337</v>
      </c>
      <c r="CX168" s="21">
        <f t="shared" si="1417"/>
        <v>-539.77581437594063</v>
      </c>
      <c r="CY168" s="21">
        <f t="shared" si="1417"/>
        <v>-682.11327527828712</v>
      </c>
      <c r="CZ168" s="21">
        <f t="shared" si="1417"/>
        <v>-683.57629874599559</v>
      </c>
      <c r="DA168" s="21">
        <f t="shared" si="1417"/>
        <v>-698.19988029234105</v>
      </c>
      <c r="DB168" s="21">
        <f t="shared" si="1417"/>
        <v>-648.86331634027806</v>
      </c>
      <c r="DE168" s="126"/>
      <c r="DF168" s="22">
        <v>-39.675000000000011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14.729619</v>
      </c>
      <c r="M170" s="49">
        <f>'Annual Raw'!N85</f>
        <v>22.743246599999999</v>
      </c>
      <c r="N170" s="49">
        <f>'Annual Raw'!O85</f>
        <v>95.376068900000007</v>
      </c>
      <c r="O170" s="49">
        <f>'Annual Raw'!P85</f>
        <v>117.5585339</v>
      </c>
      <c r="P170" s="49">
        <f>'Annual Raw'!Q85</f>
        <v>93.797779899999995</v>
      </c>
      <c r="Q170" s="49">
        <f>'Annual Raw'!R85</f>
        <v>15.3188265</v>
      </c>
      <c r="R170" s="49">
        <f>'Annual Raw'!S85</f>
        <v>13.4069159</v>
      </c>
      <c r="S170" s="49">
        <f>'Annual Raw'!T85</f>
        <v>6.8560141999999997</v>
      </c>
      <c r="T170" s="49">
        <f>'Annual Raw'!U85</f>
        <v>3.5750000000000002</v>
      </c>
      <c r="U170" s="49">
        <f>'Annual Raw'!V85</f>
        <v>2.8660000000000001</v>
      </c>
      <c r="V170" s="49">
        <f>'Annual Raw'!W85</f>
        <v>0.77900000000000003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49">
        <f>'Annual Raw'!AB85</f>
        <v>0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2.9525115</v>
      </c>
      <c r="M171" s="29">
        <f>'Annual Raw'!N95</f>
        <v>8.6744660000000007</v>
      </c>
      <c r="N171" s="29">
        <f>'Annual Raw'!O95</f>
        <v>85.354010700000003</v>
      </c>
      <c r="O171" s="29">
        <f>'Annual Raw'!P95</f>
        <v>104.98525480000001</v>
      </c>
      <c r="P171" s="29">
        <f>'Annual Raw'!Q95</f>
        <v>80.342927700000004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11.0552698</v>
      </c>
      <c r="P172" s="29">
        <f>'Annual Raw'!Q93</f>
        <v>13.454852199999999</v>
      </c>
      <c r="Q172" s="29">
        <f>'Annual Raw'!R93</f>
        <v>15.3188265</v>
      </c>
      <c r="R172" s="29">
        <f>'Annual Raw'!S93</f>
        <v>13.4069159</v>
      </c>
      <c r="S172" s="29">
        <f>'Annual Raw'!T93</f>
        <v>6.8560141999999997</v>
      </c>
      <c r="T172" s="29">
        <f>'Annual Raw'!U93</f>
        <v>3.5750000000000002</v>
      </c>
      <c r="U172" s="29">
        <f>'Annual Raw'!V93</f>
        <v>2.8660000000000001</v>
      </c>
      <c r="V172" s="29">
        <f>'Annual Raw'!W93</f>
        <v>0.77900000000000003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29">
        <f>'Annual Raw'!AB93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11.7771075</v>
      </c>
      <c r="M173" s="29">
        <f t="shared" si="1419"/>
        <v>14.068780599999998</v>
      </c>
      <c r="N173" s="29">
        <f t="shared" si="1419"/>
        <v>10.022058200000004</v>
      </c>
      <c r="O173" s="29">
        <f t="shared" si="1419"/>
        <v>1.5180092999999939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 t="e">
        <f t="shared" si="1426"/>
        <v>#DIV/0!</v>
      </c>
      <c r="K175" s="95" t="e">
        <f t="shared" si="1426"/>
        <v>#DIV/0!</v>
      </c>
      <c r="L175" s="95">
        <f t="shared" si="1426"/>
        <v>0.76314222806084586</v>
      </c>
      <c r="M175" s="95">
        <f t="shared" si="1426"/>
        <v>1.0337708591622679</v>
      </c>
      <c r="N175" s="95">
        <f t="shared" si="1426"/>
        <v>3.7683244859136495</v>
      </c>
      <c r="O175" s="95">
        <f t="shared" si="1426"/>
        <v>2.7608181664082112</v>
      </c>
      <c r="P175" s="95">
        <f t="shared" si="1426"/>
        <v>1.9936529281521427</v>
      </c>
      <c r="Q175" s="95">
        <f t="shared" si="1426"/>
        <v>0.38184462560975441</v>
      </c>
      <c r="R175" s="95">
        <f t="shared" si="1426"/>
        <v>0.33121135384721645</v>
      </c>
      <c r="S175" s="95">
        <f t="shared" si="1426"/>
        <v>0.18952651029468223</v>
      </c>
      <c r="T175" s="95">
        <f t="shared" si="1426"/>
        <v>0.10236220472440946</v>
      </c>
      <c r="U175" s="95">
        <f t="shared" si="1426"/>
        <v>0.11149148058818953</v>
      </c>
      <c r="V175" s="95">
        <f t="shared" si="1426"/>
        <v>2.068947200679911E-2</v>
      </c>
      <c r="W175" s="95">
        <f t="shared" si="1426"/>
        <v>0</v>
      </c>
      <c r="X175" s="95">
        <f t="shared" ref="X175:Y175" si="1427">X170/X120</f>
        <v>0</v>
      </c>
      <c r="Y175" s="95">
        <f t="shared" si="1427"/>
        <v>0</v>
      </c>
      <c r="Z175" s="95">
        <f t="shared" ref="Z175:AA175" si="1428">Z170/Z120</f>
        <v>0</v>
      </c>
      <c r="AA175" s="95">
        <f t="shared" ref="AA175" si="1429">AA170/AA120</f>
        <v>0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>
        <f t="shared" si="1432"/>
        <v>97.255160493602659</v>
      </c>
      <c r="P179" s="67">
        <f t="shared" si="1432"/>
        <v>49.568923418004218</v>
      </c>
      <c r="Q179" s="67">
        <f t="shared" si="1432"/>
        <v>135.04436486617601</v>
      </c>
      <c r="R179" s="67">
        <f t="shared" si="1432"/>
        <v>93.203671665440936</v>
      </c>
      <c r="S179" s="67">
        <f t="shared" si="1432"/>
        <v>113.91507970378265</v>
      </c>
      <c r="T179" s="67">
        <f t="shared" si="1432"/>
        <v>135.93129643890356</v>
      </c>
      <c r="U179" s="67">
        <f t="shared" si="1432"/>
        <v>177.7355404988547</v>
      </c>
      <c r="V179" s="67">
        <f t="shared" si="1432"/>
        <v>90.343352525683571</v>
      </c>
      <c r="W179" s="67">
        <f t="shared" si="1432"/>
        <v>136.55187201696523</v>
      </c>
      <c r="X179" s="67">
        <f t="shared" si="1432"/>
        <v>186.4773332307733</v>
      </c>
      <c r="Y179" s="67">
        <f t="shared" si="1432"/>
        <v>142.16298156428002</v>
      </c>
      <c r="Z179" s="67">
        <f t="shared" si="1432"/>
        <v>137.21444947638432</v>
      </c>
      <c r="AA179" s="67">
        <f t="shared" ref="AA179" si="1433">AA144/AA8*365</f>
        <v>187.30003131230259</v>
      </c>
      <c r="AB179" s="18">
        <f t="shared" si="1432"/>
        <v>189.70336917861565</v>
      </c>
      <c r="AC179" s="18">
        <f t="shared" si="1432"/>
        <v>190.24506979160208</v>
      </c>
      <c r="AD179" s="18">
        <f t="shared" si="1432"/>
        <v>190.35862656963985</v>
      </c>
      <c r="AE179" s="18">
        <f t="shared" si="1432"/>
        <v>190.37814381442902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 t="e">
        <f>AT144/AT8*90</f>
        <v>#DIV/0!</v>
      </c>
      <c r="AU179" s="67" t="e">
        <f t="shared" ref="AU179:AU180" si="1439">+AT179</f>
        <v>#DIV/0!</v>
      </c>
      <c r="AV179" s="67" t="e">
        <f>AV144/AV8*90</f>
        <v>#DIV/0!</v>
      </c>
      <c r="AW179" s="67" t="e">
        <f t="shared" ref="AW179:AW180" si="1440">+AV179</f>
        <v>#DIV/0!</v>
      </c>
      <c r="AX179" s="67" t="e">
        <f>AX144/AX8*90</f>
        <v>#DIV/0!</v>
      </c>
      <c r="AY179" s="67" t="e">
        <f t="shared" ref="AY179:AY180" si="1441">+AX179</f>
        <v>#DIV/0!</v>
      </c>
      <c r="AZ179" s="67" t="e">
        <f>AZ144/AZ8*90</f>
        <v>#DIV/0!</v>
      </c>
      <c r="BA179" s="67" t="e">
        <f t="shared" ref="BA179:BA180" si="1442">+AZ179</f>
        <v>#DIV/0!</v>
      </c>
      <c r="BB179" s="67" t="e">
        <f>BB144/BB8*90</f>
        <v>#DIV/0!</v>
      </c>
      <c r="BC179" s="67" t="e">
        <f t="shared" ref="BC179:BC180" si="1443">+BB179</f>
        <v>#DIV/0!</v>
      </c>
      <c r="BD179" s="67" t="e">
        <f>BD144/BD8*90</f>
        <v>#DIV/0!</v>
      </c>
      <c r="BE179" s="67" t="e">
        <f t="shared" ref="BE179:BE180" si="1444">+BD179</f>
        <v>#DIV/0!</v>
      </c>
      <c r="BF179" s="67" t="e">
        <f>BF144/BF8*90</f>
        <v>#DIV/0!</v>
      </c>
      <c r="BG179" s="67" t="e">
        <f t="shared" ref="BG179:BG180" si="1445">+BF179</f>
        <v>#DIV/0!</v>
      </c>
      <c r="BH179" s="67" t="e">
        <f>BH144/BH8*90</f>
        <v>#DIV/0!</v>
      </c>
      <c r="BI179" s="67" t="e">
        <f t="shared" ref="BI179:BI180" si="1446">+BH179</f>
        <v>#DIV/0!</v>
      </c>
      <c r="BJ179" s="67" t="e">
        <f>BJ144/BJ8*90</f>
        <v>#DIV/0!</v>
      </c>
      <c r="BK179" s="67" t="e">
        <f t="shared" ref="BK179:BK180" si="1447">+BJ179</f>
        <v>#DIV/0!</v>
      </c>
      <c r="BL179" s="67" t="e">
        <f>BL144/BL8*90</f>
        <v>#DIV/0!</v>
      </c>
      <c r="BM179" s="67" t="e">
        <f t="shared" ref="BM179:BM180" si="1448">+BL179</f>
        <v>#DIV/0!</v>
      </c>
      <c r="BN179" s="67" t="e">
        <f>BN144/BN8*90</f>
        <v>#DIV/0!</v>
      </c>
      <c r="BO179" s="67" t="e">
        <f t="shared" ref="BO179:BO180" si="1449">+BN179</f>
        <v>#DIV/0!</v>
      </c>
      <c r="BP179" s="67" t="e">
        <f>BP144/BP8*90</f>
        <v>#DIV/0!</v>
      </c>
      <c r="BQ179" s="67" t="e">
        <f t="shared" ref="BQ179:BQ180" si="1450">+BP179</f>
        <v>#DIV/0!</v>
      </c>
      <c r="BR179" s="67" t="e">
        <f>BR144/BR8*90</f>
        <v>#DIV/0!</v>
      </c>
      <c r="BS179" s="67" t="e">
        <f t="shared" ref="BS179:BS180" si="1451">+BR179</f>
        <v>#DIV/0!</v>
      </c>
      <c r="BT179" s="67" t="e">
        <f>BT144/BT8*90</f>
        <v>#DIV/0!</v>
      </c>
      <c r="BU179" s="67" t="e">
        <f t="shared" ref="BU179:BU180" si="1452">+BT179</f>
        <v>#DIV/0!</v>
      </c>
      <c r="BV179" s="67" t="e">
        <f>BV144/BV8*90</f>
        <v>#DIV/0!</v>
      </c>
      <c r="BW179" s="67" t="e">
        <f t="shared" ref="BW179:BW180" si="1453">+BV179</f>
        <v>#DIV/0!</v>
      </c>
      <c r="BX179" s="67">
        <f>BX144/BX8*90</f>
        <v>0</v>
      </c>
      <c r="BY179" s="67">
        <f t="shared" ref="BY179:BY180" si="1454">+BX179</f>
        <v>0</v>
      </c>
      <c r="BZ179" s="67">
        <f>BZ144/BZ8*90</f>
        <v>137.93285333660222</v>
      </c>
      <c r="CA179" s="67">
        <f t="shared" ref="CA179:CA180" si="1455">+BZ179</f>
        <v>137.93285333660222</v>
      </c>
      <c r="CB179" s="67">
        <f>CB144/CB8*90</f>
        <v>142.36343450818606</v>
      </c>
      <c r="CC179" s="67">
        <f t="shared" ref="CC179:CC180" si="1456">+CB179</f>
        <v>142.36343450818606</v>
      </c>
      <c r="CD179" s="67">
        <f>CD144/CD8*90</f>
        <v>115.46364030808942</v>
      </c>
      <c r="CE179" s="67">
        <f t="shared" si="1434"/>
        <v>115.46364030808942</v>
      </c>
      <c r="CF179" s="67">
        <f>CF144/CF8*90</f>
        <v>120.93439465913467</v>
      </c>
      <c r="CG179" s="67">
        <f t="shared" ref="CG179:CI180" si="1457">+CF179</f>
        <v>120.93439465913467</v>
      </c>
      <c r="CH179" s="67">
        <f>CH144/CH8*90</f>
        <v>120.11206503837124</v>
      </c>
      <c r="CI179" s="67">
        <f t="shared" si="1457"/>
        <v>120.11206503837124</v>
      </c>
      <c r="CJ179" s="67">
        <f>CJ144/CJ8*90</f>
        <v>171.26666752512602</v>
      </c>
      <c r="CK179" s="30">
        <f t="shared" ref="CK179:CK180" si="1458">+CJ179</f>
        <v>171.26666752512602</v>
      </c>
      <c r="CL179" s="67">
        <f>CL144/CL8*90</f>
        <v>157.85291416154354</v>
      </c>
      <c r="CM179" s="30">
        <f t="shared" ref="CM179:CM180" si="1459">+CL179</f>
        <v>157.85291416154354</v>
      </c>
      <c r="CN179" s="30">
        <f t="shared" ref="CN179:CN180" si="1460">+CM179</f>
        <v>157.85291416154354</v>
      </c>
      <c r="CO179" s="30">
        <f t="shared" ref="CO179:CO180" si="1461">+CN179</f>
        <v>157.85291416154354</v>
      </c>
      <c r="CP179" s="30">
        <f t="shared" ref="CP179:CP180" si="1462">+CO179</f>
        <v>157.85291416154354</v>
      </c>
      <c r="CQ179" s="30">
        <f t="shared" ref="CQ179:CQ180" si="1463">+CP179</f>
        <v>157.85291416154354</v>
      </c>
      <c r="CR179" s="30">
        <f t="shared" ref="CR179:CR180" si="1464">+CQ179</f>
        <v>157.85291416154354</v>
      </c>
      <c r="CS179" s="30">
        <f t="shared" ref="CS179:CS180" si="1465">+CR179</f>
        <v>157.85291416154354</v>
      </c>
      <c r="CT179" s="30">
        <f t="shared" ref="CT179:CT180" si="1466">+CS179</f>
        <v>157.85291416154354</v>
      </c>
      <c r="CU179" s="30">
        <f t="shared" ref="CU179:CU180" si="1467">+CT179</f>
        <v>157.85291416154354</v>
      </c>
      <c r="CV179" s="30">
        <f t="shared" ref="CV179:CV180" si="1468">+CU179</f>
        <v>157.85291416154354</v>
      </c>
      <c r="CW179" s="30">
        <f t="shared" ref="CW179:CW180" si="1469">+CV179</f>
        <v>157.85291416154354</v>
      </c>
      <c r="CX179" s="30">
        <f t="shared" ref="CX179:CX180" si="1470">+CW179</f>
        <v>157.85291416154354</v>
      </c>
      <c r="CY179" s="30">
        <f t="shared" ref="CY179:CY180" si="1471">+CX179</f>
        <v>157.85291416154354</v>
      </c>
      <c r="CZ179" s="30">
        <f t="shared" ref="CZ179:CZ180" si="1472">+CY179</f>
        <v>157.85291416154354</v>
      </c>
      <c r="DA179" s="30">
        <f t="shared" ref="DA179:DA180" si="1473">+CZ179</f>
        <v>157.85291416154354</v>
      </c>
      <c r="DB179" s="30">
        <f t="shared" ref="DB179:DB180" si="1474">+DA179</f>
        <v>157.85291416154354</v>
      </c>
      <c r="DE179" s="139"/>
      <c r="DF179" s="62">
        <v>187.30003131230256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>
        <f t="shared" si="1475"/>
        <v>58.062693574997269</v>
      </c>
      <c r="P180" s="67">
        <f t="shared" si="1475"/>
        <v>27.739353593486133</v>
      </c>
      <c r="Q180" s="67">
        <f t="shared" si="1475"/>
        <v>91.497320360277257</v>
      </c>
      <c r="R180" s="67">
        <f t="shared" si="1475"/>
        <v>99.405708418930843</v>
      </c>
      <c r="S180" s="67">
        <f t="shared" si="1475"/>
        <v>128.23284150898996</v>
      </c>
      <c r="T180" s="67">
        <f t="shared" si="1475"/>
        <v>90.910046412887382</v>
      </c>
      <c r="U180" s="67">
        <f t="shared" si="1475"/>
        <v>43.588036850752701</v>
      </c>
      <c r="V180" s="67">
        <f t="shared" si="1475"/>
        <v>131.57024049883125</v>
      </c>
      <c r="W180" s="67">
        <f t="shared" si="1475"/>
        <v>77.163190304954796</v>
      </c>
      <c r="X180" s="67">
        <f t="shared" si="1475"/>
        <v>70.956344279613901</v>
      </c>
      <c r="Y180" s="67">
        <f t="shared" si="1475"/>
        <v>69.170392601212711</v>
      </c>
      <c r="Z180" s="67">
        <f t="shared" si="1475"/>
        <v>83.441521137437761</v>
      </c>
      <c r="AA180" s="67">
        <f t="shared" ref="AA180" si="1476">AA145/AA8*365</f>
        <v>88.918124274168946</v>
      </c>
      <c r="AB180" s="18">
        <f t="shared" si="1475"/>
        <v>90.059076005849747</v>
      </c>
      <c r="AC180" s="18">
        <f t="shared" si="1475"/>
        <v>90.31624095177871</v>
      </c>
      <c r="AD180" s="18">
        <f t="shared" si="1475"/>
        <v>90.370150476678361</v>
      </c>
      <c r="AE180" s="18">
        <f t="shared" si="1475"/>
        <v>90.379416021299463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 t="e">
        <f>AT145/AT8*90</f>
        <v>#DIV/0!</v>
      </c>
      <c r="AU180" s="67" t="e">
        <f t="shared" si="1439"/>
        <v>#DIV/0!</v>
      </c>
      <c r="AV180" s="67" t="e">
        <f>AV145/AV8*90</f>
        <v>#DIV/0!</v>
      </c>
      <c r="AW180" s="67" t="e">
        <f t="shared" si="1440"/>
        <v>#DIV/0!</v>
      </c>
      <c r="AX180" s="67" t="e">
        <f>AX145/AX8*90</f>
        <v>#DIV/0!</v>
      </c>
      <c r="AY180" s="67" t="e">
        <f t="shared" si="1441"/>
        <v>#DIV/0!</v>
      </c>
      <c r="AZ180" s="67" t="e">
        <f>AZ145/AZ8*90</f>
        <v>#DIV/0!</v>
      </c>
      <c r="BA180" s="67" t="e">
        <f t="shared" si="1442"/>
        <v>#DIV/0!</v>
      </c>
      <c r="BB180" s="67" t="e">
        <f>BB145/BB8*90</f>
        <v>#DIV/0!</v>
      </c>
      <c r="BC180" s="67" t="e">
        <f t="shared" si="1443"/>
        <v>#DIV/0!</v>
      </c>
      <c r="BD180" s="67" t="e">
        <f>BD145/BD8*90</f>
        <v>#DIV/0!</v>
      </c>
      <c r="BE180" s="67" t="e">
        <f t="shared" si="1444"/>
        <v>#DIV/0!</v>
      </c>
      <c r="BF180" s="67" t="e">
        <f>BF145/BF8*90</f>
        <v>#DIV/0!</v>
      </c>
      <c r="BG180" s="67" t="e">
        <f t="shared" si="1445"/>
        <v>#DIV/0!</v>
      </c>
      <c r="BH180" s="67" t="e">
        <f>BH145/BH8*90</f>
        <v>#DIV/0!</v>
      </c>
      <c r="BI180" s="67" t="e">
        <f t="shared" si="1446"/>
        <v>#DIV/0!</v>
      </c>
      <c r="BJ180" s="67" t="e">
        <f>BJ145/BJ8*90</f>
        <v>#DIV/0!</v>
      </c>
      <c r="BK180" s="67" t="e">
        <f t="shared" si="1447"/>
        <v>#DIV/0!</v>
      </c>
      <c r="BL180" s="67" t="e">
        <f>BL145/BL8*90</f>
        <v>#DIV/0!</v>
      </c>
      <c r="BM180" s="67" t="e">
        <f t="shared" si="1448"/>
        <v>#DIV/0!</v>
      </c>
      <c r="BN180" s="67" t="e">
        <f>BN145/BN8*90</f>
        <v>#DIV/0!</v>
      </c>
      <c r="BO180" s="67" t="e">
        <f t="shared" si="1449"/>
        <v>#DIV/0!</v>
      </c>
      <c r="BP180" s="67" t="e">
        <f>BP145/BP8*90</f>
        <v>#DIV/0!</v>
      </c>
      <c r="BQ180" s="67" t="e">
        <f t="shared" si="1450"/>
        <v>#DIV/0!</v>
      </c>
      <c r="BR180" s="67" t="e">
        <f>BR145/BR8*90</f>
        <v>#DIV/0!</v>
      </c>
      <c r="BS180" s="67" t="e">
        <f t="shared" si="1451"/>
        <v>#DIV/0!</v>
      </c>
      <c r="BT180" s="67" t="e">
        <f>BT145/BT8*90</f>
        <v>#DIV/0!</v>
      </c>
      <c r="BU180" s="67" t="e">
        <f t="shared" si="1452"/>
        <v>#DIV/0!</v>
      </c>
      <c r="BV180" s="67" t="e">
        <f>BV145/BV8*90</f>
        <v>#DIV/0!</v>
      </c>
      <c r="BW180" s="67" t="e">
        <f t="shared" si="1453"/>
        <v>#DIV/0!</v>
      </c>
      <c r="BX180" s="67">
        <f>BX145/BX8*90</f>
        <v>0</v>
      </c>
      <c r="BY180" s="67">
        <f t="shared" si="1454"/>
        <v>0</v>
      </c>
      <c r="BZ180" s="67">
        <f>BZ145/BZ8*90</f>
        <v>52.484722187169872</v>
      </c>
      <c r="CA180" s="67">
        <f t="shared" si="1455"/>
        <v>52.484722187169872</v>
      </c>
      <c r="CB180" s="67">
        <f>CB145/CB8*90</f>
        <v>85.957928713875489</v>
      </c>
      <c r="CC180" s="67">
        <f t="shared" si="1456"/>
        <v>85.957928713875489</v>
      </c>
      <c r="CD180" s="67">
        <f>CD145/CD8*90</f>
        <v>56.179641446704785</v>
      </c>
      <c r="CE180" s="114">
        <f t="shared" ref="CE180" si="1477">+CD180</f>
        <v>56.179641446704785</v>
      </c>
      <c r="CF180" s="67">
        <f>CF145/CF8*90</f>
        <v>80.133855437154963</v>
      </c>
      <c r="CG180" s="67">
        <f t="shared" si="1457"/>
        <v>80.133855437154963</v>
      </c>
      <c r="CH180" s="67">
        <f>CH145/CH8*90</f>
        <v>73.041384868766869</v>
      </c>
      <c r="CI180" s="67">
        <f t="shared" si="1457"/>
        <v>73.041384868766869</v>
      </c>
      <c r="CJ180" s="67">
        <f>CJ145/CJ8*90</f>
        <v>70.722232595272899</v>
      </c>
      <c r="CK180" s="30">
        <f t="shared" si="1458"/>
        <v>70.722232595272899</v>
      </c>
      <c r="CL180" s="67">
        <f>CL145/CL8*90</f>
        <v>74.938508766463372</v>
      </c>
      <c r="CM180" s="30">
        <f t="shared" si="1459"/>
        <v>74.938508766463372</v>
      </c>
      <c r="CN180" s="30">
        <f t="shared" si="1460"/>
        <v>74.938508766463372</v>
      </c>
      <c r="CO180" s="30">
        <f t="shared" si="1461"/>
        <v>74.938508766463372</v>
      </c>
      <c r="CP180" s="30">
        <f t="shared" si="1462"/>
        <v>74.938508766463372</v>
      </c>
      <c r="CQ180" s="30">
        <f t="shared" si="1463"/>
        <v>74.938508766463372</v>
      </c>
      <c r="CR180" s="30">
        <f t="shared" si="1464"/>
        <v>74.938508766463372</v>
      </c>
      <c r="CS180" s="30">
        <f t="shared" si="1465"/>
        <v>74.938508766463372</v>
      </c>
      <c r="CT180" s="30">
        <f t="shared" si="1466"/>
        <v>74.938508766463372</v>
      </c>
      <c r="CU180" s="30">
        <f t="shared" si="1467"/>
        <v>74.938508766463372</v>
      </c>
      <c r="CV180" s="30">
        <f t="shared" si="1468"/>
        <v>74.938508766463372</v>
      </c>
      <c r="CW180" s="30">
        <f t="shared" si="1469"/>
        <v>74.938508766463372</v>
      </c>
      <c r="CX180" s="30">
        <f t="shared" si="1470"/>
        <v>74.938508766463372</v>
      </c>
      <c r="CY180" s="30">
        <f t="shared" si="1471"/>
        <v>74.938508766463372</v>
      </c>
      <c r="CZ180" s="30">
        <f t="shared" si="1472"/>
        <v>74.938508766463372</v>
      </c>
      <c r="DA180" s="30">
        <f t="shared" si="1473"/>
        <v>74.938508766463372</v>
      </c>
      <c r="DB180" s="30">
        <f t="shared" si="1474"/>
        <v>74.938508766463372</v>
      </c>
      <c r="DE180" s="139"/>
      <c r="DF180" s="62">
        <v>88.918124274168932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>
        <f t="shared" si="1478"/>
        <v>13.544499030349641</v>
      </c>
      <c r="P181" s="67">
        <f t="shared" si="1478"/>
        <v>11.989533740342011</v>
      </c>
      <c r="Q181" s="67">
        <f t="shared" si="1478"/>
        <v>22.771899228016935</v>
      </c>
      <c r="R181" s="67">
        <f t="shared" si="1478"/>
        <v>13.379082747913472</v>
      </c>
      <c r="S181" s="67">
        <f t="shared" si="1478"/>
        <v>20.981032009735799</v>
      </c>
      <c r="T181" s="67">
        <f t="shared" si="1478"/>
        <v>40.771640268903383</v>
      </c>
      <c r="U181" s="67">
        <f t="shared" si="1478"/>
        <v>47.971195855493562</v>
      </c>
      <c r="V181" s="67">
        <f>V182-V180-V179</f>
        <v>20.734911500761115</v>
      </c>
      <c r="W181" s="67">
        <f t="shared" ref="W181" si="1479">W182-W180-W179</f>
        <v>27.049288512809284</v>
      </c>
      <c r="X181" s="67">
        <f t="shared" ref="X181:Y181" si="1480">X182-X180-X179</f>
        <v>40.84021306847211</v>
      </c>
      <c r="Y181" s="67">
        <f t="shared" si="1480"/>
        <v>34.126906351442386</v>
      </c>
      <c r="Z181" s="67">
        <f t="shared" ref="Z181:AA181" si="1481">Z182-Z180-Z179</f>
        <v>22.050465048636994</v>
      </c>
      <c r="AA181" s="67">
        <f t="shared" ref="AA181" si="1482">AA182-AA180-AA179</f>
        <v>46.756433885460353</v>
      </c>
      <c r="AB181" s="18">
        <f t="shared" ref="AB181:AD181" si="1483">AB182-AB180-AB179</f>
        <v>62.746716499324833</v>
      </c>
      <c r="AC181" s="18">
        <f t="shared" si="1483"/>
        <v>62.925890622260681</v>
      </c>
      <c r="AD181" s="18">
        <f t="shared" si="1483"/>
        <v>62.96345091962894</v>
      </c>
      <c r="AE181" s="18">
        <f t="shared" ref="AE181" si="1484">AE182-AE180-AE179</f>
        <v>62.969906487766508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 t="e">
        <f t="shared" si="1487"/>
        <v>#DIV/0!</v>
      </c>
      <c r="AU181" s="67" t="e">
        <f t="shared" si="1487"/>
        <v>#DIV/0!</v>
      </c>
      <c r="AV181" s="67" t="e">
        <f t="shared" si="1487"/>
        <v>#DIV/0!</v>
      </c>
      <c r="AW181" s="67" t="e">
        <f t="shared" si="1487"/>
        <v>#DIV/0!</v>
      </c>
      <c r="AX181" s="67" t="e">
        <f t="shared" si="1487"/>
        <v>#DIV/0!</v>
      </c>
      <c r="AY181" s="67" t="e">
        <f t="shared" si="1487"/>
        <v>#DIV/0!</v>
      </c>
      <c r="AZ181" s="67" t="e">
        <f t="shared" ref="AZ181:BC181" si="1488">AZ182-AZ180-AZ179</f>
        <v>#DIV/0!</v>
      </c>
      <c r="BA181" s="67" t="e">
        <f t="shared" si="1488"/>
        <v>#DIV/0!</v>
      </c>
      <c r="BB181" s="67" t="e">
        <f t="shared" si="1488"/>
        <v>#DIV/0!</v>
      </c>
      <c r="BC181" s="67" t="e">
        <f t="shared" si="1488"/>
        <v>#DIV/0!</v>
      </c>
      <c r="BD181" s="67" t="e">
        <f t="shared" ref="BD181:CE181" si="1489">BD182-BD180-BD179</f>
        <v>#DIV/0!</v>
      </c>
      <c r="BE181" s="67" t="e">
        <f t="shared" si="1489"/>
        <v>#DIV/0!</v>
      </c>
      <c r="BF181" s="67" t="e">
        <f t="shared" si="1489"/>
        <v>#DIV/0!</v>
      </c>
      <c r="BG181" s="67" t="e">
        <f t="shared" si="1489"/>
        <v>#DIV/0!</v>
      </c>
      <c r="BH181" s="67" t="e">
        <f t="shared" si="1489"/>
        <v>#DIV/0!</v>
      </c>
      <c r="BI181" s="67" t="e">
        <f t="shared" si="1489"/>
        <v>#DIV/0!</v>
      </c>
      <c r="BJ181" s="67" t="e">
        <f t="shared" si="1489"/>
        <v>#DIV/0!</v>
      </c>
      <c r="BK181" s="67" t="e">
        <f t="shared" si="1489"/>
        <v>#DIV/0!</v>
      </c>
      <c r="BL181" s="67" t="e">
        <f t="shared" si="1489"/>
        <v>#DIV/0!</v>
      </c>
      <c r="BM181" s="67" t="e">
        <f t="shared" si="1489"/>
        <v>#DIV/0!</v>
      </c>
      <c r="BN181" s="67" t="e">
        <f t="shared" si="1489"/>
        <v>#DIV/0!</v>
      </c>
      <c r="BO181" s="67" t="e">
        <f t="shared" si="1489"/>
        <v>#DIV/0!</v>
      </c>
      <c r="BP181" s="67" t="e">
        <f t="shared" si="1489"/>
        <v>#DIV/0!</v>
      </c>
      <c r="BQ181" s="67" t="e">
        <f t="shared" si="1489"/>
        <v>#DIV/0!</v>
      </c>
      <c r="BR181" s="67" t="e">
        <f t="shared" si="1489"/>
        <v>#DIV/0!</v>
      </c>
      <c r="BS181" s="67" t="e">
        <f t="shared" si="1489"/>
        <v>#DIV/0!</v>
      </c>
      <c r="BT181" s="67" t="e">
        <f t="shared" si="1489"/>
        <v>#DIV/0!</v>
      </c>
      <c r="BU181" s="67" t="e">
        <f t="shared" si="1489"/>
        <v>#DIV/0!</v>
      </c>
      <c r="BV181" s="67" t="e">
        <f t="shared" si="1489"/>
        <v>#DIV/0!</v>
      </c>
      <c r="BW181" s="67" t="e">
        <f t="shared" si="1489"/>
        <v>#DIV/0!</v>
      </c>
      <c r="BX181" s="67">
        <f t="shared" si="1489"/>
        <v>0</v>
      </c>
      <c r="BY181" s="67">
        <f t="shared" si="1489"/>
        <v>0</v>
      </c>
      <c r="BZ181" s="67">
        <f t="shared" si="1489"/>
        <v>41.412336901461288</v>
      </c>
      <c r="CA181" s="67">
        <f t="shared" si="1489"/>
        <v>52.895951148525427</v>
      </c>
      <c r="CB181" s="67">
        <f t="shared" si="1489"/>
        <v>49.048239091550727</v>
      </c>
      <c r="CC181" s="67">
        <f t="shared" si="1489"/>
        <v>44.58650270058115</v>
      </c>
      <c r="CD181" s="67">
        <f t="shared" si="1489"/>
        <v>40.008180343408611</v>
      </c>
      <c r="CE181" s="114">
        <f t="shared" si="1489"/>
        <v>56.351420786298206</v>
      </c>
      <c r="CF181" s="67">
        <f t="shared" ref="CF181:CG181" si="1490">CF182-CF180-CF179</f>
        <v>30.425985363974874</v>
      </c>
      <c r="CG181" s="67">
        <f t="shared" si="1490"/>
        <v>26.673659946514945</v>
      </c>
      <c r="CH181" s="67">
        <f t="shared" ref="CH181" si="1491">CH182-CH180-CH179</f>
        <v>19.30209902933035</v>
      </c>
      <c r="CI181" s="67">
        <f>CH181</f>
        <v>19.30209902933035</v>
      </c>
      <c r="CJ181" s="67">
        <f t="shared" ref="CJ181:CL181" si="1492">CJ182-CJ180-CJ179</f>
        <v>54.762743292749747</v>
      </c>
      <c r="CK181" s="30">
        <f t="shared" ref="CK181:DB181" si="1493">CJ181</f>
        <v>54.762743292749747</v>
      </c>
      <c r="CL181" s="67">
        <f t="shared" si="1492"/>
        <v>52.211787784120929</v>
      </c>
      <c r="CM181" s="30">
        <f t="shared" si="1493"/>
        <v>52.211787784120929</v>
      </c>
      <c r="CN181" s="30">
        <f t="shared" si="1493"/>
        <v>52.211787784120929</v>
      </c>
      <c r="CO181" s="30">
        <f t="shared" si="1493"/>
        <v>52.211787784120929</v>
      </c>
      <c r="CP181" s="30">
        <f t="shared" si="1493"/>
        <v>52.211787784120929</v>
      </c>
      <c r="CQ181" s="30">
        <f t="shared" si="1493"/>
        <v>52.211787784120929</v>
      </c>
      <c r="CR181" s="30">
        <f t="shared" si="1493"/>
        <v>52.211787784120929</v>
      </c>
      <c r="CS181" s="30">
        <f t="shared" si="1493"/>
        <v>52.211787784120929</v>
      </c>
      <c r="CT181" s="30">
        <f t="shared" si="1493"/>
        <v>52.211787784120929</v>
      </c>
      <c r="CU181" s="30">
        <f t="shared" si="1493"/>
        <v>52.211787784120929</v>
      </c>
      <c r="CV181" s="30">
        <f t="shared" si="1493"/>
        <v>52.211787784120929</v>
      </c>
      <c r="CW181" s="30">
        <f t="shared" si="1493"/>
        <v>52.211787784120929</v>
      </c>
      <c r="CX181" s="30">
        <f t="shared" si="1493"/>
        <v>52.211787784120929</v>
      </c>
      <c r="CY181" s="30">
        <f t="shared" si="1493"/>
        <v>52.211787784120929</v>
      </c>
      <c r="CZ181" s="30">
        <f t="shared" si="1493"/>
        <v>52.211787784120929</v>
      </c>
      <c r="DA181" s="30">
        <f t="shared" si="1493"/>
        <v>52.211787784120929</v>
      </c>
      <c r="DB181" s="30">
        <f t="shared" si="1493"/>
        <v>52.211787784120929</v>
      </c>
      <c r="DE181" s="139"/>
      <c r="DF181" s="62">
        <v>61.951783017634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>
        <f t="shared" si="1494"/>
        <v>168.86235309894957</v>
      </c>
      <c r="P182" s="70">
        <f t="shared" si="1494"/>
        <v>89.297810751832358</v>
      </c>
      <c r="Q182" s="70">
        <f t="shared" si="1494"/>
        <v>249.3135844544702</v>
      </c>
      <c r="R182" s="70">
        <f t="shared" si="1494"/>
        <v>205.98846283228525</v>
      </c>
      <c r="S182" s="70">
        <f t="shared" si="1494"/>
        <v>263.12895322250841</v>
      </c>
      <c r="T182" s="70">
        <f t="shared" si="1494"/>
        <v>267.61298312069431</v>
      </c>
      <c r="U182" s="70">
        <f t="shared" si="1494"/>
        <v>269.29477320510097</v>
      </c>
      <c r="V182" s="70">
        <f t="shared" si="1494"/>
        <v>242.64850452527594</v>
      </c>
      <c r="W182" s="70">
        <f t="shared" si="1494"/>
        <v>240.7643508347293</v>
      </c>
      <c r="X182" s="70">
        <f t="shared" si="1494"/>
        <v>298.27389057885932</v>
      </c>
      <c r="Y182" s="70">
        <f t="shared" si="1494"/>
        <v>245.46028051693511</v>
      </c>
      <c r="Z182" s="70">
        <f t="shared" si="1494"/>
        <v>242.70643566245906</v>
      </c>
      <c r="AA182" s="70">
        <f t="shared" ref="AA182" si="1495">AA148/AA8*365</f>
        <v>322.97458947193189</v>
      </c>
      <c r="AB182" s="71">
        <f t="shared" si="1494"/>
        <v>342.50916168379024</v>
      </c>
      <c r="AC182" s="71">
        <f t="shared" si="1494"/>
        <v>343.48720136564145</v>
      </c>
      <c r="AD182" s="71">
        <f t="shared" si="1494"/>
        <v>343.69222796594715</v>
      </c>
      <c r="AE182" s="71">
        <f t="shared" si="1494"/>
        <v>343.72746632349498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 t="e">
        <f t="shared" si="1496"/>
        <v>#DIV/0!</v>
      </c>
      <c r="AU182" s="70" t="e">
        <f t="shared" si="1496"/>
        <v>#DIV/0!</v>
      </c>
      <c r="AV182" s="70" t="e">
        <f t="shared" si="1496"/>
        <v>#DIV/0!</v>
      </c>
      <c r="AW182" s="70" t="e">
        <f t="shared" si="1496"/>
        <v>#DIV/0!</v>
      </c>
      <c r="AX182" s="70" t="e">
        <f t="shared" si="1496"/>
        <v>#DIV/0!</v>
      </c>
      <c r="AY182" s="70" t="e">
        <f t="shared" si="1496"/>
        <v>#DIV/0!</v>
      </c>
      <c r="AZ182" s="70" t="e">
        <f t="shared" si="1496"/>
        <v>#DIV/0!</v>
      </c>
      <c r="BA182" s="70" t="e">
        <f t="shared" si="1496"/>
        <v>#DIV/0!</v>
      </c>
      <c r="BB182" s="70" t="e">
        <f t="shared" si="1496"/>
        <v>#DIV/0!</v>
      </c>
      <c r="BC182" s="70" t="e">
        <f t="shared" si="1496"/>
        <v>#DIV/0!</v>
      </c>
      <c r="BD182" s="70" t="e">
        <f t="shared" si="1496"/>
        <v>#DIV/0!</v>
      </c>
      <c r="BE182" s="70" t="e">
        <f t="shared" si="1496"/>
        <v>#DIV/0!</v>
      </c>
      <c r="BF182" s="70" t="e">
        <f t="shared" si="1496"/>
        <v>#DIV/0!</v>
      </c>
      <c r="BG182" s="70" t="e">
        <f t="shared" si="1496"/>
        <v>#DIV/0!</v>
      </c>
      <c r="BH182" s="70" t="e">
        <f t="shared" si="1496"/>
        <v>#DIV/0!</v>
      </c>
      <c r="BI182" s="70" t="e">
        <f t="shared" si="1496"/>
        <v>#DIV/0!</v>
      </c>
      <c r="BJ182" s="70" t="e">
        <f t="shared" si="1496"/>
        <v>#DIV/0!</v>
      </c>
      <c r="BK182" s="70" t="e">
        <f t="shared" si="1496"/>
        <v>#DIV/0!</v>
      </c>
      <c r="BL182" s="70" t="e">
        <f t="shared" si="1496"/>
        <v>#DIV/0!</v>
      </c>
      <c r="BM182" s="70" t="e">
        <f t="shared" si="1496"/>
        <v>#DIV/0!</v>
      </c>
      <c r="BN182" s="70" t="e">
        <f t="shared" si="1496"/>
        <v>#DIV/0!</v>
      </c>
      <c r="BO182" s="70" t="e">
        <f t="shared" si="1496"/>
        <v>#DIV/0!</v>
      </c>
      <c r="BP182" s="70" t="e">
        <f t="shared" si="1496"/>
        <v>#DIV/0!</v>
      </c>
      <c r="BQ182" s="70" t="e">
        <f t="shared" si="1496"/>
        <v>#DIV/0!</v>
      </c>
      <c r="BR182" s="70" t="e">
        <f t="shared" si="1496"/>
        <v>#DIV/0!</v>
      </c>
      <c r="BS182" s="70" t="e">
        <f t="shared" si="1496"/>
        <v>#DIV/0!</v>
      </c>
      <c r="BT182" s="70" t="e">
        <f t="shared" si="1496"/>
        <v>#DIV/0!</v>
      </c>
      <c r="BU182" s="70" t="e">
        <f t="shared" si="1496"/>
        <v>#DIV/0!</v>
      </c>
      <c r="BV182" s="70" t="e">
        <f t="shared" si="1496"/>
        <v>#DIV/0!</v>
      </c>
      <c r="BW182" s="70" t="e">
        <f t="shared" si="1496"/>
        <v>#DIV/0!</v>
      </c>
      <c r="BX182" s="70">
        <f t="shared" si="1496"/>
        <v>0</v>
      </c>
      <c r="BY182" s="70">
        <f t="shared" si="1496"/>
        <v>0</v>
      </c>
      <c r="BZ182" s="70">
        <f t="shared" si="1496"/>
        <v>231.82991242523337</v>
      </c>
      <c r="CA182" s="70">
        <f t="shared" si="1496"/>
        <v>243.31352667229751</v>
      </c>
      <c r="CB182" s="70">
        <f t="shared" si="1496"/>
        <v>277.36960231361229</v>
      </c>
      <c r="CC182" s="70">
        <f t="shared" si="1496"/>
        <v>272.90786592264271</v>
      </c>
      <c r="CD182" s="70">
        <f t="shared" si="1496"/>
        <v>211.65146209820281</v>
      </c>
      <c r="CE182" s="115">
        <f>CE148/CE10*90</f>
        <v>227.99470254109241</v>
      </c>
      <c r="CF182" s="70">
        <f>CF148/CF8*90</f>
        <v>231.49423546026449</v>
      </c>
      <c r="CG182" s="70">
        <f>CG148/CG10*90</f>
        <v>227.74191004280456</v>
      </c>
      <c r="CH182" s="70">
        <f>CH148/CH8*90</f>
        <v>212.45554893646846</v>
      </c>
      <c r="CI182" s="70">
        <f>CI179+CI180+CI181</f>
        <v>212.45554893646846</v>
      </c>
      <c r="CJ182" s="70">
        <f>CJ148/CJ8*90</f>
        <v>296.75164341314866</v>
      </c>
      <c r="CK182" s="50">
        <f t="shared" ref="CK182:DB182" si="1497">CK179+CK180+CK181</f>
        <v>296.75164341314866</v>
      </c>
      <c r="CL182" s="70">
        <f>CL148/CL8*90</f>
        <v>285.00321071212784</v>
      </c>
      <c r="CM182" s="50">
        <f t="shared" si="1497"/>
        <v>285.00321071212784</v>
      </c>
      <c r="CN182" s="50">
        <f t="shared" si="1497"/>
        <v>285.00321071212784</v>
      </c>
      <c r="CO182" s="50">
        <f t="shared" si="1497"/>
        <v>285.00321071212784</v>
      </c>
      <c r="CP182" s="50">
        <f t="shared" si="1497"/>
        <v>285.00321071212784</v>
      </c>
      <c r="CQ182" s="50">
        <f t="shared" si="1497"/>
        <v>285.00321071212784</v>
      </c>
      <c r="CR182" s="50">
        <f t="shared" si="1497"/>
        <v>285.00321071212784</v>
      </c>
      <c r="CS182" s="50">
        <f t="shared" si="1497"/>
        <v>285.00321071212784</v>
      </c>
      <c r="CT182" s="50">
        <f t="shared" si="1497"/>
        <v>285.00321071212784</v>
      </c>
      <c r="CU182" s="50">
        <f t="shared" si="1497"/>
        <v>285.00321071212784</v>
      </c>
      <c r="CV182" s="50">
        <f t="shared" si="1497"/>
        <v>285.00321071212784</v>
      </c>
      <c r="CW182" s="50">
        <f t="shared" si="1497"/>
        <v>285.00321071212784</v>
      </c>
      <c r="CX182" s="50">
        <f t="shared" si="1497"/>
        <v>285.00321071212784</v>
      </c>
      <c r="CY182" s="50">
        <f t="shared" si="1497"/>
        <v>285.00321071212784</v>
      </c>
      <c r="CZ182" s="50">
        <f t="shared" si="1497"/>
        <v>285.00321071212784</v>
      </c>
      <c r="DA182" s="50">
        <f t="shared" si="1497"/>
        <v>285.00321071212784</v>
      </c>
      <c r="DB182" s="50">
        <f t="shared" si="1497"/>
        <v>285.00321071212784</v>
      </c>
      <c r="DE182" s="138"/>
      <c r="DF182" s="7">
        <v>338.16993860410548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>
        <f t="shared" si="1498"/>
        <v>58.205752844078447</v>
      </c>
      <c r="P183" s="67">
        <f t="shared" si="1498"/>
        <v>39.768203227735839</v>
      </c>
      <c r="Q183" s="67">
        <f t="shared" si="1498"/>
        <v>97.68146469607413</v>
      </c>
      <c r="R183" s="67">
        <f t="shared" si="1498"/>
        <v>96.135130467264489</v>
      </c>
      <c r="S183" s="67">
        <f t="shared" si="1498"/>
        <v>106.28162344286297</v>
      </c>
      <c r="T183" s="67">
        <f t="shared" si="1498"/>
        <v>73.089641392802889</v>
      </c>
      <c r="U183" s="67">
        <f t="shared" si="1498"/>
        <v>83.731991940265203</v>
      </c>
      <c r="V183" s="67">
        <f t="shared" si="1498"/>
        <v>110.43954250447432</v>
      </c>
      <c r="W183" s="67">
        <f t="shared" si="1498"/>
        <v>97.507019109464792</v>
      </c>
      <c r="X183" s="67">
        <f t="shared" si="1498"/>
        <v>125.14002449422078</v>
      </c>
      <c r="Y183" s="67">
        <f t="shared" si="1498"/>
        <v>94.582899491639608</v>
      </c>
      <c r="Z183" s="67">
        <f t="shared" si="1498"/>
        <v>60.019567314589246</v>
      </c>
      <c r="AA183" s="67">
        <f t="shared" ref="AA183" si="1499">AA153/AA8*365</f>
        <v>79.081090936475675</v>
      </c>
      <c r="AB183" s="18">
        <f t="shared" si="1498"/>
        <v>80.09581890542124</v>
      </c>
      <c r="AC183" s="18">
        <f t="shared" si="1498"/>
        <v>80.324533631926002</v>
      </c>
      <c r="AD183" s="18">
        <f t="shared" si="1498"/>
        <v>80.372479133202958</v>
      </c>
      <c r="AE183" s="18">
        <f t="shared" si="1498"/>
        <v>80.380719628408386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 t="e">
        <f>AT153/AT8*90</f>
        <v>#DIV/0!</v>
      </c>
      <c r="AU183" s="67" t="e">
        <f t="shared" ref="AU183" si="1505">+AT183</f>
        <v>#DIV/0!</v>
      </c>
      <c r="AV183" s="67" t="e">
        <f>AV153/AV8*90</f>
        <v>#DIV/0!</v>
      </c>
      <c r="AW183" s="67" t="e">
        <f t="shared" ref="AW183" si="1506">+AV183</f>
        <v>#DIV/0!</v>
      </c>
      <c r="AX183" s="67" t="e">
        <f>AX153/AX8*90</f>
        <v>#DIV/0!</v>
      </c>
      <c r="AY183" s="67" t="e">
        <f t="shared" ref="AY183" si="1507">+AX183</f>
        <v>#DIV/0!</v>
      </c>
      <c r="AZ183" s="67" t="e">
        <f>AZ153/AZ8*90</f>
        <v>#DIV/0!</v>
      </c>
      <c r="BA183" s="67" t="e">
        <f t="shared" ref="BA183" si="1508">+AZ183</f>
        <v>#DIV/0!</v>
      </c>
      <c r="BB183" s="67" t="e">
        <f>BB153/BB8*90</f>
        <v>#DIV/0!</v>
      </c>
      <c r="BC183" s="67" t="e">
        <f t="shared" ref="BC183" si="1509">+BB183</f>
        <v>#DIV/0!</v>
      </c>
      <c r="BD183" s="67" t="e">
        <f>BD153/BD8*90</f>
        <v>#DIV/0!</v>
      </c>
      <c r="BE183" s="67" t="e">
        <f t="shared" ref="BE183" si="1510">+BD183</f>
        <v>#DIV/0!</v>
      </c>
      <c r="BF183" s="67" t="e">
        <f>BF153/BF8*90</f>
        <v>#DIV/0!</v>
      </c>
      <c r="BG183" s="67" t="e">
        <f t="shared" ref="BG183" si="1511">+BF183</f>
        <v>#DIV/0!</v>
      </c>
      <c r="BH183" s="67" t="e">
        <f>BH153/BH8*90</f>
        <v>#DIV/0!</v>
      </c>
      <c r="BI183" s="67" t="e">
        <f t="shared" ref="BI183" si="1512">+BH183</f>
        <v>#DIV/0!</v>
      </c>
      <c r="BJ183" s="67" t="e">
        <f>BJ153/BJ8*90</f>
        <v>#DIV/0!</v>
      </c>
      <c r="BK183" s="67" t="e">
        <f t="shared" ref="BK183" si="1513">+BJ183</f>
        <v>#DIV/0!</v>
      </c>
      <c r="BL183" s="67" t="e">
        <f>BL153/BL8*90</f>
        <v>#DIV/0!</v>
      </c>
      <c r="BM183" s="67" t="e">
        <f t="shared" ref="BM183" si="1514">+BL183</f>
        <v>#DIV/0!</v>
      </c>
      <c r="BN183" s="67" t="e">
        <f>BN153/BN8*90</f>
        <v>#DIV/0!</v>
      </c>
      <c r="BO183" s="67" t="e">
        <f t="shared" ref="BO183" si="1515">+BN183</f>
        <v>#DIV/0!</v>
      </c>
      <c r="BP183" s="67" t="e">
        <f>BP153/BP8*90</f>
        <v>#DIV/0!</v>
      </c>
      <c r="BQ183" s="67" t="e">
        <f t="shared" ref="BQ183" si="1516">+BP183</f>
        <v>#DIV/0!</v>
      </c>
      <c r="BR183" s="67" t="e">
        <f>BR153/BR8*90</f>
        <v>#DIV/0!</v>
      </c>
      <c r="BS183" s="67" t="e">
        <f t="shared" ref="BS183" si="1517">+BR183</f>
        <v>#DIV/0!</v>
      </c>
      <c r="BT183" s="67" t="e">
        <f>BT153/BT8*90</f>
        <v>#DIV/0!</v>
      </c>
      <c r="BU183" s="67" t="e">
        <f t="shared" ref="BU183" si="1518">+BT183</f>
        <v>#DIV/0!</v>
      </c>
      <c r="BV183" s="67" t="e">
        <f>BV153/BV8*90</f>
        <v>#DIV/0!</v>
      </c>
      <c r="BW183" s="67" t="e">
        <f t="shared" ref="BW183" si="1519">+BV183</f>
        <v>#DIV/0!</v>
      </c>
      <c r="BX183" s="67">
        <f>BX153/BX8*90</f>
        <v>0</v>
      </c>
      <c r="BY183" s="67">
        <f t="shared" ref="BY183" si="1520">+BX183</f>
        <v>0</v>
      </c>
      <c r="BZ183" s="67">
        <f>BZ153/BZ8*90</f>
        <v>92.563103225736668</v>
      </c>
      <c r="CA183" s="67">
        <f t="shared" ref="CA183" si="1521">+BZ183</f>
        <v>92.563103225736668</v>
      </c>
      <c r="CB183" s="67">
        <f>CB153/CB8*90</f>
        <v>84.950417697489698</v>
      </c>
      <c r="CC183" s="67">
        <f t="shared" ref="CC183" si="1522">+CB183</f>
        <v>84.950417697489698</v>
      </c>
      <c r="CD183" s="67">
        <f>CD153/CD8*90</f>
        <v>76.819476955475167</v>
      </c>
      <c r="CE183" s="114">
        <f t="shared" si="1500"/>
        <v>76.819476955475167</v>
      </c>
      <c r="CF183" s="67">
        <f>CF153/CF8*90</f>
        <v>63.822929772756453</v>
      </c>
      <c r="CG183" s="67">
        <f t="shared" ref="CG183:CI183" si="1523">+CF183</f>
        <v>63.822929772756453</v>
      </c>
      <c r="CH183" s="67">
        <f>CH153/CH8*90</f>
        <v>52.53873918071276</v>
      </c>
      <c r="CI183" s="67">
        <f t="shared" si="1523"/>
        <v>52.53873918071276</v>
      </c>
      <c r="CJ183" s="67">
        <f>CJ153/CJ8*90</f>
        <v>85.665638661575997</v>
      </c>
      <c r="CK183" s="30">
        <f t="shared" ref="CK183" si="1524">+CJ183</f>
        <v>85.665638661575997</v>
      </c>
      <c r="CL183" s="67">
        <f>CL153/CL8*90</f>
        <v>66.648043633171397</v>
      </c>
      <c r="CM183" s="30">
        <f t="shared" ref="CM183" si="1525">+CL183</f>
        <v>66.648043633171397</v>
      </c>
      <c r="CN183" s="30">
        <f t="shared" ref="CN183" si="1526">+CM183</f>
        <v>66.648043633171397</v>
      </c>
      <c r="CO183" s="30">
        <f t="shared" ref="CO183" si="1527">+CN183</f>
        <v>66.648043633171397</v>
      </c>
      <c r="CP183" s="30">
        <f t="shared" ref="CP183" si="1528">+CO183</f>
        <v>66.648043633171397</v>
      </c>
      <c r="CQ183" s="30">
        <f t="shared" ref="CQ183" si="1529">+CP183</f>
        <v>66.648043633171397</v>
      </c>
      <c r="CR183" s="30">
        <f t="shared" ref="CR183" si="1530">+CQ183</f>
        <v>66.648043633171397</v>
      </c>
      <c r="CS183" s="30">
        <f t="shared" ref="CS183" si="1531">+CR183</f>
        <v>66.648043633171397</v>
      </c>
      <c r="CT183" s="30">
        <f t="shared" ref="CT183" si="1532">+CS183</f>
        <v>66.648043633171397</v>
      </c>
      <c r="CU183" s="30">
        <f t="shared" ref="CU183" si="1533">+CT183</f>
        <v>66.648043633171397</v>
      </c>
      <c r="CV183" s="30">
        <f t="shared" ref="CV183" si="1534">+CU183</f>
        <v>66.648043633171397</v>
      </c>
      <c r="CW183" s="30">
        <f t="shared" ref="CW183" si="1535">+CV183</f>
        <v>66.648043633171397</v>
      </c>
      <c r="CX183" s="30">
        <f t="shared" ref="CX183" si="1536">+CW183</f>
        <v>66.648043633171397</v>
      </c>
      <c r="CY183" s="30">
        <f t="shared" ref="CY183" si="1537">+CX183</f>
        <v>66.648043633171397</v>
      </c>
      <c r="CZ183" s="30">
        <f t="shared" ref="CZ183" si="1538">+CY183</f>
        <v>66.648043633171397</v>
      </c>
      <c r="DA183" s="30">
        <f t="shared" ref="DA183" si="1539">+CZ183</f>
        <v>66.648043633171397</v>
      </c>
      <c r="DB183" s="30">
        <f t="shared" ref="DB183" si="1540">+DA183</f>
        <v>66.648043633171397</v>
      </c>
      <c r="DE183" s="139"/>
      <c r="DF183" s="62">
        <v>79.081090936475661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>
        <f t="shared" si="1541"/>
        <v>93.315405864787564</v>
      </c>
      <c r="P184" s="67">
        <f t="shared" si="1541"/>
        <v>8.9513995373959929</v>
      </c>
      <c r="Q184" s="67">
        <f t="shared" si="1541"/>
        <v>32.005617489439743</v>
      </c>
      <c r="R184" s="67">
        <f t="shared" si="1541"/>
        <v>16.203143387697054</v>
      </c>
      <c r="S184" s="67">
        <f t="shared" si="1541"/>
        <v>43.803636957663187</v>
      </c>
      <c r="T184" s="67">
        <f t="shared" si="1541"/>
        <v>132.67154036672423</v>
      </c>
      <c r="U184" s="67">
        <f t="shared" si="1541"/>
        <v>160.9527289115639</v>
      </c>
      <c r="V184" s="67">
        <f t="shared" si="1541"/>
        <v>106.69904048864062</v>
      </c>
      <c r="W184" s="67">
        <f t="shared" ref="W184" si="1542">W185-W183</f>
        <v>108.4686752723331</v>
      </c>
      <c r="X184" s="67">
        <f t="shared" ref="X184:Y184" si="1543">X185-X183</f>
        <v>134.72440395993914</v>
      </c>
      <c r="Y184" s="67">
        <f t="shared" si="1543"/>
        <v>77.137257303852465</v>
      </c>
      <c r="Z184" s="67">
        <f t="shared" ref="Z184:AA184" si="1544">Z185-Z183</f>
        <v>60.249189603231336</v>
      </c>
      <c r="AA184" s="67">
        <f t="shared" ref="AA184" si="1545">AA185-AA183</f>
        <v>72.520271743223276</v>
      </c>
      <c r="AB184" s="18">
        <f t="shared" ref="AB184:AD184" si="1546">AB185-AB183</f>
        <v>73.450814647752722</v>
      </c>
      <c r="AC184" s="18">
        <f t="shared" si="1546"/>
        <v>73.660554472044268</v>
      </c>
      <c r="AD184" s="18">
        <f t="shared" si="1546"/>
        <v>73.704522261819235</v>
      </c>
      <c r="AE184" s="18">
        <f t="shared" ref="AE184" si="1547">AE185-AE183</f>
        <v>73.712079099294769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 t="e">
        <f t="shared" si="1550"/>
        <v>#DIV/0!</v>
      </c>
      <c r="AU184" s="67" t="e">
        <f t="shared" si="1550"/>
        <v>#DIV/0!</v>
      </c>
      <c r="AV184" s="67" t="e">
        <f t="shared" si="1550"/>
        <v>#DIV/0!</v>
      </c>
      <c r="AW184" s="67" t="e">
        <f t="shared" si="1550"/>
        <v>#DIV/0!</v>
      </c>
      <c r="AX184" s="67" t="e">
        <f t="shared" si="1550"/>
        <v>#DIV/0!</v>
      </c>
      <c r="AY184" s="67" t="e">
        <f t="shared" si="1550"/>
        <v>#DIV/0!</v>
      </c>
      <c r="AZ184" s="67" t="e">
        <f t="shared" ref="AZ184:BC184" si="1551">AZ185-AZ183</f>
        <v>#DIV/0!</v>
      </c>
      <c r="BA184" s="67" t="e">
        <f t="shared" si="1551"/>
        <v>#DIV/0!</v>
      </c>
      <c r="BB184" s="67" t="e">
        <f t="shared" si="1551"/>
        <v>#DIV/0!</v>
      </c>
      <c r="BC184" s="67" t="e">
        <f t="shared" si="1551"/>
        <v>#DIV/0!</v>
      </c>
      <c r="BD184" s="67" t="e">
        <f t="shared" ref="BD184:CE184" si="1552">BD185-BD183</f>
        <v>#DIV/0!</v>
      </c>
      <c r="BE184" s="67" t="e">
        <f t="shared" si="1552"/>
        <v>#DIV/0!</v>
      </c>
      <c r="BF184" s="67" t="e">
        <f t="shared" si="1552"/>
        <v>#DIV/0!</v>
      </c>
      <c r="BG184" s="67" t="e">
        <f t="shared" si="1552"/>
        <v>#DIV/0!</v>
      </c>
      <c r="BH184" s="67" t="e">
        <f t="shared" si="1552"/>
        <v>#DIV/0!</v>
      </c>
      <c r="BI184" s="67" t="e">
        <f t="shared" si="1552"/>
        <v>#DIV/0!</v>
      </c>
      <c r="BJ184" s="67" t="e">
        <f t="shared" si="1552"/>
        <v>#DIV/0!</v>
      </c>
      <c r="BK184" s="67" t="e">
        <f t="shared" si="1552"/>
        <v>#DIV/0!</v>
      </c>
      <c r="BL184" s="67" t="e">
        <f t="shared" si="1552"/>
        <v>#DIV/0!</v>
      </c>
      <c r="BM184" s="67" t="e">
        <f t="shared" si="1552"/>
        <v>#DIV/0!</v>
      </c>
      <c r="BN184" s="67" t="e">
        <f t="shared" si="1552"/>
        <v>#DIV/0!</v>
      </c>
      <c r="BO184" s="67" t="e">
        <f t="shared" si="1552"/>
        <v>#DIV/0!</v>
      </c>
      <c r="BP184" s="67" t="e">
        <f t="shared" si="1552"/>
        <v>#DIV/0!</v>
      </c>
      <c r="BQ184" s="67" t="e">
        <f t="shared" si="1552"/>
        <v>#DIV/0!</v>
      </c>
      <c r="BR184" s="67" t="e">
        <f t="shared" si="1552"/>
        <v>#DIV/0!</v>
      </c>
      <c r="BS184" s="67" t="e">
        <f t="shared" si="1552"/>
        <v>#DIV/0!</v>
      </c>
      <c r="BT184" s="67" t="e">
        <f t="shared" si="1552"/>
        <v>#DIV/0!</v>
      </c>
      <c r="BU184" s="67" t="e">
        <f t="shared" si="1552"/>
        <v>#DIV/0!</v>
      </c>
      <c r="BV184" s="67" t="e">
        <f t="shared" si="1552"/>
        <v>#DIV/0!</v>
      </c>
      <c r="BW184" s="67" t="e">
        <f t="shared" si="1552"/>
        <v>#DIV/0!</v>
      </c>
      <c r="BX184" s="67">
        <f t="shared" si="1552"/>
        <v>0</v>
      </c>
      <c r="BY184" s="67">
        <f t="shared" si="1552"/>
        <v>0</v>
      </c>
      <c r="BZ184" s="67">
        <f t="shared" si="1552"/>
        <v>99.652441024938426</v>
      </c>
      <c r="CA184" s="67">
        <f t="shared" si="1552"/>
        <v>127.28599848950942</v>
      </c>
      <c r="CB184" s="67">
        <f t="shared" si="1552"/>
        <v>88.411481712456904</v>
      </c>
      <c r="CC184" s="67">
        <f t="shared" si="1552"/>
        <v>80.369017137944539</v>
      </c>
      <c r="CD184" s="67">
        <f t="shared" si="1552"/>
        <v>62.650265446616331</v>
      </c>
      <c r="CE184" s="114">
        <f t="shared" si="1552"/>
        <v>88.242740365901128</v>
      </c>
      <c r="CF184" s="67">
        <f t="shared" ref="CF184:CG184" si="1553">CF185-CF183</f>
        <v>43.84336885351135</v>
      </c>
      <c r="CG184" s="67">
        <f t="shared" si="1553"/>
        <v>38.43632663719282</v>
      </c>
      <c r="CH184" s="67">
        <f t="shared" ref="CH184" si="1554">CH185-CH183</f>
        <v>52.739741388372998</v>
      </c>
      <c r="CI184" s="67">
        <f>CH184</f>
        <v>52.739741388372998</v>
      </c>
      <c r="CJ184" s="67">
        <f t="shared" ref="CJ184:CL184" si="1555">CJ185-CJ183</f>
        <v>69.325154361724742</v>
      </c>
      <c r="CK184" s="30">
        <f t="shared" ref="CK184:DB184" si="1556">CJ184</f>
        <v>69.325154361724742</v>
      </c>
      <c r="CL184" s="67">
        <f t="shared" si="1555"/>
        <v>61.118709645954667</v>
      </c>
      <c r="CM184" s="30">
        <f t="shared" si="1556"/>
        <v>61.118709645954667</v>
      </c>
      <c r="CN184" s="30">
        <f t="shared" si="1556"/>
        <v>61.118709645954667</v>
      </c>
      <c r="CO184" s="30">
        <f t="shared" si="1556"/>
        <v>61.118709645954667</v>
      </c>
      <c r="CP184" s="30">
        <f t="shared" si="1556"/>
        <v>61.118709645954667</v>
      </c>
      <c r="CQ184" s="30">
        <f t="shared" si="1556"/>
        <v>61.118709645954667</v>
      </c>
      <c r="CR184" s="30">
        <f t="shared" si="1556"/>
        <v>61.118709645954667</v>
      </c>
      <c r="CS184" s="30">
        <f t="shared" si="1556"/>
        <v>61.118709645954667</v>
      </c>
      <c r="CT184" s="30">
        <f t="shared" si="1556"/>
        <v>61.118709645954667</v>
      </c>
      <c r="CU184" s="30">
        <f t="shared" si="1556"/>
        <v>61.118709645954667</v>
      </c>
      <c r="CV184" s="30">
        <f t="shared" si="1556"/>
        <v>61.118709645954667</v>
      </c>
      <c r="CW184" s="30">
        <f t="shared" si="1556"/>
        <v>61.118709645954667</v>
      </c>
      <c r="CX184" s="30">
        <f t="shared" si="1556"/>
        <v>61.118709645954667</v>
      </c>
      <c r="CY184" s="30">
        <f t="shared" si="1556"/>
        <v>61.118709645954667</v>
      </c>
      <c r="CZ184" s="30">
        <f t="shared" si="1556"/>
        <v>61.118709645954667</v>
      </c>
      <c r="DA184" s="30">
        <f t="shared" si="1556"/>
        <v>61.118709645954667</v>
      </c>
      <c r="DB184" s="30">
        <f t="shared" si="1556"/>
        <v>61.118709645954667</v>
      </c>
      <c r="DE184" s="139"/>
      <c r="DF184" s="62">
        <v>72.52027174322329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>
        <f t="shared" si="1557"/>
        <v>151.52115870886601</v>
      </c>
      <c r="P185" s="70">
        <f t="shared" si="1557"/>
        <v>48.719602765131832</v>
      </c>
      <c r="Q185" s="70">
        <f t="shared" si="1557"/>
        <v>129.68708218551387</v>
      </c>
      <c r="R185" s="70">
        <f t="shared" si="1557"/>
        <v>112.33827385496154</v>
      </c>
      <c r="S185" s="70">
        <f t="shared" si="1557"/>
        <v>150.08526040052615</v>
      </c>
      <c r="T185" s="70">
        <f t="shared" si="1557"/>
        <v>205.76118175952712</v>
      </c>
      <c r="U185" s="70">
        <f t="shared" si="1557"/>
        <v>244.6847208518291</v>
      </c>
      <c r="V185" s="70">
        <f t="shared" si="1557"/>
        <v>217.13858299311494</v>
      </c>
      <c r="W185" s="70">
        <f t="shared" si="1557"/>
        <v>205.97569438179789</v>
      </c>
      <c r="X185" s="70">
        <f t="shared" si="1557"/>
        <v>259.86442845415991</v>
      </c>
      <c r="Y185" s="70">
        <f t="shared" si="1557"/>
        <v>171.72015679549207</v>
      </c>
      <c r="Z185" s="70">
        <f t="shared" si="1557"/>
        <v>120.26875691782058</v>
      </c>
      <c r="AA185" s="70">
        <f t="shared" ref="AA185" si="1558">AA156/AA8*365</f>
        <v>151.60136267969895</v>
      </c>
      <c r="AB185" s="71">
        <f t="shared" si="1557"/>
        <v>153.54663355317396</v>
      </c>
      <c r="AC185" s="71">
        <f t="shared" si="1557"/>
        <v>153.98508810397027</v>
      </c>
      <c r="AD185" s="71">
        <f t="shared" si="1557"/>
        <v>154.07700139502219</v>
      </c>
      <c r="AE185" s="71">
        <f t="shared" si="1557"/>
        <v>154.09279872770315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 t="e">
        <f t="shared" si="1559"/>
        <v>#DIV/0!</v>
      </c>
      <c r="AU185" s="70" t="e">
        <f t="shared" si="1559"/>
        <v>#DIV/0!</v>
      </c>
      <c r="AV185" s="70" t="e">
        <f t="shared" si="1559"/>
        <v>#DIV/0!</v>
      </c>
      <c r="AW185" s="70" t="e">
        <f t="shared" si="1559"/>
        <v>#DIV/0!</v>
      </c>
      <c r="AX185" s="70" t="e">
        <f t="shared" si="1559"/>
        <v>#DIV/0!</v>
      </c>
      <c r="AY185" s="70" t="e">
        <f t="shared" si="1559"/>
        <v>#DIV/0!</v>
      </c>
      <c r="AZ185" s="70" t="e">
        <f t="shared" si="1559"/>
        <v>#DIV/0!</v>
      </c>
      <c r="BA185" s="70" t="e">
        <f t="shared" si="1559"/>
        <v>#DIV/0!</v>
      </c>
      <c r="BB185" s="70" t="e">
        <f t="shared" si="1559"/>
        <v>#DIV/0!</v>
      </c>
      <c r="BC185" s="70" t="e">
        <f t="shared" si="1559"/>
        <v>#DIV/0!</v>
      </c>
      <c r="BD185" s="70" t="e">
        <f t="shared" si="1559"/>
        <v>#DIV/0!</v>
      </c>
      <c r="BE185" s="70" t="e">
        <f t="shared" si="1559"/>
        <v>#DIV/0!</v>
      </c>
      <c r="BF185" s="70" t="e">
        <f t="shared" si="1559"/>
        <v>#DIV/0!</v>
      </c>
      <c r="BG185" s="70" t="e">
        <f t="shared" si="1559"/>
        <v>#DIV/0!</v>
      </c>
      <c r="BH185" s="70" t="e">
        <f t="shared" si="1559"/>
        <v>#DIV/0!</v>
      </c>
      <c r="BI185" s="70" t="e">
        <f t="shared" si="1559"/>
        <v>#DIV/0!</v>
      </c>
      <c r="BJ185" s="70" t="e">
        <f t="shared" si="1559"/>
        <v>#DIV/0!</v>
      </c>
      <c r="BK185" s="70" t="e">
        <f t="shared" si="1559"/>
        <v>#DIV/0!</v>
      </c>
      <c r="BL185" s="70" t="e">
        <f t="shared" si="1559"/>
        <v>#DIV/0!</v>
      </c>
      <c r="BM185" s="70" t="e">
        <f t="shared" si="1559"/>
        <v>#DIV/0!</v>
      </c>
      <c r="BN185" s="70" t="e">
        <f t="shared" si="1559"/>
        <v>#DIV/0!</v>
      </c>
      <c r="BO185" s="70" t="e">
        <f t="shared" si="1559"/>
        <v>#DIV/0!</v>
      </c>
      <c r="BP185" s="70" t="e">
        <f t="shared" si="1559"/>
        <v>#DIV/0!</v>
      </c>
      <c r="BQ185" s="70" t="e">
        <f t="shared" si="1559"/>
        <v>#DIV/0!</v>
      </c>
      <c r="BR185" s="70" t="e">
        <f t="shared" si="1559"/>
        <v>#DIV/0!</v>
      </c>
      <c r="BS185" s="70" t="e">
        <f t="shared" si="1559"/>
        <v>#DIV/0!</v>
      </c>
      <c r="BT185" s="70" t="e">
        <f t="shared" si="1559"/>
        <v>#DIV/0!</v>
      </c>
      <c r="BU185" s="70" t="e">
        <f t="shared" si="1559"/>
        <v>#DIV/0!</v>
      </c>
      <c r="BV185" s="70" t="e">
        <f t="shared" si="1559"/>
        <v>#DIV/0!</v>
      </c>
      <c r="BW185" s="70" t="e">
        <f t="shared" si="1559"/>
        <v>#DIV/0!</v>
      </c>
      <c r="BX185" s="70">
        <f t="shared" si="1559"/>
        <v>0</v>
      </c>
      <c r="BY185" s="70">
        <f t="shared" si="1559"/>
        <v>0</v>
      </c>
      <c r="BZ185" s="70">
        <f t="shared" si="1559"/>
        <v>192.21554425067509</v>
      </c>
      <c r="CA185" s="70">
        <f t="shared" si="1559"/>
        <v>219.84910171524609</v>
      </c>
      <c r="CB185" s="70">
        <f t="shared" si="1559"/>
        <v>173.3618994099466</v>
      </c>
      <c r="CC185" s="70">
        <f t="shared" si="1559"/>
        <v>165.31943483543424</v>
      </c>
      <c r="CD185" s="70">
        <f t="shared" si="1559"/>
        <v>139.4697424020915</v>
      </c>
      <c r="CE185" s="115">
        <f>CE156/CE10*90</f>
        <v>165.06221732137629</v>
      </c>
      <c r="CF185" s="70">
        <f>CF156/CF8*90</f>
        <v>107.6662986262678</v>
      </c>
      <c r="CG185" s="70">
        <f>CG156/CG10*90</f>
        <v>102.25925640994927</v>
      </c>
      <c r="CH185" s="70">
        <f>CH156/CH8*90</f>
        <v>105.27848056908576</v>
      </c>
      <c r="CI185" s="70">
        <f>CI183+CI184</f>
        <v>105.27848056908576</v>
      </c>
      <c r="CJ185" s="70">
        <f>CJ156/CJ8*90</f>
        <v>154.99079302330074</v>
      </c>
      <c r="CK185" s="50">
        <f t="shared" ref="CK185:DB185" si="1560">CK183+CK184</f>
        <v>154.99079302330074</v>
      </c>
      <c r="CL185" s="70">
        <f>CL156/CL8*90</f>
        <v>127.76675327912606</v>
      </c>
      <c r="CM185" s="50">
        <f t="shared" si="1560"/>
        <v>127.76675327912606</v>
      </c>
      <c r="CN185" s="50">
        <f t="shared" si="1560"/>
        <v>127.76675327912606</v>
      </c>
      <c r="CO185" s="50">
        <f t="shared" si="1560"/>
        <v>127.76675327912606</v>
      </c>
      <c r="CP185" s="50">
        <f t="shared" si="1560"/>
        <v>127.76675327912606</v>
      </c>
      <c r="CQ185" s="50">
        <f t="shared" si="1560"/>
        <v>127.76675327912606</v>
      </c>
      <c r="CR185" s="50">
        <f t="shared" si="1560"/>
        <v>127.76675327912606</v>
      </c>
      <c r="CS185" s="50">
        <f t="shared" si="1560"/>
        <v>127.76675327912606</v>
      </c>
      <c r="CT185" s="50">
        <f t="shared" si="1560"/>
        <v>127.76675327912606</v>
      </c>
      <c r="CU185" s="50">
        <f t="shared" si="1560"/>
        <v>127.76675327912606</v>
      </c>
      <c r="CV185" s="50">
        <f t="shared" si="1560"/>
        <v>127.76675327912606</v>
      </c>
      <c r="CW185" s="50">
        <f t="shared" si="1560"/>
        <v>127.76675327912606</v>
      </c>
      <c r="CX185" s="50">
        <f t="shared" si="1560"/>
        <v>127.76675327912606</v>
      </c>
      <c r="CY185" s="50">
        <f t="shared" si="1560"/>
        <v>127.76675327912606</v>
      </c>
      <c r="CZ185" s="50">
        <f t="shared" si="1560"/>
        <v>127.76675327912606</v>
      </c>
      <c r="DA185" s="50">
        <f t="shared" si="1560"/>
        <v>127.76675327912606</v>
      </c>
      <c r="DB185" s="50">
        <f t="shared" si="1560"/>
        <v>127.76675327912606</v>
      </c>
      <c r="DE185" s="138"/>
      <c r="DF185" s="7">
        <v>151.60136267969895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>
        <f t="shared" si="1561"/>
        <v>17.341194390083558</v>
      </c>
      <c r="P186" s="70">
        <f t="shared" si="1561"/>
        <v>40.578207986700527</v>
      </c>
      <c r="Q186" s="70">
        <f t="shared" si="1561"/>
        <v>119.62650226895633</v>
      </c>
      <c r="R186" s="70">
        <f t="shared" si="1561"/>
        <v>93.650188977323708</v>
      </c>
      <c r="S186" s="70">
        <f t="shared" si="1561"/>
        <v>113.04369282198226</v>
      </c>
      <c r="T186" s="70">
        <f t="shared" si="1561"/>
        <v>61.85180136116719</v>
      </c>
      <c r="U186" s="70">
        <f t="shared" si="1561"/>
        <v>24.610052353271868</v>
      </c>
      <c r="V186" s="70">
        <f t="shared" si="1561"/>
        <v>25.509921532161002</v>
      </c>
      <c r="W186" s="70">
        <f t="shared" ref="W186" si="1562">W182-W185</f>
        <v>34.788656452931406</v>
      </c>
      <c r="X186" s="70">
        <f t="shared" ref="X186:Y186" si="1563">X182-X185</f>
        <v>38.409462124699417</v>
      </c>
      <c r="Y186" s="70">
        <f t="shared" si="1563"/>
        <v>73.740123721443041</v>
      </c>
      <c r="Z186" s="70">
        <f t="shared" ref="Z186:AA186" si="1564">Z182-Z185</f>
        <v>122.43767874463848</v>
      </c>
      <c r="AA186" s="70">
        <f t="shared" ref="AA186" si="1565">AA182-AA185</f>
        <v>171.37322679223294</v>
      </c>
      <c r="AB186" s="71">
        <f t="shared" ref="AB186:AD186" si="1566">AB182-AB185</f>
        <v>188.96252813061628</v>
      </c>
      <c r="AC186" s="71">
        <f t="shared" si="1566"/>
        <v>189.50211326167118</v>
      </c>
      <c r="AD186" s="71">
        <f t="shared" si="1566"/>
        <v>189.61522657092496</v>
      </c>
      <c r="AE186" s="71">
        <f t="shared" ref="AE186" si="1567">AE182-AE185</f>
        <v>189.63466759579183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 t="e">
        <f t="shared" si="1570"/>
        <v>#DIV/0!</v>
      </c>
      <c r="AU186" s="70" t="e">
        <f t="shared" si="1570"/>
        <v>#DIV/0!</v>
      </c>
      <c r="AV186" s="70" t="e">
        <f t="shared" si="1570"/>
        <v>#DIV/0!</v>
      </c>
      <c r="AW186" s="70" t="e">
        <f t="shared" si="1570"/>
        <v>#DIV/0!</v>
      </c>
      <c r="AX186" s="70" t="e">
        <f t="shared" si="1570"/>
        <v>#DIV/0!</v>
      </c>
      <c r="AY186" s="70" t="e">
        <f t="shared" si="1570"/>
        <v>#DIV/0!</v>
      </c>
      <c r="AZ186" s="70" t="e">
        <f t="shared" ref="AZ186:BC186" si="1571">AZ182-AZ185</f>
        <v>#DIV/0!</v>
      </c>
      <c r="BA186" s="70" t="e">
        <f t="shared" si="1571"/>
        <v>#DIV/0!</v>
      </c>
      <c r="BB186" s="70" t="e">
        <f t="shared" si="1571"/>
        <v>#DIV/0!</v>
      </c>
      <c r="BC186" s="70" t="e">
        <f t="shared" si="1571"/>
        <v>#DIV/0!</v>
      </c>
      <c r="BD186" s="70" t="e">
        <f t="shared" ref="BD186:CE186" si="1572">BD182-BD185</f>
        <v>#DIV/0!</v>
      </c>
      <c r="BE186" s="70" t="e">
        <f t="shared" si="1572"/>
        <v>#DIV/0!</v>
      </c>
      <c r="BF186" s="70" t="e">
        <f t="shared" si="1572"/>
        <v>#DIV/0!</v>
      </c>
      <c r="BG186" s="70" t="e">
        <f t="shared" si="1572"/>
        <v>#DIV/0!</v>
      </c>
      <c r="BH186" s="70" t="e">
        <f t="shared" si="1572"/>
        <v>#DIV/0!</v>
      </c>
      <c r="BI186" s="70" t="e">
        <f t="shared" si="1572"/>
        <v>#DIV/0!</v>
      </c>
      <c r="BJ186" s="70" t="e">
        <f t="shared" si="1572"/>
        <v>#DIV/0!</v>
      </c>
      <c r="BK186" s="70" t="e">
        <f t="shared" si="1572"/>
        <v>#DIV/0!</v>
      </c>
      <c r="BL186" s="70" t="e">
        <f t="shared" si="1572"/>
        <v>#DIV/0!</v>
      </c>
      <c r="BM186" s="70" t="e">
        <f t="shared" si="1572"/>
        <v>#DIV/0!</v>
      </c>
      <c r="BN186" s="70" t="e">
        <f t="shared" si="1572"/>
        <v>#DIV/0!</v>
      </c>
      <c r="BO186" s="70" t="e">
        <f t="shared" si="1572"/>
        <v>#DIV/0!</v>
      </c>
      <c r="BP186" s="70" t="e">
        <f t="shared" si="1572"/>
        <v>#DIV/0!</v>
      </c>
      <c r="BQ186" s="70" t="e">
        <f t="shared" si="1572"/>
        <v>#DIV/0!</v>
      </c>
      <c r="BR186" s="70" t="e">
        <f t="shared" si="1572"/>
        <v>#DIV/0!</v>
      </c>
      <c r="BS186" s="70" t="e">
        <f t="shared" si="1572"/>
        <v>#DIV/0!</v>
      </c>
      <c r="BT186" s="70" t="e">
        <f t="shared" si="1572"/>
        <v>#DIV/0!</v>
      </c>
      <c r="BU186" s="70" t="e">
        <f t="shared" si="1572"/>
        <v>#DIV/0!</v>
      </c>
      <c r="BV186" s="70" t="e">
        <f t="shared" si="1572"/>
        <v>#DIV/0!</v>
      </c>
      <c r="BW186" s="70" t="e">
        <f t="shared" si="1572"/>
        <v>#DIV/0!</v>
      </c>
      <c r="BX186" s="70">
        <f t="shared" si="1572"/>
        <v>0</v>
      </c>
      <c r="BY186" s="70">
        <f t="shared" si="1572"/>
        <v>0</v>
      </c>
      <c r="BZ186" s="70">
        <f t="shared" si="1572"/>
        <v>39.61436817455828</v>
      </c>
      <c r="CA186" s="70">
        <f t="shared" si="1572"/>
        <v>23.464424957051421</v>
      </c>
      <c r="CB186" s="70">
        <f t="shared" si="1572"/>
        <v>104.00770290366569</v>
      </c>
      <c r="CC186" s="70">
        <f t="shared" si="1572"/>
        <v>107.58843108720848</v>
      </c>
      <c r="CD186" s="70">
        <f t="shared" si="1572"/>
        <v>72.181719696111315</v>
      </c>
      <c r="CE186" s="115">
        <f t="shared" si="1572"/>
        <v>62.932485219716114</v>
      </c>
      <c r="CF186" s="70">
        <f t="shared" ref="CF186:CG186" si="1573">CF182-CF185</f>
        <v>123.82793683399669</v>
      </c>
      <c r="CG186" s="70">
        <f t="shared" si="1573"/>
        <v>125.48265363285529</v>
      </c>
      <c r="CH186" s="70">
        <f t="shared" ref="CH186:CI186" si="1574">CH182-CH185</f>
        <v>107.1770683673827</v>
      </c>
      <c r="CI186" s="70">
        <f t="shared" si="1574"/>
        <v>107.1770683673827</v>
      </c>
      <c r="CJ186" s="70">
        <f t="shared" ref="CJ186:DB186" si="1575">CJ182-CJ185</f>
        <v>141.76085038984792</v>
      </c>
      <c r="CK186" s="50">
        <f t="shared" si="1575"/>
        <v>141.76085038984792</v>
      </c>
      <c r="CL186" s="70">
        <f t="shared" ref="CL186" si="1576">CL182-CL185</f>
        <v>157.23645743300176</v>
      </c>
      <c r="CM186" s="50">
        <f t="shared" si="1575"/>
        <v>157.23645743300176</v>
      </c>
      <c r="CN186" s="50">
        <f t="shared" si="1575"/>
        <v>157.23645743300176</v>
      </c>
      <c r="CO186" s="50">
        <f t="shared" si="1575"/>
        <v>157.23645743300176</v>
      </c>
      <c r="CP186" s="50">
        <f t="shared" si="1575"/>
        <v>157.23645743300176</v>
      </c>
      <c r="CQ186" s="50">
        <f t="shared" si="1575"/>
        <v>157.23645743300176</v>
      </c>
      <c r="CR186" s="50">
        <f t="shared" si="1575"/>
        <v>157.23645743300176</v>
      </c>
      <c r="CS186" s="50">
        <f t="shared" si="1575"/>
        <v>157.23645743300176</v>
      </c>
      <c r="CT186" s="50">
        <f t="shared" si="1575"/>
        <v>157.23645743300176</v>
      </c>
      <c r="CU186" s="50">
        <f t="shared" si="1575"/>
        <v>157.23645743300176</v>
      </c>
      <c r="CV186" s="50">
        <f t="shared" si="1575"/>
        <v>157.23645743300176</v>
      </c>
      <c r="CW186" s="50">
        <f t="shared" si="1575"/>
        <v>157.23645743300176</v>
      </c>
      <c r="CX186" s="50">
        <f t="shared" si="1575"/>
        <v>157.23645743300176</v>
      </c>
      <c r="CY186" s="50">
        <f t="shared" si="1575"/>
        <v>157.23645743300176</v>
      </c>
      <c r="CZ186" s="50">
        <f t="shared" si="1575"/>
        <v>157.23645743300176</v>
      </c>
      <c r="DA186" s="50">
        <f t="shared" si="1575"/>
        <v>157.23645743300176</v>
      </c>
      <c r="DB186" s="50">
        <f t="shared" si="1575"/>
        <v>157.23645743300176</v>
      </c>
      <c r="DE186" s="138"/>
      <c r="DF186" s="7">
        <v>186.56857592440653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>
        <f t="shared" si="1577"/>
        <v>9.0970149954245016E-2</v>
      </c>
      <c r="Q188" s="86">
        <f t="shared" si="1577"/>
        <v>-0.42238534398834437</v>
      </c>
      <c r="R188" s="86">
        <f t="shared" si="1577"/>
        <v>0.34650732949517704</v>
      </c>
      <c r="S188" s="86">
        <f t="shared" si="1577"/>
        <v>0.12307441722307666</v>
      </c>
      <c r="T188" s="86">
        <f t="shared" si="1577"/>
        <v>0.23895645007892674</v>
      </c>
      <c r="U188" s="86">
        <f t="shared" si="1577"/>
        <v>-4.8666930297417199E-2</v>
      </c>
      <c r="V188" s="86">
        <f t="shared" si="1577"/>
        <v>0.37397913307532282</v>
      </c>
      <c r="W188" s="86">
        <f t="shared" si="1577"/>
        <v>0.14729438814829909</v>
      </c>
      <c r="X188" s="86">
        <f t="shared" si="1577"/>
        <v>0.15474655567475737</v>
      </c>
      <c r="Y188" s="86">
        <f t="shared" si="1577"/>
        <v>0.43248044248244977</v>
      </c>
      <c r="Z188" s="86">
        <f>Z10/Y10-1</f>
        <v>0.27499200836332105</v>
      </c>
      <c r="AA188" s="86">
        <f>AA10/Z10-1</f>
        <v>-0.16987140256878996</v>
      </c>
      <c r="AB188" s="87">
        <f t="shared" ref="AB188:AE188" si="1578">AB10/AA10-1</f>
        <v>-0.18181021628634397</v>
      </c>
      <c r="AC188" s="87">
        <f t="shared" si="1578"/>
        <v>-0.18337181286776016</v>
      </c>
      <c r="AD188" s="87">
        <f t="shared" si="1578"/>
        <v>-0.18358810603025111</v>
      </c>
      <c r="AE188" s="87">
        <f t="shared" si="1578"/>
        <v>-0.18354114124925491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 t="e">
        <f t="shared" si="1579"/>
        <v>#DIV/0!</v>
      </c>
      <c r="AX188" s="86" t="e">
        <f t="shared" si="1579"/>
        <v>#DIV/0!</v>
      </c>
      <c r="AY188" s="86" t="e">
        <f t="shared" si="1579"/>
        <v>#DIV/0!</v>
      </c>
      <c r="AZ188" s="86" t="e">
        <f t="shared" si="1579"/>
        <v>#DIV/0!</v>
      </c>
      <c r="BA188" s="86" t="e">
        <f t="shared" si="1579"/>
        <v>#DIV/0!</v>
      </c>
      <c r="BB188" s="86" t="e">
        <f t="shared" si="1579"/>
        <v>#DIV/0!</v>
      </c>
      <c r="BC188" s="86" t="e">
        <f t="shared" si="1579"/>
        <v>#DIV/0!</v>
      </c>
      <c r="BD188" s="86" t="e">
        <f t="shared" si="1579"/>
        <v>#DIV/0!</v>
      </c>
      <c r="BE188" s="86" t="e">
        <f t="shared" si="1579"/>
        <v>#DIV/0!</v>
      </c>
      <c r="BF188" s="86" t="e">
        <f t="shared" si="1579"/>
        <v>#DIV/0!</v>
      </c>
      <c r="BG188" s="86" t="e">
        <f t="shared" si="1579"/>
        <v>#DIV/0!</v>
      </c>
      <c r="BH188" s="86" t="e">
        <f t="shared" si="1579"/>
        <v>#DIV/0!</v>
      </c>
      <c r="BI188" s="86" t="e">
        <f t="shared" si="1579"/>
        <v>#DIV/0!</v>
      </c>
      <c r="BJ188" s="86" t="e">
        <f t="shared" si="1579"/>
        <v>#DIV/0!</v>
      </c>
      <c r="BK188" s="86" t="e">
        <f t="shared" si="1579"/>
        <v>#DIV/0!</v>
      </c>
      <c r="BL188" s="86" t="e">
        <f t="shared" si="1579"/>
        <v>#DIV/0!</v>
      </c>
      <c r="BM188" s="86" t="e">
        <f t="shared" si="1579"/>
        <v>#DIV/0!</v>
      </c>
      <c r="BN188" s="86" t="e">
        <f t="shared" si="1579"/>
        <v>#DIV/0!</v>
      </c>
      <c r="BO188" s="86" t="e">
        <f t="shared" si="1579"/>
        <v>#DIV/0!</v>
      </c>
      <c r="BP188" s="86" t="e">
        <f t="shared" si="1579"/>
        <v>#DIV/0!</v>
      </c>
      <c r="BQ188" s="86" t="e">
        <f t="shared" si="1579"/>
        <v>#DIV/0!</v>
      </c>
      <c r="BR188" s="86" t="e">
        <f t="shared" si="1579"/>
        <v>#DIV/0!</v>
      </c>
      <c r="BS188" s="86" t="e">
        <f t="shared" si="1579"/>
        <v>#DIV/0!</v>
      </c>
      <c r="BT188" s="86" t="e">
        <f t="shared" si="1579"/>
        <v>#DIV/0!</v>
      </c>
      <c r="BU188" s="86" t="e">
        <f t="shared" si="1579"/>
        <v>#DIV/0!</v>
      </c>
      <c r="BV188" s="86" t="e">
        <f t="shared" si="1579"/>
        <v>#DIV/0!</v>
      </c>
      <c r="BW188" s="86" t="e">
        <f t="shared" si="1579"/>
        <v>#DIV/0!</v>
      </c>
      <c r="BX188" s="86" t="e">
        <f t="shared" si="1579"/>
        <v>#DIV/0!</v>
      </c>
      <c r="BY188" s="86" t="e">
        <f t="shared" si="1579"/>
        <v>#DIV/0!</v>
      </c>
      <c r="BZ188" s="86" t="e">
        <f t="shared" si="1579"/>
        <v>#DIV/0!</v>
      </c>
      <c r="CA188" s="86">
        <f t="shared" si="1579"/>
        <v>1.9069217882020983</v>
      </c>
      <c r="CB188" s="86">
        <f t="shared" si="1579"/>
        <v>0.49383430804949024</v>
      </c>
      <c r="CC188" s="86">
        <f t="shared" si="1579"/>
        <v>0.59791451876019575</v>
      </c>
      <c r="CD188" s="86">
        <f t="shared" si="1579"/>
        <v>0.38910291577356637</v>
      </c>
      <c r="CE188" s="86">
        <f t="shared" si="1579"/>
        <v>0.24765879828760129</v>
      </c>
      <c r="CF188" s="86">
        <f t="shared" si="1579"/>
        <v>0.27157406842715104</v>
      </c>
      <c r="CG188" s="86">
        <f t="shared" si="1579"/>
        <v>0.36178477330157888</v>
      </c>
      <c r="CH188" s="86">
        <f t="shared" si="1579"/>
        <v>0.28066590028526406</v>
      </c>
      <c r="CI188" s="86">
        <f t="shared" si="1579"/>
        <v>0.14157972449718881</v>
      </c>
      <c r="CJ188" s="86">
        <f>+(CJ10+CI10)/(CF10+CE10)-1</f>
        <v>-9.1959464686315329E-2</v>
      </c>
      <c r="CK188" s="87"/>
      <c r="CL188" s="86">
        <f>+(CL10+CK10)/(CH10+CG10)-1</f>
        <v>-0.22967794004523723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-0.17160077545396024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>
        <f t="shared" ref="P189" si="1591">P186/O186-1</f>
        <v>1.339989222997517</v>
      </c>
      <c r="Q189" s="86">
        <f t="shared" ref="Q189" si="1592">Q186/P186-1</f>
        <v>1.948047935191318</v>
      </c>
      <c r="R189" s="86">
        <f t="shared" ref="R189" si="1593">R186/Q186-1</f>
        <v>-0.21714513756516984</v>
      </c>
      <c r="S189" s="86">
        <f t="shared" ref="S189" si="1594">S186/R186-1</f>
        <v>0.20708451372537495</v>
      </c>
      <c r="T189" s="86">
        <f t="shared" ref="T189" si="1595">T186/S186-1</f>
        <v>-0.4528504880093619</v>
      </c>
      <c r="U189" s="86">
        <f t="shared" ref="U189" si="1596">U186/T186-1</f>
        <v>-0.60211260122291355</v>
      </c>
      <c r="V189" s="86">
        <f t="shared" ref="V189" si="1597">V186/U186-1</f>
        <v>3.6565106240803891E-2</v>
      </c>
      <c r="W189" s="86">
        <f t="shared" ref="W189:AA189" si="1598">W186/V186-1</f>
        <v>0.36373043755044354</v>
      </c>
      <c r="X189" s="86">
        <f t="shared" si="1598"/>
        <v>0.10408006634768752</v>
      </c>
      <c r="Y189" s="86">
        <f t="shared" si="1598"/>
        <v>0.91984265444904656</v>
      </c>
      <c r="Z189" s="86">
        <f t="shared" si="1598"/>
        <v>0.66039426794499079</v>
      </c>
      <c r="AA189" s="86">
        <f t="shared" si="1598"/>
        <v>0.39967719536448132</v>
      </c>
      <c r="AB189" s="87">
        <f t="shared" ref="AB189" si="1599">AB186/AA186-1</f>
        <v>0.10263739364438762</v>
      </c>
      <c r="AC189" s="87">
        <f t="shared" ref="AC189" si="1600">AC186/AB186-1</f>
        <v>2.855513928570641E-3</v>
      </c>
      <c r="AD189" s="87">
        <f t="shared" ref="AD189" si="1601">AD186/AC186-1</f>
        <v>5.9689735015022727E-4</v>
      </c>
      <c r="AE189" s="87">
        <f t="shared" ref="AE189" si="1602">AE186/AD186-1</f>
        <v>1.0252881700711924E-4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 t="e">
        <f t="shared" si="1603"/>
        <v>#DIV/0!</v>
      </c>
      <c r="BA189" s="86" t="e">
        <f t="shared" si="1603"/>
        <v>#DIV/0!</v>
      </c>
      <c r="BB189" s="86" t="e">
        <f t="shared" si="1603"/>
        <v>#DIV/0!</v>
      </c>
      <c r="BC189" s="86" t="e">
        <f t="shared" si="1603"/>
        <v>#DIV/0!</v>
      </c>
      <c r="BD189" s="86" t="e">
        <f t="shared" si="1603"/>
        <v>#DIV/0!</v>
      </c>
      <c r="BE189" s="86" t="e">
        <f t="shared" si="1603"/>
        <v>#DIV/0!</v>
      </c>
      <c r="BF189" s="86" t="e">
        <f t="shared" si="1603"/>
        <v>#DIV/0!</v>
      </c>
      <c r="BG189" s="86" t="e">
        <f t="shared" si="1603"/>
        <v>#DIV/0!</v>
      </c>
      <c r="BH189" s="86" t="e">
        <f t="shared" si="1603"/>
        <v>#DIV/0!</v>
      </c>
      <c r="BI189" s="86" t="e">
        <f t="shared" si="1603"/>
        <v>#DIV/0!</v>
      </c>
      <c r="BJ189" s="86" t="e">
        <f t="shared" si="1603"/>
        <v>#DIV/0!</v>
      </c>
      <c r="BK189" s="86" t="e">
        <f t="shared" si="1603"/>
        <v>#DIV/0!</v>
      </c>
      <c r="BL189" s="86" t="e">
        <f t="shared" si="1603"/>
        <v>#DIV/0!</v>
      </c>
      <c r="BM189" s="86" t="e">
        <f t="shared" si="1603"/>
        <v>#DIV/0!</v>
      </c>
      <c r="BN189" s="86" t="e">
        <f t="shared" si="1603"/>
        <v>#DIV/0!</v>
      </c>
      <c r="BO189" s="86" t="e">
        <f t="shared" si="1603"/>
        <v>#DIV/0!</v>
      </c>
      <c r="BP189" s="86" t="e">
        <f t="shared" si="1603"/>
        <v>#DIV/0!</v>
      </c>
      <c r="BQ189" s="86" t="e">
        <f t="shared" si="1603"/>
        <v>#DIV/0!</v>
      </c>
      <c r="BR189" s="86" t="e">
        <f t="shared" si="1603"/>
        <v>#DIV/0!</v>
      </c>
      <c r="BS189" s="86" t="e">
        <f t="shared" si="1603"/>
        <v>#DIV/0!</v>
      </c>
      <c r="BT189" s="86" t="e">
        <f t="shared" si="1603"/>
        <v>#DIV/0!</v>
      </c>
      <c r="BU189" s="86" t="e">
        <f t="shared" si="1603"/>
        <v>#DIV/0!</v>
      </c>
      <c r="BV189" s="86" t="e">
        <f t="shared" si="1603"/>
        <v>#DIV/0!</v>
      </c>
      <c r="BW189" s="86" t="e">
        <f t="shared" si="1603"/>
        <v>#DIV/0!</v>
      </c>
      <c r="BX189" s="86" t="e">
        <f t="shared" si="1603"/>
        <v>#DIV/0!</v>
      </c>
      <c r="BY189" s="86" t="e">
        <f t="shared" si="1603"/>
        <v>#DIV/0!</v>
      </c>
      <c r="BZ189" s="86" t="e">
        <f t="shared" si="1603"/>
        <v>#DIV/0!</v>
      </c>
      <c r="CA189" s="86" t="e">
        <f t="shared" si="1603"/>
        <v>#DIV/0!</v>
      </c>
      <c r="CB189" s="86" t="e">
        <f t="shared" si="1603"/>
        <v>#DIV/0!</v>
      </c>
      <c r="CC189" s="86" t="e">
        <f t="shared" si="1603"/>
        <v>#DIV/0!</v>
      </c>
      <c r="CD189" s="86">
        <f t="shared" si="1603"/>
        <v>0.82210957847534005</v>
      </c>
      <c r="CE189" s="86">
        <f t="shared" si="1603"/>
        <v>1.6820382487491532</v>
      </c>
      <c r="CF189" s="86">
        <f t="shared" si="1603"/>
        <v>0.19056505794276557</v>
      </c>
      <c r="CG189" s="86">
        <f t="shared" si="1603"/>
        <v>0.16632106598099017</v>
      </c>
      <c r="CH189" s="86">
        <f t="shared" si="1603"/>
        <v>0.48482287230899423</v>
      </c>
      <c r="CI189" s="86">
        <f t="shared" si="1603"/>
        <v>0.70304840168309779</v>
      </c>
      <c r="CJ189" s="86">
        <f>+CJ186/CF186-1</f>
        <v>0.14482122543874754</v>
      </c>
      <c r="CK189" s="87"/>
      <c r="CL189" s="86">
        <f>+CL186/CH186-1</f>
        <v>0.46707182635398237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0.52378400045889739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str">
        <f t="shared" si="1604"/>
        <v>RF</v>
      </c>
      <c r="Q190" s="103" t="str">
        <f t="shared" si="1604"/>
        <v>RF</v>
      </c>
      <c r="R190" s="103">
        <f t="shared" si="1604"/>
        <v>0</v>
      </c>
      <c r="S190" s="103" t="str">
        <f t="shared" si="1604"/>
        <v>RF</v>
      </c>
      <c r="T190" s="103">
        <f t="shared" si="1604"/>
        <v>0</v>
      </c>
      <c r="U190" s="103">
        <f t="shared" si="1604"/>
        <v>0</v>
      </c>
      <c r="V190" s="103">
        <f>IF(V189&gt;V188,"RF",0)</f>
        <v>0</v>
      </c>
      <c r="W190" s="103" t="str">
        <f t="shared" ref="W190" si="1605">IF(W189&gt;W188,"RF",0)</f>
        <v>RF</v>
      </c>
      <c r="X190" s="103">
        <f t="shared" ref="X190:Y190" si="1606">IF(X189&gt;X188,"RF",0)</f>
        <v>0</v>
      </c>
      <c r="Y190" s="103" t="str">
        <f t="shared" si="1606"/>
        <v>RF</v>
      </c>
      <c r="Z190" s="103" t="str">
        <f t="shared" ref="Z190:AA190" si="1607">IF(Z189&gt;Z188,"RF",0)</f>
        <v>RF</v>
      </c>
      <c r="AA190" s="103" t="str">
        <f t="shared" ref="AA190" si="1608">IF(AA189&gt;AA188,"RF",0)</f>
        <v>RF</v>
      </c>
      <c r="AB190" s="73" t="str">
        <f t="shared" ref="AB190:AD190" si="1609">IF(AB189&gt;AB188,"RF",0)</f>
        <v>RF</v>
      </c>
      <c r="AC190" s="73" t="str">
        <f t="shared" si="1609"/>
        <v>RF</v>
      </c>
      <c r="AD190" s="73" t="str">
        <f t="shared" si="1609"/>
        <v>RF</v>
      </c>
      <c r="AE190" s="73" t="str">
        <f t="shared" ref="AE190" si="1610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0</v>
      </c>
      <c r="K193" s="23">
        <f t="shared" si="1611"/>
        <v>0</v>
      </c>
      <c r="L193" s="23">
        <f t="shared" si="1611"/>
        <v>3.4259695000000008</v>
      </c>
      <c r="M193" s="23">
        <f t="shared" si="1611"/>
        <v>4.1452020000000003</v>
      </c>
      <c r="N193" s="23">
        <f t="shared" si="1611"/>
        <v>5.0267934999999992</v>
      </c>
      <c r="O193" s="23">
        <f t="shared" si="1611"/>
        <v>21.406023500000003</v>
      </c>
      <c r="P193" s="23">
        <f t="shared" si="1611"/>
        <v>16.565043400000029</v>
      </c>
      <c r="Q193" s="23">
        <f t="shared" si="1611"/>
        <v>-6.9302415000000135</v>
      </c>
      <c r="R193" s="23">
        <f t="shared" si="1611"/>
        <v>0.59051890000000395</v>
      </c>
      <c r="S193" s="23">
        <f t="shared" si="1611"/>
        <v>-3.8440465000000139</v>
      </c>
      <c r="T193" s="23">
        <f t="shared" si="1611"/>
        <v>-0.93299999999999605</v>
      </c>
      <c r="U193" s="23">
        <f t="shared" si="1611"/>
        <v>-6.7039999999999722</v>
      </c>
      <c r="V193" s="23">
        <f t="shared" si="1611"/>
        <v>11.81400000000003</v>
      </c>
      <c r="W193" s="23">
        <f t="shared" si="1611"/>
        <v>39.460000000000008</v>
      </c>
      <c r="X193" s="23">
        <f t="shared" si="1611"/>
        <v>31.726999999999975</v>
      </c>
      <c r="Y193" s="23">
        <f t="shared" si="1611"/>
        <v>61.196000000000069</v>
      </c>
      <c r="Z193" s="23">
        <f t="shared" si="1611"/>
        <v>68.076000000000064</v>
      </c>
      <c r="AA193" s="23">
        <f t="shared" ref="AA193" si="1612">AA48</f>
        <v>73.281999999999897</v>
      </c>
      <c r="AB193" s="24">
        <f t="shared" si="1611"/>
        <v>45.642472409292822</v>
      </c>
      <c r="AC193" s="24">
        <f t="shared" si="1611"/>
        <v>35.8451485484157</v>
      </c>
      <c r="AD193" s="24">
        <f t="shared" si="1611"/>
        <v>27.567758542992308</v>
      </c>
      <c r="AE193" s="24">
        <f t="shared" si="1611"/>
        <v>20.781147006459118</v>
      </c>
      <c r="AI193" s="23">
        <f t="shared" ref="AI193:BN193" si="1613">AI48</f>
        <v>0</v>
      </c>
      <c r="AJ193" s="23">
        <f t="shared" si="1613"/>
        <v>0</v>
      </c>
      <c r="AK193" s="23">
        <f t="shared" si="1613"/>
        <v>0</v>
      </c>
      <c r="AL193" s="23">
        <f t="shared" si="1613"/>
        <v>0</v>
      </c>
      <c r="AM193" s="23">
        <f t="shared" si="1613"/>
        <v>0</v>
      </c>
      <c r="AN193" s="23">
        <f t="shared" si="1613"/>
        <v>0</v>
      </c>
      <c r="AO193" s="23">
        <f t="shared" si="1613"/>
        <v>0</v>
      </c>
      <c r="AP193" s="23">
        <f t="shared" si="1613"/>
        <v>0</v>
      </c>
      <c r="AQ193" s="23">
        <f t="shared" si="1613"/>
        <v>0</v>
      </c>
      <c r="AR193" s="23">
        <f t="shared" si="1613"/>
        <v>0</v>
      </c>
      <c r="AS193" s="23">
        <f t="shared" si="1613"/>
        <v>0</v>
      </c>
      <c r="AT193" s="23">
        <f t="shared" si="1613"/>
        <v>0</v>
      </c>
      <c r="AU193" s="23">
        <f t="shared" si="1613"/>
        <v>0</v>
      </c>
      <c r="AV193" s="23">
        <f t="shared" si="1613"/>
        <v>0</v>
      </c>
      <c r="AW193" s="23">
        <f t="shared" si="1613"/>
        <v>0</v>
      </c>
      <c r="AX193" s="23">
        <f t="shared" si="1613"/>
        <v>0</v>
      </c>
      <c r="AY193" s="23">
        <f t="shared" si="1613"/>
        <v>0</v>
      </c>
      <c r="AZ193" s="23">
        <f t="shared" si="1613"/>
        <v>0</v>
      </c>
      <c r="BA193" s="23">
        <f t="shared" si="1613"/>
        <v>0</v>
      </c>
      <c r="BB193" s="23">
        <f t="shared" si="1613"/>
        <v>0</v>
      </c>
      <c r="BC193" s="23">
        <f t="shared" si="1613"/>
        <v>0</v>
      </c>
      <c r="BD193" s="23">
        <f t="shared" si="1613"/>
        <v>0</v>
      </c>
      <c r="BE193" s="23">
        <f t="shared" si="1613"/>
        <v>0</v>
      </c>
      <c r="BF193" s="23">
        <f t="shared" si="1613"/>
        <v>0</v>
      </c>
      <c r="BG193" s="23">
        <f t="shared" si="1613"/>
        <v>0</v>
      </c>
      <c r="BH193" s="23">
        <f t="shared" si="1613"/>
        <v>0</v>
      </c>
      <c r="BI193" s="23">
        <f t="shared" si="1613"/>
        <v>0</v>
      </c>
      <c r="BJ193" s="23">
        <f t="shared" si="1613"/>
        <v>0</v>
      </c>
      <c r="BK193" s="23">
        <f t="shared" si="1613"/>
        <v>0</v>
      </c>
      <c r="BL193" s="23">
        <f t="shared" si="1613"/>
        <v>0</v>
      </c>
      <c r="BM193" s="23">
        <f t="shared" si="1613"/>
        <v>0</v>
      </c>
      <c r="BN193" s="23">
        <f t="shared" si="1613"/>
        <v>0</v>
      </c>
      <c r="BO193" s="23">
        <f t="shared" ref="BO193:CT193" si="1614">BO48</f>
        <v>0</v>
      </c>
      <c r="BP193" s="23">
        <f t="shared" si="1614"/>
        <v>0</v>
      </c>
      <c r="BQ193" s="23">
        <f t="shared" si="1614"/>
        <v>0</v>
      </c>
      <c r="BR193" s="23">
        <f t="shared" si="1614"/>
        <v>0</v>
      </c>
      <c r="BS193" s="23">
        <f t="shared" si="1614"/>
        <v>0</v>
      </c>
      <c r="BT193" s="23">
        <f t="shared" si="1614"/>
        <v>0</v>
      </c>
      <c r="BU193" s="23">
        <f t="shared" si="1614"/>
        <v>0</v>
      </c>
      <c r="BV193" s="23">
        <f t="shared" si="1614"/>
        <v>0</v>
      </c>
      <c r="BW193" s="23">
        <f t="shared" si="1614"/>
        <v>6.322000000000001</v>
      </c>
      <c r="BX193" s="23">
        <f t="shared" si="1614"/>
        <v>7.1000000000000014</v>
      </c>
      <c r="BY193" s="23">
        <f t="shared" si="1614"/>
        <v>5.7179999999999742</v>
      </c>
      <c r="BZ193" s="23">
        <f t="shared" si="1614"/>
        <v>12.586999999999994</v>
      </c>
      <c r="CA193" s="23">
        <f t="shared" si="1614"/>
        <v>5.3589999999999964</v>
      </c>
      <c r="CB193" s="23">
        <f t="shared" si="1614"/>
        <v>14.65300000000005</v>
      </c>
      <c r="CC193" s="23">
        <f t="shared" si="1614"/>
        <v>18.439999999999984</v>
      </c>
      <c r="CD193" s="23">
        <f t="shared" si="1614"/>
        <v>22.744000000000028</v>
      </c>
      <c r="CE193" s="23">
        <f t="shared" si="1614"/>
        <v>10.596</v>
      </c>
      <c r="CF193" s="23">
        <f t="shared" si="1614"/>
        <v>15.454000000000011</v>
      </c>
      <c r="CG193" s="23">
        <f t="shared" si="1614"/>
        <v>10.990999999999961</v>
      </c>
      <c r="CH193" s="23">
        <f t="shared" si="1614"/>
        <v>31.035000000000018</v>
      </c>
      <c r="CI193" s="23">
        <f t="shared" si="1614"/>
        <v>7.4630000000000205</v>
      </c>
      <c r="CJ193" s="23">
        <f t="shared" si="1614"/>
        <v>32.144999999999996</v>
      </c>
      <c r="CK193" s="24">
        <f t="shared" si="1614"/>
        <v>11.232999999999997</v>
      </c>
      <c r="CL193" s="23">
        <f t="shared" ref="CL193" si="1615">CL48</f>
        <v>22.440999999999988</v>
      </c>
      <c r="CM193" s="24">
        <f t="shared" si="1614"/>
        <v>8.9422626903050606</v>
      </c>
      <c r="CN193" s="24">
        <f t="shared" si="1614"/>
        <v>10.546986149436954</v>
      </c>
      <c r="CO193" s="24">
        <f t="shared" si="1614"/>
        <v>10.155986555989761</v>
      </c>
      <c r="CP193" s="24">
        <f t="shared" si="1614"/>
        <v>15.997237013560891</v>
      </c>
      <c r="CQ193" s="24">
        <f t="shared" si="1614"/>
        <v>7.3928914856765013</v>
      </c>
      <c r="CR193" s="24">
        <f t="shared" si="1614"/>
        <v>8.0186527925451827</v>
      </c>
      <c r="CS193" s="24">
        <f t="shared" si="1614"/>
        <v>8.0032765299868771</v>
      </c>
      <c r="CT193" s="24">
        <f t="shared" si="1614"/>
        <v>12.430327740207098</v>
      </c>
      <c r="CU193" s="24">
        <f t="shared" ref="CU193:DB193" si="1616">CU48</f>
        <v>5.6735405304250479</v>
      </c>
      <c r="CV193" s="24">
        <f t="shared" si="1616"/>
        <v>6.0941145813542068</v>
      </c>
      <c r="CW193" s="24">
        <f t="shared" si="1616"/>
        <v>6.1079182432334065</v>
      </c>
      <c r="CX193" s="24">
        <f t="shared" si="1616"/>
        <v>9.6921851879794971</v>
      </c>
      <c r="CY193" s="24">
        <f t="shared" si="1616"/>
        <v>4.208332025322461</v>
      </c>
      <c r="CZ193" s="24">
        <f t="shared" si="1616"/>
        <v>4.53952388864671</v>
      </c>
      <c r="DA193" s="24">
        <f t="shared" si="1616"/>
        <v>4.5540700167359587</v>
      </c>
      <c r="DB193" s="24">
        <f t="shared" si="1616"/>
        <v>7.4792210757540305</v>
      </c>
      <c r="DE193" s="123"/>
      <c r="DF193" s="23">
        <v>73.282000000000153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3.5594141000000001</v>
      </c>
      <c r="M194" s="23">
        <f t="shared" si="1617"/>
        <v>4.3671069999999999</v>
      </c>
      <c r="N194" s="23">
        <f t="shared" si="1617"/>
        <v>4.9994068</v>
      </c>
      <c r="O194" s="23">
        <f t="shared" si="1617"/>
        <v>2.7238000000000002</v>
      </c>
      <c r="P194" s="23">
        <f t="shared" si="1617"/>
        <v>3.9986453000000002</v>
      </c>
      <c r="Q194" s="23">
        <f t="shared" si="1617"/>
        <v>5.6635796000000003</v>
      </c>
      <c r="R194" s="23">
        <f t="shared" si="1617"/>
        <v>7.2953608000000001</v>
      </c>
      <c r="S194" s="23">
        <f t="shared" si="1617"/>
        <v>8.2640984999999993</v>
      </c>
      <c r="T194" s="23">
        <f t="shared" si="1617"/>
        <v>8.3149999999999995</v>
      </c>
      <c r="U194" s="23">
        <f t="shared" si="1617"/>
        <v>10.579000000000001</v>
      </c>
      <c r="V194" s="23">
        <f t="shared" si="1617"/>
        <v>18.462</v>
      </c>
      <c r="W194" s="23">
        <f t="shared" si="1617"/>
        <v>19.286000000000001</v>
      </c>
      <c r="X194" s="23">
        <f t="shared" si="1617"/>
        <v>19.414999999999999</v>
      </c>
      <c r="Y194" s="23">
        <f t="shared" si="1617"/>
        <v>22.312000000000001</v>
      </c>
      <c r="Z194" s="23">
        <f t="shared" si="1617"/>
        <v>34.061999999999998</v>
      </c>
      <c r="AA194" s="23">
        <f t="shared" ref="AA194" si="1618">AA32</f>
        <v>42.752000000000002</v>
      </c>
      <c r="AB194" s="24">
        <f t="shared" si="1617"/>
        <v>41.778402483145285</v>
      </c>
      <c r="AC194" s="24">
        <f t="shared" si="1617"/>
        <v>34.103394726311265</v>
      </c>
      <c r="AD194" s="24">
        <f t="shared" si="1617"/>
        <v>27.838343802824966</v>
      </c>
      <c r="AE194" s="24">
        <f t="shared" si="1617"/>
        <v>22.724230004187234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0</v>
      </c>
      <c r="AP194" s="23">
        <f t="shared" si="1619"/>
        <v>0</v>
      </c>
      <c r="AQ194" s="23">
        <f t="shared" si="1619"/>
        <v>0</v>
      </c>
      <c r="AR194" s="23">
        <f t="shared" si="1619"/>
        <v>0</v>
      </c>
      <c r="AS194" s="23">
        <f t="shared" si="1619"/>
        <v>0</v>
      </c>
      <c r="AT194" s="23">
        <f t="shared" si="1619"/>
        <v>0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0</v>
      </c>
      <c r="BO194" s="23">
        <f t="shared" ref="BO194:CT194" si="1620">BO32</f>
        <v>0</v>
      </c>
      <c r="BP194" s="23">
        <f t="shared" si="1620"/>
        <v>0</v>
      </c>
      <c r="BQ194" s="23">
        <f t="shared" si="1620"/>
        <v>0</v>
      </c>
      <c r="BR194" s="23">
        <f t="shared" si="1620"/>
        <v>0</v>
      </c>
      <c r="BS194" s="23">
        <f t="shared" si="1620"/>
        <v>0</v>
      </c>
      <c r="BT194" s="23">
        <f t="shared" si="1620"/>
        <v>0</v>
      </c>
      <c r="BU194" s="23">
        <f t="shared" si="1620"/>
        <v>0</v>
      </c>
      <c r="BV194" s="23">
        <f t="shared" si="1620"/>
        <v>0</v>
      </c>
      <c r="BW194" s="23">
        <f t="shared" si="1620"/>
        <v>4.9370000000000003</v>
      </c>
      <c r="BX194" s="23">
        <f t="shared" si="1620"/>
        <v>4.9560000000000004</v>
      </c>
      <c r="BY194" s="23">
        <f t="shared" si="1620"/>
        <v>4.6959999999999997</v>
      </c>
      <c r="BZ194" s="23">
        <f t="shared" si="1620"/>
        <v>4.8259999999999996</v>
      </c>
      <c r="CA194" s="23">
        <f t="shared" si="1620"/>
        <v>4.8280000000000003</v>
      </c>
      <c r="CB194" s="23">
        <f t="shared" si="1620"/>
        <v>5.4749999999999996</v>
      </c>
      <c r="CC194" s="23">
        <f t="shared" si="1620"/>
        <v>5.7640000000000002</v>
      </c>
      <c r="CD194" s="23">
        <f t="shared" si="1620"/>
        <v>6.2450000000000001</v>
      </c>
      <c r="CE194" s="23">
        <f t="shared" si="1620"/>
        <v>6.6929999999999996</v>
      </c>
      <c r="CF194" s="23">
        <f t="shared" si="1620"/>
        <v>6.87</v>
      </c>
      <c r="CG194" s="23">
        <f t="shared" si="1620"/>
        <v>10.022</v>
      </c>
      <c r="CH194" s="23">
        <f t="shared" si="1620"/>
        <v>10.477</v>
      </c>
      <c r="CI194" s="23">
        <f t="shared" si="1620"/>
        <v>10.516999999999999</v>
      </c>
      <c r="CJ194" s="23">
        <f t="shared" si="1620"/>
        <v>10.566000000000001</v>
      </c>
      <c r="CK194" s="24">
        <f t="shared" si="1620"/>
        <v>10.773</v>
      </c>
      <c r="CL194" s="23">
        <f t="shared" ref="CL194" si="1621">CL32</f>
        <v>10.896000000000001</v>
      </c>
      <c r="CM194" s="24">
        <f t="shared" si="1620"/>
        <v>11.25254994278241</v>
      </c>
      <c r="CN194" s="24">
        <f t="shared" si="1620"/>
        <v>10.695778358234078</v>
      </c>
      <c r="CO194" s="24">
        <f t="shared" si="1620"/>
        <v>10.166555604745083</v>
      </c>
      <c r="CP194" s="24">
        <f t="shared" si="1620"/>
        <v>9.6635185773837122</v>
      </c>
      <c r="CQ194" s="24">
        <f t="shared" si="1620"/>
        <v>9.1853716170946598</v>
      </c>
      <c r="CR194" s="24">
        <f t="shared" si="1620"/>
        <v>8.7308831735045587</v>
      </c>
      <c r="CS194" s="24">
        <f t="shared" si="1620"/>
        <v>8.2988826328505265</v>
      </c>
      <c r="CT194" s="24">
        <f t="shared" si="1620"/>
        <v>7.8882573028615193</v>
      </c>
      <c r="CU194" s="24">
        <f t="shared" ref="CU194:DB194" si="1622">CU32</f>
        <v>7.4979495468265211</v>
      </c>
      <c r="CV194" s="24">
        <f t="shared" si="1622"/>
        <v>7.1269540594678755</v>
      </c>
      <c r="CW194" s="24">
        <f t="shared" si="1622"/>
        <v>6.7743152776032991</v>
      </c>
      <c r="CX194" s="24">
        <f t="shared" si="1622"/>
        <v>6.4391249189272708</v>
      </c>
      <c r="CY194" s="24">
        <f t="shared" si="1622"/>
        <v>6.120519642572523</v>
      </c>
      <c r="CZ194" s="24">
        <f t="shared" si="1622"/>
        <v>5.8176788254260003</v>
      </c>
      <c r="DA194" s="24">
        <f t="shared" si="1622"/>
        <v>5.5298224484717844</v>
      </c>
      <c r="DB194" s="24">
        <f t="shared" si="1622"/>
        <v>5.2562090877169263</v>
      </c>
      <c r="DE194" s="123"/>
      <c r="DF194" s="23">
        <v>42.751999999999995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0</v>
      </c>
      <c r="K195" s="22">
        <f t="shared" si="1623"/>
        <v>0</v>
      </c>
      <c r="L195" s="22">
        <f t="shared" si="1623"/>
        <v>6.9853836000000005</v>
      </c>
      <c r="M195" s="22">
        <f t="shared" si="1623"/>
        <v>8.5123090000000001</v>
      </c>
      <c r="N195" s="22">
        <f t="shared" si="1623"/>
        <v>10.026200299999999</v>
      </c>
      <c r="O195" s="22">
        <f t="shared" si="1623"/>
        <v>24.129823500000004</v>
      </c>
      <c r="P195" s="22">
        <f t="shared" si="1623"/>
        <v>20.563688700000029</v>
      </c>
      <c r="Q195" s="22">
        <f t="shared" si="1623"/>
        <v>-1.2666619000000132</v>
      </c>
      <c r="R195" s="22">
        <f t="shared" si="1623"/>
        <v>7.8858797000000038</v>
      </c>
      <c r="S195" s="22">
        <f t="shared" si="1623"/>
        <v>4.4200519999999859</v>
      </c>
      <c r="T195" s="22">
        <f t="shared" si="1623"/>
        <v>7.3820000000000032</v>
      </c>
      <c r="U195" s="22">
        <f t="shared" si="1623"/>
        <v>3.8750000000000284</v>
      </c>
      <c r="V195" s="22">
        <f t="shared" si="1623"/>
        <v>30.276000000000032</v>
      </c>
      <c r="W195" s="22">
        <f t="shared" si="1623"/>
        <v>58.746000000000009</v>
      </c>
      <c r="X195" s="22">
        <f t="shared" ref="X195:Y195" si="1624">X193+X194</f>
        <v>51.141999999999975</v>
      </c>
      <c r="Y195" s="22">
        <f t="shared" si="1624"/>
        <v>83.508000000000067</v>
      </c>
      <c r="Z195" s="22">
        <f t="shared" ref="Z195:AA195" si="1625">Z193+Z194</f>
        <v>102.13800000000006</v>
      </c>
      <c r="AA195" s="22">
        <f t="shared" ref="AA195" si="1626">AA193+AA194</f>
        <v>116.03399999999991</v>
      </c>
      <c r="AB195" s="21">
        <f t="shared" ref="AB195:AD195" si="1627">AB193+AB194</f>
        <v>87.420874892438107</v>
      </c>
      <c r="AC195" s="21">
        <f t="shared" si="1627"/>
        <v>69.948543274726973</v>
      </c>
      <c r="AD195" s="21">
        <f t="shared" si="1627"/>
        <v>55.406102345817274</v>
      </c>
      <c r="AE195" s="21">
        <f t="shared" ref="AE195" si="1628">AE193+AE194</f>
        <v>43.505377010646356</v>
      </c>
      <c r="AI195" s="22">
        <f t="shared" ref="AI195" si="1629">AI193+AI194</f>
        <v>0</v>
      </c>
      <c r="AJ195" s="22">
        <f t="shared" ref="AJ195:AL195" si="1630">AJ193+AJ194</f>
        <v>0</v>
      </c>
      <c r="AK195" s="22">
        <f t="shared" si="1630"/>
        <v>0</v>
      </c>
      <c r="AL195" s="22">
        <f t="shared" si="1630"/>
        <v>0</v>
      </c>
      <c r="AM195" s="22">
        <f t="shared" ref="AM195" si="1631">AM193+AM194</f>
        <v>0</v>
      </c>
      <c r="AN195" s="22">
        <f t="shared" ref="AN195:CD195" si="1632">AN193+AN194</f>
        <v>0</v>
      </c>
      <c r="AO195" s="22">
        <f t="shared" si="1632"/>
        <v>0</v>
      </c>
      <c r="AP195" s="22">
        <f t="shared" si="1632"/>
        <v>0</v>
      </c>
      <c r="AQ195" s="22">
        <f t="shared" si="1632"/>
        <v>0</v>
      </c>
      <c r="AR195" s="22">
        <f t="shared" si="1632"/>
        <v>0</v>
      </c>
      <c r="AS195" s="22">
        <f t="shared" si="1632"/>
        <v>0</v>
      </c>
      <c r="AT195" s="22">
        <f t="shared" si="1632"/>
        <v>0</v>
      </c>
      <c r="AU195" s="22">
        <f t="shared" si="1632"/>
        <v>0</v>
      </c>
      <c r="AV195" s="22">
        <f t="shared" si="1632"/>
        <v>0</v>
      </c>
      <c r="AW195" s="22">
        <f t="shared" si="1632"/>
        <v>0</v>
      </c>
      <c r="AX195" s="22">
        <f t="shared" si="1632"/>
        <v>0</v>
      </c>
      <c r="AY195" s="22">
        <f t="shared" si="1632"/>
        <v>0</v>
      </c>
      <c r="AZ195" s="22">
        <f t="shared" si="1632"/>
        <v>0</v>
      </c>
      <c r="BA195" s="22">
        <f t="shared" si="1632"/>
        <v>0</v>
      </c>
      <c r="BB195" s="22">
        <f t="shared" si="1632"/>
        <v>0</v>
      </c>
      <c r="BC195" s="22">
        <f t="shared" si="1632"/>
        <v>0</v>
      </c>
      <c r="BD195" s="22">
        <f t="shared" si="1632"/>
        <v>0</v>
      </c>
      <c r="BE195" s="22">
        <f t="shared" si="1632"/>
        <v>0</v>
      </c>
      <c r="BF195" s="22">
        <f t="shared" si="1632"/>
        <v>0</v>
      </c>
      <c r="BG195" s="22">
        <f t="shared" si="1632"/>
        <v>0</v>
      </c>
      <c r="BH195" s="22">
        <f t="shared" si="1632"/>
        <v>0</v>
      </c>
      <c r="BI195" s="22">
        <f t="shared" si="1632"/>
        <v>0</v>
      </c>
      <c r="BJ195" s="22">
        <f t="shared" si="1632"/>
        <v>0</v>
      </c>
      <c r="BK195" s="22">
        <f t="shared" si="1632"/>
        <v>0</v>
      </c>
      <c r="BL195" s="22">
        <f t="shared" si="1632"/>
        <v>0</v>
      </c>
      <c r="BM195" s="22">
        <f t="shared" si="1632"/>
        <v>0</v>
      </c>
      <c r="BN195" s="22">
        <f t="shared" si="1632"/>
        <v>0</v>
      </c>
      <c r="BO195" s="22">
        <f t="shared" si="1632"/>
        <v>0</v>
      </c>
      <c r="BP195" s="22">
        <f t="shared" si="1632"/>
        <v>0</v>
      </c>
      <c r="BQ195" s="22">
        <f t="shared" si="1632"/>
        <v>0</v>
      </c>
      <c r="BR195" s="22">
        <f t="shared" si="1632"/>
        <v>0</v>
      </c>
      <c r="BS195" s="22">
        <f t="shared" si="1632"/>
        <v>0</v>
      </c>
      <c r="BT195" s="22">
        <f t="shared" si="1632"/>
        <v>0</v>
      </c>
      <c r="BU195" s="22">
        <f t="shared" si="1632"/>
        <v>0</v>
      </c>
      <c r="BV195" s="22">
        <f t="shared" si="1632"/>
        <v>0</v>
      </c>
      <c r="BW195" s="22">
        <f t="shared" si="1632"/>
        <v>11.259</v>
      </c>
      <c r="BX195" s="22">
        <f t="shared" si="1632"/>
        <v>12.056000000000001</v>
      </c>
      <c r="BY195" s="22">
        <f t="shared" si="1632"/>
        <v>10.413999999999973</v>
      </c>
      <c r="BZ195" s="22">
        <f t="shared" si="1632"/>
        <v>17.412999999999993</v>
      </c>
      <c r="CA195" s="22">
        <f t="shared" si="1632"/>
        <v>10.186999999999998</v>
      </c>
      <c r="CB195" s="22">
        <f t="shared" si="1632"/>
        <v>20.12800000000005</v>
      </c>
      <c r="CC195" s="22">
        <f t="shared" si="1632"/>
        <v>24.203999999999983</v>
      </c>
      <c r="CD195" s="22">
        <f t="shared" si="1632"/>
        <v>28.989000000000029</v>
      </c>
      <c r="CE195" s="22">
        <f t="shared" ref="CE195:CF195" si="1633">CE193+CE194</f>
        <v>17.289000000000001</v>
      </c>
      <c r="CF195" s="22">
        <f t="shared" si="1633"/>
        <v>22.324000000000012</v>
      </c>
      <c r="CG195" s="22">
        <f t="shared" ref="CG195:CH195" si="1634">CG193+CG194</f>
        <v>21.012999999999963</v>
      </c>
      <c r="CH195" s="22">
        <f t="shared" si="1634"/>
        <v>41.512000000000015</v>
      </c>
      <c r="CI195" s="22">
        <f t="shared" ref="CI195:CJ195" si="1635">CI193+CI194</f>
        <v>17.980000000000018</v>
      </c>
      <c r="CJ195" s="22">
        <f t="shared" si="1635"/>
        <v>42.710999999999999</v>
      </c>
      <c r="CK195" s="21">
        <f t="shared" ref="CK195:DB195" si="1636">CK193+CK194</f>
        <v>22.005999999999997</v>
      </c>
      <c r="CL195" s="22">
        <f t="shared" si="1636"/>
        <v>33.336999999999989</v>
      </c>
      <c r="CM195" s="21">
        <f t="shared" si="1636"/>
        <v>20.194812633087473</v>
      </c>
      <c r="CN195" s="21">
        <f t="shared" si="1636"/>
        <v>21.242764507671033</v>
      </c>
      <c r="CO195" s="21">
        <f t="shared" si="1636"/>
        <v>20.322542160734844</v>
      </c>
      <c r="CP195" s="21">
        <f t="shared" si="1636"/>
        <v>25.660755590944603</v>
      </c>
      <c r="CQ195" s="21">
        <f t="shared" si="1636"/>
        <v>16.57826310277116</v>
      </c>
      <c r="CR195" s="21">
        <f t="shared" si="1636"/>
        <v>16.749535966049741</v>
      </c>
      <c r="CS195" s="21">
        <f t="shared" si="1636"/>
        <v>16.302159162837405</v>
      </c>
      <c r="CT195" s="21">
        <f t="shared" si="1636"/>
        <v>20.318585043068616</v>
      </c>
      <c r="CU195" s="21">
        <f t="shared" si="1636"/>
        <v>13.171490077251569</v>
      </c>
      <c r="CV195" s="21">
        <f t="shared" si="1636"/>
        <v>13.221068640822082</v>
      </c>
      <c r="CW195" s="21">
        <f t="shared" si="1636"/>
        <v>12.882233520836706</v>
      </c>
      <c r="CX195" s="21">
        <f t="shared" si="1636"/>
        <v>16.131310106906767</v>
      </c>
      <c r="CY195" s="21">
        <f t="shared" si="1636"/>
        <v>10.328851667894984</v>
      </c>
      <c r="CZ195" s="21">
        <f t="shared" si="1636"/>
        <v>10.357202714072709</v>
      </c>
      <c r="DA195" s="21">
        <f t="shared" si="1636"/>
        <v>10.083892465207743</v>
      </c>
      <c r="DB195" s="21">
        <f t="shared" si="1636"/>
        <v>12.735430163470957</v>
      </c>
      <c r="DE195" s="126"/>
      <c r="DF195" s="22">
        <v>116.03400000000015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37"/>
        <v>-62.1476775</v>
      </c>
      <c r="M196" s="23">
        <f t="shared" si="1637"/>
        <v>-8.1079777999999898</v>
      </c>
      <c r="N196" s="23">
        <f t="shared" si="1637"/>
        <v>-2.0174856000000005</v>
      </c>
      <c r="O196" s="23">
        <f t="shared" si="1637"/>
        <v>-113.92234120000001</v>
      </c>
      <c r="P196" s="23">
        <f t="shared" si="1637"/>
        <v>77.632240800000005</v>
      </c>
      <c r="Q196" s="23">
        <f t="shared" si="1637"/>
        <v>-74.78429779999999</v>
      </c>
      <c r="R196" s="23">
        <f t="shared" si="1637"/>
        <v>-24.834930400000019</v>
      </c>
      <c r="S196" s="23">
        <f t="shared" si="1637"/>
        <v>-77.992301799999979</v>
      </c>
      <c r="T196" s="23">
        <f t="shared" si="1637"/>
        <v>-71.014228700000018</v>
      </c>
      <c r="U196" s="23">
        <f t="shared" si="1637"/>
        <v>13.755000000000067</v>
      </c>
      <c r="V196" s="23">
        <f t="shared" si="1637"/>
        <v>-79.159000000000063</v>
      </c>
      <c r="W196" s="23">
        <f t="shared" si="1637"/>
        <v>-56.589000000000048</v>
      </c>
      <c r="X196" s="23">
        <f t="shared" si="1637"/>
        <v>-206.12500000000006</v>
      </c>
      <c r="Y196" s="23">
        <f t="shared" si="1637"/>
        <v>-122.08499999999984</v>
      </c>
      <c r="Z196" s="23">
        <f t="shared" si="1637"/>
        <v>-216.2950000000001</v>
      </c>
      <c r="AA196" s="23">
        <f t="shared" si="1637"/>
        <v>-105.53799999999997</v>
      </c>
      <c r="AB196" s="24">
        <f t="shared" ref="AB196" si="1638">AA148-AB148+AA163+AA164-AB163-AB164</f>
        <v>147.70466082298435</v>
      </c>
      <c r="AC196" s="24">
        <f t="shared" ref="AC196" si="1639">AB148-AC148+AB163+AB164-AC163-AC164</f>
        <v>175.34356003600408</v>
      </c>
      <c r="AD196" s="24">
        <f t="shared" ref="AD196" si="1640">AC148-AD148+AC163+AC164-AD163-AD164</f>
        <v>145.23404291634438</v>
      </c>
      <c r="AE196" s="24">
        <f t="shared" ref="AE196" si="1641">AD148-AE148+AD163+AD164-AE163-AE164</f>
        <v>118.87266148240577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 t="e">
        <f t="shared" ref="AU196" si="1651">AT148-AU148+AT163+AT164-AU163-AU164</f>
        <v>#DIV/0!</v>
      </c>
      <c r="AV196" s="23" t="e">
        <f t="shared" ref="AV196" si="1652">AU148-AV148+AU163+AU164-AV163-AV164</f>
        <v>#DIV/0!</v>
      </c>
      <c r="AW196" s="23" t="e">
        <f t="shared" ref="AW196" si="1653">AV148-AW148+AV163+AV164-AW163-AW164</f>
        <v>#DIV/0!</v>
      </c>
      <c r="AX196" s="23" t="e">
        <f t="shared" ref="AX196" si="1654">AW148-AX148+AW163+AW164-AX163-AX164</f>
        <v>#DIV/0!</v>
      </c>
      <c r="AY196" s="23" t="e">
        <f t="shared" ref="AY196" si="1655">AX148-AY148+AX163+AX164-AY163-AY164</f>
        <v>#DIV/0!</v>
      </c>
      <c r="AZ196" s="23" t="e">
        <f t="shared" ref="AZ196" si="1656">AY148-AZ148+AY163+AY164-AZ163-AZ164</f>
        <v>#DIV/0!</v>
      </c>
      <c r="BA196" s="23" t="e">
        <f t="shared" ref="BA196" si="1657">AZ148-BA148+AZ163+AZ164-BA163-BA164</f>
        <v>#DIV/0!</v>
      </c>
      <c r="BB196" s="23" t="e">
        <f t="shared" ref="BB196" si="1658">BA148-BB148+BA163+BA164-BB163-BB164</f>
        <v>#DIV/0!</v>
      </c>
      <c r="BC196" s="23" t="e">
        <f t="shared" ref="BC196" si="1659">BB148-BC148+BB163+BB164-BC163-BC164</f>
        <v>#DIV/0!</v>
      </c>
      <c r="BD196" s="23" t="e">
        <f t="shared" ref="BD196" si="1660">BC148-BD148+BC163+BC164-BD163-BD164</f>
        <v>#DIV/0!</v>
      </c>
      <c r="BE196" s="23" t="e">
        <f t="shared" ref="BE196" si="1661">BD148-BE148+BD163+BD164-BE163-BE164</f>
        <v>#DIV/0!</v>
      </c>
      <c r="BF196" s="23" t="e">
        <f t="shared" ref="BF196" si="1662">BE148-BF148+BE163+BE164-BF163-BF164</f>
        <v>#DIV/0!</v>
      </c>
      <c r="BG196" s="23" t="e">
        <f t="shared" ref="BG196" si="1663">BF148-BG148+BF163+BF164-BG163-BG164</f>
        <v>#DIV/0!</v>
      </c>
      <c r="BH196" s="23" t="e">
        <f t="shared" ref="BH196" si="1664">BG148-BH148+BG163+BG164-BH163-BH164</f>
        <v>#DIV/0!</v>
      </c>
      <c r="BI196" s="23" t="e">
        <f t="shared" ref="BI196" si="1665">BH148-BI148+BH163+BH164-BI163-BI164</f>
        <v>#DIV/0!</v>
      </c>
      <c r="BJ196" s="23" t="e">
        <f t="shared" ref="BJ196" si="1666">BI148-BJ148+BI163+BI164-BJ163-BJ164</f>
        <v>#DIV/0!</v>
      </c>
      <c r="BK196" s="23" t="e">
        <f t="shared" ref="BK196" si="1667">BJ148-BK148+BJ163+BJ164-BK163-BK164</f>
        <v>#DIV/0!</v>
      </c>
      <c r="BL196" s="23" t="e">
        <f t="shared" ref="BL196" si="1668">BK148-BL148+BK163+BK164-BL163-BL164</f>
        <v>#DIV/0!</v>
      </c>
      <c r="BM196" s="23" t="e">
        <f t="shared" ref="BM196" si="1669">BL148-BM148+BL163+BL164-BM163-BM164</f>
        <v>#DIV/0!</v>
      </c>
      <c r="BN196" s="23" t="e">
        <f t="shared" ref="BN196" si="1670">BM148-BN148+BM163+BM164-BN163-BN164</f>
        <v>#DIV/0!</v>
      </c>
      <c r="BO196" s="23" t="e">
        <f t="shared" ref="BO196" si="1671">BN148-BO148+BN163+BN164-BO163-BO164</f>
        <v>#DIV/0!</v>
      </c>
      <c r="BP196" s="23" t="e">
        <f t="shared" ref="BP196" si="1672">BO148-BP148+BO163+BO164-BP163-BP164</f>
        <v>#DIV/0!</v>
      </c>
      <c r="BQ196" s="23" t="e">
        <f t="shared" ref="BQ196" si="1673">BP148-BQ148+BP163+BP164-BQ163-BQ164</f>
        <v>#DIV/0!</v>
      </c>
      <c r="BR196" s="23" t="e">
        <f t="shared" ref="BR196" si="1674">BQ148-BR148+BQ163+BQ164-BR163-BR164</f>
        <v>#DIV/0!</v>
      </c>
      <c r="BS196" s="23" t="e">
        <f t="shared" ref="BS196" si="1675">BR148-BS148+BR163+BR164-BS163-BS164</f>
        <v>#DIV/0!</v>
      </c>
      <c r="BT196" s="23" t="e">
        <f t="shared" ref="BT196" si="1676">BS148-BT148+BS163+BS164-BT163-BT164</f>
        <v>#DIV/0!</v>
      </c>
      <c r="BU196" s="23" t="e">
        <f t="shared" ref="BU196" si="1677">BT148-BU148+BT163+BT164-BU163-BU164</f>
        <v>#DIV/0!</v>
      </c>
      <c r="BV196" s="23" t="e">
        <f t="shared" ref="BV196" si="1678">BU148-BV148+BU163+BU164-BV163-BV164</f>
        <v>#DIV/0!</v>
      </c>
      <c r="BW196" s="23" t="e">
        <f t="shared" ref="BW196" si="1679">BV148-BW148+BV163+BV164-BW163-BW164</f>
        <v>#DIV/0!</v>
      </c>
      <c r="BX196" s="23" t="e">
        <f t="shared" ref="BX196" si="1680">BW148-BX148+BW163+BW164-BX163-BX164</f>
        <v>#DIV/0!</v>
      </c>
      <c r="BY196" s="23">
        <f t="shared" ref="BY196" si="1681">BX148-BY148+BX163+BX164-BY163-BY164</f>
        <v>0</v>
      </c>
      <c r="BZ196" s="23">
        <f t="shared" ref="BZ196" si="1682">BY148-BZ148+BY163+BY164-BZ163-BZ164</f>
        <v>-719.83500000000004</v>
      </c>
      <c r="CA196" s="23">
        <f t="shared" ref="CA196" si="1683">BZ148-CA148+BZ163+BZ164-CA163-CA164</f>
        <v>127.39993677959932</v>
      </c>
      <c r="CB196" s="23">
        <f t="shared" ref="CB196" si="1684">CA148-CB148+CA163+CA164-CB163-CB164</f>
        <v>-312.45893677959924</v>
      </c>
      <c r="CC196" s="23">
        <f t="shared" ref="CC196" si="1685">CB148-CC148+CB163+CB164-CC163-CC164</f>
        <v>-74.087745461523014</v>
      </c>
      <c r="CD196" s="23">
        <f t="shared" ref="CD196" si="1686">CC148-CD148+CC163+CC164-CD163-CD164</f>
        <v>122.17574546152291</v>
      </c>
      <c r="CE196" s="23">
        <f t="shared" ref="CE196" si="1687">CD148-CE148+CD163+CD164-CE163-CE164</f>
        <v>200.14178796881527</v>
      </c>
      <c r="CF196" s="23">
        <f t="shared" ref="CF196" si="1688">CE148-CF148+CE163+CE164-CF163-CF164</f>
        <v>-352.06378796881529</v>
      </c>
      <c r="CG196" s="23">
        <f t="shared" ref="CG196" si="1689">CF148-CG148+CF163+CF164-CG163-CG164</f>
        <v>-122.39694610861466</v>
      </c>
      <c r="CH196" s="23">
        <f t="shared" ref="CH196:CL196" si="1690">CG148-CH148+CG163+CG164-CH163-CH164</f>
        <v>107.43794610861471</v>
      </c>
      <c r="CI196" s="23">
        <f t="shared" si="1690"/>
        <v>358.2873983436707</v>
      </c>
      <c r="CJ196" s="23">
        <f t="shared" si="1690"/>
        <v>-373.25739834367079</v>
      </c>
      <c r="CK196" s="24">
        <f t="shared" ref="CK196" si="1691">CJ148-CK148+CJ163+CJ164-CK163-CK164</f>
        <v>25.606369586072329</v>
      </c>
      <c r="CL196" s="23">
        <f t="shared" si="1690"/>
        <v>-168.69136958607226</v>
      </c>
      <c r="CM196" s="24">
        <f t="shared" ref="CM196" si="1692">CL148-CM148+CL163+CL164-CM163-CM164</f>
        <v>421.3724739119516</v>
      </c>
      <c r="CN196" s="24">
        <f t="shared" ref="CN196" si="1693">CM148-CN148+CM163+CM164-CN163-CN164</f>
        <v>-38.549289725575022</v>
      </c>
      <c r="CO196" s="24">
        <f t="shared" ref="CO196" si="1694">CN148-CO148+CN163+CN164-CO163-CO164</f>
        <v>19.325901465814695</v>
      </c>
      <c r="CP196" s="24">
        <f t="shared" ref="CP196" si="1695">CO148-CP148+CO163+CO164-CP163-CP164</f>
        <v>-201.92742482920687</v>
      </c>
      <c r="CQ196" s="24">
        <f t="shared" ref="CQ196" si="1696">CP148-CQ148+CP163+CP164-CQ163-CQ164</f>
        <v>355.45147101938255</v>
      </c>
      <c r="CR196" s="24">
        <f t="shared" ref="CR196" si="1697">CQ148-CR148+CQ163+CQ164-CR163-CR164</f>
        <v>-24.950582479319564</v>
      </c>
      <c r="CS196" s="24">
        <f t="shared" ref="CS196" si="1698">CR148-CS148+CR163+CR164-CS163-CS164</f>
        <v>13.22668118806223</v>
      </c>
      <c r="CT196" s="24">
        <f t="shared" ref="CT196" si="1699">CS148-CT148+CS163+CS164-CT163-CT164</f>
        <v>-168.38400969212114</v>
      </c>
      <c r="CU196" s="24">
        <f t="shared" ref="CU196" si="1700">CT148-CU148+CT163+CT164-CU163-CU164</f>
        <v>292.5916303942173</v>
      </c>
      <c r="CV196" s="24">
        <f t="shared" ref="CV196" si="1701">CU148-CV148+CU163+CU164-CV163-CV164</f>
        <v>-19.770257387873926</v>
      </c>
      <c r="CW196" s="24">
        <f t="shared" ref="CW196" si="1702">CV148-CW148+CV163+CV164-CW163-CW164</f>
        <v>10.199123900931454</v>
      </c>
      <c r="CX196" s="24">
        <f t="shared" ref="CX196" si="1703">CW148-CX148+CW163+CW164-CX163-CX164</f>
        <v>-137.78645399093045</v>
      </c>
      <c r="CY196" s="24">
        <f t="shared" ref="CY196" si="1704">CX148-CY148+CX163+CX164-CY163-CY164</f>
        <v>239.27578939186139</v>
      </c>
      <c r="CZ196" s="24">
        <f t="shared" ref="CZ196" si="1705">CY148-CZ148+CY163+CY164-CZ163-CZ164</f>
        <v>-16.121386116467647</v>
      </c>
      <c r="DA196" s="24">
        <f t="shared" ref="DA196" si="1706">CZ148-DA148+CZ163+CZ164-DA163-DA164</f>
        <v>8.2285367203107285</v>
      </c>
      <c r="DB196" s="24">
        <f t="shared" ref="DB196" si="1707">DA148-DB148+DA163+DA164-DB163-DB164</f>
        <v>-112.51027851329872</v>
      </c>
      <c r="DE196" s="123"/>
      <c r="DF196" s="23">
        <v>-158.05500000000001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0</v>
      </c>
      <c r="K197" s="23">
        <f>J156-K156</f>
        <v>0</v>
      </c>
      <c r="L197" s="23">
        <f t="shared" si="1708"/>
        <v>-26.564910599999997</v>
      </c>
      <c r="M197" s="23">
        <f t="shared" si="1708"/>
        <v>-4.1106596000000053</v>
      </c>
      <c r="N197" s="23">
        <f t="shared" si="1708"/>
        <v>6.7617792000000065</v>
      </c>
      <c r="O197" s="23">
        <f t="shared" si="1708"/>
        <v>-145.02225489999998</v>
      </c>
      <c r="P197" s="23">
        <f t="shared" si="1708"/>
        <v>109.36812849999998</v>
      </c>
      <c r="Q197" s="23">
        <f t="shared" si="1708"/>
        <v>-34.407991900000013</v>
      </c>
      <c r="R197" s="23">
        <f t="shared" si="1708"/>
        <v>-18.671915099999993</v>
      </c>
      <c r="S197" s="23">
        <f t="shared" si="1708"/>
        <v>-48.309328499999978</v>
      </c>
      <c r="T197" s="23">
        <f t="shared" si="1708"/>
        <v>-109.89784710000004</v>
      </c>
      <c r="U197" s="23">
        <f t="shared" si="1708"/>
        <v>-35.562000000000012</v>
      </c>
      <c r="V197" s="23">
        <f t="shared" si="1708"/>
        <v>-67.196999999999946</v>
      </c>
      <c r="W197" s="23">
        <f t="shared" si="1708"/>
        <v>-32.995000000000005</v>
      </c>
      <c r="X197" s="23">
        <f t="shared" si="1708"/>
        <v>-185.76300000000009</v>
      </c>
      <c r="Y197" s="23">
        <f t="shared" si="1708"/>
        <v>31.637000000000171</v>
      </c>
      <c r="Z197" s="23">
        <f t="shared" si="1708"/>
        <v>60.012999999999863</v>
      </c>
      <c r="AA197" s="23">
        <f t="shared" si="1708"/>
        <v>-23.230999999999938</v>
      </c>
      <c r="AB197" s="24">
        <f t="shared" ref="AB197" si="1709">AA156-AB156</f>
        <v>89.759239819042818</v>
      </c>
      <c r="AC197" s="24">
        <f t="shared" ref="AC197" si="1710">AB156-AC156</f>
        <v>78.606403479546543</v>
      </c>
      <c r="AD197" s="24">
        <f t="shared" ref="AD197" si="1711">AC156-AD156</f>
        <v>65.108326613784925</v>
      </c>
      <c r="AE197" s="24">
        <f t="shared" ref="AE197" si="1712">AD156-AE156</f>
        <v>53.290536528714682</v>
      </c>
      <c r="AI197" s="23">
        <f t="shared" ref="AI197" si="1713">AH156-AI156</f>
        <v>0</v>
      </c>
      <c r="AJ197" s="23">
        <f t="shared" ref="AJ197" si="1714">AI156-AJ156</f>
        <v>0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 t="e">
        <f t="shared" ref="AU197" si="1725">AT156-AU156</f>
        <v>#DIV/0!</v>
      </c>
      <c r="AV197" s="23" t="e">
        <f t="shared" ref="AV197" si="1726">AU156-AV156</f>
        <v>#DIV/0!</v>
      </c>
      <c r="AW197" s="23" t="e">
        <f t="shared" ref="AW197" si="1727">AV156-AW156</f>
        <v>#DIV/0!</v>
      </c>
      <c r="AX197" s="23" t="e">
        <f t="shared" ref="AX197" si="1728">AW156-AX156</f>
        <v>#DIV/0!</v>
      </c>
      <c r="AY197" s="23" t="e">
        <f t="shared" ref="AY197" si="1729">AX156-AY156</f>
        <v>#DIV/0!</v>
      </c>
      <c r="AZ197" s="23" t="e">
        <f t="shared" ref="AZ197" si="1730">AY156-AZ156</f>
        <v>#DIV/0!</v>
      </c>
      <c r="BA197" s="23" t="e">
        <f t="shared" ref="BA197" si="1731">AZ156-BA156</f>
        <v>#DIV/0!</v>
      </c>
      <c r="BB197" s="23" t="e">
        <f t="shared" ref="BB197" si="1732">BA156-BB156</f>
        <v>#DIV/0!</v>
      </c>
      <c r="BC197" s="23" t="e">
        <f t="shared" ref="BC197" si="1733">BB156-BC156</f>
        <v>#DIV/0!</v>
      </c>
      <c r="BD197" s="23" t="e">
        <f t="shared" ref="BD197" si="1734">BC156-BD156</f>
        <v>#DIV/0!</v>
      </c>
      <c r="BE197" s="23" t="e">
        <f t="shared" ref="BE197" si="1735">BD156-BE156</f>
        <v>#DIV/0!</v>
      </c>
      <c r="BF197" s="23" t="e">
        <f t="shared" ref="BF197" si="1736">BE156-BF156</f>
        <v>#DIV/0!</v>
      </c>
      <c r="BG197" s="23" t="e">
        <f t="shared" ref="BG197" si="1737">BF156-BG156</f>
        <v>#DIV/0!</v>
      </c>
      <c r="BH197" s="23" t="e">
        <f t="shared" ref="BH197" si="1738">BG156-BH156</f>
        <v>#DIV/0!</v>
      </c>
      <c r="BI197" s="23" t="e">
        <f t="shared" ref="BI197" si="1739">BH156-BI156</f>
        <v>#DIV/0!</v>
      </c>
      <c r="BJ197" s="23" t="e">
        <f t="shared" ref="BJ197" si="1740">BI156-BJ156</f>
        <v>#DIV/0!</v>
      </c>
      <c r="BK197" s="23" t="e">
        <f t="shared" ref="BK197" si="1741">BJ156-BK156</f>
        <v>#DIV/0!</v>
      </c>
      <c r="BL197" s="23" t="e">
        <f t="shared" ref="BL197" si="1742">BK156-BL156</f>
        <v>#DIV/0!</v>
      </c>
      <c r="BM197" s="23" t="e">
        <f t="shared" ref="BM197" si="1743">BL156-BM156</f>
        <v>#DIV/0!</v>
      </c>
      <c r="BN197" s="23" t="e">
        <f t="shared" ref="BN197" si="1744">BM156-BN156</f>
        <v>#DIV/0!</v>
      </c>
      <c r="BO197" s="23" t="e">
        <f t="shared" ref="BO197" si="1745">BN156-BO156</f>
        <v>#DIV/0!</v>
      </c>
      <c r="BP197" s="23" t="e">
        <f t="shared" ref="BP197" si="1746">BO156-BP156</f>
        <v>#DIV/0!</v>
      </c>
      <c r="BQ197" s="23" t="e">
        <f t="shared" ref="BQ197" si="1747">BP156-BQ156</f>
        <v>#DIV/0!</v>
      </c>
      <c r="BR197" s="23" t="e">
        <f t="shared" ref="BR197" si="1748">BQ156-BR156</f>
        <v>#DIV/0!</v>
      </c>
      <c r="BS197" s="23" t="e">
        <f t="shared" ref="BS197" si="1749">BR156-BS156</f>
        <v>#DIV/0!</v>
      </c>
      <c r="BT197" s="23" t="e">
        <f t="shared" ref="BT197" si="1750">BS156-BT156</f>
        <v>#DIV/0!</v>
      </c>
      <c r="BU197" s="23" t="e">
        <f t="shared" ref="BU197" si="1751">BT156-BU156</f>
        <v>#DIV/0!</v>
      </c>
      <c r="BV197" s="23" t="e">
        <f t="shared" ref="BV197" si="1752">BU156-BV156</f>
        <v>#DIV/0!</v>
      </c>
      <c r="BW197" s="23" t="e">
        <f t="shared" ref="BW197" si="1753">BV156-BW156</f>
        <v>#DIV/0!</v>
      </c>
      <c r="BX197" s="23" t="e">
        <f t="shared" ref="BX197" si="1754">BW156-BX156</f>
        <v>#DIV/0!</v>
      </c>
      <c r="BY197" s="23">
        <f t="shared" ref="BY197" si="1755">BX156-BY156</f>
        <v>0</v>
      </c>
      <c r="BZ197" s="23">
        <f t="shared" ref="BZ197" si="1756">BY156-BZ156</f>
        <v>-592.37199999999996</v>
      </c>
      <c r="CA197" s="23">
        <f t="shared" ref="CA197" si="1757">BZ156-CA156</f>
        <v>61.929858452641497</v>
      </c>
      <c r="CB197" s="23">
        <f t="shared" ref="CB197" si="1758">CA156-CB156</f>
        <v>-31.708858452641493</v>
      </c>
      <c r="CC197" s="23">
        <f t="shared" ref="CC197" si="1759">CB156-CC156</f>
        <v>-27.565466649305336</v>
      </c>
      <c r="CD197" s="23">
        <f t="shared" ref="CD197" si="1760">CC156-CD156</f>
        <v>28.981466649305275</v>
      </c>
      <c r="CE197" s="23">
        <f t="shared" ref="CE197" si="1761">CD156-CE156</f>
        <v>89.574070779315946</v>
      </c>
      <c r="CF197" s="23">
        <f t="shared" ref="CF197" si="1762">CE156-CF156</f>
        <v>5.2649292206841665</v>
      </c>
      <c r="CG197" s="23">
        <f t="shared" ref="CG197" si="1763">CF156-CG156</f>
        <v>-38.85114478366927</v>
      </c>
      <c r="CH197" s="23">
        <f t="shared" ref="CH197:CL197" si="1764">CG156-CH156</f>
        <v>4.0251447836691341</v>
      </c>
      <c r="CI197" s="23">
        <f t="shared" si="1764"/>
        <v>177.54279939260141</v>
      </c>
      <c r="CJ197" s="23">
        <f t="shared" si="1764"/>
        <v>-211.76979939260144</v>
      </c>
      <c r="CK197" s="24">
        <f t="shared" ref="CK197" si="1765">CJ156-CK156</f>
        <v>13.373983317988404</v>
      </c>
      <c r="CL197" s="23">
        <f t="shared" si="1764"/>
        <v>-2.3779833179884236</v>
      </c>
      <c r="CM197" s="24">
        <f t="shared" ref="CM197" si="1766">CL156-CM156</f>
        <v>188.90100493395016</v>
      </c>
      <c r="CN197" s="24">
        <f t="shared" ref="CN197" si="1767">CM156-CN156</f>
        <v>-17.281621414532026</v>
      </c>
      <c r="CO197" s="24">
        <f t="shared" ref="CO197" si="1768">CN156-CO156</f>
        <v>8.663789008936817</v>
      </c>
      <c r="CP197" s="24">
        <f t="shared" ref="CP197" si="1769">CO156-CP156</f>
        <v>-90.523932709312021</v>
      </c>
      <c r="CQ197" s="24">
        <f t="shared" ref="CQ197" si="1770">CP156-CQ156</f>
        <v>159.34866237808069</v>
      </c>
      <c r="CR197" s="24">
        <f t="shared" ref="CR197" si="1771">CQ156-CR156</f>
        <v>-11.185329834847494</v>
      </c>
      <c r="CS197" s="24">
        <f t="shared" ref="CS197" si="1772">CR156-CS156</f>
        <v>5.9295125406981697</v>
      </c>
      <c r="CT197" s="24">
        <f t="shared" ref="CT197" si="1773">CS156-CT156</f>
        <v>-75.486441604384822</v>
      </c>
      <c r="CU197" s="24">
        <f t="shared" ref="CU197" si="1774">CT156-CU156</f>
        <v>131.16863686800707</v>
      </c>
      <c r="CV197" s="24">
        <f t="shared" ref="CV197" si="1775">CU156-CV156</f>
        <v>-8.8629934786689546</v>
      </c>
      <c r="CW197" s="24">
        <f t="shared" ref="CW197" si="1776">CV156-CW156</f>
        <v>4.5722605856176983</v>
      </c>
      <c r="CX197" s="24">
        <f t="shared" ref="CX197" si="1777">CW156-CX156</f>
        <v>-61.769577361170889</v>
      </c>
      <c r="CY197" s="24">
        <f t="shared" ref="CY197" si="1778">CX156-CY156</f>
        <v>107.26718015740994</v>
      </c>
      <c r="CZ197" s="24">
        <f t="shared" ref="CZ197" si="1779">CY156-CZ156</f>
        <v>-7.2272068701034584</v>
      </c>
      <c r="DA197" s="24">
        <f t="shared" ref="DA197" si="1780">CZ156-DA156</f>
        <v>3.6888476391730194</v>
      </c>
      <c r="DB197" s="24">
        <f t="shared" ref="DB197" si="1781">DA156-DB156</f>
        <v>-50.438284397764818</v>
      </c>
      <c r="DE197" s="123"/>
      <c r="DF197" s="23">
        <v>-23.231000000000051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0</v>
      </c>
      <c r="K198" s="22">
        <f t="shared" si="1782"/>
        <v>0</v>
      </c>
      <c r="L198" s="22">
        <f t="shared" si="1782"/>
        <v>-35.582766900000003</v>
      </c>
      <c r="M198" s="22">
        <f t="shared" si="1782"/>
        <v>-3.9973181999999845</v>
      </c>
      <c r="N198" s="22">
        <f t="shared" si="1782"/>
        <v>-8.7792648000000071</v>
      </c>
      <c r="O198" s="22">
        <f t="shared" si="1782"/>
        <v>31.099913699999973</v>
      </c>
      <c r="P198" s="22">
        <f t="shared" si="1782"/>
        <v>-31.735887699999978</v>
      </c>
      <c r="Q198" s="22">
        <f t="shared" si="1782"/>
        <v>-40.376305899999977</v>
      </c>
      <c r="R198" s="22">
        <f t="shared" si="1782"/>
        <v>-6.1630153000000263</v>
      </c>
      <c r="S198" s="22">
        <f t="shared" si="1782"/>
        <v>-29.6829733</v>
      </c>
      <c r="T198" s="22">
        <f t="shared" si="1782"/>
        <v>38.883618400000017</v>
      </c>
      <c r="U198" s="22">
        <f t="shared" si="1782"/>
        <v>49.317000000000078</v>
      </c>
      <c r="V198" s="22">
        <f t="shared" si="1782"/>
        <v>-11.962000000000117</v>
      </c>
      <c r="W198" s="22">
        <f t="shared" si="1782"/>
        <v>-23.594000000000044</v>
      </c>
      <c r="X198" s="22">
        <f t="shared" ref="X198:Y198" si="1783">X196-X197</f>
        <v>-20.361999999999966</v>
      </c>
      <c r="Y198" s="22">
        <f t="shared" si="1783"/>
        <v>-153.72200000000001</v>
      </c>
      <c r="Z198" s="22">
        <f t="shared" ref="Z198:AA198" si="1784">Z196-Z197</f>
        <v>-276.30799999999999</v>
      </c>
      <c r="AA198" s="22">
        <f t="shared" ref="AA198" si="1785">AA196-AA197</f>
        <v>-82.307000000000031</v>
      </c>
      <c r="AB198" s="21">
        <f t="shared" ref="AB198:AD198" si="1786">AB196-AB197</f>
        <v>57.945421003941533</v>
      </c>
      <c r="AC198" s="21">
        <f t="shared" si="1786"/>
        <v>96.737156556457535</v>
      </c>
      <c r="AD198" s="21">
        <f t="shared" si="1786"/>
        <v>80.125716302559454</v>
      </c>
      <c r="AE198" s="21">
        <f t="shared" ref="AE198" si="1787">AE196-AE197</f>
        <v>65.582124953691093</v>
      </c>
      <c r="AI198" s="22">
        <f t="shared" ref="AI198" si="1788">AI196-AI197</f>
        <v>0</v>
      </c>
      <c r="AJ198" s="22">
        <f t="shared" ref="AJ198:AL198" si="1789">AJ196-AJ197</f>
        <v>0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 t="e">
        <f t="shared" si="1791"/>
        <v>#DIV/0!</v>
      </c>
      <c r="AV198" s="22" t="e">
        <f t="shared" si="1791"/>
        <v>#DIV/0!</v>
      </c>
      <c r="AW198" s="22" t="e">
        <f t="shared" si="1791"/>
        <v>#DIV/0!</v>
      </c>
      <c r="AX198" s="22" t="e">
        <f t="shared" si="1791"/>
        <v>#DIV/0!</v>
      </c>
      <c r="AY198" s="22" t="e">
        <f t="shared" si="1791"/>
        <v>#DIV/0!</v>
      </c>
      <c r="AZ198" s="22" t="e">
        <f t="shared" si="1791"/>
        <v>#DIV/0!</v>
      </c>
      <c r="BA198" s="22" t="e">
        <f t="shared" si="1791"/>
        <v>#DIV/0!</v>
      </c>
      <c r="BB198" s="22" t="e">
        <f t="shared" si="1791"/>
        <v>#DIV/0!</v>
      </c>
      <c r="BC198" s="22" t="e">
        <f t="shared" si="1791"/>
        <v>#DIV/0!</v>
      </c>
      <c r="BD198" s="22" t="e">
        <f t="shared" si="1791"/>
        <v>#DIV/0!</v>
      </c>
      <c r="BE198" s="22" t="e">
        <f t="shared" si="1791"/>
        <v>#DIV/0!</v>
      </c>
      <c r="BF198" s="22" t="e">
        <f t="shared" si="1791"/>
        <v>#DIV/0!</v>
      </c>
      <c r="BG198" s="22" t="e">
        <f t="shared" si="1791"/>
        <v>#DIV/0!</v>
      </c>
      <c r="BH198" s="22" t="e">
        <f t="shared" si="1791"/>
        <v>#DIV/0!</v>
      </c>
      <c r="BI198" s="22" t="e">
        <f t="shared" si="1791"/>
        <v>#DIV/0!</v>
      </c>
      <c r="BJ198" s="22" t="e">
        <f t="shared" si="1791"/>
        <v>#DIV/0!</v>
      </c>
      <c r="BK198" s="22" t="e">
        <f t="shared" si="1791"/>
        <v>#DIV/0!</v>
      </c>
      <c r="BL198" s="22" t="e">
        <f t="shared" si="1791"/>
        <v>#DIV/0!</v>
      </c>
      <c r="BM198" s="22" t="e">
        <f t="shared" si="1791"/>
        <v>#DIV/0!</v>
      </c>
      <c r="BN198" s="22" t="e">
        <f t="shared" si="1791"/>
        <v>#DIV/0!</v>
      </c>
      <c r="BO198" s="22" t="e">
        <f t="shared" si="1791"/>
        <v>#DIV/0!</v>
      </c>
      <c r="BP198" s="22" t="e">
        <f t="shared" si="1791"/>
        <v>#DIV/0!</v>
      </c>
      <c r="BQ198" s="22" t="e">
        <f t="shared" si="1791"/>
        <v>#DIV/0!</v>
      </c>
      <c r="BR198" s="22" t="e">
        <f t="shared" si="1791"/>
        <v>#DIV/0!</v>
      </c>
      <c r="BS198" s="22" t="e">
        <f t="shared" si="1791"/>
        <v>#DIV/0!</v>
      </c>
      <c r="BT198" s="22" t="e">
        <f t="shared" si="1791"/>
        <v>#DIV/0!</v>
      </c>
      <c r="BU198" s="22" t="e">
        <f t="shared" si="1791"/>
        <v>#DIV/0!</v>
      </c>
      <c r="BV198" s="22" t="e">
        <f t="shared" si="1791"/>
        <v>#DIV/0!</v>
      </c>
      <c r="BW198" s="22" t="e">
        <f t="shared" si="1791"/>
        <v>#DIV/0!</v>
      </c>
      <c r="BX198" s="22" t="e">
        <f t="shared" si="1791"/>
        <v>#DIV/0!</v>
      </c>
      <c r="BY198" s="22">
        <f t="shared" si="1791"/>
        <v>0</v>
      </c>
      <c r="BZ198" s="22">
        <f t="shared" si="1791"/>
        <v>-127.46300000000008</v>
      </c>
      <c r="CA198" s="22">
        <f t="shared" si="1791"/>
        <v>65.470078326957818</v>
      </c>
      <c r="CB198" s="22">
        <f t="shared" si="1791"/>
        <v>-280.75007832695775</v>
      </c>
      <c r="CC198" s="22">
        <f t="shared" si="1791"/>
        <v>-46.522278812217678</v>
      </c>
      <c r="CD198" s="22">
        <f t="shared" si="1791"/>
        <v>93.194278812217632</v>
      </c>
      <c r="CE198" s="22">
        <f t="shared" ref="CE198:CF198" si="1792">CE196-CE197</f>
        <v>110.56771718949932</v>
      </c>
      <c r="CF198" s="22">
        <f t="shared" si="1792"/>
        <v>-357.32871718949946</v>
      </c>
      <c r="CG198" s="22">
        <f t="shared" ref="CG198:CH198" si="1793">CG196-CG197</f>
        <v>-83.545801324945387</v>
      </c>
      <c r="CH198" s="22">
        <f t="shared" si="1793"/>
        <v>103.41280132494558</v>
      </c>
      <c r="CI198" s="22">
        <f t="shared" ref="CI198:CJ198" si="1794">CI196-CI197</f>
        <v>180.74459895106929</v>
      </c>
      <c r="CJ198" s="22">
        <f t="shared" si="1794"/>
        <v>-161.48759895106934</v>
      </c>
      <c r="CK198" s="21">
        <f t="shared" ref="CK198:DB198" si="1795">CK196-CK197</f>
        <v>12.232386268083925</v>
      </c>
      <c r="CL198" s="22">
        <f t="shared" si="1795"/>
        <v>-166.31338626808383</v>
      </c>
      <c r="CM198" s="21">
        <f t="shared" si="1795"/>
        <v>232.47146897800144</v>
      </c>
      <c r="CN198" s="21">
        <f t="shared" si="1795"/>
        <v>-21.267668311042996</v>
      </c>
      <c r="CO198" s="21">
        <f t="shared" si="1795"/>
        <v>10.662112456877878</v>
      </c>
      <c r="CP198" s="21">
        <f t="shared" si="1795"/>
        <v>-111.40349211989485</v>
      </c>
      <c r="CQ198" s="21">
        <f t="shared" si="1795"/>
        <v>196.10280864130186</v>
      </c>
      <c r="CR198" s="21">
        <f t="shared" si="1795"/>
        <v>-13.765252644472071</v>
      </c>
      <c r="CS198" s="21">
        <f t="shared" si="1795"/>
        <v>7.2971686473640602</v>
      </c>
      <c r="CT198" s="21">
        <f t="shared" si="1795"/>
        <v>-92.897568087736317</v>
      </c>
      <c r="CU198" s="21">
        <f t="shared" si="1795"/>
        <v>161.42299352621023</v>
      </c>
      <c r="CV198" s="21">
        <f t="shared" si="1795"/>
        <v>-10.907263909204971</v>
      </c>
      <c r="CW198" s="21">
        <f t="shared" si="1795"/>
        <v>5.6268633153137557</v>
      </c>
      <c r="CX198" s="21">
        <f t="shared" si="1795"/>
        <v>-76.016876629759565</v>
      </c>
      <c r="CY198" s="21">
        <f t="shared" si="1795"/>
        <v>132.00860923445146</v>
      </c>
      <c r="CZ198" s="21">
        <f t="shared" si="1795"/>
        <v>-8.8941792463641889</v>
      </c>
      <c r="DA198" s="21">
        <f t="shared" si="1795"/>
        <v>4.5396890811377091</v>
      </c>
      <c r="DB198" s="21">
        <f t="shared" si="1795"/>
        <v>-62.071994115533897</v>
      </c>
      <c r="DE198" s="126"/>
      <c r="DF198" s="22">
        <v>-134.82399999999996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0</v>
      </c>
      <c r="K199" s="22">
        <f t="shared" si="1796"/>
        <v>0</v>
      </c>
      <c r="L199" s="22">
        <f t="shared" si="1796"/>
        <v>-28.597383300000004</v>
      </c>
      <c r="M199" s="22">
        <f t="shared" si="1796"/>
        <v>4.5149908000000156</v>
      </c>
      <c r="N199" s="22">
        <f t="shared" si="1796"/>
        <v>1.2469354999999922</v>
      </c>
      <c r="O199" s="22">
        <f t="shared" si="1796"/>
        <v>55.229737199999974</v>
      </c>
      <c r="P199" s="22">
        <f t="shared" si="1796"/>
        <v>-11.172198999999949</v>
      </c>
      <c r="Q199" s="22">
        <f t="shared" si="1796"/>
        <v>-41.642967799999994</v>
      </c>
      <c r="R199" s="22">
        <f t="shared" si="1796"/>
        <v>1.7228643999999775</v>
      </c>
      <c r="S199" s="22">
        <f t="shared" si="1796"/>
        <v>-25.262921300000016</v>
      </c>
      <c r="T199" s="22">
        <f t="shared" si="1796"/>
        <v>46.265618400000022</v>
      </c>
      <c r="U199" s="22">
        <f t="shared" si="1796"/>
        <v>53.192000000000107</v>
      </c>
      <c r="V199" s="22">
        <f t="shared" si="1796"/>
        <v>18.313999999999915</v>
      </c>
      <c r="W199" s="22">
        <f t="shared" si="1796"/>
        <v>35.151999999999965</v>
      </c>
      <c r="X199" s="22">
        <f t="shared" ref="X199:Y199" si="1797">X195+X198</f>
        <v>30.780000000000008</v>
      </c>
      <c r="Y199" s="22">
        <f t="shared" si="1797"/>
        <v>-70.213999999999942</v>
      </c>
      <c r="Z199" s="22">
        <f t="shared" ref="Z199:AA199" si="1798">Z195+Z198</f>
        <v>-174.16999999999993</v>
      </c>
      <c r="AA199" s="22">
        <f t="shared" ref="AA199" si="1799">AA195+AA198</f>
        <v>33.726999999999876</v>
      </c>
      <c r="AB199" s="21">
        <f t="shared" ref="AB199:AD199" si="1800">AB195+AB198</f>
        <v>145.36629589637965</v>
      </c>
      <c r="AC199" s="21">
        <f t="shared" si="1800"/>
        <v>166.68569983118451</v>
      </c>
      <c r="AD199" s="21">
        <f t="shared" si="1800"/>
        <v>135.53181864837671</v>
      </c>
      <c r="AE199" s="21">
        <f t="shared" ref="AE199" si="1801">AE195+AE198</f>
        <v>109.08750196433745</v>
      </c>
      <c r="AI199" s="22">
        <f t="shared" ref="AI199" si="1802">AI195+AI198</f>
        <v>0</v>
      </c>
      <c r="AJ199" s="22">
        <f t="shared" ref="AJ199:AL199" si="1803">AJ195+AJ198</f>
        <v>0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 t="e">
        <f t="shared" si="1805"/>
        <v>#DIV/0!</v>
      </c>
      <c r="AV199" s="22" t="e">
        <f t="shared" si="1805"/>
        <v>#DIV/0!</v>
      </c>
      <c r="AW199" s="22" t="e">
        <f t="shared" si="1805"/>
        <v>#DIV/0!</v>
      </c>
      <c r="AX199" s="22" t="e">
        <f t="shared" si="1805"/>
        <v>#DIV/0!</v>
      </c>
      <c r="AY199" s="22" t="e">
        <f t="shared" si="1805"/>
        <v>#DIV/0!</v>
      </c>
      <c r="AZ199" s="22" t="e">
        <f t="shared" si="1805"/>
        <v>#DIV/0!</v>
      </c>
      <c r="BA199" s="22" t="e">
        <f t="shared" si="1805"/>
        <v>#DIV/0!</v>
      </c>
      <c r="BB199" s="22" t="e">
        <f t="shared" si="1805"/>
        <v>#DIV/0!</v>
      </c>
      <c r="BC199" s="22" t="e">
        <f t="shared" si="1805"/>
        <v>#DIV/0!</v>
      </c>
      <c r="BD199" s="22" t="e">
        <f t="shared" si="1805"/>
        <v>#DIV/0!</v>
      </c>
      <c r="BE199" s="22" t="e">
        <f t="shared" si="1805"/>
        <v>#DIV/0!</v>
      </c>
      <c r="BF199" s="22" t="e">
        <f t="shared" si="1805"/>
        <v>#DIV/0!</v>
      </c>
      <c r="BG199" s="22" t="e">
        <f t="shared" si="1805"/>
        <v>#DIV/0!</v>
      </c>
      <c r="BH199" s="22" t="e">
        <f t="shared" si="1805"/>
        <v>#DIV/0!</v>
      </c>
      <c r="BI199" s="22" t="e">
        <f t="shared" si="1805"/>
        <v>#DIV/0!</v>
      </c>
      <c r="BJ199" s="22" t="e">
        <f t="shared" si="1805"/>
        <v>#DIV/0!</v>
      </c>
      <c r="BK199" s="22" t="e">
        <f t="shared" si="1805"/>
        <v>#DIV/0!</v>
      </c>
      <c r="BL199" s="22" t="e">
        <f t="shared" si="1805"/>
        <v>#DIV/0!</v>
      </c>
      <c r="BM199" s="22" t="e">
        <f t="shared" si="1805"/>
        <v>#DIV/0!</v>
      </c>
      <c r="BN199" s="22" t="e">
        <f t="shared" si="1805"/>
        <v>#DIV/0!</v>
      </c>
      <c r="BO199" s="22" t="e">
        <f t="shared" si="1805"/>
        <v>#DIV/0!</v>
      </c>
      <c r="BP199" s="22" t="e">
        <f t="shared" si="1805"/>
        <v>#DIV/0!</v>
      </c>
      <c r="BQ199" s="22" t="e">
        <f t="shared" si="1805"/>
        <v>#DIV/0!</v>
      </c>
      <c r="BR199" s="22" t="e">
        <f t="shared" si="1805"/>
        <v>#DIV/0!</v>
      </c>
      <c r="BS199" s="22" t="e">
        <f t="shared" si="1805"/>
        <v>#DIV/0!</v>
      </c>
      <c r="BT199" s="22" t="e">
        <f t="shared" si="1805"/>
        <v>#DIV/0!</v>
      </c>
      <c r="BU199" s="22" t="e">
        <f t="shared" si="1805"/>
        <v>#DIV/0!</v>
      </c>
      <c r="BV199" s="22" t="e">
        <f t="shared" si="1805"/>
        <v>#DIV/0!</v>
      </c>
      <c r="BW199" s="22" t="e">
        <f t="shared" si="1805"/>
        <v>#DIV/0!</v>
      </c>
      <c r="BX199" s="22" t="e">
        <f t="shared" si="1805"/>
        <v>#DIV/0!</v>
      </c>
      <c r="BY199" s="22">
        <f t="shared" si="1805"/>
        <v>10.413999999999973</v>
      </c>
      <c r="BZ199" s="22">
        <f t="shared" si="1805"/>
        <v>-110.05000000000008</v>
      </c>
      <c r="CA199" s="22">
        <f t="shared" si="1805"/>
        <v>75.657078326957816</v>
      </c>
      <c r="CB199" s="22">
        <f t="shared" si="1805"/>
        <v>-260.62207832695771</v>
      </c>
      <c r="CC199" s="22">
        <f t="shared" si="1805"/>
        <v>-22.318278812217695</v>
      </c>
      <c r="CD199" s="22">
        <f t="shared" si="1805"/>
        <v>122.18327881221767</v>
      </c>
      <c r="CE199" s="22">
        <f t="shared" ref="CE199:CF199" si="1806">CE195+CE198</f>
        <v>127.85671718949932</v>
      </c>
      <c r="CF199" s="22">
        <f t="shared" si="1806"/>
        <v>-335.00471718949944</v>
      </c>
      <c r="CG199" s="22">
        <f t="shared" ref="CG199:CH199" si="1807">CG195+CG198</f>
        <v>-62.532801324945424</v>
      </c>
      <c r="CH199" s="22">
        <f t="shared" si="1807"/>
        <v>144.92480132494558</v>
      </c>
      <c r="CI199" s="22">
        <f t="shared" ref="CI199:CJ199" si="1808">CI195+CI198</f>
        <v>198.72459895106931</v>
      </c>
      <c r="CJ199" s="22">
        <f t="shared" si="1808"/>
        <v>-118.77659895106935</v>
      </c>
      <c r="CK199" s="21">
        <f t="shared" ref="CK199:DB199" si="1809">CK195+CK198</f>
        <v>34.238386268083921</v>
      </c>
      <c r="CL199" s="22">
        <f t="shared" si="1809"/>
        <v>-132.97638626808384</v>
      </c>
      <c r="CM199" s="21">
        <f t="shared" si="1809"/>
        <v>252.66628161108892</v>
      </c>
      <c r="CN199" s="21">
        <f t="shared" si="1809"/>
        <v>-2.4903803371962852E-2</v>
      </c>
      <c r="CO199" s="21">
        <f t="shared" si="1809"/>
        <v>30.984654617612723</v>
      </c>
      <c r="CP199" s="21">
        <f t="shared" si="1809"/>
        <v>-85.742736528950246</v>
      </c>
      <c r="CQ199" s="21">
        <f t="shared" si="1809"/>
        <v>212.68107174407302</v>
      </c>
      <c r="CR199" s="21">
        <f t="shared" si="1809"/>
        <v>2.9842833215776707</v>
      </c>
      <c r="CS199" s="21">
        <f t="shared" si="1809"/>
        <v>23.599327810201466</v>
      </c>
      <c r="CT199" s="21">
        <f t="shared" si="1809"/>
        <v>-72.578983044667694</v>
      </c>
      <c r="CU199" s="21">
        <f t="shared" si="1809"/>
        <v>174.59448360346181</v>
      </c>
      <c r="CV199" s="21">
        <f t="shared" si="1809"/>
        <v>2.3138047316171111</v>
      </c>
      <c r="CW199" s="21">
        <f t="shared" si="1809"/>
        <v>18.509096836150462</v>
      </c>
      <c r="CX199" s="21">
        <f t="shared" si="1809"/>
        <v>-59.885566522852798</v>
      </c>
      <c r="CY199" s="21">
        <f t="shared" si="1809"/>
        <v>142.33746090234644</v>
      </c>
      <c r="CZ199" s="21">
        <f t="shared" si="1809"/>
        <v>1.4630234677085205</v>
      </c>
      <c r="DA199" s="21">
        <f t="shared" si="1809"/>
        <v>14.623581546345452</v>
      </c>
      <c r="DB199" s="21">
        <f t="shared" si="1809"/>
        <v>-49.336563952062939</v>
      </c>
      <c r="DE199" s="126"/>
      <c r="DF199" s="22">
        <v>-18.789999999999807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0</v>
      </c>
      <c r="K201" s="22">
        <f t="shared" si="1810"/>
        <v>0</v>
      </c>
      <c r="L201" s="22">
        <f t="shared" si="1810"/>
        <v>-23.223610000000001</v>
      </c>
      <c r="M201" s="22">
        <f t="shared" si="1810"/>
        <v>-4.5467994000000047</v>
      </c>
      <c r="N201" s="22">
        <f t="shared" si="1810"/>
        <v>-5.4534109999999956</v>
      </c>
      <c r="O201" s="22">
        <f t="shared" si="1810"/>
        <v>-10.011618100000003</v>
      </c>
      <c r="P201" s="22">
        <f t="shared" si="1810"/>
        <v>-14.176028599999992</v>
      </c>
      <c r="Q201" s="22">
        <f t="shared" si="1810"/>
        <v>-9.2014854000000099</v>
      </c>
      <c r="R201" s="22">
        <f t="shared" si="1810"/>
        <v>-8.1015115999999878</v>
      </c>
      <c r="S201" s="22">
        <f t="shared" si="1810"/>
        <v>-14.415368900000004</v>
      </c>
      <c r="T201" s="22">
        <f t="shared" si="1810"/>
        <v>-9.3595790999999906</v>
      </c>
      <c r="U201" s="22">
        <f t="shared" si="1810"/>
        <v>-145.19099999999997</v>
      </c>
      <c r="V201" s="22">
        <f t="shared" si="1810"/>
        <v>-22.808999999999997</v>
      </c>
      <c r="W201" s="22">
        <f t="shared" si="1810"/>
        <v>-6.9480000000000359</v>
      </c>
      <c r="X201" s="22">
        <f t="shared" ref="X201:Y201" si="1811">X202+X203</f>
        <v>-95.300999999999974</v>
      </c>
      <c r="Y201" s="22">
        <f t="shared" si="1811"/>
        <v>-29.799000000000007</v>
      </c>
      <c r="Z201" s="22">
        <f t="shared" ref="Z201:AA201" si="1812">Z202+Z203</f>
        <v>-157.20900000000009</v>
      </c>
      <c r="AA201" s="22">
        <f t="shared" ref="AA201" si="1813">AA202+AA203</f>
        <v>-27.468999999999831</v>
      </c>
      <c r="AB201" s="21">
        <f t="shared" ref="AB201:AD201" si="1814">AB202+AB203</f>
        <v>52.516999999999939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0</v>
      </c>
      <c r="AJ201" s="22">
        <f t="shared" ref="AJ201:AL201" si="1817">AJ202+AJ203</f>
        <v>0</v>
      </c>
      <c r="AK201" s="22">
        <f t="shared" si="1817"/>
        <v>0</v>
      </c>
      <c r="AL201" s="22">
        <f t="shared" si="1817"/>
        <v>0</v>
      </c>
      <c r="AM201" s="22">
        <f t="shared" ref="AM201" si="1818">AM202+AM203</f>
        <v>0</v>
      </c>
      <c r="AN201" s="22">
        <f t="shared" ref="AN201:CD201" si="1819">AN202+AN203</f>
        <v>0</v>
      </c>
      <c r="AO201" s="22">
        <f t="shared" si="1819"/>
        <v>0</v>
      </c>
      <c r="AP201" s="22">
        <f t="shared" si="1819"/>
        <v>0</v>
      </c>
      <c r="AQ201" s="22">
        <f t="shared" si="1819"/>
        <v>0</v>
      </c>
      <c r="AR201" s="22">
        <f t="shared" si="1819"/>
        <v>0</v>
      </c>
      <c r="AS201" s="22">
        <f t="shared" si="1819"/>
        <v>0</v>
      </c>
      <c r="AT201" s="22">
        <f t="shared" si="1819"/>
        <v>0</v>
      </c>
      <c r="AU201" s="22">
        <f t="shared" si="1819"/>
        <v>0</v>
      </c>
      <c r="AV201" s="22">
        <f t="shared" si="1819"/>
        <v>0</v>
      </c>
      <c r="AW201" s="22">
        <f t="shared" si="1819"/>
        <v>0</v>
      </c>
      <c r="AX201" s="22">
        <f t="shared" si="1819"/>
        <v>0</v>
      </c>
      <c r="AY201" s="22">
        <f t="shared" si="1819"/>
        <v>0</v>
      </c>
      <c r="AZ201" s="22">
        <f t="shared" si="1819"/>
        <v>0</v>
      </c>
      <c r="BA201" s="22">
        <f t="shared" si="1819"/>
        <v>0</v>
      </c>
      <c r="BB201" s="22">
        <f t="shared" si="1819"/>
        <v>0</v>
      </c>
      <c r="BC201" s="22">
        <f t="shared" si="1819"/>
        <v>0</v>
      </c>
      <c r="BD201" s="22">
        <f t="shared" si="1819"/>
        <v>0</v>
      </c>
      <c r="BE201" s="22">
        <f t="shared" si="1819"/>
        <v>0</v>
      </c>
      <c r="BF201" s="22">
        <f t="shared" si="1819"/>
        <v>0</v>
      </c>
      <c r="BG201" s="22">
        <f t="shared" si="1819"/>
        <v>0</v>
      </c>
      <c r="BH201" s="22">
        <f t="shared" si="1819"/>
        <v>0</v>
      </c>
      <c r="BI201" s="22">
        <f t="shared" si="1819"/>
        <v>0</v>
      </c>
      <c r="BJ201" s="22">
        <f t="shared" si="1819"/>
        <v>0</v>
      </c>
      <c r="BK201" s="22">
        <f t="shared" si="1819"/>
        <v>0</v>
      </c>
      <c r="BL201" s="22">
        <f t="shared" si="1819"/>
        <v>0</v>
      </c>
      <c r="BM201" s="22">
        <f t="shared" si="1819"/>
        <v>0</v>
      </c>
      <c r="BN201" s="22">
        <f t="shared" si="1819"/>
        <v>0</v>
      </c>
      <c r="BO201" s="22">
        <f t="shared" si="1819"/>
        <v>0</v>
      </c>
      <c r="BP201" s="22">
        <f t="shared" si="1819"/>
        <v>0</v>
      </c>
      <c r="BQ201" s="22">
        <f t="shared" si="1819"/>
        <v>0</v>
      </c>
      <c r="BR201" s="22">
        <f t="shared" si="1819"/>
        <v>0</v>
      </c>
      <c r="BS201" s="22">
        <f t="shared" si="1819"/>
        <v>0</v>
      </c>
      <c r="BT201" s="22">
        <f t="shared" si="1819"/>
        <v>0</v>
      </c>
      <c r="BU201" s="22">
        <f t="shared" si="1819"/>
        <v>0</v>
      </c>
      <c r="BV201" s="22">
        <f t="shared" si="1819"/>
        <v>0</v>
      </c>
      <c r="BW201" s="22">
        <f t="shared" si="1819"/>
        <v>-4.9370000000000003</v>
      </c>
      <c r="BX201" s="22">
        <f t="shared" si="1819"/>
        <v>-4.9560000000000004</v>
      </c>
      <c r="BY201" s="22">
        <f t="shared" si="1819"/>
        <v>-4.6959999999999997</v>
      </c>
      <c r="BZ201" s="22">
        <f t="shared" si="1819"/>
        <v>-222.108</v>
      </c>
      <c r="CA201" s="22">
        <f t="shared" si="1819"/>
        <v>-4.828000000000003</v>
      </c>
      <c r="CB201" s="22">
        <f t="shared" si="1819"/>
        <v>-15.861999999999981</v>
      </c>
      <c r="CC201" s="22">
        <f t="shared" si="1819"/>
        <v>-5.76400000000001</v>
      </c>
      <c r="CD201" s="22">
        <f t="shared" si="1819"/>
        <v>11.540999999999997</v>
      </c>
      <c r="CE201" s="22">
        <f t="shared" ref="CE201:CF201" si="1820">CE202+CE203</f>
        <v>-6.6930000000000121</v>
      </c>
      <c r="CF201" s="22">
        <f t="shared" si="1820"/>
        <v>-21.006</v>
      </c>
      <c r="CG201" s="22">
        <f t="shared" ref="CG201:CH201" si="1821">CG202+CG203</f>
        <v>-10.021999999999991</v>
      </c>
      <c r="CH201" s="22">
        <f t="shared" si="1821"/>
        <v>-168.90200000000013</v>
      </c>
      <c r="CI201" s="22">
        <f t="shared" ref="CI201:CJ201" si="1822">CI202+CI203</f>
        <v>0</v>
      </c>
      <c r="CJ201" s="22">
        <f t="shared" si="1822"/>
        <v>28.536000000000108</v>
      </c>
      <c r="CK201" s="21">
        <f t="shared" ref="CK201:DB201" si="1823">CK202+CK203</f>
        <v>0</v>
      </c>
      <c r="CL201" s="22">
        <f t="shared" si="1823"/>
        <v>-3.4879999999999995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25.048000000000108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-2.7425000000000002</v>
      </c>
      <c r="P202" s="23">
        <f t="shared" si="1824"/>
        <v>2.7425000000000002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-3.0000000000000001E-3</v>
      </c>
      <c r="U202" s="23">
        <f t="shared" si="1824"/>
        <v>-0.31900000000000001</v>
      </c>
      <c r="V202" s="23">
        <f t="shared" si="1824"/>
        <v>0</v>
      </c>
      <c r="W202" s="23">
        <f t="shared" si="1824"/>
        <v>0</v>
      </c>
      <c r="X202" s="23">
        <f t="shared" si="1824"/>
        <v>-89.2</v>
      </c>
      <c r="Y202" s="23">
        <f t="shared" si="1824"/>
        <v>23.310000000000002</v>
      </c>
      <c r="Z202" s="23">
        <f t="shared" si="1824"/>
        <v>35.263000000000005</v>
      </c>
      <c r="AA202" s="23">
        <f t="shared" si="1824"/>
        <v>20.716000000000001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-89.522000000000006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23.310000000000002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35.263000000000005</v>
      </c>
      <c r="CI202" s="23">
        <f t="shared" si="1880"/>
        <v>0</v>
      </c>
      <c r="CJ202" s="23">
        <f t="shared" si="1880"/>
        <v>3.8410000000000011</v>
      </c>
      <c r="CK202" s="24">
        <f t="shared" ref="CK202" si="1881">CJ140-CK140</f>
        <v>0</v>
      </c>
      <c r="CL202" s="23">
        <f t="shared" si="1880"/>
        <v>16.875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20.716000000000001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0</v>
      </c>
      <c r="K203" s="23">
        <f t="shared" si="1898"/>
        <v>0</v>
      </c>
      <c r="L203" s="23">
        <f t="shared" si="1898"/>
        <v>-23.223610000000001</v>
      </c>
      <c r="M203" s="23">
        <f t="shared" si="1898"/>
        <v>-4.5467994000000047</v>
      </c>
      <c r="N203" s="23">
        <f t="shared" si="1898"/>
        <v>-5.4534109999999956</v>
      </c>
      <c r="O203" s="23">
        <f t="shared" si="1898"/>
        <v>-7.2691181000000036</v>
      </c>
      <c r="P203" s="23">
        <f t="shared" si="1898"/>
        <v>-16.918528599999991</v>
      </c>
      <c r="Q203" s="23">
        <f t="shared" si="1898"/>
        <v>-9.2014854000000099</v>
      </c>
      <c r="R203" s="23">
        <f t="shared" si="1898"/>
        <v>-8.1015115999999878</v>
      </c>
      <c r="S203" s="23">
        <f t="shared" si="1898"/>
        <v>-14.415368900000004</v>
      </c>
      <c r="T203" s="23">
        <f t="shared" si="1898"/>
        <v>-9.3565790999999905</v>
      </c>
      <c r="U203" s="23">
        <f t="shared" si="1898"/>
        <v>-144.87199999999999</v>
      </c>
      <c r="V203" s="23">
        <f t="shared" si="1898"/>
        <v>-22.808999999999997</v>
      </c>
      <c r="W203" s="23">
        <f t="shared" si="1898"/>
        <v>-6.9480000000000359</v>
      </c>
      <c r="X203" s="23">
        <f t="shared" si="1898"/>
        <v>-6.1009999999999707</v>
      </c>
      <c r="Y203" s="23">
        <f t="shared" si="1898"/>
        <v>-53.109000000000009</v>
      </c>
      <c r="Z203" s="23">
        <f t="shared" si="1898"/>
        <v>-192.47200000000009</v>
      </c>
      <c r="AA203" s="23">
        <f t="shared" si="1898"/>
        <v>-48.184999999999832</v>
      </c>
      <c r="AB203" s="24">
        <f t="shared" si="1898"/>
        <v>52.516999999999939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0</v>
      </c>
      <c r="AJ203" s="23">
        <f t="shared" si="1899"/>
        <v>0</v>
      </c>
      <c r="AK203" s="23">
        <f t="shared" si="1899"/>
        <v>0</v>
      </c>
      <c r="AL203" s="23">
        <f t="shared" si="1899"/>
        <v>0</v>
      </c>
      <c r="AM203" s="23">
        <f t="shared" si="1899"/>
        <v>0</v>
      </c>
      <c r="AN203" s="23">
        <f t="shared" si="1899"/>
        <v>0</v>
      </c>
      <c r="AO203" s="23">
        <f t="shared" si="1899"/>
        <v>0</v>
      </c>
      <c r="AP203" s="23">
        <f t="shared" si="1899"/>
        <v>0</v>
      </c>
      <c r="AQ203" s="23">
        <f t="shared" si="1899"/>
        <v>0</v>
      </c>
      <c r="AR203" s="23">
        <f t="shared" si="1899"/>
        <v>0</v>
      </c>
      <c r="AS203" s="23">
        <f t="shared" si="1899"/>
        <v>0</v>
      </c>
      <c r="AT203" s="23">
        <f t="shared" si="1899"/>
        <v>0</v>
      </c>
      <c r="AU203" s="23">
        <f t="shared" si="1899"/>
        <v>0</v>
      </c>
      <c r="AV203" s="23">
        <f t="shared" si="1899"/>
        <v>0</v>
      </c>
      <c r="AW203" s="23">
        <f t="shared" si="1899"/>
        <v>0</v>
      </c>
      <c r="AX203" s="23">
        <f t="shared" si="1899"/>
        <v>0</v>
      </c>
      <c r="AY203" s="23">
        <f t="shared" si="1899"/>
        <v>0</v>
      </c>
      <c r="AZ203" s="23">
        <f t="shared" si="1899"/>
        <v>0</v>
      </c>
      <c r="BA203" s="23">
        <f t="shared" si="1899"/>
        <v>0</v>
      </c>
      <c r="BB203" s="23">
        <f t="shared" si="1899"/>
        <v>0</v>
      </c>
      <c r="BC203" s="23">
        <f t="shared" si="1899"/>
        <v>0</v>
      </c>
      <c r="BD203" s="23">
        <f t="shared" si="1899"/>
        <v>0</v>
      </c>
      <c r="BE203" s="23">
        <f t="shared" si="1899"/>
        <v>0</v>
      </c>
      <c r="BF203" s="23">
        <f t="shared" si="1899"/>
        <v>0</v>
      </c>
      <c r="BG203" s="23">
        <f t="shared" si="1899"/>
        <v>0</v>
      </c>
      <c r="BH203" s="23">
        <f t="shared" si="1899"/>
        <v>0</v>
      </c>
      <c r="BI203" s="23">
        <f t="shared" si="1899"/>
        <v>0</v>
      </c>
      <c r="BJ203" s="23">
        <f t="shared" si="1899"/>
        <v>0</v>
      </c>
      <c r="BK203" s="23">
        <f t="shared" si="1899"/>
        <v>0</v>
      </c>
      <c r="BL203" s="23">
        <f t="shared" si="1899"/>
        <v>0</v>
      </c>
      <c r="BM203" s="23">
        <f t="shared" si="1899"/>
        <v>0</v>
      </c>
      <c r="BN203" s="23">
        <f t="shared" si="1899"/>
        <v>0</v>
      </c>
      <c r="BO203" s="23">
        <f t="shared" ref="BO203:CT203" si="1900">BN138-BO32-BO138</f>
        <v>0</v>
      </c>
      <c r="BP203" s="23">
        <f t="shared" si="1900"/>
        <v>0</v>
      </c>
      <c r="BQ203" s="23">
        <f t="shared" si="1900"/>
        <v>0</v>
      </c>
      <c r="BR203" s="23">
        <f t="shared" si="1900"/>
        <v>0</v>
      </c>
      <c r="BS203" s="23">
        <f t="shared" si="1900"/>
        <v>0</v>
      </c>
      <c r="BT203" s="23">
        <f t="shared" si="1900"/>
        <v>0</v>
      </c>
      <c r="BU203" s="23">
        <f t="shared" si="1900"/>
        <v>0</v>
      </c>
      <c r="BV203" s="23">
        <f t="shared" si="1900"/>
        <v>0</v>
      </c>
      <c r="BW203" s="23">
        <f t="shared" si="1900"/>
        <v>-4.9370000000000003</v>
      </c>
      <c r="BX203" s="23">
        <f t="shared" si="1900"/>
        <v>-4.9560000000000004</v>
      </c>
      <c r="BY203" s="23">
        <f t="shared" si="1900"/>
        <v>-4.6959999999999997</v>
      </c>
      <c r="BZ203" s="23">
        <f t="shared" si="1900"/>
        <v>-132.58600000000001</v>
      </c>
      <c r="CA203" s="23">
        <f t="shared" si="1900"/>
        <v>-4.828000000000003</v>
      </c>
      <c r="CB203" s="23">
        <f t="shared" si="1900"/>
        <v>-15.861999999999981</v>
      </c>
      <c r="CC203" s="23">
        <f t="shared" si="1900"/>
        <v>-5.76400000000001</v>
      </c>
      <c r="CD203" s="23">
        <f t="shared" si="1900"/>
        <v>-11.769000000000005</v>
      </c>
      <c r="CE203" s="23">
        <f t="shared" si="1900"/>
        <v>-6.6930000000000121</v>
      </c>
      <c r="CF203" s="23">
        <f t="shared" si="1900"/>
        <v>-21.006</v>
      </c>
      <c r="CG203" s="23">
        <f t="shared" si="1900"/>
        <v>-10.021999999999991</v>
      </c>
      <c r="CH203" s="23">
        <f t="shared" si="1900"/>
        <v>-204.16500000000013</v>
      </c>
      <c r="CI203" s="23">
        <f t="shared" si="1900"/>
        <v>0</v>
      </c>
      <c r="CJ203" s="23">
        <f t="shared" si="1900"/>
        <v>24.695000000000107</v>
      </c>
      <c r="CK203" s="24">
        <f t="shared" si="1900"/>
        <v>0</v>
      </c>
      <c r="CL203" s="23">
        <f t="shared" si="1900"/>
        <v>-20.363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4.3320000000001073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0</v>
      </c>
      <c r="K205" s="22">
        <f t="shared" si="1902"/>
        <v>0</v>
      </c>
      <c r="L205" s="22">
        <f t="shared" si="1902"/>
        <v>54.17053150000001</v>
      </c>
      <c r="M205" s="22">
        <f t="shared" si="1902"/>
        <v>2.7843628999999943</v>
      </c>
      <c r="N205" s="22">
        <f t="shared" si="1902"/>
        <v>3.2990093999999992</v>
      </c>
      <c r="O205" s="22">
        <f t="shared" si="1902"/>
        <v>28.922518199999981</v>
      </c>
      <c r="P205" s="22">
        <f t="shared" si="1902"/>
        <v>0.47489699999999146</v>
      </c>
      <c r="Q205" s="22">
        <f t="shared" si="1902"/>
        <v>31.208634000000004</v>
      </c>
      <c r="R205" s="22">
        <f t="shared" si="1902"/>
        <v>-3.8945804999999964</v>
      </c>
      <c r="S205" s="22">
        <f t="shared" si="1902"/>
        <v>29.597982800000004</v>
      </c>
      <c r="T205" s="22">
        <f t="shared" si="1902"/>
        <v>9.2623818999999727</v>
      </c>
      <c r="U205" s="22">
        <f t="shared" si="1902"/>
        <v>98.502999999999972</v>
      </c>
      <c r="V205" s="22">
        <f t="shared" si="1902"/>
        <v>-27.474000000000029</v>
      </c>
      <c r="W205" s="22">
        <f t="shared" si="1902"/>
        <v>59.428000000000004</v>
      </c>
      <c r="X205" s="22">
        <f t="shared" ref="X205:Y205" si="1903">X206+X207</f>
        <v>110.31400000000004</v>
      </c>
      <c r="Y205" s="22">
        <f t="shared" si="1903"/>
        <v>468.99899999999985</v>
      </c>
      <c r="Z205" s="22">
        <f t="shared" ref="Z205:AA205" si="1904">Z206+Z207</f>
        <v>82.574000000000098</v>
      </c>
      <c r="AA205" s="22">
        <f t="shared" ref="AA205" si="1905">AA206+AA207</f>
        <v>-148.24000000000004</v>
      </c>
      <c r="AB205" s="21">
        <f t="shared" ref="AB205:AD205" si="1906">AB206+AB207</f>
        <v>0</v>
      </c>
      <c r="AC205" s="21">
        <f t="shared" si="1906"/>
        <v>0</v>
      </c>
      <c r="AD205" s="21">
        <f t="shared" si="1906"/>
        <v>-2.2737367544323206E-13</v>
      </c>
      <c r="AE205" s="21">
        <f t="shared" ref="AE205" si="1907">AE206+AE207</f>
        <v>2.2737367544323206E-13</v>
      </c>
      <c r="AI205" s="22">
        <f t="shared" ref="AI205" si="1908">AI206+AI207</f>
        <v>0</v>
      </c>
      <c r="AJ205" s="22">
        <f t="shared" ref="AJ205:AL205" si="1909">AJ206+AJ207</f>
        <v>0</v>
      </c>
      <c r="AK205" s="22">
        <f t="shared" si="1909"/>
        <v>0</v>
      </c>
      <c r="AL205" s="22">
        <f t="shared" si="1909"/>
        <v>0</v>
      </c>
      <c r="AM205" s="22">
        <f t="shared" ref="AM205" si="1910">AM206+AM207</f>
        <v>0</v>
      </c>
      <c r="AN205" s="22">
        <f t="shared" ref="AN205:CD205" si="1911">AN206+AN207</f>
        <v>0</v>
      </c>
      <c r="AO205" s="22">
        <f t="shared" si="1911"/>
        <v>0</v>
      </c>
      <c r="AP205" s="22">
        <f t="shared" si="1911"/>
        <v>0</v>
      </c>
      <c r="AQ205" s="22">
        <f t="shared" si="1911"/>
        <v>0</v>
      </c>
      <c r="AR205" s="22">
        <f t="shared" si="1911"/>
        <v>0</v>
      </c>
      <c r="AS205" s="22">
        <f t="shared" si="1911"/>
        <v>0</v>
      </c>
      <c r="AT205" s="22">
        <f t="shared" si="1911"/>
        <v>0</v>
      </c>
      <c r="AU205" s="22">
        <f t="shared" si="1911"/>
        <v>0</v>
      </c>
      <c r="AV205" s="22">
        <f t="shared" si="1911"/>
        <v>0</v>
      </c>
      <c r="AW205" s="22">
        <f t="shared" si="1911"/>
        <v>0</v>
      </c>
      <c r="AX205" s="22">
        <f t="shared" si="1911"/>
        <v>0</v>
      </c>
      <c r="AY205" s="22">
        <f t="shared" si="1911"/>
        <v>0</v>
      </c>
      <c r="AZ205" s="22">
        <f t="shared" si="1911"/>
        <v>0</v>
      </c>
      <c r="BA205" s="22">
        <f t="shared" si="1911"/>
        <v>0</v>
      </c>
      <c r="BB205" s="22">
        <f t="shared" si="1911"/>
        <v>0</v>
      </c>
      <c r="BC205" s="22">
        <f t="shared" si="1911"/>
        <v>0</v>
      </c>
      <c r="BD205" s="22">
        <f t="shared" si="1911"/>
        <v>0</v>
      </c>
      <c r="BE205" s="22">
        <f t="shared" si="1911"/>
        <v>0</v>
      </c>
      <c r="BF205" s="22">
        <f t="shared" si="1911"/>
        <v>0</v>
      </c>
      <c r="BG205" s="22">
        <f t="shared" si="1911"/>
        <v>0</v>
      </c>
      <c r="BH205" s="22">
        <f t="shared" si="1911"/>
        <v>0</v>
      </c>
      <c r="BI205" s="22">
        <f t="shared" si="1911"/>
        <v>0</v>
      </c>
      <c r="BJ205" s="22">
        <f t="shared" si="1911"/>
        <v>0</v>
      </c>
      <c r="BK205" s="22">
        <f t="shared" si="1911"/>
        <v>0</v>
      </c>
      <c r="BL205" s="22">
        <f t="shared" si="1911"/>
        <v>0</v>
      </c>
      <c r="BM205" s="22">
        <f t="shared" si="1911"/>
        <v>0</v>
      </c>
      <c r="BN205" s="22">
        <f t="shared" si="1911"/>
        <v>0</v>
      </c>
      <c r="BO205" s="22">
        <f t="shared" si="1911"/>
        <v>0</v>
      </c>
      <c r="BP205" s="22">
        <f t="shared" si="1911"/>
        <v>0</v>
      </c>
      <c r="BQ205" s="22">
        <f t="shared" si="1911"/>
        <v>0</v>
      </c>
      <c r="BR205" s="22">
        <f t="shared" si="1911"/>
        <v>0</v>
      </c>
      <c r="BS205" s="22">
        <f t="shared" si="1911"/>
        <v>0</v>
      </c>
      <c r="BT205" s="22">
        <f t="shared" si="1911"/>
        <v>0</v>
      </c>
      <c r="BU205" s="22">
        <f t="shared" si="1911"/>
        <v>0</v>
      </c>
      <c r="BV205" s="22">
        <f t="shared" si="1911"/>
        <v>0</v>
      </c>
      <c r="BW205" s="22">
        <f t="shared" si="1911"/>
        <v>0</v>
      </c>
      <c r="BX205" s="22">
        <f t="shared" si="1911"/>
        <v>-13.422000000000002</v>
      </c>
      <c r="BY205" s="22">
        <f t="shared" si="1911"/>
        <v>0</v>
      </c>
      <c r="BZ205" s="22">
        <f t="shared" si="1911"/>
        <v>494.04100000000005</v>
      </c>
      <c r="CA205" s="22">
        <f t="shared" si="1911"/>
        <v>-2.8421709430404007E-14</v>
      </c>
      <c r="CB205" s="22">
        <f t="shared" si="1911"/>
        <v>601.84900000000005</v>
      </c>
      <c r="CC205" s="22">
        <f t="shared" si="1911"/>
        <v>0</v>
      </c>
      <c r="CD205" s="22">
        <f t="shared" si="1911"/>
        <v>-132.84999999999997</v>
      </c>
      <c r="CE205" s="22">
        <f t="shared" ref="CE205:CF205" si="1912">CE206+CE207</f>
        <v>0</v>
      </c>
      <c r="CF205" s="22">
        <f t="shared" si="1912"/>
        <v>157.62299999999988</v>
      </c>
      <c r="CG205" s="22">
        <f t="shared" ref="CG205:CH205" si="1913">CG206+CG207</f>
        <v>0</v>
      </c>
      <c r="CH205" s="22">
        <f t="shared" si="1913"/>
        <v>-75.048999999999893</v>
      </c>
      <c r="CI205" s="22">
        <f t="shared" ref="CI205:CJ205" si="1914">CI206+CI207</f>
        <v>0</v>
      </c>
      <c r="CJ205" s="22">
        <f t="shared" si="1914"/>
        <v>-87.339999999999947</v>
      </c>
      <c r="CK205" s="21">
        <f t="shared" ref="CK205:DB205" si="1915">CK206+CK207</f>
        <v>0</v>
      </c>
      <c r="CL205" s="22">
        <f t="shared" si="1915"/>
        <v>-60.899999999999977</v>
      </c>
      <c r="CM205" s="21">
        <f t="shared" si="1915"/>
        <v>0</v>
      </c>
      <c r="CN205" s="21">
        <f t="shared" si="1915"/>
        <v>-1.1368683772161603E-13</v>
      </c>
      <c r="CO205" s="21">
        <f t="shared" si="1915"/>
        <v>0</v>
      </c>
      <c r="CP205" s="21">
        <f t="shared" si="1915"/>
        <v>2.2737367544323206E-13</v>
      </c>
      <c r="CQ205" s="21">
        <f t="shared" si="1915"/>
        <v>0</v>
      </c>
      <c r="CR205" s="21">
        <f t="shared" si="1915"/>
        <v>-2.2737367544323206E-13</v>
      </c>
      <c r="CS205" s="21">
        <f t="shared" si="1915"/>
        <v>2.2737367544323206E-13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-148.24000000000015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38.295224700000006</v>
      </c>
      <c r="M206" s="23">
        <f t="shared" si="1916"/>
        <v>4.2305628999999954</v>
      </c>
      <c r="N206" s="23">
        <f t="shared" si="1916"/>
        <v>5.0161405999999999</v>
      </c>
      <c r="O206" s="23">
        <f t="shared" si="1916"/>
        <v>33.057433199999991</v>
      </c>
      <c r="P206" s="23">
        <f t="shared" si="1916"/>
        <v>12.572790400000017</v>
      </c>
      <c r="Q206" s="23">
        <f t="shared" si="1916"/>
        <v>31.208633999999989</v>
      </c>
      <c r="R206" s="23">
        <f t="shared" si="1916"/>
        <v>-3.6645348999999925</v>
      </c>
      <c r="S206" s="23">
        <f t="shared" si="1916"/>
        <v>30.057933399999996</v>
      </c>
      <c r="T206" s="23">
        <f t="shared" si="1916"/>
        <v>9.5788156999999785</v>
      </c>
      <c r="U206" s="23">
        <f t="shared" si="1916"/>
        <v>101.018</v>
      </c>
      <c r="V206" s="23">
        <f t="shared" si="1916"/>
        <v>-27.605999999999995</v>
      </c>
      <c r="W206" s="23">
        <f t="shared" si="1916"/>
        <v>59.427999999999997</v>
      </c>
      <c r="X206" s="23">
        <f t="shared" si="1916"/>
        <v>21.281000000000006</v>
      </c>
      <c r="Y206" s="23">
        <f t="shared" si="1916"/>
        <v>-180.911</v>
      </c>
      <c r="Z206" s="23">
        <f t="shared" si="1916"/>
        <v>110.19300000000001</v>
      </c>
      <c r="AA206" s="23">
        <f t="shared" si="1916"/>
        <v>-137.631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0</v>
      </c>
      <c r="BK206" s="23">
        <f t="shared" ref="BK206" si="1949">BK128-BJ128</f>
        <v>0</v>
      </c>
      <c r="BL206" s="23">
        <f t="shared" ref="BL206" si="1950">BL128-BK128</f>
        <v>0</v>
      </c>
      <c r="BM206" s="23">
        <f t="shared" ref="BM206" si="1951">BM128-BL128</f>
        <v>0</v>
      </c>
      <c r="BN206" s="23">
        <f t="shared" ref="BN206" si="1952">BN128-BM128</f>
        <v>0</v>
      </c>
      <c r="BO206" s="23">
        <f t="shared" ref="BO206" si="1953">BO128-BN128</f>
        <v>0</v>
      </c>
      <c r="BP206" s="23">
        <f t="shared" ref="BP206" si="1954">BP128-BO128</f>
        <v>0</v>
      </c>
      <c r="BQ206" s="23">
        <f t="shared" ref="BQ206" si="1955">BQ128-BP128</f>
        <v>0</v>
      </c>
      <c r="BR206" s="23">
        <f t="shared" ref="BR206" si="1956">BR128-BQ128</f>
        <v>0</v>
      </c>
      <c r="BS206" s="23">
        <f t="shared" ref="BS206" si="1957">BS128-BR128</f>
        <v>0</v>
      </c>
      <c r="BT206" s="23">
        <f t="shared" ref="BT206" si="1958">BT128-BS128</f>
        <v>0</v>
      </c>
      <c r="BU206" s="23">
        <f t="shared" ref="BU206" si="1959">BU128-BT128</f>
        <v>0</v>
      </c>
      <c r="BV206" s="23">
        <f t="shared" ref="BV206" si="1960">BV128-BU128</f>
        <v>0</v>
      </c>
      <c r="BW206" s="23">
        <f t="shared" ref="BW206" si="1961">BW128-BV128</f>
        <v>0</v>
      </c>
      <c r="BX206" s="23">
        <f t="shared" ref="BX206" si="1962">BX128-BW128</f>
        <v>0</v>
      </c>
      <c r="BY206" s="23">
        <f t="shared" ref="BY206" si="1963">BY128-BX128</f>
        <v>0</v>
      </c>
      <c r="BZ206" s="23">
        <f t="shared" ref="BZ206" si="1964">BZ128-BY128</f>
        <v>314.47399999999999</v>
      </c>
      <c r="CA206" s="23">
        <f t="shared" ref="CA206" si="1965">CA128-BZ128</f>
        <v>0</v>
      </c>
      <c r="CB206" s="23">
        <f t="shared" ref="CB206" si="1966">CB128-CA128</f>
        <v>-69.980999999999995</v>
      </c>
      <c r="CC206" s="23">
        <f t="shared" ref="CC206" si="1967">CC128-CB128</f>
        <v>0</v>
      </c>
      <c r="CD206" s="23">
        <f t="shared" ref="CD206" si="1968">CD128-CC128</f>
        <v>-110.93</v>
      </c>
      <c r="CE206" s="23">
        <f t="shared" ref="CE206" si="1969">CE128-CD128</f>
        <v>0</v>
      </c>
      <c r="CF206" s="23">
        <f t="shared" ref="CF206" si="1970">CF128-CE128</f>
        <v>155.25700000000001</v>
      </c>
      <c r="CG206" s="23">
        <f t="shared" ref="CG206" si="1971">CG128-CF128</f>
        <v>0</v>
      </c>
      <c r="CH206" s="23">
        <f t="shared" ref="CH206:CL206" si="1972">CH128-CG128</f>
        <v>-45.063999999999993</v>
      </c>
      <c r="CI206" s="23">
        <f t="shared" si="1972"/>
        <v>0</v>
      </c>
      <c r="CJ206" s="23">
        <f t="shared" si="1972"/>
        <v>-84.558000000000021</v>
      </c>
      <c r="CK206" s="24">
        <f t="shared" ref="CK206" si="1973">CK128-CJ128</f>
        <v>0</v>
      </c>
      <c r="CL206" s="23">
        <f t="shared" si="1972"/>
        <v>-53.072999999999979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-137.631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0</v>
      </c>
      <c r="K207" s="23">
        <f t="shared" si="1990"/>
        <v>0</v>
      </c>
      <c r="L207" s="23">
        <f t="shared" si="1990"/>
        <v>15.875306800000001</v>
      </c>
      <c r="M207" s="23">
        <f t="shared" si="1990"/>
        <v>-1.446200000000001</v>
      </c>
      <c r="N207" s="23">
        <f t="shared" si="1990"/>
        <v>-1.7171312000000007</v>
      </c>
      <c r="O207" s="23">
        <f t="shared" si="1990"/>
        <v>-4.1349150000000101</v>
      </c>
      <c r="P207" s="23">
        <f t="shared" si="1990"/>
        <v>-12.097893400000025</v>
      </c>
      <c r="Q207" s="23">
        <f t="shared" si="1990"/>
        <v>1.4210854715202004E-14</v>
      </c>
      <c r="R207" s="23">
        <f t="shared" si="1990"/>
        <v>-0.23004560000000396</v>
      </c>
      <c r="S207" s="23">
        <f t="shared" si="1990"/>
        <v>-0.45995059999999199</v>
      </c>
      <c r="T207" s="23">
        <f t="shared" si="1990"/>
        <v>-0.31643380000000576</v>
      </c>
      <c r="U207" s="23">
        <f t="shared" si="1990"/>
        <v>-2.515000000000029</v>
      </c>
      <c r="V207" s="23">
        <f t="shared" si="1990"/>
        <v>0.13199999999996592</v>
      </c>
      <c r="W207" s="23">
        <f t="shared" si="1990"/>
        <v>7.1054273576010019E-15</v>
      </c>
      <c r="X207" s="23">
        <f t="shared" si="1990"/>
        <v>89.03300000000003</v>
      </c>
      <c r="Y207" s="23">
        <f t="shared" si="1990"/>
        <v>649.90999999999985</v>
      </c>
      <c r="Z207" s="23">
        <f t="shared" si="1990"/>
        <v>-27.618999999999915</v>
      </c>
      <c r="AA207" s="23">
        <f t="shared" si="1990"/>
        <v>-10.609000000000037</v>
      </c>
      <c r="AB207" s="24">
        <f t="shared" si="1990"/>
        <v>0</v>
      </c>
      <c r="AC207" s="24">
        <f t="shared" si="1990"/>
        <v>0</v>
      </c>
      <c r="AD207" s="24">
        <f t="shared" si="1990"/>
        <v>-2.2737367544323206E-13</v>
      </c>
      <c r="AE207" s="24">
        <f t="shared" si="1990"/>
        <v>2.2737367544323206E-13</v>
      </c>
      <c r="AI207" s="23">
        <f t="shared" ref="AI207:BN207" si="1991">AI120-AI48-AH120+AI122-AH122</f>
        <v>0</v>
      </c>
      <c r="AJ207" s="23">
        <f t="shared" si="1991"/>
        <v>0</v>
      </c>
      <c r="AK207" s="23">
        <f t="shared" si="1991"/>
        <v>0</v>
      </c>
      <c r="AL207" s="23">
        <f t="shared" si="1991"/>
        <v>0</v>
      </c>
      <c r="AM207" s="23">
        <f t="shared" si="1991"/>
        <v>0</v>
      </c>
      <c r="AN207" s="23">
        <f t="shared" si="1991"/>
        <v>0</v>
      </c>
      <c r="AO207" s="23">
        <f t="shared" si="1991"/>
        <v>0</v>
      </c>
      <c r="AP207" s="23">
        <f t="shared" si="1991"/>
        <v>0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0</v>
      </c>
      <c r="AU207" s="23">
        <f t="shared" si="1991"/>
        <v>0</v>
      </c>
      <c r="AV207" s="23">
        <f t="shared" si="1991"/>
        <v>0</v>
      </c>
      <c r="AW207" s="23">
        <f t="shared" si="1991"/>
        <v>0</v>
      </c>
      <c r="AX207" s="23">
        <f t="shared" si="1991"/>
        <v>0</v>
      </c>
      <c r="AY207" s="23">
        <f t="shared" si="1991"/>
        <v>0</v>
      </c>
      <c r="AZ207" s="23">
        <f t="shared" si="1991"/>
        <v>0</v>
      </c>
      <c r="BA207" s="23">
        <f t="shared" si="1991"/>
        <v>0</v>
      </c>
      <c r="BB207" s="23">
        <f t="shared" si="1991"/>
        <v>0</v>
      </c>
      <c r="BC207" s="23">
        <f t="shared" si="1991"/>
        <v>0</v>
      </c>
      <c r="BD207" s="23">
        <f t="shared" si="1991"/>
        <v>0</v>
      </c>
      <c r="BE207" s="23">
        <f t="shared" si="1991"/>
        <v>0</v>
      </c>
      <c r="BF207" s="23">
        <f t="shared" si="1991"/>
        <v>0</v>
      </c>
      <c r="BG207" s="23">
        <f t="shared" si="1991"/>
        <v>0</v>
      </c>
      <c r="BH207" s="23">
        <f t="shared" si="1991"/>
        <v>0</v>
      </c>
      <c r="BI207" s="23">
        <f t="shared" si="1991"/>
        <v>0</v>
      </c>
      <c r="BJ207" s="23">
        <f t="shared" si="1991"/>
        <v>0</v>
      </c>
      <c r="BK207" s="23">
        <f t="shared" si="1991"/>
        <v>0</v>
      </c>
      <c r="BL207" s="23">
        <f t="shared" si="1991"/>
        <v>0</v>
      </c>
      <c r="BM207" s="23">
        <f t="shared" si="1991"/>
        <v>0</v>
      </c>
      <c r="BN207" s="23">
        <f t="shared" si="1991"/>
        <v>0</v>
      </c>
      <c r="BO207" s="23">
        <f t="shared" ref="BO207:CT207" si="1992">BO120-BO48-BN120+BO122-BN122</f>
        <v>0</v>
      </c>
      <c r="BP207" s="23">
        <f t="shared" si="1992"/>
        <v>0</v>
      </c>
      <c r="BQ207" s="23">
        <f t="shared" si="1992"/>
        <v>0</v>
      </c>
      <c r="BR207" s="23">
        <f t="shared" si="1992"/>
        <v>0</v>
      </c>
      <c r="BS207" s="23">
        <f t="shared" si="1992"/>
        <v>0</v>
      </c>
      <c r="BT207" s="23">
        <f t="shared" si="1992"/>
        <v>0</v>
      </c>
      <c r="BU207" s="23">
        <f t="shared" si="1992"/>
        <v>0</v>
      </c>
      <c r="BV207" s="23">
        <f t="shared" si="1992"/>
        <v>0</v>
      </c>
      <c r="BW207" s="23">
        <f t="shared" si="1992"/>
        <v>0</v>
      </c>
      <c r="BX207" s="23">
        <f t="shared" si="1992"/>
        <v>-13.422000000000002</v>
      </c>
      <c r="BY207" s="23">
        <f t="shared" si="1992"/>
        <v>0</v>
      </c>
      <c r="BZ207" s="23">
        <f t="shared" si="1992"/>
        <v>179.56700000000006</v>
      </c>
      <c r="CA207" s="23">
        <f t="shared" si="1992"/>
        <v>-2.8421709430404007E-14</v>
      </c>
      <c r="CB207" s="23">
        <f t="shared" si="1992"/>
        <v>671.83</v>
      </c>
      <c r="CC207" s="23">
        <f t="shared" si="1992"/>
        <v>0</v>
      </c>
      <c r="CD207" s="23">
        <f t="shared" si="1992"/>
        <v>-21.919999999999959</v>
      </c>
      <c r="CE207" s="23">
        <f t="shared" si="1992"/>
        <v>0</v>
      </c>
      <c r="CF207" s="23">
        <f t="shared" si="1992"/>
        <v>2.3659999999998718</v>
      </c>
      <c r="CG207" s="23">
        <f t="shared" si="1992"/>
        <v>0</v>
      </c>
      <c r="CH207" s="23">
        <f t="shared" si="1992"/>
        <v>-29.9849999999999</v>
      </c>
      <c r="CI207" s="23">
        <f t="shared" si="1992"/>
        <v>0</v>
      </c>
      <c r="CJ207" s="23">
        <f t="shared" si="1992"/>
        <v>-2.7819999999999254</v>
      </c>
      <c r="CK207" s="24">
        <f t="shared" si="1992"/>
        <v>0</v>
      </c>
      <c r="CL207" s="23">
        <f t="shared" si="1992"/>
        <v>-7.8269999999999982</v>
      </c>
      <c r="CM207" s="24">
        <f t="shared" si="1992"/>
        <v>0</v>
      </c>
      <c r="CN207" s="24">
        <f t="shared" si="1992"/>
        <v>-1.1368683772161603E-13</v>
      </c>
      <c r="CO207" s="24">
        <f t="shared" si="1992"/>
        <v>0</v>
      </c>
      <c r="CP207" s="24">
        <f t="shared" si="1992"/>
        <v>2.2737367544323206E-13</v>
      </c>
      <c r="CQ207" s="24">
        <f t="shared" si="1992"/>
        <v>0</v>
      </c>
      <c r="CR207" s="24">
        <f t="shared" si="1992"/>
        <v>-2.2737367544323206E-13</v>
      </c>
      <c r="CS207" s="24">
        <f t="shared" si="1992"/>
        <v>2.2737367544323206E-13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-10.609000000000151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0</v>
      </c>
      <c r="L209" s="23">
        <f t="shared" ref="L209" si="2000">K161</f>
        <v>0</v>
      </c>
      <c r="M209" s="23">
        <f t="shared" ref="M209" si="2001">L161</f>
        <v>2.3495382</v>
      </c>
      <c r="N209" s="23">
        <f t="shared" ref="N209" si="2002">M161</f>
        <v>5.1020925000000004</v>
      </c>
      <c r="O209" s="23">
        <f t="shared" ref="O209" si="2003">N161</f>
        <v>4.1946263999999998</v>
      </c>
      <c r="P209" s="23">
        <f t="shared" ref="P209" si="2004">O161</f>
        <v>78.335263699999999</v>
      </c>
      <c r="Q209" s="23">
        <f t="shared" ref="Q209" si="2005">P161</f>
        <v>53.461933100000003</v>
      </c>
      <c r="R209" s="23">
        <f t="shared" ref="R209" si="2006">Q161</f>
        <v>33.826113900000003</v>
      </c>
      <c r="S209" s="23">
        <f t="shared" ref="S209" si="2007">R161</f>
        <v>23.5528862</v>
      </c>
      <c r="T209" s="23">
        <f t="shared" ref="T209" si="2008">S161</f>
        <v>13.472578799999999</v>
      </c>
      <c r="U209" s="23">
        <f t="shared" ref="U209" si="2009">T161</f>
        <v>59.640999999999998</v>
      </c>
      <c r="V209" s="23">
        <f t="shared" ref="V209" si="2010">U161</f>
        <v>66.144999999999996</v>
      </c>
      <c r="W209" s="23">
        <f t="shared" ref="W209:AA209" si="2011">V161</f>
        <v>34.176000000000002</v>
      </c>
      <c r="X209" s="23">
        <f t="shared" si="2011"/>
        <v>121.80800000000001</v>
      </c>
      <c r="Y209" s="23">
        <f t="shared" si="2011"/>
        <v>167.601</v>
      </c>
      <c r="Z209" s="23">
        <f t="shared" si="2011"/>
        <v>536.58699999999999</v>
      </c>
      <c r="AA209" s="23">
        <f t="shared" si="2011"/>
        <v>287.78199999999998</v>
      </c>
      <c r="AB209" s="24">
        <f t="shared" ref="AB209" si="2012">AA161</f>
        <v>145.80000000000001</v>
      </c>
      <c r="AC209" s="24">
        <f t="shared" ref="AC209" si="2013">AB161</f>
        <v>343.68329589637949</v>
      </c>
      <c r="AD209" s="24">
        <f t="shared" ref="AD209" si="2014">AC161</f>
        <v>510.36899572756397</v>
      </c>
      <c r="AE209" s="24">
        <f t="shared" ref="AE209" si="2015">AD161</f>
        <v>645.90081437594063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 t="e">
        <f t="shared" ref="AL209" si="2019">AK161</f>
        <v>#DIV/0!</v>
      </c>
      <c r="AM209" s="23">
        <f t="shared" ref="AM209" si="2020">AL161</f>
        <v>0</v>
      </c>
      <c r="AN209" s="23" t="e">
        <f t="shared" ref="AN209" si="2021">AM161</f>
        <v>#DIV/0!</v>
      </c>
      <c r="AO209" s="23">
        <f t="shared" ref="AO209" si="2022">AN161</f>
        <v>0</v>
      </c>
      <c r="AP209" s="23" t="e">
        <f t="shared" ref="AP209" si="2023">AO161</f>
        <v>#DIV/0!</v>
      </c>
      <c r="AQ209" s="23">
        <f t="shared" ref="AQ209" si="2024">AP161</f>
        <v>0</v>
      </c>
      <c r="AR209" s="23" t="e">
        <f t="shared" ref="AR209" si="2025">AQ161</f>
        <v>#DIV/0!</v>
      </c>
      <c r="AS209" s="23">
        <f t="shared" ref="AS209" si="2026">AR161</f>
        <v>0</v>
      </c>
      <c r="AT209" s="23" t="e">
        <f t="shared" ref="AT209" si="2027">AS161</f>
        <v>#DIV/0!</v>
      </c>
      <c r="AU209" s="23">
        <f t="shared" ref="AU209" si="2028">AT161</f>
        <v>0</v>
      </c>
      <c r="AV209" s="23" t="e">
        <f t="shared" ref="AV209" si="2029">AU161</f>
        <v>#DIV/0!</v>
      </c>
      <c r="AW209" s="23">
        <f t="shared" ref="AW209" si="2030">AV161</f>
        <v>0</v>
      </c>
      <c r="AX209" s="23" t="e">
        <f t="shared" ref="AX209" si="2031">AW161</f>
        <v>#DIV/0!</v>
      </c>
      <c r="AY209" s="23">
        <f t="shared" ref="AY209" si="2032">AX161</f>
        <v>0</v>
      </c>
      <c r="AZ209" s="23" t="e">
        <f t="shared" ref="AZ209" si="2033">AY161</f>
        <v>#DIV/0!</v>
      </c>
      <c r="BA209" s="23">
        <f t="shared" ref="BA209" si="2034">AZ161</f>
        <v>0</v>
      </c>
      <c r="BB209" s="23" t="e">
        <f t="shared" ref="BB209" si="2035">BA161</f>
        <v>#DIV/0!</v>
      </c>
      <c r="BC209" s="23">
        <f t="shared" ref="BC209" si="2036">BB161</f>
        <v>0</v>
      </c>
      <c r="BD209" s="23" t="e">
        <f t="shared" ref="BD209" si="2037">BC161</f>
        <v>#DIV/0!</v>
      </c>
      <c r="BE209" s="23">
        <f t="shared" ref="BE209" si="2038">BD161</f>
        <v>0</v>
      </c>
      <c r="BF209" s="23" t="e">
        <f t="shared" ref="BF209" si="2039">BE161</f>
        <v>#DIV/0!</v>
      </c>
      <c r="BG209" s="23">
        <f t="shared" ref="BG209" si="2040">BF161</f>
        <v>0</v>
      </c>
      <c r="BH209" s="23" t="e">
        <f t="shared" ref="BH209" si="2041">BG161</f>
        <v>#DIV/0!</v>
      </c>
      <c r="BI209" s="23">
        <f t="shared" ref="BI209" si="2042">BH161</f>
        <v>0</v>
      </c>
      <c r="BJ209" s="23" t="e">
        <f t="shared" ref="BJ209" si="2043">BI161</f>
        <v>#DIV/0!</v>
      </c>
      <c r="BK209" s="23">
        <f t="shared" ref="BK209" si="2044">BJ161</f>
        <v>0</v>
      </c>
      <c r="BL209" s="23" t="e">
        <f t="shared" ref="BL209" si="2045">BK161</f>
        <v>#DIV/0!</v>
      </c>
      <c r="BM209" s="23">
        <f t="shared" ref="BM209" si="2046">BL161</f>
        <v>0</v>
      </c>
      <c r="BN209" s="23" t="e">
        <f t="shared" ref="BN209" si="2047">BM161</f>
        <v>#DIV/0!</v>
      </c>
      <c r="BO209" s="23">
        <f t="shared" ref="BO209" si="2048">BN161</f>
        <v>0</v>
      </c>
      <c r="BP209" s="23" t="e">
        <f t="shared" ref="BP209" si="2049">BO161</f>
        <v>#DIV/0!</v>
      </c>
      <c r="BQ209" s="23">
        <f t="shared" ref="BQ209" si="2050">BP161</f>
        <v>0</v>
      </c>
      <c r="BR209" s="23" t="e">
        <f t="shared" ref="BR209" si="2051">BQ161</f>
        <v>#DIV/0!</v>
      </c>
      <c r="BS209" s="23">
        <f t="shared" ref="BS209" si="2052">BR161</f>
        <v>0</v>
      </c>
      <c r="BT209" s="23" t="e">
        <f t="shared" ref="BT209" si="2053">BS161</f>
        <v>#DIV/0!</v>
      </c>
      <c r="BU209" s="23">
        <f t="shared" ref="BU209" si="2054">BT161</f>
        <v>0</v>
      </c>
      <c r="BV209" s="23" t="e">
        <f t="shared" ref="BV209" si="2055">BU161</f>
        <v>#DIV/0!</v>
      </c>
      <c r="BW209" s="23">
        <f t="shared" ref="BW209" si="2056">BV161</f>
        <v>0</v>
      </c>
      <c r="BX209" s="23" t="e">
        <f t="shared" ref="BX209" si="2057">BW161</f>
        <v>#DIV/0!</v>
      </c>
      <c r="BY209" s="23">
        <f t="shared" ref="BY209" si="2058">BX161</f>
        <v>0</v>
      </c>
      <c r="BZ209" s="23">
        <f t="shared" ref="BZ209" si="2059">BY161</f>
        <v>5.7179999999999733</v>
      </c>
      <c r="CA209" s="23">
        <f t="shared" ref="CA209" si="2060">BZ161</f>
        <v>167.601</v>
      </c>
      <c r="CB209" s="23">
        <f t="shared" ref="CB209" si="2061">CA161</f>
        <v>238.43007832695778</v>
      </c>
      <c r="CC209" s="23">
        <f t="shared" ref="CC209" si="2062">CB161</f>
        <v>563.79499999999996</v>
      </c>
      <c r="CD209" s="23">
        <f t="shared" ref="CD209" si="2063">CC161</f>
        <v>535.71272118778222</v>
      </c>
      <c r="CE209" s="23">
        <f t="shared" ref="CE209" si="2064">CD161</f>
        <v>536.58699999999999</v>
      </c>
      <c r="CF209" s="23">
        <f t="shared" ref="CF209" si="2065">CE161</f>
        <v>657.75071718949937</v>
      </c>
      <c r="CG209" s="23">
        <f t="shared" ref="CG209" si="2066">CF161</f>
        <v>459.363</v>
      </c>
      <c r="CH209" s="23">
        <f t="shared" ref="CH209:CL209" si="2067">CG161</f>
        <v>386.8081986750546</v>
      </c>
      <c r="CI209" s="23">
        <f t="shared" si="2067"/>
        <v>287.78199999999998</v>
      </c>
      <c r="CJ209" s="23">
        <f t="shared" si="2067"/>
        <v>486.50659895106929</v>
      </c>
      <c r="CK209" s="24">
        <f t="shared" ref="CK209" si="2068">CJ161</f>
        <v>308.92599999999999</v>
      </c>
      <c r="CL209" s="23">
        <f t="shared" si="2067"/>
        <v>343.16438626808389</v>
      </c>
      <c r="CM209" s="24">
        <f t="shared" ref="CM209" si="2069">CL161</f>
        <v>145.80000000000001</v>
      </c>
      <c r="CN209" s="24">
        <f t="shared" ref="CN209" si="2070">CM161</f>
        <v>398.4662816110889</v>
      </c>
      <c r="CO209" s="24">
        <f t="shared" ref="CO209" si="2071">CN161</f>
        <v>398.44137780771683</v>
      </c>
      <c r="CP209" s="24">
        <f t="shared" ref="CP209" si="2072">CO161</f>
        <v>429.42603242532954</v>
      </c>
      <c r="CQ209" s="24">
        <f t="shared" ref="CQ209" si="2073">CP161</f>
        <v>343.68329589637949</v>
      </c>
      <c r="CR209" s="24">
        <f t="shared" ref="CR209" si="2074">CQ161</f>
        <v>556.36436764045254</v>
      </c>
      <c r="CS209" s="24">
        <f t="shared" ref="CS209" si="2075">CR161</f>
        <v>559.34865096202998</v>
      </c>
      <c r="CT209" s="24">
        <f t="shared" ref="CT209" si="2076">CS161</f>
        <v>582.94797877223164</v>
      </c>
      <c r="CU209" s="24">
        <f t="shared" ref="CU209" si="2077">CT161</f>
        <v>510.36899572756397</v>
      </c>
      <c r="CV209" s="24">
        <f t="shared" ref="CV209" si="2078">CU161</f>
        <v>684.96347933102584</v>
      </c>
      <c r="CW209" s="24">
        <f t="shared" ref="CW209" si="2079">CV161</f>
        <v>687.27728406264293</v>
      </c>
      <c r="CX209" s="24">
        <f t="shared" ref="CX209" si="2080">CW161</f>
        <v>705.78638089879337</v>
      </c>
      <c r="CY209" s="24">
        <f t="shared" ref="CY209" si="2081">CX161</f>
        <v>645.90081437594063</v>
      </c>
      <c r="CZ209" s="24">
        <f t="shared" ref="CZ209" si="2082">CY161</f>
        <v>788.23827527828712</v>
      </c>
      <c r="DA209" s="24">
        <f t="shared" ref="DA209" si="2083">CZ161</f>
        <v>789.70129874599559</v>
      </c>
      <c r="DB209" s="24">
        <f t="shared" ref="DB209" si="2084">DA161</f>
        <v>804.32488029234105</v>
      </c>
      <c r="DE209" s="123"/>
      <c r="DF209" s="23">
        <v>287.78199999999998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2.3495382000000049</v>
      </c>
      <c r="M210" s="23">
        <f>M209+M205+M201+M199</f>
        <v>5.1020925000000048</v>
      </c>
      <c r="N210" s="23">
        <f t="shared" si="2085"/>
        <v>4.1946263999999971</v>
      </c>
      <c r="O210" s="23">
        <f t="shared" si="2085"/>
        <v>78.335263699999956</v>
      </c>
      <c r="P210" s="23">
        <f t="shared" si="2085"/>
        <v>53.461933100000039</v>
      </c>
      <c r="Q210" s="23">
        <f t="shared" si="2085"/>
        <v>33.826113899999996</v>
      </c>
      <c r="R210" s="23">
        <f t="shared" si="2085"/>
        <v>23.552886199999996</v>
      </c>
      <c r="S210" s="23">
        <f t="shared" si="2085"/>
        <v>13.47257879999998</v>
      </c>
      <c r="T210" s="23">
        <f t="shared" si="2085"/>
        <v>59.641000000000005</v>
      </c>
      <c r="U210" s="23">
        <f t="shared" si="2085"/>
        <v>66.14500000000011</v>
      </c>
      <c r="V210" s="23">
        <f t="shared" si="2085"/>
        <v>34.175999999999881</v>
      </c>
      <c r="W210" s="23">
        <f t="shared" si="2085"/>
        <v>121.80799999999994</v>
      </c>
      <c r="X210" s="23">
        <f t="shared" ref="X210:Y210" si="2086">X209+X205+X201+X199</f>
        <v>167.60100000000008</v>
      </c>
      <c r="Y210" s="23">
        <f t="shared" si="2086"/>
        <v>536.58699999999999</v>
      </c>
      <c r="Z210" s="23">
        <f t="shared" ref="Z210:AA210" si="2087">Z209+Z205+Z201+Z199</f>
        <v>287.78200000000004</v>
      </c>
      <c r="AA210" s="23">
        <f t="shared" ref="AA210" si="2088">AA209+AA205+AA201+AA199</f>
        <v>145.80000000000001</v>
      </c>
      <c r="AB210" s="24">
        <f t="shared" ref="AB210:AD210" si="2089">AB209+AB205+AB201+AB199</f>
        <v>343.6832958963796</v>
      </c>
      <c r="AC210" s="24">
        <f t="shared" si="2089"/>
        <v>510.36899572756397</v>
      </c>
      <c r="AD210" s="24">
        <f t="shared" si="2089"/>
        <v>645.9008143759404</v>
      </c>
      <c r="AE210" s="24">
        <f t="shared" ref="AE210" si="2090">AE209+AE205+AE201+AE199</f>
        <v>754.98831634027829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 t="e">
        <f t="shared" si="2094"/>
        <v>#DIV/0!</v>
      </c>
      <c r="AV210" s="23" t="e">
        <f t="shared" si="2094"/>
        <v>#DIV/0!</v>
      </c>
      <c r="AW210" s="23" t="e">
        <f t="shared" si="2094"/>
        <v>#DIV/0!</v>
      </c>
      <c r="AX210" s="23" t="e">
        <f t="shared" si="2094"/>
        <v>#DIV/0!</v>
      </c>
      <c r="AY210" s="23" t="e">
        <f t="shared" si="2094"/>
        <v>#DIV/0!</v>
      </c>
      <c r="AZ210" s="23" t="e">
        <f t="shared" si="2094"/>
        <v>#DIV/0!</v>
      </c>
      <c r="BA210" s="23" t="e">
        <f t="shared" si="2094"/>
        <v>#DIV/0!</v>
      </c>
      <c r="BB210" s="23" t="e">
        <f t="shared" si="2094"/>
        <v>#DIV/0!</v>
      </c>
      <c r="BC210" s="23" t="e">
        <f t="shared" si="2094"/>
        <v>#DIV/0!</v>
      </c>
      <c r="BD210" s="23" t="e">
        <f t="shared" si="2094"/>
        <v>#DIV/0!</v>
      </c>
      <c r="BE210" s="23" t="e">
        <f t="shared" si="2094"/>
        <v>#DIV/0!</v>
      </c>
      <c r="BF210" s="23" t="e">
        <f t="shared" si="2094"/>
        <v>#DIV/0!</v>
      </c>
      <c r="BG210" s="23" t="e">
        <f t="shared" si="2094"/>
        <v>#DIV/0!</v>
      </c>
      <c r="BH210" s="23" t="e">
        <f t="shared" si="2094"/>
        <v>#DIV/0!</v>
      </c>
      <c r="BI210" s="23" t="e">
        <f t="shared" si="2094"/>
        <v>#DIV/0!</v>
      </c>
      <c r="BJ210" s="23" t="e">
        <f t="shared" si="2094"/>
        <v>#DIV/0!</v>
      </c>
      <c r="BK210" s="23" t="e">
        <f t="shared" si="2094"/>
        <v>#DIV/0!</v>
      </c>
      <c r="BL210" s="23" t="e">
        <f t="shared" si="2094"/>
        <v>#DIV/0!</v>
      </c>
      <c r="BM210" s="23" t="e">
        <f t="shared" si="2094"/>
        <v>#DIV/0!</v>
      </c>
      <c r="BN210" s="23" t="e">
        <f t="shared" si="2094"/>
        <v>#DIV/0!</v>
      </c>
      <c r="BO210" s="23" t="e">
        <f t="shared" si="2094"/>
        <v>#DIV/0!</v>
      </c>
      <c r="BP210" s="23" t="e">
        <f t="shared" si="2094"/>
        <v>#DIV/0!</v>
      </c>
      <c r="BQ210" s="23" t="e">
        <f t="shared" si="2094"/>
        <v>#DIV/0!</v>
      </c>
      <c r="BR210" s="23" t="e">
        <f t="shared" si="2094"/>
        <v>#DIV/0!</v>
      </c>
      <c r="BS210" s="23" t="e">
        <f t="shared" si="2094"/>
        <v>#DIV/0!</v>
      </c>
      <c r="BT210" s="23" t="e">
        <f t="shared" si="2094"/>
        <v>#DIV/0!</v>
      </c>
      <c r="BU210" s="23" t="e">
        <f t="shared" si="2094"/>
        <v>#DIV/0!</v>
      </c>
      <c r="BV210" s="23" t="e">
        <f t="shared" si="2094"/>
        <v>#DIV/0!</v>
      </c>
      <c r="BW210" s="23" t="e">
        <f t="shared" si="2094"/>
        <v>#DIV/0!</v>
      </c>
      <c r="BX210" s="23" t="e">
        <f t="shared" si="2094"/>
        <v>#DIV/0!</v>
      </c>
      <c r="BY210" s="23">
        <f t="shared" si="2094"/>
        <v>5.7179999999999733</v>
      </c>
      <c r="BZ210" s="23">
        <f t="shared" si="2094"/>
        <v>167.60099999999994</v>
      </c>
      <c r="CA210" s="23">
        <f t="shared" si="2094"/>
        <v>238.43007832695778</v>
      </c>
      <c r="CB210" s="23">
        <f t="shared" si="2094"/>
        <v>563.79500000000007</v>
      </c>
      <c r="CC210" s="23">
        <f t="shared" si="2094"/>
        <v>535.71272118778222</v>
      </c>
      <c r="CD210" s="23">
        <f t="shared" si="2094"/>
        <v>536.58699999999988</v>
      </c>
      <c r="CE210" s="23">
        <f t="shared" ref="CE210:CF210" si="2095">CE209+CE205+CE201+CE199</f>
        <v>657.75071718949937</v>
      </c>
      <c r="CF210" s="23">
        <f t="shared" si="2095"/>
        <v>459.36299999999989</v>
      </c>
      <c r="CG210" s="23">
        <f t="shared" ref="CG210:CH210" si="2096">CG209+CG205+CG201+CG199</f>
        <v>386.8081986750546</v>
      </c>
      <c r="CH210" s="23">
        <f t="shared" si="2096"/>
        <v>287.78200000000015</v>
      </c>
      <c r="CI210" s="23">
        <f t="shared" ref="CI210:CJ210" si="2097">CI209+CI205+CI201+CI199</f>
        <v>486.50659895106929</v>
      </c>
      <c r="CJ210" s="23">
        <f t="shared" si="2097"/>
        <v>308.9260000000001</v>
      </c>
      <c r="CK210" s="24">
        <f t="shared" ref="CK210:DB210" si="2098">CK209+CK205+CK201+CK199</f>
        <v>343.16438626808389</v>
      </c>
      <c r="CL210" s="23">
        <f t="shared" si="2098"/>
        <v>145.80000000000007</v>
      </c>
      <c r="CM210" s="24">
        <f t="shared" si="2098"/>
        <v>398.4662816110889</v>
      </c>
      <c r="CN210" s="24">
        <f t="shared" si="2098"/>
        <v>398.44137780771683</v>
      </c>
      <c r="CO210" s="24">
        <f t="shared" si="2098"/>
        <v>429.42603242532954</v>
      </c>
      <c r="CP210" s="24">
        <f t="shared" si="2098"/>
        <v>343.68329589637949</v>
      </c>
      <c r="CQ210" s="24">
        <f t="shared" si="2098"/>
        <v>556.36436764045254</v>
      </c>
      <c r="CR210" s="24">
        <f t="shared" si="2098"/>
        <v>559.34865096202998</v>
      </c>
      <c r="CS210" s="24">
        <f t="shared" si="2098"/>
        <v>582.94797877223164</v>
      </c>
      <c r="CT210" s="24">
        <f t="shared" si="2098"/>
        <v>510.36899572756397</v>
      </c>
      <c r="CU210" s="24">
        <f t="shared" si="2098"/>
        <v>684.96347933102584</v>
      </c>
      <c r="CV210" s="24">
        <f t="shared" si="2098"/>
        <v>687.27728406264293</v>
      </c>
      <c r="CW210" s="24">
        <f t="shared" si="2098"/>
        <v>705.78638089879337</v>
      </c>
      <c r="CX210" s="24">
        <f t="shared" si="2098"/>
        <v>645.90081437594063</v>
      </c>
      <c r="CY210" s="24">
        <f t="shared" si="2098"/>
        <v>788.23827527828712</v>
      </c>
      <c r="CZ210" s="24">
        <f t="shared" si="2098"/>
        <v>789.70129874599559</v>
      </c>
      <c r="DA210" s="24">
        <f t="shared" si="2098"/>
        <v>804.32488029234105</v>
      </c>
      <c r="DB210" s="24">
        <f t="shared" si="2098"/>
        <v>754.98831634027806</v>
      </c>
      <c r="DE210" s="123"/>
      <c r="DF210" s="23">
        <v>145.80000000000013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4.8849813083506888E-15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-1.9539925233402755E-14</v>
      </c>
      <c r="T211" s="28">
        <f t="shared" si="2099"/>
        <v>0</v>
      </c>
      <c r="U211" s="28">
        <f t="shared" si="2099"/>
        <v>1.1368683772161603E-13</v>
      </c>
      <c r="V211" s="28">
        <f t="shared" si="2099"/>
        <v>-1.2079226507921703E-13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 t="e">
        <f t="shared" si="2108"/>
        <v>#DIV/0!</v>
      </c>
      <c r="AV211" s="28" t="e">
        <f t="shared" si="2108"/>
        <v>#DIV/0!</v>
      </c>
      <c r="AW211" s="28" t="e">
        <f t="shared" si="2108"/>
        <v>#DIV/0!</v>
      </c>
      <c r="AX211" s="28" t="e">
        <f t="shared" si="2108"/>
        <v>#DIV/0!</v>
      </c>
      <c r="AY211" s="28" t="e">
        <f t="shared" si="2108"/>
        <v>#DIV/0!</v>
      </c>
      <c r="AZ211" s="28" t="e">
        <f t="shared" si="2108"/>
        <v>#DIV/0!</v>
      </c>
      <c r="BA211" s="28" t="e">
        <f t="shared" si="2108"/>
        <v>#DIV/0!</v>
      </c>
      <c r="BB211" s="28" t="e">
        <f t="shared" si="2108"/>
        <v>#DIV/0!</v>
      </c>
      <c r="BC211" s="28" t="e">
        <f t="shared" si="2108"/>
        <v>#DIV/0!</v>
      </c>
      <c r="BD211" s="28" t="e">
        <f t="shared" si="2108"/>
        <v>#DIV/0!</v>
      </c>
      <c r="BE211" s="28" t="e">
        <f t="shared" si="2108"/>
        <v>#DIV/0!</v>
      </c>
      <c r="BF211" s="28" t="e">
        <f t="shared" si="2108"/>
        <v>#DIV/0!</v>
      </c>
      <c r="BG211" s="28" t="e">
        <f t="shared" si="2108"/>
        <v>#DIV/0!</v>
      </c>
      <c r="BH211" s="28" t="e">
        <f t="shared" si="2108"/>
        <v>#DIV/0!</v>
      </c>
      <c r="BI211" s="28" t="e">
        <f t="shared" si="2108"/>
        <v>#DIV/0!</v>
      </c>
      <c r="BJ211" s="28" t="e">
        <f t="shared" si="2108"/>
        <v>#DIV/0!</v>
      </c>
      <c r="BK211" s="28" t="e">
        <f t="shared" si="2108"/>
        <v>#DIV/0!</v>
      </c>
      <c r="BL211" s="28" t="e">
        <f t="shared" si="2108"/>
        <v>#DIV/0!</v>
      </c>
      <c r="BM211" s="28" t="e">
        <f t="shared" si="2108"/>
        <v>#DIV/0!</v>
      </c>
      <c r="BN211" s="28" t="e">
        <f t="shared" si="2108"/>
        <v>#DIV/0!</v>
      </c>
      <c r="BO211" s="28" t="e">
        <f t="shared" si="2108"/>
        <v>#DIV/0!</v>
      </c>
      <c r="BP211" s="28" t="e">
        <f t="shared" si="2108"/>
        <v>#DIV/0!</v>
      </c>
      <c r="BQ211" s="28" t="e">
        <f t="shared" si="2108"/>
        <v>#DIV/0!</v>
      </c>
      <c r="BR211" s="28" t="e">
        <f t="shared" si="2108"/>
        <v>#DIV/0!</v>
      </c>
      <c r="BS211" s="28" t="e">
        <f t="shared" si="2108"/>
        <v>#DIV/0!</v>
      </c>
      <c r="BT211" s="28" t="e">
        <f t="shared" si="2108"/>
        <v>#DIV/0!</v>
      </c>
      <c r="BU211" s="28" t="e">
        <f t="shared" si="2108"/>
        <v>#DIV/0!</v>
      </c>
      <c r="BV211" s="28" t="e">
        <f t="shared" si="2108"/>
        <v>#DIV/0!</v>
      </c>
      <c r="BW211" s="28" t="e">
        <f t="shared" si="2108"/>
        <v>#DIV/0!</v>
      </c>
      <c r="BX211" s="28" t="e">
        <f t="shared" si="2108"/>
        <v>#DIV/0!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0</v>
      </c>
      <c r="K213" s="22">
        <f t="shared" si="2113"/>
        <v>0</v>
      </c>
      <c r="L213" s="22">
        <f t="shared" si="2113"/>
        <v>-51.820993300000005</v>
      </c>
      <c r="M213" s="22">
        <f t="shared" si="2113"/>
        <v>-3.1808599999989084E-2</v>
      </c>
      <c r="N213" s="22">
        <f t="shared" si="2113"/>
        <v>-4.2064755000000034</v>
      </c>
      <c r="O213" s="22">
        <f t="shared" si="2113"/>
        <v>45.218119099999967</v>
      </c>
      <c r="P213" s="22">
        <f t="shared" si="2113"/>
        <v>-25.348227599999941</v>
      </c>
      <c r="Q213" s="22">
        <f t="shared" si="2113"/>
        <v>-50.844453200000004</v>
      </c>
      <c r="R213" s="22">
        <f t="shared" si="2113"/>
        <v>-6.3786472000000103</v>
      </c>
      <c r="S213" s="22">
        <f t="shared" si="2113"/>
        <v>-39.678290200000021</v>
      </c>
      <c r="T213" s="22">
        <f t="shared" si="2113"/>
        <v>36.906039300000032</v>
      </c>
      <c r="U213" s="22">
        <f t="shared" si="2113"/>
        <v>-91.998999999999867</v>
      </c>
      <c r="V213" s="22">
        <f t="shared" si="2113"/>
        <v>-4.4950000000000827</v>
      </c>
      <c r="W213" s="22">
        <f t="shared" si="2113"/>
        <v>28.20399999999993</v>
      </c>
      <c r="X213" s="22">
        <f t="shared" ref="X213:Y213" si="2114">X199+X201</f>
        <v>-64.520999999999958</v>
      </c>
      <c r="Y213" s="22">
        <f t="shared" si="2114"/>
        <v>-100.01299999999995</v>
      </c>
      <c r="Z213" s="22">
        <f t="shared" ref="Z213:AA213" si="2115">Z199+Z201</f>
        <v>-331.37900000000002</v>
      </c>
      <c r="AA213" s="22">
        <f t="shared" ref="AA213" si="2116">AA199+AA201</f>
        <v>6.2580000000000453</v>
      </c>
      <c r="AB213" s="21">
        <f t="shared" ref="AB213:AD213" si="2117">AB199+AB201</f>
        <v>197.88329589637959</v>
      </c>
      <c r="AC213" s="21">
        <f t="shared" si="2117"/>
        <v>166.68569983118451</v>
      </c>
      <c r="AD213" s="21">
        <f t="shared" si="2117"/>
        <v>135.53181864837671</v>
      </c>
      <c r="AE213" s="21">
        <f t="shared" ref="AE213" si="2118">AE199+AE201</f>
        <v>109.08750196433745</v>
      </c>
      <c r="AI213" s="22">
        <f t="shared" ref="AI213" si="2119">AI199+AI201</f>
        <v>0</v>
      </c>
      <c r="AJ213" s="22">
        <f t="shared" ref="AJ213:AL213" si="2120">AJ199+AJ201</f>
        <v>0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 t="e">
        <f t="shared" si="2122"/>
        <v>#DIV/0!</v>
      </c>
      <c r="AV213" s="22" t="e">
        <f t="shared" si="2122"/>
        <v>#DIV/0!</v>
      </c>
      <c r="AW213" s="22" t="e">
        <f t="shared" si="2122"/>
        <v>#DIV/0!</v>
      </c>
      <c r="AX213" s="22" t="e">
        <f t="shared" si="2122"/>
        <v>#DIV/0!</v>
      </c>
      <c r="AY213" s="22" t="e">
        <f t="shared" si="2122"/>
        <v>#DIV/0!</v>
      </c>
      <c r="AZ213" s="22" t="e">
        <f t="shared" si="2122"/>
        <v>#DIV/0!</v>
      </c>
      <c r="BA213" s="22" t="e">
        <f t="shared" si="2122"/>
        <v>#DIV/0!</v>
      </c>
      <c r="BB213" s="22" t="e">
        <f t="shared" si="2122"/>
        <v>#DIV/0!</v>
      </c>
      <c r="BC213" s="22" t="e">
        <f t="shared" si="2122"/>
        <v>#DIV/0!</v>
      </c>
      <c r="BD213" s="22" t="e">
        <f t="shared" si="2122"/>
        <v>#DIV/0!</v>
      </c>
      <c r="BE213" s="22" t="e">
        <f t="shared" si="2122"/>
        <v>#DIV/0!</v>
      </c>
      <c r="BF213" s="22" t="e">
        <f t="shared" si="2122"/>
        <v>#DIV/0!</v>
      </c>
      <c r="BG213" s="22" t="e">
        <f t="shared" si="2122"/>
        <v>#DIV/0!</v>
      </c>
      <c r="BH213" s="22" t="e">
        <f t="shared" si="2122"/>
        <v>#DIV/0!</v>
      </c>
      <c r="BI213" s="22" t="e">
        <f t="shared" si="2122"/>
        <v>#DIV/0!</v>
      </c>
      <c r="BJ213" s="22" t="e">
        <f t="shared" si="2122"/>
        <v>#DIV/0!</v>
      </c>
      <c r="BK213" s="22" t="e">
        <f t="shared" si="2122"/>
        <v>#DIV/0!</v>
      </c>
      <c r="BL213" s="22" t="e">
        <f t="shared" si="2122"/>
        <v>#DIV/0!</v>
      </c>
      <c r="BM213" s="22" t="e">
        <f t="shared" si="2122"/>
        <v>#DIV/0!</v>
      </c>
      <c r="BN213" s="22" t="e">
        <f t="shared" si="2122"/>
        <v>#DIV/0!</v>
      </c>
      <c r="BO213" s="22" t="e">
        <f t="shared" si="2122"/>
        <v>#DIV/0!</v>
      </c>
      <c r="BP213" s="22" t="e">
        <f t="shared" si="2122"/>
        <v>#DIV/0!</v>
      </c>
      <c r="BQ213" s="22" t="e">
        <f t="shared" si="2122"/>
        <v>#DIV/0!</v>
      </c>
      <c r="BR213" s="22" t="e">
        <f t="shared" si="2122"/>
        <v>#DIV/0!</v>
      </c>
      <c r="BS213" s="22" t="e">
        <f t="shared" si="2122"/>
        <v>#DIV/0!</v>
      </c>
      <c r="BT213" s="22" t="e">
        <f t="shared" si="2122"/>
        <v>#DIV/0!</v>
      </c>
      <c r="BU213" s="22" t="e">
        <f t="shared" si="2122"/>
        <v>#DIV/0!</v>
      </c>
      <c r="BV213" s="22" t="e">
        <f t="shared" si="2122"/>
        <v>#DIV/0!</v>
      </c>
      <c r="BW213" s="22" t="e">
        <f t="shared" si="2122"/>
        <v>#DIV/0!</v>
      </c>
      <c r="BX213" s="22" t="e">
        <f t="shared" si="2122"/>
        <v>#DIV/0!</v>
      </c>
      <c r="BY213" s="22">
        <f t="shared" si="2122"/>
        <v>5.7179999999999733</v>
      </c>
      <c r="BZ213" s="22">
        <f t="shared" si="2122"/>
        <v>-332.15800000000007</v>
      </c>
      <c r="CA213" s="22">
        <f t="shared" si="2122"/>
        <v>70.829078326957813</v>
      </c>
      <c r="CB213" s="22">
        <f t="shared" si="2122"/>
        <v>-276.48407832695767</v>
      </c>
      <c r="CC213" s="22">
        <f t="shared" si="2122"/>
        <v>-28.082278812217705</v>
      </c>
      <c r="CD213" s="22">
        <f t="shared" si="2122"/>
        <v>133.72427881221768</v>
      </c>
      <c r="CE213" s="22">
        <f t="shared" ref="CE213:CF213" si="2123">CE199+CE201</f>
        <v>121.16371718949931</v>
      </c>
      <c r="CF213" s="22">
        <f t="shared" si="2123"/>
        <v>-356.01071718949947</v>
      </c>
      <c r="CG213" s="22">
        <f t="shared" ref="CG213:CH213" si="2124">CG199+CG201</f>
        <v>-72.554801324945416</v>
      </c>
      <c r="CH213" s="22">
        <f t="shared" si="2124"/>
        <v>-23.977198675054552</v>
      </c>
      <c r="CI213" s="22">
        <f t="shared" ref="CI213:CJ213" si="2125">CI199+CI201</f>
        <v>198.72459895106931</v>
      </c>
      <c r="CJ213" s="22">
        <f t="shared" si="2125"/>
        <v>-90.240598951069245</v>
      </c>
      <c r="CK213" s="21">
        <f t="shared" ref="CK213:DB213" si="2126">CK199+CK201</f>
        <v>34.238386268083921</v>
      </c>
      <c r="CL213" s="22">
        <f t="shared" si="2126"/>
        <v>-136.46438626808384</v>
      </c>
      <c r="CM213" s="21">
        <f t="shared" si="2126"/>
        <v>252.66628161108892</v>
      </c>
      <c r="CN213" s="21">
        <f t="shared" si="2126"/>
        <v>-2.4903803371962852E-2</v>
      </c>
      <c r="CO213" s="21">
        <f t="shared" si="2126"/>
        <v>30.984654617612723</v>
      </c>
      <c r="CP213" s="21">
        <f t="shared" si="2126"/>
        <v>-85.742736528950246</v>
      </c>
      <c r="CQ213" s="21">
        <f t="shared" si="2126"/>
        <v>212.68107174407302</v>
      </c>
      <c r="CR213" s="21">
        <f t="shared" si="2126"/>
        <v>2.9842833215776707</v>
      </c>
      <c r="CS213" s="21">
        <f t="shared" si="2126"/>
        <v>23.599327810201466</v>
      </c>
      <c r="CT213" s="21">
        <f t="shared" si="2126"/>
        <v>-72.578983044667694</v>
      </c>
      <c r="CU213" s="21">
        <f t="shared" si="2126"/>
        <v>174.59448360346181</v>
      </c>
      <c r="CV213" s="21">
        <f t="shared" si="2126"/>
        <v>2.3138047316171111</v>
      </c>
      <c r="CW213" s="21">
        <f t="shared" si="2126"/>
        <v>18.509096836150462</v>
      </c>
      <c r="CX213" s="21">
        <f t="shared" si="2126"/>
        <v>-59.885566522852798</v>
      </c>
      <c r="CY213" s="21">
        <f t="shared" si="2126"/>
        <v>142.33746090234644</v>
      </c>
      <c r="CZ213" s="21">
        <f t="shared" si="2126"/>
        <v>1.4630234677085205</v>
      </c>
      <c r="DA213" s="21">
        <f t="shared" si="2126"/>
        <v>14.623581546345452</v>
      </c>
      <c r="DB213" s="21">
        <f t="shared" si="2126"/>
        <v>-49.336563952062939</v>
      </c>
      <c r="DE213" s="126"/>
      <c r="DF213" s="22">
        <v>6.2580000000003011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0</v>
      </c>
      <c r="AT225" s="66">
        <f t="shared" si="2127"/>
        <v>0</v>
      </c>
      <c r="AU225" s="66">
        <f t="shared" si="2127"/>
        <v>0</v>
      </c>
      <c r="AV225" s="66">
        <f t="shared" si="2127"/>
        <v>0</v>
      </c>
      <c r="AW225" s="66">
        <f t="shared" si="2127"/>
        <v>0</v>
      </c>
      <c r="AX225" s="66">
        <f t="shared" si="2127"/>
        <v>0</v>
      </c>
      <c r="AY225" s="66">
        <f t="shared" si="2127"/>
        <v>0</v>
      </c>
      <c r="AZ225" s="66">
        <f t="shared" si="2127"/>
        <v>0</v>
      </c>
      <c r="BA225" s="66">
        <f t="shared" si="2127"/>
        <v>0</v>
      </c>
      <c r="BB225" s="66">
        <f t="shared" si="2127"/>
        <v>0</v>
      </c>
      <c r="BC225" s="66">
        <f t="shared" si="2127"/>
        <v>0</v>
      </c>
      <c r="BD225" s="66">
        <f t="shared" si="2127"/>
        <v>0</v>
      </c>
      <c r="BE225" s="66">
        <f t="shared" si="2127"/>
        <v>0</v>
      </c>
      <c r="BF225" s="66">
        <f t="shared" si="2127"/>
        <v>0</v>
      </c>
      <c r="BG225" s="66">
        <f t="shared" si="2127"/>
        <v>0</v>
      </c>
      <c r="BH225" s="66">
        <f t="shared" si="2127"/>
        <v>0</v>
      </c>
      <c r="BI225" s="66">
        <f t="shared" si="2127"/>
        <v>0</v>
      </c>
      <c r="BJ225" s="66">
        <f t="shared" si="2127"/>
        <v>0</v>
      </c>
      <c r="BK225" s="66">
        <f t="shared" si="2127"/>
        <v>0</v>
      </c>
      <c r="BL225" s="66">
        <f t="shared" si="2127"/>
        <v>0</v>
      </c>
      <c r="BM225" s="66">
        <f t="shared" si="2127"/>
        <v>0</v>
      </c>
      <c r="BN225" s="66">
        <f t="shared" si="2127"/>
        <v>0</v>
      </c>
      <c r="BO225" s="66">
        <f t="shared" si="2127"/>
        <v>0</v>
      </c>
      <c r="BP225" s="66">
        <f t="shared" si="2127"/>
        <v>0</v>
      </c>
      <c r="BQ225" s="66">
        <f t="shared" si="2127"/>
        <v>0</v>
      </c>
      <c r="BR225" s="66">
        <f t="shared" ref="BR225:CW225" si="2128">SUM(BO10:BR10)</f>
        <v>0</v>
      </c>
      <c r="BS225" s="66">
        <f t="shared" si="2128"/>
        <v>0</v>
      </c>
      <c r="BT225" s="66">
        <f t="shared" si="2128"/>
        <v>0</v>
      </c>
      <c r="BU225" s="66">
        <f t="shared" si="2128"/>
        <v>0</v>
      </c>
      <c r="BV225" s="66">
        <f t="shared" si="2128"/>
        <v>0</v>
      </c>
      <c r="BW225" s="66">
        <f t="shared" si="2128"/>
        <v>170.11500000000001</v>
      </c>
      <c r="BX225" s="66">
        <f t="shared" si="2128"/>
        <v>340.27</v>
      </c>
      <c r="BY225" s="66">
        <f t="shared" si="2128"/>
        <v>553.24</v>
      </c>
      <c r="BZ225" s="66">
        <f t="shared" si="2128"/>
        <v>830.60300000000007</v>
      </c>
      <c r="CA225" s="66">
        <f t="shared" si="2128"/>
        <v>877.63600000000008</v>
      </c>
      <c r="CB225" s="66">
        <f t="shared" si="2128"/>
        <v>998.6400000000001</v>
      </c>
      <c r="CC225" s="66">
        <f t="shared" si="2128"/>
        <v>1106.712</v>
      </c>
      <c r="CD225" s="66">
        <f t="shared" si="2128"/>
        <v>1189.4299999999998</v>
      </c>
      <c r="CE225" s="66">
        <f t="shared" si="2128"/>
        <v>1229.182</v>
      </c>
      <c r="CF225" s="66">
        <f t="shared" si="2128"/>
        <v>1327.473</v>
      </c>
      <c r="CG225" s="66">
        <f t="shared" si="2128"/>
        <v>1450.6669999999999</v>
      </c>
      <c r="CH225" s="66">
        <f t="shared" si="2128"/>
        <v>1518.6409999999998</v>
      </c>
      <c r="CI225" s="66">
        <f t="shared" si="2128"/>
        <v>1538.019</v>
      </c>
      <c r="CJ225" s="66">
        <f t="shared" si="2128"/>
        <v>1459.203</v>
      </c>
      <c r="CK225" s="50">
        <f t="shared" si="2128"/>
        <v>1317.835</v>
      </c>
      <c r="CL225" s="66">
        <f t="shared" si="2128"/>
        <v>1258.857</v>
      </c>
      <c r="CM225" s="50">
        <f t="shared" si="2128"/>
        <v>1218.5925072859445</v>
      </c>
      <c r="CN225" s="50">
        <f t="shared" si="2128"/>
        <v>1156.1453373447546</v>
      </c>
      <c r="CO225" s="50">
        <f t="shared" si="2128"/>
        <v>1095.3613199037864</v>
      </c>
      <c r="CP225" s="50">
        <f t="shared" si="2128"/>
        <v>1032.1341393080213</v>
      </c>
      <c r="CQ225" s="50">
        <f t="shared" si="2128"/>
        <v>989.72388300411558</v>
      </c>
      <c r="CR225" s="50">
        <f t="shared" si="2128"/>
        <v>943.01934647401549</v>
      </c>
      <c r="CS225" s="50">
        <f t="shared" si="2128"/>
        <v>898.24085780711721</v>
      </c>
      <c r="CT225" s="50">
        <f t="shared" si="2128"/>
        <v>842.86983106040407</v>
      </c>
      <c r="CU225" s="50">
        <f t="shared" si="2128"/>
        <v>807.34905667445889</v>
      </c>
      <c r="CV225" s="50">
        <f t="shared" si="2128"/>
        <v>770.19240858356432</v>
      </c>
      <c r="CW225" s="50">
        <f t="shared" si="2128"/>
        <v>733.99182044427846</v>
      </c>
      <c r="CX225" s="50">
        <f t="shared" ref="CX225:DB225" si="2129">SUM(CU10:CX10)</f>
        <v>688.12895514598677</v>
      </c>
      <c r="CY225" s="50">
        <f t="shared" si="2129"/>
        <v>659.10248154385272</v>
      </c>
      <c r="CZ225" s="50">
        <f t="shared" si="2129"/>
        <v>628.92374578436988</v>
      </c>
      <c r="DA225" s="50">
        <f t="shared" si="2129"/>
        <v>599.36729370306989</v>
      </c>
      <c r="DB225" s="50">
        <f t="shared" si="2129"/>
        <v>561.82898139183499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0</v>
      </c>
      <c r="AM226" s="66">
        <f t="shared" si="2130"/>
        <v>0</v>
      </c>
      <c r="AN226" s="66">
        <f t="shared" si="2130"/>
        <v>0</v>
      </c>
      <c r="AO226" s="66">
        <f t="shared" si="2130"/>
        <v>0</v>
      </c>
      <c r="AP226" s="66">
        <f t="shared" si="2130"/>
        <v>0</v>
      </c>
      <c r="AQ226" s="66">
        <f t="shared" si="2130"/>
        <v>0</v>
      </c>
      <c r="AR226" s="66">
        <f t="shared" si="2130"/>
        <v>0</v>
      </c>
      <c r="AS226" s="66">
        <f t="shared" si="2130"/>
        <v>0</v>
      </c>
      <c r="AT226" s="66">
        <f t="shared" si="2130"/>
        <v>0</v>
      </c>
      <c r="AU226" s="66">
        <f t="shared" si="2130"/>
        <v>0</v>
      </c>
      <c r="AV226" s="66">
        <f t="shared" si="2130"/>
        <v>0</v>
      </c>
      <c r="AW226" s="66">
        <f t="shared" si="2130"/>
        <v>0</v>
      </c>
      <c r="AX226" s="66">
        <f t="shared" si="2130"/>
        <v>0</v>
      </c>
      <c r="AY226" s="66">
        <f t="shared" si="2130"/>
        <v>0</v>
      </c>
      <c r="AZ226" s="66">
        <f t="shared" si="2130"/>
        <v>0</v>
      </c>
      <c r="BA226" s="66">
        <f t="shared" si="2130"/>
        <v>0</v>
      </c>
      <c r="BB226" s="66">
        <f t="shared" si="2130"/>
        <v>0</v>
      </c>
      <c r="BC226" s="66">
        <f t="shared" si="2130"/>
        <v>0</v>
      </c>
      <c r="BD226" s="66">
        <f t="shared" si="2130"/>
        <v>0</v>
      </c>
      <c r="BE226" s="66">
        <f t="shared" si="2130"/>
        <v>0</v>
      </c>
      <c r="BF226" s="66">
        <f t="shared" si="2130"/>
        <v>0</v>
      </c>
      <c r="BG226" s="66">
        <f t="shared" si="2130"/>
        <v>0</v>
      </c>
      <c r="BH226" s="66">
        <f t="shared" si="2130"/>
        <v>0</v>
      </c>
      <c r="BI226" s="66">
        <f t="shared" si="2130"/>
        <v>0</v>
      </c>
      <c r="BJ226" s="66">
        <f t="shared" si="2130"/>
        <v>0</v>
      </c>
      <c r="BK226" s="66">
        <f t="shared" si="2130"/>
        <v>0</v>
      </c>
      <c r="BL226" s="66">
        <f t="shared" si="2130"/>
        <v>0</v>
      </c>
      <c r="BM226" s="66">
        <f t="shared" si="2130"/>
        <v>0</v>
      </c>
      <c r="BN226" s="66">
        <f t="shared" si="2130"/>
        <v>0</v>
      </c>
      <c r="BO226" s="66">
        <f t="shared" si="2130"/>
        <v>0</v>
      </c>
      <c r="BP226" s="66">
        <f t="shared" si="2130"/>
        <v>0</v>
      </c>
      <c r="BQ226" s="66">
        <f t="shared" si="2130"/>
        <v>0</v>
      </c>
      <c r="BR226" s="66">
        <f t="shared" ref="BR226:CW226" si="2131">SUM(BO28:BR28)</f>
        <v>0</v>
      </c>
      <c r="BS226" s="66">
        <f t="shared" si="2131"/>
        <v>0</v>
      </c>
      <c r="BT226" s="66">
        <f t="shared" si="2131"/>
        <v>0</v>
      </c>
      <c r="BU226" s="66">
        <f t="shared" si="2131"/>
        <v>0</v>
      </c>
      <c r="BV226" s="66">
        <f t="shared" si="2131"/>
        <v>0</v>
      </c>
      <c r="BW226" s="66">
        <f t="shared" si="2131"/>
        <v>11.576000000000001</v>
      </c>
      <c r="BX226" s="66">
        <f t="shared" si="2131"/>
        <v>35.234999999999999</v>
      </c>
      <c r="BY226" s="66">
        <f t="shared" si="2131"/>
        <v>54.439999999999969</v>
      </c>
      <c r="BZ226" s="66">
        <f t="shared" si="2131"/>
        <v>86.349999999999966</v>
      </c>
      <c r="CA226" s="66">
        <f t="shared" si="2131"/>
        <v>94.756999999999977</v>
      </c>
      <c r="CB226" s="66">
        <f t="shared" si="2131"/>
        <v>93.962000000000018</v>
      </c>
      <c r="CC226" s="66">
        <f t="shared" si="2131"/>
        <v>104.19400000000002</v>
      </c>
      <c r="CD226" s="66">
        <f t="shared" si="2131"/>
        <v>108.57100000000005</v>
      </c>
      <c r="CE226" s="66">
        <f t="shared" si="2131"/>
        <v>107.59400000000005</v>
      </c>
      <c r="CF226" s="66">
        <f t="shared" si="2131"/>
        <v>116.36400000000002</v>
      </c>
      <c r="CG226" s="66">
        <f t="shared" si="2131"/>
        <v>115.06100000000001</v>
      </c>
      <c r="CH226" s="66">
        <f t="shared" si="2131"/>
        <v>136.18899999999999</v>
      </c>
      <c r="CI226" s="66">
        <f t="shared" si="2131"/>
        <v>140.09200000000001</v>
      </c>
      <c r="CJ226" s="66">
        <f t="shared" si="2131"/>
        <v>139.65100000000001</v>
      </c>
      <c r="CK226" s="50">
        <f t="shared" si="2131"/>
        <v>138.53100000000003</v>
      </c>
      <c r="CL226" s="66">
        <f t="shared" si="2131"/>
        <v>124.191</v>
      </c>
      <c r="CM226" s="50">
        <f t="shared" si="2131"/>
        <v>124.24855398784018</v>
      </c>
      <c r="CN226" s="50">
        <f t="shared" si="2131"/>
        <v>118.09956482385277</v>
      </c>
      <c r="CO226" s="50">
        <f t="shared" si="2131"/>
        <v>115.54344688852972</v>
      </c>
      <c r="CP226" s="50">
        <f t="shared" si="2131"/>
        <v>104.27368271952737</v>
      </c>
      <c r="CQ226" s="50">
        <f t="shared" si="2131"/>
        <v>100.8242006527733</v>
      </c>
      <c r="CR226" s="50">
        <f t="shared" si="2131"/>
        <v>96.267806431028177</v>
      </c>
      <c r="CS226" s="50">
        <f t="shared" si="2131"/>
        <v>91.911130091803088</v>
      </c>
      <c r="CT226" s="50">
        <f t="shared" si="2131"/>
        <v>85.677423745092895</v>
      </c>
      <c r="CU226" s="50">
        <f t="shared" si="2131"/>
        <v>82.224031884542683</v>
      </c>
      <c r="CV226" s="50">
        <f t="shared" si="2131"/>
        <v>78.467619385036059</v>
      </c>
      <c r="CW226" s="50">
        <f t="shared" si="2131"/>
        <v>74.775043754714432</v>
      </c>
      <c r="CX226" s="50">
        <f t="shared" ref="CX226:DB226" si="2132">SUM(CU28:CX28)</f>
        <v>70.042335452650349</v>
      </c>
      <c r="CY226" s="50">
        <f t="shared" si="2132"/>
        <v>67.114213061687423</v>
      </c>
      <c r="CZ226" s="50">
        <f t="shared" si="2132"/>
        <v>64.04229639043794</v>
      </c>
      <c r="DA226" s="50">
        <f t="shared" si="2132"/>
        <v>61.0285670279481</v>
      </c>
      <c r="DB226" s="50">
        <f t="shared" si="2132"/>
        <v>57.201322372153655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</v>
      </c>
      <c r="AM227" s="66">
        <f t="shared" si="2133"/>
        <v>0</v>
      </c>
      <c r="AN227" s="66">
        <f t="shared" si="2133"/>
        <v>0</v>
      </c>
      <c r="AO227" s="66">
        <f t="shared" si="2133"/>
        <v>0</v>
      </c>
      <c r="AP227" s="66">
        <f t="shared" si="2133"/>
        <v>0</v>
      </c>
      <c r="AQ227" s="66">
        <f t="shared" si="2133"/>
        <v>0</v>
      </c>
      <c r="AR227" s="66">
        <f t="shared" si="2133"/>
        <v>0</v>
      </c>
      <c r="AS227" s="66">
        <f t="shared" si="2133"/>
        <v>0</v>
      </c>
      <c r="AT227" s="66">
        <f t="shared" si="2133"/>
        <v>0</v>
      </c>
      <c r="AU227" s="66">
        <f t="shared" si="2133"/>
        <v>0</v>
      </c>
      <c r="AV227" s="66">
        <f t="shared" si="2133"/>
        <v>0</v>
      </c>
      <c r="AW227" s="66">
        <f t="shared" si="2133"/>
        <v>0</v>
      </c>
      <c r="AX227" s="66">
        <f t="shared" si="2133"/>
        <v>0</v>
      </c>
      <c r="AY227" s="66">
        <f t="shared" si="2133"/>
        <v>0</v>
      </c>
      <c r="AZ227" s="66">
        <f t="shared" si="2133"/>
        <v>0</v>
      </c>
      <c r="BA227" s="66">
        <f t="shared" si="2133"/>
        <v>0</v>
      </c>
      <c r="BB227" s="66">
        <f t="shared" si="2133"/>
        <v>0</v>
      </c>
      <c r="BC227" s="66">
        <f t="shared" si="2133"/>
        <v>0</v>
      </c>
      <c r="BD227" s="66">
        <f t="shared" si="2133"/>
        <v>0</v>
      </c>
      <c r="BE227" s="66">
        <f t="shared" si="2133"/>
        <v>0</v>
      </c>
      <c r="BF227" s="66">
        <f t="shared" si="2133"/>
        <v>0</v>
      </c>
      <c r="BG227" s="66">
        <f t="shared" si="2133"/>
        <v>0</v>
      </c>
      <c r="BH227" s="66">
        <f t="shared" si="2133"/>
        <v>0</v>
      </c>
      <c r="BI227" s="66">
        <f t="shared" si="2133"/>
        <v>0</v>
      </c>
      <c r="BJ227" s="66">
        <f t="shared" si="2133"/>
        <v>0</v>
      </c>
      <c r="BK227" s="66">
        <f t="shared" si="2133"/>
        <v>0</v>
      </c>
      <c r="BL227" s="66">
        <f t="shared" si="2133"/>
        <v>0</v>
      </c>
      <c r="BM227" s="66">
        <f t="shared" si="2133"/>
        <v>0</v>
      </c>
      <c r="BN227" s="66">
        <f t="shared" si="2133"/>
        <v>0</v>
      </c>
      <c r="BO227" s="66">
        <f t="shared" si="2133"/>
        <v>0</v>
      </c>
      <c r="BP227" s="66">
        <f t="shared" si="2133"/>
        <v>0</v>
      </c>
      <c r="BQ227" s="66">
        <f t="shared" si="2133"/>
        <v>0</v>
      </c>
      <c r="BR227" s="66">
        <f t="shared" ref="BR227:CW227" si="2134">SUM(BO41:BR41)</f>
        <v>0</v>
      </c>
      <c r="BS227" s="66">
        <f t="shared" si="2134"/>
        <v>0</v>
      </c>
      <c r="BT227" s="66">
        <f t="shared" si="2134"/>
        <v>0</v>
      </c>
      <c r="BU227" s="66">
        <f t="shared" si="2134"/>
        <v>0</v>
      </c>
      <c r="BV227" s="66">
        <f t="shared" si="2134"/>
        <v>0</v>
      </c>
      <c r="BW227" s="66">
        <f t="shared" si="2134"/>
        <v>6.322000000000001</v>
      </c>
      <c r="BX227" s="66">
        <f t="shared" si="2134"/>
        <v>13.422000000000002</v>
      </c>
      <c r="BY227" s="66">
        <f t="shared" si="2134"/>
        <v>19.139999999999976</v>
      </c>
      <c r="BZ227" s="66">
        <f t="shared" si="2134"/>
        <v>31.726999999999968</v>
      </c>
      <c r="CA227" s="66">
        <f t="shared" si="2134"/>
        <v>30.763999999999967</v>
      </c>
      <c r="CB227" s="66">
        <f t="shared" si="2134"/>
        <v>38.317000000000014</v>
      </c>
      <c r="CC227" s="66">
        <f t="shared" si="2134"/>
        <v>51.039000000000023</v>
      </c>
      <c r="CD227" s="66">
        <f t="shared" si="2134"/>
        <v>61.196000000000055</v>
      </c>
      <c r="CE227" s="66">
        <f t="shared" si="2134"/>
        <v>66.433000000000064</v>
      </c>
      <c r="CF227" s="66">
        <f t="shared" si="2134"/>
        <v>67.234000000000023</v>
      </c>
      <c r="CG227" s="66">
        <f t="shared" si="2134"/>
        <v>59.784999999999997</v>
      </c>
      <c r="CH227" s="66">
        <f t="shared" si="2134"/>
        <v>68.075999999999993</v>
      </c>
      <c r="CI227" s="66">
        <f t="shared" si="2134"/>
        <v>64.943000000000012</v>
      </c>
      <c r="CJ227" s="66">
        <f t="shared" si="2134"/>
        <v>81.634</v>
      </c>
      <c r="CK227" s="50">
        <f t="shared" si="2134"/>
        <v>81.876000000000033</v>
      </c>
      <c r="CL227" s="66">
        <f t="shared" si="2134"/>
        <v>73.282000000000011</v>
      </c>
      <c r="CM227" s="50">
        <f t="shared" si="2134"/>
        <v>74.761262690305045</v>
      </c>
      <c r="CN227" s="50">
        <f t="shared" si="2134"/>
        <v>53.163248839742003</v>
      </c>
      <c r="CO227" s="50">
        <f t="shared" si="2134"/>
        <v>52.086235395731769</v>
      </c>
      <c r="CP227" s="50">
        <f t="shared" si="2134"/>
        <v>45.642472409292665</v>
      </c>
      <c r="CQ227" s="50">
        <f t="shared" si="2134"/>
        <v>44.093101204664109</v>
      </c>
      <c r="CR227" s="50">
        <f t="shared" si="2134"/>
        <v>41.564767847772337</v>
      </c>
      <c r="CS227" s="50">
        <f t="shared" si="2134"/>
        <v>39.412057821769451</v>
      </c>
      <c r="CT227" s="50">
        <f t="shared" si="2134"/>
        <v>35.845148548415658</v>
      </c>
      <c r="CU227" s="50">
        <f t="shared" si="2134"/>
        <v>34.125797593164208</v>
      </c>
      <c r="CV227" s="50">
        <f t="shared" si="2134"/>
        <v>32.20125938197323</v>
      </c>
      <c r="CW227" s="50">
        <f t="shared" si="2134"/>
        <v>30.30590109521976</v>
      </c>
      <c r="CX227" s="50">
        <f t="shared" ref="CX227:DB227" si="2135">SUM(CU41:CX41)</f>
        <v>27.567758542992159</v>
      </c>
      <c r="CY227" s="50">
        <f t="shared" si="2135"/>
        <v>26.102550037889571</v>
      </c>
      <c r="CZ227" s="50">
        <f t="shared" si="2135"/>
        <v>24.547959345182075</v>
      </c>
      <c r="DA227" s="50">
        <f t="shared" si="2135"/>
        <v>22.994111118684629</v>
      </c>
      <c r="DB227" s="50">
        <f t="shared" si="2135"/>
        <v>20.781147006459161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406.95080000000002</v>
      </c>
      <c r="P231" s="64">
        <f t="shared" si="2136"/>
        <v>446.27395580000001</v>
      </c>
      <c r="Q231" s="64">
        <f t="shared" si="2136"/>
        <v>264.49208599999997</v>
      </c>
      <c r="R231" s="64">
        <f t="shared" si="2136"/>
        <v>366.00576539999997</v>
      </c>
      <c r="S231" s="64">
        <f t="shared" si="2136"/>
        <v>391.43990989999998</v>
      </c>
      <c r="T231" s="64">
        <f t="shared" si="2136"/>
        <v>480.47</v>
      </c>
      <c r="U231" s="64">
        <f t="shared" si="2136"/>
        <v>457.08699999999999</v>
      </c>
      <c r="V231" s="64">
        <f t="shared" si="2136"/>
        <v>628.02800000000002</v>
      </c>
      <c r="W231" s="64">
        <f t="shared" si="2136"/>
        <v>720.53300000000002</v>
      </c>
      <c r="X231" s="64">
        <f t="shared" si="2136"/>
        <v>832.03300000000002</v>
      </c>
      <c r="Y231" s="64">
        <f t="shared" si="2136"/>
        <v>1191.8710000000001</v>
      </c>
      <c r="Z231" s="64">
        <f t="shared" si="2136"/>
        <v>1519.626</v>
      </c>
      <c r="AA231" s="64">
        <f t="shared" ref="AA231" si="2137">AA8-AA237</f>
        <v>1261.4849999999999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0</v>
      </c>
      <c r="AT231" s="64">
        <f t="shared" si="2138"/>
        <v>0</v>
      </c>
      <c r="AU231" s="64">
        <f t="shared" si="2138"/>
        <v>0</v>
      </c>
      <c r="AV231" s="64">
        <f t="shared" si="2138"/>
        <v>0</v>
      </c>
      <c r="AW231" s="64">
        <f t="shared" si="2138"/>
        <v>0</v>
      </c>
      <c r="AX231" s="64">
        <f t="shared" si="2138"/>
        <v>0</v>
      </c>
      <c r="AY231" s="64">
        <f t="shared" si="2138"/>
        <v>0</v>
      </c>
      <c r="AZ231" s="64">
        <f t="shared" si="2138"/>
        <v>0</v>
      </c>
      <c r="BA231" s="64">
        <f t="shared" si="2138"/>
        <v>0</v>
      </c>
      <c r="BB231" s="64">
        <f t="shared" si="2138"/>
        <v>0</v>
      </c>
      <c r="BC231" s="64">
        <f t="shared" si="2138"/>
        <v>0</v>
      </c>
      <c r="BD231" s="64">
        <f t="shared" si="2138"/>
        <v>0</v>
      </c>
      <c r="BE231" s="64">
        <f t="shared" si="2138"/>
        <v>0</v>
      </c>
      <c r="BF231" s="64">
        <f t="shared" si="2138"/>
        <v>0</v>
      </c>
      <c r="BG231" s="64">
        <f t="shared" si="2138"/>
        <v>0</v>
      </c>
      <c r="BH231" s="64">
        <f t="shared" si="2138"/>
        <v>0</v>
      </c>
      <c r="BI231" s="64">
        <f t="shared" si="2138"/>
        <v>0</v>
      </c>
      <c r="BJ231" s="64">
        <f t="shared" si="2138"/>
        <v>0</v>
      </c>
      <c r="BK231" s="64">
        <f t="shared" si="2138"/>
        <v>0</v>
      </c>
      <c r="BL231" s="64">
        <f t="shared" si="2138"/>
        <v>0</v>
      </c>
      <c r="BM231" s="64">
        <f t="shared" si="2138"/>
        <v>0</v>
      </c>
      <c r="BN231" s="64">
        <f t="shared" si="2138"/>
        <v>0</v>
      </c>
      <c r="BO231" s="64">
        <f t="shared" ref="BO231:CT231" si="2139">BO8-BO237</f>
        <v>0</v>
      </c>
      <c r="BP231" s="64">
        <f t="shared" si="2139"/>
        <v>0</v>
      </c>
      <c r="BQ231" s="64">
        <f t="shared" si="2139"/>
        <v>0</v>
      </c>
      <c r="BR231" s="64">
        <f t="shared" si="2139"/>
        <v>0</v>
      </c>
      <c r="BS231" s="64">
        <f t="shared" si="2139"/>
        <v>0</v>
      </c>
      <c r="BT231" s="64">
        <f t="shared" si="2139"/>
        <v>0</v>
      </c>
      <c r="BU231" s="64">
        <f t="shared" si="2139"/>
        <v>0</v>
      </c>
      <c r="BV231" s="64">
        <f t="shared" si="2139"/>
        <v>0</v>
      </c>
      <c r="BW231" s="64">
        <f t="shared" si="2139"/>
        <v>170.11500000000001</v>
      </c>
      <c r="BX231" s="64">
        <f t="shared" si="2139"/>
        <v>170.155</v>
      </c>
      <c r="BY231" s="64">
        <f t="shared" si="2139"/>
        <v>214.4</v>
      </c>
      <c r="BZ231" s="64">
        <f t="shared" si="2139"/>
        <v>277.363</v>
      </c>
      <c r="CA231" s="64">
        <f t="shared" si="2139"/>
        <v>217.148</v>
      </c>
      <c r="CB231" s="64">
        <f t="shared" si="2139"/>
        <v>291.83800000000002</v>
      </c>
      <c r="CC231" s="64">
        <f t="shared" si="2139"/>
        <v>321.04199999999997</v>
      </c>
      <c r="CD231" s="64">
        <f t="shared" si="2139"/>
        <v>361.84300000000002</v>
      </c>
      <c r="CE231" s="64">
        <f t="shared" si="2139"/>
        <v>257.88499999999999</v>
      </c>
      <c r="CF231" s="64">
        <f t="shared" si="2139"/>
        <v>389.45</v>
      </c>
      <c r="CG231" s="64">
        <f t="shared" si="2139"/>
        <v>444.23599999999999</v>
      </c>
      <c r="CH231" s="64">
        <f t="shared" si="2139"/>
        <v>428.05500000000001</v>
      </c>
      <c r="CI231" s="64">
        <f t="shared" si="2139"/>
        <v>278.42700000000002</v>
      </c>
      <c r="CJ231" s="64">
        <f t="shared" si="2139"/>
        <v>310.63400000000001</v>
      </c>
      <c r="CK231" s="30">
        <f t="shared" si="2139"/>
        <v>303.34699999999998</v>
      </c>
      <c r="CL231" s="64">
        <f t="shared" ref="CL231" si="2140">CL8-CL237</f>
        <v>369.077</v>
      </c>
      <c r="CM231" s="30">
        <f t="shared" si="2139"/>
        <v>236.01350728594451</v>
      </c>
      <c r="CN231" s="30">
        <f t="shared" si="2139"/>
        <v>248.18683005881007</v>
      </c>
      <c r="CO231" s="30">
        <f t="shared" si="2139"/>
        <v>242.08398255903171</v>
      </c>
      <c r="CP231" s="30">
        <f t="shared" si="2139"/>
        <v>305.84981940423489</v>
      </c>
      <c r="CQ231" s="30">
        <f t="shared" si="2139"/>
        <v>193.60325098203884</v>
      </c>
      <c r="CR231" s="30">
        <f t="shared" si="2139"/>
        <v>201.48229352871004</v>
      </c>
      <c r="CS231" s="30">
        <f t="shared" si="2139"/>
        <v>197.30549389213337</v>
      </c>
      <c r="CT231" s="30">
        <f t="shared" si="2139"/>
        <v>250.47879265752175</v>
      </c>
      <c r="CU231" s="30">
        <f t="shared" ref="CU231:DB231" si="2141">CU8-CU237</f>
        <v>158.08247659609364</v>
      </c>
      <c r="CV231" s="30">
        <f t="shared" si="2141"/>
        <v>164.32564543781552</v>
      </c>
      <c r="CW231" s="30">
        <f t="shared" si="2141"/>
        <v>161.10490575284757</v>
      </c>
      <c r="CX231" s="30">
        <f t="shared" si="2141"/>
        <v>204.61592735922994</v>
      </c>
      <c r="CY231" s="30">
        <f t="shared" si="2141"/>
        <v>129.05600299395979</v>
      </c>
      <c r="CZ231" s="30">
        <f t="shared" si="2141"/>
        <v>134.14690967833261</v>
      </c>
      <c r="DA231" s="30">
        <f t="shared" si="2141"/>
        <v>131.54845367154752</v>
      </c>
      <c r="DB231" s="30">
        <f t="shared" si="2141"/>
        <v>167.0776150479951</v>
      </c>
      <c r="DE231" s="139"/>
      <c r="DF231" s="64">
        <v>1261.4849999999999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0</v>
      </c>
      <c r="K232" s="64">
        <f t="shared" si="2142"/>
        <v>0</v>
      </c>
      <c r="L232" s="64">
        <f t="shared" si="2142"/>
        <v>0</v>
      </c>
      <c r="M232" s="64">
        <f t="shared" si="2142"/>
        <v>0</v>
      </c>
      <c r="N232" s="64">
        <f t="shared" si="2142"/>
        <v>0</v>
      </c>
      <c r="O232" s="64">
        <f t="shared" si="2142"/>
        <v>42.8247748</v>
      </c>
      <c r="P232" s="64">
        <f t="shared" si="2142"/>
        <v>37.717908200000032</v>
      </c>
      <c r="Q232" s="64">
        <f t="shared" si="2142"/>
        <v>16.527628599999986</v>
      </c>
      <c r="R232" s="64">
        <f t="shared" si="2142"/>
        <v>8.0155402000000038</v>
      </c>
      <c r="S232" s="64">
        <f t="shared" si="2142"/>
        <v>3.8225943999999856</v>
      </c>
      <c r="T232" s="64">
        <f t="shared" si="2142"/>
        <v>17.593000000000004</v>
      </c>
      <c r="U232" s="64">
        <f t="shared" si="2142"/>
        <v>13.732000000000028</v>
      </c>
      <c r="V232" s="64">
        <f t="shared" si="2142"/>
        <v>45.944000000000031</v>
      </c>
      <c r="W232" s="64">
        <f t="shared" si="2142"/>
        <v>84.04000000000002</v>
      </c>
      <c r="X232" s="64">
        <f t="shared" si="2142"/>
        <v>87.223999999999961</v>
      </c>
      <c r="Y232" s="64">
        <f t="shared" si="2142"/>
        <v>107.39600000000007</v>
      </c>
      <c r="Z232" s="64">
        <f t="shared" si="2142"/>
        <v>134.56900000000007</v>
      </c>
      <c r="AA232" s="64">
        <f t="shared" ref="AA232" si="2143">AA28-AA238</f>
        <v>123.3959999999999</v>
      </c>
      <c r="AB232" s="30"/>
      <c r="AC232" s="30"/>
      <c r="AD232" s="30"/>
      <c r="AE232" s="30"/>
      <c r="AI232" s="64">
        <f t="shared" ref="AI232:BN232" si="2144">AI28-AI238</f>
        <v>0</v>
      </c>
      <c r="AJ232" s="64">
        <f t="shared" si="2144"/>
        <v>0</v>
      </c>
      <c r="AK232" s="64">
        <f t="shared" si="2144"/>
        <v>0</v>
      </c>
      <c r="AL232" s="64">
        <f t="shared" si="2144"/>
        <v>0</v>
      </c>
      <c r="AM232" s="64">
        <f t="shared" si="2144"/>
        <v>0</v>
      </c>
      <c r="AN232" s="64">
        <f t="shared" si="2144"/>
        <v>0</v>
      </c>
      <c r="AO232" s="64">
        <f t="shared" si="2144"/>
        <v>0</v>
      </c>
      <c r="AP232" s="64">
        <f t="shared" si="2144"/>
        <v>0</v>
      </c>
      <c r="AQ232" s="64">
        <f t="shared" si="2144"/>
        <v>0</v>
      </c>
      <c r="AR232" s="64">
        <f t="shared" si="2144"/>
        <v>0</v>
      </c>
      <c r="AS232" s="64">
        <f t="shared" si="2144"/>
        <v>0</v>
      </c>
      <c r="AT232" s="64">
        <f t="shared" si="2144"/>
        <v>0</v>
      </c>
      <c r="AU232" s="64">
        <f t="shared" si="2144"/>
        <v>0</v>
      </c>
      <c r="AV232" s="64">
        <f t="shared" si="2144"/>
        <v>0</v>
      </c>
      <c r="AW232" s="64">
        <f t="shared" si="2144"/>
        <v>0</v>
      </c>
      <c r="AX232" s="64">
        <f t="shared" si="2144"/>
        <v>0</v>
      </c>
      <c r="AY232" s="64">
        <f t="shared" si="2144"/>
        <v>0</v>
      </c>
      <c r="AZ232" s="64">
        <f t="shared" si="2144"/>
        <v>0</v>
      </c>
      <c r="BA232" s="64">
        <f t="shared" si="2144"/>
        <v>0</v>
      </c>
      <c r="BB232" s="64">
        <f t="shared" si="2144"/>
        <v>0</v>
      </c>
      <c r="BC232" s="64">
        <f t="shared" si="2144"/>
        <v>0</v>
      </c>
      <c r="BD232" s="64">
        <f t="shared" si="2144"/>
        <v>0</v>
      </c>
      <c r="BE232" s="64">
        <f t="shared" si="2144"/>
        <v>0</v>
      </c>
      <c r="BF232" s="64">
        <f t="shared" si="2144"/>
        <v>0</v>
      </c>
      <c r="BG232" s="64">
        <f t="shared" si="2144"/>
        <v>0</v>
      </c>
      <c r="BH232" s="64">
        <f t="shared" si="2144"/>
        <v>0</v>
      </c>
      <c r="BI232" s="64">
        <f t="shared" si="2144"/>
        <v>0</v>
      </c>
      <c r="BJ232" s="64">
        <f t="shared" si="2144"/>
        <v>0</v>
      </c>
      <c r="BK232" s="64">
        <f t="shared" si="2144"/>
        <v>0</v>
      </c>
      <c r="BL232" s="64">
        <f t="shared" si="2144"/>
        <v>0</v>
      </c>
      <c r="BM232" s="64">
        <f t="shared" si="2144"/>
        <v>0</v>
      </c>
      <c r="BN232" s="64">
        <f t="shared" si="2144"/>
        <v>0</v>
      </c>
      <c r="BO232" s="64">
        <f t="shared" ref="BO232:CT232" si="2145">BO28-BO238</f>
        <v>0</v>
      </c>
      <c r="BP232" s="64">
        <f t="shared" si="2145"/>
        <v>0</v>
      </c>
      <c r="BQ232" s="64">
        <f t="shared" si="2145"/>
        <v>0</v>
      </c>
      <c r="BR232" s="64">
        <f t="shared" si="2145"/>
        <v>0</v>
      </c>
      <c r="BS232" s="64">
        <f t="shared" si="2145"/>
        <v>0</v>
      </c>
      <c r="BT232" s="64">
        <f t="shared" si="2145"/>
        <v>0</v>
      </c>
      <c r="BU232" s="64">
        <f t="shared" si="2145"/>
        <v>0</v>
      </c>
      <c r="BV232" s="64">
        <f t="shared" si="2145"/>
        <v>0</v>
      </c>
      <c r="BW232" s="64">
        <f t="shared" si="2145"/>
        <v>11.576000000000001</v>
      </c>
      <c r="BX232" s="64">
        <f t="shared" si="2145"/>
        <v>23.658999999999999</v>
      </c>
      <c r="BY232" s="64">
        <f t="shared" si="2145"/>
        <v>19.204999999999973</v>
      </c>
      <c r="BZ232" s="64">
        <f t="shared" si="2145"/>
        <v>31.909999999999997</v>
      </c>
      <c r="CA232" s="64">
        <f t="shared" si="2145"/>
        <v>19.982999999999997</v>
      </c>
      <c r="CB232" s="64">
        <f t="shared" si="2145"/>
        <v>22.864000000000054</v>
      </c>
      <c r="CC232" s="64">
        <f t="shared" si="2145"/>
        <v>29.436999999999976</v>
      </c>
      <c r="CD232" s="64">
        <f t="shared" si="2145"/>
        <v>36.287000000000027</v>
      </c>
      <c r="CE232" s="64">
        <f t="shared" si="2145"/>
        <v>19.006</v>
      </c>
      <c r="CF232" s="64">
        <f t="shared" si="2145"/>
        <v>31.634000000000015</v>
      </c>
      <c r="CG232" s="64">
        <f t="shared" si="2145"/>
        <v>28.133999999999958</v>
      </c>
      <c r="CH232" s="64">
        <f t="shared" si="2145"/>
        <v>57.41500000000002</v>
      </c>
      <c r="CI232" s="64">
        <f t="shared" si="2145"/>
        <v>22.90900000000002</v>
      </c>
      <c r="CJ232" s="64">
        <f t="shared" si="2145"/>
        <v>31.192999999999998</v>
      </c>
      <c r="CK232" s="30">
        <f t="shared" si="2145"/>
        <v>27.013999999999996</v>
      </c>
      <c r="CL232" s="64">
        <f t="shared" ref="CL232" si="2146">CL28-CL238</f>
        <v>43.074999999999989</v>
      </c>
      <c r="CM232" s="30">
        <f t="shared" si="2145"/>
        <v>22.9665539878402</v>
      </c>
      <c r="CN232" s="30">
        <f t="shared" si="2145"/>
        <v>25.044010836012589</v>
      </c>
      <c r="CO232" s="30">
        <f t="shared" si="2145"/>
        <v>24.457882064676937</v>
      </c>
      <c r="CP232" s="30">
        <f t="shared" si="2145"/>
        <v>31.805235830997646</v>
      </c>
      <c r="CQ232" s="30">
        <f t="shared" si="2145"/>
        <v>19.517071921086128</v>
      </c>
      <c r="CR232" s="30">
        <f t="shared" si="2145"/>
        <v>20.487616614267466</v>
      </c>
      <c r="CS232" s="30">
        <f t="shared" si="2145"/>
        <v>20.101205725451848</v>
      </c>
      <c r="CT232" s="30">
        <f t="shared" si="2145"/>
        <v>25.571529484287453</v>
      </c>
      <c r="CU232" s="30">
        <f t="shared" ref="CU232:DB232" si="2147">CU28-CU238</f>
        <v>16.063680060535916</v>
      </c>
      <c r="CV232" s="30">
        <f t="shared" si="2147"/>
        <v>16.731204114760843</v>
      </c>
      <c r="CW232" s="30">
        <f t="shared" si="2147"/>
        <v>16.408630095130228</v>
      </c>
      <c r="CX232" s="30">
        <f t="shared" si="2147"/>
        <v>20.838821182223363</v>
      </c>
      <c r="CY232" s="30">
        <f t="shared" si="2147"/>
        <v>13.135557669572997</v>
      </c>
      <c r="CZ232" s="30">
        <f t="shared" si="2147"/>
        <v>13.65928744351136</v>
      </c>
      <c r="DA232" s="30">
        <f t="shared" si="2147"/>
        <v>13.39490073264038</v>
      </c>
      <c r="DB232" s="30">
        <f t="shared" si="2147"/>
        <v>17.011576526428918</v>
      </c>
      <c r="DE232" s="139"/>
      <c r="DF232" s="64">
        <v>123.3959999999999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>
        <f t="shared" ref="O233" si="2160">+O232/O231</f>
        <v>0.10523329798098444</v>
      </c>
      <c r="P233" s="86">
        <f t="shared" ref="P233" si="2161">+P232/P231</f>
        <v>8.4517386035638409E-2</v>
      </c>
      <c r="Q233" s="86">
        <f t="shared" ref="Q233" si="2162">+Q232/Q231</f>
        <v>6.2488178190707705E-2</v>
      </c>
      <c r="R233" s="86">
        <f t="shared" ref="R233" si="2163">+R232/R231</f>
        <v>2.1900038080656978E-2</v>
      </c>
      <c r="S233" s="86">
        <f t="shared" ref="S233" si="2164">+S232/S231</f>
        <v>9.7654692414386995E-3</v>
      </c>
      <c r="T233" s="86">
        <f t="shared" ref="T233" si="2165">+T232/T231</f>
        <v>3.6616229941515602E-2</v>
      </c>
      <c r="U233" s="86">
        <f t="shared" ref="U233" si="2166">+U232/U231</f>
        <v>3.0042420808292575E-2</v>
      </c>
      <c r="V233" s="86">
        <f t="shared" ref="V233" si="2167">+V232/V231</f>
        <v>7.3155973937467797E-2</v>
      </c>
      <c r="W233" s="86">
        <f t="shared" ref="W233" si="2168">+W232/W231</f>
        <v>0.11663587927270509</v>
      </c>
      <c r="X233" s="86">
        <f t="shared" ref="X233:Y233" si="2169">+X232/X231</f>
        <v>0.10483238044644859</v>
      </c>
      <c r="Y233" s="86">
        <f t="shared" si="2169"/>
        <v>9.0107066956071638E-2</v>
      </c>
      <c r="Z233" s="86">
        <f t="shared" ref="Z233:AA233" si="2170">+Z232/Z231</f>
        <v>8.8554025793188634E-2</v>
      </c>
      <c r="AA233" s="86">
        <f t="shared" ref="AA233" si="2171">+AA232/AA231</f>
        <v>9.781804777702463E-2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 t="e">
        <f t="shared" ref="AS233" si="2182">+AS232/AS231</f>
        <v>#DIV/0!</v>
      </c>
      <c r="AT233" s="86" t="e">
        <f t="shared" ref="AT233" si="2183">+AT232/AT231</f>
        <v>#DIV/0!</v>
      </c>
      <c r="AU233" s="86" t="e">
        <f t="shared" ref="AU233" si="2184">+AU232/AU231</f>
        <v>#DIV/0!</v>
      </c>
      <c r="AV233" s="86" t="e">
        <f t="shared" ref="AV233" si="2185">+AV232/AV231</f>
        <v>#DIV/0!</v>
      </c>
      <c r="AW233" s="86" t="e">
        <f t="shared" ref="AW233" si="2186">+AW232/AW231</f>
        <v>#DIV/0!</v>
      </c>
      <c r="AX233" s="86" t="e">
        <f t="shared" ref="AX233" si="2187">+AX232/AX231</f>
        <v>#DIV/0!</v>
      </c>
      <c r="AY233" s="86" t="e">
        <f t="shared" ref="AY233" si="2188">+AY232/AY231</f>
        <v>#DIV/0!</v>
      </c>
      <c r="AZ233" s="86" t="e">
        <f t="shared" ref="AZ233" si="2189">+AZ232/AZ231</f>
        <v>#DIV/0!</v>
      </c>
      <c r="BA233" s="86" t="e">
        <f t="shared" ref="BA233" si="2190">+BA232/BA231</f>
        <v>#DIV/0!</v>
      </c>
      <c r="BB233" s="86" t="e">
        <f t="shared" ref="BB233" si="2191">+BB232/BB231</f>
        <v>#DIV/0!</v>
      </c>
      <c r="BC233" s="86" t="e">
        <f t="shared" ref="BC233" si="2192">+BC232/BC231</f>
        <v>#DIV/0!</v>
      </c>
      <c r="BD233" s="86" t="e">
        <f t="shared" ref="BD233" si="2193">+BD232/BD231</f>
        <v>#DIV/0!</v>
      </c>
      <c r="BE233" s="86" t="e">
        <f t="shared" ref="BE233" si="2194">+BE232/BE231</f>
        <v>#DIV/0!</v>
      </c>
      <c r="BF233" s="86" t="e">
        <f t="shared" ref="BF233" si="2195">+BF232/BF231</f>
        <v>#DIV/0!</v>
      </c>
      <c r="BG233" s="86" t="e">
        <f t="shared" ref="BG233" si="2196">+BG232/BG231</f>
        <v>#DIV/0!</v>
      </c>
      <c r="BH233" s="86" t="e">
        <f t="shared" ref="BH233" si="2197">+BH232/BH231</f>
        <v>#DIV/0!</v>
      </c>
      <c r="BI233" s="86" t="e">
        <f t="shared" ref="BI233" si="2198">+BI232/BI231</f>
        <v>#DIV/0!</v>
      </c>
      <c r="BJ233" s="86" t="e">
        <f t="shared" ref="BJ233" si="2199">+BJ232/BJ231</f>
        <v>#DIV/0!</v>
      </c>
      <c r="BK233" s="86" t="e">
        <f t="shared" ref="BK233" si="2200">+BK232/BK231</f>
        <v>#DIV/0!</v>
      </c>
      <c r="BL233" s="86" t="e">
        <f t="shared" ref="BL233" si="2201">+BL232/BL231</f>
        <v>#DIV/0!</v>
      </c>
      <c r="BM233" s="86" t="e">
        <f t="shared" ref="BM233" si="2202">+BM232/BM231</f>
        <v>#DIV/0!</v>
      </c>
      <c r="BN233" s="86" t="e">
        <f t="shared" ref="BN233" si="2203">+BN232/BN231</f>
        <v>#DIV/0!</v>
      </c>
      <c r="BO233" s="86" t="e">
        <f t="shared" ref="BO233" si="2204">+BO232/BO231</f>
        <v>#DIV/0!</v>
      </c>
      <c r="BP233" s="86" t="e">
        <f t="shared" ref="BP233" si="2205">+BP232/BP231</f>
        <v>#DIV/0!</v>
      </c>
      <c r="BQ233" s="86" t="e">
        <f t="shared" ref="BQ233" si="2206">+BQ232/BQ231</f>
        <v>#DIV/0!</v>
      </c>
      <c r="BR233" s="86" t="e">
        <f t="shared" ref="BR233" si="2207">+BR232/BR231</f>
        <v>#DIV/0!</v>
      </c>
      <c r="BS233" s="86" t="e">
        <f t="shared" ref="BS233" si="2208">+BS232/BS231</f>
        <v>#DIV/0!</v>
      </c>
      <c r="BT233" s="86" t="e">
        <f t="shared" ref="BT233" si="2209">+BT232/BT231</f>
        <v>#DIV/0!</v>
      </c>
      <c r="BU233" s="86" t="e">
        <f t="shared" ref="BU233" si="2210">+BU232/BU231</f>
        <v>#DIV/0!</v>
      </c>
      <c r="BV233" s="86" t="e">
        <f t="shared" ref="BV233" si="2211">+BV232/BV231</f>
        <v>#DIV/0!</v>
      </c>
      <c r="BW233" s="86">
        <f t="shared" ref="BW233" si="2212">+BW232/BW231</f>
        <v>6.8048085118890156E-2</v>
      </c>
      <c r="BX233" s="86">
        <f t="shared" ref="BX233" si="2213">+BX232/BX231</f>
        <v>0.13904381299403484</v>
      </c>
      <c r="BY233" s="86">
        <f t="shared" ref="BY233" si="2214">+BY232/BY231</f>
        <v>8.9575559701492405E-2</v>
      </c>
      <c r="BZ233" s="86">
        <f t="shared" ref="BZ233" si="2215">+BZ232/BZ231</f>
        <v>0.11504778935907095</v>
      </c>
      <c r="CA233" s="86">
        <f t="shared" ref="CA233" si="2216">+CA232/CA231</f>
        <v>9.2024794149612232E-2</v>
      </c>
      <c r="CB233" s="86">
        <f t="shared" ref="CB233:CC233" si="2217">+CB232/CB231</f>
        <v>7.8344835148267372E-2</v>
      </c>
      <c r="CC233" s="86">
        <f t="shared" si="2217"/>
        <v>9.1692052753222258E-2</v>
      </c>
      <c r="CD233" s="86">
        <f t="shared" ref="CD233" si="2218">+CD232/CD231</f>
        <v>0.10028382475272432</v>
      </c>
      <c r="CE233" s="86">
        <f t="shared" ref="CE233:CF233" si="2219">+CE232/CE231</f>
        <v>7.3699517226670813E-2</v>
      </c>
      <c r="CF233" s="86">
        <f t="shared" si="2219"/>
        <v>8.1227371934779857E-2</v>
      </c>
      <c r="CG233" s="86">
        <f t="shared" ref="CG233:CH233" si="2220">+CG232/CG231</f>
        <v>6.3331202333894498E-2</v>
      </c>
      <c r="CH233" s="86">
        <f t="shared" si="2220"/>
        <v>0.13412995993505511</v>
      </c>
      <c r="CI233" s="86">
        <f t="shared" ref="CI233:CJ233" si="2221">+CI232/CI231</f>
        <v>8.2280094962054753E-2</v>
      </c>
      <c r="CJ233" s="86">
        <f t="shared" si="2221"/>
        <v>0.1004172112518269</v>
      </c>
      <c r="CK233" s="47">
        <f t="shared" ref="CK233:DB233" si="2222">+CK232/CK231</f>
        <v>8.9053130573237896E-2</v>
      </c>
      <c r="CL233" s="86">
        <f t="shared" si="2222"/>
        <v>0.1167100632117417</v>
      </c>
      <c r="CM233" s="47">
        <f t="shared" si="2222"/>
        <v>9.7310337242752995E-2</v>
      </c>
      <c r="CN233" s="47">
        <f t="shared" si="2222"/>
        <v>0.10090789599947018</v>
      </c>
      <c r="CO233" s="47">
        <f t="shared" si="2222"/>
        <v>0.101030567186381</v>
      </c>
      <c r="CP233" s="47">
        <f t="shared" si="2222"/>
        <v>0.10398971591008649</v>
      </c>
      <c r="CQ233" s="47">
        <f t="shared" si="2222"/>
        <v>0.10080962908467268</v>
      </c>
      <c r="CR233" s="47">
        <f t="shared" si="2222"/>
        <v>0.10168445204515254</v>
      </c>
      <c r="CS233" s="47">
        <f t="shared" si="2222"/>
        <v>0.10187859105657315</v>
      </c>
      <c r="CT233" s="47">
        <f t="shared" si="2222"/>
        <v>0.10209059702412117</v>
      </c>
      <c r="CU233" s="47">
        <f t="shared" si="2222"/>
        <v>0.10161581730262988</v>
      </c>
      <c r="CV233" s="47">
        <f t="shared" si="2222"/>
        <v>0.10181736435711917</v>
      </c>
      <c r="CW233" s="47">
        <f t="shared" si="2222"/>
        <v>0.10185059243511088</v>
      </c>
      <c r="CX233" s="47">
        <f t="shared" si="2222"/>
        <v>0.10184359277974532</v>
      </c>
      <c r="CY233" s="47">
        <f t="shared" si="2222"/>
        <v>0.10178184171865125</v>
      </c>
      <c r="CZ233" s="47">
        <f t="shared" si="2222"/>
        <v>0.1018233478226566</v>
      </c>
      <c r="DA233" s="47">
        <f t="shared" si="2222"/>
        <v>0.10182484368904102</v>
      </c>
      <c r="DB233" s="47">
        <f t="shared" si="2222"/>
        <v>0.10181840650252359</v>
      </c>
      <c r="DE233" s="130"/>
      <c r="DF233" s="89">
        <v>9.781804777702463E-2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0</v>
      </c>
      <c r="K234" s="64">
        <f t="shared" si="2223"/>
        <v>0</v>
      </c>
      <c r="L234" s="64">
        <f t="shared" si="2223"/>
        <v>3.4259695000000008</v>
      </c>
      <c r="M234" s="64">
        <f t="shared" si="2223"/>
        <v>4.1452020000000003</v>
      </c>
      <c r="N234" s="64">
        <f t="shared" si="2223"/>
        <v>5.0267934999999992</v>
      </c>
      <c r="O234" s="64">
        <f t="shared" si="2223"/>
        <v>21.406023500000003</v>
      </c>
      <c r="P234" s="64">
        <f t="shared" si="2223"/>
        <v>20.699958500000029</v>
      </c>
      <c r="Q234" s="64">
        <f t="shared" si="2223"/>
        <v>3.7559751999999862</v>
      </c>
      <c r="R234" s="64">
        <f t="shared" si="2223"/>
        <v>0.59051890000000395</v>
      </c>
      <c r="S234" s="64">
        <f t="shared" si="2223"/>
        <v>-3.8440465000000139</v>
      </c>
      <c r="T234" s="64">
        <f t="shared" si="2223"/>
        <v>-0.93299999999999605</v>
      </c>
      <c r="U234" s="64">
        <f t="shared" si="2223"/>
        <v>-6.7039999999999722</v>
      </c>
      <c r="V234" s="64">
        <f t="shared" si="2223"/>
        <v>11.81400000000003</v>
      </c>
      <c r="W234" s="64">
        <f t="shared" si="2223"/>
        <v>39.795000000000009</v>
      </c>
      <c r="X234" s="64">
        <f t="shared" si="2223"/>
        <v>31.726999999999975</v>
      </c>
      <c r="Y234" s="64">
        <f t="shared" si="2223"/>
        <v>61.196000000000069</v>
      </c>
      <c r="Z234" s="64">
        <f t="shared" si="2223"/>
        <v>68.076000000000064</v>
      </c>
      <c r="AA234" s="64">
        <f t="shared" ref="AA234" si="2224">AA41-AA240</f>
        <v>73.281999999999897</v>
      </c>
      <c r="AB234" s="30"/>
      <c r="AC234" s="30"/>
      <c r="AD234" s="30"/>
      <c r="AE234" s="30"/>
      <c r="AI234" s="64">
        <f t="shared" ref="AI234:BN234" si="2225">AI41-AI240</f>
        <v>0</v>
      </c>
      <c r="AJ234" s="64">
        <f t="shared" si="2225"/>
        <v>0</v>
      </c>
      <c r="AK234" s="64">
        <f t="shared" si="2225"/>
        <v>0</v>
      </c>
      <c r="AL234" s="64">
        <f t="shared" si="2225"/>
        <v>0</v>
      </c>
      <c r="AM234" s="64">
        <f t="shared" si="2225"/>
        <v>0</v>
      </c>
      <c r="AN234" s="64">
        <f t="shared" si="2225"/>
        <v>0</v>
      </c>
      <c r="AO234" s="64">
        <f t="shared" si="2225"/>
        <v>0</v>
      </c>
      <c r="AP234" s="64">
        <f t="shared" si="2225"/>
        <v>0</v>
      </c>
      <c r="AQ234" s="64">
        <f t="shared" si="2225"/>
        <v>0</v>
      </c>
      <c r="AR234" s="64">
        <f t="shared" si="2225"/>
        <v>0</v>
      </c>
      <c r="AS234" s="64">
        <f t="shared" si="2225"/>
        <v>0</v>
      </c>
      <c r="AT234" s="64">
        <f t="shared" si="2225"/>
        <v>0</v>
      </c>
      <c r="AU234" s="64">
        <f t="shared" si="2225"/>
        <v>0</v>
      </c>
      <c r="AV234" s="64">
        <f t="shared" si="2225"/>
        <v>0</v>
      </c>
      <c r="AW234" s="64">
        <f t="shared" si="2225"/>
        <v>0</v>
      </c>
      <c r="AX234" s="64">
        <f t="shared" si="2225"/>
        <v>0</v>
      </c>
      <c r="AY234" s="64">
        <f t="shared" si="2225"/>
        <v>0</v>
      </c>
      <c r="AZ234" s="64">
        <f t="shared" si="2225"/>
        <v>0</v>
      </c>
      <c r="BA234" s="64">
        <f t="shared" si="2225"/>
        <v>0</v>
      </c>
      <c r="BB234" s="64">
        <f t="shared" si="2225"/>
        <v>0</v>
      </c>
      <c r="BC234" s="64">
        <f t="shared" si="2225"/>
        <v>0</v>
      </c>
      <c r="BD234" s="64">
        <f t="shared" si="2225"/>
        <v>0</v>
      </c>
      <c r="BE234" s="64">
        <f t="shared" si="2225"/>
        <v>0</v>
      </c>
      <c r="BF234" s="64">
        <f t="shared" si="2225"/>
        <v>0</v>
      </c>
      <c r="BG234" s="64">
        <f t="shared" si="2225"/>
        <v>0</v>
      </c>
      <c r="BH234" s="64">
        <f t="shared" si="2225"/>
        <v>0</v>
      </c>
      <c r="BI234" s="64">
        <f t="shared" si="2225"/>
        <v>0</v>
      </c>
      <c r="BJ234" s="64">
        <f t="shared" si="2225"/>
        <v>0</v>
      </c>
      <c r="BK234" s="64">
        <f t="shared" si="2225"/>
        <v>0</v>
      </c>
      <c r="BL234" s="64">
        <f t="shared" si="2225"/>
        <v>0</v>
      </c>
      <c r="BM234" s="64">
        <f t="shared" si="2225"/>
        <v>0</v>
      </c>
      <c r="BN234" s="64">
        <f t="shared" si="2225"/>
        <v>0</v>
      </c>
      <c r="BO234" s="64">
        <f t="shared" ref="BO234:CT234" si="2226">BO41-BO240</f>
        <v>0</v>
      </c>
      <c r="BP234" s="64">
        <f t="shared" si="2226"/>
        <v>0</v>
      </c>
      <c r="BQ234" s="64">
        <f t="shared" si="2226"/>
        <v>0</v>
      </c>
      <c r="BR234" s="64">
        <f t="shared" si="2226"/>
        <v>0</v>
      </c>
      <c r="BS234" s="64">
        <f t="shared" si="2226"/>
        <v>0</v>
      </c>
      <c r="BT234" s="64">
        <f t="shared" si="2226"/>
        <v>0</v>
      </c>
      <c r="BU234" s="64">
        <f t="shared" si="2226"/>
        <v>0</v>
      </c>
      <c r="BV234" s="64">
        <f t="shared" si="2226"/>
        <v>0</v>
      </c>
      <c r="BW234" s="64">
        <f t="shared" si="2226"/>
        <v>6.322000000000001</v>
      </c>
      <c r="BX234" s="64">
        <f t="shared" si="2226"/>
        <v>7.1000000000000014</v>
      </c>
      <c r="BY234" s="64">
        <f t="shared" si="2226"/>
        <v>5.7179999999999742</v>
      </c>
      <c r="BZ234" s="64">
        <f t="shared" si="2226"/>
        <v>12.586999999999994</v>
      </c>
      <c r="CA234" s="64">
        <f t="shared" si="2226"/>
        <v>5.3589999999999964</v>
      </c>
      <c r="CB234" s="64">
        <f t="shared" si="2226"/>
        <v>14.65300000000005</v>
      </c>
      <c r="CC234" s="64">
        <f t="shared" si="2226"/>
        <v>18.439999999999984</v>
      </c>
      <c r="CD234" s="64">
        <f t="shared" si="2226"/>
        <v>22.744000000000028</v>
      </c>
      <c r="CE234" s="64">
        <f t="shared" si="2226"/>
        <v>10.596</v>
      </c>
      <c r="CF234" s="64">
        <f t="shared" si="2226"/>
        <v>15.454000000000011</v>
      </c>
      <c r="CG234" s="64">
        <f t="shared" si="2226"/>
        <v>10.990999999999961</v>
      </c>
      <c r="CH234" s="64">
        <f t="shared" si="2226"/>
        <v>31.035000000000018</v>
      </c>
      <c r="CI234" s="64">
        <f t="shared" si="2226"/>
        <v>7.4630000000000205</v>
      </c>
      <c r="CJ234" s="64">
        <f t="shared" si="2226"/>
        <v>32.144999999999996</v>
      </c>
      <c r="CK234" s="30">
        <f t="shared" si="2226"/>
        <v>11.232999999999997</v>
      </c>
      <c r="CL234" s="64">
        <f t="shared" ref="CL234" si="2227">CL41-CL240</f>
        <v>22.440999999999988</v>
      </c>
      <c r="CM234" s="30">
        <f t="shared" si="2226"/>
        <v>8.9422626903050606</v>
      </c>
      <c r="CN234" s="30">
        <f t="shared" si="2226"/>
        <v>10.546986149436954</v>
      </c>
      <c r="CO234" s="30">
        <f t="shared" si="2226"/>
        <v>10.155986555989761</v>
      </c>
      <c r="CP234" s="30">
        <f t="shared" si="2226"/>
        <v>15.997237013560891</v>
      </c>
      <c r="CQ234" s="30">
        <f t="shared" si="2226"/>
        <v>7.3928914856765013</v>
      </c>
      <c r="CR234" s="30">
        <f t="shared" si="2226"/>
        <v>8.0186527925451827</v>
      </c>
      <c r="CS234" s="30">
        <f t="shared" si="2226"/>
        <v>8.0032765299868771</v>
      </c>
      <c r="CT234" s="30">
        <f t="shared" si="2226"/>
        <v>12.430327740207098</v>
      </c>
      <c r="CU234" s="30">
        <f t="shared" ref="CU234:DB234" si="2228">CU41-CU240</f>
        <v>5.6735405304250479</v>
      </c>
      <c r="CV234" s="30">
        <f t="shared" si="2228"/>
        <v>6.0941145813542068</v>
      </c>
      <c r="CW234" s="30">
        <f t="shared" si="2228"/>
        <v>6.1079182432334065</v>
      </c>
      <c r="CX234" s="30">
        <f t="shared" si="2228"/>
        <v>9.6921851879794971</v>
      </c>
      <c r="CY234" s="30">
        <f t="shared" si="2228"/>
        <v>4.208332025322461</v>
      </c>
      <c r="CZ234" s="30">
        <f t="shared" si="2228"/>
        <v>4.53952388864671</v>
      </c>
      <c r="DA234" s="30">
        <f t="shared" si="2228"/>
        <v>4.5540700167359587</v>
      </c>
      <c r="DB234" s="30">
        <f t="shared" si="2228"/>
        <v>7.4792210757540305</v>
      </c>
      <c r="DE234" s="139"/>
      <c r="DF234" s="64">
        <v>73.281999999999897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 t="e">
        <f t="shared" si="2283"/>
        <v>#DIV/0!</v>
      </c>
      <c r="K244" s="84" t="e">
        <f t="shared" si="2283"/>
        <v>#DIV/0!</v>
      </c>
      <c r="L244" s="84">
        <f t="shared" si="2283"/>
        <v>0</v>
      </c>
      <c r="M244" s="84">
        <f t="shared" si="2283"/>
        <v>0</v>
      </c>
      <c r="N244" s="84">
        <f t="shared" si="2283"/>
        <v>0</v>
      </c>
      <c r="O244" s="84">
        <f t="shared" si="2283"/>
        <v>1.3963028735343348</v>
      </c>
      <c r="P244" s="84">
        <f t="shared" si="2283"/>
        <v>2.2153516689014987</v>
      </c>
      <c r="Q244" s="84">
        <f t="shared" si="2283"/>
        <v>1.0025629844606336</v>
      </c>
      <c r="R244" s="84">
        <f t="shared" si="2283"/>
        <v>1.2684924440686618</v>
      </c>
      <c r="S244" s="84">
        <f t="shared" si="2283"/>
        <v>1.1275924266115198</v>
      </c>
      <c r="T244" s="84">
        <f t="shared" si="2283"/>
        <v>1.0417484253547695</v>
      </c>
      <c r="U244" s="84">
        <f t="shared" si="2283"/>
        <v>0.77871762633438624</v>
      </c>
      <c r="V244" s="84">
        <f t="shared" si="2283"/>
        <v>0.98187213405396612</v>
      </c>
      <c r="W244" s="84">
        <f t="shared" si="2283"/>
        <v>0.93249462270963646</v>
      </c>
      <c r="X244" s="84">
        <f t="shared" si="2283"/>
        <v>0.82394433842963621</v>
      </c>
      <c r="Y244" s="84">
        <f t="shared" si="2283"/>
        <v>0.77839116822252918</v>
      </c>
      <c r="Z244" s="84">
        <f>Z10/(Z161+Z148+Z138)</f>
        <v>0.92112446060041775</v>
      </c>
      <c r="AA244" s="84">
        <f>AA10/(AA161+AA148+AA138)</f>
        <v>0.77919081785433686</v>
      </c>
      <c r="AB244" s="50">
        <f t="shared" ref="AB244:AE244" si="2284">AB10/(AB161+AB148+AB138)</f>
        <v>0.65538516778528344</v>
      </c>
      <c r="AC244" s="50">
        <f t="shared" si="2284"/>
        <v>0.55014381880379193</v>
      </c>
      <c r="AD244" s="50">
        <f t="shared" si="2284"/>
        <v>0.46042569802729499</v>
      </c>
      <c r="AE244" s="50">
        <f t="shared" si="2284"/>
        <v>0.38427742994781056</v>
      </c>
      <c r="AL244" s="84" t="e">
        <f>SUM(AI10:AL10)/(AL161+AL148+AL138)</f>
        <v>#DIV/0!</v>
      </c>
      <c r="AM244" s="84" t="e">
        <f t="shared" ref="AM244:CL244" si="2285">SUM(AJ10:AM10)/(AM161+AM148+AM138)</f>
        <v>#DIV/0!</v>
      </c>
      <c r="AN244" s="84" t="e">
        <f t="shared" si="2285"/>
        <v>#DIV/0!</v>
      </c>
      <c r="AO244" s="84" t="e">
        <f t="shared" si="2285"/>
        <v>#DIV/0!</v>
      </c>
      <c r="AP244" s="84" t="e">
        <f t="shared" si="2285"/>
        <v>#DIV/0!</v>
      </c>
      <c r="AQ244" s="84" t="e">
        <f t="shared" si="2285"/>
        <v>#DIV/0!</v>
      </c>
      <c r="AR244" s="84" t="e">
        <f t="shared" si="2285"/>
        <v>#DIV/0!</v>
      </c>
      <c r="AS244" s="84" t="e">
        <f t="shared" si="2285"/>
        <v>#DIV/0!</v>
      </c>
      <c r="AT244" s="84" t="e">
        <f t="shared" si="2285"/>
        <v>#DIV/0!</v>
      </c>
      <c r="AU244" s="84" t="e">
        <f t="shared" si="2285"/>
        <v>#DIV/0!</v>
      </c>
      <c r="AV244" s="84" t="e">
        <f t="shared" si="2285"/>
        <v>#DIV/0!</v>
      </c>
      <c r="AW244" s="84" t="e">
        <f t="shared" si="2285"/>
        <v>#DIV/0!</v>
      </c>
      <c r="AX244" s="84" t="e">
        <f t="shared" si="2285"/>
        <v>#DIV/0!</v>
      </c>
      <c r="AY244" s="84" t="e">
        <f t="shared" si="2285"/>
        <v>#DIV/0!</v>
      </c>
      <c r="AZ244" s="84" t="e">
        <f t="shared" si="2285"/>
        <v>#DIV/0!</v>
      </c>
      <c r="BA244" s="84" t="e">
        <f t="shared" si="2285"/>
        <v>#DIV/0!</v>
      </c>
      <c r="BB244" s="84" t="e">
        <f t="shared" si="2285"/>
        <v>#DIV/0!</v>
      </c>
      <c r="BC244" s="84" t="e">
        <f t="shared" si="2285"/>
        <v>#DIV/0!</v>
      </c>
      <c r="BD244" s="84" t="e">
        <f t="shared" si="2285"/>
        <v>#DIV/0!</v>
      </c>
      <c r="BE244" s="84" t="e">
        <f t="shared" si="2285"/>
        <v>#DIV/0!</v>
      </c>
      <c r="BF244" s="84" t="e">
        <f t="shared" si="2285"/>
        <v>#DIV/0!</v>
      </c>
      <c r="BG244" s="84" t="e">
        <f t="shared" si="2285"/>
        <v>#DIV/0!</v>
      </c>
      <c r="BH244" s="84" t="e">
        <f t="shared" si="2285"/>
        <v>#DIV/0!</v>
      </c>
      <c r="BI244" s="84" t="e">
        <f t="shared" si="2285"/>
        <v>#DIV/0!</v>
      </c>
      <c r="BJ244" s="84" t="e">
        <f t="shared" si="2285"/>
        <v>#DIV/0!</v>
      </c>
      <c r="BK244" s="84" t="e">
        <f t="shared" si="2285"/>
        <v>#DIV/0!</v>
      </c>
      <c r="BL244" s="84" t="e">
        <f t="shared" si="2285"/>
        <v>#DIV/0!</v>
      </c>
      <c r="BM244" s="84" t="e">
        <f t="shared" si="2285"/>
        <v>#DIV/0!</v>
      </c>
      <c r="BN244" s="84" t="e">
        <f t="shared" si="2285"/>
        <v>#DIV/0!</v>
      </c>
      <c r="BO244" s="84" t="e">
        <f t="shared" si="2285"/>
        <v>#DIV/0!</v>
      </c>
      <c r="BP244" s="84" t="e">
        <f t="shared" si="2285"/>
        <v>#DIV/0!</v>
      </c>
      <c r="BQ244" s="84" t="e">
        <f t="shared" si="2285"/>
        <v>#DIV/0!</v>
      </c>
      <c r="BR244" s="84" t="e">
        <f t="shared" si="2285"/>
        <v>#DIV/0!</v>
      </c>
      <c r="BS244" s="84" t="e">
        <f t="shared" si="2285"/>
        <v>#DIV/0!</v>
      </c>
      <c r="BT244" s="84" t="e">
        <f t="shared" si="2285"/>
        <v>#DIV/0!</v>
      </c>
      <c r="BU244" s="84" t="e">
        <f t="shared" si="2285"/>
        <v>#DIV/0!</v>
      </c>
      <c r="BV244" s="84" t="e">
        <f t="shared" si="2285"/>
        <v>#DIV/0!</v>
      </c>
      <c r="BW244" s="84" t="e">
        <f t="shared" si="2285"/>
        <v>#DIV/0!</v>
      </c>
      <c r="BX244" s="84" t="e">
        <f t="shared" si="2285"/>
        <v>#DIV/0!</v>
      </c>
      <c r="BY244" s="84">
        <f t="shared" si="2285"/>
        <v>96.75410982861186</v>
      </c>
      <c r="BZ244" s="84">
        <f t="shared" si="2285"/>
        <v>0.82252824026531546</v>
      </c>
      <c r="CA244" s="84">
        <f t="shared" si="2285"/>
        <v>0.92068140824087252</v>
      </c>
      <c r="CB244" s="84">
        <f t="shared" si="2285"/>
        <v>0.62362264909735721</v>
      </c>
      <c r="CC244" s="84">
        <f t="shared" si="2285"/>
        <v>0.67181006587535896</v>
      </c>
      <c r="CD244" s="84">
        <f t="shared" si="2285"/>
        <v>0.77679699163661375</v>
      </c>
      <c r="CE244" s="84">
        <f t="shared" si="2285"/>
        <v>0.84641587356511849</v>
      </c>
      <c r="CF244" s="84">
        <f t="shared" si="2285"/>
        <v>0.81998607694003989</v>
      </c>
      <c r="CG244" s="84">
        <f t="shared" si="2285"/>
        <v>0.86931921297265446</v>
      </c>
      <c r="CH244" s="84">
        <f t="shared" si="2285"/>
        <v>0.92052740080169648</v>
      </c>
      <c r="CI244" s="84">
        <f t="shared" si="2285"/>
        <v>1.0394329492718719</v>
      </c>
      <c r="CJ244" s="84">
        <f t="shared" si="2285"/>
        <v>0.89036706820153777</v>
      </c>
      <c r="CK244" s="50">
        <f t="shared" ref="CK244" si="2286">SUM(CH10:CK10)/(CK161+CK148+CK138)</f>
        <v>0.80515989225410878</v>
      </c>
      <c r="CL244" s="84">
        <f t="shared" si="2285"/>
        <v>0.77756756155773299</v>
      </c>
      <c r="CM244" s="50">
        <f t="shared" ref="CM244:DB244" si="2287">SUM(CJ10:CM10)/(CM161+CM148+CM138)</f>
        <v>0.84682742707710201</v>
      </c>
      <c r="CN244" s="50">
        <f t="shared" si="2287"/>
        <v>0.78818890940770669</v>
      </c>
      <c r="CO244" s="50">
        <f t="shared" si="2287"/>
        <v>0.74599120974527244</v>
      </c>
      <c r="CP244" s="50">
        <f t="shared" si="2287"/>
        <v>0.65538516778528344</v>
      </c>
      <c r="CQ244" s="50">
        <f t="shared" si="2287"/>
        <v>0.69557034205671342</v>
      </c>
      <c r="CR244" s="50">
        <f t="shared" si="2287"/>
        <v>0.65392116347098139</v>
      </c>
      <c r="CS244" s="50">
        <f t="shared" si="2287"/>
        <v>0.62197584932034622</v>
      </c>
      <c r="CT244" s="50">
        <f t="shared" si="2287"/>
        <v>0.55014381880379193</v>
      </c>
      <c r="CU244" s="50">
        <f t="shared" si="2287"/>
        <v>0.57397411820234323</v>
      </c>
      <c r="CV244" s="50">
        <f t="shared" si="2287"/>
        <v>0.54179686310216002</v>
      </c>
      <c r="CW244" s="50">
        <f t="shared" si="2287"/>
        <v>0.51577414923908238</v>
      </c>
      <c r="CX244" s="50">
        <f t="shared" si="2287"/>
        <v>0.46042569802729499</v>
      </c>
      <c r="CY244" s="50">
        <f t="shared" si="2287"/>
        <v>0.47366651258782599</v>
      </c>
      <c r="CZ244" s="50">
        <f t="shared" si="2287"/>
        <v>0.4481884749671512</v>
      </c>
      <c r="DA244" s="50">
        <f t="shared" si="2287"/>
        <v>0.42686253334310664</v>
      </c>
      <c r="DB244" s="50">
        <f t="shared" si="2287"/>
        <v>0.38427742994781056</v>
      </c>
      <c r="DE244" s="138"/>
      <c r="DF244" s="84">
        <v>0.77756756155773321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>
        <f t="shared" si="2288"/>
        <v>5.2601010982162959E-2</v>
      </c>
      <c r="P245" s="181">
        <f t="shared" si="2288"/>
        <v>4.6624555042368822E-2</v>
      </c>
      <c r="Q245" s="181">
        <f t="shared" si="2288"/>
        <v>1.4646361098847043E-2</v>
      </c>
      <c r="R245" s="181">
        <f t="shared" si="2288"/>
        <v>1.7101417181489796E-3</v>
      </c>
      <c r="S245" s="181">
        <f t="shared" si="2288"/>
        <v>-9.9123903793750696E-3</v>
      </c>
      <c r="T245" s="181">
        <f t="shared" si="2288"/>
        <v>-1.9418486065727225E-3</v>
      </c>
      <c r="U245" s="181">
        <f t="shared" si="2288"/>
        <v>-1.4666792098659495E-2</v>
      </c>
      <c r="V245" s="181">
        <f t="shared" si="2288"/>
        <v>1.8811263192087025E-2</v>
      </c>
      <c r="W245" s="181">
        <f t="shared" si="2288"/>
        <v>5.5229947830286757E-2</v>
      </c>
      <c r="X245" s="181">
        <f t="shared" si="2288"/>
        <v>3.8131901018348999E-2</v>
      </c>
      <c r="Y245" s="181">
        <f t="shared" si="2288"/>
        <v>5.1344482750230576E-2</v>
      </c>
      <c r="Z245" s="181">
        <f t="shared" si="2288"/>
        <v>4.4797864737771045E-2</v>
      </c>
      <c r="AA245" s="181">
        <f t="shared" ref="AA245" si="2289">+AA42</f>
        <v>5.8091852063242848E-2</v>
      </c>
      <c r="AB245" s="182">
        <f t="shared" si="2288"/>
        <v>4.4221454044619746E-2</v>
      </c>
      <c r="AC245" s="182">
        <f t="shared" si="2288"/>
        <v>4.2527502145045769E-2</v>
      </c>
      <c r="AD245" s="182">
        <f t="shared" si="2288"/>
        <v>4.0061907491080358E-2</v>
      </c>
      <c r="AE245" s="182">
        <f t="shared" si="2288"/>
        <v>3.6988385602639062E-2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 t="e">
        <f t="shared" si="2290"/>
        <v>#DIV/0!</v>
      </c>
      <c r="AT245" s="181" t="e">
        <f t="shared" si="2290"/>
        <v>#DIV/0!</v>
      </c>
      <c r="AU245" s="181" t="e">
        <f t="shared" si="2290"/>
        <v>#DIV/0!</v>
      </c>
      <c r="AV245" s="181" t="e">
        <f t="shared" si="2290"/>
        <v>#DIV/0!</v>
      </c>
      <c r="AW245" s="181" t="e">
        <f t="shared" si="2290"/>
        <v>#DIV/0!</v>
      </c>
      <c r="AX245" s="181" t="e">
        <f t="shared" si="2290"/>
        <v>#DIV/0!</v>
      </c>
      <c r="AY245" s="181" t="e">
        <f t="shared" si="2290"/>
        <v>#DIV/0!</v>
      </c>
      <c r="AZ245" s="181" t="e">
        <f t="shared" si="2290"/>
        <v>#DIV/0!</v>
      </c>
      <c r="BA245" s="181" t="e">
        <f t="shared" si="2290"/>
        <v>#DIV/0!</v>
      </c>
      <c r="BB245" s="181" t="e">
        <f t="shared" si="2290"/>
        <v>#DIV/0!</v>
      </c>
      <c r="BC245" s="181" t="e">
        <f t="shared" si="2290"/>
        <v>#DIV/0!</v>
      </c>
      <c r="BD245" s="181" t="e">
        <f t="shared" si="2290"/>
        <v>#DIV/0!</v>
      </c>
      <c r="BE245" s="181" t="e">
        <f t="shared" si="2290"/>
        <v>#DIV/0!</v>
      </c>
      <c r="BF245" s="181" t="e">
        <f t="shared" si="2290"/>
        <v>#DIV/0!</v>
      </c>
      <c r="BG245" s="181" t="e">
        <f t="shared" si="2290"/>
        <v>#DIV/0!</v>
      </c>
      <c r="BH245" s="181" t="e">
        <f t="shared" si="2290"/>
        <v>#DIV/0!</v>
      </c>
      <c r="BI245" s="181" t="e">
        <f t="shared" si="2290"/>
        <v>#DIV/0!</v>
      </c>
      <c r="BJ245" s="181" t="e">
        <f t="shared" si="2290"/>
        <v>#DIV/0!</v>
      </c>
      <c r="BK245" s="181" t="e">
        <f t="shared" si="2290"/>
        <v>#DIV/0!</v>
      </c>
      <c r="BL245" s="181" t="e">
        <f t="shared" si="2290"/>
        <v>#DIV/0!</v>
      </c>
      <c r="BM245" s="181" t="e">
        <f t="shared" si="2290"/>
        <v>#DIV/0!</v>
      </c>
      <c r="BN245" s="181" t="e">
        <f t="shared" si="2290"/>
        <v>#DIV/0!</v>
      </c>
      <c r="BO245" s="181" t="e">
        <f t="shared" si="2290"/>
        <v>#DIV/0!</v>
      </c>
      <c r="BP245" s="181" t="e">
        <f t="shared" si="2290"/>
        <v>#DIV/0!</v>
      </c>
      <c r="BQ245" s="181" t="e">
        <f t="shared" si="2290"/>
        <v>#DIV/0!</v>
      </c>
      <c r="BR245" s="181" t="e">
        <f t="shared" si="2290"/>
        <v>#DIV/0!</v>
      </c>
      <c r="BS245" s="181" t="e">
        <f t="shared" si="2290"/>
        <v>#DIV/0!</v>
      </c>
      <c r="BT245" s="181" t="e">
        <f t="shared" si="2290"/>
        <v>#DIV/0!</v>
      </c>
      <c r="BU245" s="181" t="e">
        <f t="shared" si="2290"/>
        <v>#DIV/0!</v>
      </c>
      <c r="BV245" s="181" t="e">
        <f t="shared" si="2290"/>
        <v>#DIV/0!</v>
      </c>
      <c r="BW245" s="181">
        <f t="shared" si="2290"/>
        <v>3.7163095553008264E-2</v>
      </c>
      <c r="BX245" s="181">
        <f t="shared" si="2290"/>
        <v>4.1726660985571984E-2</v>
      </c>
      <c r="BY245" s="181">
        <f t="shared" si="2290"/>
        <v>2.6848851950978889E-2</v>
      </c>
      <c r="BZ245" s="181">
        <f t="shared" si="2290"/>
        <v>4.5380962853733171E-2</v>
      </c>
      <c r="CA245" s="181">
        <f t="shared" si="2290"/>
        <v>2.4679020760034615E-2</v>
      </c>
      <c r="CB245" s="181">
        <f t="shared" si="2290"/>
        <v>5.0326453930670347E-2</v>
      </c>
      <c r="CC245" s="181">
        <f t="shared" si="2290"/>
        <v>5.7437967617944022E-2</v>
      </c>
      <c r="CD245" s="181">
        <f t="shared" si="2290"/>
        <v>6.3163565975433378E-2</v>
      </c>
      <c r="CE245" s="181">
        <f t="shared" si="2290"/>
        <v>4.1245620864149478E-2</v>
      </c>
      <c r="CF245" s="181">
        <f t="shared" si="2290"/>
        <v>3.9681602259596896E-2</v>
      </c>
      <c r="CG245" s="181">
        <f t="shared" si="2290"/>
        <v>2.4741353694882812E-2</v>
      </c>
      <c r="CH245" s="181">
        <f t="shared" si="2290"/>
        <v>7.2502365350247094E-2</v>
      </c>
      <c r="CI245" s="181">
        <f t="shared" si="2290"/>
        <v>2.701264668196534E-2</v>
      </c>
      <c r="CJ245" s="181">
        <f t="shared" si="2290"/>
        <v>0.10348191118808628</v>
      </c>
      <c r="CK245" s="182">
        <f t="shared" si="2290"/>
        <v>3.7088764742396016E-2</v>
      </c>
      <c r="CL245" s="181">
        <f t="shared" ref="CL245" si="2291">+CL42</f>
        <v>6.0803030261977822E-2</v>
      </c>
      <c r="CM245" s="182">
        <f t="shared" si="2290"/>
        <v>3.7888775066890444E-2</v>
      </c>
      <c r="CN245" s="182">
        <f t="shared" si="2290"/>
        <v>4.2496155605588545E-2</v>
      </c>
      <c r="CO245" s="182">
        <f t="shared" si="2290"/>
        <v>4.195232765353752E-2</v>
      </c>
      <c r="CP245" s="182">
        <f t="shared" si="2290"/>
        <v>5.230422252568899E-2</v>
      </c>
      <c r="CQ245" s="182">
        <f t="shared" si="2290"/>
        <v>3.818578173753065E-2</v>
      </c>
      <c r="CR245" s="182">
        <f t="shared" si="2290"/>
        <v>3.9798300148904009E-2</v>
      </c>
      <c r="CS245" s="182">
        <f t="shared" si="2290"/>
        <v>4.056286711591648E-2</v>
      </c>
      <c r="CT245" s="182">
        <f t="shared" si="2290"/>
        <v>4.9626268189511019E-2</v>
      </c>
      <c r="CU245" s="182">
        <f t="shared" si="2290"/>
        <v>3.5889749784988163E-2</v>
      </c>
      <c r="CV245" s="182">
        <f t="shared" si="2290"/>
        <v>3.7085596500275757E-2</v>
      </c>
      <c r="CW245" s="182">
        <f t="shared" si="2290"/>
        <v>3.7912676927440166E-2</v>
      </c>
      <c r="CX245" s="182">
        <f t="shared" ref="CX245:DB245" si="2292">+CX42</f>
        <v>4.7367696704096754E-2</v>
      </c>
      <c r="CY245" s="182">
        <f t="shared" si="2292"/>
        <v>3.2608572462293157E-2</v>
      </c>
      <c r="CZ245" s="182">
        <f t="shared" si="2292"/>
        <v>3.3839943831221429E-2</v>
      </c>
      <c r="DA245" s="182">
        <f t="shared" si="2292"/>
        <v>3.4618955142617189E-2</v>
      </c>
      <c r="DB245" s="182">
        <f t="shared" si="2292"/>
        <v>4.4764949952185593E-2</v>
      </c>
      <c r="DE245" s="138"/>
      <c r="DF245" s="84">
        <v>5.82131250809267E-2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 t="e">
        <f t="shared" si="2293"/>
        <v>#DIV/0!</v>
      </c>
      <c r="K246" s="84" t="e">
        <f t="shared" si="2293"/>
        <v>#DIV/0!</v>
      </c>
      <c r="L246" s="84">
        <f t="shared" si="2293"/>
        <v>4.3312685804098869</v>
      </c>
      <c r="M246" s="84">
        <f t="shared" si="2293"/>
        <v>4.329910503904852</v>
      </c>
      <c r="N246" s="84">
        <f t="shared" si="2293"/>
        <v>3.8205644702303254</v>
      </c>
      <c r="O246" s="84">
        <f t="shared" si="2293"/>
        <v>6.9089726161772775</v>
      </c>
      <c r="P246" s="84">
        <f t="shared" si="2293"/>
        <v>4.2596026996493475</v>
      </c>
      <c r="Q246" s="84">
        <f t="shared" si="2293"/>
        <v>6.3759146926263268</v>
      </c>
      <c r="R246" s="84">
        <f t="shared" si="2293"/>
        <v>6.724966831656511</v>
      </c>
      <c r="S246" s="84">
        <f t="shared" si="2293"/>
        <v>9.5072812666939388</v>
      </c>
      <c r="T246" s="84">
        <f t="shared" si="2293"/>
        <v>13.205955619183968</v>
      </c>
      <c r="U246" s="84">
        <f t="shared" si="2293"/>
        <v>22.846650587411496</v>
      </c>
      <c r="V246" s="84">
        <f t="shared" si="2293"/>
        <v>16.99630829703602</v>
      </c>
      <c r="W246" s="84">
        <f t="shared" si="2293"/>
        <v>10.024587612822907</v>
      </c>
      <c r="X246" s="84">
        <f t="shared" si="2293"/>
        <v>5.5558088056925694</v>
      </c>
      <c r="Y246" s="84">
        <f t="shared" si="2293"/>
        <v>1.7573692652627455</v>
      </c>
      <c r="Z246" s="84">
        <f t="shared" si="2293"/>
        <v>1.7702107042609554</v>
      </c>
      <c r="AA246" s="84">
        <f t="shared" ref="AA246" si="2294">(AA161+AA148+AA138+AA140)/AA120</f>
        <v>1.6097106237674239</v>
      </c>
      <c r="AB246" s="50">
        <f t="shared" si="2293"/>
        <v>1.4985426846275205</v>
      </c>
      <c r="AC246" s="50">
        <f t="shared" si="2293"/>
        <v>1.4103229275081048</v>
      </c>
      <c r="AD246" s="50">
        <f t="shared" si="2293"/>
        <v>1.3421615770740452</v>
      </c>
      <c r="AE246" s="50">
        <f t="shared" si="2293"/>
        <v>1.28926842407072</v>
      </c>
      <c r="AL246" s="84" t="e">
        <f t="shared" ref="AL246:CW246" si="2295">(AL161+AL148+AL138+AL140)/AL120</f>
        <v>#DIV/0!</v>
      </c>
      <c r="AM246" s="84" t="e">
        <f t="shared" si="2295"/>
        <v>#DIV/0!</v>
      </c>
      <c r="AN246" s="84" t="e">
        <f t="shared" si="2295"/>
        <v>#DIV/0!</v>
      </c>
      <c r="AO246" s="84" t="e">
        <f t="shared" si="2295"/>
        <v>#DIV/0!</v>
      </c>
      <c r="AP246" s="84" t="e">
        <f t="shared" si="2295"/>
        <v>#DIV/0!</v>
      </c>
      <c r="AQ246" s="84" t="e">
        <f t="shared" si="2295"/>
        <v>#DIV/0!</v>
      </c>
      <c r="AR246" s="84" t="e">
        <f t="shared" si="2295"/>
        <v>#DIV/0!</v>
      </c>
      <c r="AS246" s="84" t="e">
        <f t="shared" si="2295"/>
        <v>#DIV/0!</v>
      </c>
      <c r="AT246" s="84" t="e">
        <f t="shared" si="2295"/>
        <v>#DIV/0!</v>
      </c>
      <c r="AU246" s="84" t="e">
        <f t="shared" si="2295"/>
        <v>#DIV/0!</v>
      </c>
      <c r="AV246" s="84" t="e">
        <f t="shared" si="2295"/>
        <v>#DIV/0!</v>
      </c>
      <c r="AW246" s="84" t="e">
        <f t="shared" si="2295"/>
        <v>#DIV/0!</v>
      </c>
      <c r="AX246" s="84" t="e">
        <f t="shared" si="2295"/>
        <v>#DIV/0!</v>
      </c>
      <c r="AY246" s="84" t="e">
        <f t="shared" si="2295"/>
        <v>#DIV/0!</v>
      </c>
      <c r="AZ246" s="84" t="e">
        <f t="shared" si="2295"/>
        <v>#DIV/0!</v>
      </c>
      <c r="BA246" s="84" t="e">
        <f t="shared" si="2295"/>
        <v>#DIV/0!</v>
      </c>
      <c r="BB246" s="84" t="e">
        <f t="shared" si="2295"/>
        <v>#DIV/0!</v>
      </c>
      <c r="BC246" s="84" t="e">
        <f t="shared" si="2295"/>
        <v>#DIV/0!</v>
      </c>
      <c r="BD246" s="84" t="e">
        <f t="shared" si="2295"/>
        <v>#DIV/0!</v>
      </c>
      <c r="BE246" s="84" t="e">
        <f t="shared" si="2295"/>
        <v>#DIV/0!</v>
      </c>
      <c r="BF246" s="84" t="e">
        <f t="shared" si="2295"/>
        <v>#DIV/0!</v>
      </c>
      <c r="BG246" s="84" t="e">
        <f t="shared" si="2295"/>
        <v>#DIV/0!</v>
      </c>
      <c r="BH246" s="84" t="e">
        <f t="shared" si="2295"/>
        <v>#DIV/0!</v>
      </c>
      <c r="BI246" s="84" t="e">
        <f t="shared" si="2295"/>
        <v>#DIV/0!</v>
      </c>
      <c r="BJ246" s="84" t="e">
        <f t="shared" si="2295"/>
        <v>#DIV/0!</v>
      </c>
      <c r="BK246" s="84" t="e">
        <f t="shared" si="2295"/>
        <v>#DIV/0!</v>
      </c>
      <c r="BL246" s="84" t="e">
        <f t="shared" si="2295"/>
        <v>#DIV/0!</v>
      </c>
      <c r="BM246" s="84" t="e">
        <f t="shared" si="2295"/>
        <v>#DIV/0!</v>
      </c>
      <c r="BN246" s="84" t="e">
        <f t="shared" si="2295"/>
        <v>#DIV/0!</v>
      </c>
      <c r="BO246" s="84" t="e">
        <f t="shared" si="2295"/>
        <v>#DIV/0!</v>
      </c>
      <c r="BP246" s="84" t="e">
        <f t="shared" si="2295"/>
        <v>#DIV/0!</v>
      </c>
      <c r="BQ246" s="84" t="e">
        <f t="shared" si="2295"/>
        <v>#DIV/0!</v>
      </c>
      <c r="BR246" s="84" t="e">
        <f t="shared" si="2295"/>
        <v>#DIV/0!</v>
      </c>
      <c r="BS246" s="84" t="e">
        <f t="shared" si="2295"/>
        <v>#DIV/0!</v>
      </c>
      <c r="BT246" s="84" t="e">
        <f t="shared" si="2295"/>
        <v>#DIV/0!</v>
      </c>
      <c r="BU246" s="84" t="e">
        <f t="shared" si="2295"/>
        <v>#DIV/0!</v>
      </c>
      <c r="BV246" s="84" t="e">
        <f t="shared" si="2295"/>
        <v>#DIV/0!</v>
      </c>
      <c r="BW246" s="84" t="e">
        <f t="shared" si="2295"/>
        <v>#DIV/0!</v>
      </c>
      <c r="BX246" s="84" t="e">
        <f t="shared" si="2295"/>
        <v>#DIV/0!</v>
      </c>
      <c r="BY246" s="84">
        <f t="shared" si="2295"/>
        <v>0.99999999999999989</v>
      </c>
      <c r="BZ246" s="84">
        <f t="shared" si="2295"/>
        <v>5.5558088056925685</v>
      </c>
      <c r="CA246" s="84">
        <f t="shared" si="2295"/>
        <v>5.1309502071404385</v>
      </c>
      <c r="CB246" s="84">
        <f t="shared" si="2295"/>
        <v>1.9004702634779262</v>
      </c>
      <c r="CC246" s="84">
        <f t="shared" si="2295"/>
        <v>1.9125395766018816</v>
      </c>
      <c r="CD246" s="84">
        <f t="shared" si="2295"/>
        <v>1.7573692652627455</v>
      </c>
      <c r="CE246" s="84">
        <f t="shared" si="2295"/>
        <v>1.6512340814558524</v>
      </c>
      <c r="CF246" s="84">
        <f t="shared" si="2295"/>
        <v>1.7976528546160955</v>
      </c>
      <c r="CG246" s="84">
        <f t="shared" si="2295"/>
        <v>1.8293742992388844</v>
      </c>
      <c r="CH246" s="84">
        <f t="shared" si="2295"/>
        <v>1.7702107042609554</v>
      </c>
      <c r="CI246" s="84">
        <f t="shared" si="2295"/>
        <v>1.5786637662607705</v>
      </c>
      <c r="CJ246" s="84">
        <f t="shared" si="2295"/>
        <v>1.6891938340865147</v>
      </c>
      <c r="CK246" s="50">
        <f t="shared" si="2295"/>
        <v>1.6680250875514155</v>
      </c>
      <c r="CL246" s="84">
        <f t="shared" ref="CL246" si="2296">(CL161+CL148+CL138+CL140)/CL120</f>
        <v>1.6097106237674239</v>
      </c>
      <c r="CM246" s="50">
        <f t="shared" si="2295"/>
        <v>1.4193642670810662</v>
      </c>
      <c r="CN246" s="50">
        <f t="shared" si="2295"/>
        <v>1.4318290078629183</v>
      </c>
      <c r="CO246" s="50">
        <f t="shared" si="2295"/>
        <v>1.4193025878203427</v>
      </c>
      <c r="CP246" s="50">
        <f t="shared" si="2295"/>
        <v>1.4985426846275205</v>
      </c>
      <c r="CQ246" s="50">
        <f t="shared" si="2295"/>
        <v>1.3454794070699032</v>
      </c>
      <c r="CR246" s="50">
        <f t="shared" si="2295"/>
        <v>1.3533207677328105</v>
      </c>
      <c r="CS246" s="50">
        <f t="shared" si="2295"/>
        <v>1.3452209550551486</v>
      </c>
      <c r="CT246" s="50">
        <f t="shared" si="2295"/>
        <v>1.4103229275081048</v>
      </c>
      <c r="CU246" s="50">
        <f t="shared" si="2295"/>
        <v>1.288881677899077</v>
      </c>
      <c r="CV246" s="50">
        <f t="shared" si="2295"/>
        <v>1.2953071812488477</v>
      </c>
      <c r="CW246" s="50">
        <f t="shared" si="2295"/>
        <v>1.2895706648749188</v>
      </c>
      <c r="CX246" s="50">
        <f t="shared" ref="CX246:DB246" si="2297">(CX161+CX148+CX138+CX140)/CX120</f>
        <v>1.3421615770740452</v>
      </c>
      <c r="CY246" s="50">
        <f t="shared" si="2297"/>
        <v>1.2455649516509333</v>
      </c>
      <c r="CZ246" s="50">
        <f t="shared" si="2297"/>
        <v>1.2509746322650268</v>
      </c>
      <c r="DA246" s="50">
        <f t="shared" si="2297"/>
        <v>1.2467155300573176</v>
      </c>
      <c r="DB246" s="50">
        <f t="shared" si="2297"/>
        <v>1.28926842407072</v>
      </c>
      <c r="DE246" s="138"/>
      <c r="DF246" s="84">
        <v>1.6097106237674239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 t="e">
        <f t="shared" si="2298"/>
        <v>#DIV/0!</v>
      </c>
      <c r="K248" s="88" t="e">
        <f t="shared" si="2298"/>
        <v>#DIV/0!</v>
      </c>
      <c r="L248" s="88">
        <f t="shared" si="2298"/>
        <v>0.12172968064293239</v>
      </c>
      <c r="M248" s="88">
        <f t="shared" si="2298"/>
        <v>0.23191036178846883</v>
      </c>
      <c r="N248" s="88">
        <f t="shared" si="2298"/>
        <v>0.16573039290341121</v>
      </c>
      <c r="O248" s="88">
        <f t="shared" si="2298"/>
        <v>1.8396743470559538</v>
      </c>
      <c r="P248" s="88">
        <f t="shared" si="2298"/>
        <v>1.1363226249397504</v>
      </c>
      <c r="Q248" s="88">
        <f t="shared" si="2298"/>
        <v>0.84316640037527746</v>
      </c>
      <c r="R248" s="88">
        <f t="shared" si="2298"/>
        <v>0.58186262847456371</v>
      </c>
      <c r="S248" s="88">
        <f t="shared" si="2298"/>
        <v>0.37243371588030222</v>
      </c>
      <c r="T248" s="88">
        <f t="shared" si="2298"/>
        <v>1.7076879026485328</v>
      </c>
      <c r="U248" s="88">
        <f t="shared" si="2298"/>
        <v>2.5731346767291683</v>
      </c>
      <c r="V248" s="88">
        <f t="shared" si="2298"/>
        <v>0.9076808668862214</v>
      </c>
      <c r="W248" s="88">
        <f t="shared" si="2298"/>
        <v>1.5796244423695402</v>
      </c>
      <c r="X248" s="88">
        <f t="shared" si="2298"/>
        <v>0.84701726368561492</v>
      </c>
      <c r="Y248" s="88">
        <f t="shared" si="2298"/>
        <v>0.59031901762198868</v>
      </c>
      <c r="Z248" s="88">
        <f t="shared" si="2298"/>
        <v>0.30310869095830673</v>
      </c>
      <c r="AA248" s="88">
        <f t="shared" ref="AA248" si="2299">AA161/AA120</f>
        <v>0.14405577270409878</v>
      </c>
      <c r="AB248" s="42">
        <f t="shared" si="2298"/>
        <v>0.32491906632152506</v>
      </c>
      <c r="AC248" s="42">
        <f t="shared" si="2298"/>
        <v>0.46668895334512406</v>
      </c>
      <c r="AD248" s="42">
        <f t="shared" si="2298"/>
        <v>0.5760987436671241</v>
      </c>
      <c r="AE248" s="42">
        <f t="shared" si="2298"/>
        <v>0.66114272525088746</v>
      </c>
      <c r="AL248" s="88" t="e">
        <f t="shared" ref="AL248:CW248" si="2300">AL161/AL120</f>
        <v>#DIV/0!</v>
      </c>
      <c r="AM248" s="88" t="e">
        <f t="shared" si="2300"/>
        <v>#DIV/0!</v>
      </c>
      <c r="AN248" s="88" t="e">
        <f t="shared" si="2300"/>
        <v>#DIV/0!</v>
      </c>
      <c r="AO248" s="88" t="e">
        <f t="shared" si="2300"/>
        <v>#DIV/0!</v>
      </c>
      <c r="AP248" s="88" t="e">
        <f t="shared" si="2300"/>
        <v>#DIV/0!</v>
      </c>
      <c r="AQ248" s="88" t="e">
        <f t="shared" si="2300"/>
        <v>#DIV/0!</v>
      </c>
      <c r="AR248" s="88" t="e">
        <f t="shared" si="2300"/>
        <v>#DIV/0!</v>
      </c>
      <c r="AS248" s="88" t="e">
        <f t="shared" si="2300"/>
        <v>#DIV/0!</v>
      </c>
      <c r="AT248" s="88" t="e">
        <f t="shared" si="2300"/>
        <v>#DIV/0!</v>
      </c>
      <c r="AU248" s="88" t="e">
        <f t="shared" si="2300"/>
        <v>#DIV/0!</v>
      </c>
      <c r="AV248" s="88" t="e">
        <f t="shared" si="2300"/>
        <v>#DIV/0!</v>
      </c>
      <c r="AW248" s="88" t="e">
        <f t="shared" si="2300"/>
        <v>#DIV/0!</v>
      </c>
      <c r="AX248" s="88" t="e">
        <f t="shared" si="2300"/>
        <v>#DIV/0!</v>
      </c>
      <c r="AY248" s="88" t="e">
        <f t="shared" si="2300"/>
        <v>#DIV/0!</v>
      </c>
      <c r="AZ248" s="88" t="e">
        <f t="shared" si="2300"/>
        <v>#DIV/0!</v>
      </c>
      <c r="BA248" s="88" t="e">
        <f t="shared" si="2300"/>
        <v>#DIV/0!</v>
      </c>
      <c r="BB248" s="88" t="e">
        <f t="shared" si="2300"/>
        <v>#DIV/0!</v>
      </c>
      <c r="BC248" s="88" t="e">
        <f t="shared" si="2300"/>
        <v>#DIV/0!</v>
      </c>
      <c r="BD248" s="88" t="e">
        <f t="shared" si="2300"/>
        <v>#DIV/0!</v>
      </c>
      <c r="BE248" s="88" t="e">
        <f t="shared" si="2300"/>
        <v>#DIV/0!</v>
      </c>
      <c r="BF248" s="88" t="e">
        <f t="shared" si="2300"/>
        <v>#DIV/0!</v>
      </c>
      <c r="BG248" s="88" t="e">
        <f t="shared" si="2300"/>
        <v>#DIV/0!</v>
      </c>
      <c r="BH248" s="88" t="e">
        <f t="shared" si="2300"/>
        <v>#DIV/0!</v>
      </c>
      <c r="BI248" s="88" t="e">
        <f t="shared" si="2300"/>
        <v>#DIV/0!</v>
      </c>
      <c r="BJ248" s="88" t="e">
        <f t="shared" si="2300"/>
        <v>#DIV/0!</v>
      </c>
      <c r="BK248" s="88" t="e">
        <f t="shared" si="2300"/>
        <v>#DIV/0!</v>
      </c>
      <c r="BL248" s="88" t="e">
        <f t="shared" si="2300"/>
        <v>#DIV/0!</v>
      </c>
      <c r="BM248" s="88" t="e">
        <f t="shared" si="2300"/>
        <v>#DIV/0!</v>
      </c>
      <c r="BN248" s="88" t="e">
        <f t="shared" si="2300"/>
        <v>#DIV/0!</v>
      </c>
      <c r="BO248" s="88" t="e">
        <f t="shared" si="2300"/>
        <v>#DIV/0!</v>
      </c>
      <c r="BP248" s="88" t="e">
        <f t="shared" si="2300"/>
        <v>#DIV/0!</v>
      </c>
      <c r="BQ248" s="88" t="e">
        <f t="shared" si="2300"/>
        <v>#DIV/0!</v>
      </c>
      <c r="BR248" s="88" t="e">
        <f t="shared" si="2300"/>
        <v>#DIV/0!</v>
      </c>
      <c r="BS248" s="88" t="e">
        <f t="shared" si="2300"/>
        <v>#DIV/0!</v>
      </c>
      <c r="BT248" s="88" t="e">
        <f t="shared" si="2300"/>
        <v>#DIV/0!</v>
      </c>
      <c r="BU248" s="88" t="e">
        <f t="shared" si="2300"/>
        <v>#DIV/0!</v>
      </c>
      <c r="BV248" s="88" t="e">
        <f t="shared" si="2300"/>
        <v>#DIV/0!</v>
      </c>
      <c r="BW248" s="88" t="e">
        <f t="shared" si="2300"/>
        <v>#DIV/0!</v>
      </c>
      <c r="BX248" s="88" t="e">
        <f t="shared" si="2300"/>
        <v>#DIV/0!</v>
      </c>
      <c r="BY248" s="88">
        <f t="shared" si="2300"/>
        <v>0.99999999999999989</v>
      </c>
      <c r="BZ248" s="88">
        <f t="shared" si="2300"/>
        <v>0.84701726368561492</v>
      </c>
      <c r="CA248" s="88">
        <f t="shared" si="2300"/>
        <v>1.1731973878343254</v>
      </c>
      <c r="CB248" s="88">
        <f t="shared" si="2300"/>
        <v>0.63368116046280032</v>
      </c>
      <c r="CC248" s="88">
        <f t="shared" si="2300"/>
        <v>0.58989193593573586</v>
      </c>
      <c r="CD248" s="88">
        <f t="shared" si="2300"/>
        <v>0.59031901762198857</v>
      </c>
      <c r="CE248" s="88">
        <f t="shared" si="2300"/>
        <v>0.71527763637238473</v>
      </c>
      <c r="CF248" s="88">
        <f t="shared" si="2300"/>
        <v>0.49004260748415285</v>
      </c>
      <c r="CG248" s="88">
        <f t="shared" si="2300"/>
        <v>0.40785988672854862</v>
      </c>
      <c r="CH248" s="88">
        <f t="shared" si="2300"/>
        <v>0.30310869095830673</v>
      </c>
      <c r="CI248" s="88">
        <f t="shared" si="2300"/>
        <v>0.50842054111417234</v>
      </c>
      <c r="CJ248" s="88">
        <f t="shared" si="2300"/>
        <v>0.3132294595446844</v>
      </c>
      <c r="CK248" s="42">
        <f t="shared" si="2300"/>
        <v>0.34402651671898166</v>
      </c>
      <c r="CL248" s="88">
        <f t="shared" ref="CL248" si="2301">CL161/CL120</f>
        <v>0.14405577270409878</v>
      </c>
      <c r="CM248" s="42">
        <f t="shared" si="2300"/>
        <v>0.39025138739124715</v>
      </c>
      <c r="CN248" s="42">
        <f t="shared" si="2300"/>
        <v>0.38623734045030833</v>
      </c>
      <c r="CO248" s="42">
        <f t="shared" si="2300"/>
        <v>0.41221473361894873</v>
      </c>
      <c r="CP248" s="42">
        <f t="shared" si="2300"/>
        <v>0.32491906632152506</v>
      </c>
      <c r="CQ248" s="42">
        <f t="shared" si="2300"/>
        <v>0.52233754300075053</v>
      </c>
      <c r="CR248" s="42">
        <f t="shared" si="2300"/>
        <v>0.52121547563577475</v>
      </c>
      <c r="CS248" s="42">
        <f t="shared" si="2300"/>
        <v>0.5391848798969523</v>
      </c>
      <c r="CT248" s="42">
        <f t="shared" si="2300"/>
        <v>0.46668895334512406</v>
      </c>
      <c r="CU248" s="42">
        <f t="shared" si="2300"/>
        <v>0.62310806427404719</v>
      </c>
      <c r="CV248" s="42">
        <f t="shared" si="2300"/>
        <v>0.62176598313135734</v>
      </c>
      <c r="CW248" s="42">
        <f t="shared" si="2300"/>
        <v>0.63500195462574882</v>
      </c>
      <c r="CX248" s="42">
        <f t="shared" ref="CX248:DB248" si="2302">CX161/CX120</f>
        <v>0.5760987436671241</v>
      </c>
      <c r="CY248" s="42">
        <f t="shared" si="2302"/>
        <v>0.70042481715612226</v>
      </c>
      <c r="CZ248" s="42">
        <f t="shared" si="2302"/>
        <v>0.69890560779863431</v>
      </c>
      <c r="DA248" s="42">
        <f t="shared" si="2302"/>
        <v>0.70899028506339257</v>
      </c>
      <c r="DB248" s="42">
        <f t="shared" si="2302"/>
        <v>0.66114272525088746</v>
      </c>
      <c r="DE248" s="125"/>
      <c r="DF248" s="88">
        <v>0.14405577270409878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>
        <f t="shared" si="2303"/>
        <v>0.11047233520998234</v>
      </c>
      <c r="N249" s="89">
        <f t="shared" si="2303"/>
        <v>0.11795526627706709</v>
      </c>
      <c r="O249" s="89">
        <f t="shared" si="2303"/>
        <v>0.69533219311033312</v>
      </c>
      <c r="P249" s="89">
        <f t="shared" si="2303"/>
        <v>0.15599119126519545</v>
      </c>
      <c r="Q249" s="89">
        <f t="shared" si="2303"/>
        <v>0.33495667318053712</v>
      </c>
      <c r="R249" s="89">
        <f t="shared" si="2303"/>
        <v>-2.9462226632756883E-2</v>
      </c>
      <c r="S249" s="89">
        <f t="shared" si="2303"/>
        <v>0.24899657814008536</v>
      </c>
      <c r="T249" s="89">
        <f t="shared" si="2303"/>
        <v>6.3530873965404577E-2</v>
      </c>
      <c r="U249" s="89">
        <f t="shared" si="2303"/>
        <v>0.62997262290072542</v>
      </c>
      <c r="V249" s="89">
        <f t="shared" si="2303"/>
        <v>-0.10561998079358459</v>
      </c>
      <c r="W249" s="89">
        <f t="shared" si="2303"/>
        <v>0.25422111950035298</v>
      </c>
      <c r="X249" s="89">
        <f t="shared" si="2303"/>
        <v>7.2583588284850009E-2</v>
      </c>
      <c r="Y249" s="89">
        <f t="shared" si="2303"/>
        <v>-0.57528126331588625</v>
      </c>
      <c r="Z249" s="89">
        <f t="shared" si="2303"/>
        <v>0.82502639203971184</v>
      </c>
      <c r="AA249" s="89">
        <f t="shared" si="2303"/>
        <v>-0.5646261015113474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 t="e">
        <f t="shared" si="2304"/>
        <v>#DIV/0!</v>
      </c>
      <c r="BH249" s="89" t="e">
        <f t="shared" si="2304"/>
        <v>#DIV/0!</v>
      </c>
      <c r="BI249" s="89" t="e">
        <f t="shared" si="2304"/>
        <v>#DIV/0!</v>
      </c>
      <c r="BJ249" s="89" t="e">
        <f t="shared" si="2304"/>
        <v>#DIV/0!</v>
      </c>
      <c r="BK249" s="89" t="e">
        <f t="shared" si="2304"/>
        <v>#DIV/0!</v>
      </c>
      <c r="BL249" s="89" t="e">
        <f t="shared" si="2304"/>
        <v>#DIV/0!</v>
      </c>
      <c r="BM249" s="89" t="e">
        <f t="shared" si="2304"/>
        <v>#DIV/0!</v>
      </c>
      <c r="BN249" s="89" t="e">
        <f t="shared" si="2304"/>
        <v>#DIV/0!</v>
      </c>
      <c r="BO249" s="89" t="e">
        <f t="shared" si="2304"/>
        <v>#DIV/0!</v>
      </c>
      <c r="BP249" s="89" t="e">
        <f t="shared" si="2304"/>
        <v>#DIV/0!</v>
      </c>
      <c r="BQ249" s="89" t="e">
        <f t="shared" si="2304"/>
        <v>#DIV/0!</v>
      </c>
      <c r="BR249" s="89" t="e">
        <f t="shared" si="2304"/>
        <v>#DIV/0!</v>
      </c>
      <c r="BS249" s="89" t="e">
        <f t="shared" si="2304"/>
        <v>#DIV/0!</v>
      </c>
      <c r="BT249" s="89" t="e">
        <f t="shared" si="2304"/>
        <v>#DIV/0!</v>
      </c>
      <c r="BU249" s="89" t="e">
        <f t="shared" si="2304"/>
        <v>#DIV/0!</v>
      </c>
      <c r="BV249" s="89" t="e">
        <f t="shared" si="2304"/>
        <v>#DIV/0!</v>
      </c>
      <c r="BW249" s="89" t="e">
        <f t="shared" si="2304"/>
        <v>#DIV/0!</v>
      </c>
      <c r="BX249" s="89" t="e">
        <f t="shared" si="2304"/>
        <v>#DIV/0!</v>
      </c>
      <c r="BY249" s="89" t="e">
        <f t="shared" si="2304"/>
        <v>#DIV/0!</v>
      </c>
      <c r="BZ249" s="89" t="e">
        <f t="shared" si="2304"/>
        <v>#DIV/0!</v>
      </c>
      <c r="CA249" s="89">
        <f t="shared" si="2304"/>
        <v>0</v>
      </c>
      <c r="CB249" s="89">
        <f t="shared" si="2304"/>
        <v>-0.22253350038476949</v>
      </c>
      <c r="CC249" s="89">
        <f t="shared" si="2304"/>
        <v>0</v>
      </c>
      <c r="CD249" s="89">
        <f t="shared" si="2304"/>
        <v>-0.45371442127177464</v>
      </c>
      <c r="CE249" s="89">
        <f t="shared" si="2304"/>
        <v>0</v>
      </c>
      <c r="CF249" s="89">
        <f t="shared" si="2304"/>
        <v>1.1624252225541505</v>
      </c>
      <c r="CG249" s="89">
        <f t="shared" si="2304"/>
        <v>0</v>
      </c>
      <c r="CH249" s="89">
        <f t="shared" si="2304"/>
        <v>-0.15602797590194584</v>
      </c>
      <c r="CI249" s="89">
        <f t="shared" si="2304"/>
        <v>0</v>
      </c>
      <c r="CJ249" s="89">
        <f t="shared" si="2304"/>
        <v>-0.34689607640427322</v>
      </c>
      <c r="CK249" s="47">
        <f t="shared" si="2304"/>
        <v>0</v>
      </c>
      <c r="CL249" s="89">
        <f t="shared" si="2304"/>
        <v>-0.33337730373497143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-0.5646261015113474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 t="e">
        <f t="shared" si="2306"/>
        <v>#DIV/0!</v>
      </c>
      <c r="L250" s="89" t="e">
        <f t="shared" si="2306"/>
        <v>#DIV/0!</v>
      </c>
      <c r="M250" s="89" t="e">
        <f t="shared" si="2306"/>
        <v>#DIV/0!</v>
      </c>
      <c r="N250" s="89" t="e">
        <f t="shared" si="2306"/>
        <v>#DIV/0!</v>
      </c>
      <c r="O250" s="89" t="e">
        <f t="shared" si="2306"/>
        <v>#DIV/0!</v>
      </c>
      <c r="P250" s="89">
        <f t="shared" si="2306"/>
        <v>-0.11925028500091417</v>
      </c>
      <c r="Q250" s="89">
        <f t="shared" si="2306"/>
        <v>-0.56180951201318285</v>
      </c>
      <c r="R250" s="89">
        <f t="shared" si="2306"/>
        <v>-0.51502176180314152</v>
      </c>
      <c r="S250" s="89">
        <f t="shared" si="2306"/>
        <v>-0.5231020861201614</v>
      </c>
      <c r="T250" s="89">
        <f t="shared" si="2306"/>
        <v>3.6023716248838928</v>
      </c>
      <c r="U250" s="89">
        <f t="shared" si="2306"/>
        <v>-0.21946228613653018</v>
      </c>
      <c r="V250" s="89">
        <f t="shared" si="2306"/>
        <v>2.3457617244392615</v>
      </c>
      <c r="W250" s="89">
        <f t="shared" si="2306"/>
        <v>0.82918335364791851</v>
      </c>
      <c r="X250" s="89">
        <f t="shared" si="2306"/>
        <v>3.7886720609233038E-2</v>
      </c>
      <c r="Y250" s="89">
        <f t="shared" si="2306"/>
        <v>0.23126662386499275</v>
      </c>
      <c r="Z250" s="89">
        <f t="shared" si="2306"/>
        <v>0.25301687213676471</v>
      </c>
      <c r="AA250" s="89">
        <f t="shared" si="2306"/>
        <v>-8.3028037660978105E-2</v>
      </c>
      <c r="AB250" s="47">
        <f t="shared" si="2306"/>
        <v>-0.15496707575993052</v>
      </c>
      <c r="AC250" s="47">
        <f t="shared" si="2306"/>
        <v>-0.17834086693240037</v>
      </c>
      <c r="AD250" s="47">
        <f t="shared" si="2306"/>
        <v>-0.18248784345990476</v>
      </c>
      <c r="AE250" s="47">
        <f t="shared" si="2306"/>
        <v>-0.18333216614653813</v>
      </c>
      <c r="AL250" s="89" t="e">
        <f t="shared" ref="AL250:CW250" si="2307">AL28/AK28-1</f>
        <v>#DIV/0!</v>
      </c>
      <c r="AM250" s="89" t="e">
        <f t="shared" si="2307"/>
        <v>#DIV/0!</v>
      </c>
      <c r="AN250" s="89" t="e">
        <f t="shared" si="2307"/>
        <v>#DIV/0!</v>
      </c>
      <c r="AO250" s="89" t="e">
        <f t="shared" si="2307"/>
        <v>#DIV/0!</v>
      </c>
      <c r="AP250" s="89" t="e">
        <f t="shared" si="2307"/>
        <v>#DIV/0!</v>
      </c>
      <c r="AQ250" s="89" t="e">
        <f t="shared" si="2307"/>
        <v>#DIV/0!</v>
      </c>
      <c r="AR250" s="89" t="e">
        <f t="shared" si="2307"/>
        <v>#DIV/0!</v>
      </c>
      <c r="AS250" s="89" t="e">
        <f t="shared" si="2307"/>
        <v>#DIV/0!</v>
      </c>
      <c r="AT250" s="89" t="e">
        <f t="shared" si="2307"/>
        <v>#DIV/0!</v>
      </c>
      <c r="AU250" s="89" t="e">
        <f t="shared" si="2307"/>
        <v>#DIV/0!</v>
      </c>
      <c r="AV250" s="89" t="e">
        <f t="shared" si="2307"/>
        <v>#DIV/0!</v>
      </c>
      <c r="AW250" s="89" t="e">
        <f t="shared" si="2307"/>
        <v>#DIV/0!</v>
      </c>
      <c r="AX250" s="89" t="e">
        <f t="shared" si="2307"/>
        <v>#DIV/0!</v>
      </c>
      <c r="AY250" s="89" t="e">
        <f t="shared" si="2307"/>
        <v>#DIV/0!</v>
      </c>
      <c r="AZ250" s="89" t="e">
        <f t="shared" si="2307"/>
        <v>#DIV/0!</v>
      </c>
      <c r="BA250" s="89" t="e">
        <f t="shared" si="2307"/>
        <v>#DIV/0!</v>
      </c>
      <c r="BB250" s="89" t="e">
        <f t="shared" si="2307"/>
        <v>#DIV/0!</v>
      </c>
      <c r="BC250" s="89" t="e">
        <f t="shared" si="2307"/>
        <v>#DIV/0!</v>
      </c>
      <c r="BD250" s="89" t="e">
        <f t="shared" si="2307"/>
        <v>#DIV/0!</v>
      </c>
      <c r="BE250" s="89" t="e">
        <f t="shared" si="2307"/>
        <v>#DIV/0!</v>
      </c>
      <c r="BF250" s="89" t="e">
        <f t="shared" si="2307"/>
        <v>#DIV/0!</v>
      </c>
      <c r="BG250" s="89" t="e">
        <f t="shared" si="2307"/>
        <v>#DIV/0!</v>
      </c>
      <c r="BH250" s="89" t="e">
        <f t="shared" si="2307"/>
        <v>#DIV/0!</v>
      </c>
      <c r="BI250" s="89" t="e">
        <f t="shared" si="2307"/>
        <v>#DIV/0!</v>
      </c>
      <c r="BJ250" s="89" t="e">
        <f t="shared" si="2307"/>
        <v>#DIV/0!</v>
      </c>
      <c r="BK250" s="89" t="e">
        <f t="shared" si="2307"/>
        <v>#DIV/0!</v>
      </c>
      <c r="BL250" s="89" t="e">
        <f t="shared" si="2307"/>
        <v>#DIV/0!</v>
      </c>
      <c r="BM250" s="89" t="e">
        <f t="shared" si="2307"/>
        <v>#DIV/0!</v>
      </c>
      <c r="BN250" s="89" t="e">
        <f t="shared" si="2307"/>
        <v>#DIV/0!</v>
      </c>
      <c r="BO250" s="89" t="e">
        <f t="shared" si="2307"/>
        <v>#DIV/0!</v>
      </c>
      <c r="BP250" s="89" t="e">
        <f t="shared" si="2307"/>
        <v>#DIV/0!</v>
      </c>
      <c r="BQ250" s="89" t="e">
        <f t="shared" si="2307"/>
        <v>#DIV/0!</v>
      </c>
      <c r="BR250" s="89" t="e">
        <f t="shared" si="2307"/>
        <v>#DIV/0!</v>
      </c>
      <c r="BS250" s="89" t="e">
        <f t="shared" si="2307"/>
        <v>#DIV/0!</v>
      </c>
      <c r="BT250" s="89" t="e">
        <f t="shared" si="2307"/>
        <v>#DIV/0!</v>
      </c>
      <c r="BU250" s="89" t="e">
        <f t="shared" si="2307"/>
        <v>#DIV/0!</v>
      </c>
      <c r="BV250" s="89" t="e">
        <f t="shared" si="2307"/>
        <v>#DIV/0!</v>
      </c>
      <c r="BW250" s="89" t="e">
        <f t="shared" si="2307"/>
        <v>#DIV/0!</v>
      </c>
      <c r="BX250" s="89">
        <f t="shared" si="2307"/>
        <v>1.0437975120939873</v>
      </c>
      <c r="BY250" s="89">
        <f t="shared" si="2307"/>
        <v>-0.18825816813897567</v>
      </c>
      <c r="BZ250" s="89">
        <f t="shared" si="2307"/>
        <v>0.66154647227284769</v>
      </c>
      <c r="CA250" s="89">
        <f t="shared" si="2307"/>
        <v>-0.37376997806330303</v>
      </c>
      <c r="CB250" s="89">
        <f t="shared" si="2307"/>
        <v>0.14417254666466794</v>
      </c>
      <c r="CC250" s="89">
        <f t="shared" si="2307"/>
        <v>0.28748250524842134</v>
      </c>
      <c r="CD250" s="89">
        <f t="shared" si="2307"/>
        <v>0.23270034310561738</v>
      </c>
      <c r="CE250" s="89">
        <f t="shared" si="2307"/>
        <v>-0.47623115716372288</v>
      </c>
      <c r="CF250" s="89">
        <f t="shared" si="2307"/>
        <v>0.66442176154898536</v>
      </c>
      <c r="CG250" s="89">
        <f t="shared" si="2307"/>
        <v>-0.11064045014857604</v>
      </c>
      <c r="CH250" s="89">
        <f t="shared" si="2307"/>
        <v>1.0407691760858784</v>
      </c>
      <c r="CI250" s="89">
        <f t="shared" si="2307"/>
        <v>-0.60099277192371314</v>
      </c>
      <c r="CJ250" s="89">
        <f t="shared" si="2307"/>
        <v>0.36160460954210016</v>
      </c>
      <c r="CK250" s="47">
        <f t="shared" si="2307"/>
        <v>-0.13397236559484504</v>
      </c>
      <c r="CL250" s="89">
        <f t="shared" si="2307"/>
        <v>0.59454357000074021</v>
      </c>
      <c r="CM250" s="47">
        <f t="shared" si="2307"/>
        <v>-0.46682405135600213</v>
      </c>
      <c r="CN250" s="47">
        <f t="shared" si="2307"/>
        <v>9.045574922873989E-2</v>
      </c>
      <c r="CO250" s="47">
        <f t="shared" si="2307"/>
        <v>-2.3403949757632825E-2</v>
      </c>
      <c r="CP250" s="47">
        <f t="shared" si="2307"/>
        <v>0.30040842240105703</v>
      </c>
      <c r="CQ250" s="47">
        <f t="shared" si="2307"/>
        <v>-0.38635663559316769</v>
      </c>
      <c r="CR250" s="47">
        <f t="shared" si="2307"/>
        <v>4.9727986713661076E-2</v>
      </c>
      <c r="CS250" s="47">
        <f t="shared" si="2307"/>
        <v>-1.8860704790157223E-2</v>
      </c>
      <c r="CT250" s="47">
        <f t="shared" si="2307"/>
        <v>0.27213908625934624</v>
      </c>
      <c r="CU250" s="47">
        <f t="shared" si="2307"/>
        <v>-0.37181387329974458</v>
      </c>
      <c r="CV250" s="47">
        <f t="shared" si="2307"/>
        <v>4.1554864869654207E-2</v>
      </c>
      <c r="CW250" s="47">
        <f t="shared" si="2307"/>
        <v>-1.9279785090065893E-2</v>
      </c>
      <c r="CX250" s="47">
        <f t="shared" ref="CX250:DB250" si="2308">CX28/CW28-1</f>
        <v>0.26999152649604374</v>
      </c>
      <c r="CY250" s="47">
        <f t="shared" si="2308"/>
        <v>-0.36965927416382194</v>
      </c>
      <c r="CZ250" s="47">
        <f t="shared" si="2308"/>
        <v>3.9871148763750197E-2</v>
      </c>
      <c r="DA250" s="47">
        <f t="shared" si="2308"/>
        <v>-1.9355820130761869E-2</v>
      </c>
      <c r="DB250" s="47">
        <f t="shared" si="2308"/>
        <v>0.27000392656703354</v>
      </c>
      <c r="DE250" s="130"/>
      <c r="DF250" s="89">
        <v>-7.7120287733429826E-2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str">
        <f t="shared" si="2309"/>
        <v>RF</v>
      </c>
      <c r="Q251" s="103" t="str">
        <f t="shared" si="2309"/>
        <v>RF</v>
      </c>
      <c r="R251" s="103" t="str">
        <f t="shared" si="2309"/>
        <v>RF</v>
      </c>
      <c r="S251" s="103" t="str">
        <f t="shared" si="2309"/>
        <v>RF</v>
      </c>
      <c r="T251" s="103">
        <f t="shared" si="2309"/>
        <v>0</v>
      </c>
      <c r="U251" s="103" t="str">
        <f t="shared" si="2309"/>
        <v>RF</v>
      </c>
      <c r="V251" s="103">
        <f>IF(V249&gt;V250,"RF",0)</f>
        <v>0</v>
      </c>
      <c r="W251" s="103">
        <f t="shared" ref="W251:AE251" si="2310">IF(W249&gt;W250,"RF",0)</f>
        <v>0</v>
      </c>
      <c r="X251" s="103" t="str">
        <f t="shared" si="2310"/>
        <v>RF</v>
      </c>
      <c r="Y251" s="103">
        <f t="shared" si="2310"/>
        <v>0</v>
      </c>
      <c r="Z251" s="103" t="str">
        <f t="shared" si="2310"/>
        <v>RF</v>
      </c>
      <c r="AA251" s="103">
        <f t="shared" ref="AA251" si="2311">IF(AA249&gt;AA250,"RF",0)</f>
        <v>0</v>
      </c>
      <c r="AB251" s="73" t="str">
        <f t="shared" si="2310"/>
        <v>RF</v>
      </c>
      <c r="AC251" s="73" t="str">
        <f t="shared" si="2310"/>
        <v>RF</v>
      </c>
      <c r="AD251" s="73" t="str">
        <f t="shared" si="2310"/>
        <v>RF</v>
      </c>
      <c r="AE251" s="73" t="str">
        <f t="shared" si="2310"/>
        <v>RF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e">
        <f t="shared" si="2312"/>
        <v>#DIV/0!</v>
      </c>
      <c r="BH251" s="103" t="e">
        <f t="shared" si="2312"/>
        <v>#DIV/0!</v>
      </c>
      <c r="BI251" s="103" t="e">
        <f t="shared" si="2312"/>
        <v>#DIV/0!</v>
      </c>
      <c r="BJ251" s="103" t="e">
        <f t="shared" si="2312"/>
        <v>#DIV/0!</v>
      </c>
      <c r="BK251" s="103" t="e">
        <f t="shared" si="2312"/>
        <v>#DIV/0!</v>
      </c>
      <c r="BL251" s="103" t="e">
        <f t="shared" si="2312"/>
        <v>#DIV/0!</v>
      </c>
      <c r="BM251" s="103" t="e">
        <f t="shared" si="2312"/>
        <v>#DIV/0!</v>
      </c>
      <c r="BN251" s="103" t="e">
        <f t="shared" si="2312"/>
        <v>#DIV/0!</v>
      </c>
      <c r="BO251" s="103" t="e">
        <f t="shared" si="2312"/>
        <v>#DIV/0!</v>
      </c>
      <c r="BP251" s="103" t="e">
        <f t="shared" si="2312"/>
        <v>#DIV/0!</v>
      </c>
      <c r="BQ251" s="103" t="e">
        <f t="shared" si="2312"/>
        <v>#DIV/0!</v>
      </c>
      <c r="BR251" s="103" t="e">
        <f t="shared" si="2312"/>
        <v>#DIV/0!</v>
      </c>
      <c r="BS251" s="103" t="e">
        <f t="shared" si="2312"/>
        <v>#DIV/0!</v>
      </c>
      <c r="BT251" s="103" t="e">
        <f t="shared" si="2312"/>
        <v>#DIV/0!</v>
      </c>
      <c r="BU251" s="103" t="e">
        <f t="shared" si="2312"/>
        <v>#DIV/0!</v>
      </c>
      <c r="BV251" s="103" t="e">
        <f t="shared" si="2312"/>
        <v>#DIV/0!</v>
      </c>
      <c r="BW251" s="103" t="e">
        <f t="shared" si="2312"/>
        <v>#DIV/0!</v>
      </c>
      <c r="BX251" s="103" t="e">
        <f t="shared" si="2312"/>
        <v>#DIV/0!</v>
      </c>
      <c r="BY251" s="103" t="e">
        <f t="shared" si="2312"/>
        <v>#DIV/0!</v>
      </c>
      <c r="BZ251" s="103" t="e">
        <f t="shared" si="2312"/>
        <v>#DIV/0!</v>
      </c>
      <c r="CA251" s="103" t="str">
        <f t="shared" si="2312"/>
        <v>RF</v>
      </c>
      <c r="CB251" s="103">
        <f t="shared" si="2312"/>
        <v>0</v>
      </c>
      <c r="CC251" s="103">
        <f t="shared" si="2312"/>
        <v>0</v>
      </c>
      <c r="CD251" s="103">
        <f t="shared" si="2312"/>
        <v>0</v>
      </c>
      <c r="CE251" s="103" t="str">
        <f t="shared" si="2312"/>
        <v>RF</v>
      </c>
      <c r="CF251" s="103" t="str">
        <f t="shared" si="2312"/>
        <v>RF</v>
      </c>
      <c r="CG251" s="103" t="str">
        <f t="shared" si="2312"/>
        <v>RF</v>
      </c>
      <c r="CH251" s="103">
        <f t="shared" si="2312"/>
        <v>0</v>
      </c>
      <c r="CI251" s="103" t="str">
        <f t="shared" si="2312"/>
        <v>RF</v>
      </c>
      <c r="CJ251" s="103">
        <f t="shared" si="2312"/>
        <v>0</v>
      </c>
      <c r="CK251" s="73" t="str">
        <f t="shared" si="2312"/>
        <v>RF</v>
      </c>
      <c r="CL251" s="103">
        <f t="shared" ref="CL251" si="2313">IF(CL249&gt;CL250,"RF",0)</f>
        <v>0</v>
      </c>
      <c r="CM251" s="73" t="str">
        <f t="shared" si="2312"/>
        <v>RF</v>
      </c>
      <c r="CN251" s="73">
        <f t="shared" si="2312"/>
        <v>0</v>
      </c>
      <c r="CO251" s="73" t="str">
        <f t="shared" si="2312"/>
        <v>RF</v>
      </c>
      <c r="CP251" s="73">
        <f t="shared" si="2312"/>
        <v>0</v>
      </c>
      <c r="CQ251" s="73" t="str">
        <f t="shared" si="2312"/>
        <v>RF</v>
      </c>
      <c r="CR251" s="73">
        <f t="shared" si="2312"/>
        <v>0</v>
      </c>
      <c r="CS251" s="73" t="str">
        <f t="shared" si="2312"/>
        <v>RF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 t="str">
        <f t="shared" si="2312"/>
        <v>RF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 t="str">
        <f t="shared" si="2314"/>
        <v>RF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>
        <f t="shared" si="2315"/>
        <v>1.7858375263053911E-2</v>
      </c>
      <c r="P252" s="86">
        <f t="shared" si="2315"/>
        <v>2.4175179527695843E-2</v>
      </c>
      <c r="Q252" s="86">
        <f t="shared" si="2315"/>
        <v>4.9547023497708738E-2</v>
      </c>
      <c r="R252" s="86">
        <f t="shared" si="2315"/>
        <v>2.9601594084616028E-2</v>
      </c>
      <c r="S252" s="86">
        <f t="shared" si="2315"/>
        <v>2.76513143556699E-2</v>
      </c>
      <c r="T252" s="86">
        <f t="shared" si="2315"/>
        <v>2.9271338481070618E-2</v>
      </c>
      <c r="U252" s="86">
        <f t="shared" si="2315"/>
        <v>3.9804238580401545E-2</v>
      </c>
      <c r="V252" s="86">
        <f t="shared" si="2315"/>
        <v>3.3071773869954843E-2</v>
      </c>
      <c r="W252" s="86">
        <f t="shared" si="2315"/>
        <v>3.0498256152043005E-2</v>
      </c>
      <c r="X252" s="86">
        <f t="shared" si="2315"/>
        <v>3.787830530760198E-2</v>
      </c>
      <c r="Y252" s="86">
        <f t="shared" si="2315"/>
        <v>2.8851276690178718E-2</v>
      </c>
      <c r="Z252" s="86">
        <f t="shared" si="2315"/>
        <v>2.4706737052406318E-2</v>
      </c>
      <c r="AA252" s="86">
        <f t="shared" ref="AA252" si="2316">AA36/AA8</f>
        <v>2.1537315148416353E-2</v>
      </c>
      <c r="AB252" s="87">
        <f t="shared" si="2315"/>
        <v>2.5103475797264175E-3</v>
      </c>
      <c r="AC252" s="87">
        <f t="shared" si="2315"/>
        <v>5.2481437197753455E-3</v>
      </c>
      <c r="AD252" s="87">
        <f t="shared" si="2315"/>
        <v>8.5979732054513799E-3</v>
      </c>
      <c r="AE252" s="87">
        <f t="shared" si="2315"/>
        <v>1.2670989162427695E-2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 t="e">
        <f t="shared" si="2317"/>
        <v>#DIV/0!</v>
      </c>
      <c r="AT252" s="86" t="e">
        <f t="shared" si="2317"/>
        <v>#DIV/0!</v>
      </c>
      <c r="AU252" s="86" t="e">
        <f t="shared" si="2317"/>
        <v>#DIV/0!</v>
      </c>
      <c r="AV252" s="86" t="e">
        <f t="shared" si="2317"/>
        <v>#DIV/0!</v>
      </c>
      <c r="AW252" s="86" t="e">
        <f t="shared" si="2317"/>
        <v>#DIV/0!</v>
      </c>
      <c r="AX252" s="86" t="e">
        <f t="shared" si="2317"/>
        <v>#DIV/0!</v>
      </c>
      <c r="AY252" s="86" t="e">
        <f t="shared" si="2317"/>
        <v>#DIV/0!</v>
      </c>
      <c r="AZ252" s="86" t="e">
        <f t="shared" si="2317"/>
        <v>#DIV/0!</v>
      </c>
      <c r="BA252" s="86" t="e">
        <f t="shared" si="2317"/>
        <v>#DIV/0!</v>
      </c>
      <c r="BB252" s="86" t="e">
        <f t="shared" si="2317"/>
        <v>#DIV/0!</v>
      </c>
      <c r="BC252" s="86" t="e">
        <f t="shared" si="2317"/>
        <v>#DIV/0!</v>
      </c>
      <c r="BD252" s="86" t="e">
        <f t="shared" si="2317"/>
        <v>#DIV/0!</v>
      </c>
      <c r="BE252" s="86" t="e">
        <f t="shared" si="2317"/>
        <v>#DIV/0!</v>
      </c>
      <c r="BF252" s="86" t="e">
        <f t="shared" si="2317"/>
        <v>#DIV/0!</v>
      </c>
      <c r="BG252" s="86" t="e">
        <f t="shared" si="2317"/>
        <v>#DIV/0!</v>
      </c>
      <c r="BH252" s="86" t="e">
        <f t="shared" si="2317"/>
        <v>#DIV/0!</v>
      </c>
      <c r="BI252" s="86" t="e">
        <f t="shared" si="2317"/>
        <v>#DIV/0!</v>
      </c>
      <c r="BJ252" s="86" t="e">
        <f t="shared" si="2317"/>
        <v>#DIV/0!</v>
      </c>
      <c r="BK252" s="86" t="e">
        <f t="shared" si="2317"/>
        <v>#DIV/0!</v>
      </c>
      <c r="BL252" s="86" t="e">
        <f t="shared" si="2317"/>
        <v>#DIV/0!</v>
      </c>
      <c r="BM252" s="86" t="e">
        <f t="shared" si="2317"/>
        <v>#DIV/0!</v>
      </c>
      <c r="BN252" s="86" t="e">
        <f t="shared" si="2317"/>
        <v>#DIV/0!</v>
      </c>
      <c r="BO252" s="86" t="e">
        <f t="shared" si="2317"/>
        <v>#DIV/0!</v>
      </c>
      <c r="BP252" s="86" t="e">
        <f t="shared" si="2317"/>
        <v>#DIV/0!</v>
      </c>
      <c r="BQ252" s="86" t="e">
        <f t="shared" si="2317"/>
        <v>#DIV/0!</v>
      </c>
      <c r="BR252" s="86" t="e">
        <f t="shared" si="2317"/>
        <v>#DIV/0!</v>
      </c>
      <c r="BS252" s="86" t="e">
        <f t="shared" si="2317"/>
        <v>#DIV/0!</v>
      </c>
      <c r="BT252" s="86" t="e">
        <f t="shared" si="2317"/>
        <v>#DIV/0!</v>
      </c>
      <c r="BU252" s="86" t="e">
        <f t="shared" si="2317"/>
        <v>#DIV/0!</v>
      </c>
      <c r="BV252" s="86" t="e">
        <f t="shared" si="2317"/>
        <v>#DIV/0!</v>
      </c>
      <c r="BW252" s="86">
        <f t="shared" si="2317"/>
        <v>3.9091203009728716E-2</v>
      </c>
      <c r="BX252" s="86">
        <f t="shared" si="2317"/>
        <v>4.6016866974229381E-2</v>
      </c>
      <c r="BY252" s="86">
        <f t="shared" si="2317"/>
        <v>3.9472947761194026E-2</v>
      </c>
      <c r="BZ252" s="86">
        <f t="shared" si="2317"/>
        <v>3.0908953248991396E-2</v>
      </c>
      <c r="CA252" s="86">
        <f t="shared" si="2317"/>
        <v>4.1814799123178661E-2</v>
      </c>
      <c r="CB252" s="86">
        <f t="shared" si="2317"/>
        <v>2.6000726430416874E-2</v>
      </c>
      <c r="CC252" s="86">
        <f t="shared" si="2317"/>
        <v>2.5850200285320923E-2</v>
      </c>
      <c r="CD252" s="86">
        <f t="shared" si="2317"/>
        <v>2.6033390171980666E-2</v>
      </c>
      <c r="CE252" s="86">
        <f t="shared" si="2317"/>
        <v>3.11379103088586E-2</v>
      </c>
      <c r="CF252" s="86">
        <f t="shared" si="2317"/>
        <v>2.8173064578251378E-2</v>
      </c>
      <c r="CG252" s="86">
        <f t="shared" si="2317"/>
        <v>2.2404757831422935E-2</v>
      </c>
      <c r="CH252" s="86">
        <f t="shared" si="2317"/>
        <v>2.0067514688533013E-2</v>
      </c>
      <c r="CI252" s="86">
        <f t="shared" si="2317"/>
        <v>3.0945274703961898E-2</v>
      </c>
      <c r="CJ252" s="86">
        <f t="shared" si="2317"/>
        <v>2.1926125279267562E-2</v>
      </c>
      <c r="CK252" s="87">
        <f t="shared" si="2317"/>
        <v>2.0125466874569391E-2</v>
      </c>
      <c r="CL252" s="86">
        <f t="shared" ref="CL252" si="2318">CL36/CL8</f>
        <v>1.5273235666270181E-2</v>
      </c>
      <c r="CM252" s="87">
        <f t="shared" si="2317"/>
        <v>4.5963128800161925E-4</v>
      </c>
      <c r="CN252" s="87">
        <f t="shared" si="2317"/>
        <v>3.220630653096379E-3</v>
      </c>
      <c r="CO252" s="87">
        <f t="shared" si="2317"/>
        <v>3.3015402848021228E-3</v>
      </c>
      <c r="CP252" s="87">
        <f t="shared" si="2317"/>
        <v>2.8902031547409814E-3</v>
      </c>
      <c r="CQ252" s="87">
        <f t="shared" si="2317"/>
        <v>3.3549578107319408E-3</v>
      </c>
      <c r="CR252" s="87">
        <f t="shared" si="2317"/>
        <v>6.1099279301227213E-3</v>
      </c>
      <c r="CS252" s="87">
        <f t="shared" si="2317"/>
        <v>6.2806254462432947E-3</v>
      </c>
      <c r="CT252" s="87">
        <f t="shared" si="2317"/>
        <v>5.2049399443819325E-3</v>
      </c>
      <c r="CU252" s="87">
        <f t="shared" si="2317"/>
        <v>6.9918057581293252E-3</v>
      </c>
      <c r="CV252" s="87">
        <f t="shared" si="2317"/>
        <v>9.6312255774272226E-3</v>
      </c>
      <c r="CW252" s="87">
        <f t="shared" si="2317"/>
        <v>9.8630376623479975E-3</v>
      </c>
      <c r="CX252" s="87">
        <f t="shared" ref="CX252:DB252" si="2319">CX36/CX8</f>
        <v>8.0130186192237801E-3</v>
      </c>
      <c r="CY252" s="87">
        <f t="shared" si="2319"/>
        <v>1.1435751737977744E-2</v>
      </c>
      <c r="CZ252" s="87">
        <f t="shared" si="2319"/>
        <v>1.3902898019941861E-2</v>
      </c>
      <c r="DA252" s="87">
        <f t="shared" si="2319"/>
        <v>1.4207928291394882E-2</v>
      </c>
      <c r="DB252" s="87">
        <f t="shared" si="2319"/>
        <v>1.1425915564531307E-2</v>
      </c>
      <c r="DE252" s="141"/>
      <c r="DF252" s="86">
        <v>2.153731514841635E-2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>
        <f t="shared" si="2320"/>
        <v>6.6931923957392397E-3</v>
      </c>
      <c r="P253" s="86">
        <f t="shared" si="2320"/>
        <v>8.9600686933028507E-3</v>
      </c>
      <c r="Q253" s="86">
        <f t="shared" si="2320"/>
        <v>2.1413039934964257E-2</v>
      </c>
      <c r="R253" s="86">
        <f t="shared" si="2320"/>
        <v>1.993236579764544E-2</v>
      </c>
      <c r="S253" s="86">
        <f t="shared" si="2320"/>
        <v>2.1112048850898225E-2</v>
      </c>
      <c r="T253" s="86">
        <f t="shared" si="2320"/>
        <v>1.7305971236497596E-2</v>
      </c>
      <c r="U253" s="86">
        <f t="shared" si="2320"/>
        <v>2.3144390455208746E-2</v>
      </c>
      <c r="V253" s="86">
        <f t="shared" si="2320"/>
        <v>2.9396778487583354E-2</v>
      </c>
      <c r="W253" s="86">
        <f t="shared" si="2320"/>
        <v>2.6766296616532483E-2</v>
      </c>
      <c r="X253" s="86">
        <f t="shared" si="2320"/>
        <v>2.3334411014947723E-2</v>
      </c>
      <c r="Y253" s="86">
        <f t="shared" si="2320"/>
        <v>1.8720146727288438E-2</v>
      </c>
      <c r="Z253" s="86">
        <f t="shared" si="2320"/>
        <v>2.2414725728567422E-2</v>
      </c>
      <c r="AA253" s="86">
        <f t="shared" ref="AA253" si="2321">AA32/AA8</f>
        <v>3.3890216689060913E-2</v>
      </c>
      <c r="AB253" s="87">
        <f t="shared" si="2320"/>
        <v>4.0477686854883982E-2</v>
      </c>
      <c r="AC253" s="87">
        <f t="shared" si="2320"/>
        <v>4.046104566752165E-2</v>
      </c>
      <c r="AD253" s="87">
        <f t="shared" si="2320"/>
        <v>4.0455126317012854E-2</v>
      </c>
      <c r="AE253" s="87">
        <f t="shared" si="2320"/>
        <v>4.0446881091630145E-2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 t="e">
        <f t="shared" si="2322"/>
        <v>#DIV/0!</v>
      </c>
      <c r="AT253" s="86" t="e">
        <f t="shared" si="2322"/>
        <v>#DIV/0!</v>
      </c>
      <c r="AU253" s="86" t="e">
        <f t="shared" si="2322"/>
        <v>#DIV/0!</v>
      </c>
      <c r="AV253" s="86" t="e">
        <f t="shared" si="2322"/>
        <v>#DIV/0!</v>
      </c>
      <c r="AW253" s="86" t="e">
        <f t="shared" si="2322"/>
        <v>#DIV/0!</v>
      </c>
      <c r="AX253" s="86" t="e">
        <f t="shared" si="2322"/>
        <v>#DIV/0!</v>
      </c>
      <c r="AY253" s="86" t="e">
        <f t="shared" si="2322"/>
        <v>#DIV/0!</v>
      </c>
      <c r="AZ253" s="86" t="e">
        <f t="shared" si="2322"/>
        <v>#DIV/0!</v>
      </c>
      <c r="BA253" s="86" t="e">
        <f t="shared" si="2322"/>
        <v>#DIV/0!</v>
      </c>
      <c r="BB253" s="86" t="e">
        <f t="shared" si="2322"/>
        <v>#DIV/0!</v>
      </c>
      <c r="BC253" s="86" t="e">
        <f t="shared" si="2322"/>
        <v>#DIV/0!</v>
      </c>
      <c r="BD253" s="86" t="e">
        <f t="shared" si="2322"/>
        <v>#DIV/0!</v>
      </c>
      <c r="BE253" s="86" t="e">
        <f t="shared" si="2322"/>
        <v>#DIV/0!</v>
      </c>
      <c r="BF253" s="86" t="e">
        <f t="shared" si="2322"/>
        <v>#DIV/0!</v>
      </c>
      <c r="BG253" s="86" t="e">
        <f t="shared" si="2322"/>
        <v>#DIV/0!</v>
      </c>
      <c r="BH253" s="86" t="e">
        <f t="shared" si="2322"/>
        <v>#DIV/0!</v>
      </c>
      <c r="BI253" s="86" t="e">
        <f t="shared" si="2322"/>
        <v>#DIV/0!</v>
      </c>
      <c r="BJ253" s="86" t="e">
        <f t="shared" si="2322"/>
        <v>#DIV/0!</v>
      </c>
      <c r="BK253" s="86" t="e">
        <f t="shared" si="2322"/>
        <v>#DIV/0!</v>
      </c>
      <c r="BL253" s="86" t="e">
        <f t="shared" si="2322"/>
        <v>#DIV/0!</v>
      </c>
      <c r="BM253" s="86" t="e">
        <f t="shared" si="2322"/>
        <v>#DIV/0!</v>
      </c>
      <c r="BN253" s="86" t="e">
        <f t="shared" si="2322"/>
        <v>#DIV/0!</v>
      </c>
      <c r="BO253" s="86" t="e">
        <f t="shared" si="2322"/>
        <v>#DIV/0!</v>
      </c>
      <c r="BP253" s="86" t="e">
        <f t="shared" si="2322"/>
        <v>#DIV/0!</v>
      </c>
      <c r="BQ253" s="86" t="e">
        <f t="shared" si="2322"/>
        <v>#DIV/0!</v>
      </c>
      <c r="BR253" s="86" t="e">
        <f t="shared" si="2322"/>
        <v>#DIV/0!</v>
      </c>
      <c r="BS253" s="86" t="e">
        <f t="shared" si="2322"/>
        <v>#DIV/0!</v>
      </c>
      <c r="BT253" s="86" t="e">
        <f t="shared" si="2322"/>
        <v>#DIV/0!</v>
      </c>
      <c r="BU253" s="86" t="e">
        <f t="shared" si="2322"/>
        <v>#DIV/0!</v>
      </c>
      <c r="BV253" s="86" t="e">
        <f t="shared" si="2322"/>
        <v>#DIV/0!</v>
      </c>
      <c r="BW253" s="86">
        <f t="shared" si="2322"/>
        <v>2.9021544249478295E-2</v>
      </c>
      <c r="BX253" s="86">
        <f t="shared" si="2322"/>
        <v>2.9126384766830247E-2</v>
      </c>
      <c r="BY253" s="86">
        <f t="shared" si="2322"/>
        <v>2.1902985074626864E-2</v>
      </c>
      <c r="BZ253" s="86">
        <f t="shared" si="2322"/>
        <v>1.7399581054430475E-2</v>
      </c>
      <c r="CA253" s="86">
        <f t="shared" si="2322"/>
        <v>2.2233683939064604E-2</v>
      </c>
      <c r="CB253" s="86">
        <f t="shared" si="2322"/>
        <v>1.8760408171656875E-2</v>
      </c>
      <c r="CC253" s="86">
        <f t="shared" si="2322"/>
        <v>1.7954037166476661E-2</v>
      </c>
      <c r="CD253" s="86">
        <f t="shared" si="2322"/>
        <v>1.7258866414439411E-2</v>
      </c>
      <c r="CE253" s="86">
        <f t="shared" si="2322"/>
        <v>2.5953428853946525E-2</v>
      </c>
      <c r="CF253" s="86">
        <f t="shared" si="2322"/>
        <v>1.764026190781872E-2</v>
      </c>
      <c r="CG253" s="86">
        <f t="shared" si="2322"/>
        <v>2.2560080677837907E-2</v>
      </c>
      <c r="CH253" s="86">
        <f t="shared" si="2322"/>
        <v>2.4475826704512271E-2</v>
      </c>
      <c r="CI253" s="86">
        <f t="shared" si="2322"/>
        <v>3.777291713806491E-2</v>
      </c>
      <c r="CJ253" s="86">
        <f t="shared" si="2322"/>
        <v>3.4014306225332705E-2</v>
      </c>
      <c r="CK253" s="87">
        <f t="shared" si="2322"/>
        <v>3.5513784543773304E-2</v>
      </c>
      <c r="CL253" s="86">
        <f t="shared" ref="CL253" si="2323">CL32/CL8</f>
        <v>2.9522294805690956E-2</v>
      </c>
      <c r="CM253" s="87">
        <f t="shared" si="2322"/>
        <v>4.7677567577305104E-2</v>
      </c>
      <c r="CN253" s="87">
        <f t="shared" si="2322"/>
        <v>4.3095672545153257E-2</v>
      </c>
      <c r="CO253" s="87">
        <f t="shared" si="2322"/>
        <v>4.1995986257645064E-2</v>
      </c>
      <c r="CP253" s="87">
        <f t="shared" si="2322"/>
        <v>3.1595632772343264E-2</v>
      </c>
      <c r="CQ253" s="87">
        <f t="shared" si="2322"/>
        <v>4.7444304630746177E-2</v>
      </c>
      <c r="CR253" s="87">
        <f t="shared" si="2322"/>
        <v>4.3333252866016532E-2</v>
      </c>
      <c r="CS253" s="87">
        <f t="shared" si="2322"/>
        <v>4.2061082381150083E-2</v>
      </c>
      <c r="CT253" s="87">
        <f t="shared" si="2322"/>
        <v>3.1492715288064681E-2</v>
      </c>
      <c r="CU253" s="87">
        <f t="shared" si="2322"/>
        <v>4.7430617917152508E-2</v>
      </c>
      <c r="CV253" s="87">
        <f t="shared" si="2322"/>
        <v>4.3370917792407961E-2</v>
      </c>
      <c r="CW253" s="87">
        <f t="shared" si="2322"/>
        <v>4.20490937004478E-2</v>
      </c>
      <c r="CX253" s="87">
        <f t="shared" ref="CX253:DB253" si="2324">CX32/CX8</f>
        <v>3.1469324025898276E-2</v>
      </c>
      <c r="CY253" s="87">
        <f t="shared" si="2324"/>
        <v>4.7425299874342006E-2</v>
      </c>
      <c r="CZ253" s="87">
        <f t="shared" si="2324"/>
        <v>4.3367967546744546E-2</v>
      </c>
      <c r="DA253" s="87">
        <f t="shared" si="2324"/>
        <v>4.2036392630496001E-2</v>
      </c>
      <c r="DB253" s="87">
        <f t="shared" si="2324"/>
        <v>3.145968468730545E-2</v>
      </c>
      <c r="DE253" s="141"/>
      <c r="DF253" s="86">
        <v>3.3890216689060899E-2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209063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Cyient DLM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170.11500000000001</v>
      </c>
      <c r="AR6">
        <f>_xll.EQNXTDZ($A$1,$B6,AR$1,$B$1)</f>
        <v>170.155</v>
      </c>
      <c r="AS6">
        <f>_xll.EQNXTDZ($A$1,$B6,AS$1,$B$1)</f>
        <v>214.4</v>
      </c>
      <c r="AT6">
        <f>_xll.EQNXTDZ($A$1,$B6,AT$1,$B$1)</f>
        <v>277.363</v>
      </c>
      <c r="AU6">
        <f>_xll.EQNXTDZ($A$1,$B6,AU$1,$B$1)</f>
        <v>217.148</v>
      </c>
      <c r="AV6">
        <f>_xll.EQNXTDZ($A$1,$B6,AV$1,$B$1)</f>
        <v>291.83800000000002</v>
      </c>
      <c r="AW6">
        <f>_xll.EQNXTDZ($A$1,$B6,AW$1,$B$1)</f>
        <v>321.04199999999997</v>
      </c>
      <c r="AX6">
        <f>_xll.EQNXTDZ($A$1,$B6,AX$1,$B$1)</f>
        <v>361.84300000000002</v>
      </c>
      <c r="AY6">
        <f>_xll.EQNXTDZ($A$1,$B6,AY$1,$B$1)</f>
        <v>257.88499999999999</v>
      </c>
      <c r="AZ6">
        <f>_xll.EQNXTDZ($A$1,$B6,AZ$1,$B$1)</f>
        <v>389.45</v>
      </c>
      <c r="BA6">
        <f>_xll.EQNXTDZ($A$1,$B6,BA$1,$B$1)</f>
        <v>444.23599999999999</v>
      </c>
      <c r="BB6">
        <f>_xll.EQNXTDZ($A$1,$B6,BB$1,$B$1)</f>
        <v>428.05500000000001</v>
      </c>
      <c r="BC6">
        <f>_xll.EQNXTDZ($A$1,$B6,BC$1,$B$1)</f>
        <v>278.42700000000002</v>
      </c>
      <c r="BD6">
        <f>_xll.EQNXTDZ($A$1,$B6,BD$1,$B$1)</f>
        <v>310.63400000000001</v>
      </c>
      <c r="BE6">
        <f>_xll.EQNXTDZ($A$1,$B6,BE$1,$B$1)</f>
        <v>303.34699999999998</v>
      </c>
      <c r="BF6">
        <f>_xll.EQNXTDZ($A$1,$B6,BF$1,$B$1)</f>
        <v>369.077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170.11500000000001</v>
      </c>
      <c r="AR9">
        <f>_xll.EQNXTDZ($A$1,$B9,AR$1,$B$1)</f>
        <v>170.155</v>
      </c>
      <c r="AS9">
        <f>_xll.EQNXTDZ($A$1,$B9,AS$1,$B$1)</f>
        <v>214.4</v>
      </c>
      <c r="AT9">
        <f>_xll.EQNXTDZ($A$1,$B9,AT$1,$B$1)</f>
        <v>277.363</v>
      </c>
      <c r="AU9">
        <f>_xll.EQNXTDZ($A$1,$B9,AU$1,$B$1)</f>
        <v>217.148</v>
      </c>
      <c r="AV9">
        <f>_xll.EQNXTDZ($A$1,$B9,AV$1,$B$1)</f>
        <v>291.83800000000002</v>
      </c>
      <c r="AW9">
        <f>_xll.EQNXTDZ($A$1,$B9,AW$1,$B$1)</f>
        <v>321.04199999999997</v>
      </c>
      <c r="AX9">
        <f>_xll.EQNXTDZ($A$1,$B9,AX$1,$B$1)</f>
        <v>361.84300000000002</v>
      </c>
      <c r="AY9">
        <f>_xll.EQNXTDZ($A$1,$B9,AY$1,$B$1)</f>
        <v>257.88499999999999</v>
      </c>
      <c r="AZ9">
        <f>_xll.EQNXTDZ($A$1,$B9,AZ$1,$B$1)</f>
        <v>389.45</v>
      </c>
      <c r="BA9">
        <f>_xll.EQNXTDZ($A$1,$B9,BA$1,$B$1)</f>
        <v>444.23599999999999</v>
      </c>
      <c r="BB9">
        <f>_xll.EQNXTDZ($A$1,$B9,BB$1,$B$1)</f>
        <v>428.05500000000001</v>
      </c>
      <c r="BC9">
        <f>_xll.EQNXTDZ($A$1,$B9,BC$1,$B$1)</f>
        <v>278.42700000000002</v>
      </c>
      <c r="BD9">
        <f>_xll.EQNXTDZ($A$1,$B9,BD$1,$B$1)</f>
        <v>310.63400000000001</v>
      </c>
      <c r="BE9">
        <f>_xll.EQNXTDZ($A$1,$B9,BE$1,$B$1)</f>
        <v>303.34699999999998</v>
      </c>
      <c r="BF9">
        <f>_xll.EQNXTDZ($A$1,$B9,BF$1,$B$1)</f>
        <v>369.077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3.5619999999999998</v>
      </c>
      <c r="AR10">
        <f>_xll.EQNXTDZ($A$1,$B10,AR$1,$B$1)</f>
        <v>1.7150000000000001</v>
      </c>
      <c r="AS10">
        <f>_xll.EQNXTDZ($A$1,$B10,AS$1,$B$1)</f>
        <v>5.907</v>
      </c>
      <c r="AT10">
        <f>_xll.EQNXTDZ($A$1,$B10,AT$1,$B$1)</f>
        <v>-0.123</v>
      </c>
      <c r="AU10">
        <f>_xll.EQNXTDZ($A$1,$B10,AU$1,$B$1)</f>
        <v>-10.673</v>
      </c>
      <c r="AV10">
        <f>_xll.EQNXTDZ($A$1,$B10,AV$1,$B$1)</f>
        <v>-10.888999999999999</v>
      </c>
      <c r="AW10">
        <f>_xll.EQNXTDZ($A$1,$B10,AW$1,$B$1)</f>
        <v>-10.85</v>
      </c>
      <c r="AX10">
        <f>_xll.EQNXTDZ($A$1,$B10,AX$1,$B$1)</f>
        <v>3.6339999999999999</v>
      </c>
      <c r="AY10">
        <f>_xll.EQNXTDZ($A$1,$B10,AY$1,$B$1)</f>
        <v>-27.66</v>
      </c>
      <c r="AZ10">
        <f>_xll.EQNXTDZ($A$1,$B10,AZ$1,$B$1)</f>
        <v>26.204999999999998</v>
      </c>
      <c r="BA10">
        <f>_xll.EQNXTDZ($A$1,$B10,BA$1,$B$1)</f>
        <v>0.41299999999999998</v>
      </c>
      <c r="BB10">
        <f>_xll.EQNXTDZ($A$1,$B10,BB$1,$B$1)</f>
        <v>22.295999999999999</v>
      </c>
      <c r="BC10">
        <f>_xll.EQNXTDZ($A$1,$B10,BC$1,$B$1)</f>
        <v>4.7930000000000001</v>
      </c>
      <c r="BD10">
        <f>_xll.EQNXTDZ($A$1,$B10,BD$1,$B$1)</f>
        <v>-13.523999999999999</v>
      </c>
      <c r="BE10">
        <f>_xll.EQNXTDZ($A$1,$B10,BE$1,$B$1)</f>
        <v>-4.3529999999999998</v>
      </c>
      <c r="BF10">
        <f>_xll.EQNXTDZ($A$1,$B10,BF$1,$B$1)</f>
        <v>-19.495000000000001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135.839</v>
      </c>
      <c r="AR11">
        <f>_xll.EQNXTDZ($A$1,$B11,AR$1,$B$1)</f>
        <v>123.592</v>
      </c>
      <c r="AS11">
        <f>_xll.EQNXTDZ($A$1,$B11,AS$1,$B$1)</f>
        <v>162.62200000000001</v>
      </c>
      <c r="AT11">
        <f>_xll.EQNXTDZ($A$1,$B11,AT$1,$B$1)</f>
        <v>212.1</v>
      </c>
      <c r="AU11">
        <f>_xll.EQNXTDZ($A$1,$B11,AU$1,$B$1)</f>
        <v>173.465</v>
      </c>
      <c r="AV11">
        <f>_xll.EQNXTDZ($A$1,$B11,AV$1,$B$1)</f>
        <v>242.066</v>
      </c>
      <c r="AW11">
        <f>_xll.EQNXTDZ($A$1,$B11,AW$1,$B$1)</f>
        <v>261.40300000000002</v>
      </c>
      <c r="AX11">
        <f>_xll.EQNXTDZ($A$1,$B11,AX$1,$B$1)</f>
        <v>271.80399999999997</v>
      </c>
      <c r="AY11">
        <f>_xll.EQNXTDZ($A$1,$B11,AY$1,$B$1)</f>
        <v>220.375</v>
      </c>
      <c r="AZ11">
        <f>_xll.EQNXTDZ($A$1,$B11,AZ$1,$B$1)</f>
        <v>282.99799999999999</v>
      </c>
      <c r="BA11">
        <f>_xll.EQNXTDZ($A$1,$B11,BA$1,$B$1)</f>
        <v>325.25900000000001</v>
      </c>
      <c r="BB11">
        <f>_xll.EQNXTDZ($A$1,$B11,BB$1,$B$1)</f>
        <v>258.30799999999999</v>
      </c>
      <c r="BC11">
        <f>_xll.EQNXTDZ($A$1,$B11,BC$1,$B$1)</f>
        <v>161.68899999999999</v>
      </c>
      <c r="BD11">
        <f>_xll.EQNXTDZ($A$1,$B11,BD$1,$B$1)</f>
        <v>196.12200000000001</v>
      </c>
      <c r="BE11">
        <f>_xll.EQNXTDZ($A$1,$B11,BE$1,$B$1)</f>
        <v>182.76900000000001</v>
      </c>
      <c r="BF11">
        <f>_xll.EQNXTDZ($A$1,$B11,BF$1,$B$1)</f>
        <v>244.21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8.1920000000000002</v>
      </c>
      <c r="AR14">
        <f>_xll.EQNXTDZ($A$1,$B14,AR$1,$B$1)</f>
        <v>8.1999999999999993</v>
      </c>
      <c r="AS14">
        <f>_xll.EQNXTDZ($A$1,$B14,AS$1,$B$1)</f>
        <v>11.147</v>
      </c>
      <c r="AT14">
        <f>_xll.EQNXTDZ($A$1,$B14,AT$1,$B$1)</f>
        <v>6.806</v>
      </c>
      <c r="AU14">
        <f>_xll.EQNXTDZ($A$1,$B14,AU$1,$B$1)</f>
        <v>9.9429999999999996</v>
      </c>
      <c r="AV14">
        <f>_xll.EQNXTDZ($A$1,$B14,AV$1,$B$1)</f>
        <v>10.422000000000001</v>
      </c>
      <c r="AW14">
        <f>_xll.EQNXTDZ($A$1,$B14,AW$1,$B$1)</f>
        <v>10.494999999999999</v>
      </c>
      <c r="AX14">
        <f>_xll.EQNXTDZ($A$1,$B14,AX$1,$B$1)</f>
        <v>12.659000000000001</v>
      </c>
      <c r="AY14">
        <f>_xll.EQNXTDZ($A$1,$B14,AY$1,$B$1)</f>
        <v>12.382999999999999</v>
      </c>
      <c r="AZ14">
        <f>_xll.EQNXTDZ($A$1,$B14,AZ$1,$B$1)</f>
        <v>15.045</v>
      </c>
      <c r="BA14">
        <f>_xll.EQNXTDZ($A$1,$B14,BA$1,$B$1)</f>
        <v>31.658999999999999</v>
      </c>
      <c r="BB14">
        <f>_xll.EQNXTDZ($A$1,$B14,BB$1,$B$1)</f>
        <v>28.952999999999999</v>
      </c>
      <c r="BC14">
        <f>_xll.EQNXTDZ($A$1,$B14,BC$1,$B$1)</f>
        <v>29.105</v>
      </c>
      <c r="BD14">
        <f>_xll.EQNXTDZ($A$1,$B14,BD$1,$B$1)</f>
        <v>43.901000000000003</v>
      </c>
      <c r="BE14">
        <f>_xll.EQNXTDZ($A$1,$B14,BE$1,$B$1)</f>
        <v>38.988</v>
      </c>
      <c r="BF14">
        <f>_xll.EQNXTDZ($A$1,$B14,BF$1,$B$1)</f>
        <v>43.683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10.946</v>
      </c>
      <c r="AR16">
        <f>_xll.EQNXTDZ($A$1,$B16,AR$1,$B$1)</f>
        <v>12.989000000000001</v>
      </c>
      <c r="AS16">
        <f>_xll.EQNXTDZ($A$1,$B16,AS$1,$B$1)</f>
        <v>14.089</v>
      </c>
      <c r="AT16">
        <f>_xll.EQNXTDZ($A$1,$B16,AT$1,$B$1)</f>
        <v>26.67</v>
      </c>
      <c r="AU16">
        <f>_xll.EQNXTDZ($A$1,$B16,AU$1,$B$1)</f>
        <v>24.43</v>
      </c>
      <c r="AV16">
        <f>_xll.EQNXTDZ($A$1,$B16,AV$1,$B$1)</f>
        <v>26.696000000000002</v>
      </c>
      <c r="AW16">
        <f>_xll.EQNXTDZ($A$1,$B16,AW$1,$B$1)</f>
        <v>30.556999999999999</v>
      </c>
      <c r="AX16">
        <f>_xll.EQNXTDZ($A$1,$B16,AX$1,$B$1)</f>
        <v>35.697000000000003</v>
      </c>
      <c r="AY16">
        <f>_xll.EQNXTDZ($A$1,$B16,AY$1,$B$1)</f>
        <v>32.795999999999999</v>
      </c>
      <c r="AZ16">
        <f>_xll.EQNXTDZ($A$1,$B16,AZ$1,$B$1)</f>
        <v>33.567999999999998</v>
      </c>
      <c r="BA16">
        <f>_xll.EQNXTDZ($A$1,$B16,BA$1,$B$1)</f>
        <v>58.771000000000001</v>
      </c>
      <c r="BB16">
        <f>_xll.EQNXTDZ($A$1,$B16,BB$1,$B$1)</f>
        <v>61.082999999999998</v>
      </c>
      <c r="BC16">
        <f>_xll.EQNXTDZ($A$1,$B16,BC$1,$B$1)</f>
        <v>57.781999999999996</v>
      </c>
      <c r="BD16">
        <f>_xll.EQNXTDZ($A$1,$B16,BD$1,$B$1)</f>
        <v>52.942</v>
      </c>
      <c r="BE16">
        <f>_xll.EQNXTDZ($A$1,$B16,BE$1,$B$1)</f>
        <v>58.45</v>
      </c>
      <c r="BF16">
        <f>_xll.EQNXTDZ($A$1,$B16,BF$1,$B$1)</f>
        <v>57.603999999999999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1.43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0.67900000000000005</v>
      </c>
      <c r="AW19">
        <f>_xll.EQNXTDZ($A$1,$B19,AW$1,$B$1)</f>
        <v>0</v>
      </c>
      <c r="AX19">
        <f>_xll.EQNXTDZ($A$1,$B19,AX$1,$B$1)</f>
        <v>1.762</v>
      </c>
      <c r="AY19">
        <f>_xll.EQNXTDZ($A$1,$B19,AY$1,$B$1)</f>
        <v>0.98499999999999999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2.149</v>
      </c>
      <c r="BD19">
        <f>_xll.EQNXTDZ($A$1,$B19,BD$1,$B$1)</f>
        <v>0</v>
      </c>
      <c r="BE19">
        <f>_xll.EQNXTDZ($A$1,$B19,BE$1,$B$1)</f>
        <v>0.47899999999999998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11.576000000000001</v>
      </c>
      <c r="AR22">
        <f>_xll.EQNXTDZ($A$1,$B22,AR$1,$B$1)</f>
        <v>23.658999999999999</v>
      </c>
      <c r="AS22">
        <f>_xll.EQNXTDZ($A$1,$B22,AS$1,$B$1)</f>
        <v>19.204999999999998</v>
      </c>
      <c r="AT22">
        <f>_xll.EQNXTDZ($A$1,$B22,AT$1,$B$1)</f>
        <v>31.91</v>
      </c>
      <c r="AU22">
        <f>_xll.EQNXTDZ($A$1,$B22,AU$1,$B$1)</f>
        <v>19.983000000000001</v>
      </c>
      <c r="AV22">
        <f>_xll.EQNXTDZ($A$1,$B22,AV$1,$B$1)</f>
        <v>22.864000000000001</v>
      </c>
      <c r="AW22">
        <f>_xll.EQNXTDZ($A$1,$B22,AW$1,$B$1)</f>
        <v>29.437000000000001</v>
      </c>
      <c r="AX22">
        <f>_xll.EQNXTDZ($A$1,$B22,AX$1,$B$1)</f>
        <v>36.2869999999999</v>
      </c>
      <c r="AY22">
        <f>_xll.EQNXTDZ($A$1,$B22,AY$1,$B$1)</f>
        <v>19.006</v>
      </c>
      <c r="AZ22">
        <f>_xll.EQNXTDZ($A$1,$B22,AZ$1,$B$1)</f>
        <v>31.634</v>
      </c>
      <c r="BA22">
        <f>_xll.EQNXTDZ($A$1,$B22,BA$1,$B$1)</f>
        <v>28.133999999999901</v>
      </c>
      <c r="BB22">
        <f>_xll.EQNXTDZ($A$1,$B22,BB$1,$B$1)</f>
        <v>57.415000000000099</v>
      </c>
      <c r="BC22">
        <f>_xll.EQNXTDZ($A$1,$B22,BC$1,$B$1)</f>
        <v>22.908999999999999</v>
      </c>
      <c r="BD22">
        <f>_xll.EQNXTDZ($A$1,$B22,BD$1,$B$1)</f>
        <v>31.193000000000001</v>
      </c>
      <c r="BE22">
        <f>_xll.EQNXTDZ($A$1,$B22,BE$1,$B$1)</f>
        <v>27.013999999999999</v>
      </c>
      <c r="BF22">
        <f>_xll.EQNXTDZ($A$1,$B22,BF$1,$B$1)</f>
        <v>43.075000000000003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8.484</v>
      </c>
      <c r="AR23">
        <f>_xll.EQNXTDZ($A$1,$B23,AR$1,$B$1)</f>
        <v>-0.67600000000000005</v>
      </c>
      <c r="AS23">
        <f>_xll.EQNXTDZ($A$1,$B23,AS$1,$B$1)</f>
        <v>1.222</v>
      </c>
      <c r="AT23">
        <f>_xll.EQNXTDZ($A$1,$B23,AT$1,$B$1)</f>
        <v>-1.2889999999999999</v>
      </c>
      <c r="AU23">
        <f>_xll.EQNXTDZ($A$1,$B23,AU$1,$B$1)</f>
        <v>0.91200000000000003</v>
      </c>
      <c r="AV23">
        <f>_xll.EQNXTDZ($A$1,$B23,AV$1,$B$1)</f>
        <v>9.9610000000000003</v>
      </c>
      <c r="AW23">
        <f>_xll.EQNXTDZ($A$1,$B23,AW$1,$B$1)</f>
        <v>9.32</v>
      </c>
      <c r="AX23">
        <f>_xll.EQNXTDZ($A$1,$B23,AX$1,$B$1)</f>
        <v>10.074</v>
      </c>
      <c r="AY23">
        <f>_xll.EQNXTDZ($A$1,$B23,AY$1,$B$1)</f>
        <v>9.8759999999999994</v>
      </c>
      <c r="AZ23">
        <f>_xll.EQNXTDZ($A$1,$B23,AZ$1,$B$1)</f>
        <v>7.0990000000000002</v>
      </c>
      <c r="BA23">
        <f>_xll.EQNXTDZ($A$1,$B23,BA$1,$B$1)</f>
        <v>6.85</v>
      </c>
      <c r="BB23">
        <f>_xll.EQNXTDZ($A$1,$B23,BB$1,$B$1)</f>
        <v>3.3170000000000002</v>
      </c>
      <c r="BC23">
        <f>_xll.EQNXTDZ($A$1,$B23,BC$1,$B$1)</f>
        <v>6.3250000000000002</v>
      </c>
      <c r="BD23">
        <f>_xll.EQNXTDZ($A$1,$B23,BD$1,$B$1)</f>
        <v>22.661000000000001</v>
      </c>
      <c r="BE23">
        <f>_xll.EQNXTDZ($A$1,$B23,BE$1,$B$1)</f>
        <v>4.7709999999999999</v>
      </c>
      <c r="BF23">
        <f>_xll.EQNXTDZ($A$1,$B23,BF$1,$B$1)</f>
        <v>5.1340000000000003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20.059999999999999</v>
      </c>
      <c r="AR24">
        <f>_xll.EQNXTDZ($A$1,$B24,AR$1,$B$1)</f>
        <v>22.983000000000001</v>
      </c>
      <c r="AS24">
        <f>_xll.EQNXTDZ($A$1,$B24,AS$1,$B$1)</f>
        <v>20.427</v>
      </c>
      <c r="AT24">
        <f>_xll.EQNXTDZ($A$1,$B24,AT$1,$B$1)</f>
        <v>30.620999999999999</v>
      </c>
      <c r="AU24">
        <f>_xll.EQNXTDZ($A$1,$B24,AU$1,$B$1)</f>
        <v>20.895</v>
      </c>
      <c r="AV24">
        <f>_xll.EQNXTDZ($A$1,$B24,AV$1,$B$1)</f>
        <v>32.825000000000003</v>
      </c>
      <c r="AW24">
        <f>_xll.EQNXTDZ($A$1,$B24,AW$1,$B$1)</f>
        <v>38.756999999999998</v>
      </c>
      <c r="AX24">
        <f>_xll.EQNXTDZ($A$1,$B24,AX$1,$B$1)</f>
        <v>46.360999999999997</v>
      </c>
      <c r="AY24">
        <f>_xll.EQNXTDZ($A$1,$B24,AY$1,$B$1)</f>
        <v>28.882000000000001</v>
      </c>
      <c r="AZ24">
        <f>_xll.EQNXTDZ($A$1,$B24,AZ$1,$B$1)</f>
        <v>38.732999999999997</v>
      </c>
      <c r="BA24">
        <f>_xll.EQNXTDZ($A$1,$B24,BA$1,$B$1)</f>
        <v>34.983999999999902</v>
      </c>
      <c r="BB24">
        <f>_xll.EQNXTDZ($A$1,$B24,BB$1,$B$1)</f>
        <v>60.732000000000099</v>
      </c>
      <c r="BC24">
        <f>_xll.EQNXTDZ($A$1,$B24,BC$1,$B$1)</f>
        <v>29.234000000000002</v>
      </c>
      <c r="BD24">
        <f>_xll.EQNXTDZ($A$1,$B24,BD$1,$B$1)</f>
        <v>53.853999999999999</v>
      </c>
      <c r="BE24">
        <f>_xll.EQNXTDZ($A$1,$B24,BE$1,$B$1)</f>
        <v>31.785</v>
      </c>
      <c r="BF24">
        <f>_xll.EQNXTDZ($A$1,$B24,BF$1,$B$1)</f>
        <v>48.209000000000003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6.65</v>
      </c>
      <c r="AR25">
        <f>_xll.EQNXTDZ($A$1,$B25,AR$1,$B$1)</f>
        <v>7.83</v>
      </c>
      <c r="AS25">
        <f>_xll.EQNXTDZ($A$1,$B25,AS$1,$B$1)</f>
        <v>8.4629999999999992</v>
      </c>
      <c r="AT25">
        <f>_xll.EQNXTDZ($A$1,$B25,AT$1,$B$1)</f>
        <v>8.5730000000000004</v>
      </c>
      <c r="AU25">
        <f>_xll.EQNXTDZ($A$1,$B25,AU$1,$B$1)</f>
        <v>9.08</v>
      </c>
      <c r="AV25">
        <f>_xll.EQNXTDZ($A$1,$B25,AV$1,$B$1)</f>
        <v>7.5880000000000001</v>
      </c>
      <c r="AW25">
        <f>_xll.EQNXTDZ($A$1,$B25,AW$1,$B$1)</f>
        <v>8.2989999999999995</v>
      </c>
      <c r="AX25">
        <f>_xll.EQNXTDZ($A$1,$B25,AX$1,$B$1)</f>
        <v>9.42</v>
      </c>
      <c r="AY25">
        <f>_xll.EQNXTDZ($A$1,$B25,AY$1,$B$1)</f>
        <v>8.0299999999999994</v>
      </c>
      <c r="AZ25">
        <f>_xll.EQNXTDZ($A$1,$B25,AZ$1,$B$1)</f>
        <v>10.972</v>
      </c>
      <c r="BA25">
        <f>_xll.EQNXTDZ($A$1,$B25,BA$1,$B$1)</f>
        <v>9.9529999999999994</v>
      </c>
      <c r="BB25">
        <f>_xll.EQNXTDZ($A$1,$B25,BB$1,$B$1)</f>
        <v>8.59</v>
      </c>
      <c r="BC25">
        <f>_xll.EQNXTDZ($A$1,$B25,BC$1,$B$1)</f>
        <v>8.6159999999999997</v>
      </c>
      <c r="BD25">
        <f>_xll.EQNXTDZ($A$1,$B25,BD$1,$B$1)</f>
        <v>6.8109999999999999</v>
      </c>
      <c r="BE25">
        <f>_xll.EQNXTDZ($A$1,$B25,BE$1,$B$1)</f>
        <v>6.1050000000000004</v>
      </c>
      <c r="BF25">
        <f>_xll.EQNXTDZ($A$1,$B25,BF$1,$B$1)</f>
        <v>5.6369999999999996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13.41</v>
      </c>
      <c r="AR27">
        <f>_xll.EQNXTDZ($A$1,$B27,AR$1,$B$1)</f>
        <v>15.153</v>
      </c>
      <c r="AS27">
        <f>_xll.EQNXTDZ($A$1,$B27,AS$1,$B$1)</f>
        <v>11.964</v>
      </c>
      <c r="AT27">
        <f>_xll.EQNXTDZ($A$1,$B27,AT$1,$B$1)</f>
        <v>22.047999999999998</v>
      </c>
      <c r="AU27">
        <f>_xll.EQNXTDZ($A$1,$B27,AU$1,$B$1)</f>
        <v>11.815</v>
      </c>
      <c r="AV27">
        <f>_xll.EQNXTDZ($A$1,$B27,AV$1,$B$1)</f>
        <v>25.236999999999998</v>
      </c>
      <c r="AW27">
        <f>_xll.EQNXTDZ($A$1,$B27,AW$1,$B$1)</f>
        <v>30.457999999999998</v>
      </c>
      <c r="AX27">
        <f>_xll.EQNXTDZ($A$1,$B27,AX$1,$B$1)</f>
        <v>36.941000000000003</v>
      </c>
      <c r="AY27">
        <f>_xll.EQNXTDZ($A$1,$B27,AY$1,$B$1)</f>
        <v>20.852</v>
      </c>
      <c r="AZ27">
        <f>_xll.EQNXTDZ($A$1,$B27,AZ$1,$B$1)</f>
        <v>27.760999999999999</v>
      </c>
      <c r="BA27">
        <f>_xll.EQNXTDZ($A$1,$B27,BA$1,$B$1)</f>
        <v>25.030999999999899</v>
      </c>
      <c r="BB27">
        <f>_xll.EQNXTDZ($A$1,$B27,BB$1,$B$1)</f>
        <v>52.142000000000102</v>
      </c>
      <c r="BC27">
        <f>_xll.EQNXTDZ($A$1,$B27,BC$1,$B$1)</f>
        <v>20.617999999999999</v>
      </c>
      <c r="BD27">
        <f>_xll.EQNXTDZ($A$1,$B27,BD$1,$B$1)</f>
        <v>47.042999999999999</v>
      </c>
      <c r="BE27">
        <f>_xll.EQNXTDZ($A$1,$B27,BE$1,$B$1)</f>
        <v>25.68</v>
      </c>
      <c r="BF27">
        <f>_xll.EQNXTDZ($A$1,$B27,BF$1,$B$1)</f>
        <v>42.572000000000003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4.9370000000000003</v>
      </c>
      <c r="AR28">
        <f>_xll.EQNXTDZ($A$1,$B28,AR$1,$B$1)</f>
        <v>4.9560000000000004</v>
      </c>
      <c r="AS28">
        <f>_xll.EQNXTDZ($A$1,$B28,AS$1,$B$1)</f>
        <v>4.6959999999999997</v>
      </c>
      <c r="AT28">
        <f>_xll.EQNXTDZ($A$1,$B28,AT$1,$B$1)</f>
        <v>4.8259999999999996</v>
      </c>
      <c r="AU28">
        <f>_xll.EQNXTDZ($A$1,$B28,AU$1,$B$1)</f>
        <v>4.8280000000000003</v>
      </c>
      <c r="AV28">
        <f>_xll.EQNXTDZ($A$1,$B28,AV$1,$B$1)</f>
        <v>5.4749999999999996</v>
      </c>
      <c r="AW28">
        <f>_xll.EQNXTDZ($A$1,$B28,AW$1,$B$1)</f>
        <v>5.7640000000000002</v>
      </c>
      <c r="AX28">
        <f>_xll.EQNXTDZ($A$1,$B28,AX$1,$B$1)</f>
        <v>6.2450000000000001</v>
      </c>
      <c r="AY28">
        <f>_xll.EQNXTDZ($A$1,$B28,AY$1,$B$1)</f>
        <v>6.6929999999999996</v>
      </c>
      <c r="AZ28">
        <f>_xll.EQNXTDZ($A$1,$B28,AZ$1,$B$1)</f>
        <v>6.87</v>
      </c>
      <c r="BA28">
        <f>_xll.EQNXTDZ($A$1,$B28,BA$1,$B$1)</f>
        <v>10.022</v>
      </c>
      <c r="BB28">
        <f>_xll.EQNXTDZ($A$1,$B28,BB$1,$B$1)</f>
        <v>10.477</v>
      </c>
      <c r="BC28">
        <f>_xll.EQNXTDZ($A$1,$B28,BC$1,$B$1)</f>
        <v>10.516999999999999</v>
      </c>
      <c r="BD28">
        <f>_xll.EQNXTDZ($A$1,$B28,BD$1,$B$1)</f>
        <v>10.566000000000001</v>
      </c>
      <c r="BE28">
        <f>_xll.EQNXTDZ($A$1,$B28,BE$1,$B$1)</f>
        <v>10.773</v>
      </c>
      <c r="BF28">
        <f>_xll.EQNXTDZ($A$1,$B28,BF$1,$B$1)</f>
        <v>10.896000000000001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2.1509999999999998</v>
      </c>
      <c r="AR29">
        <f>_xll.EQNXTDZ($A$1,$B29,AR$1,$B$1)</f>
        <v>3.097</v>
      </c>
      <c r="AS29">
        <f>_xll.EQNXTDZ($A$1,$B29,AS$1,$B$1)</f>
        <v>1.55</v>
      </c>
      <c r="AT29">
        <f>_xll.EQNXTDZ($A$1,$B29,AT$1,$B$1)</f>
        <v>4.6349999999999998</v>
      </c>
      <c r="AU29">
        <f>_xll.EQNXTDZ($A$1,$B29,AU$1,$B$1)</f>
        <v>1.6279999999999999</v>
      </c>
      <c r="AV29">
        <f>_xll.EQNXTDZ($A$1,$B29,AV$1,$B$1)</f>
        <v>5.109</v>
      </c>
      <c r="AW29">
        <f>_xll.EQNXTDZ($A$1,$B29,AW$1,$B$1)</f>
        <v>6.2539999999999996</v>
      </c>
      <c r="AX29">
        <f>_xll.EQNXTDZ($A$1,$B29,AX$1,$B$1)</f>
        <v>7.952</v>
      </c>
      <c r="AY29">
        <f>_xll.EQNXTDZ($A$1,$B29,AY$1,$B$1)</f>
        <v>3.5630000000000002</v>
      </c>
      <c r="AZ29">
        <f>_xll.EQNXTDZ($A$1,$B29,AZ$1,$B$1)</f>
        <v>5.4370000000000003</v>
      </c>
      <c r="BA29">
        <f>_xll.EQNXTDZ($A$1,$B29,BA$1,$B$1)</f>
        <v>4.0179999999999998</v>
      </c>
      <c r="BB29">
        <f>_xll.EQNXTDZ($A$1,$B29,BB$1,$B$1)</f>
        <v>10.63</v>
      </c>
      <c r="BC29">
        <f>_xll.EQNXTDZ($A$1,$B29,BC$1,$B$1)</f>
        <v>2.6379999999999999</v>
      </c>
      <c r="BD29">
        <f>_xll.EQNXTDZ($A$1,$B29,BD$1,$B$1)</f>
        <v>4.3319999999999999</v>
      </c>
      <c r="BE29">
        <f>_xll.EQNXTDZ($A$1,$B29,BE$1,$B$1)</f>
        <v>3.6739999999999999</v>
      </c>
      <c r="BF29">
        <f>_xll.EQNXTDZ($A$1,$B29,BF$1,$B$1)</f>
        <v>9.2349999999999994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6.3219999999999903</v>
      </c>
      <c r="AR30">
        <f>_xll.EQNXTDZ($A$1,$B30,AR$1,$B$1)</f>
        <v>7.0999999999999899</v>
      </c>
      <c r="AS30">
        <f>_xll.EQNXTDZ($A$1,$B30,AS$1,$B$1)</f>
        <v>5.7179999999999804</v>
      </c>
      <c r="AT30">
        <f>_xll.EQNXTDZ($A$1,$B30,AT$1,$B$1)</f>
        <v>12.587</v>
      </c>
      <c r="AU30">
        <f>_xll.EQNXTDZ($A$1,$B30,AU$1,$B$1)</f>
        <v>5.3589999999999796</v>
      </c>
      <c r="AV30">
        <f>_xll.EQNXTDZ($A$1,$B30,AV$1,$B$1)</f>
        <v>14.653</v>
      </c>
      <c r="AW30">
        <f>_xll.EQNXTDZ($A$1,$B30,AW$1,$B$1)</f>
        <v>18.440000000000001</v>
      </c>
      <c r="AX30">
        <f>_xll.EQNXTDZ($A$1,$B30,AX$1,$B$1)</f>
        <v>22.744</v>
      </c>
      <c r="AY30">
        <f>_xll.EQNXTDZ($A$1,$B30,AY$1,$B$1)</f>
        <v>10.596</v>
      </c>
      <c r="AZ30">
        <f>_xll.EQNXTDZ($A$1,$B30,AZ$1,$B$1)</f>
        <v>15.454000000000001</v>
      </c>
      <c r="BA30">
        <f>_xll.EQNXTDZ($A$1,$B30,BA$1,$B$1)</f>
        <v>10.9909999999999</v>
      </c>
      <c r="BB30">
        <f>_xll.EQNXTDZ($A$1,$B30,BB$1,$B$1)</f>
        <v>31.0350000000001</v>
      </c>
      <c r="BC30">
        <f>_xll.EQNXTDZ($A$1,$B30,BC$1,$B$1)</f>
        <v>7.4630000000000196</v>
      </c>
      <c r="BD30">
        <f>_xll.EQNXTDZ($A$1,$B30,BD$1,$B$1)</f>
        <v>32.145000000000003</v>
      </c>
      <c r="BE30">
        <f>_xll.EQNXTDZ($A$1,$B30,BE$1,$B$1)</f>
        <v>11.233000000000001</v>
      </c>
      <c r="BF30">
        <f>_xll.EQNXTDZ($A$1,$B30,BF$1,$B$1)</f>
        <v>22.440999999999999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6.3219999999999903</v>
      </c>
      <c r="AR38">
        <f>_xll.EQNXTDZ($A$1,$B38,AR$1,$B$1)</f>
        <v>7.0999999999999899</v>
      </c>
      <c r="AS38">
        <f>_xll.EQNXTDZ($A$1,$B38,AS$1,$B$1)</f>
        <v>5.7179999999999804</v>
      </c>
      <c r="AT38">
        <f>_xll.EQNXTDZ($A$1,$B38,AT$1,$B$1)</f>
        <v>12.587</v>
      </c>
      <c r="AU38">
        <f>_xll.EQNXTDZ($A$1,$B38,AU$1,$B$1)</f>
        <v>5.359</v>
      </c>
      <c r="AV38">
        <f>_xll.EQNXTDZ($A$1,$B38,AV$1,$B$1)</f>
        <v>14.653</v>
      </c>
      <c r="AW38">
        <f>_xll.EQNXTDZ($A$1,$B38,AW$1,$B$1)</f>
        <v>18.440000000000001</v>
      </c>
      <c r="AX38">
        <f>_xll.EQNXTDZ($A$1,$B38,AX$1,$B$1)</f>
        <v>22.744</v>
      </c>
      <c r="AY38">
        <f>_xll.EQNXTDZ($A$1,$B38,AY$1,$B$1)</f>
        <v>10.596</v>
      </c>
      <c r="AZ38">
        <f>_xll.EQNXTDZ($A$1,$B38,AZ$1,$B$1)</f>
        <v>15.454000000000001</v>
      </c>
      <c r="BA38">
        <f>_xll.EQNXTDZ($A$1,$B38,BA$1,$B$1)</f>
        <v>10.991</v>
      </c>
      <c r="BB38">
        <f>_xll.EQNXTDZ($A$1,$B38,BB$1,$B$1)</f>
        <v>31.035</v>
      </c>
      <c r="BC38">
        <f>_xll.EQNXTDZ($A$1,$B38,BC$1,$B$1)</f>
        <v>7.4630000000000001</v>
      </c>
      <c r="BD38">
        <f>_xll.EQNXTDZ($A$1,$B38,BD$1,$B$1)</f>
        <v>32.145000000000003</v>
      </c>
      <c r="BE38">
        <f>_xll.EQNXTDZ($A$1,$B38,BE$1,$B$1)</f>
        <v>11.233000000000001</v>
      </c>
      <c r="BF38">
        <f>_xll.EQNXTDZ($A$1,$B38,BF$1,$B$1)</f>
        <v>22.440999999999999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-7.2999999999999995E-2</v>
      </c>
      <c r="AS40">
        <f>_xll.EQNXTDZ($A$1,$B40,AS$1,$B$1)</f>
        <v>0</v>
      </c>
      <c r="AT40">
        <f>_xll.EQNXTDZ($A$1,$B40,AT$1,$B$1)</f>
        <v>0.245</v>
      </c>
      <c r="AU40">
        <f>_xll.EQNXTDZ($A$1,$B40,AU$1,$B$1)</f>
        <v>-0.127</v>
      </c>
      <c r="AV40">
        <f>_xll.EQNXTDZ($A$1,$B40,AV$1,$B$1)</f>
        <v>-0.17199999999999999</v>
      </c>
      <c r="AW40">
        <f>_xll.EQNXTDZ($A$1,$B40,AW$1,$B$1)</f>
        <v>-0.26700000000000002</v>
      </c>
      <c r="AX40">
        <f>_xll.EQNXTDZ($A$1,$B40,AX$1,$B$1)</f>
        <v>-23.401</v>
      </c>
      <c r="AY40">
        <f>_xll.EQNXTDZ($A$1,$B40,AY$1,$B$1)</f>
        <v>0.29899999999999999</v>
      </c>
      <c r="AZ40">
        <f>_xll.EQNXTDZ($A$1,$B40,AZ$1,$B$1)</f>
        <v>-0.155</v>
      </c>
      <c r="BA40">
        <f>_xll.EQNXTDZ($A$1,$B40,BA$1,$B$1)</f>
        <v>2.0430000000000001</v>
      </c>
      <c r="BB40">
        <f>_xll.EQNXTDZ($A$1,$B40,BB$1,$B$1)</f>
        <v>-35.384999999999998</v>
      </c>
      <c r="BC40">
        <f>_xll.EQNXTDZ($A$1,$B40,BC$1,$B$1)</f>
        <v>-3.6999999999999998E-2</v>
      </c>
      <c r="BD40">
        <f>_xll.EQNXTDZ($A$1,$B40,BD$1,$B$1)</f>
        <v>1.1599999999999999</v>
      </c>
      <c r="BE40">
        <f>_xll.EQNXTDZ($A$1,$B40,BE$1,$B$1)</f>
        <v>1.623</v>
      </c>
      <c r="BF40">
        <f>_xll.EQNXTDZ($A$1,$B40,BF$1,$B$1)</f>
        <v>-10.228999999999999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6.3220000000000001</v>
      </c>
      <c r="AR41">
        <f>_xll.EQNXTDZ($A$1,$B41,AR$1,$B$1)</f>
        <v>7.0270000000000001</v>
      </c>
      <c r="AS41">
        <f>_xll.EQNXTDZ($A$1,$B41,AS$1,$B$1)</f>
        <v>5.718</v>
      </c>
      <c r="AT41">
        <f>_xll.EQNXTDZ($A$1,$B41,AT$1,$B$1)</f>
        <v>12.832000000000001</v>
      </c>
      <c r="AU41">
        <f>_xll.EQNXTDZ($A$1,$B41,AU$1,$B$1)</f>
        <v>5.2320000000000002</v>
      </c>
      <c r="AV41">
        <f>_xll.EQNXTDZ($A$1,$B41,AV$1,$B$1)</f>
        <v>14.481</v>
      </c>
      <c r="AW41">
        <f>_xll.EQNXTDZ($A$1,$B41,AW$1,$B$1)</f>
        <v>18.172999999999998</v>
      </c>
      <c r="AX41">
        <f>_xll.EQNXTDZ($A$1,$B41,AX$1,$B$1)</f>
        <v>-0.65700000000000003</v>
      </c>
      <c r="AY41">
        <f>_xll.EQNXTDZ($A$1,$B41,AY$1,$B$1)</f>
        <v>10.895</v>
      </c>
      <c r="AZ41">
        <f>_xll.EQNXTDZ($A$1,$B41,AZ$1,$B$1)</f>
        <v>15.298999999999999</v>
      </c>
      <c r="BA41">
        <f>_xll.EQNXTDZ($A$1,$B41,BA$1,$B$1)</f>
        <v>13.034000000000001</v>
      </c>
      <c r="BB41">
        <f>_xll.EQNXTDZ($A$1,$B41,BB$1,$B$1)</f>
        <v>-4.3499999999999996</v>
      </c>
      <c r="BC41">
        <f>_xll.EQNXTDZ($A$1,$B41,BC$1,$B$1)</f>
        <v>7.4260000000000002</v>
      </c>
      <c r="BD41">
        <f>_xll.EQNXTDZ($A$1,$B41,BD$1,$B$1)</f>
        <v>33.305</v>
      </c>
      <c r="BE41">
        <f>_xll.EQNXTDZ($A$1,$B41,BE$1,$B$1)</f>
        <v>12.856</v>
      </c>
      <c r="BF41">
        <f>_xll.EQNXTDZ($A$1,$B41,BF$1,$B$1)</f>
        <v>12.212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6.3219999999999903</v>
      </c>
      <c r="AR42">
        <f>_xll.EQNXTDZ($A$1,$B42,AR$1,$B$1)</f>
        <v>7.0999999999999899</v>
      </c>
      <c r="AS42">
        <f>_xll.EQNXTDZ($A$1,$B42,AS$1,$B$1)</f>
        <v>5.7179999999999804</v>
      </c>
      <c r="AT42">
        <f>_xll.EQNXTDZ($A$1,$B42,AT$1,$B$1)</f>
        <v>12.587</v>
      </c>
      <c r="AU42">
        <f>_xll.EQNXTDZ($A$1,$B42,AU$1,$B$1)</f>
        <v>5.359</v>
      </c>
      <c r="AV42">
        <f>_xll.EQNXTDZ($A$1,$B42,AV$1,$B$1)</f>
        <v>14.653</v>
      </c>
      <c r="AW42">
        <f>_xll.EQNXTDZ($A$1,$B42,AW$1,$B$1)</f>
        <v>18.440000000000001</v>
      </c>
      <c r="AX42">
        <f>_xll.EQNXTDZ($A$1,$B42,AX$1,$B$1)</f>
        <v>22.744</v>
      </c>
      <c r="AY42">
        <f>_xll.EQNXTDZ($A$1,$B42,AY$1,$B$1)</f>
        <v>10.596</v>
      </c>
      <c r="AZ42">
        <f>_xll.EQNXTDZ($A$1,$B42,AZ$1,$B$1)</f>
        <v>15.454000000000001</v>
      </c>
      <c r="BA42">
        <f>_xll.EQNXTDZ($A$1,$B42,BA$1,$B$1)</f>
        <v>10.991</v>
      </c>
      <c r="BB42">
        <f>_xll.EQNXTDZ($A$1,$B42,BB$1,$B$1)</f>
        <v>31.035</v>
      </c>
      <c r="BC42">
        <f>_xll.EQNXTDZ($A$1,$B42,BC$1,$B$1)</f>
        <v>7.4630000000000001</v>
      </c>
      <c r="BD42">
        <f>_xll.EQNXTDZ($A$1,$B42,BD$1,$B$1)</f>
        <v>32.145000000000003</v>
      </c>
      <c r="BE42">
        <f>_xll.EQNXTDZ($A$1,$B42,BE$1,$B$1)</f>
        <v>11.233000000000001</v>
      </c>
      <c r="BF42">
        <f>_xll.EQNXTDZ($A$1,$B42,BF$1,$B$1)</f>
        <v>22.440999999999999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1.367</v>
      </c>
      <c r="AR45">
        <f>_xll.EQNXTDZ($A$1,$B45,AR$1,$B$1)</f>
        <v>2.9369999999999998</v>
      </c>
      <c r="AS45">
        <f>_xll.EQNXTDZ($A$1,$B45,AS$1,$B$1)</f>
        <v>52.866</v>
      </c>
      <c r="AT45">
        <f>_xll.EQNXTDZ($A$1,$B45,AT$1,$B$1)</f>
        <v>52.866</v>
      </c>
      <c r="AU45">
        <f>_xll.EQNXTDZ($A$1,$B45,AU$1,$B$1)</f>
        <v>56.941000000000003</v>
      </c>
      <c r="AV45">
        <f>_xll.EQNXTDZ($A$1,$B45,AV$1,$B$1)</f>
        <v>79.305999999999997</v>
      </c>
      <c r="AW45">
        <f>_xll.EQNXTDZ($A$1,$B45,AW$1,$B$1)</f>
        <v>79.305999999999997</v>
      </c>
      <c r="AX45">
        <f>_xll.EQNXTDZ($A$1,$B45,AX$1,$B$1)</f>
        <v>79.305999999999997</v>
      </c>
      <c r="AY45">
        <f>_xll.EQNXTDZ($A$1,$B45,AY$1,$B$1)</f>
        <v>79.305999999999997</v>
      </c>
      <c r="AZ45">
        <f>_xll.EQNXTDZ($A$1,$B45,AZ$1,$B$1)</f>
        <v>79.305999999999997</v>
      </c>
      <c r="BA45">
        <f>_xll.EQNXTDZ($A$1,$B45,BA$1,$B$1)</f>
        <v>79.305999999999997</v>
      </c>
      <c r="BB45">
        <f>_xll.EQNXTDZ($A$1,$B45,BB$1,$B$1)</f>
        <v>79.305999999999997</v>
      </c>
      <c r="BC45">
        <f>_xll.EQNXTDZ($A$1,$B45,BC$1,$B$1)</f>
        <v>79.364000000000004</v>
      </c>
      <c r="BD45">
        <f>_xll.EQNXTDZ($A$1,$B45,BD$1,$B$1)</f>
        <v>79.364000000000004</v>
      </c>
      <c r="BE45">
        <f>_xll.EQNXTDZ($A$1,$B45,BE$1,$B$1)</f>
        <v>79.364000000000004</v>
      </c>
      <c r="BF45">
        <f>_xll.EQNXTDZ($A$1,$B45,BF$1,$B$1)</f>
        <v>79.364000000000004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720.6</v>
      </c>
      <c r="AW48" s="55">
        <f>_xll.EQNXTDZ($A$1,$B48,AW$5)</f>
        <v>675.05</v>
      </c>
      <c r="AX48" s="55">
        <f>_xll.EQNXTDZ($A$1,$B48,AX$5)</f>
        <v>720.2</v>
      </c>
      <c r="AY48" s="55">
        <f>_xll.EQNXTDZ($A$1,$B48,AY$5)</f>
        <v>742.1</v>
      </c>
      <c r="AZ48" s="55">
        <f>_xll.EQNXTDZ($A$1,$B48,AZ$5)</f>
        <v>669.1</v>
      </c>
      <c r="BA48" s="55">
        <f>_xll.EQNXTDZ($A$1,$B48,BA$5)</f>
        <v>669.2</v>
      </c>
      <c r="BB48" s="55">
        <f>_xll.EQNXTDZ($A$1,$B48,BB$5)</f>
        <v>457.15</v>
      </c>
      <c r="BC48" s="55">
        <f>_xll.EQNXTDZ($A$1,$B48,BC$5)</f>
        <v>475.5</v>
      </c>
      <c r="BD48" s="55">
        <f>_xll.EQNXTDZ($A$1,$B48,BD$5)</f>
        <v>421.1</v>
      </c>
      <c r="BE48" s="55">
        <f>_xll.EQNXTDZ($A$1,$B48,BE$5)</f>
        <v>416.3</v>
      </c>
      <c r="BF48" s="55">
        <f>_xll.EQNXTDZ($A$1,$B48,BF$5)</f>
        <v>272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66.66</v>
      </c>
      <c r="AV49" s="55">
        <f>_xll.EQNXTDZ($A$1,$B49,AV$5)</f>
        <v>66.66</v>
      </c>
      <c r="AW49" s="55">
        <f>_xll.EQNXTDZ($A$1,$B49,AW$5)</f>
        <v>66.66</v>
      </c>
      <c r="AX49" s="55">
        <f>_xll.EQNXTDZ($A$1,$B49,AX$5)</f>
        <v>66.66</v>
      </c>
      <c r="AY49" s="55">
        <f>_xll.EQNXTDZ($A$1,$B49,AY$5)</f>
        <v>66.66</v>
      </c>
      <c r="AZ49" s="55">
        <f>_xll.EQNXTDZ($A$1,$B49,AZ$5)</f>
        <v>52.16</v>
      </c>
      <c r="BA49" s="55">
        <f>_xll.EQNXTDZ($A$1,$B49,BA$5)</f>
        <v>52.16</v>
      </c>
      <c r="BB49" s="55">
        <f>_xll.EQNXTDZ($A$1,$B49,BB$5)</f>
        <v>52.16</v>
      </c>
      <c r="BC49" s="55">
        <f>_xll.EQNXTDZ($A$1,$B49,BC$5)</f>
        <v>52.12</v>
      </c>
      <c r="BD49" s="55">
        <f>_xll.EQNXTDZ($A$1,$B49,BD$5)</f>
        <v>52.12</v>
      </c>
      <c r="BE49" s="55">
        <f>_xll.EQNXTDZ($A$1,$B49,BE$5)</f>
        <v>52.12</v>
      </c>
      <c r="BF49" s="55">
        <f>_xll.EQNXTDZ($A$1,$B49,BF$5)</f>
        <v>52.12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52.866</v>
      </c>
      <c r="AU56" s="55">
        <f>_xll.EQNXTDZ($A$1,$B56,AU$5,$B$1)</f>
        <v>0</v>
      </c>
      <c r="AV56" s="55">
        <f>_xll.EQNXTDZ($A$1,$B56,AV$5,$B$1)</f>
        <v>79.305999999999997</v>
      </c>
      <c r="AW56" s="55">
        <f>_xll.EQNXTDZ($A$1,$B56,AW$5,$B$1)</f>
        <v>0</v>
      </c>
      <c r="AX56" s="55">
        <f>_xll.EQNXTDZ($A$1,$B56,AX$5,$B$1)</f>
        <v>79.305999999999997</v>
      </c>
      <c r="AY56" s="55">
        <f>_xll.EQNXTDZ($A$1,$B56,AY$5,$B$1)</f>
        <v>0</v>
      </c>
      <c r="AZ56" s="55">
        <f>_xll.EQNXTDZ($A$1,$B56,AZ$5,$B$1)</f>
        <v>79.305999999999997</v>
      </c>
      <c r="BA56" s="55">
        <f>_xll.EQNXTDZ($A$1,$B56,BA$5,$B$1)</f>
        <v>0</v>
      </c>
      <c r="BB56" s="55">
        <f>_xll.EQNXTDZ($A$1,$B56,BB$5,$B$1)</f>
        <v>79.305999999999997</v>
      </c>
      <c r="BC56" s="55">
        <f>_xll.EQNXTDZ($A$1,$B56,BC$5,$B$1)</f>
        <v>0</v>
      </c>
      <c r="BD56" s="55">
        <f>_xll.EQNXTDZ($A$1,$B56,BD$5,$B$1)</f>
        <v>79.364000000000004</v>
      </c>
      <c r="BE56" s="55">
        <f>_xll.EQNXTDZ($A$1,$B56,BE$5,$B$1)</f>
        <v>0</v>
      </c>
      <c r="BF56" s="55">
        <f>_xll.EQNXTDZ($A$1,$B56,BF$5,$B$1)</f>
        <v>79.364000000000004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145.006</v>
      </c>
      <c r="AU58" s="55">
        <f>_xll.EQNXTDZ($A$1,$B58,AU$5,$B$1)</f>
        <v>0</v>
      </c>
      <c r="AV58" s="55">
        <f>_xll.EQNXTDZ($A$1,$B58,AV$5,$B$1)</f>
        <v>810.40800000000002</v>
      </c>
      <c r="AW58" s="55">
        <f>_xll.EQNXTDZ($A$1,$B58,AW$5,$B$1)</f>
        <v>0</v>
      </c>
      <c r="AX58" s="55">
        <f>_xll.EQNXTDZ($A$1,$B58,AX$5,$B$1)</f>
        <v>829.67200000000003</v>
      </c>
      <c r="AY58" s="55">
        <f>_xll.EQNXTDZ($A$1,$B58,AY$5,$B$1)</f>
        <v>0</v>
      </c>
      <c r="AZ58" s="55">
        <f>_xll.EQNXTDZ($A$1,$B58,AZ$5,$B$1)</f>
        <v>858.08799999999997</v>
      </c>
      <c r="BA58" s="55">
        <f>_xll.EQNXTDZ($A$1,$B58,BA$5,$B$1)</f>
        <v>0</v>
      </c>
      <c r="BB58" s="55">
        <f>_xll.EQNXTDZ($A$1,$B58,BB$5,$B$1)</f>
        <v>870.12900000000002</v>
      </c>
      <c r="BC58" s="55">
        <f>_xll.EQNXTDZ($A$1,$B58,BC$5,$B$1)</f>
        <v>0</v>
      </c>
      <c r="BD58" s="55">
        <f>_xll.EQNXTDZ($A$1,$B58,BD$5,$B$1)</f>
        <v>906.89700000000005</v>
      </c>
      <c r="BE58" s="55">
        <f>_xll.EQNXTDZ($A$1,$B58,BE$5,$B$1)</f>
        <v>0</v>
      </c>
      <c r="BF58" s="55">
        <f>_xll.EQNXTDZ($A$1,$B58,BF$5,$B$1)</f>
        <v>932.74400000000003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197.87200000000001</v>
      </c>
      <c r="AU59" s="55">
        <f>_xll.EQNXTDZ($A$1,$B59,AU$5,$B$1)</f>
        <v>0</v>
      </c>
      <c r="AV59" s="55">
        <f>_xll.EQNXTDZ($A$1,$B59,AV$5,$B$1)</f>
        <v>889.71400000000006</v>
      </c>
      <c r="AW59" s="55">
        <f>_xll.EQNXTDZ($A$1,$B59,AW$5,$B$1)</f>
        <v>0</v>
      </c>
      <c r="AX59" s="55">
        <f>_xll.EQNXTDZ($A$1,$B59,AX$5,$B$1)</f>
        <v>908.97799999999995</v>
      </c>
      <c r="AY59" s="55">
        <f>_xll.EQNXTDZ($A$1,$B59,AY$5,$B$1)</f>
        <v>0</v>
      </c>
      <c r="AZ59" s="55">
        <f>_xll.EQNXTDZ($A$1,$B59,AZ$5,$B$1)</f>
        <v>937.39400000000001</v>
      </c>
      <c r="BA59" s="55">
        <f>_xll.EQNXTDZ($A$1,$B59,BA$5,$B$1)</f>
        <v>0</v>
      </c>
      <c r="BB59" s="55">
        <f>_xll.EQNXTDZ($A$1,$B59,BB$5,$B$1)</f>
        <v>949.43499999999995</v>
      </c>
      <c r="BC59" s="55">
        <f>_xll.EQNXTDZ($A$1,$B59,BC$5,$B$1)</f>
        <v>0</v>
      </c>
      <c r="BD59" s="55">
        <f>_xll.EQNXTDZ($A$1,$B59,BD$5,$B$1)</f>
        <v>986.26099999999997</v>
      </c>
      <c r="BE59" s="55">
        <f>_xll.EQNXTDZ($A$1,$B59,BE$5,$B$1)</f>
        <v>0</v>
      </c>
      <c r="BF59" s="55">
        <f>_xll.EQNXTDZ($A$1,$B59,BF$5,$B$1)</f>
        <v>1012.1079999999999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99.563000000000002</v>
      </c>
      <c r="AU61" s="55">
        <f>_xll.EQNXTDZ($A$1,$B61,AU$5,$B$1)</f>
        <v>0</v>
      </c>
      <c r="AV61" s="55">
        <f>_xll.EQNXTDZ($A$1,$B61,AV$5,$B$1)</f>
        <v>87.117000000000004</v>
      </c>
      <c r="AW61" s="55">
        <f>_xll.EQNXTDZ($A$1,$B61,AW$5,$B$1)</f>
        <v>0</v>
      </c>
      <c r="AX61" s="55">
        <f>_xll.EQNXTDZ($A$1,$B61,AX$5,$B$1)</f>
        <v>74.671999999999997</v>
      </c>
      <c r="AY61" s="55">
        <f>_xll.EQNXTDZ($A$1,$B61,AY$5,$B$1)</f>
        <v>0</v>
      </c>
      <c r="AZ61" s="55">
        <f>_xll.EQNXTDZ($A$1,$B61,AZ$5,$B$1)</f>
        <v>62.226999999999997</v>
      </c>
      <c r="BA61" s="55">
        <f>_xll.EQNXTDZ($A$1,$B61,BA$5,$B$1)</f>
        <v>0</v>
      </c>
      <c r="BB61" s="55">
        <f>_xll.EQNXTDZ($A$1,$B61,BB$5,$B$1)</f>
        <v>148.006</v>
      </c>
      <c r="BC61" s="55">
        <f>_xll.EQNXTDZ($A$1,$B61,BC$5,$B$1)</f>
        <v>0</v>
      </c>
      <c r="BD61" s="55">
        <f>_xll.EQNXTDZ($A$1,$B61,BD$5,$B$1)</f>
        <v>92.853999999999999</v>
      </c>
      <c r="BE61" s="55">
        <f>_xll.EQNXTDZ($A$1,$B61,BE$5,$B$1)</f>
        <v>0</v>
      </c>
      <c r="BF61" s="55">
        <f>_xll.EQNXTDZ($A$1,$B61,BF$5,$B$1)</f>
        <v>77.825000000000003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99.563000000000002</v>
      </c>
      <c r="AU63" s="55">
        <f>_xll.EQNXTDZ($A$1,$B63,AU$5,$B$1)</f>
        <v>0</v>
      </c>
      <c r="AV63" s="55">
        <f>_xll.EQNXTDZ($A$1,$B63,AV$5,$B$1)</f>
        <v>87.117000000000004</v>
      </c>
      <c r="AW63" s="55">
        <f>_xll.EQNXTDZ($A$1,$B63,AW$5,$B$1)</f>
        <v>0</v>
      </c>
      <c r="AX63" s="55">
        <f>_xll.EQNXTDZ($A$1,$B63,AX$5,$B$1)</f>
        <v>74.671999999999997</v>
      </c>
      <c r="AY63" s="55">
        <f>_xll.EQNXTDZ($A$1,$B63,AY$5,$B$1)</f>
        <v>0</v>
      </c>
      <c r="AZ63" s="55">
        <f>_xll.EQNXTDZ($A$1,$B63,AZ$5,$B$1)</f>
        <v>62.226999999999997</v>
      </c>
      <c r="BA63" s="55">
        <f>_xll.EQNXTDZ($A$1,$B63,BA$5,$B$1)</f>
        <v>0</v>
      </c>
      <c r="BB63" s="55">
        <f>_xll.EQNXTDZ($A$1,$B63,BB$5,$B$1)</f>
        <v>148.006</v>
      </c>
      <c r="BC63" s="55">
        <f>_xll.EQNXTDZ($A$1,$B63,BC$5,$B$1)</f>
        <v>0</v>
      </c>
      <c r="BD63" s="55">
        <f>_xll.EQNXTDZ($A$1,$B63,BD$5,$B$1)</f>
        <v>92.853999999999999</v>
      </c>
      <c r="BE63" s="55">
        <f>_xll.EQNXTDZ($A$1,$B63,BE$5,$B$1)</f>
        <v>0</v>
      </c>
      <c r="BF63" s="55">
        <f>_xll.EQNXTDZ($A$1,$B63,BF$5,$B$1)</f>
        <v>77.825000000000003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52.887999999999998</v>
      </c>
      <c r="AU64" s="55">
        <f>_xll.EQNXTDZ($A$1,$B64,AU$5,$B$1)</f>
        <v>0</v>
      </c>
      <c r="AV64" s="55">
        <f>_xll.EQNXTDZ($A$1,$B64,AV$5,$B$1)</f>
        <v>56.683999999999997</v>
      </c>
      <c r="AW64" s="55">
        <f>_xll.EQNXTDZ($A$1,$B64,AW$5,$B$1)</f>
        <v>0</v>
      </c>
      <c r="AX64" s="55">
        <f>_xll.EQNXTDZ($A$1,$B64,AX$5,$B$1)</f>
        <v>69.569999999999993</v>
      </c>
      <c r="AY64" s="55">
        <f>_xll.EQNXTDZ($A$1,$B64,AY$5,$B$1)</f>
        <v>0</v>
      </c>
      <c r="AZ64" s="55">
        <f>_xll.EQNXTDZ($A$1,$B64,AZ$5,$B$1)</f>
        <v>47.235999999999997</v>
      </c>
      <c r="BA64" s="55">
        <f>_xll.EQNXTDZ($A$1,$B64,BA$5,$B$1)</f>
        <v>0</v>
      </c>
      <c r="BB64" s="55">
        <f>_xll.EQNXTDZ($A$1,$B64,BB$5,$B$1)</f>
        <v>56.024999999999999</v>
      </c>
      <c r="BC64" s="55">
        <f>_xll.EQNXTDZ($A$1,$B64,BC$5,$B$1)</f>
        <v>0</v>
      </c>
      <c r="BD64" s="55">
        <f>_xll.EQNXTDZ($A$1,$B64,BD$5,$B$1)</f>
        <v>58.9</v>
      </c>
      <c r="BE64" s="55">
        <f>_xll.EQNXTDZ($A$1,$B64,BE$5,$B$1)</f>
        <v>0</v>
      </c>
      <c r="BF64" s="55">
        <f>_xll.EQNXTDZ($A$1,$B64,BF$5,$B$1)</f>
        <v>55.006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9.5269999999999992</v>
      </c>
      <c r="AU66" s="55">
        <f>_xll.EQNXTDZ($A$1,$B66,AU$5,$B$1)</f>
        <v>0</v>
      </c>
      <c r="AV66" s="55">
        <f>_xll.EQNXTDZ($A$1,$B66,AV$5,$B$1)</f>
        <v>9.4649999999999999</v>
      </c>
      <c r="AW66" s="55">
        <f>_xll.EQNXTDZ($A$1,$B66,AW$5,$B$1)</f>
        <v>0</v>
      </c>
      <c r="AX66" s="55">
        <f>_xll.EQNXTDZ($A$1,$B66,AX$5,$B$1)</f>
        <v>7.9930000000000003</v>
      </c>
      <c r="AY66" s="55">
        <f>_xll.EQNXTDZ($A$1,$B66,AY$5,$B$1)</f>
        <v>0</v>
      </c>
      <c r="AZ66" s="55">
        <f>_xll.EQNXTDZ($A$1,$B66,AZ$5,$B$1)</f>
        <v>12.837</v>
      </c>
      <c r="BA66" s="55">
        <f>_xll.EQNXTDZ($A$1,$B66,BA$5,$B$1)</f>
        <v>0</v>
      </c>
      <c r="BB66" s="55">
        <f>_xll.EQNXTDZ($A$1,$B66,BB$5,$B$1)</f>
        <v>6.6920000000000002</v>
      </c>
      <c r="BC66" s="55">
        <f>_xll.EQNXTDZ($A$1,$B66,BC$5,$B$1)</f>
        <v>0</v>
      </c>
      <c r="BD66" s="55">
        <f>_xll.EQNXTDZ($A$1,$B66,BD$5,$B$1)</f>
        <v>5.6269999999999998</v>
      </c>
      <c r="BE66" s="55">
        <f>_xll.EQNXTDZ($A$1,$B66,BE$5,$B$1)</f>
        <v>0</v>
      </c>
      <c r="BF66" s="55">
        <f>_xll.EQNXTDZ($A$1,$B66,BF$5,$B$1)</f>
        <v>5.6740000000000004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359.85</v>
      </c>
      <c r="AU67" s="55">
        <f>_xll.EQNXTDZ($A$1,$B67,AU$5,$B$1)</f>
        <v>0</v>
      </c>
      <c r="AV67" s="55">
        <f>_xll.EQNXTDZ($A$1,$B67,AV$5,$B$1)</f>
        <v>1042.98</v>
      </c>
      <c r="AW67" s="55">
        <f>_xll.EQNXTDZ($A$1,$B67,AW$5,$B$1)</f>
        <v>0</v>
      </c>
      <c r="AX67" s="55">
        <f>_xll.EQNXTDZ($A$1,$B67,AX$5,$B$1)</f>
        <v>1061.213</v>
      </c>
      <c r="AY67" s="55">
        <f>_xll.EQNXTDZ($A$1,$B67,AY$5,$B$1)</f>
        <v>0</v>
      </c>
      <c r="AZ67" s="55">
        <f>_xll.EQNXTDZ($A$1,$B67,AZ$5,$B$1)</f>
        <v>1059.694</v>
      </c>
      <c r="BA67" s="55">
        <f>_xll.EQNXTDZ($A$1,$B67,BA$5,$B$1)</f>
        <v>0</v>
      </c>
      <c r="BB67" s="55">
        <f>_xll.EQNXTDZ($A$1,$B67,BB$5,$B$1)</f>
        <v>1160.1579999999999</v>
      </c>
      <c r="BC67" s="55">
        <f>_xll.EQNXTDZ($A$1,$B67,BC$5,$B$1)</f>
        <v>0</v>
      </c>
      <c r="BD67" s="55">
        <f>_xll.EQNXTDZ($A$1,$B67,BD$5,$B$1)</f>
        <v>1143.6420000000001</v>
      </c>
      <c r="BE67" s="55">
        <f>_xll.EQNXTDZ($A$1,$B67,BE$5,$B$1)</f>
        <v>0</v>
      </c>
      <c r="BF67" s="55">
        <f>_xll.EQNXTDZ($A$1,$B67,BF$5,$B$1)</f>
        <v>1150.6130000000001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123.396</v>
      </c>
      <c r="AU68" s="55">
        <f>_xll.EQNXTDZ($A$1,$B68,AU$5,$B$1)</f>
        <v>0</v>
      </c>
      <c r="AV68" s="55">
        <f>_xll.EQNXTDZ($A$1,$B68,AV$5,$B$1)</f>
        <v>134.96299999999999</v>
      </c>
      <c r="AW68" s="55">
        <f>_xll.EQNXTDZ($A$1,$B68,AW$5,$B$1)</f>
        <v>0</v>
      </c>
      <c r="AX68" s="55">
        <f>_xll.EQNXTDZ($A$1,$B68,AX$5,$B$1)</f>
        <v>139.69</v>
      </c>
      <c r="AY68" s="55">
        <f>_xll.EQNXTDZ($A$1,$B68,AY$5,$B$1)</f>
        <v>0</v>
      </c>
      <c r="AZ68" s="55">
        <f>_xll.EQNXTDZ($A$1,$B68,AZ$5,$B$1)</f>
        <v>148.922</v>
      </c>
      <c r="BA68" s="55">
        <f>_xll.EQNXTDZ($A$1,$B68,BA$5,$B$1)</f>
        <v>0</v>
      </c>
      <c r="BB68" s="55">
        <f>_xll.EQNXTDZ($A$1,$B68,BB$5,$B$1)</f>
        <v>232.99299999999999</v>
      </c>
      <c r="BC68" s="55">
        <f>_xll.EQNXTDZ($A$1,$B68,BC$5,$B$1)</f>
        <v>0</v>
      </c>
      <c r="BD68" s="55">
        <f>_xll.EQNXTDZ($A$1,$B68,BD$5,$B$1)</f>
        <v>230.98500000000001</v>
      </c>
      <c r="BE68" s="55">
        <f>_xll.EQNXTDZ($A$1,$B68,BE$5,$B$1)</f>
        <v>0</v>
      </c>
      <c r="BF68" s="55">
        <f>_xll.EQNXTDZ($A$1,$B68,BF$5,$B$1)</f>
        <v>227.41800000000001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123.396</v>
      </c>
      <c r="AU71" s="55">
        <f>_xll.EQNXTDZ($A$1,$B71,AU$5,$B$1)</f>
        <v>0</v>
      </c>
      <c r="AV71" s="55">
        <f>_xll.EQNXTDZ($A$1,$B71,AV$5,$B$1)</f>
        <v>134.96299999999999</v>
      </c>
      <c r="AW71" s="55">
        <f>_xll.EQNXTDZ($A$1,$B71,AW$5,$B$1)</f>
        <v>0</v>
      </c>
      <c r="AX71" s="55">
        <f>_xll.EQNXTDZ($A$1,$B71,AX$5,$B$1)</f>
        <v>139.69</v>
      </c>
      <c r="AY71" s="55">
        <f>_xll.EQNXTDZ($A$1,$B71,AY$5,$B$1)</f>
        <v>0</v>
      </c>
      <c r="AZ71" s="55">
        <f>_xll.EQNXTDZ($A$1,$B71,AZ$5,$B$1)</f>
        <v>148.922</v>
      </c>
      <c r="BA71" s="55">
        <f>_xll.EQNXTDZ($A$1,$B71,BA$5,$B$1)</f>
        <v>0</v>
      </c>
      <c r="BB71" s="55">
        <f>_xll.EQNXTDZ($A$1,$B71,BB$5,$B$1)</f>
        <v>232.99299999999999</v>
      </c>
      <c r="BC71" s="55">
        <f>_xll.EQNXTDZ($A$1,$B71,BC$5,$B$1)</f>
        <v>0</v>
      </c>
      <c r="BD71" s="55">
        <f>_xll.EQNXTDZ($A$1,$B71,BD$5,$B$1)</f>
        <v>230.98500000000001</v>
      </c>
      <c r="BE71" s="55">
        <f>_xll.EQNXTDZ($A$1,$B71,BE$5,$B$1)</f>
        <v>0</v>
      </c>
      <c r="BF71" s="55">
        <f>_xll.EQNXTDZ($A$1,$B71,BF$5,$B$1)</f>
        <v>227.41800000000001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3.03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3.03</v>
      </c>
      <c r="AY72" s="55">
        <f>_xll.EQNXTDZ($A$1,$B72,AY$5,$B$1)</f>
        <v>0</v>
      </c>
      <c r="AZ72" s="55">
        <f>_xll.EQNXTDZ($A$1,$B72,AZ$5,$B$1)</f>
        <v>3.03</v>
      </c>
      <c r="BA72" s="55">
        <f>_xll.EQNXTDZ($A$1,$B72,BA$5,$B$1)</f>
        <v>0</v>
      </c>
      <c r="BB72" s="55">
        <f>_xll.EQNXTDZ($A$1,$B72,BB$5,$B$1)</f>
        <v>68.063999999999993</v>
      </c>
      <c r="BC72" s="55">
        <f>_xll.EQNXTDZ($A$1,$B72,BC$5,$B$1)</f>
        <v>0</v>
      </c>
      <c r="BD72" s="55">
        <f>_xll.EQNXTDZ($A$1,$B72,BD$5,$B$1)</f>
        <v>70.600999999999999</v>
      </c>
      <c r="BE72" s="55">
        <f>_xll.EQNXTDZ($A$1,$B72,BE$5,$B$1)</f>
        <v>0</v>
      </c>
      <c r="BF72" s="55">
        <f>_xll.EQNXTDZ($A$1,$B72,BF$5,$B$1)</f>
        <v>74.876999999999995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1.3340000000000001</v>
      </c>
      <c r="AU74" s="55">
        <f>_xll.EQNXTDZ($A$1,$B74,AU$5,$B$1)</f>
        <v>0</v>
      </c>
      <c r="AV74" s="55">
        <f>_xll.EQNXTDZ($A$1,$B74,AV$5,$B$1)</f>
        <v>3.1840000000000002</v>
      </c>
      <c r="AW74" s="55">
        <f>_xll.EQNXTDZ($A$1,$B74,AW$5,$B$1)</f>
        <v>0</v>
      </c>
      <c r="AX74" s="55">
        <f>_xll.EQNXTDZ($A$1,$B74,AX$5,$B$1)</f>
        <v>0.95099999999999996</v>
      </c>
      <c r="AY74" s="55">
        <f>_xll.EQNXTDZ($A$1,$B74,AY$5,$B$1)</f>
        <v>0</v>
      </c>
      <c r="AZ74" s="55">
        <f>_xll.EQNXTDZ($A$1,$B74,AZ$5,$B$1)</f>
        <v>5.8550000000000004</v>
      </c>
      <c r="BA74" s="55">
        <f>_xll.EQNXTDZ($A$1,$B74,BA$5,$B$1)</f>
        <v>0</v>
      </c>
      <c r="BB74" s="55">
        <f>_xll.EQNXTDZ($A$1,$B74,BB$5,$B$1)</f>
        <v>5.56</v>
      </c>
      <c r="BC74" s="55">
        <f>_xll.EQNXTDZ($A$1,$B74,BC$5,$B$1)</f>
        <v>0</v>
      </c>
      <c r="BD74" s="55">
        <f>_xll.EQNXTDZ($A$1,$B74,BD$5,$B$1)</f>
        <v>4.1310000000000002</v>
      </c>
      <c r="BE74" s="55">
        <f>_xll.EQNXTDZ($A$1,$B74,BE$5,$B$1)</f>
        <v>0</v>
      </c>
      <c r="BF74" s="55">
        <f>_xll.EQNXTDZ($A$1,$B74,BF$5,$B$1)</f>
        <v>2.1160000000000001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89.522000000000006</v>
      </c>
      <c r="AU77" s="55">
        <f>_xll.EQNXTDZ($A$1,$B77,AU$5,$B$1)</f>
        <v>0</v>
      </c>
      <c r="AV77" s="55">
        <f>_xll.EQNXTDZ($A$1,$B77,AV$5,$B$1)</f>
        <v>89.522000000000006</v>
      </c>
      <c r="AW77" s="55">
        <f>_xll.EQNXTDZ($A$1,$B77,AW$5,$B$1)</f>
        <v>0</v>
      </c>
      <c r="AX77" s="55">
        <f>_xll.EQNXTDZ($A$1,$B77,AX$5,$B$1)</f>
        <v>66.212000000000003</v>
      </c>
      <c r="AY77" s="55">
        <f>_xll.EQNXTDZ($A$1,$B77,AY$5,$B$1)</f>
        <v>0</v>
      </c>
      <c r="AZ77" s="55">
        <f>_xll.EQNXTDZ($A$1,$B77,AZ$5,$B$1)</f>
        <v>66.212000000000003</v>
      </c>
      <c r="BA77" s="55">
        <f>_xll.EQNXTDZ($A$1,$B77,BA$5,$B$1)</f>
        <v>0</v>
      </c>
      <c r="BB77" s="55">
        <f>_xll.EQNXTDZ($A$1,$B77,BB$5,$B$1)</f>
        <v>30.949000000000002</v>
      </c>
      <c r="BC77" s="55">
        <f>_xll.EQNXTDZ($A$1,$B77,BC$5,$B$1)</f>
        <v>0</v>
      </c>
      <c r="BD77" s="55">
        <f>_xll.EQNXTDZ($A$1,$B77,BD$5,$B$1)</f>
        <v>27.108000000000001</v>
      </c>
      <c r="BE77" s="55">
        <f>_xll.EQNXTDZ($A$1,$B77,BE$5,$B$1)</f>
        <v>0</v>
      </c>
      <c r="BF77" s="55">
        <f>_xll.EQNXTDZ($A$1,$B77,BF$5,$B$1)</f>
        <v>10.233000000000001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42.369</v>
      </c>
      <c r="AU79" s="55">
        <f>_xll.EQNXTDZ($A$1,$B79,AU$5,$B$1)</f>
        <v>0</v>
      </c>
      <c r="AV79" s="55">
        <f>_xll.EQNXTDZ($A$1,$B79,AV$5,$B$1)</f>
        <v>46.034999999999997</v>
      </c>
      <c r="AW79" s="55">
        <f>_xll.EQNXTDZ($A$1,$B79,AW$5,$B$1)</f>
        <v>0</v>
      </c>
      <c r="AX79" s="55">
        <f>_xll.EQNXTDZ($A$1,$B79,AX$5,$B$1)</f>
        <v>61.616</v>
      </c>
      <c r="AY79" s="55">
        <f>_xll.EQNXTDZ($A$1,$B79,AY$5,$B$1)</f>
        <v>0</v>
      </c>
      <c r="AZ79" s="55">
        <f>_xll.EQNXTDZ($A$1,$B79,AZ$5,$B$1)</f>
        <v>58.23</v>
      </c>
      <c r="BA79" s="55">
        <f>_xll.EQNXTDZ($A$1,$B79,BA$5,$B$1)</f>
        <v>0</v>
      </c>
      <c r="BB79" s="55">
        <f>_xll.EQNXTDZ($A$1,$B79,BB$5,$B$1)</f>
        <v>61.466999999999999</v>
      </c>
      <c r="BC79" s="55">
        <f>_xll.EQNXTDZ($A$1,$B79,BC$5,$B$1)</f>
        <v>0</v>
      </c>
      <c r="BD79" s="55">
        <f>_xll.EQNXTDZ($A$1,$B79,BD$5,$B$1)</f>
        <v>77.426000000000002</v>
      </c>
      <c r="BE79" s="55">
        <f>_xll.EQNXTDZ($A$1,$B79,BE$5,$B$1)</f>
        <v>0</v>
      </c>
      <c r="BF79" s="55">
        <f>_xll.EQNXTDZ($A$1,$B79,BF$5,$B$1)</f>
        <v>92.256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20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425.08300000000003</v>
      </c>
      <c r="AU81" s="55">
        <f>_xll.EQNXTDZ($A$1,$B81,AU$5,$B$1)</f>
        <v>0</v>
      </c>
      <c r="AV81" s="55">
        <f>_xll.EQNXTDZ($A$1,$B81,AV$5,$B$1)</f>
        <v>461.63400000000001</v>
      </c>
      <c r="AW81" s="55">
        <f>_xll.EQNXTDZ($A$1,$B81,AW$5,$B$1)</f>
        <v>0</v>
      </c>
      <c r="AX81" s="55">
        <f>_xll.EQNXTDZ($A$1,$B81,AX$5,$B$1)</f>
        <v>464.21899999999999</v>
      </c>
      <c r="AY81" s="55">
        <f>_xll.EQNXTDZ($A$1,$B81,AY$5,$B$1)</f>
        <v>0</v>
      </c>
      <c r="AZ81" s="55">
        <f>_xll.EQNXTDZ($A$1,$B81,AZ$5,$B$1)</f>
        <v>523.30999999999995</v>
      </c>
      <c r="BA81" s="55">
        <f>_xll.EQNXTDZ($A$1,$B81,BA$5,$B$1)</f>
        <v>0</v>
      </c>
      <c r="BB81" s="55">
        <f>_xll.EQNXTDZ($A$1,$B81,BB$5,$B$1)</f>
        <v>571.27300000000002</v>
      </c>
      <c r="BC81" s="55">
        <f>_xll.EQNXTDZ($A$1,$B81,BC$5,$B$1)</f>
        <v>0</v>
      </c>
      <c r="BD81" s="55">
        <f>_xll.EQNXTDZ($A$1,$B81,BD$5,$B$1)</f>
        <v>591.125</v>
      </c>
      <c r="BE81" s="55">
        <f>_xll.EQNXTDZ($A$1,$B81,BE$5,$B$1)</f>
        <v>0</v>
      </c>
      <c r="BF81" s="55">
        <f>_xll.EQNXTDZ($A$1,$B81,BF$5,$B$1)</f>
        <v>647.33199999999999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161.74799999999999</v>
      </c>
      <c r="AU82" s="55">
        <f>_xll.EQNXTDZ($A$1,$B82,AU$5,$B$1)</f>
        <v>0</v>
      </c>
      <c r="AV82" s="55">
        <f>_xll.EQNXTDZ($A$1,$B82,AV$5,$B$1)</f>
        <v>278.73099999999999</v>
      </c>
      <c r="AW82" s="55">
        <f>_xll.EQNXTDZ($A$1,$B82,AW$5,$B$1)</f>
        <v>0</v>
      </c>
      <c r="AX82" s="55">
        <f>_xll.EQNXTDZ($A$1,$B82,AX$5,$B$1)</f>
        <v>225.869</v>
      </c>
      <c r="AY82" s="55">
        <f>_xll.EQNXTDZ($A$1,$B82,AY$5,$B$1)</f>
        <v>0</v>
      </c>
      <c r="AZ82" s="55">
        <f>_xll.EQNXTDZ($A$1,$B82,AZ$5,$B$1)</f>
        <v>346.75700000000001</v>
      </c>
      <c r="BA82" s="55">
        <f>_xll.EQNXTDZ($A$1,$B82,BA$5,$B$1)</f>
        <v>0</v>
      </c>
      <c r="BB82" s="55">
        <f>_xll.EQNXTDZ($A$1,$B82,BB$5,$B$1)</f>
        <v>347.39699999999999</v>
      </c>
      <c r="BC82" s="55">
        <f>_xll.EQNXTDZ($A$1,$B82,BC$5,$B$1)</f>
        <v>0</v>
      </c>
      <c r="BD82" s="55">
        <f>_xll.EQNXTDZ($A$1,$B82,BD$5,$B$1)</f>
        <v>244.09700000000001</v>
      </c>
      <c r="BE82" s="55">
        <f>_xll.EQNXTDZ($A$1,$B82,BE$5,$B$1)</f>
        <v>0</v>
      </c>
      <c r="BF82" s="55">
        <f>_xll.EQNXTDZ($A$1,$B82,BF$5,$B$1)</f>
        <v>307.31200000000001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167.601</v>
      </c>
      <c r="AU83" s="55">
        <f>_xll.EQNXTDZ($A$1,$B83,AU$5,$B$1)</f>
        <v>0</v>
      </c>
      <c r="AV83" s="55">
        <f>_xll.EQNXTDZ($A$1,$B83,AV$5,$B$1)</f>
        <v>563.79499999999996</v>
      </c>
      <c r="AW83" s="55">
        <f>_xll.EQNXTDZ($A$1,$B83,AW$5,$B$1)</f>
        <v>0</v>
      </c>
      <c r="AX83" s="55">
        <f>_xll.EQNXTDZ($A$1,$B83,AX$5,$B$1)</f>
        <v>536.58699999999999</v>
      </c>
      <c r="AY83" s="55">
        <f>_xll.EQNXTDZ($A$1,$B83,AY$5,$B$1)</f>
        <v>0</v>
      </c>
      <c r="AZ83" s="55">
        <f>_xll.EQNXTDZ($A$1,$B83,AZ$5,$B$1)</f>
        <v>459.363</v>
      </c>
      <c r="BA83" s="55">
        <f>_xll.EQNXTDZ($A$1,$B83,BA$5,$B$1)</f>
        <v>0</v>
      </c>
      <c r="BB83" s="55">
        <f>_xll.EQNXTDZ($A$1,$B83,BB$5,$B$1)</f>
        <v>287.78199999999998</v>
      </c>
      <c r="BC83" s="55">
        <f>_xll.EQNXTDZ($A$1,$B83,BC$5,$B$1)</f>
        <v>0</v>
      </c>
      <c r="BD83" s="55">
        <f>_xll.EQNXTDZ($A$1,$B83,BD$5,$B$1)</f>
        <v>308.92599999999999</v>
      </c>
      <c r="BE83" s="55">
        <f>_xll.EQNXTDZ($A$1,$B83,BE$5,$B$1)</f>
        <v>0</v>
      </c>
      <c r="BF83" s="55">
        <f>_xll.EQNXTDZ($A$1,$B83,BF$5,$B$1)</f>
        <v>125.8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85.256</v>
      </c>
      <c r="AU84" s="55">
        <f>_xll.EQNXTDZ($A$1,$B84,AU$5,$B$1)</f>
        <v>0</v>
      </c>
      <c r="AV84" s="55">
        <f>_xll.EQNXTDZ($A$1,$B84,AV$5,$B$1)</f>
        <v>113.011</v>
      </c>
      <c r="AW84" s="55">
        <f>_xll.EQNXTDZ($A$1,$B84,AW$5,$B$1)</f>
        <v>0</v>
      </c>
      <c r="AX84" s="55">
        <f>_xll.EQNXTDZ($A$1,$B84,AX$5,$B$1)</f>
        <v>99.236000000000004</v>
      </c>
      <c r="AY84" s="55">
        <f>_xll.EQNXTDZ($A$1,$B84,AY$5,$B$1)</f>
        <v>0</v>
      </c>
      <c r="AZ84" s="55">
        <f>_xll.EQNXTDZ($A$1,$B84,AZ$5,$B$1)</f>
        <v>73.430000000000007</v>
      </c>
      <c r="BA84" s="55">
        <f>_xll.EQNXTDZ($A$1,$B84,BA$5,$B$1)</f>
        <v>0</v>
      </c>
      <c r="BB84" s="55">
        <f>_xll.EQNXTDZ($A$1,$B84,BB$5,$B$1)</f>
        <v>75.215000000000003</v>
      </c>
      <c r="BC84" s="55">
        <f>_xll.EQNXTDZ($A$1,$B84,BC$5,$B$1)</f>
        <v>0</v>
      </c>
      <c r="BD84" s="55">
        <f>_xll.EQNXTDZ($A$1,$B84,BD$5,$B$1)</f>
        <v>111.587</v>
      </c>
      <c r="BE84" s="55">
        <f>_xll.EQNXTDZ($A$1,$B84,BE$5,$B$1)</f>
        <v>0</v>
      </c>
      <c r="BF84" s="55">
        <f>_xll.EQNXTDZ($A$1,$B84,BF$5,$B$1)</f>
        <v>121.857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839.68799999999999</v>
      </c>
      <c r="AU86" s="55">
        <f>_xll.EQNXTDZ($A$1,$B86,AU$5,$B$1)</f>
        <v>0</v>
      </c>
      <c r="AV86" s="55">
        <f>_xll.EQNXTDZ($A$1,$B86,AV$5,$B$1)</f>
        <v>1417.171</v>
      </c>
      <c r="AW86" s="55">
        <f>_xll.EQNXTDZ($A$1,$B86,AW$5,$B$1)</f>
        <v>0</v>
      </c>
      <c r="AX86" s="55">
        <f>_xll.EQNXTDZ($A$1,$B86,AX$5,$B$1)</f>
        <v>1325.9110000000001</v>
      </c>
      <c r="AY86" s="55">
        <f>_xll.EQNXTDZ($A$1,$B86,AY$5,$B$1)</f>
        <v>0</v>
      </c>
      <c r="AZ86" s="55">
        <f>_xll.EQNXTDZ($A$1,$B86,AZ$5,$B$1)</f>
        <v>1402.86</v>
      </c>
      <c r="BA86" s="55">
        <f>_xll.EQNXTDZ($A$1,$B86,BA$5,$B$1)</f>
        <v>0</v>
      </c>
      <c r="BB86" s="55">
        <f>_xll.EQNXTDZ($A$1,$B86,BB$5,$B$1)</f>
        <v>1281.6669999999999</v>
      </c>
      <c r="BC86" s="55">
        <f>_xll.EQNXTDZ($A$1,$B86,BC$5,$B$1)</f>
        <v>0</v>
      </c>
      <c r="BD86" s="55">
        <f>_xll.EQNXTDZ($A$1,$B86,BD$5,$B$1)</f>
        <v>1255.7349999999999</v>
      </c>
      <c r="BE86" s="55">
        <f>_xll.EQNXTDZ($A$1,$B86,BE$5,$B$1)</f>
        <v>0</v>
      </c>
      <c r="BF86" s="55">
        <f>_xll.EQNXTDZ($A$1,$B86,BF$5,$B$1)</f>
        <v>1222.3009999999999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214.911</v>
      </c>
      <c r="AU88" s="55">
        <f>_xll.EQNXTDZ($A$1,$B88,AU$5,$B$1)</f>
        <v>0</v>
      </c>
      <c r="AV88" s="55">
        <f>_xll.EQNXTDZ($A$1,$B88,AV$5,$B$1)</f>
        <v>157.376</v>
      </c>
      <c r="AW88" s="55">
        <f>_xll.EQNXTDZ($A$1,$B88,AW$5,$B$1)</f>
        <v>0</v>
      </c>
      <c r="AX88" s="55">
        <f>_xll.EQNXTDZ($A$1,$B88,AX$5,$B$1)</f>
        <v>58.890999999999998</v>
      </c>
      <c r="AY88" s="55">
        <f>_xll.EQNXTDZ($A$1,$B88,AY$5,$B$1)</f>
        <v>0</v>
      </c>
      <c r="AZ88" s="55">
        <f>_xll.EQNXTDZ($A$1,$B88,AZ$5,$B$1)</f>
        <v>226.59299999999999</v>
      </c>
      <c r="BA88" s="55">
        <f>_xll.EQNXTDZ($A$1,$B88,BA$5,$B$1)</f>
        <v>0</v>
      </c>
      <c r="BB88" s="55">
        <f>_xll.EQNXTDZ($A$1,$B88,BB$5,$B$1)</f>
        <v>95.75</v>
      </c>
      <c r="BC88" s="55">
        <f>_xll.EQNXTDZ($A$1,$B88,BC$5,$B$1)</f>
        <v>0</v>
      </c>
      <c r="BD88" s="55">
        <f>_xll.EQNXTDZ($A$1,$B88,BD$5,$B$1)</f>
        <v>66.343999999999994</v>
      </c>
      <c r="BE88" s="55">
        <f>_xll.EQNXTDZ($A$1,$B88,BE$5,$B$1)</f>
        <v>0</v>
      </c>
      <c r="BF88" s="55">
        <f>_xll.EQNXTDZ($A$1,$B88,BF$5,$B$1)</f>
        <v>28.3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285.262</v>
      </c>
      <c r="AU89" s="55">
        <f>_xll.EQNXTDZ($A$1,$B89,AU$5,$B$1)</f>
        <v>0</v>
      </c>
      <c r="AV89" s="55">
        <f>_xll.EQNXTDZ($A$1,$B89,AV$5,$B$1)</f>
        <v>275.464</v>
      </c>
      <c r="AW89" s="55">
        <f>_xll.EQNXTDZ($A$1,$B89,AW$5,$B$1)</f>
        <v>0</v>
      </c>
      <c r="AX89" s="55">
        <f>_xll.EQNXTDZ($A$1,$B89,AX$5,$B$1)</f>
        <v>308.851</v>
      </c>
      <c r="AY89" s="55">
        <f>_xll.EQNXTDZ($A$1,$B89,AY$5,$B$1)</f>
        <v>0</v>
      </c>
      <c r="AZ89" s="55">
        <f>_xll.EQNXTDZ($A$1,$B89,AZ$5,$B$1)</f>
        <v>276.17599999999999</v>
      </c>
      <c r="BA89" s="55">
        <f>_xll.EQNXTDZ($A$1,$B89,BA$5,$B$1)</f>
        <v>0</v>
      </c>
      <c r="BB89" s="55">
        <f>_xll.EQNXTDZ($A$1,$B89,BB$5,$B$1)</f>
        <v>249.88300000000001</v>
      </c>
      <c r="BC89" s="55">
        <f>_xll.EQNXTDZ($A$1,$B89,BC$5,$B$1)</f>
        <v>0</v>
      </c>
      <c r="BD89" s="55">
        <f>_xll.EQNXTDZ($A$1,$B89,BD$5,$B$1)</f>
        <v>295.67399999999998</v>
      </c>
      <c r="BE89" s="55">
        <f>_xll.EQNXTDZ($A$1,$B89,BE$5,$B$1)</f>
        <v>0</v>
      </c>
      <c r="BF89" s="55">
        <f>_xll.EQNXTDZ($A$1,$B89,BF$5,$B$1)</f>
        <v>273.31400000000002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244.39599999999999</v>
      </c>
      <c r="AU91" s="55">
        <f>_xll.EQNXTDZ($A$1,$B91,AU$5,$B$1)</f>
        <v>0</v>
      </c>
      <c r="AV91" s="55">
        <f>_xll.EQNXTDZ($A$1,$B91,AV$5,$B$1)</f>
        <v>220.214</v>
      </c>
      <c r="AW91" s="55">
        <f>_xll.EQNXTDZ($A$1,$B91,AW$5,$B$1)</f>
        <v>0</v>
      </c>
      <c r="AX91" s="55">
        <f>_xll.EQNXTDZ($A$1,$B91,AX$5,$B$1)</f>
        <v>171.333</v>
      </c>
      <c r="AY91" s="55">
        <f>_xll.EQNXTDZ($A$1,$B91,AY$5,$B$1)</f>
        <v>0</v>
      </c>
      <c r="AZ91" s="55">
        <f>_xll.EQNXTDZ($A$1,$B91,AZ$5,$B$1)</f>
        <v>129.25899999999999</v>
      </c>
      <c r="BA91" s="55">
        <f>_xll.EQNXTDZ($A$1,$B91,BA$5,$B$1)</f>
        <v>0</v>
      </c>
      <c r="BB91" s="55">
        <f>_xll.EQNXTDZ($A$1,$B91,BB$5,$B$1)</f>
        <v>176.61600000000001</v>
      </c>
      <c r="BC91" s="55">
        <f>_xll.EQNXTDZ($A$1,$B91,BC$5,$B$1)</f>
        <v>0</v>
      </c>
      <c r="BD91" s="55">
        <f>_xll.EQNXTDZ($A$1,$B91,BD$5,$B$1)</f>
        <v>163.625</v>
      </c>
      <c r="BE91" s="55">
        <f>_xll.EQNXTDZ($A$1,$B91,BE$5,$B$1)</f>
        <v>0</v>
      </c>
      <c r="BF91" s="55">
        <f>_xll.EQNXTDZ($A$1,$B91,BF$5,$B$1)</f>
        <v>180.88399999999999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0.29899999999999999</v>
      </c>
      <c r="AU92" s="55">
        <f>_xll.EQNXTDZ($A$1,$B92,AU$5,$B$1)</f>
        <v>0</v>
      </c>
      <c r="AV92" s="55">
        <f>_xll.EQNXTDZ($A$1,$B92,AV$5,$B$1)</f>
        <v>0.32400000000000001</v>
      </c>
      <c r="AW92" s="55">
        <f>_xll.EQNXTDZ($A$1,$B92,AW$5,$B$1)</f>
        <v>0</v>
      </c>
      <c r="AX92" s="55">
        <f>_xll.EQNXTDZ($A$1,$B92,AX$5,$B$1)</f>
        <v>2.988</v>
      </c>
      <c r="AY92" s="55">
        <f>_xll.EQNXTDZ($A$1,$B92,AY$5,$B$1)</f>
        <v>0</v>
      </c>
      <c r="AZ92" s="55">
        <f>_xll.EQNXTDZ($A$1,$B92,AZ$5,$B$1)</f>
        <v>0.38800000000000001</v>
      </c>
      <c r="BA92" s="55">
        <f>_xll.EQNXTDZ($A$1,$B92,BA$5,$B$1)</f>
        <v>0</v>
      </c>
      <c r="BB92" s="55">
        <f>_xll.EQNXTDZ($A$1,$B92,BB$5,$B$1)</f>
        <v>11.506</v>
      </c>
      <c r="BC92" s="55">
        <f>_xll.EQNXTDZ($A$1,$B92,BC$5,$B$1)</f>
        <v>0</v>
      </c>
      <c r="BD92" s="55">
        <f>_xll.EQNXTDZ($A$1,$B92,BD$5,$B$1)</f>
        <v>11.122999999999999</v>
      </c>
      <c r="BE92" s="55">
        <f>_xll.EQNXTDZ($A$1,$B92,BE$5,$B$1)</f>
        <v>0</v>
      </c>
      <c r="BF92" s="55">
        <f>_xll.EQNXTDZ($A$1,$B92,BF$5,$B$1)</f>
        <v>9.0749999999999993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744.86800000000005</v>
      </c>
      <c r="AU93" s="55">
        <f>_xll.EQNXTDZ($A$1,$B93,AU$5,$B$1)</f>
        <v>0</v>
      </c>
      <c r="AV93" s="55">
        <f>_xll.EQNXTDZ($A$1,$B93,AV$5,$B$1)</f>
        <v>653.37800000000004</v>
      </c>
      <c r="AW93" s="55">
        <f>_xll.EQNXTDZ($A$1,$B93,AW$5,$B$1)</f>
        <v>0</v>
      </c>
      <c r="AX93" s="55">
        <f>_xll.EQNXTDZ($A$1,$B93,AX$5,$B$1)</f>
        <v>542.06299999999999</v>
      </c>
      <c r="AY93" s="55">
        <f>_xll.EQNXTDZ($A$1,$B93,AY$5,$B$1)</f>
        <v>0</v>
      </c>
      <c r="AZ93" s="55">
        <f>_xll.EQNXTDZ($A$1,$B93,AZ$5,$B$1)</f>
        <v>632.41600000000005</v>
      </c>
      <c r="BA93" s="55">
        <f>_xll.EQNXTDZ($A$1,$B93,BA$5,$B$1)</f>
        <v>0</v>
      </c>
      <c r="BB93" s="55">
        <f>_xll.EQNXTDZ($A$1,$B93,BB$5,$B$1)</f>
        <v>533.755</v>
      </c>
      <c r="BC93" s="55">
        <f>_xll.EQNXTDZ($A$1,$B93,BC$5,$B$1)</f>
        <v>0</v>
      </c>
      <c r="BD93" s="55">
        <f>_xll.EQNXTDZ($A$1,$B93,BD$5,$B$1)</f>
        <v>536.76599999999996</v>
      </c>
      <c r="BE93" s="55">
        <f>_xll.EQNXTDZ($A$1,$B93,BE$5,$B$1)</f>
        <v>0</v>
      </c>
      <c r="BF93" s="55">
        <f>_xll.EQNXTDZ($A$1,$B93,BF$5,$B$1)</f>
        <v>491.57299999999998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94.82</v>
      </c>
      <c r="AU94" s="55">
        <f>_xll.EQNXTDZ($A$1,$B94,AU$5,$B$1)</f>
        <v>0</v>
      </c>
      <c r="AV94" s="55">
        <f>_xll.EQNXTDZ($A$1,$B94,AV$5,$B$1)</f>
        <v>763.79300000000001</v>
      </c>
      <c r="AW94" s="55">
        <f>_xll.EQNXTDZ($A$1,$B94,AW$5,$B$1)</f>
        <v>0</v>
      </c>
      <c r="AX94" s="55">
        <f>_xll.EQNXTDZ($A$1,$B94,AX$5,$B$1)</f>
        <v>783.84799999999996</v>
      </c>
      <c r="AY94" s="55">
        <f>_xll.EQNXTDZ($A$1,$B94,AY$5,$B$1)</f>
        <v>0</v>
      </c>
      <c r="AZ94" s="55">
        <f>_xll.EQNXTDZ($A$1,$B94,AZ$5,$B$1)</f>
        <v>770.44399999999996</v>
      </c>
      <c r="BA94" s="55">
        <f>_xll.EQNXTDZ($A$1,$B94,BA$5,$B$1)</f>
        <v>0</v>
      </c>
      <c r="BB94" s="55">
        <f>_xll.EQNXTDZ($A$1,$B94,BB$5,$B$1)</f>
        <v>747.91200000000003</v>
      </c>
      <c r="BC94" s="55">
        <f>_xll.EQNXTDZ($A$1,$B94,BC$5,$B$1)</f>
        <v>0</v>
      </c>
      <c r="BD94" s="55">
        <f>_xll.EQNXTDZ($A$1,$B94,BD$5,$B$1)</f>
        <v>718.96900000000005</v>
      </c>
      <c r="BE94" s="55">
        <f>_xll.EQNXTDZ($A$1,$B94,BE$5,$B$1)</f>
        <v>0</v>
      </c>
      <c r="BF94" s="55">
        <f>_xll.EQNXTDZ($A$1,$B94,BF$5,$B$1)</f>
        <v>730.72799999999995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5.3789999999999996</v>
      </c>
      <c r="AU96" s="55">
        <f>_xll.EQNXTDZ($A$1,$B96,AU$5,$B$1)</f>
        <v>0</v>
      </c>
      <c r="AV96" s="55">
        <f>_xll.EQNXTDZ($A$1,$B96,AV$5,$B$1)</f>
        <v>5.4829999999999997</v>
      </c>
      <c r="AW96" s="55">
        <f>_xll.EQNXTDZ($A$1,$B96,AW$5,$B$1)</f>
        <v>0</v>
      </c>
      <c r="AX96" s="55">
        <f>_xll.EQNXTDZ($A$1,$B96,AX$5,$B$1)</f>
        <v>5.8659999999999997</v>
      </c>
      <c r="AY96" s="55">
        <f>_xll.EQNXTDZ($A$1,$B96,AY$5,$B$1)</f>
        <v>0</v>
      </c>
      <c r="AZ96" s="55">
        <f>_xll.EQNXTDZ($A$1,$B96,AZ$5,$B$1)</f>
        <v>7.0010000000000003</v>
      </c>
      <c r="BA96" s="55">
        <f>_xll.EQNXTDZ($A$1,$B96,BA$5,$B$1)</f>
        <v>0</v>
      </c>
      <c r="BB96" s="55">
        <f>_xll.EQNXTDZ($A$1,$B96,BB$5,$B$1)</f>
        <v>13.212999999999999</v>
      </c>
      <c r="BC96" s="55">
        <f>_xll.EQNXTDZ($A$1,$B96,BC$5,$B$1)</f>
        <v>0</v>
      </c>
      <c r="BD96" s="55">
        <f>_xll.EQNXTDZ($A$1,$B96,BD$5,$B$1)</f>
        <v>14.422000000000001</v>
      </c>
      <c r="BE96" s="55">
        <f>_xll.EQNXTDZ($A$1,$B96,BE$5,$B$1)</f>
        <v>0</v>
      </c>
      <c r="BF96" s="55">
        <f>_xll.EQNXTDZ($A$1,$B96,BF$5,$B$1)</f>
        <v>12.984999999999999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359.85</v>
      </c>
      <c r="AU97" s="55">
        <f>_xll.EQNXTDZ($A$1,$B97,AU$5,$B$1)</f>
        <v>0</v>
      </c>
      <c r="AV97" s="55">
        <f>_xll.EQNXTDZ($A$1,$B97,AV$5,$B$1)</f>
        <v>1042.98</v>
      </c>
      <c r="AW97" s="55">
        <f>_xll.EQNXTDZ($A$1,$B97,AW$5,$B$1)</f>
        <v>0</v>
      </c>
      <c r="AX97" s="55">
        <f>_xll.EQNXTDZ($A$1,$B97,AX$5,$B$1)</f>
        <v>1061.213</v>
      </c>
      <c r="AY97" s="55">
        <f>_xll.EQNXTDZ($A$1,$B97,AY$5,$B$1)</f>
        <v>0</v>
      </c>
      <c r="AZ97" s="55">
        <f>_xll.EQNXTDZ($A$1,$B97,AZ$5,$B$1)</f>
        <v>1059.694</v>
      </c>
      <c r="BA97" s="55">
        <f>_xll.EQNXTDZ($A$1,$B97,BA$5,$B$1)</f>
        <v>0</v>
      </c>
      <c r="BB97" s="55">
        <f>_xll.EQNXTDZ($A$1,$B97,BB$5,$B$1)</f>
        <v>1160.1579999999999</v>
      </c>
      <c r="BC97" s="55">
        <f>_xll.EQNXTDZ($A$1,$B97,BC$5,$B$1)</f>
        <v>0</v>
      </c>
      <c r="BD97" s="55">
        <f>_xll.EQNXTDZ($A$1,$B97,BD$5,$B$1)</f>
        <v>1143.6420000000001</v>
      </c>
      <c r="BE97" s="55">
        <f>_xll.EQNXTDZ($A$1,$B97,BE$5,$B$1)</f>
        <v>0</v>
      </c>
      <c r="BF97" s="55">
        <f>_xll.EQNXTDZ($A$1,$B97,BF$5,$B$1)</f>
        <v>1150.6130000000001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209063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Cyient DLM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406.95080000000002</v>
      </c>
      <c r="Q6" s="100">
        <f>_xll.EQNXTDZ($A$1,$B6,Q$1,$B$1)</f>
        <v>446.27395580000001</v>
      </c>
      <c r="R6" s="100">
        <f>_xll.EQNXTDZ($A$1,$B6,R$1,$B$1)</f>
        <v>264.49208599999997</v>
      </c>
      <c r="S6" s="100">
        <f>_xll.EQNXTDZ($A$1,$B6,S$1,$B$1)</f>
        <v>366.00576539999997</v>
      </c>
      <c r="T6" s="100">
        <f>_xll.EQNXTDZ($A$1,$B6,T$1,$B$1)</f>
        <v>391.43990989999998</v>
      </c>
      <c r="U6" s="100">
        <f>_xll.EQNXTDZ($A$1,$B6,U$1,$B$1)</f>
        <v>480.47</v>
      </c>
      <c r="V6" s="100">
        <f>_xll.EQNXTDZ($A$1,$B6,V$1,$B$1)</f>
        <v>457.08699999999999</v>
      </c>
      <c r="W6" s="100">
        <f>_xll.EQNXTDZ($A$1,$B6,W$1,$B$1)</f>
        <v>628.02800000000002</v>
      </c>
      <c r="X6" s="100">
        <f>_xll.EQNXTDZ($A$1,$B6,X$1,$B$1)</f>
        <v>720.53300000000002</v>
      </c>
      <c r="Y6" s="100">
        <f>_xll.EQNXTDZ($A$1,$B6,Y$1,$B$1)</f>
        <v>832.03300000000002</v>
      </c>
      <c r="Z6" s="100">
        <f>_xll.EQNXTDZ($A$1,$B6,Z$1,$B$1)</f>
        <v>1191.8710000000001</v>
      </c>
      <c r="AA6" s="100">
        <f>_xll.EQNXTDZ($A$1,$B6,AA$1,$B$1)</f>
        <v>1519.626</v>
      </c>
      <c r="AB6" s="100">
        <f>_xll.EQNXTDZ($A$1,$B6,AB$1,$B$1)</f>
        <v>1261.4849999999999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2.3027804999999999</v>
      </c>
      <c r="R9" s="100">
        <f>_xll.EQNXTDZ($A$1,$B9,R$1,$B$1)</f>
        <v>8.0478283000000008</v>
      </c>
      <c r="S9" s="100">
        <f>_xll.EQNXTDZ($A$1,$B9,S$1,$B$1)</f>
        <v>20.7016928</v>
      </c>
      <c r="T9" s="100">
        <f>_xll.EQNXTDZ($A$1,$B9,T$1,$B$1)</f>
        <v>3.6377397999999999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406.95080000000002</v>
      </c>
      <c r="Q10" s="100">
        <f>_xll.EQNXTDZ($A$1,$B10,Q$1,$B$1)</f>
        <v>443.97117530000003</v>
      </c>
      <c r="R10" s="100">
        <f>_xll.EQNXTDZ($A$1,$B10,R$1,$B$1)</f>
        <v>256.44425769999998</v>
      </c>
      <c r="S10" s="100">
        <f>_xll.EQNXTDZ($A$1,$B10,S$1,$B$1)</f>
        <v>345.30407259999998</v>
      </c>
      <c r="T10" s="100">
        <f>_xll.EQNXTDZ($A$1,$B10,T$1,$B$1)</f>
        <v>387.80217010000001</v>
      </c>
      <c r="U10" s="100">
        <f>_xll.EQNXTDZ($A$1,$B10,U$1,$B$1)</f>
        <v>480.47</v>
      </c>
      <c r="V10" s="100">
        <f>_xll.EQNXTDZ($A$1,$B10,V$1,$B$1)</f>
        <v>457.08699999999999</v>
      </c>
      <c r="W10" s="100">
        <f>_xll.EQNXTDZ($A$1,$B10,W$1,$B$1)</f>
        <v>628.02800000000002</v>
      </c>
      <c r="X10" s="100">
        <f>_xll.EQNXTDZ($A$1,$B10,X$1,$B$1)</f>
        <v>720.53300000000002</v>
      </c>
      <c r="Y10" s="100">
        <f>_xll.EQNXTDZ($A$1,$B10,Y$1,$B$1)</f>
        <v>832.03300000000002</v>
      </c>
      <c r="Z10" s="100">
        <f>_xll.EQNXTDZ($A$1,$B10,Z$1,$B$1)</f>
        <v>1191.8710000000001</v>
      </c>
      <c r="AA10" s="100">
        <f>_xll.EQNXTDZ($A$1,$B10,AA$1,$B$1)</f>
        <v>1519.626</v>
      </c>
      <c r="AB10" s="100">
        <f>_xll.EQNXTDZ($A$1,$B10,AB$1,$B$1)</f>
        <v>1261.4849999999999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-37.8324049</v>
      </c>
      <c r="Q11" s="100">
        <f>_xll.EQNXTDZ($A$1,$B11,Q$1,$B$1)</f>
        <v>33.804989900000002</v>
      </c>
      <c r="R11" s="100">
        <f>_xll.EQNXTDZ($A$1,$B11,R$1,$B$1)</f>
        <v>0.7408901</v>
      </c>
      <c r="S11" s="100">
        <f>_xll.EQNXTDZ($A$1,$B11,S$1,$B$1)</f>
        <v>-10.9618004</v>
      </c>
      <c r="T11" s="100">
        <f>_xll.EQNXTDZ($A$1,$B11,T$1,$B$1)</f>
        <v>-11.1719259</v>
      </c>
      <c r="U11" s="100">
        <f>_xll.EQNXTDZ($A$1,$B11,U$1,$B$1)</f>
        <v>9.4849999999999994</v>
      </c>
      <c r="V11" s="100">
        <f>_xll.EQNXTDZ($A$1,$B11,V$1,$B$1)</f>
        <v>-23.268999999999998</v>
      </c>
      <c r="W11" s="100">
        <f>_xll.EQNXTDZ($A$1,$B11,W$1,$B$1)</f>
        <v>17.440999999999999</v>
      </c>
      <c r="X11" s="100">
        <f>_xll.EQNXTDZ($A$1,$B11,X$1,$B$1)</f>
        <v>-11.326000000000001</v>
      </c>
      <c r="Y11" s="100">
        <f>_xll.EQNXTDZ($A$1,$B11,Y$1,$B$1)</f>
        <v>11.061</v>
      </c>
      <c r="Z11" s="100">
        <f>_xll.EQNXTDZ($A$1,$B11,Z$1,$B$1)</f>
        <v>-28.777999999999999</v>
      </c>
      <c r="AA11" s="100">
        <f>_xll.EQNXTDZ($A$1,$B11,AA$1,$B$1)</f>
        <v>21.254000000000001</v>
      </c>
      <c r="AB11" s="100">
        <f>_xll.EQNXTDZ($A$1,$B11,AB$1,$B$1)</f>
        <v>-32.579000000000001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328.49224229999999</v>
      </c>
      <c r="R12" s="100">
        <f>_xll.EQNXTDZ($A$1,$B12,R$1,$B$1)</f>
        <v>188.11811929999999</v>
      </c>
      <c r="S12" s="100">
        <f>_xll.EQNXTDZ($A$1,$B12,S$1,$B$1)</f>
        <v>285.1435027</v>
      </c>
      <c r="T12" s="100">
        <f>_xll.EQNXTDZ($A$1,$B12,T$1,$B$1)</f>
        <v>319.02193249999999</v>
      </c>
      <c r="U12" s="100">
        <f>_xll.EQNXTDZ($A$1,$B12,U$1,$B$1)</f>
        <v>373.78500000000003</v>
      </c>
      <c r="V12" s="100">
        <f>_xll.EQNXTDZ($A$1,$B12,V$1,$B$1)</f>
        <v>388.17899999999997</v>
      </c>
      <c r="W12" s="100">
        <f>_xll.EQNXTDZ($A$1,$B12,W$1,$B$1)</f>
        <v>477.85199999999998</v>
      </c>
      <c r="X12" s="100">
        <f>_xll.EQNXTDZ($A$1,$B12,X$1,$B$1)</f>
        <v>555.28800000000001</v>
      </c>
      <c r="Y12" s="100">
        <f>_xll.EQNXTDZ($A$1,$B12,Y$1,$B$1)</f>
        <v>634.15300000000002</v>
      </c>
      <c r="Z12" s="100">
        <f>_xll.EQNXTDZ($A$1,$B12,Z$1,$B$1)</f>
        <v>948.73800000000006</v>
      </c>
      <c r="AA12" s="100">
        <f>_xll.EQNXTDZ($A$1,$B12,AA$1,$B$1)</f>
        <v>1086.94</v>
      </c>
      <c r="AB12" s="100">
        <f>_xll.EQNXTDZ($A$1,$B12,AB$1,$B$1)</f>
        <v>784.79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1.8403825</v>
      </c>
      <c r="R13" s="100">
        <f>_xll.EQNXTDZ($A$1,$B13,R$1,$B$1)</f>
        <v>1.990691</v>
      </c>
      <c r="S13" s="100">
        <f>_xll.EQNXTDZ($A$1,$B13,S$1,$B$1)</f>
        <v>2.2415528</v>
      </c>
      <c r="T13" s="100">
        <f>_xll.EQNXTDZ($A$1,$B13,T$1,$B$1)</f>
        <v>2.5842760999999999</v>
      </c>
      <c r="U13" s="100">
        <f>_xll.EQNXTDZ($A$1,$B13,U$1,$B$1)</f>
        <v>2.6930000000000001</v>
      </c>
      <c r="V13" s="100">
        <f>_xll.EQNXTDZ($A$1,$B13,V$1,$B$1)</f>
        <v>2.6230000000000002</v>
      </c>
      <c r="W13" s="100">
        <f>_xll.EQNXTDZ($A$1,$B13,W$1,$B$1)</f>
        <v>3.0289999999999999</v>
      </c>
      <c r="X13" s="100">
        <f>_xll.EQNXTDZ($A$1,$B13,X$1,$B$1)</f>
        <v>3.3479999999999999</v>
      </c>
      <c r="Y13" s="100">
        <f>_xll.EQNXTDZ($A$1,$B13,Y$1,$B$1)</f>
        <v>3.7970000000000002</v>
      </c>
      <c r="Z13" s="100">
        <f>_xll.EQNXTDZ($A$1,$B13,Z$1,$B$1)</f>
        <v>4.9180000000000001</v>
      </c>
      <c r="AA13" s="100">
        <f>_xll.EQNXTDZ($A$1,$B13,AA$1,$B$1)</f>
        <v>6.6639999999999997</v>
      </c>
      <c r="AB13" s="100">
        <f>_xll.EQNXTDZ($A$1,$B13,AB$1,$B$1)</f>
        <v>8.4380000000000006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17.4800741</v>
      </c>
      <c r="R14" s="100">
        <f>_xll.EQNXTDZ($A$1,$B14,R$1,$B$1)</f>
        <v>22.236850400000002</v>
      </c>
      <c r="S14" s="100">
        <f>_xll.EQNXTDZ($A$1,$B14,S$1,$B$1)</f>
        <v>31.882541799999998</v>
      </c>
      <c r="T14" s="100">
        <f>_xll.EQNXTDZ($A$1,$B14,T$1,$B$1)</f>
        <v>42.834367800000003</v>
      </c>
      <c r="U14" s="100">
        <f>_xll.EQNXTDZ($A$1,$B14,U$1,$B$1)</f>
        <v>45.543999999999997</v>
      </c>
      <c r="V14" s="100">
        <f>_xll.EQNXTDZ($A$1,$B14,V$1,$B$1)</f>
        <v>44.094999999999999</v>
      </c>
      <c r="W14" s="100">
        <f>_xll.EQNXTDZ($A$1,$B14,W$1,$B$1)</f>
        <v>46.863</v>
      </c>
      <c r="X14" s="100">
        <f>_xll.EQNXTDZ($A$1,$B14,X$1,$B$1)</f>
        <v>51.652000000000001</v>
      </c>
      <c r="Y14" s="100">
        <f>_xll.EQNXTDZ($A$1,$B14,Y$1,$B$1)</f>
        <v>64.694000000000003</v>
      </c>
      <c r="Z14" s="100">
        <f>_xll.EQNXTDZ($A$1,$B14,Z$1,$B$1)</f>
        <v>117.38</v>
      </c>
      <c r="AA14" s="100">
        <f>_xll.EQNXTDZ($A$1,$B14,AA$1,$B$1)</f>
        <v>186.21799999999999</v>
      </c>
      <c r="AB14" s="100">
        <f>_xll.EQNXTDZ($A$1,$B14,AB$1,$B$1)</f>
        <v>226.77799999999999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14.9954766</v>
      </c>
      <c r="R15" s="100">
        <f>_xll.EQNXTDZ($A$1,$B15,R$1,$B$1)</f>
        <v>13.7035067</v>
      </c>
      <c r="S15" s="100">
        <f>_xll.EQNXTDZ($A$1,$B15,S$1,$B$1)</f>
        <v>9.7666559999999993</v>
      </c>
      <c r="T15" s="100">
        <f>_xll.EQNXTDZ($A$1,$B15,T$1,$B$1)</f>
        <v>12.1636723</v>
      </c>
      <c r="U15" s="100">
        <f>_xll.EQNXTDZ($A$1,$B15,U$1,$B$1)</f>
        <v>10.752000000000001</v>
      </c>
      <c r="V15" s="100">
        <f>_xll.EQNXTDZ($A$1,$B15,V$1,$B$1)</f>
        <v>4.2370000000000001</v>
      </c>
      <c r="W15" s="100">
        <f>_xll.EQNXTDZ($A$1,$B15,W$1,$B$1)</f>
        <v>4.6829999999999998</v>
      </c>
      <c r="X15" s="100">
        <f>_xll.EQNXTDZ($A$1,$B15,X$1,$B$1)</f>
        <v>6.0960000000000001</v>
      </c>
      <c r="Y15" s="100">
        <f>_xll.EQNXTDZ($A$1,$B15,Y$1,$B$1)</f>
        <v>9.2219999999999995</v>
      </c>
      <c r="Z15" s="100">
        <f>_xll.EQNXTDZ($A$1,$B15,Z$1,$B$1)</f>
        <v>11.577</v>
      </c>
      <c r="AA15" s="100">
        <f>_xll.EQNXTDZ($A$1,$B15,AA$1,$B$1)</f>
        <v>21.991</v>
      </c>
      <c r="AB15" s="100">
        <f>_xll.EQNXTDZ($A$1,$B15,AB$1,$B$1)</f>
        <v>92.637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401.95843009999999</v>
      </c>
      <c r="Q17" s="100">
        <f>_xll.EQNXTDZ($A$1,$B17,Q$1,$B$1)</f>
        <v>5.9212002000000004</v>
      </c>
      <c r="R17" s="100">
        <f>_xll.EQNXTDZ($A$1,$B17,R$1,$B$1)</f>
        <v>9.3008029000000008</v>
      </c>
      <c r="S17" s="100">
        <f>_xll.EQNXTDZ($A$1,$B17,S$1,$B$1)</f>
        <v>9.3484691000000009</v>
      </c>
      <c r="T17" s="100">
        <f>_xll.EQNXTDZ($A$1,$B17,T$1,$B$1)</f>
        <v>6.3030878000000001</v>
      </c>
      <c r="U17" s="100">
        <f>_xll.EQNXTDZ($A$1,$B17,U$1,$B$1)</f>
        <v>6.8380000000000001</v>
      </c>
      <c r="V17" s="100">
        <f>_xll.EQNXTDZ($A$1,$B17,V$1,$B$1)</f>
        <v>3.9670000000000001</v>
      </c>
      <c r="W17" s="100">
        <f>_xll.EQNXTDZ($A$1,$B17,W$1,$B$1)</f>
        <v>5.3730000000000002</v>
      </c>
      <c r="X17" s="100">
        <f>_xll.EQNXTDZ($A$1,$B17,X$1,$B$1)</f>
        <v>6.3879999999999999</v>
      </c>
      <c r="Y17" s="100">
        <f>_xll.EQNXTDZ($A$1,$B17,Y$1,$B$1)</f>
        <v>7.4880000000000004</v>
      </c>
      <c r="Z17" s="100">
        <f>_xll.EQNXTDZ($A$1,$B17,Z$1,$B$1)</f>
        <v>12.026999999999999</v>
      </c>
      <c r="AA17" s="100">
        <f>_xll.EQNXTDZ($A$1,$B17,AA$1,$B$1)</f>
        <v>28.777000000000001</v>
      </c>
      <c r="AB17" s="100">
        <f>_xll.EQNXTDZ($A$1,$B17,AB$1,$B$1)</f>
        <v>28.678000000000001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3.2769951000000002</v>
      </c>
      <c r="R18" s="100">
        <f>_xll.EQNXTDZ($A$1,$B18,R$1,$B$1)</f>
        <v>1.2464493000000001</v>
      </c>
      <c r="S18" s="100">
        <f>_xll.EQNXTDZ($A$1,$B18,S$1,$B$1)</f>
        <v>2.167497</v>
      </c>
      <c r="T18" s="100">
        <f>_xll.EQNXTDZ($A$1,$B18,T$1,$B$1)</f>
        <v>5.8781679999999996</v>
      </c>
      <c r="U18" s="100">
        <f>_xll.EQNXTDZ($A$1,$B18,U$1,$B$1)</f>
        <v>7.7160000000000002</v>
      </c>
      <c r="V18" s="100">
        <f>_xll.EQNXTDZ($A$1,$B18,V$1,$B$1)</f>
        <v>10.345000000000001</v>
      </c>
      <c r="W18" s="100">
        <f>_xll.EQNXTDZ($A$1,$B18,W$1,$B$1)</f>
        <v>16.382999999999999</v>
      </c>
      <c r="X18" s="100">
        <f>_xll.EQNXTDZ($A$1,$B18,X$1,$B$1)</f>
        <v>20.212</v>
      </c>
      <c r="Y18" s="100">
        <f>_xll.EQNXTDZ($A$1,$B18,Y$1,$B$1)</f>
        <v>7.3689999999999998</v>
      </c>
      <c r="Z18" s="100">
        <f>_xll.EQNXTDZ($A$1,$B18,Z$1,$B$1)</f>
        <v>7.3529999999999998</v>
      </c>
      <c r="AA18" s="100">
        <f>_xll.EQNXTDZ($A$1,$B18,AA$1,$B$1)</f>
        <v>7.5780000000000003</v>
      </c>
      <c r="AB18" s="100">
        <f>_xll.EQNXTDZ($A$1,$B18,AB$1,$B$1)</f>
        <v>10.101000000000001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0.44190639999999998</v>
      </c>
      <c r="R19" s="100">
        <f>_xll.EQNXTDZ($A$1,$B19,R$1,$B$1)</f>
        <v>2.5793194000000002</v>
      </c>
      <c r="S19" s="100">
        <f>_xll.EQNXTDZ($A$1,$B19,S$1,$B$1)</f>
        <v>7.7001134000000002</v>
      </c>
      <c r="T19" s="100">
        <f>_xll.EQNXTDZ($A$1,$B19,T$1,$B$1)</f>
        <v>6.3659971000000004</v>
      </c>
      <c r="U19" s="100">
        <f>_xll.EQNXTDZ($A$1,$B19,U$1,$B$1)</f>
        <v>6.0640000000000001</v>
      </c>
      <c r="V19" s="100">
        <f>_xll.EQNXTDZ($A$1,$B19,V$1,$B$1)</f>
        <v>13.178000000000001</v>
      </c>
      <c r="W19" s="100">
        <f>_xll.EQNXTDZ($A$1,$B19,W$1,$B$1)</f>
        <v>10.46</v>
      </c>
      <c r="X19" s="100">
        <f>_xll.EQNXTDZ($A$1,$B19,X$1,$B$1)</f>
        <v>4.835</v>
      </c>
      <c r="Y19" s="100">
        <f>_xll.EQNXTDZ($A$1,$B19,Y$1,$B$1)</f>
        <v>7.0250000000000004</v>
      </c>
      <c r="Z19" s="100">
        <f>_xll.EQNXTDZ($A$1,$B19,Z$1,$B$1)</f>
        <v>11.26</v>
      </c>
      <c r="AA19" s="100">
        <f>_xll.EQNXTDZ($A$1,$B19,AA$1,$B$1)</f>
        <v>25.635000000000002</v>
      </c>
      <c r="AB19" s="100">
        <f>_xll.EQNXTDZ($A$1,$B19,AB$1,$B$1)</f>
        <v>19.245999999999999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364.12602520000002</v>
      </c>
      <c r="Q21" s="100">
        <f>_xll.EQNXTDZ($A$1,$B21,Q$1,$B$1)</f>
        <v>406.25326710000002</v>
      </c>
      <c r="R21" s="100">
        <f>_xll.EQNXTDZ($A$1,$B21,R$1,$B$1)</f>
        <v>239.91662909999999</v>
      </c>
      <c r="S21" s="100">
        <f>_xll.EQNXTDZ($A$1,$B21,S$1,$B$1)</f>
        <v>337.28853240000001</v>
      </c>
      <c r="T21" s="100">
        <f>_xll.EQNXTDZ($A$1,$B21,T$1,$B$1)</f>
        <v>383.9795757</v>
      </c>
      <c r="U21" s="100">
        <f>_xll.EQNXTDZ($A$1,$B21,U$1,$B$1)</f>
        <v>462.87700000000001</v>
      </c>
      <c r="V21" s="100">
        <f>_xll.EQNXTDZ($A$1,$B21,V$1,$B$1)</f>
        <v>443.35500000000002</v>
      </c>
      <c r="W21" s="100">
        <f>_xll.EQNXTDZ($A$1,$B21,W$1,$B$1)</f>
        <v>582.08399999999995</v>
      </c>
      <c r="X21" s="100">
        <f>_xll.EQNXTDZ($A$1,$B21,X$1,$B$1)</f>
        <v>636.49300000000005</v>
      </c>
      <c r="Y21" s="100">
        <f>_xll.EQNXTDZ($A$1,$B21,Y$1,$B$1)</f>
        <v>744.80899999999997</v>
      </c>
      <c r="Z21" s="100">
        <f>_xll.EQNXTDZ($A$1,$B21,Z$1,$B$1)</f>
        <v>1084.4749999999999</v>
      </c>
      <c r="AA21" s="100">
        <f>_xll.EQNXTDZ($A$1,$B21,AA$1,$B$1)</f>
        <v>1385.057</v>
      </c>
      <c r="AB21" s="100">
        <f>_xll.EQNXTDZ($A$1,$B21,AB$1,$B$1)</f>
        <v>1138.0889999999999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42.8247748</v>
      </c>
      <c r="Q22" s="100">
        <f>_xll.EQNXTDZ($A$1,$B22,Q$1,$B$1)</f>
        <v>37.717908199999997</v>
      </c>
      <c r="R22" s="100">
        <f>_xll.EQNXTDZ($A$1,$B22,R$1,$B$1)</f>
        <v>16.5276286</v>
      </c>
      <c r="S22" s="100">
        <f>_xll.EQNXTDZ($A$1,$B22,S$1,$B$1)</f>
        <v>8.0155402000000002</v>
      </c>
      <c r="T22" s="100">
        <f>_xll.EQNXTDZ($A$1,$B22,T$1,$B$1)</f>
        <v>3.8225943999999998</v>
      </c>
      <c r="U22" s="100">
        <f>_xll.EQNXTDZ($A$1,$B22,U$1,$B$1)</f>
        <v>17.5929999999999</v>
      </c>
      <c r="V22" s="100">
        <f>_xll.EQNXTDZ($A$1,$B22,V$1,$B$1)</f>
        <v>13.731999999999999</v>
      </c>
      <c r="W22" s="100">
        <f>_xll.EQNXTDZ($A$1,$B22,W$1,$B$1)</f>
        <v>45.944000000000003</v>
      </c>
      <c r="X22" s="100">
        <f>_xll.EQNXTDZ($A$1,$B22,X$1,$B$1)</f>
        <v>84.04</v>
      </c>
      <c r="Y22" s="100">
        <f>_xll.EQNXTDZ($A$1,$B22,Y$1,$B$1)</f>
        <v>87.224000000000004</v>
      </c>
      <c r="Z22" s="100">
        <f>_xll.EQNXTDZ($A$1,$B22,Z$1,$B$1)</f>
        <v>107.396</v>
      </c>
      <c r="AA22" s="100">
        <f>_xll.EQNXTDZ($A$1,$B22,AA$1,$B$1)</f>
        <v>134.56899999999999</v>
      </c>
      <c r="AB22" s="100">
        <f>_xll.EQNXTDZ($A$1,$B22,AB$1,$B$1)</f>
        <v>123.396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10.714677200000001</v>
      </c>
      <c r="N23" s="100">
        <f>_xll.EQNXTDZ($A$1,$B23,N$1,$B$1)</f>
        <v>13.321404599999999</v>
      </c>
      <c r="O23" s="100">
        <f>_xll.EQNXTDZ($A$1,$B23,O$1,$B$1)</f>
        <v>15.0490604</v>
      </c>
      <c r="P23" s="100">
        <f>_xll.EQNXTDZ($A$1,$B23,P$1,$B$1)</f>
        <v>0</v>
      </c>
      <c r="Q23" s="100">
        <f>_xll.EQNXTDZ($A$1,$B23,Q$1,$B$1)</f>
        <v>6.4337453</v>
      </c>
      <c r="R23" s="100">
        <f>_xll.EQNXTDZ($A$1,$B23,R$1,$B$1)</f>
        <v>2.6923767999999999</v>
      </c>
      <c r="S23" s="100">
        <f>_xll.EQNXTDZ($A$1,$B23,S$1,$B$1)</f>
        <v>11.9268427</v>
      </c>
      <c r="T23" s="100">
        <f>_xll.EQNXTDZ($A$1,$B23,T$1,$B$1)</f>
        <v>9.0624324000000005</v>
      </c>
      <c r="U23" s="100">
        <f>_xll.EQNXTDZ($A$1,$B23,U$1,$B$1)</f>
        <v>3.4039999999999999</v>
      </c>
      <c r="V23" s="100">
        <f>_xll.EQNXTDZ($A$1,$B23,V$1,$B$1)</f>
        <v>7.8250000000000002</v>
      </c>
      <c r="W23" s="100">
        <f>_xll.EQNXTDZ($A$1,$B23,W$1,$B$1)</f>
        <v>8.8829999999999991</v>
      </c>
      <c r="X23" s="100">
        <f>_xll.EQNXTDZ($A$1,$B23,X$1,$B$1)</f>
        <v>7.9509999999999996</v>
      </c>
      <c r="Y23" s="100">
        <f>_xll.EQNXTDZ($A$1,$B23,Y$1,$B$1)</f>
        <v>6.867</v>
      </c>
      <c r="Z23" s="100">
        <f>_xll.EQNXTDZ($A$1,$B23,Z$1,$B$1)</f>
        <v>31.442</v>
      </c>
      <c r="AA23" s="100">
        <f>_xll.EQNXTDZ($A$1,$B23,AA$1,$B$1)</f>
        <v>28.762</v>
      </c>
      <c r="AB23" s="100">
        <f>_xll.EQNXTDZ($A$1,$B23,AB$1,$B$1)</f>
        <v>39.686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10.714677200000001</v>
      </c>
      <c r="N24" s="100">
        <f>_xll.EQNXTDZ($A$1,$B24,N$1,$B$1)</f>
        <v>13.321404599999999</v>
      </c>
      <c r="O24" s="100">
        <f>_xll.EQNXTDZ($A$1,$B24,O$1,$B$1)</f>
        <v>15.0490604</v>
      </c>
      <c r="P24" s="100">
        <f>_xll.EQNXTDZ($A$1,$B24,P$1,$B$1)</f>
        <v>42.8247748</v>
      </c>
      <c r="Q24" s="100">
        <f>_xll.EQNXTDZ($A$1,$B24,Q$1,$B$1)</f>
        <v>44.151653500000002</v>
      </c>
      <c r="R24" s="100">
        <f>_xll.EQNXTDZ($A$1,$B24,R$1,$B$1)</f>
        <v>19.220005400000002</v>
      </c>
      <c r="S24" s="100">
        <f>_xll.EQNXTDZ($A$1,$B24,S$1,$B$1)</f>
        <v>19.942382899999998</v>
      </c>
      <c r="T24" s="100">
        <f>_xll.EQNXTDZ($A$1,$B24,T$1,$B$1)</f>
        <v>12.8850268</v>
      </c>
      <c r="U24" s="100">
        <f>_xll.EQNXTDZ($A$1,$B24,U$1,$B$1)</f>
        <v>20.997</v>
      </c>
      <c r="V24" s="100">
        <f>_xll.EQNXTDZ($A$1,$B24,V$1,$B$1)</f>
        <v>21.556999999999999</v>
      </c>
      <c r="W24" s="100">
        <f>_xll.EQNXTDZ($A$1,$B24,W$1,$B$1)</f>
        <v>54.826999999999998</v>
      </c>
      <c r="X24" s="100">
        <f>_xll.EQNXTDZ($A$1,$B24,X$1,$B$1)</f>
        <v>91.991</v>
      </c>
      <c r="Y24" s="100">
        <f>_xll.EQNXTDZ($A$1,$B24,Y$1,$B$1)</f>
        <v>94.090999999999994</v>
      </c>
      <c r="Z24" s="100">
        <f>_xll.EQNXTDZ($A$1,$B24,Z$1,$B$1)</f>
        <v>138.83799999999999</v>
      </c>
      <c r="AA24" s="100">
        <f>_xll.EQNXTDZ($A$1,$B24,AA$1,$B$1)</f>
        <v>163.33099999999999</v>
      </c>
      <c r="AB24" s="100">
        <f>_xll.EQNXTDZ($A$1,$B24,AB$1,$B$1)</f>
        <v>163.08199999999999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3.7292936000000001</v>
      </c>
      <c r="N25" s="100">
        <f>_xll.EQNXTDZ($A$1,$B25,N$1,$B$1)</f>
        <v>4.8090956</v>
      </c>
      <c r="O25" s="100">
        <f>_xll.EQNXTDZ($A$1,$B25,O$1,$B$1)</f>
        <v>5.0228600999999999</v>
      </c>
      <c r="P25" s="100">
        <f>_xll.EQNXTDZ($A$1,$B25,P$1,$B$1)</f>
        <v>7.2674801000000002</v>
      </c>
      <c r="Q25" s="100">
        <f>_xll.EQNXTDZ($A$1,$B25,Q$1,$B$1)</f>
        <v>10.788753</v>
      </c>
      <c r="R25" s="100">
        <f>_xll.EQNXTDZ($A$1,$B25,R$1,$B$1)</f>
        <v>13.104795599999999</v>
      </c>
      <c r="S25" s="100">
        <f>_xll.EQNXTDZ($A$1,$B25,S$1,$B$1)</f>
        <v>10.834354100000001</v>
      </c>
      <c r="T25" s="100">
        <f>_xll.EQNXTDZ($A$1,$B25,T$1,$B$1)</f>
        <v>10.823828000000001</v>
      </c>
      <c r="U25" s="100">
        <f>_xll.EQNXTDZ($A$1,$B25,U$1,$B$1)</f>
        <v>14.064</v>
      </c>
      <c r="V25" s="100">
        <f>_xll.EQNXTDZ($A$1,$B25,V$1,$B$1)</f>
        <v>18.193999999999999</v>
      </c>
      <c r="W25" s="100">
        <f>_xll.EQNXTDZ($A$1,$B25,W$1,$B$1)</f>
        <v>20.77</v>
      </c>
      <c r="X25" s="100">
        <f>_xll.EQNXTDZ($A$1,$B25,X$1,$B$1)</f>
        <v>21.975000000000001</v>
      </c>
      <c r="Y25" s="100">
        <f>_xll.EQNXTDZ($A$1,$B25,Y$1,$B$1)</f>
        <v>31.515999999999998</v>
      </c>
      <c r="Z25" s="100">
        <f>_xll.EQNXTDZ($A$1,$B25,Z$1,$B$1)</f>
        <v>34.387</v>
      </c>
      <c r="AA25" s="100">
        <f>_xll.EQNXTDZ($A$1,$B25,AA$1,$B$1)</f>
        <v>37.545000000000002</v>
      </c>
      <c r="AB25" s="100">
        <f>_xll.EQNXTDZ($A$1,$B25,AB$1,$B$1)</f>
        <v>27.169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6.9853835999999996</v>
      </c>
      <c r="N26" s="100">
        <f>_xll.EQNXTDZ($A$1,$B26,N$1,$B$1)</f>
        <v>8.5123090000000001</v>
      </c>
      <c r="O26" s="100">
        <f>_xll.EQNXTDZ($A$1,$B26,O$1,$B$1)</f>
        <v>10.026200299999999</v>
      </c>
      <c r="P26" s="100">
        <f>_xll.EQNXTDZ($A$1,$B26,P$1,$B$1)</f>
        <v>35.5572947</v>
      </c>
      <c r="Q26" s="100">
        <f>_xll.EQNXTDZ($A$1,$B26,Q$1,$B$1)</f>
        <v>33.362900500000002</v>
      </c>
      <c r="R26" s="100">
        <f>_xll.EQNXTDZ($A$1,$B26,R$1,$B$1)</f>
        <v>6.1152097999999997</v>
      </c>
      <c r="S26" s="100">
        <f>_xll.EQNXTDZ($A$1,$B26,S$1,$B$1)</f>
        <v>9.1080287999999996</v>
      </c>
      <c r="T26" s="100">
        <f>_xll.EQNXTDZ($A$1,$B26,T$1,$B$1)</f>
        <v>2.0611988000000001</v>
      </c>
      <c r="U26" s="100">
        <f>_xll.EQNXTDZ($A$1,$B26,U$1,$B$1)</f>
        <v>6.9329999999999998</v>
      </c>
      <c r="V26" s="100">
        <f>_xll.EQNXTDZ($A$1,$B26,V$1,$B$1)</f>
        <v>3.363</v>
      </c>
      <c r="W26" s="100">
        <f>_xll.EQNXTDZ($A$1,$B26,W$1,$B$1)</f>
        <v>34.057000000000002</v>
      </c>
      <c r="X26" s="100">
        <f>_xll.EQNXTDZ($A$1,$B26,X$1,$B$1)</f>
        <v>70.016000000000005</v>
      </c>
      <c r="Y26" s="100">
        <f>_xll.EQNXTDZ($A$1,$B26,Y$1,$B$1)</f>
        <v>62.575000000000003</v>
      </c>
      <c r="Z26" s="100">
        <f>_xll.EQNXTDZ($A$1,$B26,Z$1,$B$1)</f>
        <v>104.45099999999999</v>
      </c>
      <c r="AA26" s="100">
        <f>_xll.EQNXTDZ($A$1,$B26,AA$1,$B$1)</f>
        <v>125.786</v>
      </c>
      <c r="AB26" s="100">
        <f>_xll.EQNXTDZ($A$1,$B26,AB$1,$B$1)</f>
        <v>135.91300000000001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3.5594141000000001</v>
      </c>
      <c r="N27" s="100">
        <f>_xll.EQNXTDZ($A$1,$B27,N$1,$B$1)</f>
        <v>4.3671069999999999</v>
      </c>
      <c r="O27" s="100">
        <f>_xll.EQNXTDZ($A$1,$B27,O$1,$B$1)</f>
        <v>4.9994068</v>
      </c>
      <c r="P27" s="100">
        <f>_xll.EQNXTDZ($A$1,$B27,P$1,$B$1)</f>
        <v>2.7238000000000002</v>
      </c>
      <c r="Q27" s="100">
        <f>_xll.EQNXTDZ($A$1,$B27,Q$1,$B$1)</f>
        <v>3.9986453000000002</v>
      </c>
      <c r="R27" s="100">
        <f>_xll.EQNXTDZ($A$1,$B27,R$1,$B$1)</f>
        <v>5.6635796000000003</v>
      </c>
      <c r="S27" s="100">
        <f>_xll.EQNXTDZ($A$1,$B27,S$1,$B$1)</f>
        <v>7.2953608000000001</v>
      </c>
      <c r="T27" s="100">
        <f>_xll.EQNXTDZ($A$1,$B27,T$1,$B$1)</f>
        <v>8.2640984999999993</v>
      </c>
      <c r="U27" s="100">
        <f>_xll.EQNXTDZ($A$1,$B27,U$1,$B$1)</f>
        <v>8.3149999999999995</v>
      </c>
      <c r="V27" s="100">
        <f>_xll.EQNXTDZ($A$1,$B27,V$1,$B$1)</f>
        <v>10.579000000000001</v>
      </c>
      <c r="W27" s="100">
        <f>_xll.EQNXTDZ($A$1,$B27,W$1,$B$1)</f>
        <v>18.462</v>
      </c>
      <c r="X27" s="100">
        <f>_xll.EQNXTDZ($A$1,$B27,X$1,$B$1)</f>
        <v>19.286000000000001</v>
      </c>
      <c r="Y27" s="100">
        <f>_xll.EQNXTDZ($A$1,$B27,Y$1,$B$1)</f>
        <v>19.414999999999999</v>
      </c>
      <c r="Z27" s="100">
        <f>_xll.EQNXTDZ($A$1,$B27,Z$1,$B$1)</f>
        <v>22.312000000000001</v>
      </c>
      <c r="AA27" s="100">
        <f>_xll.EQNXTDZ($A$1,$B27,AA$1,$B$1)</f>
        <v>34.061999999999998</v>
      </c>
      <c r="AB27" s="100">
        <f>_xll.EQNXTDZ($A$1,$B27,AB$1,$B$1)</f>
        <v>42.752000000000002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-4.1349150999999997</v>
      </c>
      <c r="R29" s="100">
        <f>_xll.EQNXTDZ($A$1,$B29,R$1,$B$1)</f>
        <v>-10.686216699999999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11.427471199999999</v>
      </c>
      <c r="Q30" s="100">
        <f>_xll.EQNXTDZ($A$1,$B30,Q$1,$B$1)</f>
        <v>8.6642966999999995</v>
      </c>
      <c r="R30" s="100">
        <f>_xll.EQNXTDZ($A$1,$B30,R$1,$B$1)</f>
        <v>-3.3043450000000001</v>
      </c>
      <c r="S30" s="100">
        <f>_xll.EQNXTDZ($A$1,$B30,S$1,$B$1)</f>
        <v>1.2221491</v>
      </c>
      <c r="T30" s="100">
        <f>_xll.EQNXTDZ($A$1,$B30,T$1,$B$1)</f>
        <v>-2.3588532</v>
      </c>
      <c r="U30" s="100">
        <f>_xll.EQNXTDZ($A$1,$B30,U$1,$B$1)</f>
        <v>-0.44900000000000001</v>
      </c>
      <c r="V30" s="100">
        <f>_xll.EQNXTDZ($A$1,$B30,V$1,$B$1)</f>
        <v>-0.51200000000000001</v>
      </c>
      <c r="W30" s="100">
        <f>_xll.EQNXTDZ($A$1,$B30,W$1,$B$1)</f>
        <v>3.7810000000000001</v>
      </c>
      <c r="X30" s="100">
        <f>_xll.EQNXTDZ($A$1,$B30,X$1,$B$1)</f>
        <v>10.935</v>
      </c>
      <c r="Y30" s="100">
        <f>_xll.EQNXTDZ($A$1,$B30,Y$1,$B$1)</f>
        <v>11.433</v>
      </c>
      <c r="Z30" s="100">
        <f>_xll.EQNXTDZ($A$1,$B30,Z$1,$B$1)</f>
        <v>20.943000000000001</v>
      </c>
      <c r="AA30" s="100">
        <f>_xll.EQNXTDZ($A$1,$B30,AA$1,$B$1)</f>
        <v>23.648</v>
      </c>
      <c r="AB30" s="100">
        <f>_xll.EQNXTDZ($A$1,$B30,AB$1,$B$1)</f>
        <v>19.879000000000001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-0.33500000000000002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3.4259694999999999</v>
      </c>
      <c r="N35" s="100">
        <f>_xll.EQNXTDZ($A$1,$B35,N$1,$B$1)</f>
        <v>4.1452020000000003</v>
      </c>
      <c r="O35" s="100">
        <f>_xll.EQNXTDZ($A$1,$B35,O$1,$B$1)</f>
        <v>5.0267935000000001</v>
      </c>
      <c r="P35" s="100">
        <f>_xll.EQNXTDZ($A$1,$B35,P$1,$B$1)</f>
        <v>21.4060235</v>
      </c>
      <c r="Q35" s="100">
        <f>_xll.EQNXTDZ($A$1,$B35,Q$1,$B$1)</f>
        <v>16.5650434</v>
      </c>
      <c r="R35" s="100">
        <f>_xll.EQNXTDZ($A$1,$B35,R$1,$B$1)</f>
        <v>-6.9302415000000002</v>
      </c>
      <c r="S35" s="100">
        <f>_xll.EQNXTDZ($A$1,$B35,S$1,$B$1)</f>
        <v>0.59051889999999996</v>
      </c>
      <c r="T35" s="100">
        <f>_xll.EQNXTDZ($A$1,$B35,T$1,$B$1)</f>
        <v>-3.8440465000000001</v>
      </c>
      <c r="U35" s="100">
        <f>_xll.EQNXTDZ($A$1,$B35,U$1,$B$1)</f>
        <v>-0.93300000000000005</v>
      </c>
      <c r="V35" s="100">
        <f>_xll.EQNXTDZ($A$1,$B35,V$1,$B$1)</f>
        <v>-6.7039999999999997</v>
      </c>
      <c r="W35" s="100">
        <f>_xll.EQNXTDZ($A$1,$B35,W$1,$B$1)</f>
        <v>11.814</v>
      </c>
      <c r="X35" s="100">
        <f>_xll.EQNXTDZ($A$1,$B35,X$1,$B$1)</f>
        <v>39.795000000000002</v>
      </c>
      <c r="Y35" s="100">
        <f>_xll.EQNXTDZ($A$1,$B35,Y$1,$B$1)</f>
        <v>31.727</v>
      </c>
      <c r="Z35" s="100">
        <f>_xll.EQNXTDZ($A$1,$B35,Z$1,$B$1)</f>
        <v>61.195999999999998</v>
      </c>
      <c r="AA35" s="100">
        <f>_xll.EQNXTDZ($A$1,$B35,AA$1,$B$1)</f>
        <v>68.075999999999993</v>
      </c>
      <c r="AB35" s="100">
        <f>_xll.EQNXTDZ($A$1,$B35,AB$1,$B$1)</f>
        <v>73.281999999999996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1.367</v>
      </c>
      <c r="N41" s="55">
        <f>_xll.EQNXTDZ($A$1,$B41,N$1,$B$1)</f>
        <v>1.367</v>
      </c>
      <c r="O41" s="55">
        <f>_xll.EQNXTDZ($A$1,$B41,O$1,$B$1)</f>
        <v>1.367</v>
      </c>
      <c r="P41" s="55">
        <f>_xll.EQNXTDZ($A$1,$B41,P$1,$B$1)</f>
        <v>1.367</v>
      </c>
      <c r="Q41" s="55">
        <f>_xll.EQNXTDZ($A$1,$B41,Q$1,$B$1)</f>
        <v>1.367</v>
      </c>
      <c r="R41" s="55">
        <f>_xll.EQNXTDZ($A$1,$B41,R$1,$B$1)</f>
        <v>1.367</v>
      </c>
      <c r="S41" s="55">
        <f>_xll.EQNXTDZ($A$1,$B41,S$1,$B$1)</f>
        <v>1.367</v>
      </c>
      <c r="T41" s="55">
        <f>_xll.EQNXTDZ($A$1,$B41,T$1,$B$1)</f>
        <v>1.367</v>
      </c>
      <c r="U41" s="55">
        <f>_xll.EQNXTDZ($A$1,$B41,U$1,$B$1)</f>
        <v>1.367</v>
      </c>
      <c r="V41" s="55">
        <f>_xll.EQNXTDZ($A$1,$B41,V$1,$B$1)</f>
        <v>1.367</v>
      </c>
      <c r="W41" s="55">
        <f>_xll.EQNXTDZ($A$1,$B41,W$1,$B$1)</f>
        <v>1.367</v>
      </c>
      <c r="X41" s="55">
        <f>_xll.EQNXTDZ($A$1,$B41,X$1,$B$1)</f>
        <v>1.367</v>
      </c>
      <c r="Y41" s="55">
        <f>_xll.EQNXTDZ($A$1,$B41,Y$1,$B$1)</f>
        <v>52.866</v>
      </c>
      <c r="Z41" s="55">
        <f>_xll.EQNXTDZ($A$1,$B41,Z$1,$B$1)</f>
        <v>79.305999999999997</v>
      </c>
      <c r="AA41" s="55">
        <f>_xll.EQNXTDZ($A$1,$B41,AA$1,$B$1)</f>
        <v>79.305999999999997</v>
      </c>
      <c r="AB41" s="55">
        <f>_xll.EQNXTDZ($A$1,$B41,AB$1,$B$1)</f>
        <v>79.364000000000004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4.8049999999999997</v>
      </c>
      <c r="AA42" s="55">
        <f>_xll.EQNXTDZ($A$1,$B42,AA$1,$B$1)</f>
        <v>10.78</v>
      </c>
      <c r="AB42" s="55">
        <f>_xll.EQNXTDZ($A$1,$B42,AB$1,$B$1)</f>
        <v>4.0259999999999998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17.934276300000001</v>
      </c>
      <c r="N43" s="55">
        <f>_xll.EQNXTDZ($A$1,$B43,N$1,$B$1)</f>
        <v>20.633278300000001</v>
      </c>
      <c r="O43" s="55">
        <f>_xll.EQNXTDZ($A$1,$B43,O$1,$B$1)</f>
        <v>23.9429406</v>
      </c>
      <c r="P43" s="55">
        <f>_xll.EQNXTDZ($A$1,$B43,P$1,$B$1)</f>
        <v>41.214049099999997</v>
      </c>
      <c r="Q43" s="55">
        <f>_xll.EQNXTDZ($A$1,$B43,Q$1,$B$1)</f>
        <v>45.681199100000001</v>
      </c>
      <c r="R43" s="55">
        <f>_xll.EQNXTDZ($A$1,$B43,R$1,$B$1)</f>
        <v>38.7509576</v>
      </c>
      <c r="S43" s="55">
        <f>_xll.EQNXTDZ($A$1,$B43,S$1,$B$1)</f>
        <v>39.111430900000002</v>
      </c>
      <c r="T43" s="55">
        <f>_xll.EQNXTDZ($A$1,$B43,T$1,$B$1)</f>
        <v>34.807433799999998</v>
      </c>
      <c r="U43" s="55">
        <f>_xll.EQNXTDZ($A$1,$B43,U$1,$B$1)</f>
        <v>33.558</v>
      </c>
      <c r="V43" s="55">
        <f>_xll.EQNXTDZ($A$1,$B43,V$1,$B$1)</f>
        <v>24.338999999999999</v>
      </c>
      <c r="W43" s="55">
        <f>_xll.EQNXTDZ($A$1,$B43,W$1,$B$1)</f>
        <v>36.284999999999997</v>
      </c>
      <c r="X43" s="55">
        <f>_xll.EQNXTDZ($A$1,$B43,X$1,$B$1)</f>
        <v>75.745000000000005</v>
      </c>
      <c r="Y43" s="55">
        <f>_xll.EQNXTDZ($A$1,$B43,Y$1,$B$1)</f>
        <v>145.006</v>
      </c>
      <c r="Z43" s="55">
        <f>_xll.EQNXTDZ($A$1,$B43,Z$1,$B$1)</f>
        <v>824.86699999999996</v>
      </c>
      <c r="AA43" s="55">
        <f>_xll.EQNXTDZ($A$1,$B43,AA$1,$B$1)</f>
        <v>859.34900000000005</v>
      </c>
      <c r="AB43" s="55">
        <f>_xll.EQNXTDZ($A$1,$B43,AB$1,$B$1)</f>
        <v>928.71799999999996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19.301276300000001</v>
      </c>
      <c r="N44" s="55">
        <f>_xll.EQNXTDZ($A$1,$B44,N$1,$B$1)</f>
        <v>22.000278300000002</v>
      </c>
      <c r="O44" s="55">
        <f>_xll.EQNXTDZ($A$1,$B44,O$1,$B$1)</f>
        <v>25.309940600000001</v>
      </c>
      <c r="P44" s="55">
        <f>_xll.EQNXTDZ($A$1,$B44,P$1,$B$1)</f>
        <v>42.581049100000001</v>
      </c>
      <c r="Q44" s="55">
        <f>_xll.EQNXTDZ($A$1,$B44,Q$1,$B$1)</f>
        <v>47.048199099999998</v>
      </c>
      <c r="R44" s="55">
        <f>_xll.EQNXTDZ($A$1,$B44,R$1,$B$1)</f>
        <v>40.117957599999997</v>
      </c>
      <c r="S44" s="55">
        <f>_xll.EQNXTDZ($A$1,$B44,S$1,$B$1)</f>
        <v>40.478430899999999</v>
      </c>
      <c r="T44" s="55">
        <f>_xll.EQNXTDZ($A$1,$B44,T$1,$B$1)</f>
        <v>36.174433800000003</v>
      </c>
      <c r="U44" s="55">
        <f>_xll.EQNXTDZ($A$1,$B44,U$1,$B$1)</f>
        <v>34.924999999999997</v>
      </c>
      <c r="V44" s="55">
        <f>_xll.EQNXTDZ($A$1,$B44,V$1,$B$1)</f>
        <v>25.706</v>
      </c>
      <c r="W44" s="55">
        <f>_xll.EQNXTDZ($A$1,$B44,W$1,$B$1)</f>
        <v>37.652000000000001</v>
      </c>
      <c r="X44" s="55">
        <f>_xll.EQNXTDZ($A$1,$B44,X$1,$B$1)</f>
        <v>77.111999999999995</v>
      </c>
      <c r="Y44" s="55">
        <f>_xll.EQNXTDZ($A$1,$B44,Y$1,$B$1)</f>
        <v>197.87200000000001</v>
      </c>
      <c r="Z44" s="55">
        <f>_xll.EQNXTDZ($A$1,$B44,Z$1,$B$1)</f>
        <v>908.97799999999995</v>
      </c>
      <c r="AA44" s="55">
        <f>_xll.EQNXTDZ($A$1,$B44,AA$1,$B$1)</f>
        <v>949.43499999999995</v>
      </c>
      <c r="AB44" s="55">
        <f>_xll.EQNXTDZ($A$1,$B44,AB$1,$B$1)</f>
        <v>1012.1079999999999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5.4891459999999999</v>
      </c>
      <c r="N47" s="55">
        <f>_xll.EQNXTDZ($A$1,$B47,N$1,$B$1)</f>
        <v>5.7052360999999996</v>
      </c>
      <c r="O47" s="55">
        <f>_xll.EQNXTDZ($A$1,$B47,O$1,$B$1)</f>
        <v>6.9979714</v>
      </c>
      <c r="P47" s="55">
        <f>_xll.EQNXTDZ($A$1,$B47,P$1,$B$1)</f>
        <v>3.58</v>
      </c>
      <c r="Q47" s="55">
        <f>_xll.EQNXTDZ($A$1,$B47,Q$1,$B$1)</f>
        <v>8.23</v>
      </c>
      <c r="R47" s="55">
        <f>_xll.EQNXTDZ($A$1,$B47,R$1,$B$1)</f>
        <v>6.3279671000000004</v>
      </c>
      <c r="S47" s="55">
        <f>_xll.EQNXTDZ($A$1,$B47,S$1,$B$1)</f>
        <v>6.3703915999999996</v>
      </c>
      <c r="T47" s="55">
        <f>_xll.EQNXTDZ($A$1,$B47,T$1,$B$1)</f>
        <v>6.4195659999999997</v>
      </c>
      <c r="U47" s="55">
        <f>_xll.EQNXTDZ($A$1,$B47,U$1,$B$1)</f>
        <v>1.579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4.3519237999999998</v>
      </c>
      <c r="N48" s="55">
        <f>_xll.EQNXTDZ($A$1,$B48,N$1,$B$1)</f>
        <v>4.3519239000000001</v>
      </c>
      <c r="O48" s="55">
        <f>_xll.EQNXTDZ($A$1,$B48,O$1,$B$1)</f>
        <v>4.3519239000000001</v>
      </c>
      <c r="P48" s="55">
        <f>_xll.EQNXTDZ($A$1,$B48,P$1,$B$1)</f>
        <v>4.3519239000000001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6.5629999999999997</v>
      </c>
      <c r="V48" s="55">
        <f>_xll.EQNXTDZ($A$1,$B48,V$1,$B$1)</f>
        <v>65.188000000000002</v>
      </c>
      <c r="W48" s="55">
        <f>_xll.EQNXTDZ($A$1,$B48,W$1,$B$1)</f>
        <v>64</v>
      </c>
      <c r="X48" s="55">
        <f>_xll.EQNXTDZ($A$1,$B48,X$1,$B$1)</f>
        <v>99.563000000000002</v>
      </c>
      <c r="Y48" s="55">
        <f>_xll.EQNXTDZ($A$1,$B48,Y$1,$B$1)</f>
        <v>99.563000000000002</v>
      </c>
      <c r="Z48" s="55">
        <f>_xll.EQNXTDZ($A$1,$B48,Z$1,$B$1)</f>
        <v>74.671999999999997</v>
      </c>
      <c r="AA48" s="55">
        <f>_xll.EQNXTDZ($A$1,$B48,AA$1,$B$1)</f>
        <v>148.006</v>
      </c>
      <c r="AB48" s="55">
        <f>_xll.EQNXTDZ($A$1,$B48,AB$1,$B$1)</f>
        <v>77.825000000000003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-0.56240000000000001</v>
      </c>
      <c r="N49" s="55">
        <f>_xll.EQNXTDZ($A$1,$B49,N$1,$B$1)</f>
        <v>5.7599999999999998E-2</v>
      </c>
      <c r="O49" s="55">
        <f>_xll.EQNXTDZ($A$1,$B49,O$1,$B$1)</f>
        <v>-6.7400000000000002E-2</v>
      </c>
      <c r="P49" s="55">
        <f>_xll.EQNXTDZ($A$1,$B49,P$1,$B$1)</f>
        <v>2.0748457999999999</v>
      </c>
      <c r="Q49" s="55">
        <f>_xll.EQNXTDZ($A$1,$B49,Q$1,$B$1)</f>
        <v>0.61836760000000002</v>
      </c>
      <c r="R49" s="55">
        <f>_xll.EQNXTDZ($A$1,$B49,R$1,$B$1)</f>
        <v>-2.6859774000000001</v>
      </c>
      <c r="S49" s="55">
        <f>_xll.EQNXTDZ($A$1,$B49,S$1,$B$1)</f>
        <v>-1.626401</v>
      </c>
      <c r="T49" s="55">
        <f>_xll.EQNXTDZ($A$1,$B49,T$1,$B$1)</f>
        <v>-3.9852542</v>
      </c>
      <c r="U49" s="55">
        <f>_xll.EQNXTDZ($A$1,$B49,U$1,$B$1)</f>
        <v>-4.915</v>
      </c>
      <c r="V49" s="55">
        <f>_xll.EQNXTDZ($A$1,$B49,V$1,$B$1)</f>
        <v>-6.1980000000000004</v>
      </c>
      <c r="W49" s="55">
        <f>_xll.EQNXTDZ($A$1,$B49,W$1,$B$1)</f>
        <v>-5.0860000000000003</v>
      </c>
      <c r="X49" s="55">
        <f>_xll.EQNXTDZ($A$1,$B49,X$1,$B$1)</f>
        <v>-3.8980000000000001</v>
      </c>
      <c r="Y49" s="55">
        <f>_xll.EQNXTDZ($A$1,$B49,Y$1,$B$1)</f>
        <v>-5.3789999999999996</v>
      </c>
      <c r="Z49" s="55">
        <f>_xll.EQNXTDZ($A$1,$B49,Z$1,$B$1)</f>
        <v>-5.8659999999999997</v>
      </c>
      <c r="AA49" s="55">
        <f>_xll.EQNXTDZ($A$1,$B49,AA$1,$B$1)</f>
        <v>-13.212999999999999</v>
      </c>
      <c r="AB49" s="55">
        <f>_xll.EQNXTDZ($A$1,$B49,AB$1,$B$1)</f>
        <v>-12.984999999999999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1.3142872000000001</v>
      </c>
      <c r="N50" s="55">
        <f>_xll.EQNXTDZ($A$1,$B50,N$1,$B$1)</f>
        <v>0.75822789999999995</v>
      </c>
      <c r="O50" s="55">
        <f>_xll.EQNXTDZ($A$1,$B50,O$1,$B$1)</f>
        <v>0.16614699999999999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41.75</v>
      </c>
      <c r="W50" s="55">
        <f>_xll.EQNXTDZ($A$1,$B50,W$1,$B$1)</f>
        <v>48.871000000000002</v>
      </c>
      <c r="X50" s="55">
        <f>_xll.EQNXTDZ($A$1,$B50,X$1,$B$1)</f>
        <v>75.111999999999995</v>
      </c>
      <c r="Y50" s="55">
        <f>_xll.EQNXTDZ($A$1,$B50,Y$1,$B$1)</f>
        <v>52.887999999999998</v>
      </c>
      <c r="Z50" s="55">
        <f>_xll.EQNXTDZ($A$1,$B50,Z$1,$B$1)</f>
        <v>69.569999999999993</v>
      </c>
      <c r="AA50" s="55">
        <f>_xll.EQNXTDZ($A$1,$B50,AA$1,$B$1)</f>
        <v>56.024999999999999</v>
      </c>
      <c r="AB50" s="55">
        <f>_xll.EQNXTDZ($A$1,$B50,AB$1,$B$1)</f>
        <v>55.006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4.67266E-2</v>
      </c>
      <c r="Q51" s="55">
        <f>_xll.EQNXTDZ($A$1,$B51,Q$1,$B$1)</f>
        <v>4.67266E-2</v>
      </c>
      <c r="R51" s="55">
        <f>_xll.EQNXTDZ($A$1,$B51,R$1,$B$1)</f>
        <v>4.67266E-2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0.71922419999999998</v>
      </c>
      <c r="R52" s="55">
        <f>_xll.EQNXTDZ($A$1,$B52,R$1,$B$1)</f>
        <v>1.0662191000000001</v>
      </c>
      <c r="S52" s="55">
        <f>_xll.EQNXTDZ($A$1,$B52,S$1,$B$1)</f>
        <v>0.62660179999999999</v>
      </c>
      <c r="T52" s="55">
        <f>_xll.EQNXTDZ($A$1,$B52,T$1,$B$1)</f>
        <v>1.0918737000000001</v>
      </c>
      <c r="U52" s="55">
        <f>_xll.EQNXTDZ($A$1,$B52,U$1,$B$1)</f>
        <v>3.01</v>
      </c>
      <c r="V52" s="55">
        <f>_xll.EQNXTDZ($A$1,$B52,V$1,$B$1)</f>
        <v>4.923</v>
      </c>
      <c r="W52" s="55">
        <f>_xll.EQNXTDZ($A$1,$B52,W$1,$B$1)</f>
        <v>5.3780000000000001</v>
      </c>
      <c r="X52" s="55">
        <f>_xll.EQNXTDZ($A$1,$B52,X$1,$B$1)</f>
        <v>5.9610000000000003</v>
      </c>
      <c r="Y52" s="55">
        <f>_xll.EQNXTDZ($A$1,$B52,Y$1,$B$1)</f>
        <v>9.5269999999999992</v>
      </c>
      <c r="Z52" s="55">
        <f>_xll.EQNXTDZ($A$1,$B52,Z$1,$B$1)</f>
        <v>7.9930000000000003</v>
      </c>
      <c r="AA52" s="55">
        <f>_xll.EQNXTDZ($A$1,$B52,AA$1,$B$1)</f>
        <v>6.6920000000000002</v>
      </c>
      <c r="AB52" s="55">
        <f>_xll.EQNXTDZ($A$1,$B52,AB$1,$B$1)</f>
        <v>5.6740000000000004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10.592957</v>
      </c>
      <c r="N53" s="55">
        <f>_xll.EQNXTDZ($A$1,$B53,N$1,$B$1)</f>
        <v>10.8729879</v>
      </c>
      <c r="O53" s="55">
        <f>_xll.EQNXTDZ($A$1,$B53,O$1,$B$1)</f>
        <v>11.448642299999999</v>
      </c>
      <c r="P53" s="55">
        <f>_xll.EQNXTDZ($A$1,$B53,P$1,$B$1)</f>
        <v>10.053496300000001</v>
      </c>
      <c r="Q53" s="55">
        <f>_xll.EQNXTDZ($A$1,$B53,Q$1,$B$1)</f>
        <v>9.6143184000000002</v>
      </c>
      <c r="R53" s="55">
        <f>_xll.EQNXTDZ($A$1,$B53,R$1,$B$1)</f>
        <v>4.7549353999999999</v>
      </c>
      <c r="S53" s="55">
        <f>_xll.EQNXTDZ($A$1,$B53,S$1,$B$1)</f>
        <v>5.3705923999999996</v>
      </c>
      <c r="T53" s="55">
        <f>_xll.EQNXTDZ($A$1,$B53,T$1,$B$1)</f>
        <v>3.5261855</v>
      </c>
      <c r="U53" s="55">
        <f>_xll.EQNXTDZ($A$1,$B53,U$1,$B$1)</f>
        <v>6.2370000000000001</v>
      </c>
      <c r="V53" s="55">
        <f>_xll.EQNXTDZ($A$1,$B53,V$1,$B$1)</f>
        <v>105.663</v>
      </c>
      <c r="W53" s="55">
        <f>_xll.EQNXTDZ($A$1,$B53,W$1,$B$1)</f>
        <v>113.163</v>
      </c>
      <c r="X53" s="55">
        <f>_xll.EQNXTDZ($A$1,$B53,X$1,$B$1)</f>
        <v>176.738</v>
      </c>
      <c r="Y53" s="55">
        <f>_xll.EQNXTDZ($A$1,$B53,Y$1,$B$1)</f>
        <v>156.59899999999999</v>
      </c>
      <c r="Z53" s="55">
        <f>_xll.EQNXTDZ($A$1,$B53,Z$1,$B$1)</f>
        <v>146.369</v>
      </c>
      <c r="AA53" s="55">
        <f>_xll.EQNXTDZ($A$1,$B53,AA$1,$B$1)</f>
        <v>197.51</v>
      </c>
      <c r="AB53" s="55">
        <f>_xll.EQNXTDZ($A$1,$B53,AB$1,$B$1)</f>
        <v>125.52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19.831100599999999</v>
      </c>
      <c r="N54" s="55">
        <f>_xll.EQNXTDZ($A$1,$B54,N$1,$B$1)</f>
        <v>26.147331000000001</v>
      </c>
      <c r="O54" s="55">
        <f>_xll.EQNXTDZ($A$1,$B54,O$1,$B$1)</f>
        <v>20.7235522</v>
      </c>
      <c r="P54" s="55">
        <f>_xll.EQNXTDZ($A$1,$B54,P$1,$B$1)</f>
        <v>64.895555299999998</v>
      </c>
      <c r="Q54" s="55">
        <f>_xll.EQNXTDZ($A$1,$B54,Q$1,$B$1)</f>
        <v>48.6233243</v>
      </c>
      <c r="R54" s="55">
        <f>_xll.EQNXTDZ($A$1,$B54,R$1,$B$1)</f>
        <v>70.783491400000003</v>
      </c>
      <c r="S54" s="55">
        <f>_xll.EQNXTDZ($A$1,$B54,S$1,$B$1)</f>
        <v>96.400032899999999</v>
      </c>
      <c r="T54" s="55">
        <f>_xll.EQNXTDZ($A$1,$B54,T$1,$B$1)</f>
        <v>113.9804633</v>
      </c>
      <c r="U54" s="55">
        <f>_xll.EQNXTDZ($A$1,$B54,U$1,$B$1)</f>
        <v>96.212000000000003</v>
      </c>
      <c r="V54" s="55">
        <f>_xll.EQNXTDZ($A$1,$B54,V$1,$B$1)</f>
        <v>104.857</v>
      </c>
      <c r="W54" s="55">
        <f>_xll.EQNXTDZ($A$1,$B54,W$1,$B$1)</f>
        <v>190.02500000000001</v>
      </c>
      <c r="X54" s="55">
        <f>_xll.EQNXTDZ($A$1,$B54,X$1,$B$1)</f>
        <v>192.48500000000001</v>
      </c>
      <c r="Y54" s="55">
        <f>_xll.EQNXTDZ($A$1,$B54,Y$1,$B$1)</f>
        <v>285.262</v>
      </c>
      <c r="Z54" s="55">
        <f>_xll.EQNXTDZ($A$1,$B54,Z$1,$B$1)</f>
        <v>308.851</v>
      </c>
      <c r="AA54" s="55">
        <f>_xll.EQNXTDZ($A$1,$B54,AA$1,$B$1)</f>
        <v>249.88300000000001</v>
      </c>
      <c r="AB54" s="55">
        <f>_xll.EQNXTDZ($A$1,$B54,AB$1,$B$1)</f>
        <v>273.31400000000002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8.6721147999999992</v>
      </c>
      <c r="N55" s="55">
        <f>_xll.EQNXTDZ($A$1,$B55,N$1,$B$1)</f>
        <v>6.3331571000000002</v>
      </c>
      <c r="O55" s="55">
        <f>_xll.EQNXTDZ($A$1,$B55,O$1,$B$1)</f>
        <v>6.3073459999999999</v>
      </c>
      <c r="P55" s="55">
        <f>_xll.EQNXTDZ($A$1,$B55,P$1,$B$1)</f>
        <v>106.2589583</v>
      </c>
      <c r="Q55" s="55">
        <f>_xll.EQNXTDZ($A$1,$B55,Q$1,$B$1)</f>
        <v>13.7916618</v>
      </c>
      <c r="R55" s="55">
        <f>_xll.EQNXTDZ($A$1,$B55,R$1,$B$1)</f>
        <v>24.731265400000002</v>
      </c>
      <c r="S55" s="55">
        <f>_xll.EQNXTDZ($A$1,$B55,S$1,$B$1)</f>
        <v>18.068750699999999</v>
      </c>
      <c r="T55" s="55">
        <f>_xll.EQNXTDZ($A$1,$B55,T$1,$B$1)</f>
        <v>49.577677199999997</v>
      </c>
      <c r="U55" s="55">
        <f>_xll.EQNXTDZ($A$1,$B55,U$1,$B$1)</f>
        <v>174.18700000000001</v>
      </c>
      <c r="V55" s="55">
        <f>_xll.EQNXTDZ($A$1,$B55,V$1,$B$1)</f>
        <v>166.35599999999999</v>
      </c>
      <c r="W55" s="55">
        <f>_xll.EQNXTDZ($A$1,$B55,W$1,$B$1)</f>
        <v>160.95500000000001</v>
      </c>
      <c r="X55" s="55">
        <f>_xll.EQNXTDZ($A$1,$B55,X$1,$B$1)</f>
        <v>125.652</v>
      </c>
      <c r="Y55" s="55">
        <f>_xll.EQNXTDZ($A$1,$B55,Y$1,$B$1)</f>
        <v>242.20599999999999</v>
      </c>
      <c r="Z55" s="55">
        <f>_xll.EQNXTDZ($A$1,$B55,Z$1,$B$1)</f>
        <v>192.864</v>
      </c>
      <c r="AA55" s="55">
        <f>_xll.EQNXTDZ($A$1,$B55,AA$1,$B$1)</f>
        <v>197.34800000000001</v>
      </c>
      <c r="AB55" s="55">
        <f>_xll.EQNXTDZ($A$1,$B55,AB$1,$B$1)</f>
        <v>203.66399999999999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24.258735900000001</v>
      </c>
      <c r="N56" s="55">
        <f>_xll.EQNXTDZ($A$1,$B56,N$1,$B$1)</f>
        <v>29.0120276</v>
      </c>
      <c r="O56" s="55">
        <f>_xll.EQNXTDZ($A$1,$B56,O$1,$B$1)</f>
        <v>31.971032900000001</v>
      </c>
      <c r="P56" s="55">
        <f>_xll.EQNXTDZ($A$1,$B56,P$1,$B$1)</f>
        <v>69.207437499999997</v>
      </c>
      <c r="Q56" s="55">
        <f>_xll.EQNXTDZ($A$1,$B56,Q$1,$B$1)</f>
        <v>81.189778700000005</v>
      </c>
      <c r="R56" s="55">
        <f>_xll.EQNXTDZ($A$1,$B56,R$1,$B$1)</f>
        <v>115.0973171</v>
      </c>
      <c r="S56" s="55">
        <f>_xll.EQNXTDZ($A$1,$B56,S$1,$B$1)</f>
        <v>110.1498373</v>
      </c>
      <c r="T56" s="55">
        <f>_xll.EQNXTDZ($A$1,$B56,T$1,$B$1)</f>
        <v>138.76434259999999</v>
      </c>
      <c r="U56" s="55">
        <f>_xll.EQNXTDZ($A$1,$B56,U$1,$B$1)</f>
        <v>148.42099999999999</v>
      </c>
      <c r="V56" s="55">
        <f>_xll.EQNXTDZ($A$1,$B56,V$1,$B$1)</f>
        <v>183.22900000000001</v>
      </c>
      <c r="W56" s="55">
        <f>_xll.EQNXTDZ($A$1,$B56,W$1,$B$1)</f>
        <v>134.202</v>
      </c>
      <c r="X56" s="55">
        <f>_xll.EQNXTDZ($A$1,$B56,X$1,$B$1)</f>
        <v>193.63</v>
      </c>
      <c r="Y56" s="55">
        <f>_xll.EQNXTDZ($A$1,$B56,Y$1,$B$1)</f>
        <v>214.911</v>
      </c>
      <c r="Z56" s="55">
        <f>_xll.EQNXTDZ($A$1,$B56,Z$1,$B$1)</f>
        <v>34</v>
      </c>
      <c r="AA56" s="55">
        <f>_xll.EQNXTDZ($A$1,$B56,AA$1,$B$1)</f>
        <v>66.486999999999995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0.94282699999999997</v>
      </c>
      <c r="N57" s="55">
        <f>_xll.EQNXTDZ($A$1,$B57,N$1,$B$1)</f>
        <v>0.89345419999999998</v>
      </c>
      <c r="O57" s="55">
        <f>_xll.EQNXTDZ($A$1,$B57,O$1,$B$1)</f>
        <v>0.93774579999999996</v>
      </c>
      <c r="P57" s="55">
        <f>_xll.EQNXTDZ($A$1,$B57,P$1,$B$1)</f>
        <v>1.1948057000000001</v>
      </c>
      <c r="Q57" s="55">
        <f>_xll.EQNXTDZ($A$1,$B57,Q$1,$B$1)</f>
        <v>0.13935359999999999</v>
      </c>
      <c r="R57" s="55">
        <f>_xll.EQNXTDZ($A$1,$B57,R$1,$B$1)</f>
        <v>0.30370839999999999</v>
      </c>
      <c r="S57" s="55">
        <f>_xll.EQNXTDZ($A$1,$B57,S$1,$B$1)</f>
        <v>1.748461</v>
      </c>
      <c r="T57" s="55">
        <f>_xll.EQNXTDZ($A$1,$B57,T$1,$B$1)</f>
        <v>1.8974143999999999</v>
      </c>
      <c r="U57" s="55">
        <f>_xll.EQNXTDZ($A$1,$B57,U$1,$B$1)</f>
        <v>1.236</v>
      </c>
      <c r="V57" s="55">
        <f>_xll.EQNXTDZ($A$1,$B57,V$1,$B$1)</f>
        <v>1.4850000000000001</v>
      </c>
      <c r="W57" s="55">
        <f>_xll.EQNXTDZ($A$1,$B57,W$1,$B$1)</f>
        <v>3.948</v>
      </c>
      <c r="X57" s="55">
        <f>_xll.EQNXTDZ($A$1,$B57,X$1,$B$1)</f>
        <v>7.399</v>
      </c>
      <c r="Y57" s="55">
        <f>_xll.EQNXTDZ($A$1,$B57,Y$1,$B$1)</f>
        <v>2.4889999999999999</v>
      </c>
      <c r="Z57" s="55">
        <f>_xll.EQNXTDZ($A$1,$B57,Z$1,$B$1)</f>
        <v>6.3479999999999999</v>
      </c>
      <c r="AA57" s="55">
        <f>_xll.EQNXTDZ($A$1,$B57,AA$1,$B$1)</f>
        <v>20.036999999999999</v>
      </c>
      <c r="AB57" s="55">
        <f>_xll.EQNXTDZ($A$1,$B57,AB$1,$B$1)</f>
        <v>14.595000000000001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53.704778300000001</v>
      </c>
      <c r="N59" s="55">
        <f>_xll.EQNXTDZ($A$1,$B59,N$1,$B$1)</f>
        <v>62.385969899999999</v>
      </c>
      <c r="O59" s="55">
        <f>_xll.EQNXTDZ($A$1,$B59,O$1,$B$1)</f>
        <v>59.939676900000002</v>
      </c>
      <c r="P59" s="55">
        <f>_xll.EQNXTDZ($A$1,$B59,P$1,$B$1)</f>
        <v>241.55675679999999</v>
      </c>
      <c r="Q59" s="55">
        <f>_xll.EQNXTDZ($A$1,$B59,Q$1,$B$1)</f>
        <v>143.74411839999999</v>
      </c>
      <c r="R59" s="55">
        <f>_xll.EQNXTDZ($A$1,$B59,R$1,$B$1)</f>
        <v>210.91578229999999</v>
      </c>
      <c r="S59" s="55">
        <f>_xll.EQNXTDZ($A$1,$B59,S$1,$B$1)</f>
        <v>226.36708189999999</v>
      </c>
      <c r="T59" s="55">
        <f>_xll.EQNXTDZ($A$1,$B59,T$1,$B$1)</f>
        <v>304.2198975</v>
      </c>
      <c r="U59" s="55">
        <f>_xll.EQNXTDZ($A$1,$B59,U$1,$B$1)</f>
        <v>420.05599999999998</v>
      </c>
      <c r="V59" s="55">
        <f>_xll.EQNXTDZ($A$1,$B59,V$1,$B$1)</f>
        <v>455.92700000000002</v>
      </c>
      <c r="W59" s="55">
        <f>_xll.EQNXTDZ($A$1,$B59,W$1,$B$1)</f>
        <v>489.13</v>
      </c>
      <c r="X59" s="55">
        <f>_xll.EQNXTDZ($A$1,$B59,X$1,$B$1)</f>
        <v>519.16600000000005</v>
      </c>
      <c r="Y59" s="55">
        <f>_xll.EQNXTDZ($A$1,$B59,Y$1,$B$1)</f>
        <v>744.86800000000005</v>
      </c>
      <c r="Z59" s="55">
        <f>_xll.EQNXTDZ($A$1,$B59,Z$1,$B$1)</f>
        <v>542.06299999999999</v>
      </c>
      <c r="AA59" s="55">
        <f>_xll.EQNXTDZ($A$1,$B59,AA$1,$B$1)</f>
        <v>533.755</v>
      </c>
      <c r="AB59" s="55">
        <f>_xll.EQNXTDZ($A$1,$B59,AB$1,$B$1)</f>
        <v>491.57299999999998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83.599011599999997</v>
      </c>
      <c r="N60" s="55">
        <f>_xll.EQNXTDZ($A$1,$B60,N$1,$B$1)</f>
        <v>95.259236099999995</v>
      </c>
      <c r="O60" s="55">
        <f>_xll.EQNXTDZ($A$1,$B60,O$1,$B$1)</f>
        <v>96.698259800000002</v>
      </c>
      <c r="P60" s="55">
        <f>_xll.EQNXTDZ($A$1,$B60,P$1,$B$1)</f>
        <v>294.1913022</v>
      </c>
      <c r="Q60" s="55">
        <f>_xll.EQNXTDZ($A$1,$B60,Q$1,$B$1)</f>
        <v>200.4066359</v>
      </c>
      <c r="R60" s="55">
        <f>_xll.EQNXTDZ($A$1,$B60,R$1,$B$1)</f>
        <v>255.78867529999999</v>
      </c>
      <c r="S60" s="55">
        <f>_xll.EQNXTDZ($A$1,$B60,S$1,$B$1)</f>
        <v>272.21610520000002</v>
      </c>
      <c r="T60" s="55">
        <f>_xll.EQNXTDZ($A$1,$B60,T$1,$B$1)</f>
        <v>343.92051679999997</v>
      </c>
      <c r="U60" s="55">
        <f>_xll.EQNXTDZ($A$1,$B60,U$1,$B$1)</f>
        <v>461.21800000000002</v>
      </c>
      <c r="V60" s="55">
        <f>_xll.EQNXTDZ($A$1,$B60,V$1,$B$1)</f>
        <v>587.29600000000005</v>
      </c>
      <c r="W60" s="55">
        <f>_xll.EQNXTDZ($A$1,$B60,W$1,$B$1)</f>
        <v>639.94500000000005</v>
      </c>
      <c r="X60" s="55">
        <f>_xll.EQNXTDZ($A$1,$B60,X$1,$B$1)</f>
        <v>773.01599999999996</v>
      </c>
      <c r="Y60" s="55">
        <f>_xll.EQNXTDZ($A$1,$B60,Y$1,$B$1)</f>
        <v>1099.3389999999999</v>
      </c>
      <c r="Z60" s="55">
        <f>_xll.EQNXTDZ($A$1,$B60,Z$1,$B$1)</f>
        <v>1597.41</v>
      </c>
      <c r="AA60" s="55">
        <f>_xll.EQNXTDZ($A$1,$B60,AA$1,$B$1)</f>
        <v>1680.7</v>
      </c>
      <c r="AB60" s="55">
        <f>_xll.EQNXTDZ($A$1,$B60,AB$1,$B$1)</f>
        <v>1629.201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34.293324599999998</v>
      </c>
      <c r="N62" s="55">
        <f>_xll.EQNXTDZ($A$1,$B62,N$1,$B$1)</f>
        <v>39.674047000000002</v>
      </c>
      <c r="O62" s="55">
        <f>_xll.EQNXTDZ($A$1,$B62,O$1,$B$1)</f>
        <v>45.098583699999999</v>
      </c>
      <c r="P62" s="55">
        <f>_xll.EQNXTDZ($A$1,$B62,P$1,$B$1)</f>
        <v>51.553849100000001</v>
      </c>
      <c r="Q62" s="55">
        <f>_xll.EQNXTDZ($A$1,$B62,Q$1,$B$1)</f>
        <v>66.533013499999996</v>
      </c>
      <c r="R62" s="55">
        <f>_xll.EQNXTDZ($A$1,$B62,R$1,$B$1)</f>
        <v>76.949068100000005</v>
      </c>
      <c r="S62" s="55">
        <f>_xll.EQNXTDZ($A$1,$B62,S$1,$B$1)</f>
        <v>86.744652099999996</v>
      </c>
      <c r="T62" s="55">
        <f>_xll.EQNXTDZ($A$1,$B62,T$1,$B$1)</f>
        <v>99.524603200000001</v>
      </c>
      <c r="U62" s="55">
        <f>_xll.EQNXTDZ($A$1,$B62,U$1,$B$1)</f>
        <v>106.901</v>
      </c>
      <c r="V62" s="55">
        <f>_xll.EQNXTDZ($A$1,$B62,V$1,$B$1)</f>
        <v>177.65299999999999</v>
      </c>
      <c r="W62" s="55">
        <f>_xll.EQNXTDZ($A$1,$B62,W$1,$B$1)</f>
        <v>272.01499999999999</v>
      </c>
      <c r="X62" s="55">
        <f>_xll.EQNXTDZ($A$1,$B62,X$1,$B$1)</f>
        <v>281.68200000000002</v>
      </c>
      <c r="Y62" s="55">
        <f>_xll.EQNXTDZ($A$1,$B62,Y$1,$B$1)</f>
        <v>267.22199999999998</v>
      </c>
      <c r="Z62" s="55">
        <f>_xll.EQNXTDZ($A$1,$B62,Z$1,$B$1)</f>
        <v>320.714</v>
      </c>
      <c r="AA62" s="55">
        <f>_xll.EQNXTDZ($A$1,$B62,AA$1,$B$1)</f>
        <v>504.29700000000003</v>
      </c>
      <c r="AB62" s="55">
        <f>_xll.EQNXTDZ($A$1,$B62,AB$1,$B$1)</f>
        <v>556.29399999999998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15.4630519</v>
      </c>
      <c r="N63" s="55">
        <f>_xll.EQNXTDZ($A$1,$B63,N$1,$B$1)</f>
        <v>19.830158699999998</v>
      </c>
      <c r="O63" s="55">
        <f>_xll.EQNXTDZ($A$1,$B63,O$1,$B$1)</f>
        <v>24.829565599999999</v>
      </c>
      <c r="P63" s="55">
        <f>_xll.EQNXTDZ($A$1,$B63,P$1,$B$1)</f>
        <v>27.553338499999999</v>
      </c>
      <c r="Q63" s="55">
        <f>_xll.EQNXTDZ($A$1,$B63,Q$1,$B$1)</f>
        <v>31.7270836</v>
      </c>
      <c r="R63" s="55">
        <f>_xll.EQNXTDZ($A$1,$B63,R$1,$B$1)</f>
        <v>37.390663199999999</v>
      </c>
      <c r="S63" s="55">
        <f>_xll.EQNXTDZ($A$1,$B63,S$1,$B$1)</f>
        <v>44.658345400000002</v>
      </c>
      <c r="T63" s="55">
        <f>_xll.EQNXTDZ($A$1,$B63,T$1,$B$1)</f>
        <v>51.266182299999997</v>
      </c>
      <c r="U63" s="55">
        <f>_xll.EQNXTDZ($A$1,$B63,U$1,$B$1)</f>
        <v>58.628999999999998</v>
      </c>
      <c r="V63" s="55">
        <f>_xll.EQNXTDZ($A$1,$B63,V$1,$B$1)</f>
        <v>71.459999999999994</v>
      </c>
      <c r="W63" s="55">
        <f>_xll.EQNXTDZ($A$1,$B63,W$1,$B$1)</f>
        <v>86.391000000000005</v>
      </c>
      <c r="X63" s="55">
        <f>_xll.EQNXTDZ($A$1,$B63,X$1,$B$1)</f>
        <v>109.471</v>
      </c>
      <c r="Y63" s="55">
        <f>_xll.EQNXTDZ($A$1,$B63,Y$1,$B$1)</f>
        <v>106.268</v>
      </c>
      <c r="Z63" s="55">
        <f>_xll.EQNXTDZ($A$1,$B63,Z$1,$B$1)</f>
        <v>128.58000000000001</v>
      </c>
      <c r="AA63" s="55">
        <f>_xll.EQNXTDZ($A$1,$B63,AA$1,$B$1)</f>
        <v>158.36199999999999</v>
      </c>
      <c r="AB63" s="55">
        <f>_xll.EQNXTDZ($A$1,$B63,AB$1,$B$1)</f>
        <v>201.482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18.830272699999998</v>
      </c>
      <c r="N65" s="55">
        <f>_xll.EQNXTDZ($A$1,$B65,N$1,$B$1)</f>
        <v>19.8438883</v>
      </c>
      <c r="O65" s="55">
        <f>_xll.EQNXTDZ($A$1,$B65,O$1,$B$1)</f>
        <v>20.2690181</v>
      </c>
      <c r="P65" s="55">
        <f>_xll.EQNXTDZ($A$1,$B65,P$1,$B$1)</f>
        <v>24.000510599999998</v>
      </c>
      <c r="Q65" s="55">
        <f>_xll.EQNXTDZ($A$1,$B65,Q$1,$B$1)</f>
        <v>34.805929900000002</v>
      </c>
      <c r="R65" s="55">
        <f>_xll.EQNXTDZ($A$1,$B65,R$1,$B$1)</f>
        <v>39.558404899999999</v>
      </c>
      <c r="S65" s="55">
        <f>_xll.EQNXTDZ($A$1,$B65,S$1,$B$1)</f>
        <v>42.086306700000002</v>
      </c>
      <c r="T65" s="55">
        <f>_xll.EQNXTDZ($A$1,$B65,T$1,$B$1)</f>
        <v>48.258420899999997</v>
      </c>
      <c r="U65" s="55">
        <f>_xll.EQNXTDZ($A$1,$B65,U$1,$B$1)</f>
        <v>48.271999999999998</v>
      </c>
      <c r="V65" s="55">
        <f>_xll.EQNXTDZ($A$1,$B65,V$1,$B$1)</f>
        <v>106.193</v>
      </c>
      <c r="W65" s="55">
        <f>_xll.EQNXTDZ($A$1,$B65,W$1,$B$1)</f>
        <v>185.624</v>
      </c>
      <c r="X65" s="55">
        <f>_xll.EQNXTDZ($A$1,$B65,X$1,$B$1)</f>
        <v>172.21100000000001</v>
      </c>
      <c r="Y65" s="55">
        <f>_xll.EQNXTDZ($A$1,$B65,Y$1,$B$1)</f>
        <v>160.95400000000001</v>
      </c>
      <c r="Z65" s="55">
        <f>_xll.EQNXTDZ($A$1,$B65,Z$1,$B$1)</f>
        <v>192.13399999999999</v>
      </c>
      <c r="AA65" s="55">
        <f>_xll.EQNXTDZ($A$1,$B65,AA$1,$B$1)</f>
        <v>345.935</v>
      </c>
      <c r="AB65" s="55">
        <f>_xll.EQNXTDZ($A$1,$B65,AB$1,$B$1)</f>
        <v>354.81200000000001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0.83392319999999998</v>
      </c>
      <c r="N67" s="55">
        <f>_xll.EQNXTDZ($A$1,$B67,N$1,$B$1)</f>
        <v>0</v>
      </c>
      <c r="O67" s="55">
        <f>_xll.EQNXTDZ($A$1,$B67,O$1,$B$1)</f>
        <v>2.8874400000000001E-2</v>
      </c>
      <c r="P67" s="55">
        <f>_xll.EQNXTDZ($A$1,$B67,P$1,$B$1)</f>
        <v>0.8427</v>
      </c>
      <c r="Q67" s="55">
        <f>_xll.EQNXTDZ($A$1,$B67,Q$1,$B$1)</f>
        <v>2.9571640000000001</v>
      </c>
      <c r="R67" s="55">
        <f>_xll.EQNXTDZ($A$1,$B67,R$1,$B$1)</f>
        <v>1.7425948</v>
      </c>
      <c r="S67" s="55">
        <f>_xll.EQNXTDZ($A$1,$B67,S$1,$B$1)</f>
        <v>2.0843799999999999E-2</v>
      </c>
      <c r="T67" s="55">
        <f>_xll.EQNXTDZ($A$1,$B67,T$1,$B$1)</f>
        <v>0</v>
      </c>
      <c r="U67" s="55">
        <f>_xll.EQNXTDZ($A$1,$B67,U$1,$B$1)</f>
        <v>1.028</v>
      </c>
      <c r="V67" s="55">
        <f>_xll.EQNXTDZ($A$1,$B67,V$1,$B$1)</f>
        <v>77.400000000000006</v>
      </c>
      <c r="W67" s="55">
        <f>_xll.EQNXTDZ($A$1,$B67,W$1,$B$1)</f>
        <v>2.3159999999999998</v>
      </c>
      <c r="X67" s="55">
        <f>_xll.EQNXTDZ($A$1,$B67,X$1,$B$1)</f>
        <v>3.391</v>
      </c>
      <c r="Y67" s="55">
        <f>_xll.EQNXTDZ($A$1,$B67,Y$1,$B$1)</f>
        <v>1.3340000000000001</v>
      </c>
      <c r="Z67" s="55">
        <f>_xll.EQNXTDZ($A$1,$B67,Z$1,$B$1)</f>
        <v>0.95099999999999996</v>
      </c>
      <c r="AA67" s="55">
        <f>_xll.EQNXTDZ($A$1,$B67,AA$1,$B$1)</f>
        <v>5.56</v>
      </c>
      <c r="AB67" s="55">
        <f>_xll.EQNXTDZ($A$1,$B67,AB$1,$B$1)</f>
        <v>2.1160000000000001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2.7425000000000002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3.0000000000000001E-3</v>
      </c>
      <c r="V71" s="55">
        <f>_xll.EQNXTDZ($A$1,$B71,V$1,$B$1)</f>
        <v>0.32200000000000001</v>
      </c>
      <c r="W71" s="55">
        <f>_xll.EQNXTDZ($A$1,$B71,W$1,$B$1)</f>
        <v>0.32200000000000001</v>
      </c>
      <c r="X71" s="55">
        <f>_xll.EQNXTDZ($A$1,$B71,X$1,$B$1)</f>
        <v>0.32200000000000001</v>
      </c>
      <c r="Y71" s="55">
        <f>_xll.EQNXTDZ($A$1,$B71,Y$1,$B$1)</f>
        <v>89.522000000000006</v>
      </c>
      <c r="Z71" s="55">
        <f>_xll.EQNXTDZ($A$1,$B71,Z$1,$B$1)</f>
        <v>66.212000000000003</v>
      </c>
      <c r="AA71" s="55">
        <f>_xll.EQNXTDZ($A$1,$B71,AA$1,$B$1)</f>
        <v>30.949000000000002</v>
      </c>
      <c r="AB71" s="55">
        <f>_xll.EQNXTDZ($A$1,$B71,AB$1,$B$1)</f>
        <v>10.233000000000001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1.1426158</v>
      </c>
      <c r="N72" s="55">
        <f>_xll.EQNXTDZ($A$1,$B72,N$1,$B$1)</f>
        <v>0.96345550000000002</v>
      </c>
      <c r="O72" s="55">
        <f>_xll.EQNXTDZ($A$1,$B72,O$1,$B$1)</f>
        <v>0.97809729999999995</v>
      </c>
      <c r="P72" s="55">
        <f>_xll.EQNXTDZ($A$1,$B72,P$1,$B$1)</f>
        <v>2.2955657999999999</v>
      </c>
      <c r="Q72" s="55">
        <f>_xll.EQNXTDZ($A$1,$B72,Q$1,$B$1)</f>
        <v>4.2815323999999997</v>
      </c>
      <c r="R72" s="55">
        <f>_xll.EQNXTDZ($A$1,$B72,R$1,$B$1)</f>
        <v>2.8525271999999999</v>
      </c>
      <c r="S72" s="55">
        <f>_xll.EQNXTDZ($A$1,$B72,S$1,$B$1)</f>
        <v>2.3121445999999999</v>
      </c>
      <c r="T72" s="55">
        <f>_xll.EQNXTDZ($A$1,$B72,T$1,$B$1)</f>
        <v>9.9615832999999991</v>
      </c>
      <c r="U72" s="55">
        <f>_xll.EQNXTDZ($A$1,$B72,U$1,$B$1)</f>
        <v>9.7119999999999997</v>
      </c>
      <c r="V72" s="55">
        <f>_xll.EQNXTDZ($A$1,$B72,V$1,$B$1)</f>
        <v>15.366</v>
      </c>
      <c r="W72" s="55">
        <f>_xll.EQNXTDZ($A$1,$B72,W$1,$B$1)</f>
        <v>7.0030000000000001</v>
      </c>
      <c r="X72" s="55">
        <f>_xll.EQNXTDZ($A$1,$B72,X$1,$B$1)</f>
        <v>4.9180000000000001</v>
      </c>
      <c r="Y72" s="55">
        <f>_xll.EQNXTDZ($A$1,$B72,Y$1,$B$1)</f>
        <v>6.2629999999999999</v>
      </c>
      <c r="Z72" s="55">
        <f>_xll.EQNXTDZ($A$1,$B72,Z$1,$B$1)</f>
        <v>12.016999999999999</v>
      </c>
      <c r="AA72" s="55">
        <f>_xll.EQNXTDZ($A$1,$B72,AA$1,$B$1)</f>
        <v>16.344999999999999</v>
      </c>
      <c r="AB72" s="55">
        <f>_xll.EQNXTDZ($A$1,$B72,AB$1,$B$1)</f>
        <v>39.472000000000001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6.2430000000000003</v>
      </c>
      <c r="V73" s="55">
        <f>_xll.EQNXTDZ($A$1,$B73,V$1,$B$1)</f>
        <v>0</v>
      </c>
      <c r="W73" s="55">
        <f>_xll.EQNXTDZ($A$1,$B73,W$1,$B$1)</f>
        <v>1.76</v>
      </c>
      <c r="X73" s="55">
        <f>_xll.EQNXTDZ($A$1,$B73,X$1,$B$1)</f>
        <v>0.27600000000000002</v>
      </c>
      <c r="Y73" s="55">
        <f>_xll.EQNXTDZ($A$1,$B73,Y$1,$B$1)</f>
        <v>1.5780000000000001</v>
      </c>
      <c r="Z73" s="55">
        <f>_xll.EQNXTDZ($A$1,$B73,Z$1,$B$1)</f>
        <v>0.185</v>
      </c>
      <c r="AA73" s="55">
        <f>_xll.EQNXTDZ($A$1,$B73,AA$1,$B$1)</f>
        <v>0.24399999999999999</v>
      </c>
      <c r="AB73" s="55">
        <f>_xll.EQNXTDZ($A$1,$B73,AB$1,$B$1)</f>
        <v>0.26700000000000002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20.806811700000001</v>
      </c>
      <c r="N74" s="55">
        <f>_xll.EQNXTDZ($A$1,$B74,N$1,$B$1)</f>
        <v>20.807343800000002</v>
      </c>
      <c r="O74" s="55">
        <f>_xll.EQNXTDZ($A$1,$B74,O$1,$B$1)</f>
        <v>21.275989800000001</v>
      </c>
      <c r="P74" s="55">
        <f>_xll.EQNXTDZ($A$1,$B74,P$1,$B$1)</f>
        <v>29.881276400000001</v>
      </c>
      <c r="Q74" s="55">
        <f>_xll.EQNXTDZ($A$1,$B74,Q$1,$B$1)</f>
        <v>42.044626299999997</v>
      </c>
      <c r="R74" s="55">
        <f>_xll.EQNXTDZ($A$1,$B74,R$1,$B$1)</f>
        <v>44.153526900000003</v>
      </c>
      <c r="S74" s="55">
        <f>_xll.EQNXTDZ($A$1,$B74,S$1,$B$1)</f>
        <v>44.419295099999999</v>
      </c>
      <c r="T74" s="55">
        <f>_xll.EQNXTDZ($A$1,$B74,T$1,$B$1)</f>
        <v>58.220004199999998</v>
      </c>
      <c r="U74" s="55">
        <f>_xll.EQNXTDZ($A$1,$B74,U$1,$B$1)</f>
        <v>65.257999999999996</v>
      </c>
      <c r="V74" s="55">
        <f>_xll.EQNXTDZ($A$1,$B74,V$1,$B$1)</f>
        <v>199.28100000000001</v>
      </c>
      <c r="W74" s="55">
        <f>_xll.EQNXTDZ($A$1,$B74,W$1,$B$1)</f>
        <v>197.02500000000001</v>
      </c>
      <c r="X74" s="55">
        <f>_xll.EQNXTDZ($A$1,$B74,X$1,$B$1)</f>
        <v>181.11799999999999</v>
      </c>
      <c r="Y74" s="55">
        <f>_xll.EQNXTDZ($A$1,$B74,Y$1,$B$1)</f>
        <v>259.65100000000001</v>
      </c>
      <c r="Z74" s="55">
        <f>_xll.EQNXTDZ($A$1,$B74,Z$1,$B$1)</f>
        <v>271.49900000000002</v>
      </c>
      <c r="AA74" s="55">
        <f>_xll.EQNXTDZ($A$1,$B74,AA$1,$B$1)</f>
        <v>399.03300000000002</v>
      </c>
      <c r="AB74" s="55">
        <f>_xll.EQNXTDZ($A$1,$B74,AB$1,$B$1)</f>
        <v>406.9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2.5000000000000001E-3</v>
      </c>
      <c r="T75" s="55">
        <f>_xll.EQNXTDZ($A$1,$B75,T$1,$B$1)</f>
        <v>2.5000000000000001E-3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20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32.411741599999999</v>
      </c>
      <c r="N76" s="55">
        <f>_xll.EQNXTDZ($A$1,$B76,N$1,$B$1)</f>
        <v>38.231341100000002</v>
      </c>
      <c r="O76" s="55">
        <f>_xll.EQNXTDZ($A$1,$B76,O$1,$B$1)</f>
        <v>34.5914322</v>
      </c>
      <c r="P76" s="55">
        <f>_xll.EQNXTDZ($A$1,$B76,P$1,$B$1)</f>
        <v>108.43305580000001</v>
      </c>
      <c r="Q76" s="55">
        <f>_xll.EQNXTDZ($A$1,$B76,Q$1,$B$1)</f>
        <v>60.606354899999999</v>
      </c>
      <c r="R76" s="55">
        <f>_xll.EQNXTDZ($A$1,$B76,R$1,$B$1)</f>
        <v>97.857988399999996</v>
      </c>
      <c r="S76" s="55">
        <f>_xll.EQNXTDZ($A$1,$B76,S$1,$B$1)</f>
        <v>93.460496399999997</v>
      </c>
      <c r="T76" s="55">
        <f>_xll.EQNXTDZ($A$1,$B76,T$1,$B$1)</f>
        <v>122.1668727</v>
      </c>
      <c r="U76" s="55">
        <f>_xll.EQNXTDZ($A$1,$B76,U$1,$B$1)</f>
        <v>178.934</v>
      </c>
      <c r="V76" s="55">
        <f>_xll.EQNXTDZ($A$1,$B76,V$1,$B$1)</f>
        <v>222.577</v>
      </c>
      <c r="W76" s="55">
        <f>_xll.EQNXTDZ($A$1,$B76,W$1,$B$1)</f>
        <v>155.447</v>
      </c>
      <c r="X76" s="55">
        <f>_xll.EQNXTDZ($A$1,$B76,X$1,$B$1)</f>
        <v>269.56200000000001</v>
      </c>
      <c r="Y76" s="55">
        <f>_xll.EQNXTDZ($A$1,$B76,Y$1,$B$1)</f>
        <v>425.08300000000003</v>
      </c>
      <c r="Z76" s="55">
        <f>_xll.EQNXTDZ($A$1,$B76,Z$1,$B$1)</f>
        <v>464.21899999999999</v>
      </c>
      <c r="AA76" s="55">
        <f>_xll.EQNXTDZ($A$1,$B76,AA$1,$B$1)</f>
        <v>571.27300000000002</v>
      </c>
      <c r="AB76" s="55">
        <f>_xll.EQNXTDZ($A$1,$B76,AB$1,$B$1)</f>
        <v>647.33199999999999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22.972111900000002</v>
      </c>
      <c r="N77" s="55">
        <f>_xll.EQNXTDZ($A$1,$B77,N$1,$B$1)</f>
        <v>24.5773732</v>
      </c>
      <c r="O77" s="55">
        <f>_xll.EQNXTDZ($A$1,$B77,O$1,$B$1)</f>
        <v>28.666715199999999</v>
      </c>
      <c r="P77" s="55">
        <f>_xll.EQNXTDZ($A$1,$B77,P$1,$B$1)</f>
        <v>64.736053699999999</v>
      </c>
      <c r="Q77" s="55">
        <f>_xll.EQNXTDZ($A$1,$B77,Q$1,$B$1)</f>
        <v>33.916030300000003</v>
      </c>
      <c r="R77" s="55">
        <f>_xll.EQNXTDZ($A$1,$B77,R$1,$B$1)</f>
        <v>66.302238700000004</v>
      </c>
      <c r="S77" s="55">
        <f>_xll.EQNXTDZ($A$1,$B77,S$1,$B$1)</f>
        <v>99.679623000000007</v>
      </c>
      <c r="T77" s="55">
        <f>_xll.EQNXTDZ($A$1,$B77,T$1,$B$1)</f>
        <v>137.52178610000001</v>
      </c>
      <c r="U77" s="55">
        <f>_xll.EQNXTDZ($A$1,$B77,U$1,$B$1)</f>
        <v>119.67</v>
      </c>
      <c r="V77" s="55">
        <f>_xll.EQNXTDZ($A$1,$B77,V$1,$B$1)</f>
        <v>54.585000000000001</v>
      </c>
      <c r="W77" s="55">
        <f>_xll.EQNXTDZ($A$1,$B77,W$1,$B$1)</f>
        <v>226.38300000000001</v>
      </c>
      <c r="X77" s="55">
        <f>_xll.EQNXTDZ($A$1,$B77,X$1,$B$1)</f>
        <v>152.32499999999999</v>
      </c>
      <c r="Y77" s="55">
        <f>_xll.EQNXTDZ($A$1,$B77,Y$1,$B$1)</f>
        <v>161.74799999999999</v>
      </c>
      <c r="Z77" s="55">
        <f>_xll.EQNXTDZ($A$1,$B77,Z$1,$B$1)</f>
        <v>225.869</v>
      </c>
      <c r="AA77" s="55">
        <f>_xll.EQNXTDZ($A$1,$B77,AA$1,$B$1)</f>
        <v>347.39699999999999</v>
      </c>
      <c r="AB77" s="55">
        <f>_xll.EQNXTDZ($A$1,$B77,AB$1,$B$1)</f>
        <v>307.31200000000001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2.3495382</v>
      </c>
      <c r="N78" s="55">
        <f>_xll.EQNXTDZ($A$1,$B78,N$1,$B$1)</f>
        <v>5.1020925000000004</v>
      </c>
      <c r="O78" s="55">
        <f>_xll.EQNXTDZ($A$1,$B78,O$1,$B$1)</f>
        <v>4.1946263999999998</v>
      </c>
      <c r="P78" s="55">
        <f>_xll.EQNXTDZ($A$1,$B78,P$1,$B$1)</f>
        <v>78.335263699999999</v>
      </c>
      <c r="Q78" s="55">
        <f>_xll.EQNXTDZ($A$1,$B78,Q$1,$B$1)</f>
        <v>53.461933100000003</v>
      </c>
      <c r="R78" s="55">
        <f>_xll.EQNXTDZ($A$1,$B78,R$1,$B$1)</f>
        <v>33.826113900000003</v>
      </c>
      <c r="S78" s="55">
        <f>_xll.EQNXTDZ($A$1,$B78,S$1,$B$1)</f>
        <v>23.550386199999998</v>
      </c>
      <c r="T78" s="55">
        <f>_xll.EQNXTDZ($A$1,$B78,T$1,$B$1)</f>
        <v>13.4700788</v>
      </c>
      <c r="U78" s="55">
        <f>_xll.EQNXTDZ($A$1,$B78,U$1,$B$1)</f>
        <v>59.640999999999998</v>
      </c>
      <c r="V78" s="55">
        <f>_xll.EQNXTDZ($A$1,$B78,V$1,$B$1)</f>
        <v>66.144999999999996</v>
      </c>
      <c r="W78" s="55">
        <f>_xll.EQNXTDZ($A$1,$B78,W$1,$B$1)</f>
        <v>34.176000000000002</v>
      </c>
      <c r="X78" s="55">
        <f>_xll.EQNXTDZ($A$1,$B78,X$1,$B$1)</f>
        <v>121.80800000000001</v>
      </c>
      <c r="Y78" s="55">
        <f>_xll.EQNXTDZ($A$1,$B78,Y$1,$B$1)</f>
        <v>167.601</v>
      </c>
      <c r="Z78" s="55">
        <f>_xll.EQNXTDZ($A$1,$B78,Z$1,$B$1)</f>
        <v>536.58699999999999</v>
      </c>
      <c r="AA78" s="55">
        <f>_xll.EQNXTDZ($A$1,$B78,AA$1,$B$1)</f>
        <v>287.78199999999998</v>
      </c>
      <c r="AB78" s="55">
        <f>_xll.EQNXTDZ($A$1,$B78,AB$1,$B$1)</f>
        <v>125.8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0.69475290000000001</v>
      </c>
      <c r="N79" s="55">
        <f>_xll.EQNXTDZ($A$1,$B79,N$1,$B$1)</f>
        <v>0.4326796</v>
      </c>
      <c r="O79" s="55">
        <f>_xll.EQNXTDZ($A$1,$B79,O$1,$B$1)</f>
        <v>0.85410299999999995</v>
      </c>
      <c r="P79" s="55">
        <f>_xll.EQNXTDZ($A$1,$B79,P$1,$B$1)</f>
        <v>3.7029336000000002</v>
      </c>
      <c r="Q79" s="55">
        <f>_xll.EQNXTDZ($A$1,$B79,Q$1,$B$1)</f>
        <v>1.4744581999999999</v>
      </c>
      <c r="R79" s="55">
        <f>_xll.EQNXTDZ($A$1,$B79,R$1,$B$1)</f>
        <v>0.84082829999999997</v>
      </c>
      <c r="S79" s="55">
        <f>_xll.EQNXTDZ($A$1,$B79,S$1,$B$1)</f>
        <v>2.7253096999999999</v>
      </c>
      <c r="T79" s="55">
        <f>_xll.EQNXTDZ($A$1,$B79,T$1,$B$1)</f>
        <v>0.99938660000000001</v>
      </c>
      <c r="U79" s="55">
        <f>_xll.EQNXTDZ($A$1,$B79,U$1,$B$1)</f>
        <v>3.9470000000000001</v>
      </c>
      <c r="V79" s="55">
        <f>_xll.EQNXTDZ($A$1,$B79,V$1,$B$1)</f>
        <v>5.5030000000000001</v>
      </c>
      <c r="W79" s="55">
        <f>_xll.EQNXTDZ($A$1,$B79,W$1,$B$1)</f>
        <v>8.9719999999999995</v>
      </c>
      <c r="X79" s="55">
        <f>_xll.EQNXTDZ($A$1,$B79,X$1,$B$1)</f>
        <v>5.3840000000000003</v>
      </c>
      <c r="Y79" s="55">
        <f>_xll.EQNXTDZ($A$1,$B79,Y$1,$B$1)</f>
        <v>15.897</v>
      </c>
      <c r="Z79" s="55">
        <f>_xll.EQNXTDZ($A$1,$B79,Z$1,$B$1)</f>
        <v>30.138999999999999</v>
      </c>
      <c r="AA79" s="55">
        <f>_xll.EQNXTDZ($A$1,$B79,AA$1,$B$1)</f>
        <v>12.308</v>
      </c>
      <c r="AB79" s="55">
        <f>_xll.EQNXTDZ($A$1,$B79,AB$1,$B$1)</f>
        <v>6.194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4.3640553000000004</v>
      </c>
      <c r="N80" s="55">
        <f>_xll.EQNXTDZ($A$1,$B80,N$1,$B$1)</f>
        <v>6.1084059000000002</v>
      </c>
      <c r="O80" s="55">
        <f>_xll.EQNXTDZ($A$1,$B80,O$1,$B$1)</f>
        <v>7.1153931999999998</v>
      </c>
      <c r="P80" s="55">
        <f>_xll.EQNXTDZ($A$1,$B80,P$1,$B$1)</f>
        <v>9.1027190000000004</v>
      </c>
      <c r="Q80" s="55">
        <f>_xll.EQNXTDZ($A$1,$B80,Q$1,$B$1)</f>
        <v>8.9032330999999996</v>
      </c>
      <c r="R80" s="55">
        <f>_xll.EQNXTDZ($A$1,$B80,R$1,$B$1)</f>
        <v>12.807979100000001</v>
      </c>
      <c r="S80" s="55">
        <f>_xll.EQNXTDZ($A$1,$B80,S$1,$B$1)</f>
        <v>8.3784948000000004</v>
      </c>
      <c r="T80" s="55">
        <f>_xll.EQNXTDZ($A$1,$B80,T$1,$B$1)</f>
        <v>11.539888400000001</v>
      </c>
      <c r="U80" s="55">
        <f>_xll.EQNXTDZ($A$1,$B80,U$1,$B$1)</f>
        <v>33.768000000000001</v>
      </c>
      <c r="V80" s="55">
        <f>_xll.EQNXTDZ($A$1,$B80,V$1,$B$1)</f>
        <v>39.204999999999998</v>
      </c>
      <c r="W80" s="55">
        <f>_xll.EQNXTDZ($A$1,$B80,W$1,$B$1)</f>
        <v>17.942</v>
      </c>
      <c r="X80" s="55">
        <f>_xll.EQNXTDZ($A$1,$B80,X$1,$B$1)</f>
        <v>42.819000000000003</v>
      </c>
      <c r="Y80" s="55">
        <f>_xll.EQNXTDZ($A$1,$B80,Y$1,$B$1)</f>
        <v>69.358999999999995</v>
      </c>
      <c r="Z80" s="55">
        <f>_xll.EQNXTDZ($A$1,$B80,Z$1,$B$1)</f>
        <v>69.096999999999994</v>
      </c>
      <c r="AA80" s="55">
        <f>_xll.EQNXTDZ($A$1,$B80,AA$1,$B$1)</f>
        <v>62.906999999999996</v>
      </c>
      <c r="AB80" s="55">
        <f>_xll.EQNXTDZ($A$1,$B80,AB$1,$B$1)</f>
        <v>115.663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62.7921999</v>
      </c>
      <c r="N82" s="55">
        <f>_xll.EQNXTDZ($A$1,$B82,N$1,$B$1)</f>
        <v>74.451892299999997</v>
      </c>
      <c r="O82" s="55">
        <f>_xll.EQNXTDZ($A$1,$B82,O$1,$B$1)</f>
        <v>75.422269999999997</v>
      </c>
      <c r="P82" s="55">
        <f>_xll.EQNXTDZ($A$1,$B82,P$1,$B$1)</f>
        <v>264.31002580000001</v>
      </c>
      <c r="Q82" s="55">
        <f>_xll.EQNXTDZ($A$1,$B82,Q$1,$B$1)</f>
        <v>158.36200959999999</v>
      </c>
      <c r="R82" s="55">
        <f>_xll.EQNXTDZ($A$1,$B82,R$1,$B$1)</f>
        <v>211.63514839999999</v>
      </c>
      <c r="S82" s="55">
        <f>_xll.EQNXTDZ($A$1,$B82,S$1,$B$1)</f>
        <v>227.79681009999999</v>
      </c>
      <c r="T82" s="55">
        <f>_xll.EQNXTDZ($A$1,$B82,T$1,$B$1)</f>
        <v>285.70051260000002</v>
      </c>
      <c r="U82" s="55">
        <f>_xll.EQNXTDZ($A$1,$B82,U$1,$B$1)</f>
        <v>395.96</v>
      </c>
      <c r="V82" s="55">
        <f>_xll.EQNXTDZ($A$1,$B82,V$1,$B$1)</f>
        <v>388.01499999999999</v>
      </c>
      <c r="W82" s="55">
        <f>_xll.EQNXTDZ($A$1,$B82,W$1,$B$1)</f>
        <v>442.92</v>
      </c>
      <c r="X82" s="55">
        <f>_xll.EQNXTDZ($A$1,$B82,X$1,$B$1)</f>
        <v>591.89800000000002</v>
      </c>
      <c r="Y82" s="55">
        <f>_xll.EQNXTDZ($A$1,$B82,Y$1,$B$1)</f>
        <v>839.68799999999999</v>
      </c>
      <c r="Z82" s="55">
        <f>_xll.EQNXTDZ($A$1,$B82,Z$1,$B$1)</f>
        <v>1325.9110000000001</v>
      </c>
      <c r="AA82" s="55">
        <f>_xll.EQNXTDZ($A$1,$B82,AA$1,$B$1)</f>
        <v>1281.6669999999999</v>
      </c>
      <c r="AB82" s="55">
        <f>_xll.EQNXTDZ($A$1,$B82,AB$1,$B$1)</f>
        <v>1222.3009999999999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83.599011599999997</v>
      </c>
      <c r="N84" s="55">
        <f>_xll.EQNXTDZ($A$1,$B84,N$1,$B$1)</f>
        <v>95.259236099999995</v>
      </c>
      <c r="O84" s="55">
        <f>_xll.EQNXTDZ($A$1,$B84,O$1,$B$1)</f>
        <v>96.698259800000002</v>
      </c>
      <c r="P84" s="55">
        <f>_xll.EQNXTDZ($A$1,$B84,P$1,$B$1)</f>
        <v>294.1913022</v>
      </c>
      <c r="Q84" s="55">
        <f>_xll.EQNXTDZ($A$1,$B84,Q$1,$B$1)</f>
        <v>200.4066359</v>
      </c>
      <c r="R84" s="55">
        <f>_xll.EQNXTDZ($A$1,$B84,R$1,$B$1)</f>
        <v>255.78867529999999</v>
      </c>
      <c r="S84" s="55">
        <f>_xll.EQNXTDZ($A$1,$B84,S$1,$B$1)</f>
        <v>272.21610520000002</v>
      </c>
      <c r="T84" s="55">
        <f>_xll.EQNXTDZ($A$1,$B84,T$1,$B$1)</f>
        <v>343.92051679999997</v>
      </c>
      <c r="U84" s="55">
        <f>_xll.EQNXTDZ($A$1,$B84,U$1,$B$1)</f>
        <v>461.21800000000002</v>
      </c>
      <c r="V84" s="55">
        <f>_xll.EQNXTDZ($A$1,$B84,V$1,$B$1)</f>
        <v>587.29600000000005</v>
      </c>
      <c r="W84" s="55">
        <f>_xll.EQNXTDZ($A$1,$B84,W$1,$B$1)</f>
        <v>639.94500000000005</v>
      </c>
      <c r="X84" s="55">
        <f>_xll.EQNXTDZ($A$1,$B84,X$1,$B$1)</f>
        <v>773.01599999999996</v>
      </c>
      <c r="Y84" s="55">
        <f>_xll.EQNXTDZ($A$1,$B84,Y$1,$B$1)</f>
        <v>1099.3389999999999</v>
      </c>
      <c r="Z84" s="55">
        <f>_xll.EQNXTDZ($A$1,$B84,Z$1,$B$1)</f>
        <v>1597.41</v>
      </c>
      <c r="AA84" s="55">
        <f>_xll.EQNXTDZ($A$1,$B84,AA$1,$B$1)</f>
        <v>1680.7</v>
      </c>
      <c r="AB84" s="55">
        <f>_xll.EQNXTDZ($A$1,$B84,AB$1,$B$1)</f>
        <v>1629.201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14.729619</v>
      </c>
      <c r="N85" s="55">
        <f>_xll.EQNXTDZ($A$1,$B85,N$1,$B$1)</f>
        <v>22.743246599999999</v>
      </c>
      <c r="O85" s="55">
        <f>_xll.EQNXTDZ($A$1,$B85,O$1,$B$1)</f>
        <v>95.376068900000007</v>
      </c>
      <c r="P85" s="55">
        <f>_xll.EQNXTDZ($A$1,$B85,P$1,$B$1)</f>
        <v>117.5585339</v>
      </c>
      <c r="Q85" s="55">
        <f>_xll.EQNXTDZ($A$1,$B85,Q$1,$B$1)</f>
        <v>93.797779899999995</v>
      </c>
      <c r="R85" s="55">
        <f>_xll.EQNXTDZ($A$1,$B85,R$1,$B$1)</f>
        <v>15.3188265</v>
      </c>
      <c r="S85" s="55">
        <f>_xll.EQNXTDZ($A$1,$B85,S$1,$B$1)</f>
        <v>13.4069159</v>
      </c>
      <c r="T85" s="55">
        <f>_xll.EQNXTDZ($A$1,$B85,T$1,$B$1)</f>
        <v>6.8560141999999997</v>
      </c>
      <c r="U85" s="55">
        <f>_xll.EQNXTDZ($A$1,$B85,U$1,$B$1)</f>
        <v>3.5750000000000002</v>
      </c>
      <c r="V85" s="55">
        <f>_xll.EQNXTDZ($A$1,$B85,V$1,$B$1)</f>
        <v>2.8660000000000001</v>
      </c>
      <c r="W85" s="55">
        <f>_xll.EQNXTDZ($A$1,$B85,W$1,$B$1)</f>
        <v>0.77900000000000003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3.0303146000000001</v>
      </c>
      <c r="R86" s="55">
        <f>_xll.EQNXTDZ($A$1,$B86,R$1,$B$1)</f>
        <v>3.0303146000000001</v>
      </c>
      <c r="S86" s="55">
        <f>_xll.EQNXTDZ($A$1,$B86,S$1,$B$1)</f>
        <v>3.0303146000000001</v>
      </c>
      <c r="T86" s="55">
        <f>_xll.EQNXTDZ($A$1,$B86,T$1,$B$1)</f>
        <v>3.0303146000000001</v>
      </c>
      <c r="U86" s="55">
        <f>_xll.EQNXTDZ($A$1,$B86,U$1,$B$1)</f>
        <v>3.03</v>
      </c>
      <c r="V86" s="55">
        <f>_xll.EQNXTDZ($A$1,$B86,V$1,$B$1)</f>
        <v>3.03</v>
      </c>
      <c r="W86" s="55">
        <f>_xll.EQNXTDZ($A$1,$B86,W$1,$B$1)</f>
        <v>3.03</v>
      </c>
      <c r="X86" s="55">
        <f>_xll.EQNXTDZ($A$1,$B86,X$1,$B$1)</f>
        <v>3.03</v>
      </c>
      <c r="Y86" s="55">
        <f>_xll.EQNXTDZ($A$1,$B86,Y$1,$B$1)</f>
        <v>3.03</v>
      </c>
      <c r="Z86" s="55">
        <f>_xll.EQNXTDZ($A$1,$B86,Z$1,$B$1)</f>
        <v>3.03</v>
      </c>
      <c r="AA86" s="55">
        <f>_xll.EQNXTDZ($A$1,$B86,AA$1,$B$1)</f>
        <v>68.063999999999993</v>
      </c>
      <c r="AB86" s="55">
        <f>_xll.EQNXTDZ($A$1,$B86,AB$1,$B$1)</f>
        <v>74.876999999999995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4.1954190000000002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3.4565999999999999</v>
      </c>
      <c r="O88" s="55">
        <f>_xll.EQNXTDZ($A$1,$B88,O$1,$B$1)</f>
        <v>4.2210000000000001</v>
      </c>
      <c r="P88" s="55">
        <f>_xll.EQNXTDZ($A$1,$B88,P$1,$B$1)</f>
        <v>3.46</v>
      </c>
      <c r="Q88" s="55">
        <f>_xll.EQNXTDZ($A$1,$B88,Q$1,$B$1)</f>
        <v>3.7523730999999998</v>
      </c>
      <c r="R88" s="55">
        <f>_xll.EQNXTDZ($A$1,$B88,R$1,$B$1)</f>
        <v>2.9555015999999998</v>
      </c>
      <c r="S88" s="55">
        <f>_xll.EQNXTDZ($A$1,$B88,S$1,$B$1)</f>
        <v>4.1960220000000001</v>
      </c>
      <c r="T88" s="55">
        <f>_xll.EQNXTDZ($A$1,$B88,T$1,$B$1)</f>
        <v>5.5902757000000003</v>
      </c>
      <c r="U88" s="55">
        <f>_xll.EQNXTDZ($A$1,$B88,U$1,$B$1)</f>
        <v>3.79</v>
      </c>
      <c r="V88" s="55">
        <f>_xll.EQNXTDZ($A$1,$B88,V$1,$B$1)</f>
        <v>12.954000000000001</v>
      </c>
      <c r="W88" s="55">
        <f>_xll.EQNXTDZ($A$1,$B88,W$1,$B$1)</f>
        <v>35.563000000000002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24.890999999999998</v>
      </c>
      <c r="AA88" s="55">
        <f>_xll.EQNXTDZ($A$1,$B88,AA$1,$B$1)</f>
        <v>29.263000000000002</v>
      </c>
      <c r="AB88" s="55">
        <f>_xll.EQNXTDZ($A$1,$B88,AB$1,$B$1)</f>
        <v>28.3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3.0303146000000001</v>
      </c>
      <c r="R91" s="55">
        <f>_xll.EQNXTDZ($A$1,$B91,R$1,$B$1)</f>
        <v>3.0303146000000001</v>
      </c>
      <c r="S91" s="55">
        <f>_xll.EQNXTDZ($A$1,$B91,S$1,$B$1)</f>
        <v>3.0303146000000001</v>
      </c>
      <c r="T91" s="55">
        <f>_xll.EQNXTDZ($A$1,$B91,T$1,$B$1)</f>
        <v>3.0303146000000001</v>
      </c>
      <c r="U91" s="55">
        <f>_xll.EQNXTDZ($A$1,$B91,U$1,$B$1)</f>
        <v>3.03</v>
      </c>
      <c r="V91" s="55">
        <f>_xll.EQNXTDZ($A$1,$B91,V$1,$B$1)</f>
        <v>3.03</v>
      </c>
      <c r="W91" s="55">
        <f>_xll.EQNXTDZ($A$1,$B91,W$1,$B$1)</f>
        <v>3.03</v>
      </c>
      <c r="X91" s="55">
        <f>_xll.EQNXTDZ($A$1,$B91,X$1,$B$1)</f>
        <v>3.03</v>
      </c>
      <c r="Y91" s="55">
        <f>_xll.EQNXTDZ($A$1,$B91,Y$1,$B$1)</f>
        <v>3.03</v>
      </c>
      <c r="Z91" s="55">
        <f>_xll.EQNXTDZ($A$1,$B91,Z$1,$B$1)</f>
        <v>3.03</v>
      </c>
      <c r="AA91" s="55">
        <f>_xll.EQNXTDZ($A$1,$B91,AA$1,$B$1)</f>
        <v>68.063999999999993</v>
      </c>
      <c r="AB91" s="55">
        <f>_xll.EQNXTDZ($A$1,$B91,AB$1,$B$1)</f>
        <v>74.876999999999995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11.0552698</v>
      </c>
      <c r="Q93" s="55">
        <f>_xll.EQNXTDZ($A$1,$B93,Q$1,$B$1)</f>
        <v>13.454852199999999</v>
      </c>
      <c r="R93" s="55">
        <f>_xll.EQNXTDZ($A$1,$B93,R$1,$B$1)</f>
        <v>15.3188265</v>
      </c>
      <c r="S93" s="55">
        <f>_xll.EQNXTDZ($A$1,$B93,S$1,$B$1)</f>
        <v>13.4069159</v>
      </c>
      <c r="T93" s="55">
        <f>_xll.EQNXTDZ($A$1,$B93,T$1,$B$1)</f>
        <v>6.8560141999999997</v>
      </c>
      <c r="U93" s="55">
        <f>_xll.EQNXTDZ($A$1,$B93,U$1,$B$1)</f>
        <v>3.5750000000000002</v>
      </c>
      <c r="V93" s="55">
        <f>_xll.EQNXTDZ($A$1,$B93,V$1,$B$1)</f>
        <v>2.8660000000000001</v>
      </c>
      <c r="W93" s="55">
        <f>_xll.EQNXTDZ($A$1,$B93,W$1,$B$1)</f>
        <v>0.77900000000000003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2.9525115</v>
      </c>
      <c r="N95" s="55">
        <f>_xll.EQNXTDZ($A$1,$B95,N$1,$B$1)</f>
        <v>8.6744660000000007</v>
      </c>
      <c r="O95" s="55">
        <f>_xll.EQNXTDZ($A$1,$B95,O$1,$B$1)</f>
        <v>85.354010700000003</v>
      </c>
      <c r="P95" s="55">
        <f>_xll.EQNXTDZ($A$1,$B95,P$1,$B$1)</f>
        <v>104.98525480000001</v>
      </c>
      <c r="Q95" s="55">
        <f>_xll.EQNXTDZ($A$1,$B95,Q$1,$B$1)</f>
        <v>80.342927700000004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11.7771075</v>
      </c>
      <c r="N98" s="55">
        <f>_xll.EQNXTDZ($A$1,$B98,N$1,$B$1)</f>
        <v>14.0687806</v>
      </c>
      <c r="O98" s="55">
        <f>_xll.EQNXTDZ($A$1,$B98,O$1,$B$1)</f>
        <v>10.0220582</v>
      </c>
      <c r="P98" s="55">
        <f>_xll.EQNXTDZ($A$1,$B98,P$1,$B$1)</f>
        <v>1.5180092999999999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1.367</v>
      </c>
      <c r="N104" s="55">
        <f>_xll.EQNXTDZ($A$1,$B104,N$1,$B$1)</f>
        <v>1.367</v>
      </c>
      <c r="O104" s="55">
        <f>_xll.EQNXTDZ($A$1,$B104,O$1,$B$1)</f>
        <v>1.367</v>
      </c>
      <c r="P104" s="55">
        <f>_xll.EQNXTDZ($A$1,$B104,P$1,$B$1)</f>
        <v>1.367</v>
      </c>
      <c r="Q104" s="55">
        <f>_xll.EQNXTDZ($A$1,$B104,Q$1,$B$1)</f>
        <v>1.367</v>
      </c>
      <c r="R104" s="55">
        <f>_xll.EQNXTDZ($A$1,$B104,R$1,$B$1)</f>
        <v>1.367</v>
      </c>
      <c r="S104" s="55">
        <f>_xll.EQNXTDZ($A$1,$B104,S$1,$B$1)</f>
        <v>1.367</v>
      </c>
      <c r="T104" s="55">
        <f>_xll.EQNXTDZ($A$1,$B104,T$1,$B$1)</f>
        <v>1.367</v>
      </c>
      <c r="U104" s="55">
        <f>_xll.EQNXTDZ($A$1,$B104,U$1,$B$1)</f>
        <v>1.367</v>
      </c>
      <c r="V104" s="55">
        <f>_xll.EQNXTDZ($A$1,$B104,V$1,$B$1)</f>
        <v>1.367</v>
      </c>
      <c r="W104" s="55">
        <f>_xll.EQNXTDZ($A$1,$B104,W$1,$B$1)</f>
        <v>1.367</v>
      </c>
      <c r="X104" s="55">
        <f>_xll.EQNXTDZ($A$1,$B104,X$1,$B$1)</f>
        <v>1.367</v>
      </c>
      <c r="Y104" s="55">
        <f>_xll.EQNXTDZ($A$1,$B104,Y$1,$B$1)</f>
        <v>52.866</v>
      </c>
      <c r="Z104" s="55">
        <f>_xll.EQNXTDZ($A$1,$B104,Z$1,$B$1)</f>
        <v>79.305999999999997</v>
      </c>
      <c r="AA104" s="55">
        <f>_xll.EQNXTDZ($A$1,$B104,AA$1,$B$1)</f>
        <v>79.305999999999997</v>
      </c>
      <c r="AB104" s="55">
        <f>_xll.EQNXTDZ($A$1,$B104,AB$1,$B$1)</f>
        <v>79.364000000000004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720.2</v>
      </c>
      <c r="AA106" s="55">
        <f>_xll.EQNXTDZ($A$1,$B106,AA$1,$B$1)</f>
        <v>457.15</v>
      </c>
      <c r="AB106" s="55">
        <f>_xll.EQNXTDZ($A$1,$B106,AB$1,$B$1)</f>
        <v>272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882.9</v>
      </c>
      <c r="AA107" s="55">
        <f>_xll.EQNXTDZ($A$1,$B107,AA$1,$B$1)</f>
        <v>872.55</v>
      </c>
      <c r="AB107" s="55">
        <f>_xll.EQNXTDZ($A$1,$B107,AB$1,$B$1)</f>
        <v>541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401</v>
      </c>
      <c r="AA108" s="55">
        <f>_xll.EQNXTDZ($A$1,$B108,AA$1,$B$1)</f>
        <v>380.5</v>
      </c>
      <c r="AB108" s="55">
        <f>_xll.EQNXTDZ($A$1,$B108,AB$1,$B$1)</f>
        <v>264.95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5711.6181200000001</v>
      </c>
      <c r="AA109" s="55">
        <f>_xll.EQNXTDZ($A$1,$B109,AA$1,$B$1)</f>
        <v>3625.47379</v>
      </c>
      <c r="AB109" s="55">
        <f>_xll.EQNXTDZ($A$1,$B109,AB$1,$B$1)</f>
        <v>2158.7008000000001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5.4166666666666696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0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74</v>
      </c>
      <c r="T112" s="56">
        <f>_xll.EQNXTDZ($A$1,$B112,T$5)</f>
        <v>74</v>
      </c>
      <c r="U112" s="56">
        <f>_xll.EQNXTDZ($A$1,$B112,U$5)</f>
        <v>0</v>
      </c>
      <c r="V112" s="56">
        <f>_xll.EQNXTDZ($A$1,$B112,V$5)</f>
        <v>100</v>
      </c>
      <c r="W112" s="56">
        <f>_xll.EQNXTDZ($A$1,$B112,W$5)</f>
        <v>100</v>
      </c>
      <c r="X112" s="56">
        <f>_xll.EQNXTDZ($A$1,$B112,X$5)</f>
        <v>100</v>
      </c>
      <c r="Y112" s="56">
        <f>_xll.EQNXTDZ($A$1,$B112,Y$5)</f>
        <v>0</v>
      </c>
      <c r="Z112" s="56">
        <f>_xll.EQNXTDZ($A$1,$B112,Z$5)</f>
        <v>66.66</v>
      </c>
      <c r="AA112" s="56">
        <f>_xll.EQNXTDZ($A$1,$B112,AA$5)</f>
        <v>52.16</v>
      </c>
      <c r="AB112" s="56">
        <f>_xll.EQNXTDZ($A$1,$B112,AB$5)</f>
        <v>52.12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209063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403</v>
      </c>
      <c r="EG6" cm="1">
        <f t="array" ref="EG6">_xll.EQNXTDZ($A$1,$B6,EG$1)</f>
        <v>514.79999999999995</v>
      </c>
      <c r="EH6" cm="1">
        <f t="array" ref="EH6">_xll.EQNXTDZ($A$1,$B6,EH$1)</f>
        <v>605</v>
      </c>
      <c r="EI6" cm="1">
        <f t="array" ref="EI6">_xll.EQNXTDZ($A$1,$B6,EI$1)</f>
        <v>722.2</v>
      </c>
      <c r="EJ6" cm="1">
        <f t="array" ref="EJ6">_xll.EQNXTDZ($A$1,$B6,EJ$1)</f>
        <v>642.79999999999995</v>
      </c>
      <c r="EK6" cm="1">
        <f t="array" ref="EK6">_xll.EQNXTDZ($A$1,$B6,EK$1)</f>
        <v>661</v>
      </c>
      <c r="EL6" cm="1">
        <f t="array" ref="EL6">_xll.EQNXTDZ($A$1,$B6,EL$1)</f>
        <v>685</v>
      </c>
      <c r="EM6" cm="1">
        <f t="array" ref="EM6">_xll.EQNXTDZ($A$1,$B6,EM$1)</f>
        <v>689.8</v>
      </c>
      <c r="EN6" cm="1">
        <f t="array" ref="EN6">_xll.EQNXTDZ($A$1,$B6,EN$1)</f>
        <v>812.9</v>
      </c>
      <c r="EO6" cm="1">
        <f t="array" ref="EO6">_xll.EQNXTDZ($A$1,$B6,EO$1)</f>
        <v>725</v>
      </c>
      <c r="EP6" cm="1">
        <f t="array" ref="EP6">_xll.EQNXTDZ($A$1,$B6,EP$1)</f>
        <v>700</v>
      </c>
      <c r="EQ6" cm="1">
        <f t="array" ref="EQ6">_xll.EQNXTDZ($A$1,$B6,EQ$1)</f>
        <v>633</v>
      </c>
      <c r="ER6" cm="1">
        <f t="array" ref="ER6">_xll.EQNXTDZ($A$1,$B6,ER$1)</f>
        <v>747</v>
      </c>
      <c r="ES6" cm="1">
        <f t="array" ref="ES6">_xll.EQNXTDZ($A$1,$B6,ES$1)</f>
        <v>804.5</v>
      </c>
      <c r="ET6" cm="1">
        <f t="array" ref="ET6">_xll.EQNXTDZ($A$1,$B6,ET$1)</f>
        <v>745.05</v>
      </c>
      <c r="EU6" cm="1">
        <f t="array" ref="EU6">_xll.EQNXTDZ($A$1,$B6,EU$1)</f>
        <v>677</v>
      </c>
      <c r="EV6" cm="1">
        <f t="array" ref="EV6">_xll.EQNXTDZ($A$1,$B6,EV$1)</f>
        <v>658</v>
      </c>
      <c r="EW6" cm="1">
        <f t="array" ref="EW6">_xll.EQNXTDZ($A$1,$B6,EW$1)</f>
        <v>697.95</v>
      </c>
      <c r="EX6" cm="1">
        <f t="array" ref="EX6">_xll.EQNXTDZ($A$1,$B6,EX$1)</f>
        <v>669.6</v>
      </c>
      <c r="EY6" cm="1">
        <f t="array" ref="EY6">_xll.EQNXTDZ($A$1,$B6,EY$1)</f>
        <v>491.9</v>
      </c>
      <c r="EZ6" cm="1">
        <f t="array" ref="EZ6">_xll.EQNXTDZ($A$1,$B6,EZ$1)</f>
        <v>402.8</v>
      </c>
      <c r="FA6" cm="1">
        <f t="array" ref="FA6">_xll.EQNXTDZ($A$1,$B6,FA$1)</f>
        <v>457.7</v>
      </c>
      <c r="FB6" cm="1">
        <f t="array" ref="FB6">_xll.EQNXTDZ($A$1,$B6,FB$1)</f>
        <v>449.1</v>
      </c>
      <c r="FC6" cm="1">
        <f t="array" ref="FC6">_xll.EQNXTDZ($A$1,$B6,FC$1)</f>
        <v>484.9</v>
      </c>
      <c r="FD6" cm="1">
        <f t="array" ref="FD6">_xll.EQNXTDZ($A$1,$B6,FD$1)</f>
        <v>476.25</v>
      </c>
      <c r="FE6" cm="1">
        <f t="array" ref="FE6">_xll.EQNXTDZ($A$1,$B6,FE$1)</f>
        <v>450.5</v>
      </c>
      <c r="FF6" cm="1">
        <f t="array" ref="FF6">_xll.EQNXTDZ($A$1,$B6,FF$1)</f>
        <v>424.75</v>
      </c>
      <c r="FG6" cm="1">
        <f t="array" ref="FG6">_xll.EQNXTDZ($A$1,$B6,FG$1)</f>
        <v>419</v>
      </c>
      <c r="FH6" cm="1">
        <f t="array" ref="FH6">_xll.EQNXTDZ($A$1,$B6,FH$1)</f>
        <v>451.9</v>
      </c>
      <c r="FI6" cm="1">
        <f t="array" ref="FI6">_xll.EQNXTDZ($A$1,$B6,FI$1)</f>
        <v>430.2</v>
      </c>
      <c r="FJ6" cm="1">
        <f t="array" ref="FJ6">_xll.EQNXTDZ($A$1,$B6,FJ$1)</f>
        <v>415.55</v>
      </c>
      <c r="FK6" cm="1">
        <f t="array" ref="FK6">_xll.EQNXTDZ($A$1,$B6,FK$1)</f>
        <v>374.55</v>
      </c>
      <c r="FL6" cm="1">
        <f t="array" ref="FL6">_xll.EQNXTDZ($A$1,$B6,FL$1)</f>
        <v>300</v>
      </c>
      <c r="FM6" cm="1">
        <f t="array" ref="FM6">_xll.EQNXTDZ($A$1,$B6,FM$1)</f>
        <v>286.2</v>
      </c>
      <c r="FN6" cm="1">
        <f t="array" ref="FN6">_xll.EQNXTDZ($A$1,$B6,FN$1)</f>
        <v>394.8</v>
      </c>
      <c r="FO6" cm="1">
        <f t="array" ref="FO6">_xll.EQNXTDZ($A$1,$B6,FO$1)</f>
        <v>425.1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547</v>
      </c>
      <c r="EG7" s="116" cm="1">
        <f t="array" ref="EG7">_xll.EQNXTDZ($A$1,$B7,EG$1)</f>
        <v>604</v>
      </c>
      <c r="EH7" s="116" cm="1">
        <f t="array" ref="EH7">_xll.EQNXTDZ($A$1,$B7,EH$1)</f>
        <v>778.9</v>
      </c>
      <c r="EI7" s="116" cm="1">
        <f t="array" ref="EI7">_xll.EQNXTDZ($A$1,$B7,EI$1)</f>
        <v>747.7</v>
      </c>
      <c r="EJ7" s="116" cm="1">
        <f t="array" ref="EJ7">_xll.EQNXTDZ($A$1,$B7,EJ$1)</f>
        <v>692</v>
      </c>
      <c r="EK7" s="116" cm="1">
        <f t="array" ref="EK7">_xll.EQNXTDZ($A$1,$B7,EK$1)</f>
        <v>695.8</v>
      </c>
      <c r="EL7" s="116" cm="1">
        <f t="array" ref="EL7">_xll.EQNXTDZ($A$1,$B7,EL$1)</f>
        <v>719.6</v>
      </c>
      <c r="EM7" s="116" cm="1">
        <f t="array" ref="EM7">_xll.EQNXTDZ($A$1,$B7,EM$1)</f>
        <v>883.8</v>
      </c>
      <c r="EN7" s="116" cm="1">
        <f t="array" ref="EN7">_xll.EQNXTDZ($A$1,$B7,EN$1)</f>
        <v>820</v>
      </c>
      <c r="EO7" s="116" cm="1">
        <f t="array" ref="EO7">_xll.EQNXTDZ($A$1,$B7,EO$1)</f>
        <v>780</v>
      </c>
      <c r="EP7" s="116" cm="1">
        <f t="array" ref="EP7">_xll.EQNXTDZ($A$1,$B7,EP$1)</f>
        <v>700</v>
      </c>
      <c r="EQ7" s="116" cm="1">
        <f t="array" ref="EQ7">_xll.EQNXTDZ($A$1,$B7,EQ$1)</f>
        <v>765.85</v>
      </c>
      <c r="ER7" s="116" cm="1">
        <f t="array" ref="ER7">_xll.EQNXTDZ($A$1,$B7,ER$1)</f>
        <v>870</v>
      </c>
      <c r="ES7" s="116" cm="1">
        <f t="array" ref="ES7">_xll.EQNXTDZ($A$1,$B7,ES$1)</f>
        <v>840.8</v>
      </c>
      <c r="ET7" s="116" cm="1">
        <f t="array" ref="ET7">_xll.EQNXTDZ($A$1,$B7,ET$1)</f>
        <v>750.8</v>
      </c>
      <c r="EU7" s="116" cm="1">
        <f t="array" ref="EU7">_xll.EQNXTDZ($A$1,$B7,EU$1)</f>
        <v>721.9</v>
      </c>
      <c r="EV7" s="116" cm="1">
        <f t="array" ref="EV7">_xll.EQNXTDZ($A$1,$B7,EV$1)</f>
        <v>705.1</v>
      </c>
      <c r="EW7" s="116" cm="1">
        <f t="array" ref="EW7">_xll.EQNXTDZ($A$1,$B7,EW$1)</f>
        <v>744.25</v>
      </c>
      <c r="EX7" s="116" cm="1">
        <f t="array" ref="EX7">_xll.EQNXTDZ($A$1,$B7,EX$1)</f>
        <v>689.95</v>
      </c>
      <c r="EY7" s="116" cm="1">
        <f t="array" ref="EY7">_xll.EQNXTDZ($A$1,$B7,EY$1)</f>
        <v>504.05</v>
      </c>
      <c r="EZ7" s="116" cm="1">
        <f t="array" ref="EZ7">_xll.EQNXTDZ($A$1,$B7,EZ$1)</f>
        <v>483.7</v>
      </c>
      <c r="FA7" s="116" cm="1">
        <f t="array" ref="FA7">_xll.EQNXTDZ($A$1,$B7,FA$1)</f>
        <v>540</v>
      </c>
      <c r="FB7" s="116" cm="1">
        <f t="array" ref="FB7">_xll.EQNXTDZ($A$1,$B7,FB$1)</f>
        <v>496.6</v>
      </c>
      <c r="FC7" s="116" cm="1">
        <f t="array" ref="FC7">_xll.EQNXTDZ($A$1,$B7,FC$1)</f>
        <v>501.5</v>
      </c>
      <c r="FD7" s="116" cm="1">
        <f t="array" ref="FD7">_xll.EQNXTDZ($A$1,$B7,FD$1)</f>
        <v>505.5</v>
      </c>
      <c r="FE7" s="116" cm="1">
        <f t="array" ref="FE7">_xll.EQNXTDZ($A$1,$B7,FE$1)</f>
        <v>460</v>
      </c>
      <c r="FF7" s="116" cm="1">
        <f t="array" ref="FF7">_xll.EQNXTDZ($A$1,$B7,FF$1)</f>
        <v>488</v>
      </c>
      <c r="FG7" s="116" cm="1">
        <f t="array" ref="FG7">_xll.EQNXTDZ($A$1,$B7,FG$1)</f>
        <v>496</v>
      </c>
      <c r="FH7" s="116" cm="1">
        <f t="array" ref="FH7">_xll.EQNXTDZ($A$1,$B7,FH$1)</f>
        <v>463.4</v>
      </c>
      <c r="FI7" s="116" cm="1">
        <f t="array" ref="FI7">_xll.EQNXTDZ($A$1,$B7,FI$1)</f>
        <v>442.4</v>
      </c>
      <c r="FJ7" s="116" cm="1">
        <f t="array" ref="FJ7">_xll.EQNXTDZ($A$1,$B7,FJ$1)</f>
        <v>424</v>
      </c>
      <c r="FK7" s="116" cm="1">
        <f t="array" ref="FK7">_xll.EQNXTDZ($A$1,$B7,FK$1)</f>
        <v>397.2</v>
      </c>
      <c r="FL7" s="116" cm="1">
        <f t="array" ref="FL7">_xll.EQNXTDZ($A$1,$B7,FL$1)</f>
        <v>348</v>
      </c>
      <c r="FM7" s="116" cm="1">
        <f t="array" ref="FM7">_xll.EQNXTDZ($A$1,$B7,FM$1)</f>
        <v>406</v>
      </c>
      <c r="FN7" s="116" cm="1">
        <f t="array" ref="FN7">_xll.EQNXTDZ($A$1,$B7,FN$1)</f>
        <v>445.95</v>
      </c>
      <c r="FO7" s="116" cm="1">
        <f t="array" ref="FO7">_xll.EQNXTDZ($A$1,$B7,FO$1)</f>
        <v>490.15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778.9</v>
      </c>
      <c r="JI7" s="116">
        <f>+MAX(EI7:EK7)</f>
        <v>747.7</v>
      </c>
      <c r="JJ7" s="116">
        <f>+MAX(EL7:EN7)</f>
        <v>883.8</v>
      </c>
      <c r="JK7" s="116">
        <f>MAX(EO7:EQ7)</f>
        <v>780</v>
      </c>
      <c r="JL7" s="116">
        <f>MAX(ER7:ET7)</f>
        <v>870</v>
      </c>
      <c r="JM7" s="116">
        <f>MAX(EU7:EW7)</f>
        <v>744.25</v>
      </c>
      <c r="JN7" s="116">
        <f>MAX(EX7:EZ7)</f>
        <v>689.95</v>
      </c>
      <c r="JO7" s="116">
        <f>MAX(FA7:FC7)</f>
        <v>540</v>
      </c>
      <c r="JP7" s="116">
        <f>MAX(FD7:FF7)</f>
        <v>505.5</v>
      </c>
      <c r="JQ7" s="116">
        <f>MAX(FG7:FI7)</f>
        <v>496</v>
      </c>
      <c r="JR7" s="116">
        <f>MAX(FJ7:FL7)</f>
        <v>424</v>
      </c>
      <c r="JS7" s="116">
        <f>MAX(FM7:FO7)</f>
        <v>490.15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403</v>
      </c>
      <c r="EG8" s="116" cm="1">
        <f t="array" ref="EG8">_xll.EQNXTDZ($A$1,$B8,EG$1)</f>
        <v>466.05</v>
      </c>
      <c r="EH8" s="116" cm="1">
        <f t="array" ref="EH8">_xll.EQNXTDZ($A$1,$B8,EH$1)</f>
        <v>605</v>
      </c>
      <c r="EI8" s="116" cm="1">
        <f t="array" ref="EI8">_xll.EQNXTDZ($A$1,$B8,EI$1)</f>
        <v>605.20000000000005</v>
      </c>
      <c r="EJ8" s="116" cm="1">
        <f t="array" ref="EJ8">_xll.EQNXTDZ($A$1,$B8,EJ$1)</f>
        <v>629</v>
      </c>
      <c r="EK8" s="116" cm="1">
        <f t="array" ref="EK8">_xll.EQNXTDZ($A$1,$B8,EK$1)</f>
        <v>612.29999999999995</v>
      </c>
      <c r="EL8" s="116" cm="1">
        <f t="array" ref="EL8">_xll.EQNXTDZ($A$1,$B8,EL$1)</f>
        <v>635.54999999999995</v>
      </c>
      <c r="EM8" s="116" cm="1">
        <f t="array" ref="EM8">_xll.EQNXTDZ($A$1,$B8,EM$1)</f>
        <v>666.15</v>
      </c>
      <c r="EN8" s="116" cm="1">
        <f t="array" ref="EN8">_xll.EQNXTDZ($A$1,$B8,EN$1)</f>
        <v>650.1</v>
      </c>
      <c r="EO8" s="116" cm="1">
        <f t="array" ref="EO8">_xll.EQNXTDZ($A$1,$B8,EO$1)</f>
        <v>656.2</v>
      </c>
      <c r="EP8" s="116" cm="1">
        <f t="array" ref="EP8">_xll.EQNXTDZ($A$1,$B8,EP$1)</f>
        <v>627.20000000000005</v>
      </c>
      <c r="EQ8" s="116" cm="1">
        <f t="array" ref="EQ8">_xll.EQNXTDZ($A$1,$B8,EQ$1)</f>
        <v>580.6</v>
      </c>
      <c r="ER8" s="116" cm="1">
        <f t="array" ref="ER8">_xll.EQNXTDZ($A$1,$B8,ER$1)</f>
        <v>726</v>
      </c>
      <c r="ES8" s="116" cm="1">
        <f t="array" ref="ES8">_xll.EQNXTDZ($A$1,$B8,ES$1)</f>
        <v>741.55</v>
      </c>
      <c r="ET8" s="116" cm="1">
        <f t="array" ref="ET8">_xll.EQNXTDZ($A$1,$B8,ET$1)</f>
        <v>661.6</v>
      </c>
      <c r="EU8" s="116" cm="1">
        <f t="array" ref="EU8">_xll.EQNXTDZ($A$1,$B8,EU$1)</f>
        <v>600.25</v>
      </c>
      <c r="EV8" s="116" cm="1">
        <f t="array" ref="EV8">_xll.EQNXTDZ($A$1,$B8,EV$1)</f>
        <v>611.20000000000005</v>
      </c>
      <c r="EW8" s="116" cm="1">
        <f t="array" ref="EW8">_xll.EQNXTDZ($A$1,$B8,EW$1)</f>
        <v>647.35</v>
      </c>
      <c r="EX8" s="116" cm="1">
        <f t="array" ref="EX8">_xll.EQNXTDZ($A$1,$B8,EX$1)</f>
        <v>453.3</v>
      </c>
      <c r="EY8" s="116" cm="1">
        <f t="array" ref="EY8">_xll.EQNXTDZ($A$1,$B8,EY$1)</f>
        <v>391.2</v>
      </c>
      <c r="EZ8" s="116" cm="1">
        <f t="array" ref="EZ8">_xll.EQNXTDZ($A$1,$B8,EZ$1)</f>
        <v>381</v>
      </c>
      <c r="FA8" s="116" cm="1">
        <f t="array" ref="FA8">_xll.EQNXTDZ($A$1,$B8,FA$1)</f>
        <v>378.6</v>
      </c>
      <c r="FB8" s="116" cm="1">
        <f t="array" ref="FB8">_xll.EQNXTDZ($A$1,$B8,FB$1)</f>
        <v>415</v>
      </c>
      <c r="FC8" s="116" cm="1">
        <f t="array" ref="FC8">_xll.EQNXTDZ($A$1,$B8,FC$1)</f>
        <v>443.25</v>
      </c>
      <c r="FD8" s="116" cm="1">
        <f t="array" ref="FD8">_xll.EQNXTDZ($A$1,$B8,FD$1)</f>
        <v>436.65</v>
      </c>
      <c r="FE8" s="116" cm="1">
        <f t="array" ref="FE8">_xll.EQNXTDZ($A$1,$B8,FE$1)</f>
        <v>414.75</v>
      </c>
      <c r="FF8" s="116" cm="1">
        <f t="array" ref="FF8">_xll.EQNXTDZ($A$1,$B8,FF$1)</f>
        <v>413.05</v>
      </c>
      <c r="FG8" s="116" cm="1">
        <f t="array" ref="FG8">_xll.EQNXTDZ($A$1,$B8,FG$1)</f>
        <v>419</v>
      </c>
      <c r="FH8" s="116" cm="1">
        <f t="array" ref="FH8">_xll.EQNXTDZ($A$1,$B8,FH$1)</f>
        <v>406.75</v>
      </c>
      <c r="FI8" s="116" cm="1">
        <f t="array" ref="FI8">_xll.EQNXTDZ($A$1,$B8,FI$1)</f>
        <v>410.95</v>
      </c>
      <c r="FJ8" s="116" cm="1">
        <f t="array" ref="FJ8">_xll.EQNXTDZ($A$1,$B8,FJ$1)</f>
        <v>345.8</v>
      </c>
      <c r="FK8" s="116" cm="1">
        <f t="array" ref="FK8">_xll.EQNXTDZ($A$1,$B8,FK$1)</f>
        <v>307.8</v>
      </c>
      <c r="FL8" s="116" cm="1">
        <f t="array" ref="FL8">_xll.EQNXTDZ($A$1,$B8,FL$1)</f>
        <v>265.2</v>
      </c>
      <c r="FM8" s="116" cm="1">
        <f t="array" ref="FM8">_xll.EQNXTDZ($A$1,$B8,FM$1)</f>
        <v>269</v>
      </c>
      <c r="FN8" s="116" cm="1">
        <f t="array" ref="FN8">_xll.EQNXTDZ($A$1,$B8,FN$1)</f>
        <v>392.15</v>
      </c>
      <c r="FO8" s="116" cm="1">
        <f t="array" ref="FO8">_xll.EQNXTDZ($A$1,$B8,FO$1)</f>
        <v>419.1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403</v>
      </c>
      <c r="JI8" s="116">
        <f>+MIN(EI8:EK8)</f>
        <v>605.20000000000005</v>
      </c>
      <c r="JJ8" s="116">
        <f>+MIN(EL8:EN8)</f>
        <v>635.54999999999995</v>
      </c>
      <c r="JK8" s="116">
        <f>MIN(EO8:EQ8)</f>
        <v>580.6</v>
      </c>
      <c r="JL8" s="116">
        <f>MIN(ER8:ET8)</f>
        <v>661.6</v>
      </c>
      <c r="JM8" s="116">
        <f>MIN(EU8:EW8)</f>
        <v>600.25</v>
      </c>
      <c r="JN8" s="116">
        <f>MIN(EX8:EZ8)</f>
        <v>381</v>
      </c>
      <c r="JO8" s="116">
        <f>MIN(FA8:FC8)</f>
        <v>378.6</v>
      </c>
      <c r="JP8" s="116">
        <f>MIN(FD8:FF8)</f>
        <v>413.05</v>
      </c>
      <c r="JQ8" s="116">
        <f>MIN(FG8:FI8)</f>
        <v>406.75</v>
      </c>
      <c r="JR8" s="116">
        <f>MIN(FJ8:FL8)</f>
        <v>265.2</v>
      </c>
      <c r="JS8" s="116">
        <f>MIN(FM8:FO8)</f>
        <v>269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515.79999999999995</v>
      </c>
      <c r="EG9" s="116" cm="1">
        <f t="array" ref="EG9">_xll.EQNXTDZ($A$1,$B9,EG$1)</f>
        <v>597.54999999999995</v>
      </c>
      <c r="EH9" s="116" cm="1">
        <f t="array" ref="EH9">_xll.EQNXTDZ($A$1,$B9,EH$1)</f>
        <v>720.6</v>
      </c>
      <c r="EI9" s="116" cm="1">
        <f t="array" ref="EI9">_xll.EQNXTDZ($A$1,$B9,EI$1)</f>
        <v>639.4</v>
      </c>
      <c r="EJ9" s="116" cm="1">
        <f t="array" ref="EJ9">_xll.EQNXTDZ($A$1,$B9,EJ$1)</f>
        <v>649.04999999999995</v>
      </c>
      <c r="EK9" s="116" cm="1">
        <f t="array" ref="EK9">_xll.EQNXTDZ($A$1,$B9,EK$1)</f>
        <v>674.75</v>
      </c>
      <c r="EL9" s="116" cm="1">
        <f t="array" ref="EL9">_xll.EQNXTDZ($A$1,$B9,EL$1)</f>
        <v>683.25</v>
      </c>
      <c r="EM9" s="116" cm="1">
        <f t="array" ref="EM9">_xll.EQNXTDZ($A$1,$B9,EM$1)</f>
        <v>803.1</v>
      </c>
      <c r="EN9" s="116" cm="1">
        <f t="array" ref="EN9">_xll.EQNXTDZ($A$1,$B9,EN$1)</f>
        <v>720.4</v>
      </c>
      <c r="EO9" s="116" cm="1">
        <f t="array" ref="EO9">_xll.EQNXTDZ($A$1,$B9,EO$1)</f>
        <v>693.55</v>
      </c>
      <c r="EP9" s="116" cm="1">
        <f t="array" ref="EP9">_xll.EQNXTDZ($A$1,$B9,EP$1)</f>
        <v>629.65</v>
      </c>
      <c r="EQ9" s="116" cm="1">
        <f t="array" ref="EQ9">_xll.EQNXTDZ($A$1,$B9,EQ$1)</f>
        <v>747.25</v>
      </c>
      <c r="ER9" s="116" cm="1">
        <f t="array" ref="ER9">_xll.EQNXTDZ($A$1,$B9,ER$1)</f>
        <v>806.15</v>
      </c>
      <c r="ES9" s="116" cm="1">
        <f t="array" ref="ES9">_xll.EQNXTDZ($A$1,$B9,ES$1)</f>
        <v>747.15</v>
      </c>
      <c r="ET9" s="116" cm="1">
        <f t="array" ref="ET9">_xll.EQNXTDZ($A$1,$B9,ET$1)</f>
        <v>669</v>
      </c>
      <c r="EU9" s="116" cm="1">
        <f t="array" ref="EU9">_xll.EQNXTDZ($A$1,$B9,EU$1)</f>
        <v>644.25</v>
      </c>
      <c r="EV9" s="116" cm="1">
        <f t="array" ref="EV9">_xll.EQNXTDZ($A$1,$B9,EV$1)</f>
        <v>699.25</v>
      </c>
      <c r="EW9" s="116" cm="1">
        <f t="array" ref="EW9">_xll.EQNXTDZ($A$1,$B9,EW$1)</f>
        <v>669.6</v>
      </c>
      <c r="EX9" s="116" cm="1">
        <f t="array" ref="EX9">_xll.EQNXTDZ($A$1,$B9,EX$1)</f>
        <v>488.15</v>
      </c>
      <c r="EY9" s="116" cm="1">
        <f t="array" ref="EY9">_xll.EQNXTDZ($A$1,$B9,EY$1)</f>
        <v>402.85</v>
      </c>
      <c r="EZ9" s="116" cm="1">
        <f t="array" ref="EZ9">_xll.EQNXTDZ($A$1,$B9,EZ$1)</f>
        <v>457.65</v>
      </c>
      <c r="FA9" s="116" cm="1">
        <f t="array" ref="FA9">_xll.EQNXTDZ($A$1,$B9,FA$1)</f>
        <v>447.25</v>
      </c>
      <c r="FB9" s="116" cm="1">
        <f t="array" ref="FB9">_xll.EQNXTDZ($A$1,$B9,FB$1)</f>
        <v>483.9</v>
      </c>
      <c r="FC9" s="116" cm="1">
        <f t="array" ref="FC9">_xll.EQNXTDZ($A$1,$B9,FC$1)</f>
        <v>474.7</v>
      </c>
      <c r="FD9" s="116" cm="1">
        <f t="array" ref="FD9">_xll.EQNXTDZ($A$1,$B9,FD$1)</f>
        <v>450.2</v>
      </c>
      <c r="FE9" s="116" cm="1">
        <f t="array" ref="FE9">_xll.EQNXTDZ($A$1,$B9,FE$1)</f>
        <v>422.95</v>
      </c>
      <c r="FF9" s="116" cm="1">
        <f t="array" ref="FF9">_xll.EQNXTDZ($A$1,$B9,FF$1)</f>
        <v>421.65</v>
      </c>
      <c r="FG9" s="116" cm="1">
        <f t="array" ref="FG9">_xll.EQNXTDZ($A$1,$B9,FG$1)</f>
        <v>451.85</v>
      </c>
      <c r="FH9" s="116" cm="1">
        <f t="array" ref="FH9">_xll.EQNXTDZ($A$1,$B9,FH$1)</f>
        <v>429.15</v>
      </c>
      <c r="FI9" s="116" cm="1">
        <f t="array" ref="FI9">_xll.EQNXTDZ($A$1,$B9,FI$1)</f>
        <v>415.75</v>
      </c>
      <c r="FJ9" s="116" cm="1">
        <f t="array" ref="FJ9">_xll.EQNXTDZ($A$1,$B9,FJ$1)</f>
        <v>374.55</v>
      </c>
      <c r="FK9" s="116" cm="1">
        <f t="array" ref="FK9">_xll.EQNXTDZ($A$1,$B9,FK$1)</f>
        <v>312.60000000000002</v>
      </c>
      <c r="FL9" s="116" cm="1">
        <f t="array" ref="FL9">_xll.EQNXTDZ($A$1,$B9,FL$1)</f>
        <v>272.3</v>
      </c>
      <c r="FM9" s="116" cm="1">
        <f t="array" ref="FM9">_xll.EQNXTDZ($A$1,$B9,FM$1)</f>
        <v>393.1</v>
      </c>
      <c r="FN9" s="116" cm="1">
        <f t="array" ref="FN9">_xll.EQNXTDZ($A$1,$B9,FN$1)</f>
        <v>420.6</v>
      </c>
      <c r="FO9" s="116" cm="1">
        <f t="array" ref="FO9">_xll.EQNXTDZ($A$1,$B9,FO$1)</f>
        <v>468.7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720.6</v>
      </c>
      <c r="JI9" s="116">
        <f>+EK9</f>
        <v>674.75</v>
      </c>
      <c r="JJ9" s="116">
        <f>+EN9</f>
        <v>720.4</v>
      </c>
      <c r="JK9" s="116">
        <f>EQ9</f>
        <v>747.25</v>
      </c>
      <c r="JL9" s="116">
        <f>ET9</f>
        <v>669</v>
      </c>
      <c r="JM9" s="116">
        <f>EW9</f>
        <v>669.6</v>
      </c>
      <c r="JN9" s="116">
        <f>EZ9</f>
        <v>457.65</v>
      </c>
      <c r="JO9" s="116">
        <f>FC9</f>
        <v>474.7</v>
      </c>
      <c r="JP9" s="116">
        <f>FF9</f>
        <v>421.65</v>
      </c>
      <c r="JQ9" s="116">
        <f>FI9</f>
        <v>415.75</v>
      </c>
      <c r="JR9" s="116">
        <f>FL9</f>
        <v>272.3</v>
      </c>
      <c r="JS9" s="116">
        <f>FO9</f>
        <v>468.7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401</v>
      </c>
      <c r="EG13" cm="1">
        <f t="array" ref="EG13">_xll.EQNXTDZ($A$1,$B13,EG$1)</f>
        <v>515</v>
      </c>
      <c r="EH13" cm="1">
        <f t="array" ref="EH13">_xll.EQNXTDZ($A$1,$B13,EH$1)</f>
        <v>604.95000000000005</v>
      </c>
      <c r="EI13" cm="1">
        <f t="array" ref="EI13">_xll.EQNXTDZ($A$1,$B13,EI$1)</f>
        <v>721.05</v>
      </c>
      <c r="EJ13" cm="1">
        <f t="array" ref="EJ13">_xll.EQNXTDZ($A$1,$B13,EJ$1)</f>
        <v>644.95000000000005</v>
      </c>
      <c r="EK13" cm="1">
        <f t="array" ref="EK13">_xll.EQNXTDZ($A$1,$B13,EK$1)</f>
        <v>661</v>
      </c>
      <c r="EL13" cm="1">
        <f t="array" ref="EL13">_xll.EQNXTDZ($A$1,$B13,EL$1)</f>
        <v>687.9</v>
      </c>
      <c r="EM13" cm="1">
        <f t="array" ref="EM13">_xll.EQNXTDZ($A$1,$B13,EM$1)</f>
        <v>688.95</v>
      </c>
      <c r="EN13" cm="1">
        <f t="array" ref="EN13">_xll.EQNXTDZ($A$1,$B13,EN$1)</f>
        <v>818.9</v>
      </c>
      <c r="EO13" cm="1">
        <f t="array" ref="EO13">_xll.EQNXTDZ($A$1,$B13,EO$1)</f>
        <v>754.65</v>
      </c>
      <c r="EP13" cm="1">
        <f t="array" ref="EP13">_xll.EQNXTDZ($A$1,$B13,EP$1)</f>
        <v>696.15</v>
      </c>
      <c r="EQ13" cm="1">
        <f t="array" ref="EQ13">_xll.EQNXTDZ($A$1,$B13,EQ$1)</f>
        <v>639.9</v>
      </c>
      <c r="ER13" cm="1">
        <f t="array" ref="ER13">_xll.EQNXTDZ($A$1,$B13,ER$1)</f>
        <v>743</v>
      </c>
      <c r="ES13" cm="1">
        <f t="array" ref="ES13">_xll.EQNXTDZ($A$1,$B13,ES$1)</f>
        <v>805</v>
      </c>
      <c r="ET13" cm="1">
        <f t="array" ref="ET13">_xll.EQNXTDZ($A$1,$B13,ET$1)</f>
        <v>749.65</v>
      </c>
      <c r="EU13" cm="1">
        <f t="array" ref="EU13">_xll.EQNXTDZ($A$1,$B13,EU$1)</f>
        <v>675.2</v>
      </c>
      <c r="EV13" cm="1">
        <f t="array" ref="EV13">_xll.EQNXTDZ($A$1,$B13,EV$1)</f>
        <v>674.35</v>
      </c>
      <c r="EW13" cm="1">
        <f t="array" ref="EW13">_xll.EQNXTDZ($A$1,$B13,EW$1)</f>
        <v>697.05</v>
      </c>
      <c r="EX13" cm="1">
        <f t="array" ref="EX13">_xll.EQNXTDZ($A$1,$B13,EX$1)</f>
        <v>670</v>
      </c>
      <c r="EY13" cm="1">
        <f t="array" ref="EY13">_xll.EQNXTDZ($A$1,$B13,EY$1)</f>
        <v>496.4</v>
      </c>
      <c r="EZ13" cm="1">
        <f t="array" ref="EZ13">_xll.EQNXTDZ($A$1,$B13,EZ$1)</f>
        <v>405</v>
      </c>
      <c r="FA13" cm="1">
        <f t="array" ref="FA13">_xll.EQNXTDZ($A$1,$B13,FA$1)</f>
        <v>461.9</v>
      </c>
      <c r="FB13" cm="1">
        <f t="array" ref="FB13">_xll.EQNXTDZ($A$1,$B13,FB$1)</f>
        <v>448.1</v>
      </c>
      <c r="FC13" cm="1">
        <f t="array" ref="FC13">_xll.EQNXTDZ($A$1,$B13,FC$1)</f>
        <v>483.15</v>
      </c>
      <c r="FD13" cm="1">
        <f t="array" ref="FD13">_xll.EQNXTDZ($A$1,$B13,FD$1)</f>
        <v>478</v>
      </c>
      <c r="FE13" cm="1">
        <f t="array" ref="FE13">_xll.EQNXTDZ($A$1,$B13,FE$1)</f>
        <v>450</v>
      </c>
      <c r="FF13" cm="1">
        <f t="array" ref="FF13">_xll.EQNXTDZ($A$1,$B13,FF$1)</f>
        <v>423</v>
      </c>
      <c r="FG13" cm="1">
        <f t="array" ref="FG13">_xll.EQNXTDZ($A$1,$B13,FG$1)</f>
        <v>420</v>
      </c>
      <c r="FH13" cm="1">
        <f t="array" ref="FH13">_xll.EQNXTDZ($A$1,$B13,FH$1)</f>
        <v>453.9</v>
      </c>
      <c r="FI13" cm="1">
        <f t="array" ref="FI13">_xll.EQNXTDZ($A$1,$B13,FI$1)</f>
        <v>429.05</v>
      </c>
      <c r="FJ13" cm="1">
        <f t="array" ref="FJ13">_xll.EQNXTDZ($A$1,$B13,FJ$1)</f>
        <v>415.05</v>
      </c>
      <c r="FK13" cm="1">
        <f t="array" ref="FK13">_xll.EQNXTDZ($A$1,$B13,FK$1)</f>
        <v>372.7</v>
      </c>
      <c r="FL13" cm="1">
        <f t="array" ref="FL13">_xll.EQNXTDZ($A$1,$B13,FL$1)</f>
        <v>291</v>
      </c>
      <c r="FM13" cm="1">
        <f t="array" ref="FM13">_xll.EQNXTDZ($A$1,$B13,FM$1)</f>
        <v>286.05</v>
      </c>
      <c r="FN13" cm="1">
        <f t="array" ref="FN13">_xll.EQNXTDZ($A$1,$B13,FN$1)</f>
        <v>399.6</v>
      </c>
      <c r="FO13" cm="1">
        <f t="array" ref="FO13">_xll.EQNXTDZ($A$1,$B13,FO$1)</f>
        <v>431.75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547</v>
      </c>
      <c r="EG14" s="116" cm="1">
        <f t="array" ref="EG14">_xll.EQNXTDZ($A$1,$B14,EG$1)</f>
        <v>604.54999999999995</v>
      </c>
      <c r="EH14" s="116" cm="1">
        <f t="array" ref="EH14">_xll.EQNXTDZ($A$1,$B14,EH$1)</f>
        <v>779</v>
      </c>
      <c r="EI14" s="116" cm="1">
        <f t="array" ref="EI14">_xll.EQNXTDZ($A$1,$B14,EI$1)</f>
        <v>748</v>
      </c>
      <c r="EJ14" s="116" cm="1">
        <f t="array" ref="EJ14">_xll.EQNXTDZ($A$1,$B14,EJ$1)</f>
        <v>691</v>
      </c>
      <c r="EK14" s="116" cm="1">
        <f t="array" ref="EK14">_xll.EQNXTDZ($A$1,$B14,EK$1)</f>
        <v>695.5</v>
      </c>
      <c r="EL14" s="116" cm="1">
        <f t="array" ref="EL14">_xll.EQNXTDZ($A$1,$B14,EL$1)</f>
        <v>719.85</v>
      </c>
      <c r="EM14" s="116" cm="1">
        <f t="array" ref="EM14">_xll.EQNXTDZ($A$1,$B14,EM$1)</f>
        <v>882.9</v>
      </c>
      <c r="EN14" s="116" cm="1">
        <f t="array" ref="EN14">_xll.EQNXTDZ($A$1,$B14,EN$1)</f>
        <v>821</v>
      </c>
      <c r="EO14" s="116" cm="1">
        <f t="array" ref="EO14">_xll.EQNXTDZ($A$1,$B14,EO$1)</f>
        <v>779.55</v>
      </c>
      <c r="EP14" s="116" cm="1">
        <f t="array" ref="EP14">_xll.EQNXTDZ($A$1,$B14,EP$1)</f>
        <v>703</v>
      </c>
      <c r="EQ14" s="116" cm="1">
        <f t="array" ref="EQ14">_xll.EQNXTDZ($A$1,$B14,EQ$1)</f>
        <v>766.3</v>
      </c>
      <c r="ER14" s="116" cm="1">
        <f t="array" ref="ER14">_xll.EQNXTDZ($A$1,$B14,ER$1)</f>
        <v>872.55</v>
      </c>
      <c r="ES14" s="116" cm="1">
        <f t="array" ref="ES14">_xll.EQNXTDZ($A$1,$B14,ES$1)</f>
        <v>840.05</v>
      </c>
      <c r="ET14" s="116" cm="1">
        <f t="array" ref="ET14">_xll.EQNXTDZ($A$1,$B14,ET$1)</f>
        <v>750</v>
      </c>
      <c r="EU14" s="116" cm="1">
        <f t="array" ref="EU14">_xll.EQNXTDZ($A$1,$B14,EU$1)</f>
        <v>722.4</v>
      </c>
      <c r="EV14" s="116" cm="1">
        <f t="array" ref="EV14">_xll.EQNXTDZ($A$1,$B14,EV$1)</f>
        <v>705.6</v>
      </c>
      <c r="EW14" s="116" cm="1">
        <f t="array" ref="EW14">_xll.EQNXTDZ($A$1,$B14,EW$1)</f>
        <v>743.15</v>
      </c>
      <c r="EX14" s="116" cm="1">
        <f t="array" ref="EX14">_xll.EQNXTDZ($A$1,$B14,EX$1)</f>
        <v>680.35</v>
      </c>
      <c r="EY14" s="116" cm="1">
        <f t="array" ref="EY14">_xll.EQNXTDZ($A$1,$B14,EY$1)</f>
        <v>504</v>
      </c>
      <c r="EZ14" s="116" cm="1">
        <f t="array" ref="EZ14">_xll.EQNXTDZ($A$1,$B14,EZ$1)</f>
        <v>483.55</v>
      </c>
      <c r="FA14" s="116" cm="1">
        <f t="array" ref="FA14">_xll.EQNXTDZ($A$1,$B14,FA$1)</f>
        <v>541</v>
      </c>
      <c r="FB14" s="116" cm="1">
        <f t="array" ref="FB14">_xll.EQNXTDZ($A$1,$B14,FB$1)</f>
        <v>496.75</v>
      </c>
      <c r="FC14" s="116" cm="1">
        <f t="array" ref="FC14">_xll.EQNXTDZ($A$1,$B14,FC$1)</f>
        <v>501.3</v>
      </c>
      <c r="FD14" s="116" cm="1">
        <f t="array" ref="FD14">_xll.EQNXTDZ($A$1,$B14,FD$1)</f>
        <v>505</v>
      </c>
      <c r="FE14" s="116" cm="1">
        <f t="array" ref="FE14">_xll.EQNXTDZ($A$1,$B14,FE$1)</f>
        <v>459.2</v>
      </c>
      <c r="FF14" s="116" cm="1">
        <f t="array" ref="FF14">_xll.EQNXTDZ($A$1,$B14,FF$1)</f>
        <v>484.9</v>
      </c>
      <c r="FG14" s="116" cm="1">
        <f t="array" ref="FG14">_xll.EQNXTDZ($A$1,$B14,FG$1)</f>
        <v>495.5</v>
      </c>
      <c r="FH14" s="116" cm="1">
        <f t="array" ref="FH14">_xll.EQNXTDZ($A$1,$B14,FH$1)</f>
        <v>463</v>
      </c>
      <c r="FI14" s="116" cm="1">
        <f t="array" ref="FI14">_xll.EQNXTDZ($A$1,$B14,FI$1)</f>
        <v>442.85</v>
      </c>
      <c r="FJ14" s="116" cm="1">
        <f t="array" ref="FJ14">_xll.EQNXTDZ($A$1,$B14,FJ$1)</f>
        <v>419.8</v>
      </c>
      <c r="FK14" s="116" cm="1">
        <f t="array" ref="FK14">_xll.EQNXTDZ($A$1,$B14,FK$1)</f>
        <v>393.95</v>
      </c>
      <c r="FL14" s="116" cm="1">
        <f t="array" ref="FL14">_xll.EQNXTDZ($A$1,$B14,FL$1)</f>
        <v>347</v>
      </c>
      <c r="FM14" s="116" cm="1">
        <f t="array" ref="FM14">_xll.EQNXTDZ($A$1,$B14,FM$1)</f>
        <v>405.65</v>
      </c>
      <c r="FN14" s="116" cm="1">
        <f t="array" ref="FN14">_xll.EQNXTDZ($A$1,$B14,FN$1)</f>
        <v>445.25</v>
      </c>
      <c r="FO14" s="116" cm="1">
        <f t="array" ref="FO14">_xll.EQNXTDZ($A$1,$B14,FO$1)</f>
        <v>490.05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779</v>
      </c>
      <c r="JI14" s="116">
        <f>+MAX(EI14:EK14)</f>
        <v>748</v>
      </c>
      <c r="JJ14" s="116">
        <f>+MAX(EL14:EN14)</f>
        <v>882.9</v>
      </c>
      <c r="JK14" s="116">
        <f>MAX(EO14:EQ14)</f>
        <v>779.55</v>
      </c>
      <c r="JL14" s="116">
        <f>MAX(ER14:ET14)</f>
        <v>872.55</v>
      </c>
      <c r="JM14" s="116">
        <f>MAX(EU14:EW14)</f>
        <v>743.15</v>
      </c>
      <c r="JN14" s="116">
        <f>MAX(EX14:EZ14)</f>
        <v>680.35</v>
      </c>
      <c r="JO14" s="116">
        <f>MAX(FA14:FC14)</f>
        <v>541</v>
      </c>
      <c r="JP14" s="116">
        <f>MAX(FD14:FF14)</f>
        <v>505</v>
      </c>
      <c r="JQ14" s="116">
        <f>MAX(FG14:FI14)</f>
        <v>495.5</v>
      </c>
      <c r="JR14" s="116">
        <f>MAX(FJ14:FL14)</f>
        <v>419.8</v>
      </c>
      <c r="JS14" s="116">
        <f>MAX(FM14:FO14)</f>
        <v>490.05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401</v>
      </c>
      <c r="EG15" s="116" cm="1">
        <f t="array" ref="EG15">_xll.EQNXTDZ($A$1,$B15,EG$1)</f>
        <v>465.05</v>
      </c>
      <c r="EH15" s="116" cm="1">
        <f t="array" ref="EH15">_xll.EQNXTDZ($A$1,$B15,EH$1)</f>
        <v>604.95000000000005</v>
      </c>
      <c r="EI15" s="116" cm="1">
        <f t="array" ref="EI15">_xll.EQNXTDZ($A$1,$B15,EI$1)</f>
        <v>604.95000000000005</v>
      </c>
      <c r="EJ15" s="116" cm="1">
        <f t="array" ref="EJ15">_xll.EQNXTDZ($A$1,$B15,EJ$1)</f>
        <v>629.15</v>
      </c>
      <c r="EK15" s="116" cm="1">
        <f t="array" ref="EK15">_xll.EQNXTDZ($A$1,$B15,EK$1)</f>
        <v>612.29999999999995</v>
      </c>
      <c r="EL15" s="116" cm="1">
        <f t="array" ref="EL15">_xll.EQNXTDZ($A$1,$B15,EL$1)</f>
        <v>636</v>
      </c>
      <c r="EM15" s="116" cm="1">
        <f t="array" ref="EM15">_xll.EQNXTDZ($A$1,$B15,EM$1)</f>
        <v>666.95</v>
      </c>
      <c r="EN15" s="116" cm="1">
        <f t="array" ref="EN15">_xll.EQNXTDZ($A$1,$B15,EN$1)</f>
        <v>641.04999999999995</v>
      </c>
      <c r="EO15" s="116" cm="1">
        <f t="array" ref="EO15">_xll.EQNXTDZ($A$1,$B15,EO$1)</f>
        <v>657.3</v>
      </c>
      <c r="EP15" s="116" cm="1">
        <f t="array" ref="EP15">_xll.EQNXTDZ($A$1,$B15,EP$1)</f>
        <v>627.1</v>
      </c>
      <c r="EQ15" s="116" cm="1">
        <f t="array" ref="EQ15">_xll.EQNXTDZ($A$1,$B15,EQ$1)</f>
        <v>580</v>
      </c>
      <c r="ER15" s="116" cm="1">
        <f t="array" ref="ER15">_xll.EQNXTDZ($A$1,$B15,ER$1)</f>
        <v>725.45</v>
      </c>
      <c r="ES15" s="116" cm="1">
        <f t="array" ref="ES15">_xll.EQNXTDZ($A$1,$B15,ES$1)</f>
        <v>741.55</v>
      </c>
      <c r="ET15" s="116" cm="1">
        <f t="array" ref="ET15">_xll.EQNXTDZ($A$1,$B15,ET$1)</f>
        <v>662.05</v>
      </c>
      <c r="EU15" s="116" cm="1">
        <f t="array" ref="EU15">_xll.EQNXTDZ($A$1,$B15,EU$1)</f>
        <v>600.5</v>
      </c>
      <c r="EV15" s="116" cm="1">
        <f t="array" ref="EV15">_xll.EQNXTDZ($A$1,$B15,EV$1)</f>
        <v>611.29999999999995</v>
      </c>
      <c r="EW15" s="116" cm="1">
        <f t="array" ref="EW15">_xll.EQNXTDZ($A$1,$B15,EW$1)</f>
        <v>647</v>
      </c>
      <c r="EX15" s="116" cm="1">
        <f t="array" ref="EX15">_xll.EQNXTDZ($A$1,$B15,EX$1)</f>
        <v>454</v>
      </c>
      <c r="EY15" s="116" cm="1">
        <f t="array" ref="EY15">_xll.EQNXTDZ($A$1,$B15,EY$1)</f>
        <v>391.4</v>
      </c>
      <c r="EZ15" s="116" cm="1">
        <f t="array" ref="EZ15">_xll.EQNXTDZ($A$1,$B15,EZ$1)</f>
        <v>380.5</v>
      </c>
      <c r="FA15" s="116" cm="1">
        <f t="array" ref="FA15">_xll.EQNXTDZ($A$1,$B15,FA$1)</f>
        <v>350.15</v>
      </c>
      <c r="FB15" s="116" cm="1">
        <f t="array" ref="FB15">_xll.EQNXTDZ($A$1,$B15,FB$1)</f>
        <v>412.75</v>
      </c>
      <c r="FC15" s="116" cm="1">
        <f t="array" ref="FC15">_xll.EQNXTDZ($A$1,$B15,FC$1)</f>
        <v>443.55</v>
      </c>
      <c r="FD15" s="116" cm="1">
        <f t="array" ref="FD15">_xll.EQNXTDZ($A$1,$B15,FD$1)</f>
        <v>437.7</v>
      </c>
      <c r="FE15" s="116" cm="1">
        <f t="array" ref="FE15">_xll.EQNXTDZ($A$1,$B15,FE$1)</f>
        <v>415</v>
      </c>
      <c r="FF15" s="116" cm="1">
        <f t="array" ref="FF15">_xll.EQNXTDZ($A$1,$B15,FF$1)</f>
        <v>413.3</v>
      </c>
      <c r="FG15" s="116" cm="1">
        <f t="array" ref="FG15">_xll.EQNXTDZ($A$1,$B15,FG$1)</f>
        <v>420</v>
      </c>
      <c r="FH15" s="116" cm="1">
        <f t="array" ref="FH15">_xll.EQNXTDZ($A$1,$B15,FH$1)</f>
        <v>407</v>
      </c>
      <c r="FI15" s="116" cm="1">
        <f t="array" ref="FI15">_xll.EQNXTDZ($A$1,$B15,FI$1)</f>
        <v>411</v>
      </c>
      <c r="FJ15" s="116" cm="1">
        <f t="array" ref="FJ15">_xll.EQNXTDZ($A$1,$B15,FJ$1)</f>
        <v>345.2</v>
      </c>
      <c r="FK15" s="116" cm="1">
        <f t="array" ref="FK15">_xll.EQNXTDZ($A$1,$B15,FK$1)</f>
        <v>308</v>
      </c>
      <c r="FL15" s="116" cm="1">
        <f t="array" ref="FL15">_xll.EQNXTDZ($A$1,$B15,FL$1)</f>
        <v>264.95</v>
      </c>
      <c r="FM15" s="116" cm="1">
        <f t="array" ref="FM15">_xll.EQNXTDZ($A$1,$B15,FM$1)</f>
        <v>269.39999999999998</v>
      </c>
      <c r="FN15" s="116" cm="1">
        <f t="array" ref="FN15">_xll.EQNXTDZ($A$1,$B15,FN$1)</f>
        <v>392.4</v>
      </c>
      <c r="FO15" s="116" cm="1">
        <f t="array" ref="FO15">_xll.EQNXTDZ($A$1,$B15,FO$1)</f>
        <v>416.2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401</v>
      </c>
      <c r="JI15" s="116">
        <f>+MIN(EI15:EK15)</f>
        <v>604.95000000000005</v>
      </c>
      <c r="JJ15" s="116">
        <f>+MIN(EL15:EN15)</f>
        <v>636</v>
      </c>
      <c r="JK15" s="116">
        <f>MIN(EO15:EQ15)</f>
        <v>580</v>
      </c>
      <c r="JL15" s="116">
        <f>MIN(ER15:ET15)</f>
        <v>662.05</v>
      </c>
      <c r="JM15" s="116">
        <f>MIN(EU15:EW15)</f>
        <v>600.5</v>
      </c>
      <c r="JN15" s="116">
        <f>MIN(EX15:EZ15)</f>
        <v>380.5</v>
      </c>
      <c r="JO15" s="116">
        <f>MIN(FA15:FC15)</f>
        <v>350.15</v>
      </c>
      <c r="JP15" s="116">
        <f>MIN(FD15:FF15)</f>
        <v>413.3</v>
      </c>
      <c r="JQ15" s="116">
        <f>MIN(FG15:FI15)</f>
        <v>407</v>
      </c>
      <c r="JR15" s="116">
        <f>MIN(FJ15:FL15)</f>
        <v>264.95</v>
      </c>
      <c r="JS15" s="116">
        <f>MIN(FM15:FO15)</f>
        <v>269.39999999999998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515.95000000000005</v>
      </c>
      <c r="EG16" s="116" cm="1">
        <f t="array" ref="EG16">_xll.EQNXTDZ($A$1,$B16,EG$1)</f>
        <v>598.25</v>
      </c>
      <c r="EH16" s="116" cm="1">
        <f t="array" ref="EH16">_xll.EQNXTDZ($A$1,$B16,EH$1)</f>
        <v>720.6</v>
      </c>
      <c r="EI16" s="116" cm="1">
        <f t="array" ref="EI16">_xll.EQNXTDZ($A$1,$B16,EI$1)</f>
        <v>639.6</v>
      </c>
      <c r="EJ16" s="116" cm="1">
        <f t="array" ref="EJ16">_xll.EQNXTDZ($A$1,$B16,EJ$1)</f>
        <v>648.25</v>
      </c>
      <c r="EK16" s="116" cm="1">
        <f t="array" ref="EK16">_xll.EQNXTDZ($A$1,$B16,EK$1)</f>
        <v>675.05</v>
      </c>
      <c r="EL16" s="116" cm="1">
        <f t="array" ref="EL16">_xll.EQNXTDZ($A$1,$B16,EL$1)</f>
        <v>682.45</v>
      </c>
      <c r="EM16" s="116" cm="1">
        <f t="array" ref="EM16">_xll.EQNXTDZ($A$1,$B16,EM$1)</f>
        <v>802.8</v>
      </c>
      <c r="EN16" s="116" cm="1">
        <f t="array" ref="EN16">_xll.EQNXTDZ($A$1,$B16,EN$1)</f>
        <v>720.2</v>
      </c>
      <c r="EO16" s="116" cm="1">
        <f t="array" ref="EO16">_xll.EQNXTDZ($A$1,$B16,EO$1)</f>
        <v>692.9</v>
      </c>
      <c r="EP16" s="116" cm="1">
        <f t="array" ref="EP16">_xll.EQNXTDZ($A$1,$B16,EP$1)</f>
        <v>629.79999999999995</v>
      </c>
      <c r="EQ16" s="116" cm="1">
        <f t="array" ref="EQ16">_xll.EQNXTDZ($A$1,$B16,EQ$1)</f>
        <v>742.1</v>
      </c>
      <c r="ER16" s="116" cm="1">
        <f t="array" ref="ER16">_xll.EQNXTDZ($A$1,$B16,ER$1)</f>
        <v>805.55</v>
      </c>
      <c r="ES16" s="116" cm="1">
        <f t="array" ref="ES16">_xll.EQNXTDZ($A$1,$B16,ES$1)</f>
        <v>746.4</v>
      </c>
      <c r="ET16" s="116" cm="1">
        <f t="array" ref="ET16">_xll.EQNXTDZ($A$1,$B16,ET$1)</f>
        <v>669.1</v>
      </c>
      <c r="EU16" s="116" cm="1">
        <f t="array" ref="EU16">_xll.EQNXTDZ($A$1,$B16,EU$1)</f>
        <v>645.04999999999995</v>
      </c>
      <c r="EV16" s="116" cm="1">
        <f t="array" ref="EV16">_xll.EQNXTDZ($A$1,$B16,EV$1)</f>
        <v>698.75</v>
      </c>
      <c r="EW16" s="116" cm="1">
        <f t="array" ref="EW16">_xll.EQNXTDZ($A$1,$B16,EW$1)</f>
        <v>669.2</v>
      </c>
      <c r="EX16" s="116" cm="1">
        <f t="array" ref="EX16">_xll.EQNXTDZ($A$1,$B16,EX$1)</f>
        <v>488.5</v>
      </c>
      <c r="EY16" s="116" cm="1">
        <f t="array" ref="EY16">_xll.EQNXTDZ($A$1,$B16,EY$1)</f>
        <v>402.45</v>
      </c>
      <c r="EZ16" s="116" cm="1">
        <f t="array" ref="EZ16">_xll.EQNXTDZ($A$1,$B16,EZ$1)</f>
        <v>457.15</v>
      </c>
      <c r="FA16" s="116" cm="1">
        <f t="array" ref="FA16">_xll.EQNXTDZ($A$1,$B16,FA$1)</f>
        <v>447.5</v>
      </c>
      <c r="FB16" s="116" cm="1">
        <f t="array" ref="FB16">_xll.EQNXTDZ($A$1,$B16,FB$1)</f>
        <v>484</v>
      </c>
      <c r="FC16" s="116" cm="1">
        <f t="array" ref="FC16">_xll.EQNXTDZ($A$1,$B16,FC$1)</f>
        <v>475.5</v>
      </c>
      <c r="FD16" s="116" cm="1">
        <f t="array" ref="FD16">_xll.EQNXTDZ($A$1,$B16,FD$1)</f>
        <v>450.45</v>
      </c>
      <c r="FE16" s="116" cm="1">
        <f t="array" ref="FE16">_xll.EQNXTDZ($A$1,$B16,FE$1)</f>
        <v>422.25</v>
      </c>
      <c r="FF16" s="116" cm="1">
        <f t="array" ref="FF16">_xll.EQNXTDZ($A$1,$B16,FF$1)</f>
        <v>421.1</v>
      </c>
      <c r="FG16" s="116" cm="1">
        <f t="array" ref="FG16">_xll.EQNXTDZ($A$1,$B16,FG$1)</f>
        <v>452.15</v>
      </c>
      <c r="FH16" s="116" cm="1">
        <f t="array" ref="FH16">_xll.EQNXTDZ($A$1,$B16,FH$1)</f>
        <v>429</v>
      </c>
      <c r="FI16" s="116" cm="1">
        <f t="array" ref="FI16">_xll.EQNXTDZ($A$1,$B16,FI$1)</f>
        <v>416.3</v>
      </c>
      <c r="FJ16" s="116" cm="1">
        <f t="array" ref="FJ16">_xll.EQNXTDZ($A$1,$B16,FJ$1)</f>
        <v>375.8</v>
      </c>
      <c r="FK16" s="116" cm="1">
        <f t="array" ref="FK16">_xll.EQNXTDZ($A$1,$B16,FK$1)</f>
        <v>312.2</v>
      </c>
      <c r="FL16" s="116" cm="1">
        <f t="array" ref="FL16">_xll.EQNXTDZ($A$1,$B16,FL$1)</f>
        <v>272</v>
      </c>
      <c r="FM16" s="116" cm="1">
        <f t="array" ref="FM16">_xll.EQNXTDZ($A$1,$B16,FM$1)</f>
        <v>392.95</v>
      </c>
      <c r="FN16" s="116" cm="1">
        <f t="array" ref="FN16">_xll.EQNXTDZ($A$1,$B16,FN$1)</f>
        <v>421.55</v>
      </c>
      <c r="FO16" s="116" cm="1">
        <f t="array" ref="FO16">_xll.EQNXTDZ($A$1,$B16,FO$1)</f>
        <v>469.3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720.6</v>
      </c>
      <c r="JI16" s="116">
        <f>+EK16</f>
        <v>675.05</v>
      </c>
      <c r="JJ16" s="116">
        <f>+EN16</f>
        <v>720.2</v>
      </c>
      <c r="JK16" s="116">
        <f>EQ16</f>
        <v>742.1</v>
      </c>
      <c r="JL16" s="116">
        <f>ET16</f>
        <v>669.1</v>
      </c>
      <c r="JM16" s="116">
        <f>EW16</f>
        <v>669.2</v>
      </c>
      <c r="JN16" s="116">
        <f>EZ16</f>
        <v>457.15</v>
      </c>
      <c r="JO16" s="116">
        <f>FC16</f>
        <v>475.5</v>
      </c>
      <c r="JP16" s="116">
        <f>FF16</f>
        <v>421.1</v>
      </c>
      <c r="JQ16" s="116">
        <f>FI16</f>
        <v>416.3</v>
      </c>
      <c r="JR16" s="116">
        <f>FL16</f>
        <v>272</v>
      </c>
      <c r="JS16" s="116">
        <f>FO16</f>
        <v>469.3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779</v>
      </c>
      <c r="JI19" s="116">
        <f t="shared" si="1"/>
        <v>748</v>
      </c>
      <c r="JJ19" s="116">
        <f t="shared" ref="JJ19:JJ21" si="2">+IF(JJ14=0,JJ7,JJ14)</f>
        <v>882.9</v>
      </c>
      <c r="JK19" s="116">
        <f t="shared" ref="JK19" si="3">+IF(JK14=0,JK7,JK14)</f>
        <v>779.55</v>
      </c>
      <c r="JL19" s="116">
        <f t="shared" ref="JL19:JM19" si="4">+IF(JL14=0,JL7,JL14)</f>
        <v>872.55</v>
      </c>
      <c r="JM19" s="116">
        <f t="shared" si="4"/>
        <v>743.15</v>
      </c>
      <c r="JN19" s="116">
        <f t="shared" ref="JN19:JO19" si="5">+IF(JN14=0,JN7,JN14)</f>
        <v>680.35</v>
      </c>
      <c r="JO19" s="116">
        <f t="shared" si="5"/>
        <v>541</v>
      </c>
      <c r="JP19" s="116">
        <f t="shared" ref="JP19" si="6">+IF(JP14=0,JP7,JP14)</f>
        <v>505</v>
      </c>
      <c r="JQ19" s="116">
        <f t="shared" ref="JQ19:KH19" si="7">+IF(JQ14=0,JQ7,JQ14)</f>
        <v>495.5</v>
      </c>
      <c r="JR19" s="116">
        <f t="shared" si="7"/>
        <v>419.8</v>
      </c>
      <c r="JS19" s="116">
        <f t="shared" si="7"/>
        <v>490.05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401</v>
      </c>
      <c r="JI20" s="116">
        <f t="shared" si="1"/>
        <v>604.95000000000005</v>
      </c>
      <c r="JJ20" s="116">
        <f t="shared" si="2"/>
        <v>636</v>
      </c>
      <c r="JK20" s="116">
        <f t="shared" ref="JK20" si="9">+IF(JK15=0,JK8,JK15)</f>
        <v>580</v>
      </c>
      <c r="JL20" s="116">
        <f t="shared" ref="JL20:JM20" si="10">+IF(JL15=0,JL8,JL15)</f>
        <v>662.05</v>
      </c>
      <c r="JM20" s="116">
        <f t="shared" si="10"/>
        <v>600.5</v>
      </c>
      <c r="JN20" s="116">
        <f t="shared" ref="JN20:JO20" si="11">+IF(JN15=0,JN8,JN15)</f>
        <v>380.5</v>
      </c>
      <c r="JO20" s="116">
        <f t="shared" si="11"/>
        <v>350.15</v>
      </c>
      <c r="JP20" s="116">
        <f t="shared" ref="JP20" si="12">+IF(JP15=0,JP8,JP15)</f>
        <v>413.3</v>
      </c>
      <c r="JQ20" s="116">
        <f t="shared" ref="JQ20:KH20" si="13">+IF(JQ15=0,JQ8,JQ15)</f>
        <v>407</v>
      </c>
      <c r="JR20" s="116">
        <f t="shared" si="13"/>
        <v>264.95</v>
      </c>
      <c r="JS20" s="116">
        <f t="shared" si="13"/>
        <v>269.39999999999998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720.6</v>
      </c>
      <c r="JI21" s="116">
        <f t="shared" si="1"/>
        <v>675.05</v>
      </c>
      <c r="JJ21" s="116">
        <f t="shared" si="2"/>
        <v>720.2</v>
      </c>
      <c r="JK21" s="116">
        <f t="shared" ref="JK21" si="14">+IF(JK16=0,JK9,JK16)</f>
        <v>742.1</v>
      </c>
      <c r="JL21" s="116">
        <f t="shared" ref="JL21:JM21" si="15">+IF(JL16=0,JL9,JL16)</f>
        <v>669.1</v>
      </c>
      <c r="JM21" s="116">
        <f t="shared" si="15"/>
        <v>669.2</v>
      </c>
      <c r="JN21" s="116">
        <f t="shared" ref="JN21:JO21" si="16">+IF(JN16=0,JN9,JN16)</f>
        <v>457.15</v>
      </c>
      <c r="JO21" s="116">
        <f t="shared" si="16"/>
        <v>475.5</v>
      </c>
      <c r="JP21" s="116">
        <f t="shared" ref="JP21" si="17">+IF(JP16=0,JP9,JP16)</f>
        <v>421.1</v>
      </c>
      <c r="JQ21" s="116">
        <f t="shared" ref="JQ21:KH21" si="18">+IF(JQ16=0,JQ9,JQ16)</f>
        <v>416.3</v>
      </c>
      <c r="JR21" s="116">
        <f t="shared" si="18"/>
        <v>272</v>
      </c>
      <c r="JS21" s="116">
        <f t="shared" si="18"/>
        <v>469.3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209063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201703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202203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1367000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1367000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1367000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1367000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1367000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1367000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1367000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79306124</v>
      </c>
      <c r="AV6" cm="1">
        <f t="array" ref="AV6">_xll.EQNXTDZ($A$1,$B6,AV$1)</f>
        <v>79306124</v>
      </c>
      <c r="AW6" cm="1">
        <f t="array" ref="AW6">_xll.EQNXTDZ($A$1,$B6,AW$1)</f>
        <v>79306124</v>
      </c>
      <c r="AX6" cm="1">
        <f t="array" ref="AX6">_xll.EQNXTDZ($A$1,$B6,AX$1)</f>
        <v>79306124</v>
      </c>
      <c r="AY6" cm="1">
        <f t="array" ref="AY6">_xll.EQNXTDZ($A$1,$B6,AY$1)</f>
        <v>79306124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0.13669999999999999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0.13669999999999999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0.13669999999999999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0.13669999999999999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0.13669999999999999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0.13669999999999999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0.13669999999999999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7.9306124000000002</v>
      </c>
      <c r="AV7" s="100">
        <f t="shared" si="2"/>
        <v>7.9306124000000002</v>
      </c>
      <c r="AW7" s="100">
        <f t="shared" si="2"/>
        <v>7.9306124000000002</v>
      </c>
      <c r="AX7" s="100">
        <f t="shared" si="2"/>
        <v>7.9306124000000002</v>
      </c>
      <c r="AY7" s="100">
        <f t="shared" ref="AY7" si="3">+AY6/10^7</f>
        <v>7.9306124000000002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209063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45117</v>
      </c>
      <c r="B4" s="116">
        <v>426.45</v>
      </c>
      <c r="C4" s="116">
        <v>420.75</v>
      </c>
      <c r="D4" s="116">
        <v>401</v>
      </c>
      <c r="E4" s="116">
        <v>401</v>
      </c>
      <c r="F4" s="116">
        <v>420.75</v>
      </c>
      <c r="G4">
        <v>1419943</v>
      </c>
      <c r="H4" s="116"/>
      <c r="I4" s="116"/>
      <c r="L4" s="170">
        <v>45117</v>
      </c>
      <c r="M4" s="116">
        <v>420.6</v>
      </c>
      <c r="N4" s="116">
        <v>427</v>
      </c>
      <c r="O4" s="116">
        <v>403</v>
      </c>
      <c r="P4" s="116">
        <v>403</v>
      </c>
      <c r="Q4" s="116">
        <v>420.6</v>
      </c>
      <c r="R4">
        <v>21041989</v>
      </c>
    </row>
    <row r="5" spans="1:18" x14ac:dyDescent="0.25">
      <c r="A5" s="170">
        <v>45118</v>
      </c>
      <c r="B5" s="116">
        <v>504.9</v>
      </c>
      <c r="C5" s="116">
        <v>492.45</v>
      </c>
      <c r="D5" s="116">
        <v>420.5</v>
      </c>
      <c r="E5" s="116">
        <v>425.15</v>
      </c>
      <c r="F5" s="116">
        <v>492.45</v>
      </c>
      <c r="G5">
        <v>1455126</v>
      </c>
      <c r="H5" s="116"/>
      <c r="I5" s="116"/>
      <c r="L5" s="170">
        <v>45118</v>
      </c>
      <c r="M5" s="116">
        <v>493.2</v>
      </c>
      <c r="N5" s="116">
        <v>504.7</v>
      </c>
      <c r="O5" s="116">
        <v>420.8</v>
      </c>
      <c r="P5" s="116">
        <v>425.25</v>
      </c>
      <c r="Q5" s="116">
        <v>493.2</v>
      </c>
      <c r="R5">
        <v>14891955</v>
      </c>
    </row>
    <row r="6" spans="1:18" x14ac:dyDescent="0.25">
      <c r="A6" s="170">
        <v>45119</v>
      </c>
      <c r="B6" s="116">
        <v>547</v>
      </c>
      <c r="C6" s="116">
        <v>518.95000000000005</v>
      </c>
      <c r="D6" s="116">
        <v>506.6</v>
      </c>
      <c r="E6" s="116">
        <v>506.6</v>
      </c>
      <c r="F6" s="116">
        <v>518.95000000000005</v>
      </c>
      <c r="G6">
        <v>695217</v>
      </c>
      <c r="H6" s="116"/>
      <c r="I6" s="116"/>
      <c r="L6" s="170">
        <v>45119</v>
      </c>
      <c r="M6" s="116">
        <v>518.29999999999995</v>
      </c>
      <c r="N6" s="116">
        <v>547</v>
      </c>
      <c r="O6" s="116">
        <v>505.6</v>
      </c>
      <c r="P6" s="116">
        <v>507.5</v>
      </c>
      <c r="Q6" s="116">
        <v>518.29999999999995</v>
      </c>
      <c r="R6">
        <v>7921315</v>
      </c>
    </row>
    <row r="7" spans="1:18" x14ac:dyDescent="0.25">
      <c r="A7" s="170">
        <v>45120</v>
      </c>
      <c r="B7" s="116">
        <v>537</v>
      </c>
      <c r="C7" s="116">
        <v>513.9</v>
      </c>
      <c r="D7" s="116">
        <v>502</v>
      </c>
      <c r="E7" s="116">
        <v>524</v>
      </c>
      <c r="F7" s="116">
        <v>513.9</v>
      </c>
      <c r="G7">
        <v>355219</v>
      </c>
      <c r="H7" s="116"/>
      <c r="I7" s="116"/>
      <c r="L7" s="170">
        <v>45120</v>
      </c>
      <c r="M7" s="116">
        <v>514</v>
      </c>
      <c r="N7" s="116">
        <v>537</v>
      </c>
      <c r="O7" s="116">
        <v>502</v>
      </c>
      <c r="P7" s="116">
        <v>524.54999999999995</v>
      </c>
      <c r="Q7" s="116">
        <v>514</v>
      </c>
      <c r="R7">
        <v>3189609</v>
      </c>
    </row>
    <row r="8" spans="1:18" x14ac:dyDescent="0.25">
      <c r="A8" s="170">
        <v>45121</v>
      </c>
      <c r="B8" s="116">
        <v>521.9</v>
      </c>
      <c r="C8" s="116">
        <v>501.45</v>
      </c>
      <c r="D8" s="116">
        <v>493.5</v>
      </c>
      <c r="E8" s="116">
        <v>517.9</v>
      </c>
      <c r="F8" s="116">
        <v>501.45</v>
      </c>
      <c r="G8">
        <v>112378</v>
      </c>
      <c r="H8" s="116"/>
      <c r="I8" s="116"/>
      <c r="L8" s="170">
        <v>45121</v>
      </c>
      <c r="M8" s="116">
        <v>501.9</v>
      </c>
      <c r="N8" s="116">
        <v>522.20000000000005</v>
      </c>
      <c r="O8" s="116">
        <v>493.55</v>
      </c>
      <c r="P8" s="116">
        <v>516.5</v>
      </c>
      <c r="Q8" s="116">
        <v>501.9</v>
      </c>
      <c r="R8">
        <v>1395304</v>
      </c>
    </row>
    <row r="9" spans="1:18" x14ac:dyDescent="0.25">
      <c r="A9" s="170">
        <v>45124</v>
      </c>
      <c r="B9" s="116">
        <v>532.20000000000005</v>
      </c>
      <c r="C9" s="116">
        <v>510.95</v>
      </c>
      <c r="D9" s="116">
        <v>505.7</v>
      </c>
      <c r="E9" s="116">
        <v>505.95</v>
      </c>
      <c r="F9" s="116">
        <v>510.95</v>
      </c>
      <c r="G9">
        <v>147276</v>
      </c>
      <c r="H9" s="116"/>
      <c r="I9" s="116"/>
      <c r="L9" s="170">
        <v>45124</v>
      </c>
      <c r="M9" s="116">
        <v>510.65</v>
      </c>
      <c r="N9" s="116">
        <v>532.35</v>
      </c>
      <c r="O9" s="116">
        <v>505.1</v>
      </c>
      <c r="P9" s="116">
        <v>507.5</v>
      </c>
      <c r="Q9" s="116">
        <v>510.65</v>
      </c>
      <c r="R9">
        <v>2250952</v>
      </c>
    </row>
    <row r="10" spans="1:18" x14ac:dyDescent="0.25">
      <c r="A10" s="170">
        <v>45125</v>
      </c>
      <c r="B10" s="116">
        <v>517.6</v>
      </c>
      <c r="C10" s="116">
        <v>497.35</v>
      </c>
      <c r="D10" s="116">
        <v>494</v>
      </c>
      <c r="E10" s="116">
        <v>511</v>
      </c>
      <c r="F10" s="116">
        <v>497.35</v>
      </c>
      <c r="G10">
        <v>69487</v>
      </c>
      <c r="H10" s="116"/>
      <c r="I10" s="116"/>
      <c r="L10" s="170">
        <v>45125</v>
      </c>
      <c r="M10" s="116">
        <v>497.5</v>
      </c>
      <c r="N10" s="116">
        <v>517.4</v>
      </c>
      <c r="O10" s="116">
        <v>494.55</v>
      </c>
      <c r="P10" s="116">
        <v>513.9</v>
      </c>
      <c r="Q10" s="116">
        <v>497.5</v>
      </c>
      <c r="R10">
        <v>821334</v>
      </c>
    </row>
    <row r="11" spans="1:18" x14ac:dyDescent="0.25">
      <c r="A11" s="170">
        <v>45126</v>
      </c>
      <c r="B11" s="116">
        <v>507.45</v>
      </c>
      <c r="C11" s="116">
        <v>504.5</v>
      </c>
      <c r="D11" s="116">
        <v>492.4</v>
      </c>
      <c r="E11" s="116">
        <v>507.45</v>
      </c>
      <c r="F11" s="116">
        <v>504.5</v>
      </c>
      <c r="G11">
        <v>36842</v>
      </c>
      <c r="H11" s="116"/>
      <c r="I11" s="116"/>
      <c r="L11" s="170">
        <v>45126</v>
      </c>
      <c r="M11" s="116">
        <v>504.75</v>
      </c>
      <c r="N11" s="116">
        <v>508</v>
      </c>
      <c r="O11" s="116">
        <v>492</v>
      </c>
      <c r="P11" s="116">
        <v>498.95</v>
      </c>
      <c r="Q11" s="116">
        <v>504.75</v>
      </c>
      <c r="R11">
        <v>978219</v>
      </c>
    </row>
    <row r="12" spans="1:18" x14ac:dyDescent="0.25">
      <c r="A12" s="170">
        <v>45127</v>
      </c>
      <c r="B12" s="116">
        <v>513.29999999999995</v>
      </c>
      <c r="C12" s="116">
        <v>507.95</v>
      </c>
      <c r="D12" s="116">
        <v>502</v>
      </c>
      <c r="E12" s="116">
        <v>505.55</v>
      </c>
      <c r="F12" s="116">
        <v>507.95</v>
      </c>
      <c r="G12">
        <v>39343</v>
      </c>
      <c r="H12" s="116"/>
      <c r="I12" s="116"/>
      <c r="L12" s="170">
        <v>45127</v>
      </c>
      <c r="M12" s="116">
        <v>508.2</v>
      </c>
      <c r="N12" s="116">
        <v>513</v>
      </c>
      <c r="O12" s="116">
        <v>501.95</v>
      </c>
      <c r="P12" s="116">
        <v>506.45</v>
      </c>
      <c r="Q12" s="116">
        <v>508.2</v>
      </c>
      <c r="R12">
        <v>588540</v>
      </c>
    </row>
    <row r="13" spans="1:18" x14ac:dyDescent="0.25">
      <c r="A13" s="170">
        <v>45128</v>
      </c>
      <c r="B13" s="116">
        <v>507.9</v>
      </c>
      <c r="C13" s="116">
        <v>496.25</v>
      </c>
      <c r="D13" s="116">
        <v>491.7</v>
      </c>
      <c r="E13" s="116">
        <v>507.9</v>
      </c>
      <c r="F13" s="116">
        <v>496.25</v>
      </c>
      <c r="G13">
        <v>34063</v>
      </c>
      <c r="H13" s="116"/>
      <c r="I13" s="116"/>
      <c r="L13" s="170">
        <v>45128</v>
      </c>
      <c r="M13" s="116">
        <v>496.8</v>
      </c>
      <c r="N13" s="116">
        <v>508.25</v>
      </c>
      <c r="O13" s="116">
        <v>492.95</v>
      </c>
      <c r="P13" s="116">
        <v>505.05</v>
      </c>
      <c r="Q13" s="116">
        <v>496.8</v>
      </c>
      <c r="R13">
        <v>548249</v>
      </c>
    </row>
    <row r="14" spans="1:18" x14ac:dyDescent="0.25">
      <c r="A14" s="170">
        <v>45131</v>
      </c>
      <c r="B14" s="116">
        <v>506.35</v>
      </c>
      <c r="C14" s="116">
        <v>494</v>
      </c>
      <c r="D14" s="116">
        <v>451</v>
      </c>
      <c r="E14" s="116">
        <v>475</v>
      </c>
      <c r="F14" s="116">
        <v>494</v>
      </c>
      <c r="G14">
        <v>139344</v>
      </c>
      <c r="H14" s="116"/>
      <c r="I14" s="116"/>
      <c r="L14" s="170">
        <v>45131</v>
      </c>
      <c r="M14" s="116">
        <v>493.95</v>
      </c>
      <c r="N14" s="116">
        <v>506.7</v>
      </c>
      <c r="O14" s="116">
        <v>450.05</v>
      </c>
      <c r="P14" s="116">
        <v>470.15</v>
      </c>
      <c r="Q14" s="116">
        <v>493.95</v>
      </c>
      <c r="R14">
        <v>2061687</v>
      </c>
    </row>
    <row r="15" spans="1:18" x14ac:dyDescent="0.25">
      <c r="A15" s="170">
        <v>45132</v>
      </c>
      <c r="B15" s="116">
        <v>500</v>
      </c>
      <c r="C15" s="116">
        <v>478.85</v>
      </c>
      <c r="D15" s="116">
        <v>474.2</v>
      </c>
      <c r="E15" s="116">
        <v>500</v>
      </c>
      <c r="F15" s="116">
        <v>478.85</v>
      </c>
      <c r="G15">
        <v>52429</v>
      </c>
      <c r="H15" s="116"/>
      <c r="I15" s="116"/>
      <c r="L15" s="170">
        <v>45132</v>
      </c>
      <c r="M15" s="116">
        <v>478.7</v>
      </c>
      <c r="N15" s="116">
        <v>500</v>
      </c>
      <c r="O15" s="116">
        <v>470</v>
      </c>
      <c r="P15" s="116">
        <v>500</v>
      </c>
      <c r="Q15" s="116">
        <v>478.7</v>
      </c>
      <c r="R15">
        <v>377215</v>
      </c>
    </row>
    <row r="16" spans="1:18" x14ac:dyDescent="0.25">
      <c r="A16" s="170">
        <v>45133</v>
      </c>
      <c r="B16" s="116">
        <v>498.2</v>
      </c>
      <c r="C16" s="116">
        <v>496</v>
      </c>
      <c r="D16" s="116">
        <v>474.9</v>
      </c>
      <c r="E16" s="116">
        <v>478.05</v>
      </c>
      <c r="F16" s="116">
        <v>496</v>
      </c>
      <c r="G16">
        <v>72649</v>
      </c>
      <c r="H16" s="116"/>
      <c r="I16" s="116"/>
      <c r="L16" s="170">
        <v>45133</v>
      </c>
      <c r="M16" s="116">
        <v>495.45</v>
      </c>
      <c r="N16" s="116">
        <v>498.4</v>
      </c>
      <c r="O16" s="116">
        <v>474.95</v>
      </c>
      <c r="P16" s="116">
        <v>478.95</v>
      </c>
      <c r="Q16" s="116">
        <v>495.45</v>
      </c>
      <c r="R16">
        <v>474453</v>
      </c>
    </row>
    <row r="17" spans="1:18" x14ac:dyDescent="0.25">
      <c r="A17" s="170">
        <v>45134</v>
      </c>
      <c r="B17" s="116">
        <v>506</v>
      </c>
      <c r="C17" s="116">
        <v>504.1</v>
      </c>
      <c r="D17" s="116">
        <v>489.8</v>
      </c>
      <c r="E17" s="116">
        <v>499</v>
      </c>
      <c r="F17" s="116">
        <v>504.1</v>
      </c>
      <c r="G17">
        <v>77304</v>
      </c>
      <c r="H17" s="116"/>
      <c r="I17" s="116"/>
      <c r="L17" s="170">
        <v>45134</v>
      </c>
      <c r="M17" s="116">
        <v>503.35</v>
      </c>
      <c r="N17" s="116">
        <v>506.95</v>
      </c>
      <c r="O17" s="116">
        <v>490.2</v>
      </c>
      <c r="P17" s="116">
        <v>499</v>
      </c>
      <c r="Q17" s="116">
        <v>503.35</v>
      </c>
      <c r="R17">
        <v>697707</v>
      </c>
    </row>
    <row r="18" spans="1:18" x14ac:dyDescent="0.25">
      <c r="A18" s="170">
        <v>45135</v>
      </c>
      <c r="B18" s="116">
        <v>531</v>
      </c>
      <c r="C18" s="116">
        <v>510.25</v>
      </c>
      <c r="D18" s="116">
        <v>498.1</v>
      </c>
      <c r="E18" s="116">
        <v>505</v>
      </c>
      <c r="F18" s="116">
        <v>510.25</v>
      </c>
      <c r="G18">
        <v>127823</v>
      </c>
      <c r="H18" s="116"/>
      <c r="I18" s="116"/>
      <c r="L18" s="170">
        <v>45135</v>
      </c>
      <c r="M18" s="116">
        <v>509.3</v>
      </c>
      <c r="N18" s="116">
        <v>531.20000000000005</v>
      </c>
      <c r="O18" s="116">
        <v>498.55</v>
      </c>
      <c r="P18" s="116">
        <v>505.9</v>
      </c>
      <c r="Q18" s="116">
        <v>509.3</v>
      </c>
      <c r="R18">
        <v>1026623</v>
      </c>
    </row>
    <row r="19" spans="1:18" x14ac:dyDescent="0.25">
      <c r="A19" s="170">
        <v>45138</v>
      </c>
      <c r="B19" s="116">
        <v>522</v>
      </c>
      <c r="C19" s="116">
        <v>515.95000000000005</v>
      </c>
      <c r="D19" s="116">
        <v>510.3</v>
      </c>
      <c r="E19" s="116">
        <v>511.05</v>
      </c>
      <c r="F19" s="116">
        <v>515.95000000000005</v>
      </c>
      <c r="G19">
        <v>62343</v>
      </c>
      <c r="H19" s="116"/>
      <c r="I19" s="116"/>
      <c r="L19" s="170">
        <v>45138</v>
      </c>
      <c r="M19" s="116">
        <v>515.79999999999995</v>
      </c>
      <c r="N19" s="116">
        <v>523.4</v>
      </c>
      <c r="O19" s="116">
        <v>510.6</v>
      </c>
      <c r="P19" s="116">
        <v>523.35</v>
      </c>
      <c r="Q19" s="116">
        <v>515.79999999999995</v>
      </c>
      <c r="R19">
        <v>474234</v>
      </c>
    </row>
    <row r="20" spans="1:18" x14ac:dyDescent="0.25">
      <c r="A20" s="170">
        <v>45139</v>
      </c>
      <c r="B20" s="116">
        <v>516.85</v>
      </c>
      <c r="C20" s="116">
        <v>512.15</v>
      </c>
      <c r="D20" s="116">
        <v>503.05</v>
      </c>
      <c r="E20" s="116">
        <v>515</v>
      </c>
      <c r="F20" s="116">
        <v>512.15</v>
      </c>
      <c r="G20">
        <v>45474</v>
      </c>
      <c r="H20" s="116"/>
      <c r="I20" s="116"/>
      <c r="L20" s="170">
        <v>45139</v>
      </c>
      <c r="M20" s="116">
        <v>512.95000000000005</v>
      </c>
      <c r="N20" s="116">
        <v>517</v>
      </c>
      <c r="O20" s="116">
        <v>503</v>
      </c>
      <c r="P20" s="116">
        <v>514.79999999999995</v>
      </c>
      <c r="Q20" s="116">
        <v>512.95000000000005</v>
      </c>
      <c r="R20">
        <v>256967</v>
      </c>
    </row>
    <row r="21" spans="1:18" x14ac:dyDescent="0.25">
      <c r="A21" s="170">
        <v>45140</v>
      </c>
      <c r="B21" s="116">
        <v>510</v>
      </c>
      <c r="C21" s="116">
        <v>494.8</v>
      </c>
      <c r="D21" s="116">
        <v>491.05</v>
      </c>
      <c r="E21" s="116">
        <v>509</v>
      </c>
      <c r="F21" s="116">
        <v>494.8</v>
      </c>
      <c r="G21">
        <v>29462</v>
      </c>
      <c r="H21" s="116"/>
      <c r="I21" s="116"/>
      <c r="L21" s="170">
        <v>45140</v>
      </c>
      <c r="M21" s="116">
        <v>493.9</v>
      </c>
      <c r="N21" s="116">
        <v>510.7</v>
      </c>
      <c r="O21" s="116">
        <v>490</v>
      </c>
      <c r="P21" s="116">
        <v>509</v>
      </c>
      <c r="Q21" s="116">
        <v>493.9</v>
      </c>
      <c r="R21">
        <v>293450</v>
      </c>
    </row>
    <row r="22" spans="1:18" x14ac:dyDescent="0.25">
      <c r="A22" s="170">
        <v>45141</v>
      </c>
      <c r="B22" s="116">
        <v>498.45</v>
      </c>
      <c r="C22" s="116">
        <v>490.35</v>
      </c>
      <c r="D22" s="116">
        <v>488.25</v>
      </c>
      <c r="E22" s="116">
        <v>492</v>
      </c>
      <c r="F22" s="116">
        <v>490.35</v>
      </c>
      <c r="G22">
        <v>41535</v>
      </c>
      <c r="H22" s="116"/>
      <c r="I22" s="116"/>
      <c r="L22" s="170">
        <v>45141</v>
      </c>
      <c r="M22" s="116">
        <v>489.8</v>
      </c>
      <c r="N22" s="116">
        <v>498.45</v>
      </c>
      <c r="O22" s="116">
        <v>488</v>
      </c>
      <c r="P22" s="116">
        <v>493.8</v>
      </c>
      <c r="Q22" s="116">
        <v>489.8</v>
      </c>
      <c r="R22">
        <v>193486</v>
      </c>
    </row>
    <row r="23" spans="1:18" x14ac:dyDescent="0.25">
      <c r="A23" s="170">
        <v>45142</v>
      </c>
      <c r="B23" s="116">
        <v>509</v>
      </c>
      <c r="C23" s="116">
        <v>504.7</v>
      </c>
      <c r="D23" s="116">
        <v>482.9</v>
      </c>
      <c r="E23" s="116">
        <v>490.75</v>
      </c>
      <c r="F23" s="116">
        <v>504.7</v>
      </c>
      <c r="G23">
        <v>77652</v>
      </c>
      <c r="H23" s="116"/>
      <c r="I23" s="116"/>
      <c r="L23" s="170">
        <v>45142</v>
      </c>
      <c r="M23" s="116">
        <v>504.7</v>
      </c>
      <c r="N23" s="116">
        <v>509.05</v>
      </c>
      <c r="O23" s="116">
        <v>483.05</v>
      </c>
      <c r="P23" s="116">
        <v>493.65</v>
      </c>
      <c r="Q23" s="116">
        <v>504.7</v>
      </c>
      <c r="R23">
        <v>1010093</v>
      </c>
    </row>
    <row r="24" spans="1:18" x14ac:dyDescent="0.25">
      <c r="A24" s="170">
        <v>45145</v>
      </c>
      <c r="B24" s="116">
        <v>509.95</v>
      </c>
      <c r="C24" s="116">
        <v>497.85</v>
      </c>
      <c r="D24" s="116">
        <v>491.45</v>
      </c>
      <c r="E24" s="116">
        <v>507</v>
      </c>
      <c r="F24" s="116">
        <v>497.85</v>
      </c>
      <c r="G24">
        <v>27478</v>
      </c>
      <c r="H24" s="116"/>
      <c r="I24" s="116"/>
      <c r="L24" s="170">
        <v>45145</v>
      </c>
      <c r="M24" s="116">
        <v>498.2</v>
      </c>
      <c r="N24" s="116">
        <v>510</v>
      </c>
      <c r="O24" s="116">
        <v>491.3</v>
      </c>
      <c r="P24" s="116">
        <v>509</v>
      </c>
      <c r="Q24" s="116">
        <v>498.2</v>
      </c>
      <c r="R24">
        <v>463115</v>
      </c>
    </row>
    <row r="25" spans="1:18" x14ac:dyDescent="0.25">
      <c r="A25" s="170">
        <v>45146</v>
      </c>
      <c r="B25" s="116">
        <v>498.35</v>
      </c>
      <c r="C25" s="116">
        <v>494.35</v>
      </c>
      <c r="D25" s="116">
        <v>490.55</v>
      </c>
      <c r="E25" s="116">
        <v>497.85</v>
      </c>
      <c r="F25" s="116">
        <v>494.35</v>
      </c>
      <c r="G25">
        <v>11507</v>
      </c>
      <c r="H25" s="116"/>
      <c r="I25" s="116"/>
      <c r="L25" s="170">
        <v>45146</v>
      </c>
      <c r="M25" s="116">
        <v>495</v>
      </c>
      <c r="N25" s="116">
        <v>498.4</v>
      </c>
      <c r="O25" s="116">
        <v>490.35</v>
      </c>
      <c r="P25" s="116">
        <v>498.2</v>
      </c>
      <c r="Q25" s="116">
        <v>495</v>
      </c>
      <c r="R25">
        <v>366379</v>
      </c>
    </row>
    <row r="26" spans="1:18" x14ac:dyDescent="0.25">
      <c r="A26" s="170">
        <v>45147</v>
      </c>
      <c r="B26" s="116">
        <v>498</v>
      </c>
      <c r="C26" s="116">
        <v>491.35</v>
      </c>
      <c r="D26" s="116">
        <v>490</v>
      </c>
      <c r="E26" s="116">
        <v>494</v>
      </c>
      <c r="F26" s="116">
        <v>491.35</v>
      </c>
      <c r="G26">
        <v>5193</v>
      </c>
      <c r="H26" s="116"/>
      <c r="I26" s="116"/>
      <c r="L26" s="170">
        <v>45147</v>
      </c>
      <c r="M26" s="116">
        <v>491.3</v>
      </c>
      <c r="N26" s="116">
        <v>498</v>
      </c>
      <c r="O26" s="116">
        <v>490</v>
      </c>
      <c r="P26" s="116">
        <v>497.95</v>
      </c>
      <c r="Q26" s="116">
        <v>491.3</v>
      </c>
      <c r="R26">
        <v>92396</v>
      </c>
    </row>
    <row r="27" spans="1:18" x14ac:dyDescent="0.25">
      <c r="A27" s="170">
        <v>45148</v>
      </c>
      <c r="B27" s="116">
        <v>503.95</v>
      </c>
      <c r="C27" s="116">
        <v>496.2</v>
      </c>
      <c r="D27" s="116">
        <v>488</v>
      </c>
      <c r="E27" s="116">
        <v>488</v>
      </c>
      <c r="F27" s="116">
        <v>496.2</v>
      </c>
      <c r="G27">
        <v>18022</v>
      </c>
      <c r="H27" s="116"/>
      <c r="I27" s="116"/>
      <c r="L27" s="170">
        <v>45148</v>
      </c>
      <c r="M27" s="116">
        <v>496.75</v>
      </c>
      <c r="N27" s="116">
        <v>503.65</v>
      </c>
      <c r="O27" s="116">
        <v>490</v>
      </c>
      <c r="P27" s="116">
        <v>491</v>
      </c>
      <c r="Q27" s="116">
        <v>496.75</v>
      </c>
      <c r="R27">
        <v>153840</v>
      </c>
    </row>
    <row r="28" spans="1:18" x14ac:dyDescent="0.25">
      <c r="A28" s="170">
        <v>45149</v>
      </c>
      <c r="B28" s="116">
        <v>505</v>
      </c>
      <c r="C28" s="116">
        <v>487.9</v>
      </c>
      <c r="D28" s="116">
        <v>478.95</v>
      </c>
      <c r="E28" s="116">
        <v>505</v>
      </c>
      <c r="F28" s="116">
        <v>487.9</v>
      </c>
      <c r="G28">
        <v>23543</v>
      </c>
      <c r="H28" s="116"/>
      <c r="I28" s="116"/>
      <c r="L28" s="170">
        <v>45149</v>
      </c>
      <c r="M28" s="116">
        <v>487.75</v>
      </c>
      <c r="N28" s="116">
        <v>503</v>
      </c>
      <c r="O28" s="116">
        <v>479</v>
      </c>
      <c r="P28" s="116">
        <v>503</v>
      </c>
      <c r="Q28" s="116">
        <v>487.75</v>
      </c>
      <c r="R28">
        <v>260714</v>
      </c>
    </row>
    <row r="29" spans="1:18" x14ac:dyDescent="0.25">
      <c r="A29" s="170">
        <v>45152</v>
      </c>
      <c r="B29" s="116">
        <v>498</v>
      </c>
      <c r="C29" s="116">
        <v>494.25</v>
      </c>
      <c r="D29" s="116">
        <v>465.05</v>
      </c>
      <c r="E29" s="116">
        <v>484</v>
      </c>
      <c r="F29" s="116">
        <v>494.25</v>
      </c>
      <c r="G29">
        <v>36256</v>
      </c>
      <c r="H29" s="116"/>
      <c r="I29" s="116"/>
      <c r="L29" s="170">
        <v>45152</v>
      </c>
      <c r="M29" s="116">
        <v>494.25</v>
      </c>
      <c r="N29" s="116">
        <v>498.4</v>
      </c>
      <c r="O29" s="116">
        <v>466.05</v>
      </c>
      <c r="P29" s="116">
        <v>487</v>
      </c>
      <c r="Q29" s="116">
        <v>494.25</v>
      </c>
      <c r="R29">
        <v>204079</v>
      </c>
    </row>
    <row r="30" spans="1:18" x14ac:dyDescent="0.25">
      <c r="A30" s="170">
        <v>45154</v>
      </c>
      <c r="B30" s="116">
        <v>502</v>
      </c>
      <c r="C30" s="116">
        <v>495</v>
      </c>
      <c r="D30" s="116">
        <v>491.15</v>
      </c>
      <c r="E30" s="116">
        <v>492</v>
      </c>
      <c r="F30" s="116">
        <v>495</v>
      </c>
      <c r="G30">
        <v>20276</v>
      </c>
      <c r="H30" s="116"/>
      <c r="I30" s="116"/>
      <c r="L30" s="170">
        <v>45154</v>
      </c>
      <c r="M30" s="116">
        <v>495.45</v>
      </c>
      <c r="N30" s="116">
        <v>502.15</v>
      </c>
      <c r="O30" s="116">
        <v>491.8</v>
      </c>
      <c r="P30" s="116">
        <v>494.05</v>
      </c>
      <c r="Q30" s="116">
        <v>495.45</v>
      </c>
      <c r="R30">
        <v>124664</v>
      </c>
    </row>
    <row r="31" spans="1:18" x14ac:dyDescent="0.25">
      <c r="A31" s="170">
        <v>45155</v>
      </c>
      <c r="B31" s="116">
        <v>512</v>
      </c>
      <c r="C31" s="116">
        <v>508.75</v>
      </c>
      <c r="D31" s="116">
        <v>492</v>
      </c>
      <c r="E31" s="116">
        <v>492</v>
      </c>
      <c r="F31" s="116">
        <v>508.75</v>
      </c>
      <c r="G31">
        <v>20598</v>
      </c>
      <c r="H31" s="116"/>
      <c r="I31" s="116"/>
      <c r="L31" s="170">
        <v>45155</v>
      </c>
      <c r="M31" s="116">
        <v>507.9</v>
      </c>
      <c r="N31" s="116">
        <v>513</v>
      </c>
      <c r="O31" s="116">
        <v>491.8</v>
      </c>
      <c r="P31" s="116">
        <v>495</v>
      </c>
      <c r="Q31" s="116">
        <v>507.9</v>
      </c>
      <c r="R31">
        <v>284248</v>
      </c>
    </row>
    <row r="32" spans="1:18" x14ac:dyDescent="0.25">
      <c r="A32" s="170">
        <v>45156</v>
      </c>
      <c r="B32" s="116">
        <v>518</v>
      </c>
      <c r="C32" s="116">
        <v>515.45000000000005</v>
      </c>
      <c r="D32" s="116">
        <v>505.35</v>
      </c>
      <c r="E32" s="116">
        <v>509.05</v>
      </c>
      <c r="F32" s="116">
        <v>515.45000000000005</v>
      </c>
      <c r="G32">
        <v>44864</v>
      </c>
      <c r="H32" s="116"/>
      <c r="I32" s="116"/>
      <c r="L32" s="170">
        <v>45156</v>
      </c>
      <c r="M32" s="116">
        <v>515.4</v>
      </c>
      <c r="N32" s="116">
        <v>518</v>
      </c>
      <c r="O32" s="116">
        <v>505</v>
      </c>
      <c r="P32" s="116">
        <v>514.9</v>
      </c>
      <c r="Q32" s="116">
        <v>515.4</v>
      </c>
      <c r="R32">
        <v>335915</v>
      </c>
    </row>
    <row r="33" spans="1:18" x14ac:dyDescent="0.25">
      <c r="A33" s="170">
        <v>45159</v>
      </c>
      <c r="B33" s="116">
        <v>567.9</v>
      </c>
      <c r="C33" s="116">
        <v>553.4</v>
      </c>
      <c r="D33" s="116">
        <v>511.85</v>
      </c>
      <c r="E33" s="116">
        <v>515.5</v>
      </c>
      <c r="F33" s="116">
        <v>553.4</v>
      </c>
      <c r="G33">
        <v>167669</v>
      </c>
      <c r="H33" s="116"/>
      <c r="I33" s="116"/>
      <c r="L33" s="170">
        <v>45159</v>
      </c>
      <c r="M33" s="116">
        <v>554.25</v>
      </c>
      <c r="N33" s="116">
        <v>567.9</v>
      </c>
      <c r="O33" s="116">
        <v>512.5</v>
      </c>
      <c r="P33" s="116">
        <v>519.4</v>
      </c>
      <c r="Q33" s="116">
        <v>554.25</v>
      </c>
      <c r="R33">
        <v>1338130</v>
      </c>
    </row>
    <row r="34" spans="1:18" x14ac:dyDescent="0.25">
      <c r="A34" s="170">
        <v>45160</v>
      </c>
      <c r="B34" s="116">
        <v>573.20000000000005</v>
      </c>
      <c r="C34" s="116">
        <v>553.95000000000005</v>
      </c>
      <c r="D34" s="116">
        <v>544.85</v>
      </c>
      <c r="E34" s="116">
        <v>560.04999999999995</v>
      </c>
      <c r="F34" s="116">
        <v>553.95000000000005</v>
      </c>
      <c r="G34">
        <v>34513</v>
      </c>
      <c r="H34" s="116"/>
      <c r="I34" s="116"/>
      <c r="L34" s="170">
        <v>45160</v>
      </c>
      <c r="M34" s="116">
        <v>554.1</v>
      </c>
      <c r="N34" s="116">
        <v>573</v>
      </c>
      <c r="O34" s="116">
        <v>545.25</v>
      </c>
      <c r="P34" s="116">
        <v>562</v>
      </c>
      <c r="Q34" s="116">
        <v>554.1</v>
      </c>
      <c r="R34">
        <v>594514</v>
      </c>
    </row>
    <row r="35" spans="1:18" x14ac:dyDescent="0.25">
      <c r="A35" s="170">
        <v>45161</v>
      </c>
      <c r="B35" s="116">
        <v>577.15</v>
      </c>
      <c r="C35" s="116">
        <v>563.4</v>
      </c>
      <c r="D35" s="116">
        <v>548.1</v>
      </c>
      <c r="E35" s="116">
        <v>548.1</v>
      </c>
      <c r="F35" s="116">
        <v>563.4</v>
      </c>
      <c r="G35">
        <v>46802</v>
      </c>
      <c r="H35" s="116"/>
      <c r="I35" s="116"/>
      <c r="L35" s="170">
        <v>45161</v>
      </c>
      <c r="M35" s="116">
        <v>562.25</v>
      </c>
      <c r="N35" s="116">
        <v>577.35</v>
      </c>
      <c r="O35" s="116">
        <v>550.25</v>
      </c>
      <c r="P35" s="116">
        <v>557</v>
      </c>
      <c r="Q35" s="116">
        <v>562.25</v>
      </c>
      <c r="R35">
        <v>502513</v>
      </c>
    </row>
    <row r="36" spans="1:18" x14ac:dyDescent="0.25">
      <c r="A36" s="170">
        <v>45162</v>
      </c>
      <c r="B36" s="116">
        <v>576.6</v>
      </c>
      <c r="C36" s="116">
        <v>568.70000000000005</v>
      </c>
      <c r="D36" s="116">
        <v>554.85</v>
      </c>
      <c r="E36" s="116">
        <v>563.4</v>
      </c>
      <c r="F36" s="116">
        <v>568.70000000000005</v>
      </c>
      <c r="G36">
        <v>40486</v>
      </c>
      <c r="H36" s="116"/>
      <c r="I36" s="116"/>
      <c r="L36" s="170">
        <v>45162</v>
      </c>
      <c r="M36" s="116">
        <v>568.6</v>
      </c>
      <c r="N36" s="116">
        <v>576</v>
      </c>
      <c r="O36" s="116">
        <v>555</v>
      </c>
      <c r="P36" s="116">
        <v>570</v>
      </c>
      <c r="Q36" s="116">
        <v>568.6</v>
      </c>
      <c r="R36">
        <v>376212</v>
      </c>
    </row>
    <row r="37" spans="1:18" x14ac:dyDescent="0.25">
      <c r="A37" s="170">
        <v>45163</v>
      </c>
      <c r="B37" s="116">
        <v>586</v>
      </c>
      <c r="C37" s="116">
        <v>574.1</v>
      </c>
      <c r="D37" s="116">
        <v>556.35</v>
      </c>
      <c r="E37" s="116">
        <v>556.35</v>
      </c>
      <c r="F37" s="116">
        <v>574.1</v>
      </c>
      <c r="G37">
        <v>45942</v>
      </c>
      <c r="H37" s="116"/>
      <c r="I37" s="116"/>
      <c r="L37" s="170">
        <v>45163</v>
      </c>
      <c r="M37" s="116">
        <v>574.5</v>
      </c>
      <c r="N37" s="116">
        <v>586.04999999999995</v>
      </c>
      <c r="O37" s="116">
        <v>561.1</v>
      </c>
      <c r="P37" s="116">
        <v>562</v>
      </c>
      <c r="Q37" s="116">
        <v>574.5</v>
      </c>
      <c r="R37">
        <v>342786</v>
      </c>
    </row>
    <row r="38" spans="1:18" x14ac:dyDescent="0.25">
      <c r="A38" s="170">
        <v>45166</v>
      </c>
      <c r="B38" s="116">
        <v>584.15</v>
      </c>
      <c r="C38" s="116">
        <v>573.6</v>
      </c>
      <c r="D38" s="116">
        <v>567.54999999999995</v>
      </c>
      <c r="E38" s="116">
        <v>580</v>
      </c>
      <c r="F38" s="116">
        <v>573.6</v>
      </c>
      <c r="G38">
        <v>11363</v>
      </c>
      <c r="H38" s="116"/>
      <c r="I38" s="116"/>
      <c r="L38" s="170">
        <v>45166</v>
      </c>
      <c r="M38" s="116">
        <v>573.6</v>
      </c>
      <c r="N38" s="116">
        <v>583</v>
      </c>
      <c r="O38" s="116">
        <v>567.1</v>
      </c>
      <c r="P38" s="116">
        <v>580</v>
      </c>
      <c r="Q38" s="116">
        <v>573.6</v>
      </c>
      <c r="R38">
        <v>181083</v>
      </c>
    </row>
    <row r="39" spans="1:18" x14ac:dyDescent="0.25">
      <c r="A39" s="170">
        <v>45167</v>
      </c>
      <c r="B39" s="116">
        <v>574.5</v>
      </c>
      <c r="C39" s="116">
        <v>555.9</v>
      </c>
      <c r="D39" s="116">
        <v>553</v>
      </c>
      <c r="E39" s="116">
        <v>573.6</v>
      </c>
      <c r="F39" s="116">
        <v>555.9</v>
      </c>
      <c r="G39">
        <v>35984</v>
      </c>
      <c r="H39" s="116"/>
      <c r="I39" s="116"/>
      <c r="L39" s="170">
        <v>45167</v>
      </c>
      <c r="M39" s="116">
        <v>556.70000000000005</v>
      </c>
      <c r="N39" s="116">
        <v>575.1</v>
      </c>
      <c r="O39" s="116">
        <v>553.29999999999995</v>
      </c>
      <c r="P39" s="116">
        <v>574.9</v>
      </c>
      <c r="Q39" s="116">
        <v>556.70000000000005</v>
      </c>
      <c r="R39">
        <v>129667</v>
      </c>
    </row>
    <row r="40" spans="1:18" x14ac:dyDescent="0.25">
      <c r="A40" s="170">
        <v>45168</v>
      </c>
      <c r="B40" s="116">
        <v>568.75</v>
      </c>
      <c r="C40" s="116">
        <v>556.75</v>
      </c>
      <c r="D40" s="116">
        <v>550.15</v>
      </c>
      <c r="E40" s="116">
        <v>560</v>
      </c>
      <c r="F40" s="116">
        <v>556.75</v>
      </c>
      <c r="G40">
        <v>23646</v>
      </c>
      <c r="H40" s="116"/>
      <c r="I40" s="116"/>
      <c r="L40" s="170">
        <v>45168</v>
      </c>
      <c r="M40" s="116">
        <v>556.15</v>
      </c>
      <c r="N40" s="116">
        <v>569</v>
      </c>
      <c r="O40" s="116">
        <v>548</v>
      </c>
      <c r="P40" s="116">
        <v>557.5</v>
      </c>
      <c r="Q40" s="116">
        <v>556.15</v>
      </c>
      <c r="R40">
        <v>242641</v>
      </c>
    </row>
    <row r="41" spans="1:18" x14ac:dyDescent="0.25">
      <c r="A41" s="170">
        <v>45169</v>
      </c>
      <c r="B41" s="116">
        <v>604.54999999999995</v>
      </c>
      <c r="C41" s="116">
        <v>598.25</v>
      </c>
      <c r="D41" s="116">
        <v>550</v>
      </c>
      <c r="E41" s="116">
        <v>555</v>
      </c>
      <c r="F41" s="116">
        <v>598.25</v>
      </c>
      <c r="G41">
        <v>94997</v>
      </c>
      <c r="H41" s="116"/>
      <c r="I41" s="116"/>
      <c r="L41" s="170">
        <v>45169</v>
      </c>
      <c r="M41" s="116">
        <v>597.54999999999995</v>
      </c>
      <c r="N41" s="116">
        <v>604</v>
      </c>
      <c r="O41" s="116">
        <v>551.4</v>
      </c>
      <c r="P41" s="116">
        <v>553.1</v>
      </c>
      <c r="Q41" s="116">
        <v>597.54999999999995</v>
      </c>
      <c r="R41">
        <v>740467</v>
      </c>
    </row>
    <row r="42" spans="1:18" x14ac:dyDescent="0.25">
      <c r="A42" s="170">
        <v>45170</v>
      </c>
      <c r="B42" s="116">
        <v>629.95000000000005</v>
      </c>
      <c r="C42" s="116">
        <v>622.79999999999995</v>
      </c>
      <c r="D42" s="116">
        <v>604.95000000000005</v>
      </c>
      <c r="E42" s="116">
        <v>604.95000000000005</v>
      </c>
      <c r="F42" s="116">
        <v>622.79999999999995</v>
      </c>
      <c r="G42">
        <v>92813</v>
      </c>
      <c r="H42" s="116"/>
      <c r="I42" s="116"/>
      <c r="L42" s="170">
        <v>45170</v>
      </c>
      <c r="M42" s="116">
        <v>622.4</v>
      </c>
      <c r="N42" s="116">
        <v>630</v>
      </c>
      <c r="O42" s="116">
        <v>605</v>
      </c>
      <c r="P42" s="116">
        <v>605</v>
      </c>
      <c r="Q42" s="116">
        <v>622.4</v>
      </c>
      <c r="R42">
        <v>841413</v>
      </c>
    </row>
    <row r="43" spans="1:18" x14ac:dyDescent="0.25">
      <c r="A43" s="170">
        <v>45173</v>
      </c>
      <c r="B43" s="116">
        <v>638</v>
      </c>
      <c r="C43" s="116">
        <v>623.9</v>
      </c>
      <c r="D43" s="116">
        <v>617</v>
      </c>
      <c r="E43" s="116">
        <v>622.04999999999995</v>
      </c>
      <c r="F43" s="116">
        <v>623.9</v>
      </c>
      <c r="G43">
        <v>48473</v>
      </c>
      <c r="H43" s="116"/>
      <c r="I43" s="116"/>
      <c r="L43" s="170">
        <v>45173</v>
      </c>
      <c r="M43" s="116">
        <v>624.6</v>
      </c>
      <c r="N43" s="116">
        <v>638.5</v>
      </c>
      <c r="O43" s="116">
        <v>616.79999999999995</v>
      </c>
      <c r="P43" s="116">
        <v>626</v>
      </c>
      <c r="Q43" s="116">
        <v>624.6</v>
      </c>
      <c r="R43">
        <v>263233</v>
      </c>
    </row>
    <row r="44" spans="1:18" x14ac:dyDescent="0.25">
      <c r="A44" s="170">
        <v>45174</v>
      </c>
      <c r="B44" s="116">
        <v>748</v>
      </c>
      <c r="C44" s="116">
        <v>718.7</v>
      </c>
      <c r="D44" s="116">
        <v>617</v>
      </c>
      <c r="E44" s="116">
        <v>617</v>
      </c>
      <c r="F44" s="116">
        <v>718.7</v>
      </c>
      <c r="G44">
        <v>119945</v>
      </c>
      <c r="H44" s="116"/>
      <c r="I44" s="116"/>
      <c r="L44" s="170">
        <v>45174</v>
      </c>
      <c r="M44" s="116">
        <v>718.4</v>
      </c>
      <c r="N44" s="116">
        <v>748.9</v>
      </c>
      <c r="O44" s="116">
        <v>623.79999999999995</v>
      </c>
      <c r="P44" s="116">
        <v>624.6</v>
      </c>
      <c r="Q44" s="116">
        <v>718.4</v>
      </c>
      <c r="R44">
        <v>1815180</v>
      </c>
    </row>
    <row r="45" spans="1:18" x14ac:dyDescent="0.25">
      <c r="A45" s="170">
        <v>45175</v>
      </c>
      <c r="B45" s="116">
        <v>779</v>
      </c>
      <c r="C45" s="116">
        <v>711.15</v>
      </c>
      <c r="D45" s="116">
        <v>696.85</v>
      </c>
      <c r="E45" s="116">
        <v>723.95</v>
      </c>
      <c r="F45" s="116">
        <v>711.15</v>
      </c>
      <c r="G45">
        <v>144206</v>
      </c>
      <c r="H45" s="116"/>
      <c r="I45" s="116"/>
      <c r="L45" s="170">
        <v>45175</v>
      </c>
      <c r="M45" s="116">
        <v>710.8</v>
      </c>
      <c r="N45" s="116">
        <v>778.9</v>
      </c>
      <c r="O45" s="116">
        <v>695.7</v>
      </c>
      <c r="P45" s="116">
        <v>722</v>
      </c>
      <c r="Q45" s="116">
        <v>710.8</v>
      </c>
      <c r="R45">
        <v>1836279</v>
      </c>
    </row>
    <row r="46" spans="1:18" x14ac:dyDescent="0.25">
      <c r="A46" s="170">
        <v>45176</v>
      </c>
      <c r="B46" s="116">
        <v>735.5</v>
      </c>
      <c r="C46" s="116">
        <v>683.85</v>
      </c>
      <c r="D46" s="116">
        <v>665.2</v>
      </c>
      <c r="E46" s="116">
        <v>707.1</v>
      </c>
      <c r="F46" s="116">
        <v>683.85</v>
      </c>
      <c r="G46">
        <v>60713</v>
      </c>
      <c r="H46" s="116"/>
      <c r="I46" s="116"/>
      <c r="L46" s="170">
        <v>45176</v>
      </c>
      <c r="M46" s="116">
        <v>683.9</v>
      </c>
      <c r="N46" s="116">
        <v>735.95</v>
      </c>
      <c r="O46" s="116">
        <v>663.2</v>
      </c>
      <c r="P46" s="116">
        <v>708.8</v>
      </c>
      <c r="Q46" s="116">
        <v>683.9</v>
      </c>
      <c r="R46">
        <v>485994</v>
      </c>
    </row>
    <row r="47" spans="1:18" x14ac:dyDescent="0.25">
      <c r="A47" s="170">
        <v>45177</v>
      </c>
      <c r="B47" s="116">
        <v>724.2</v>
      </c>
      <c r="C47" s="116">
        <v>700.3</v>
      </c>
      <c r="D47" s="116">
        <v>670.95</v>
      </c>
      <c r="E47" s="116">
        <v>676.95</v>
      </c>
      <c r="F47" s="116">
        <v>700.3</v>
      </c>
      <c r="G47">
        <v>33317</v>
      </c>
      <c r="H47" s="116"/>
      <c r="I47" s="116"/>
      <c r="L47" s="170">
        <v>45177</v>
      </c>
      <c r="M47" s="116">
        <v>699.2</v>
      </c>
      <c r="N47" s="116">
        <v>725</v>
      </c>
      <c r="O47" s="116">
        <v>671.3</v>
      </c>
      <c r="P47" s="116">
        <v>675</v>
      </c>
      <c r="Q47" s="116">
        <v>699.2</v>
      </c>
      <c r="R47">
        <v>507835</v>
      </c>
    </row>
    <row r="48" spans="1:18" x14ac:dyDescent="0.25">
      <c r="A48" s="170">
        <v>45180</v>
      </c>
      <c r="B48" s="116">
        <v>718.75</v>
      </c>
      <c r="C48" s="116">
        <v>707.85</v>
      </c>
      <c r="D48" s="116">
        <v>700.75</v>
      </c>
      <c r="E48" s="116">
        <v>710.95</v>
      </c>
      <c r="F48" s="116">
        <v>707.85</v>
      </c>
      <c r="G48">
        <v>21733</v>
      </c>
      <c r="H48" s="116"/>
      <c r="I48" s="116"/>
      <c r="L48" s="170">
        <v>45180</v>
      </c>
      <c r="M48" s="116">
        <v>707.8</v>
      </c>
      <c r="N48" s="116">
        <v>717</v>
      </c>
      <c r="O48" s="116">
        <v>702</v>
      </c>
      <c r="P48" s="116">
        <v>709.7</v>
      </c>
      <c r="Q48" s="116">
        <v>707.8</v>
      </c>
      <c r="R48">
        <v>111086</v>
      </c>
    </row>
    <row r="49" spans="1:18" x14ac:dyDescent="0.25">
      <c r="A49" s="170">
        <v>45181</v>
      </c>
      <c r="B49" s="116">
        <v>713.7</v>
      </c>
      <c r="C49" s="116">
        <v>672</v>
      </c>
      <c r="D49" s="116">
        <v>655</v>
      </c>
      <c r="E49" s="116">
        <v>713.25</v>
      </c>
      <c r="F49" s="116">
        <v>672</v>
      </c>
      <c r="G49">
        <v>47590</v>
      </c>
      <c r="H49" s="116"/>
      <c r="I49" s="116"/>
      <c r="L49" s="170">
        <v>45181</v>
      </c>
      <c r="M49" s="116">
        <v>672.3</v>
      </c>
      <c r="N49" s="116">
        <v>715.2</v>
      </c>
      <c r="O49" s="116">
        <v>660</v>
      </c>
      <c r="P49" s="116">
        <v>714</v>
      </c>
      <c r="Q49" s="116">
        <v>672.3</v>
      </c>
      <c r="R49">
        <v>187446</v>
      </c>
    </row>
    <row r="50" spans="1:18" x14ac:dyDescent="0.25">
      <c r="A50" s="170">
        <v>45182</v>
      </c>
      <c r="B50" s="116">
        <v>676.05</v>
      </c>
      <c r="C50" s="116">
        <v>675.6</v>
      </c>
      <c r="D50" s="116">
        <v>649.6</v>
      </c>
      <c r="E50" s="116">
        <v>672.1</v>
      </c>
      <c r="F50" s="116">
        <v>675.6</v>
      </c>
      <c r="G50">
        <v>17006</v>
      </c>
      <c r="H50" s="116"/>
      <c r="I50" s="116"/>
      <c r="L50" s="170">
        <v>45182</v>
      </c>
      <c r="M50" s="116">
        <v>674.1</v>
      </c>
      <c r="N50" s="116">
        <v>678.75</v>
      </c>
      <c r="O50" s="116">
        <v>650</v>
      </c>
      <c r="P50" s="116">
        <v>673.95</v>
      </c>
      <c r="Q50" s="116">
        <v>674.1</v>
      </c>
      <c r="R50">
        <v>192629</v>
      </c>
    </row>
    <row r="51" spans="1:18" x14ac:dyDescent="0.25">
      <c r="A51" s="170">
        <v>45183</v>
      </c>
      <c r="B51" s="116">
        <v>694</v>
      </c>
      <c r="C51" s="116">
        <v>680.6</v>
      </c>
      <c r="D51" s="116">
        <v>677.65</v>
      </c>
      <c r="E51" s="116">
        <v>681</v>
      </c>
      <c r="F51" s="116">
        <v>680.6</v>
      </c>
      <c r="G51">
        <v>15318</v>
      </c>
      <c r="H51" s="116"/>
      <c r="I51" s="116"/>
      <c r="L51" s="170">
        <v>45183</v>
      </c>
      <c r="M51" s="116">
        <v>680.85</v>
      </c>
      <c r="N51" s="116">
        <v>695</v>
      </c>
      <c r="O51" s="116">
        <v>678.25</v>
      </c>
      <c r="P51" s="116">
        <v>681.65</v>
      </c>
      <c r="Q51" s="116">
        <v>680.85</v>
      </c>
      <c r="R51">
        <v>117988</v>
      </c>
    </row>
    <row r="52" spans="1:18" x14ac:dyDescent="0.25">
      <c r="A52" s="170">
        <v>45184</v>
      </c>
      <c r="B52" s="116">
        <v>692.55</v>
      </c>
      <c r="C52" s="116">
        <v>677.95</v>
      </c>
      <c r="D52" s="116">
        <v>674</v>
      </c>
      <c r="E52" s="116">
        <v>687.55</v>
      </c>
      <c r="F52" s="116">
        <v>677.95</v>
      </c>
      <c r="G52">
        <v>8112</v>
      </c>
      <c r="H52" s="116"/>
      <c r="I52" s="116"/>
      <c r="L52" s="170">
        <v>45184</v>
      </c>
      <c r="M52" s="116">
        <v>679.2</v>
      </c>
      <c r="N52" s="116">
        <v>692.75</v>
      </c>
      <c r="O52" s="116">
        <v>673.55</v>
      </c>
      <c r="P52" s="116">
        <v>684.5</v>
      </c>
      <c r="Q52" s="116">
        <v>679.2</v>
      </c>
      <c r="R52">
        <v>78269</v>
      </c>
    </row>
    <row r="53" spans="1:18" x14ac:dyDescent="0.25">
      <c r="A53" s="170">
        <v>45187</v>
      </c>
      <c r="B53" s="116">
        <v>683.55</v>
      </c>
      <c r="C53" s="116">
        <v>666</v>
      </c>
      <c r="D53" s="116">
        <v>660.5</v>
      </c>
      <c r="E53" s="116">
        <v>679.2</v>
      </c>
      <c r="F53" s="116">
        <v>666</v>
      </c>
      <c r="G53">
        <v>8204</v>
      </c>
      <c r="H53" s="116"/>
      <c r="I53" s="116"/>
      <c r="L53" s="170">
        <v>45187</v>
      </c>
      <c r="M53" s="116">
        <v>666.75</v>
      </c>
      <c r="N53" s="116">
        <v>684.95</v>
      </c>
      <c r="O53" s="116">
        <v>660.1</v>
      </c>
      <c r="P53" s="116">
        <v>677</v>
      </c>
      <c r="Q53" s="116">
        <v>666.75</v>
      </c>
      <c r="R53">
        <v>89262</v>
      </c>
    </row>
    <row r="54" spans="1:18" x14ac:dyDescent="0.25">
      <c r="A54" s="170">
        <v>45189</v>
      </c>
      <c r="B54" s="116">
        <v>664.95</v>
      </c>
      <c r="C54" s="116">
        <v>655.55</v>
      </c>
      <c r="D54" s="116">
        <v>651</v>
      </c>
      <c r="E54" s="116">
        <v>664.95</v>
      </c>
      <c r="F54" s="116">
        <v>655.55</v>
      </c>
      <c r="G54">
        <v>5398</v>
      </c>
      <c r="H54" s="116"/>
      <c r="I54" s="116"/>
      <c r="L54" s="170">
        <v>45189</v>
      </c>
      <c r="M54" s="116">
        <v>656.4</v>
      </c>
      <c r="N54" s="116">
        <v>662.75</v>
      </c>
      <c r="O54" s="116">
        <v>650</v>
      </c>
      <c r="P54" s="116">
        <v>662</v>
      </c>
      <c r="Q54" s="116">
        <v>656.4</v>
      </c>
      <c r="R54">
        <v>92122</v>
      </c>
    </row>
    <row r="55" spans="1:18" x14ac:dyDescent="0.25">
      <c r="A55" s="170">
        <v>45190</v>
      </c>
      <c r="B55" s="116">
        <v>686.7</v>
      </c>
      <c r="C55" s="116">
        <v>672.6</v>
      </c>
      <c r="D55" s="116">
        <v>650.04999999999995</v>
      </c>
      <c r="E55" s="116">
        <v>650.04999999999995</v>
      </c>
      <c r="F55" s="116">
        <v>672.6</v>
      </c>
      <c r="G55">
        <v>23530</v>
      </c>
      <c r="H55" s="116"/>
      <c r="I55" s="116"/>
      <c r="L55" s="170">
        <v>45190</v>
      </c>
      <c r="M55" s="116">
        <v>672.6</v>
      </c>
      <c r="N55" s="116">
        <v>687.45</v>
      </c>
      <c r="O55" s="116">
        <v>651.25</v>
      </c>
      <c r="P55" s="116">
        <v>653.9</v>
      </c>
      <c r="Q55" s="116">
        <v>672.6</v>
      </c>
      <c r="R55">
        <v>266264</v>
      </c>
    </row>
    <row r="56" spans="1:18" x14ac:dyDescent="0.25">
      <c r="A56" s="170">
        <v>45191</v>
      </c>
      <c r="B56" s="116">
        <v>682.45</v>
      </c>
      <c r="C56" s="116">
        <v>667.6</v>
      </c>
      <c r="D56" s="116">
        <v>655.95</v>
      </c>
      <c r="E56" s="116">
        <v>682.45</v>
      </c>
      <c r="F56" s="116">
        <v>667.6</v>
      </c>
      <c r="G56">
        <v>13633</v>
      </c>
      <c r="H56" s="116"/>
      <c r="I56" s="116"/>
      <c r="L56" s="170">
        <v>45191</v>
      </c>
      <c r="M56" s="116">
        <v>667.55</v>
      </c>
      <c r="N56" s="116">
        <v>679.7</v>
      </c>
      <c r="O56" s="116">
        <v>656.4</v>
      </c>
      <c r="P56" s="116">
        <v>679.65</v>
      </c>
      <c r="Q56" s="116">
        <v>667.55</v>
      </c>
      <c r="R56">
        <v>95886</v>
      </c>
    </row>
    <row r="57" spans="1:18" x14ac:dyDescent="0.25">
      <c r="A57" s="170">
        <v>45194</v>
      </c>
      <c r="B57" s="116">
        <v>685.05</v>
      </c>
      <c r="C57" s="116">
        <v>673.7</v>
      </c>
      <c r="D57" s="116">
        <v>662.65</v>
      </c>
      <c r="E57" s="116">
        <v>676.5</v>
      </c>
      <c r="F57" s="116">
        <v>673.7</v>
      </c>
      <c r="G57">
        <v>13178</v>
      </c>
      <c r="H57" s="116"/>
      <c r="I57" s="116"/>
      <c r="L57" s="170">
        <v>45194</v>
      </c>
      <c r="M57" s="116">
        <v>674.65</v>
      </c>
      <c r="N57" s="116">
        <v>685.6</v>
      </c>
      <c r="O57" s="116">
        <v>663</v>
      </c>
      <c r="P57" s="116">
        <v>675.65</v>
      </c>
      <c r="Q57" s="116">
        <v>674.65</v>
      </c>
      <c r="R57">
        <v>136738</v>
      </c>
    </row>
    <row r="58" spans="1:18" x14ac:dyDescent="0.25">
      <c r="A58" s="170">
        <v>45195</v>
      </c>
      <c r="B58" s="116">
        <v>683</v>
      </c>
      <c r="C58" s="116">
        <v>678.05</v>
      </c>
      <c r="D58" s="116">
        <v>669.4</v>
      </c>
      <c r="E58" s="116">
        <v>671.5</v>
      </c>
      <c r="F58" s="116">
        <v>678.05</v>
      </c>
      <c r="G58">
        <v>10169</v>
      </c>
      <c r="H58" s="116"/>
      <c r="I58" s="116"/>
      <c r="L58" s="170">
        <v>45195</v>
      </c>
      <c r="M58" s="116">
        <v>678.05</v>
      </c>
      <c r="N58" s="116">
        <v>683</v>
      </c>
      <c r="O58" s="116">
        <v>669.95</v>
      </c>
      <c r="P58" s="116">
        <v>673.75</v>
      </c>
      <c r="Q58" s="116">
        <v>678.05</v>
      </c>
      <c r="R58">
        <v>126546</v>
      </c>
    </row>
    <row r="59" spans="1:18" x14ac:dyDescent="0.25">
      <c r="A59" s="170">
        <v>45196</v>
      </c>
      <c r="B59" s="116">
        <v>727</v>
      </c>
      <c r="C59" s="116">
        <v>699.1</v>
      </c>
      <c r="D59" s="116">
        <v>676.25</v>
      </c>
      <c r="E59" s="116">
        <v>676.25</v>
      </c>
      <c r="F59" s="116">
        <v>699.1</v>
      </c>
      <c r="G59">
        <v>59909</v>
      </c>
      <c r="H59" s="116"/>
      <c r="I59" s="116"/>
      <c r="L59" s="170">
        <v>45196</v>
      </c>
      <c r="M59" s="116">
        <v>698.6</v>
      </c>
      <c r="N59" s="116">
        <v>728</v>
      </c>
      <c r="O59" s="116">
        <v>678</v>
      </c>
      <c r="P59" s="116">
        <v>678</v>
      </c>
      <c r="Q59" s="116">
        <v>698.6</v>
      </c>
      <c r="R59">
        <v>513370</v>
      </c>
    </row>
    <row r="60" spans="1:18" x14ac:dyDescent="0.25">
      <c r="A60" s="170">
        <v>45197</v>
      </c>
      <c r="B60" s="116">
        <v>741.5</v>
      </c>
      <c r="C60" s="116">
        <v>704.3</v>
      </c>
      <c r="D60" s="116">
        <v>690.25</v>
      </c>
      <c r="E60" s="116">
        <v>700.05</v>
      </c>
      <c r="F60" s="116">
        <v>704.3</v>
      </c>
      <c r="G60">
        <v>98793</v>
      </c>
      <c r="H60" s="116"/>
      <c r="I60" s="116"/>
      <c r="L60" s="170">
        <v>45197</v>
      </c>
      <c r="M60" s="116">
        <v>704.7</v>
      </c>
      <c r="N60" s="116">
        <v>740.9</v>
      </c>
      <c r="O60" s="116">
        <v>691.6</v>
      </c>
      <c r="P60" s="116">
        <v>702.75</v>
      </c>
      <c r="Q60" s="116">
        <v>704.7</v>
      </c>
      <c r="R60">
        <v>838541</v>
      </c>
    </row>
    <row r="61" spans="1:18" x14ac:dyDescent="0.25">
      <c r="A61" s="170">
        <v>45198</v>
      </c>
      <c r="B61" s="116">
        <v>741</v>
      </c>
      <c r="C61" s="116">
        <v>720.6</v>
      </c>
      <c r="D61" s="116">
        <v>710.05</v>
      </c>
      <c r="E61" s="116">
        <v>710.05</v>
      </c>
      <c r="F61" s="116">
        <v>720.6</v>
      </c>
      <c r="G61">
        <v>30301</v>
      </c>
      <c r="H61" s="116"/>
      <c r="I61" s="116"/>
      <c r="L61" s="170">
        <v>45198</v>
      </c>
      <c r="M61" s="116">
        <v>720.6</v>
      </c>
      <c r="N61" s="116">
        <v>741.7</v>
      </c>
      <c r="O61" s="116">
        <v>710</v>
      </c>
      <c r="P61" s="116">
        <v>712</v>
      </c>
      <c r="Q61" s="116">
        <v>720.6</v>
      </c>
      <c r="R61">
        <v>487900</v>
      </c>
    </row>
    <row r="62" spans="1:18" x14ac:dyDescent="0.25">
      <c r="A62" s="170">
        <v>45202</v>
      </c>
      <c r="B62" s="116">
        <v>723.1</v>
      </c>
      <c r="C62" s="116">
        <v>684.85</v>
      </c>
      <c r="D62" s="116">
        <v>679.8</v>
      </c>
      <c r="E62" s="116">
        <v>721.05</v>
      </c>
      <c r="F62" s="116">
        <v>684.85</v>
      </c>
      <c r="G62">
        <v>45067</v>
      </c>
      <c r="H62" s="116"/>
      <c r="I62" s="116"/>
      <c r="L62" s="170">
        <v>45202</v>
      </c>
      <c r="M62" s="116">
        <v>685.7</v>
      </c>
      <c r="N62" s="116">
        <v>722.2</v>
      </c>
      <c r="O62" s="116">
        <v>684</v>
      </c>
      <c r="P62" s="116">
        <v>722.2</v>
      </c>
      <c r="Q62" s="116">
        <v>685.7</v>
      </c>
      <c r="R62">
        <v>366770</v>
      </c>
    </row>
    <row r="63" spans="1:18" x14ac:dyDescent="0.25">
      <c r="A63" s="170">
        <v>45203</v>
      </c>
      <c r="B63" s="116">
        <v>693.95</v>
      </c>
      <c r="C63" s="116">
        <v>656.4</v>
      </c>
      <c r="D63" s="116">
        <v>646.35</v>
      </c>
      <c r="E63" s="116">
        <v>687</v>
      </c>
      <c r="F63" s="116">
        <v>656.4</v>
      </c>
      <c r="G63">
        <v>40959</v>
      </c>
      <c r="H63" s="116"/>
      <c r="I63" s="116"/>
      <c r="L63" s="170">
        <v>45203</v>
      </c>
      <c r="M63" s="116">
        <v>656.85</v>
      </c>
      <c r="N63" s="116">
        <v>693.65</v>
      </c>
      <c r="O63" s="116">
        <v>646.85</v>
      </c>
      <c r="P63" s="116">
        <v>687</v>
      </c>
      <c r="Q63" s="116">
        <v>656.85</v>
      </c>
      <c r="R63">
        <v>516920</v>
      </c>
    </row>
    <row r="64" spans="1:18" x14ac:dyDescent="0.25">
      <c r="A64" s="170">
        <v>45204</v>
      </c>
      <c r="B64" s="116">
        <v>679.95</v>
      </c>
      <c r="C64" s="116">
        <v>670.1</v>
      </c>
      <c r="D64" s="116">
        <v>658.45</v>
      </c>
      <c r="E64" s="116">
        <v>679.95</v>
      </c>
      <c r="F64" s="116">
        <v>670.1</v>
      </c>
      <c r="G64">
        <v>23835</v>
      </c>
      <c r="H64" s="116"/>
      <c r="I64" s="116"/>
      <c r="L64" s="170">
        <v>45204</v>
      </c>
      <c r="M64" s="116">
        <v>669.95</v>
      </c>
      <c r="N64" s="116">
        <v>684.95</v>
      </c>
      <c r="O64" s="116">
        <v>658</v>
      </c>
      <c r="P64" s="116">
        <v>678</v>
      </c>
      <c r="Q64" s="116">
        <v>669.95</v>
      </c>
      <c r="R64">
        <v>258899</v>
      </c>
    </row>
    <row r="65" spans="1:18" x14ac:dyDescent="0.25">
      <c r="A65" s="170">
        <v>45205</v>
      </c>
      <c r="B65" s="116">
        <v>672.9</v>
      </c>
      <c r="C65" s="116">
        <v>668.4</v>
      </c>
      <c r="D65" s="116">
        <v>660.1</v>
      </c>
      <c r="E65" s="116">
        <v>670.05</v>
      </c>
      <c r="F65" s="116">
        <v>668.4</v>
      </c>
      <c r="G65">
        <v>18605</v>
      </c>
      <c r="H65" s="116"/>
      <c r="I65" s="116"/>
      <c r="L65" s="170">
        <v>45205</v>
      </c>
      <c r="M65" s="116">
        <v>668.25</v>
      </c>
      <c r="N65" s="116">
        <v>674</v>
      </c>
      <c r="O65" s="116">
        <v>660</v>
      </c>
      <c r="P65" s="116">
        <v>671.5</v>
      </c>
      <c r="Q65" s="116">
        <v>668.25</v>
      </c>
      <c r="R65">
        <v>160197</v>
      </c>
    </row>
    <row r="66" spans="1:18" x14ac:dyDescent="0.25">
      <c r="A66" s="170">
        <v>45208</v>
      </c>
      <c r="B66" s="116">
        <v>680</v>
      </c>
      <c r="C66" s="116">
        <v>668.45</v>
      </c>
      <c r="D66" s="116">
        <v>650</v>
      </c>
      <c r="E66" s="116">
        <v>650</v>
      </c>
      <c r="F66" s="116">
        <v>668.45</v>
      </c>
      <c r="G66">
        <v>35681</v>
      </c>
      <c r="H66" s="116"/>
      <c r="I66" s="116"/>
      <c r="L66" s="170">
        <v>45208</v>
      </c>
      <c r="M66" s="116">
        <v>668.55</v>
      </c>
      <c r="N66" s="116">
        <v>679.9</v>
      </c>
      <c r="O66" s="116">
        <v>654.5</v>
      </c>
      <c r="P66" s="116">
        <v>668.9</v>
      </c>
      <c r="Q66" s="116">
        <v>668.55</v>
      </c>
      <c r="R66">
        <v>616692</v>
      </c>
    </row>
    <row r="67" spans="1:18" x14ac:dyDescent="0.25">
      <c r="A67" s="170">
        <v>45209</v>
      </c>
      <c r="B67" s="116">
        <v>676</v>
      </c>
      <c r="C67" s="116">
        <v>666.15</v>
      </c>
      <c r="D67" s="116">
        <v>662.5</v>
      </c>
      <c r="E67" s="116">
        <v>671</v>
      </c>
      <c r="F67" s="116">
        <v>666.15</v>
      </c>
      <c r="G67">
        <v>12932</v>
      </c>
      <c r="H67" s="116"/>
      <c r="I67" s="116"/>
      <c r="L67" s="170">
        <v>45209</v>
      </c>
      <c r="M67" s="116">
        <v>665.5</v>
      </c>
      <c r="N67" s="116">
        <v>676.1</v>
      </c>
      <c r="O67" s="116">
        <v>662.2</v>
      </c>
      <c r="P67" s="116">
        <v>668</v>
      </c>
      <c r="Q67" s="116">
        <v>665.5</v>
      </c>
      <c r="R67">
        <v>215482</v>
      </c>
    </row>
    <row r="68" spans="1:18" x14ac:dyDescent="0.25">
      <c r="A68" s="170">
        <v>45210</v>
      </c>
      <c r="B68" s="116">
        <v>704.15</v>
      </c>
      <c r="C68" s="116">
        <v>672.55</v>
      </c>
      <c r="D68" s="116">
        <v>666.05</v>
      </c>
      <c r="E68" s="116">
        <v>666.05</v>
      </c>
      <c r="F68" s="116">
        <v>672.55</v>
      </c>
      <c r="G68">
        <v>39263</v>
      </c>
      <c r="H68" s="116"/>
      <c r="I68" s="116"/>
      <c r="L68" s="170">
        <v>45210</v>
      </c>
      <c r="M68" s="116">
        <v>673.1</v>
      </c>
      <c r="N68" s="116">
        <v>703.65</v>
      </c>
      <c r="O68" s="116">
        <v>669</v>
      </c>
      <c r="P68" s="116">
        <v>670</v>
      </c>
      <c r="Q68" s="116">
        <v>673.1</v>
      </c>
      <c r="R68">
        <v>326673</v>
      </c>
    </row>
    <row r="69" spans="1:18" x14ac:dyDescent="0.25">
      <c r="A69" s="170">
        <v>45211</v>
      </c>
      <c r="B69" s="116">
        <v>701.35</v>
      </c>
      <c r="C69" s="116">
        <v>691.4</v>
      </c>
      <c r="D69" s="116">
        <v>665.55</v>
      </c>
      <c r="E69" s="116">
        <v>679.9</v>
      </c>
      <c r="F69" s="116">
        <v>691.4</v>
      </c>
      <c r="G69">
        <v>17224</v>
      </c>
      <c r="H69" s="116"/>
      <c r="I69" s="116"/>
      <c r="L69" s="170">
        <v>45211</v>
      </c>
      <c r="M69" s="116">
        <v>691.85</v>
      </c>
      <c r="N69" s="116">
        <v>702</v>
      </c>
      <c r="O69" s="116">
        <v>665.3</v>
      </c>
      <c r="P69" s="116">
        <v>677.9</v>
      </c>
      <c r="Q69" s="116">
        <v>691.85</v>
      </c>
      <c r="R69">
        <v>352934</v>
      </c>
    </row>
    <row r="70" spans="1:18" x14ac:dyDescent="0.25">
      <c r="A70" s="170">
        <v>45212</v>
      </c>
      <c r="B70" s="116">
        <v>712.15</v>
      </c>
      <c r="C70" s="116">
        <v>686.75</v>
      </c>
      <c r="D70" s="116">
        <v>683</v>
      </c>
      <c r="E70" s="116">
        <v>691.4</v>
      </c>
      <c r="F70" s="116">
        <v>686.75</v>
      </c>
      <c r="G70">
        <v>12406</v>
      </c>
      <c r="H70" s="116"/>
      <c r="I70" s="116"/>
      <c r="L70" s="170">
        <v>45212</v>
      </c>
      <c r="M70" s="116">
        <v>686.55</v>
      </c>
      <c r="N70" s="116">
        <v>713.5</v>
      </c>
      <c r="O70" s="116">
        <v>682.3</v>
      </c>
      <c r="P70" s="116">
        <v>691</v>
      </c>
      <c r="Q70" s="116">
        <v>686.55</v>
      </c>
      <c r="R70">
        <v>306642</v>
      </c>
    </row>
    <row r="71" spans="1:18" x14ac:dyDescent="0.25">
      <c r="A71" s="170">
        <v>45215</v>
      </c>
      <c r="B71" s="116">
        <v>699.35</v>
      </c>
      <c r="C71" s="116">
        <v>688.6</v>
      </c>
      <c r="D71" s="116">
        <v>685</v>
      </c>
      <c r="E71" s="116">
        <v>699.35</v>
      </c>
      <c r="F71" s="116">
        <v>688.6</v>
      </c>
      <c r="G71">
        <v>26653</v>
      </c>
      <c r="H71" s="116"/>
      <c r="I71" s="116"/>
      <c r="L71" s="170">
        <v>45215</v>
      </c>
      <c r="M71" s="116">
        <v>688.75</v>
      </c>
      <c r="N71" s="116">
        <v>696.65</v>
      </c>
      <c r="O71" s="116">
        <v>685</v>
      </c>
      <c r="P71" s="116">
        <v>696.65</v>
      </c>
      <c r="Q71" s="116">
        <v>688.75</v>
      </c>
      <c r="R71">
        <v>278291</v>
      </c>
    </row>
    <row r="72" spans="1:18" x14ac:dyDescent="0.25">
      <c r="A72" s="170">
        <v>45216</v>
      </c>
      <c r="B72" s="116">
        <v>748</v>
      </c>
      <c r="C72" s="116">
        <v>708.6</v>
      </c>
      <c r="D72" s="116">
        <v>701.85</v>
      </c>
      <c r="E72" s="116">
        <v>714.85</v>
      </c>
      <c r="F72" s="116">
        <v>708.6</v>
      </c>
      <c r="G72">
        <v>68320</v>
      </c>
      <c r="H72" s="116"/>
      <c r="I72" s="116"/>
      <c r="L72" s="170">
        <v>45216</v>
      </c>
      <c r="M72" s="116">
        <v>708.6</v>
      </c>
      <c r="N72" s="116">
        <v>747.7</v>
      </c>
      <c r="O72" s="116">
        <v>701.7</v>
      </c>
      <c r="P72" s="116">
        <v>704</v>
      </c>
      <c r="Q72" s="116">
        <v>708.6</v>
      </c>
      <c r="R72">
        <v>1534941</v>
      </c>
    </row>
    <row r="73" spans="1:18" x14ac:dyDescent="0.25">
      <c r="A73" s="170">
        <v>45217</v>
      </c>
      <c r="B73" s="116">
        <v>725</v>
      </c>
      <c r="C73" s="116">
        <v>712.7</v>
      </c>
      <c r="D73" s="116">
        <v>705.8</v>
      </c>
      <c r="E73" s="116">
        <v>718.05</v>
      </c>
      <c r="F73" s="116">
        <v>712.7</v>
      </c>
      <c r="G73">
        <v>70268</v>
      </c>
      <c r="H73" s="116"/>
      <c r="I73" s="116"/>
      <c r="L73" s="170">
        <v>45217</v>
      </c>
      <c r="M73" s="116">
        <v>712.8</v>
      </c>
      <c r="N73" s="116">
        <v>725</v>
      </c>
      <c r="O73" s="116">
        <v>705.6</v>
      </c>
      <c r="P73" s="116">
        <v>719.4</v>
      </c>
      <c r="Q73" s="116">
        <v>712.8</v>
      </c>
      <c r="R73">
        <v>606175</v>
      </c>
    </row>
    <row r="74" spans="1:18" x14ac:dyDescent="0.25">
      <c r="A74" s="170">
        <v>45218</v>
      </c>
      <c r="B74" s="116">
        <v>713</v>
      </c>
      <c r="C74" s="116">
        <v>702</v>
      </c>
      <c r="D74" s="116">
        <v>690.3</v>
      </c>
      <c r="E74" s="116">
        <v>713</v>
      </c>
      <c r="F74" s="116">
        <v>702</v>
      </c>
      <c r="G74">
        <v>19709</v>
      </c>
      <c r="H74" s="116"/>
      <c r="I74" s="116"/>
      <c r="L74" s="170">
        <v>45218</v>
      </c>
      <c r="M74" s="116">
        <v>701.8</v>
      </c>
      <c r="N74" s="116">
        <v>712.6</v>
      </c>
      <c r="O74" s="116">
        <v>690.2</v>
      </c>
      <c r="P74" s="116">
        <v>712.6</v>
      </c>
      <c r="Q74" s="116">
        <v>701.8</v>
      </c>
      <c r="R74">
        <v>320930</v>
      </c>
    </row>
    <row r="75" spans="1:18" x14ac:dyDescent="0.25">
      <c r="A75" s="170">
        <v>45219</v>
      </c>
      <c r="B75" s="116">
        <v>726.75</v>
      </c>
      <c r="C75" s="116">
        <v>696.95</v>
      </c>
      <c r="D75" s="116">
        <v>693.75</v>
      </c>
      <c r="E75" s="116">
        <v>713.2</v>
      </c>
      <c r="F75" s="116">
        <v>696.95</v>
      </c>
      <c r="G75">
        <v>37997</v>
      </c>
      <c r="H75" s="116"/>
      <c r="I75" s="116"/>
      <c r="L75" s="170">
        <v>45219</v>
      </c>
      <c r="M75" s="116">
        <v>696.85</v>
      </c>
      <c r="N75" s="116">
        <v>727</v>
      </c>
      <c r="O75" s="116">
        <v>694</v>
      </c>
      <c r="P75" s="116">
        <v>707.85</v>
      </c>
      <c r="Q75" s="116">
        <v>696.85</v>
      </c>
      <c r="R75">
        <v>369338</v>
      </c>
    </row>
    <row r="76" spans="1:18" x14ac:dyDescent="0.25">
      <c r="A76" s="170">
        <v>45222</v>
      </c>
      <c r="B76" s="116">
        <v>709.95</v>
      </c>
      <c r="C76" s="116">
        <v>661.95</v>
      </c>
      <c r="D76" s="116">
        <v>658.45</v>
      </c>
      <c r="E76" s="116">
        <v>704.95</v>
      </c>
      <c r="F76" s="116">
        <v>661.95</v>
      </c>
      <c r="G76">
        <v>65939</v>
      </c>
      <c r="H76" s="116"/>
      <c r="I76" s="116"/>
      <c r="L76" s="170">
        <v>45222</v>
      </c>
      <c r="M76" s="116">
        <v>662.65</v>
      </c>
      <c r="N76" s="116">
        <v>710</v>
      </c>
      <c r="O76" s="116">
        <v>659</v>
      </c>
      <c r="P76" s="116">
        <v>702</v>
      </c>
      <c r="Q76" s="116">
        <v>662.65</v>
      </c>
      <c r="R76">
        <v>349304</v>
      </c>
    </row>
    <row r="77" spans="1:18" x14ac:dyDescent="0.25">
      <c r="A77" s="170">
        <v>45224</v>
      </c>
      <c r="B77" s="116">
        <v>674.75</v>
      </c>
      <c r="C77" s="116">
        <v>634.25</v>
      </c>
      <c r="D77" s="116">
        <v>617.35</v>
      </c>
      <c r="E77" s="116">
        <v>667.65</v>
      </c>
      <c r="F77" s="116">
        <v>634.25</v>
      </c>
      <c r="G77">
        <v>32590</v>
      </c>
      <c r="H77" s="116"/>
      <c r="I77" s="116"/>
      <c r="L77" s="170">
        <v>45224</v>
      </c>
      <c r="M77" s="116">
        <v>634</v>
      </c>
      <c r="N77" s="116">
        <v>674.9</v>
      </c>
      <c r="O77" s="116">
        <v>616.04999999999995</v>
      </c>
      <c r="P77" s="116">
        <v>667</v>
      </c>
      <c r="Q77" s="116">
        <v>634</v>
      </c>
      <c r="R77">
        <v>391358</v>
      </c>
    </row>
    <row r="78" spans="1:18" x14ac:dyDescent="0.25">
      <c r="A78" s="170">
        <v>45225</v>
      </c>
      <c r="B78" s="116">
        <v>648.1</v>
      </c>
      <c r="C78" s="116">
        <v>642.25</v>
      </c>
      <c r="D78" s="116">
        <v>604.95000000000005</v>
      </c>
      <c r="E78" s="116">
        <v>633.25</v>
      </c>
      <c r="F78" s="116">
        <v>642.25</v>
      </c>
      <c r="G78">
        <v>47692</v>
      </c>
      <c r="H78" s="116"/>
      <c r="I78" s="116"/>
      <c r="L78" s="170">
        <v>45225</v>
      </c>
      <c r="M78" s="116">
        <v>643.15</v>
      </c>
      <c r="N78" s="116">
        <v>648.9</v>
      </c>
      <c r="O78" s="116">
        <v>605.20000000000005</v>
      </c>
      <c r="P78" s="116">
        <v>631.04999999999995</v>
      </c>
      <c r="Q78" s="116">
        <v>643.15</v>
      </c>
      <c r="R78">
        <v>295771</v>
      </c>
    </row>
    <row r="79" spans="1:18" x14ac:dyDescent="0.25">
      <c r="A79" s="170">
        <v>45226</v>
      </c>
      <c r="B79" s="116">
        <v>658.65</v>
      </c>
      <c r="C79" s="116">
        <v>648.70000000000005</v>
      </c>
      <c r="D79" s="116">
        <v>646.54999999999995</v>
      </c>
      <c r="E79" s="116">
        <v>648</v>
      </c>
      <c r="F79" s="116">
        <v>648.70000000000005</v>
      </c>
      <c r="G79">
        <v>13794</v>
      </c>
      <c r="H79" s="116"/>
      <c r="I79" s="116"/>
      <c r="L79" s="170">
        <v>45226</v>
      </c>
      <c r="M79" s="116">
        <v>648.79999999999995</v>
      </c>
      <c r="N79" s="116">
        <v>659.05</v>
      </c>
      <c r="O79" s="116">
        <v>645.75</v>
      </c>
      <c r="P79" s="116">
        <v>649.95000000000005</v>
      </c>
      <c r="Q79" s="116">
        <v>648.79999999999995</v>
      </c>
      <c r="R79">
        <v>211387</v>
      </c>
    </row>
    <row r="80" spans="1:18" x14ac:dyDescent="0.25">
      <c r="A80" s="170">
        <v>45229</v>
      </c>
      <c r="B80" s="116">
        <v>660.7</v>
      </c>
      <c r="C80" s="116">
        <v>640</v>
      </c>
      <c r="D80" s="116">
        <v>635</v>
      </c>
      <c r="E80" s="116">
        <v>660.7</v>
      </c>
      <c r="F80" s="116">
        <v>640</v>
      </c>
      <c r="G80">
        <v>8387</v>
      </c>
      <c r="H80" s="116"/>
      <c r="I80" s="116"/>
      <c r="L80" s="170">
        <v>45229</v>
      </c>
      <c r="M80" s="116">
        <v>640.25</v>
      </c>
      <c r="N80" s="116">
        <v>661</v>
      </c>
      <c r="O80" s="116">
        <v>633.29999999999995</v>
      </c>
      <c r="P80" s="116">
        <v>660</v>
      </c>
      <c r="Q80" s="116">
        <v>640.25</v>
      </c>
      <c r="R80">
        <v>157409</v>
      </c>
    </row>
    <row r="81" spans="1:18" x14ac:dyDescent="0.25">
      <c r="A81" s="170">
        <v>45230</v>
      </c>
      <c r="B81" s="116">
        <v>652.4</v>
      </c>
      <c r="C81" s="116">
        <v>639.6</v>
      </c>
      <c r="D81" s="116">
        <v>636.70000000000005</v>
      </c>
      <c r="E81" s="116">
        <v>649.95000000000005</v>
      </c>
      <c r="F81" s="116">
        <v>639.6</v>
      </c>
      <c r="G81">
        <v>5336</v>
      </c>
      <c r="H81" s="116"/>
      <c r="I81" s="116"/>
      <c r="L81" s="170">
        <v>45230</v>
      </c>
      <c r="M81" s="116">
        <v>639.4</v>
      </c>
      <c r="N81" s="116">
        <v>653.5</v>
      </c>
      <c r="O81" s="116">
        <v>635.6</v>
      </c>
      <c r="P81" s="116">
        <v>644.1</v>
      </c>
      <c r="Q81" s="116">
        <v>639.4</v>
      </c>
      <c r="R81">
        <v>120251</v>
      </c>
    </row>
    <row r="82" spans="1:18" x14ac:dyDescent="0.25">
      <c r="A82" s="170">
        <v>45231</v>
      </c>
      <c r="B82" s="116">
        <v>647.5</v>
      </c>
      <c r="C82" s="116">
        <v>634.1</v>
      </c>
      <c r="D82" s="116">
        <v>630.29999999999995</v>
      </c>
      <c r="E82" s="116">
        <v>644.95000000000005</v>
      </c>
      <c r="F82" s="116">
        <v>634.1</v>
      </c>
      <c r="G82">
        <v>13115</v>
      </c>
      <c r="H82" s="116"/>
      <c r="I82" s="116"/>
      <c r="L82" s="170">
        <v>45231</v>
      </c>
      <c r="M82" s="116">
        <v>634.45000000000005</v>
      </c>
      <c r="N82" s="116">
        <v>647.4</v>
      </c>
      <c r="O82" s="116">
        <v>630</v>
      </c>
      <c r="P82" s="116">
        <v>642.79999999999995</v>
      </c>
      <c r="Q82" s="116">
        <v>634.45000000000005</v>
      </c>
      <c r="R82">
        <v>101475</v>
      </c>
    </row>
    <row r="83" spans="1:18" x14ac:dyDescent="0.25">
      <c r="A83" s="170">
        <v>45232</v>
      </c>
      <c r="B83" s="116">
        <v>644.04999999999995</v>
      </c>
      <c r="C83" s="116">
        <v>641.75</v>
      </c>
      <c r="D83" s="116">
        <v>631.29999999999995</v>
      </c>
      <c r="E83" s="116">
        <v>640.70000000000005</v>
      </c>
      <c r="F83" s="116">
        <v>641.75</v>
      </c>
      <c r="G83">
        <v>6650</v>
      </c>
      <c r="H83" s="116"/>
      <c r="I83" s="116"/>
      <c r="L83" s="170">
        <v>45232</v>
      </c>
      <c r="M83" s="116">
        <v>641.4</v>
      </c>
      <c r="N83" s="116">
        <v>643.9</v>
      </c>
      <c r="O83" s="116">
        <v>631.45000000000005</v>
      </c>
      <c r="P83" s="116">
        <v>640.1</v>
      </c>
      <c r="Q83" s="116">
        <v>641.4</v>
      </c>
      <c r="R83">
        <v>115815</v>
      </c>
    </row>
    <row r="84" spans="1:18" x14ac:dyDescent="0.25">
      <c r="A84" s="170">
        <v>45233</v>
      </c>
      <c r="B84" s="116">
        <v>648</v>
      </c>
      <c r="C84" s="116">
        <v>637.45000000000005</v>
      </c>
      <c r="D84" s="116">
        <v>635.1</v>
      </c>
      <c r="E84" s="116">
        <v>647.6</v>
      </c>
      <c r="F84" s="116">
        <v>637.45000000000005</v>
      </c>
      <c r="G84">
        <v>15467</v>
      </c>
      <c r="H84" s="116"/>
      <c r="I84" s="116"/>
      <c r="L84" s="170">
        <v>45233</v>
      </c>
      <c r="M84" s="116">
        <v>637.15</v>
      </c>
      <c r="N84" s="116">
        <v>646.9</v>
      </c>
      <c r="O84" s="116">
        <v>635.04999999999995</v>
      </c>
      <c r="P84" s="116">
        <v>646.79999999999995</v>
      </c>
      <c r="Q84" s="116">
        <v>637.15</v>
      </c>
      <c r="R84">
        <v>100195</v>
      </c>
    </row>
    <row r="85" spans="1:18" x14ac:dyDescent="0.25">
      <c r="A85" s="170">
        <v>45236</v>
      </c>
      <c r="B85" s="116">
        <v>645</v>
      </c>
      <c r="C85" s="116">
        <v>637.04999999999995</v>
      </c>
      <c r="D85" s="116">
        <v>634.45000000000005</v>
      </c>
      <c r="E85" s="116">
        <v>638</v>
      </c>
      <c r="F85" s="116">
        <v>637.04999999999995</v>
      </c>
      <c r="G85">
        <v>14516</v>
      </c>
      <c r="H85" s="116"/>
      <c r="I85" s="116"/>
      <c r="L85" s="170">
        <v>45236</v>
      </c>
      <c r="M85" s="116">
        <v>636.6</v>
      </c>
      <c r="N85" s="116">
        <v>645</v>
      </c>
      <c r="O85" s="116">
        <v>635.35</v>
      </c>
      <c r="P85" s="116">
        <v>640</v>
      </c>
      <c r="Q85" s="116">
        <v>636.6</v>
      </c>
      <c r="R85">
        <v>130765</v>
      </c>
    </row>
    <row r="86" spans="1:18" x14ac:dyDescent="0.25">
      <c r="A86" s="170">
        <v>45237</v>
      </c>
      <c r="B86" s="116">
        <v>642.9</v>
      </c>
      <c r="C86" s="116">
        <v>635.35</v>
      </c>
      <c r="D86" s="116">
        <v>633.35</v>
      </c>
      <c r="E86" s="116">
        <v>637.1</v>
      </c>
      <c r="F86" s="116">
        <v>635.35</v>
      </c>
      <c r="G86">
        <v>12157</v>
      </c>
      <c r="H86" s="116"/>
      <c r="I86" s="116"/>
      <c r="L86" s="170">
        <v>45237</v>
      </c>
      <c r="M86" s="116">
        <v>635.29999999999995</v>
      </c>
      <c r="N86" s="116">
        <v>642.85</v>
      </c>
      <c r="O86" s="116">
        <v>633.04999999999995</v>
      </c>
      <c r="P86" s="116">
        <v>639</v>
      </c>
      <c r="Q86" s="116">
        <v>635.29999999999995</v>
      </c>
      <c r="R86">
        <v>86118</v>
      </c>
    </row>
    <row r="87" spans="1:18" x14ac:dyDescent="0.25">
      <c r="A87" s="170">
        <v>45238</v>
      </c>
      <c r="B87" s="116">
        <v>646.95000000000005</v>
      </c>
      <c r="C87" s="116">
        <v>633.15</v>
      </c>
      <c r="D87" s="116">
        <v>631.04999999999995</v>
      </c>
      <c r="E87" s="116">
        <v>646.95000000000005</v>
      </c>
      <c r="F87" s="116">
        <v>633.15</v>
      </c>
      <c r="G87">
        <v>14768</v>
      </c>
      <c r="H87" s="116"/>
      <c r="I87" s="116"/>
      <c r="L87" s="170">
        <v>45238</v>
      </c>
      <c r="M87" s="116">
        <v>633.04999999999995</v>
      </c>
      <c r="N87" s="116">
        <v>646.15</v>
      </c>
      <c r="O87" s="116">
        <v>631.04999999999995</v>
      </c>
      <c r="P87" s="116">
        <v>639</v>
      </c>
      <c r="Q87" s="116">
        <v>633.04999999999995</v>
      </c>
      <c r="R87">
        <v>103804</v>
      </c>
    </row>
    <row r="88" spans="1:18" x14ac:dyDescent="0.25">
      <c r="A88" s="170">
        <v>45239</v>
      </c>
      <c r="B88" s="116">
        <v>645.25</v>
      </c>
      <c r="C88" s="116">
        <v>640.5</v>
      </c>
      <c r="D88" s="116">
        <v>629.15</v>
      </c>
      <c r="E88" s="116">
        <v>633.04999999999995</v>
      </c>
      <c r="F88" s="116">
        <v>640.5</v>
      </c>
      <c r="G88">
        <v>21536</v>
      </c>
      <c r="H88" s="116"/>
      <c r="I88" s="116"/>
      <c r="L88" s="170">
        <v>45239</v>
      </c>
      <c r="M88" s="116">
        <v>640.65</v>
      </c>
      <c r="N88" s="116">
        <v>643.15</v>
      </c>
      <c r="O88" s="116">
        <v>629</v>
      </c>
      <c r="P88" s="116">
        <v>633.95000000000005</v>
      </c>
      <c r="Q88" s="116">
        <v>640.65</v>
      </c>
      <c r="R88">
        <v>183466</v>
      </c>
    </row>
    <row r="89" spans="1:18" x14ac:dyDescent="0.25">
      <c r="A89" s="170">
        <v>45240</v>
      </c>
      <c r="B89" s="116">
        <v>640</v>
      </c>
      <c r="C89" s="116">
        <v>633.85</v>
      </c>
      <c r="D89" s="116">
        <v>632</v>
      </c>
      <c r="E89" s="116">
        <v>639.95000000000005</v>
      </c>
      <c r="F89" s="116">
        <v>633.85</v>
      </c>
      <c r="G89">
        <v>4672</v>
      </c>
      <c r="H89" s="116"/>
      <c r="I89" s="116"/>
      <c r="L89" s="170">
        <v>45240</v>
      </c>
      <c r="M89" s="116">
        <v>633.75</v>
      </c>
      <c r="N89" s="116">
        <v>640.85</v>
      </c>
      <c r="O89" s="116">
        <v>632</v>
      </c>
      <c r="P89" s="116">
        <v>640</v>
      </c>
      <c r="Q89" s="116">
        <v>633.75</v>
      </c>
      <c r="R89">
        <v>76995</v>
      </c>
    </row>
    <row r="90" spans="1:18" x14ac:dyDescent="0.25">
      <c r="A90" s="170">
        <v>45242</v>
      </c>
      <c r="B90" s="116">
        <v>647.95000000000005</v>
      </c>
      <c r="C90" s="116">
        <v>646.04999999999995</v>
      </c>
      <c r="D90" s="116">
        <v>633.85</v>
      </c>
      <c r="E90" s="116">
        <v>638</v>
      </c>
      <c r="F90" s="116">
        <v>646.04999999999995</v>
      </c>
      <c r="G90">
        <v>9089</v>
      </c>
      <c r="H90" s="116"/>
      <c r="I90" s="116"/>
      <c r="L90" s="170">
        <v>45242</v>
      </c>
      <c r="M90" s="116">
        <v>646.25</v>
      </c>
      <c r="N90" s="116">
        <v>648.45000000000005</v>
      </c>
      <c r="O90" s="116">
        <v>635</v>
      </c>
      <c r="P90" s="116">
        <v>635</v>
      </c>
      <c r="Q90" s="116">
        <v>646.25</v>
      </c>
      <c r="R90">
        <v>47579</v>
      </c>
    </row>
    <row r="91" spans="1:18" x14ac:dyDescent="0.25">
      <c r="A91" s="170">
        <v>45243</v>
      </c>
      <c r="B91" s="116">
        <v>654.95000000000005</v>
      </c>
      <c r="C91" s="116">
        <v>637.54999999999995</v>
      </c>
      <c r="D91" s="116">
        <v>635</v>
      </c>
      <c r="E91" s="116">
        <v>654.95000000000005</v>
      </c>
      <c r="F91" s="116">
        <v>637.54999999999995</v>
      </c>
      <c r="G91">
        <v>5164</v>
      </c>
      <c r="H91" s="116"/>
      <c r="I91" s="116"/>
      <c r="L91" s="170">
        <v>45243</v>
      </c>
      <c r="M91" s="116">
        <v>637</v>
      </c>
      <c r="N91" s="116">
        <v>644.95000000000005</v>
      </c>
      <c r="O91" s="116">
        <v>635</v>
      </c>
      <c r="P91" s="116">
        <v>644.95000000000005</v>
      </c>
      <c r="Q91" s="116">
        <v>637</v>
      </c>
      <c r="R91">
        <v>64807</v>
      </c>
    </row>
    <row r="92" spans="1:18" x14ac:dyDescent="0.25">
      <c r="A92" s="170">
        <v>45245</v>
      </c>
      <c r="B92" s="116">
        <v>677.5</v>
      </c>
      <c r="C92" s="116">
        <v>666.2</v>
      </c>
      <c r="D92" s="116">
        <v>647.04999999999995</v>
      </c>
      <c r="E92" s="116">
        <v>650</v>
      </c>
      <c r="F92" s="116">
        <v>666.2</v>
      </c>
      <c r="G92">
        <v>56100</v>
      </c>
      <c r="H92" s="116"/>
      <c r="I92" s="116"/>
      <c r="L92" s="170">
        <v>45245</v>
      </c>
      <c r="M92" s="116">
        <v>667.4</v>
      </c>
      <c r="N92" s="116">
        <v>679.95</v>
      </c>
      <c r="O92" s="116">
        <v>647.29999999999995</v>
      </c>
      <c r="P92" s="116">
        <v>679.95</v>
      </c>
      <c r="Q92" s="116">
        <v>667.4</v>
      </c>
      <c r="R92">
        <v>414144</v>
      </c>
    </row>
    <row r="93" spans="1:18" x14ac:dyDescent="0.25">
      <c r="A93" s="170">
        <v>45246</v>
      </c>
      <c r="B93" s="116">
        <v>676</v>
      </c>
      <c r="C93" s="116">
        <v>671.95</v>
      </c>
      <c r="D93" s="116">
        <v>661.85</v>
      </c>
      <c r="E93" s="116">
        <v>668</v>
      </c>
      <c r="F93" s="116">
        <v>671.95</v>
      </c>
      <c r="G93">
        <v>6957</v>
      </c>
      <c r="H93" s="116"/>
      <c r="I93" s="116"/>
      <c r="L93" s="170">
        <v>45246</v>
      </c>
      <c r="M93" s="116">
        <v>672.15</v>
      </c>
      <c r="N93" s="116">
        <v>676.85</v>
      </c>
      <c r="O93" s="116">
        <v>661.1</v>
      </c>
      <c r="P93" s="116">
        <v>667.4</v>
      </c>
      <c r="Q93" s="116">
        <v>672.15</v>
      </c>
      <c r="R93">
        <v>178599</v>
      </c>
    </row>
    <row r="94" spans="1:18" x14ac:dyDescent="0.25">
      <c r="A94" s="170">
        <v>45247</v>
      </c>
      <c r="B94" s="116">
        <v>691</v>
      </c>
      <c r="C94" s="116">
        <v>666.7</v>
      </c>
      <c r="D94" s="116">
        <v>664.35</v>
      </c>
      <c r="E94" s="116">
        <v>672</v>
      </c>
      <c r="F94" s="116">
        <v>666.7</v>
      </c>
      <c r="G94">
        <v>9057</v>
      </c>
      <c r="H94" s="116"/>
      <c r="I94" s="116"/>
      <c r="L94" s="170">
        <v>45247</v>
      </c>
      <c r="M94" s="116">
        <v>666.75</v>
      </c>
      <c r="N94" s="116">
        <v>692</v>
      </c>
      <c r="O94" s="116">
        <v>661</v>
      </c>
      <c r="P94" s="116">
        <v>661</v>
      </c>
      <c r="Q94" s="116">
        <v>666.75</v>
      </c>
      <c r="R94">
        <v>211681</v>
      </c>
    </row>
    <row r="95" spans="1:18" x14ac:dyDescent="0.25">
      <c r="A95" s="170">
        <v>45250</v>
      </c>
      <c r="B95" s="116">
        <v>677.75</v>
      </c>
      <c r="C95" s="116">
        <v>668.3</v>
      </c>
      <c r="D95" s="116">
        <v>665.1</v>
      </c>
      <c r="E95" s="116">
        <v>672.05</v>
      </c>
      <c r="F95" s="116">
        <v>668.3</v>
      </c>
      <c r="G95">
        <v>6508</v>
      </c>
      <c r="H95" s="116"/>
      <c r="I95" s="116"/>
      <c r="L95" s="170">
        <v>45250</v>
      </c>
      <c r="M95" s="116">
        <v>667.9</v>
      </c>
      <c r="N95" s="116">
        <v>680</v>
      </c>
      <c r="O95" s="116">
        <v>665.1</v>
      </c>
      <c r="P95" s="116">
        <v>673</v>
      </c>
      <c r="Q95" s="116">
        <v>667.9</v>
      </c>
      <c r="R95">
        <v>112567</v>
      </c>
    </row>
    <row r="96" spans="1:18" x14ac:dyDescent="0.25">
      <c r="A96" s="170">
        <v>45251</v>
      </c>
      <c r="B96" s="116">
        <v>672</v>
      </c>
      <c r="C96" s="116">
        <v>659.8</v>
      </c>
      <c r="D96" s="116">
        <v>657.3</v>
      </c>
      <c r="E96" s="116">
        <v>669.8</v>
      </c>
      <c r="F96" s="116">
        <v>659.8</v>
      </c>
      <c r="G96">
        <v>9834</v>
      </c>
      <c r="H96" s="116"/>
      <c r="I96" s="116"/>
      <c r="L96" s="170">
        <v>45251</v>
      </c>
      <c r="M96" s="116">
        <v>659.5</v>
      </c>
      <c r="N96" s="116">
        <v>672.25</v>
      </c>
      <c r="O96" s="116">
        <v>657.55</v>
      </c>
      <c r="P96" s="116">
        <v>668.5</v>
      </c>
      <c r="Q96" s="116">
        <v>659.5</v>
      </c>
      <c r="R96">
        <v>57621</v>
      </c>
    </row>
    <row r="97" spans="1:18" x14ac:dyDescent="0.25">
      <c r="A97" s="170">
        <v>45252</v>
      </c>
      <c r="B97" s="116">
        <v>659.9</v>
      </c>
      <c r="C97" s="116">
        <v>644.70000000000005</v>
      </c>
      <c r="D97" s="116">
        <v>641.75</v>
      </c>
      <c r="E97" s="116">
        <v>659.85</v>
      </c>
      <c r="F97" s="116">
        <v>644.70000000000005</v>
      </c>
      <c r="G97">
        <v>14518</v>
      </c>
      <c r="H97" s="116"/>
      <c r="I97" s="116"/>
      <c r="L97" s="170">
        <v>45252</v>
      </c>
      <c r="M97" s="116">
        <v>645.29999999999995</v>
      </c>
      <c r="N97" s="116">
        <v>661.95</v>
      </c>
      <c r="O97" s="116">
        <v>642.04999999999995</v>
      </c>
      <c r="P97" s="116">
        <v>661.95</v>
      </c>
      <c r="Q97" s="116">
        <v>645.29999999999995</v>
      </c>
      <c r="R97">
        <v>85016</v>
      </c>
    </row>
    <row r="98" spans="1:18" x14ac:dyDescent="0.25">
      <c r="A98" s="170">
        <v>45253</v>
      </c>
      <c r="B98" s="116">
        <v>653</v>
      </c>
      <c r="C98" s="116">
        <v>648.1</v>
      </c>
      <c r="D98" s="116">
        <v>640</v>
      </c>
      <c r="E98" s="116">
        <v>644.70000000000005</v>
      </c>
      <c r="F98" s="116">
        <v>648.1</v>
      </c>
      <c r="G98">
        <v>7693</v>
      </c>
      <c r="H98" s="116"/>
      <c r="I98" s="116"/>
      <c r="L98" s="170">
        <v>45253</v>
      </c>
      <c r="M98" s="116">
        <v>648.29999999999995</v>
      </c>
      <c r="N98" s="116">
        <v>653.95000000000005</v>
      </c>
      <c r="O98" s="116">
        <v>639.5</v>
      </c>
      <c r="P98" s="116">
        <v>645.29999999999995</v>
      </c>
      <c r="Q98" s="116">
        <v>648.29999999999995</v>
      </c>
      <c r="R98">
        <v>186472</v>
      </c>
    </row>
    <row r="99" spans="1:18" x14ac:dyDescent="0.25">
      <c r="A99" s="170">
        <v>45254</v>
      </c>
      <c r="B99" s="116">
        <v>665</v>
      </c>
      <c r="C99" s="116">
        <v>643.15</v>
      </c>
      <c r="D99" s="116">
        <v>639.5</v>
      </c>
      <c r="E99" s="116">
        <v>659.95</v>
      </c>
      <c r="F99" s="116">
        <v>643.15</v>
      </c>
      <c r="G99">
        <v>7010</v>
      </c>
      <c r="H99" s="116"/>
      <c r="I99" s="116"/>
      <c r="L99" s="170">
        <v>45254</v>
      </c>
      <c r="M99" s="116">
        <v>644.95000000000005</v>
      </c>
      <c r="N99" s="116">
        <v>666</v>
      </c>
      <c r="O99" s="116">
        <v>640.04999999999995</v>
      </c>
      <c r="P99" s="116">
        <v>652.29999999999995</v>
      </c>
      <c r="Q99" s="116">
        <v>644.95000000000005</v>
      </c>
      <c r="R99">
        <v>213878</v>
      </c>
    </row>
    <row r="100" spans="1:18" x14ac:dyDescent="0.25">
      <c r="A100" s="170">
        <v>45258</v>
      </c>
      <c r="B100" s="116">
        <v>653.95000000000005</v>
      </c>
      <c r="C100" s="116">
        <v>638.25</v>
      </c>
      <c r="D100" s="116">
        <v>634.54999999999995</v>
      </c>
      <c r="E100" s="116">
        <v>650.04999999999995</v>
      </c>
      <c r="F100" s="116">
        <v>638.25</v>
      </c>
      <c r="G100">
        <v>6880</v>
      </c>
      <c r="H100" s="116"/>
      <c r="I100" s="116"/>
      <c r="L100" s="170">
        <v>45258</v>
      </c>
      <c r="M100" s="116">
        <v>637.95000000000005</v>
      </c>
      <c r="N100" s="116">
        <v>654.85</v>
      </c>
      <c r="O100" s="116">
        <v>634.5</v>
      </c>
      <c r="P100" s="116">
        <v>650.79999999999995</v>
      </c>
      <c r="Q100" s="116">
        <v>637.95000000000005</v>
      </c>
      <c r="R100">
        <v>96918</v>
      </c>
    </row>
    <row r="101" spans="1:18" x14ac:dyDescent="0.25">
      <c r="A101" s="170">
        <v>45259</v>
      </c>
      <c r="B101" s="116">
        <v>649.54999999999995</v>
      </c>
      <c r="C101" s="116">
        <v>635.15</v>
      </c>
      <c r="D101" s="116">
        <v>630.29999999999995</v>
      </c>
      <c r="E101" s="116">
        <v>640.15</v>
      </c>
      <c r="F101" s="116">
        <v>635.15</v>
      </c>
      <c r="G101">
        <v>15506</v>
      </c>
      <c r="H101" s="116"/>
      <c r="I101" s="116"/>
      <c r="L101" s="170">
        <v>45259</v>
      </c>
      <c r="M101" s="116">
        <v>636.4</v>
      </c>
      <c r="N101" s="116">
        <v>649</v>
      </c>
      <c r="O101" s="116">
        <v>634.70000000000005</v>
      </c>
      <c r="P101" s="116">
        <v>649</v>
      </c>
      <c r="Q101" s="116">
        <v>636.4</v>
      </c>
      <c r="R101">
        <v>102881</v>
      </c>
    </row>
    <row r="102" spans="1:18" x14ac:dyDescent="0.25">
      <c r="A102" s="170">
        <v>45260</v>
      </c>
      <c r="B102" s="116">
        <v>662.6</v>
      </c>
      <c r="C102" s="116">
        <v>648.25</v>
      </c>
      <c r="D102" s="116">
        <v>634.15</v>
      </c>
      <c r="E102" s="116">
        <v>646.70000000000005</v>
      </c>
      <c r="F102" s="116">
        <v>648.25</v>
      </c>
      <c r="G102">
        <v>6634</v>
      </c>
      <c r="H102" s="116"/>
      <c r="I102" s="116"/>
      <c r="L102" s="170">
        <v>45260</v>
      </c>
      <c r="M102" s="116">
        <v>649.04999999999995</v>
      </c>
      <c r="N102" s="116">
        <v>663</v>
      </c>
      <c r="O102" s="116">
        <v>633.04999999999995</v>
      </c>
      <c r="P102" s="116">
        <v>640.65</v>
      </c>
      <c r="Q102" s="116">
        <v>649.04999999999995</v>
      </c>
      <c r="R102">
        <v>163395</v>
      </c>
    </row>
    <row r="103" spans="1:18" x14ac:dyDescent="0.25">
      <c r="A103" s="170">
        <v>45261</v>
      </c>
      <c r="B103" s="116">
        <v>661</v>
      </c>
      <c r="C103" s="116">
        <v>649.4</v>
      </c>
      <c r="D103" s="116">
        <v>648.1</v>
      </c>
      <c r="E103" s="116">
        <v>661</v>
      </c>
      <c r="F103" s="116">
        <v>649.4</v>
      </c>
      <c r="G103">
        <v>4116</v>
      </c>
      <c r="H103" s="116"/>
      <c r="I103" s="116"/>
      <c r="L103" s="170">
        <v>45261</v>
      </c>
      <c r="M103" s="116">
        <v>650.4</v>
      </c>
      <c r="N103" s="116">
        <v>661</v>
      </c>
      <c r="O103" s="116">
        <v>648.29999999999995</v>
      </c>
      <c r="P103" s="116">
        <v>661</v>
      </c>
      <c r="Q103" s="116">
        <v>650.4</v>
      </c>
      <c r="R103">
        <v>68760</v>
      </c>
    </row>
    <row r="104" spans="1:18" x14ac:dyDescent="0.25">
      <c r="A104" s="170">
        <v>45264</v>
      </c>
      <c r="B104" s="116">
        <v>683.1</v>
      </c>
      <c r="C104" s="116">
        <v>658.35</v>
      </c>
      <c r="D104" s="116">
        <v>647.35</v>
      </c>
      <c r="E104" s="116">
        <v>660.45</v>
      </c>
      <c r="F104" s="116">
        <v>658.35</v>
      </c>
      <c r="G104">
        <v>9915</v>
      </c>
      <c r="H104" s="116"/>
      <c r="I104" s="116"/>
      <c r="L104" s="170">
        <v>45264</v>
      </c>
      <c r="M104" s="116">
        <v>658.35</v>
      </c>
      <c r="N104" s="116">
        <v>684.3</v>
      </c>
      <c r="O104" s="116">
        <v>647.04999999999995</v>
      </c>
      <c r="P104" s="116">
        <v>659.65</v>
      </c>
      <c r="Q104" s="116">
        <v>658.35</v>
      </c>
      <c r="R104">
        <v>295623</v>
      </c>
    </row>
    <row r="105" spans="1:18" x14ac:dyDescent="0.25">
      <c r="A105" s="170">
        <v>45265</v>
      </c>
      <c r="B105" s="116">
        <v>662.35</v>
      </c>
      <c r="C105" s="116">
        <v>658.1</v>
      </c>
      <c r="D105" s="116">
        <v>646.70000000000005</v>
      </c>
      <c r="E105" s="116">
        <v>655.04999999999995</v>
      </c>
      <c r="F105" s="116">
        <v>658.1</v>
      </c>
      <c r="G105">
        <v>15315</v>
      </c>
      <c r="H105" s="116"/>
      <c r="I105" s="116"/>
      <c r="L105" s="170">
        <v>45265</v>
      </c>
      <c r="M105" s="116">
        <v>658.7</v>
      </c>
      <c r="N105" s="116">
        <v>662.05</v>
      </c>
      <c r="O105" s="116">
        <v>647</v>
      </c>
      <c r="P105" s="116">
        <v>659.95</v>
      </c>
      <c r="Q105" s="116">
        <v>658.7</v>
      </c>
      <c r="R105">
        <v>214103</v>
      </c>
    </row>
    <row r="106" spans="1:18" x14ac:dyDescent="0.25">
      <c r="A106" s="170">
        <v>45266</v>
      </c>
      <c r="B106" s="116">
        <v>661</v>
      </c>
      <c r="C106" s="116">
        <v>646.85</v>
      </c>
      <c r="D106" s="116">
        <v>642.75</v>
      </c>
      <c r="E106" s="116">
        <v>654.79999999999995</v>
      </c>
      <c r="F106" s="116">
        <v>646.85</v>
      </c>
      <c r="G106">
        <v>8076</v>
      </c>
      <c r="H106" s="116"/>
      <c r="I106" s="116"/>
      <c r="L106" s="170">
        <v>45266</v>
      </c>
      <c r="M106" s="116">
        <v>646.54999999999995</v>
      </c>
      <c r="N106" s="116">
        <v>662.5</v>
      </c>
      <c r="O106" s="116">
        <v>641.04999999999995</v>
      </c>
      <c r="P106" s="116">
        <v>662.5</v>
      </c>
      <c r="Q106" s="116">
        <v>646.54999999999995</v>
      </c>
      <c r="R106">
        <v>275275</v>
      </c>
    </row>
    <row r="107" spans="1:18" x14ac:dyDescent="0.25">
      <c r="A107" s="170">
        <v>45267</v>
      </c>
      <c r="B107" s="116">
        <v>653.20000000000005</v>
      </c>
      <c r="C107" s="116">
        <v>641.45000000000005</v>
      </c>
      <c r="D107" s="116">
        <v>639</v>
      </c>
      <c r="E107" s="116">
        <v>647</v>
      </c>
      <c r="F107" s="116">
        <v>641.45000000000005</v>
      </c>
      <c r="G107">
        <v>16255</v>
      </c>
      <c r="H107" s="116"/>
      <c r="I107" s="116"/>
      <c r="L107" s="170">
        <v>45267</v>
      </c>
      <c r="M107" s="116">
        <v>640.70000000000005</v>
      </c>
      <c r="N107" s="116">
        <v>653.5</v>
      </c>
      <c r="O107" s="116">
        <v>639.15</v>
      </c>
      <c r="P107" s="116">
        <v>646.9</v>
      </c>
      <c r="Q107" s="116">
        <v>640.70000000000005</v>
      </c>
      <c r="R107">
        <v>126530</v>
      </c>
    </row>
    <row r="108" spans="1:18" x14ac:dyDescent="0.25">
      <c r="A108" s="170">
        <v>45268</v>
      </c>
      <c r="B108" s="116">
        <v>652.45000000000005</v>
      </c>
      <c r="C108" s="116">
        <v>640.20000000000005</v>
      </c>
      <c r="D108" s="116">
        <v>638</v>
      </c>
      <c r="E108" s="116">
        <v>642.04999999999995</v>
      </c>
      <c r="F108" s="116">
        <v>640.20000000000005</v>
      </c>
      <c r="G108">
        <v>13521</v>
      </c>
      <c r="H108" s="116"/>
      <c r="I108" s="116"/>
      <c r="L108" s="170">
        <v>45268</v>
      </c>
      <c r="M108" s="116">
        <v>640.70000000000005</v>
      </c>
      <c r="N108" s="116">
        <v>653.1</v>
      </c>
      <c r="O108" s="116">
        <v>638</v>
      </c>
      <c r="P108" s="116">
        <v>644</v>
      </c>
      <c r="Q108" s="116">
        <v>640.70000000000005</v>
      </c>
      <c r="R108">
        <v>100910</v>
      </c>
    </row>
    <row r="109" spans="1:18" x14ac:dyDescent="0.25">
      <c r="A109" s="170">
        <v>45271</v>
      </c>
      <c r="B109" s="116">
        <v>644.70000000000005</v>
      </c>
      <c r="C109" s="116">
        <v>615.5</v>
      </c>
      <c r="D109" s="116">
        <v>613</v>
      </c>
      <c r="E109" s="116">
        <v>644.70000000000005</v>
      </c>
      <c r="F109" s="116">
        <v>615.5</v>
      </c>
      <c r="G109">
        <v>19195</v>
      </c>
      <c r="H109" s="116"/>
      <c r="I109" s="116"/>
      <c r="L109" s="170">
        <v>45271</v>
      </c>
      <c r="M109" s="116">
        <v>617</v>
      </c>
      <c r="N109" s="116">
        <v>643.65</v>
      </c>
      <c r="O109" s="116">
        <v>613.5</v>
      </c>
      <c r="P109" s="116">
        <v>643.65</v>
      </c>
      <c r="Q109" s="116">
        <v>617</v>
      </c>
      <c r="R109">
        <v>602674</v>
      </c>
    </row>
    <row r="110" spans="1:18" x14ac:dyDescent="0.25">
      <c r="A110" s="170">
        <v>45272</v>
      </c>
      <c r="B110" s="116">
        <v>627.5</v>
      </c>
      <c r="C110" s="116">
        <v>614.9</v>
      </c>
      <c r="D110" s="116">
        <v>613.85</v>
      </c>
      <c r="E110" s="116">
        <v>621.79999999999995</v>
      </c>
      <c r="F110" s="116">
        <v>614.9</v>
      </c>
      <c r="G110">
        <v>7613</v>
      </c>
      <c r="H110" s="116"/>
      <c r="I110" s="116"/>
      <c r="L110" s="170">
        <v>45272</v>
      </c>
      <c r="M110" s="116">
        <v>614.85</v>
      </c>
      <c r="N110" s="116">
        <v>627.5</v>
      </c>
      <c r="O110" s="116">
        <v>613.5</v>
      </c>
      <c r="P110" s="116">
        <v>622.65</v>
      </c>
      <c r="Q110" s="116">
        <v>614.85</v>
      </c>
      <c r="R110">
        <v>241097</v>
      </c>
    </row>
    <row r="111" spans="1:18" x14ac:dyDescent="0.25">
      <c r="A111" s="170">
        <v>45273</v>
      </c>
      <c r="B111" s="116">
        <v>622.35</v>
      </c>
      <c r="C111" s="116">
        <v>615.04999999999995</v>
      </c>
      <c r="D111" s="116">
        <v>612.29999999999995</v>
      </c>
      <c r="E111" s="116">
        <v>615.5</v>
      </c>
      <c r="F111" s="116">
        <v>615.04999999999995</v>
      </c>
      <c r="G111">
        <v>14609</v>
      </c>
      <c r="H111" s="116"/>
      <c r="I111" s="116"/>
      <c r="L111" s="170">
        <v>45273</v>
      </c>
      <c r="M111" s="116">
        <v>615.45000000000005</v>
      </c>
      <c r="N111" s="116">
        <v>622.70000000000005</v>
      </c>
      <c r="O111" s="116">
        <v>612.29999999999995</v>
      </c>
      <c r="P111" s="116">
        <v>615</v>
      </c>
      <c r="Q111" s="116">
        <v>615.45000000000005</v>
      </c>
      <c r="R111">
        <v>207509</v>
      </c>
    </row>
    <row r="112" spans="1:18" x14ac:dyDescent="0.25">
      <c r="A112" s="170">
        <v>45274</v>
      </c>
      <c r="B112" s="116">
        <v>657.4</v>
      </c>
      <c r="C112" s="116">
        <v>646.95000000000005</v>
      </c>
      <c r="D112" s="116">
        <v>613</v>
      </c>
      <c r="E112" s="116">
        <v>624.15</v>
      </c>
      <c r="F112" s="116">
        <v>646.95000000000005</v>
      </c>
      <c r="G112">
        <v>27332</v>
      </c>
      <c r="H112" s="116"/>
      <c r="I112" s="116"/>
      <c r="L112" s="170">
        <v>45274</v>
      </c>
      <c r="M112" s="116">
        <v>647.75</v>
      </c>
      <c r="N112" s="116">
        <v>657.25</v>
      </c>
      <c r="O112" s="116">
        <v>612.65</v>
      </c>
      <c r="P112" s="116">
        <v>619</v>
      </c>
      <c r="Q112" s="116">
        <v>647.75</v>
      </c>
      <c r="R112">
        <v>1094232</v>
      </c>
    </row>
    <row r="113" spans="1:18" x14ac:dyDescent="0.25">
      <c r="A113" s="170">
        <v>45275</v>
      </c>
      <c r="B113" s="116">
        <v>681.7</v>
      </c>
      <c r="C113" s="116">
        <v>651.54999999999995</v>
      </c>
      <c r="D113" s="116">
        <v>644.04999999999995</v>
      </c>
      <c r="E113" s="116">
        <v>654.75</v>
      </c>
      <c r="F113" s="116">
        <v>651.54999999999995</v>
      </c>
      <c r="G113">
        <v>43219</v>
      </c>
      <c r="H113" s="116"/>
      <c r="I113" s="116"/>
      <c r="L113" s="170">
        <v>45275</v>
      </c>
      <c r="M113" s="116">
        <v>652.04999999999995</v>
      </c>
      <c r="N113" s="116">
        <v>682</v>
      </c>
      <c r="O113" s="116">
        <v>644</v>
      </c>
      <c r="P113" s="116">
        <v>653</v>
      </c>
      <c r="Q113" s="116">
        <v>652.04999999999995</v>
      </c>
      <c r="R113">
        <v>904177</v>
      </c>
    </row>
    <row r="114" spans="1:18" x14ac:dyDescent="0.25">
      <c r="A114" s="170">
        <v>45278</v>
      </c>
      <c r="B114" s="116">
        <v>677.4</v>
      </c>
      <c r="C114" s="116">
        <v>671.4</v>
      </c>
      <c r="D114" s="116">
        <v>653.75</v>
      </c>
      <c r="E114" s="116">
        <v>656.6</v>
      </c>
      <c r="F114" s="116">
        <v>671.4</v>
      </c>
      <c r="G114">
        <v>25210</v>
      </c>
      <c r="H114" s="116"/>
      <c r="I114" s="116"/>
      <c r="L114" s="170">
        <v>45278</v>
      </c>
      <c r="M114" s="116">
        <v>671.1</v>
      </c>
      <c r="N114" s="116">
        <v>677.5</v>
      </c>
      <c r="O114" s="116">
        <v>653.04999999999995</v>
      </c>
      <c r="P114" s="116">
        <v>653.75</v>
      </c>
      <c r="Q114" s="116">
        <v>671.1</v>
      </c>
      <c r="R114">
        <v>462544</v>
      </c>
    </row>
    <row r="115" spans="1:18" x14ac:dyDescent="0.25">
      <c r="A115" s="170">
        <v>45279</v>
      </c>
      <c r="B115" s="116">
        <v>677.15</v>
      </c>
      <c r="C115" s="116">
        <v>666.85</v>
      </c>
      <c r="D115" s="116">
        <v>660.2</v>
      </c>
      <c r="E115" s="116">
        <v>674.7</v>
      </c>
      <c r="F115" s="116">
        <v>666.85</v>
      </c>
      <c r="G115">
        <v>28946</v>
      </c>
      <c r="H115" s="116"/>
      <c r="I115" s="116"/>
      <c r="L115" s="170">
        <v>45279</v>
      </c>
      <c r="M115" s="116">
        <v>667.3</v>
      </c>
      <c r="N115" s="116">
        <v>677</v>
      </c>
      <c r="O115" s="116">
        <v>660.7</v>
      </c>
      <c r="P115" s="116">
        <v>674</v>
      </c>
      <c r="Q115" s="116">
        <v>667.3</v>
      </c>
      <c r="R115">
        <v>204303</v>
      </c>
    </row>
    <row r="116" spans="1:18" x14ac:dyDescent="0.25">
      <c r="A116" s="170">
        <v>45280</v>
      </c>
      <c r="B116" s="116">
        <v>678.8</v>
      </c>
      <c r="C116" s="116">
        <v>641.20000000000005</v>
      </c>
      <c r="D116" s="116">
        <v>630</v>
      </c>
      <c r="E116" s="116">
        <v>669.2</v>
      </c>
      <c r="F116" s="116">
        <v>641.20000000000005</v>
      </c>
      <c r="G116">
        <v>17189</v>
      </c>
      <c r="H116" s="116"/>
      <c r="I116" s="116"/>
      <c r="L116" s="170">
        <v>45280</v>
      </c>
      <c r="M116" s="116">
        <v>640.6</v>
      </c>
      <c r="N116" s="116">
        <v>678.65</v>
      </c>
      <c r="O116" s="116">
        <v>630.54999999999995</v>
      </c>
      <c r="P116" s="116">
        <v>669.95</v>
      </c>
      <c r="Q116" s="116">
        <v>640.6</v>
      </c>
      <c r="R116">
        <v>256637</v>
      </c>
    </row>
    <row r="117" spans="1:18" x14ac:dyDescent="0.25">
      <c r="A117" s="170">
        <v>45281</v>
      </c>
      <c r="B117" s="116">
        <v>658.8</v>
      </c>
      <c r="C117" s="116">
        <v>654.79999999999995</v>
      </c>
      <c r="D117" s="116">
        <v>624.5</v>
      </c>
      <c r="E117" s="116">
        <v>630.85</v>
      </c>
      <c r="F117" s="116">
        <v>654.79999999999995</v>
      </c>
      <c r="G117">
        <v>23111</v>
      </c>
      <c r="H117" s="116"/>
      <c r="I117" s="116"/>
      <c r="L117" s="170">
        <v>45281</v>
      </c>
      <c r="M117" s="116">
        <v>654.85</v>
      </c>
      <c r="N117" s="116">
        <v>659.05</v>
      </c>
      <c r="O117" s="116">
        <v>624.4</v>
      </c>
      <c r="P117" s="116">
        <v>631</v>
      </c>
      <c r="Q117" s="116">
        <v>654.85</v>
      </c>
      <c r="R117">
        <v>174520</v>
      </c>
    </row>
    <row r="118" spans="1:18" x14ac:dyDescent="0.25">
      <c r="A118" s="170">
        <v>45282</v>
      </c>
      <c r="B118" s="116">
        <v>671.4</v>
      </c>
      <c r="C118" s="116">
        <v>667.4</v>
      </c>
      <c r="D118" s="116">
        <v>658</v>
      </c>
      <c r="E118" s="116">
        <v>659.35</v>
      </c>
      <c r="F118" s="116">
        <v>667.4</v>
      </c>
      <c r="G118">
        <v>9239</v>
      </c>
      <c r="H118" s="116"/>
      <c r="I118" s="116"/>
      <c r="L118" s="170">
        <v>45282</v>
      </c>
      <c r="M118" s="116">
        <v>666.95</v>
      </c>
      <c r="N118" s="116">
        <v>671</v>
      </c>
      <c r="O118" s="116">
        <v>654.9</v>
      </c>
      <c r="P118" s="116">
        <v>658</v>
      </c>
      <c r="Q118" s="116">
        <v>666.95</v>
      </c>
      <c r="R118">
        <v>165734</v>
      </c>
    </row>
    <row r="119" spans="1:18" x14ac:dyDescent="0.25">
      <c r="A119" s="170">
        <v>45286</v>
      </c>
      <c r="B119" s="116">
        <v>686</v>
      </c>
      <c r="C119" s="116">
        <v>668.65</v>
      </c>
      <c r="D119" s="116">
        <v>660.4</v>
      </c>
      <c r="E119" s="116">
        <v>669.85</v>
      </c>
      <c r="F119" s="116">
        <v>668.65</v>
      </c>
      <c r="G119">
        <v>38843</v>
      </c>
      <c r="H119" s="116"/>
      <c r="I119" s="116"/>
      <c r="L119" s="170">
        <v>45286</v>
      </c>
      <c r="M119" s="116">
        <v>668.65</v>
      </c>
      <c r="N119" s="116">
        <v>686.4</v>
      </c>
      <c r="O119" s="116">
        <v>660.05</v>
      </c>
      <c r="P119" s="116">
        <v>670.65</v>
      </c>
      <c r="Q119" s="116">
        <v>668.65</v>
      </c>
      <c r="R119">
        <v>288437</v>
      </c>
    </row>
    <row r="120" spans="1:18" x14ac:dyDescent="0.25">
      <c r="A120" s="170">
        <v>45287</v>
      </c>
      <c r="B120" s="116">
        <v>672.1</v>
      </c>
      <c r="C120" s="116">
        <v>664.3</v>
      </c>
      <c r="D120" s="116">
        <v>651.25</v>
      </c>
      <c r="E120" s="116">
        <v>672.1</v>
      </c>
      <c r="F120" s="116">
        <v>664.3</v>
      </c>
      <c r="G120">
        <v>16657</v>
      </c>
      <c r="H120" s="116"/>
      <c r="I120" s="116"/>
      <c r="L120" s="170">
        <v>45287</v>
      </c>
      <c r="M120" s="116">
        <v>664.7</v>
      </c>
      <c r="N120" s="116">
        <v>672.85</v>
      </c>
      <c r="O120" s="116">
        <v>651.29999999999995</v>
      </c>
      <c r="P120" s="116">
        <v>672.85</v>
      </c>
      <c r="Q120" s="116">
        <v>664.7</v>
      </c>
      <c r="R120">
        <v>251448</v>
      </c>
    </row>
    <row r="121" spans="1:18" x14ac:dyDescent="0.25">
      <c r="A121" s="170">
        <v>45288</v>
      </c>
      <c r="B121" s="116">
        <v>678.55</v>
      </c>
      <c r="C121" s="116">
        <v>673.3</v>
      </c>
      <c r="D121" s="116">
        <v>656.5</v>
      </c>
      <c r="E121" s="116">
        <v>662.45</v>
      </c>
      <c r="F121" s="116">
        <v>673.3</v>
      </c>
      <c r="G121">
        <v>14996</v>
      </c>
      <c r="H121" s="116"/>
      <c r="I121" s="116"/>
      <c r="L121" s="170">
        <v>45288</v>
      </c>
      <c r="M121" s="116">
        <v>673.95</v>
      </c>
      <c r="N121" s="116">
        <v>679.05</v>
      </c>
      <c r="O121" s="116">
        <v>656.55</v>
      </c>
      <c r="P121" s="116">
        <v>668.95</v>
      </c>
      <c r="Q121" s="116">
        <v>673.95</v>
      </c>
      <c r="R121">
        <v>221088</v>
      </c>
    </row>
    <row r="122" spans="1:18" x14ac:dyDescent="0.25">
      <c r="A122" s="170">
        <v>45289</v>
      </c>
      <c r="B122" s="116">
        <v>695.5</v>
      </c>
      <c r="C122" s="116">
        <v>675.05</v>
      </c>
      <c r="D122" s="116">
        <v>662</v>
      </c>
      <c r="E122" s="116">
        <v>675.65</v>
      </c>
      <c r="F122" s="116">
        <v>675.05</v>
      </c>
      <c r="G122">
        <v>21149</v>
      </c>
      <c r="H122" s="116"/>
      <c r="I122" s="116"/>
      <c r="L122" s="170">
        <v>45289</v>
      </c>
      <c r="M122" s="116">
        <v>674.75</v>
      </c>
      <c r="N122" s="116">
        <v>695.8</v>
      </c>
      <c r="O122" s="116">
        <v>655.95</v>
      </c>
      <c r="P122" s="116">
        <v>674.95</v>
      </c>
      <c r="Q122" s="116">
        <v>674.75</v>
      </c>
      <c r="R122">
        <v>636097</v>
      </c>
    </row>
    <row r="123" spans="1:18" x14ac:dyDescent="0.25">
      <c r="A123" s="170">
        <v>45292</v>
      </c>
      <c r="B123" s="116">
        <v>687.9</v>
      </c>
      <c r="C123" s="116">
        <v>675.15</v>
      </c>
      <c r="D123" s="116">
        <v>672.1</v>
      </c>
      <c r="E123" s="116">
        <v>687.9</v>
      </c>
      <c r="F123" s="116">
        <v>675.15</v>
      </c>
      <c r="G123">
        <v>21475</v>
      </c>
      <c r="H123" s="116"/>
      <c r="I123" s="116"/>
      <c r="L123" s="170">
        <v>45292</v>
      </c>
      <c r="M123" s="116">
        <v>675.5</v>
      </c>
      <c r="N123" s="116">
        <v>688</v>
      </c>
      <c r="O123" s="116">
        <v>672.75</v>
      </c>
      <c r="P123" s="116">
        <v>685</v>
      </c>
      <c r="Q123" s="116">
        <v>675.5</v>
      </c>
      <c r="R123">
        <v>113261</v>
      </c>
    </row>
    <row r="124" spans="1:18" x14ac:dyDescent="0.25">
      <c r="A124" s="170">
        <v>45293</v>
      </c>
      <c r="B124" s="116">
        <v>681.25</v>
      </c>
      <c r="C124" s="116">
        <v>668.15</v>
      </c>
      <c r="D124" s="116">
        <v>656.55</v>
      </c>
      <c r="E124" s="116">
        <v>669.15</v>
      </c>
      <c r="F124" s="116">
        <v>668.15</v>
      </c>
      <c r="G124">
        <v>11770</v>
      </c>
      <c r="H124" s="116"/>
      <c r="I124" s="116"/>
      <c r="L124" s="170">
        <v>45293</v>
      </c>
      <c r="M124" s="116">
        <v>669.1</v>
      </c>
      <c r="N124" s="116">
        <v>680.8</v>
      </c>
      <c r="O124" s="116">
        <v>656.2</v>
      </c>
      <c r="P124" s="116">
        <v>680.8</v>
      </c>
      <c r="Q124" s="116">
        <v>669.1</v>
      </c>
      <c r="R124">
        <v>202767</v>
      </c>
    </row>
    <row r="125" spans="1:18" x14ac:dyDescent="0.25">
      <c r="A125" s="170">
        <v>45294</v>
      </c>
      <c r="B125" s="116">
        <v>671.75</v>
      </c>
      <c r="C125" s="116">
        <v>666.1</v>
      </c>
      <c r="D125" s="116">
        <v>658.6</v>
      </c>
      <c r="E125" s="116">
        <v>668.3</v>
      </c>
      <c r="F125" s="116">
        <v>666.1</v>
      </c>
      <c r="G125">
        <v>6923</v>
      </c>
      <c r="H125" s="116"/>
      <c r="I125" s="116"/>
      <c r="L125" s="170">
        <v>45294</v>
      </c>
      <c r="M125" s="116">
        <v>666.05</v>
      </c>
      <c r="N125" s="116">
        <v>672.3</v>
      </c>
      <c r="O125" s="116">
        <v>658.2</v>
      </c>
      <c r="P125" s="116">
        <v>672.3</v>
      </c>
      <c r="Q125" s="116">
        <v>666.05</v>
      </c>
      <c r="R125">
        <v>115198</v>
      </c>
    </row>
    <row r="126" spans="1:18" x14ac:dyDescent="0.25">
      <c r="A126" s="170">
        <v>45295</v>
      </c>
      <c r="B126" s="116">
        <v>677</v>
      </c>
      <c r="C126" s="116">
        <v>666.65</v>
      </c>
      <c r="D126" s="116">
        <v>663.35</v>
      </c>
      <c r="E126" s="116">
        <v>671.7</v>
      </c>
      <c r="F126" s="116">
        <v>666.65</v>
      </c>
      <c r="G126">
        <v>15083</v>
      </c>
      <c r="H126" s="116"/>
      <c r="I126" s="116"/>
      <c r="L126" s="170">
        <v>45295</v>
      </c>
      <c r="M126" s="116">
        <v>667.65</v>
      </c>
      <c r="N126" s="116">
        <v>678.45</v>
      </c>
      <c r="O126" s="116">
        <v>664.05</v>
      </c>
      <c r="P126" s="116">
        <v>669.95</v>
      </c>
      <c r="Q126" s="116">
        <v>667.65</v>
      </c>
      <c r="R126">
        <v>89892</v>
      </c>
    </row>
    <row r="127" spans="1:18" x14ac:dyDescent="0.25">
      <c r="A127" s="170">
        <v>45296</v>
      </c>
      <c r="B127" s="116">
        <v>677.35</v>
      </c>
      <c r="C127" s="116">
        <v>666.35</v>
      </c>
      <c r="D127" s="116">
        <v>661</v>
      </c>
      <c r="E127" s="116">
        <v>669.1</v>
      </c>
      <c r="F127" s="116">
        <v>666.35</v>
      </c>
      <c r="G127">
        <v>7869</v>
      </c>
      <c r="H127" s="116"/>
      <c r="I127" s="116"/>
      <c r="L127" s="170">
        <v>45296</v>
      </c>
      <c r="M127" s="116">
        <v>665.8</v>
      </c>
      <c r="N127" s="116">
        <v>680.25</v>
      </c>
      <c r="O127" s="116">
        <v>661</v>
      </c>
      <c r="P127" s="116">
        <v>673</v>
      </c>
      <c r="Q127" s="116">
        <v>665.8</v>
      </c>
      <c r="R127">
        <v>230350</v>
      </c>
    </row>
    <row r="128" spans="1:18" x14ac:dyDescent="0.25">
      <c r="A128" s="170">
        <v>45299</v>
      </c>
      <c r="B128" s="116">
        <v>669.65</v>
      </c>
      <c r="C128" s="116">
        <v>657.4</v>
      </c>
      <c r="D128" s="116">
        <v>653</v>
      </c>
      <c r="E128" s="116">
        <v>669.65</v>
      </c>
      <c r="F128" s="116">
        <v>657.4</v>
      </c>
      <c r="G128">
        <v>18064</v>
      </c>
      <c r="H128" s="116"/>
      <c r="I128" s="116"/>
      <c r="L128" s="170">
        <v>45299</v>
      </c>
      <c r="M128" s="116">
        <v>657.25</v>
      </c>
      <c r="N128" s="116">
        <v>669</v>
      </c>
      <c r="O128" s="116">
        <v>653</v>
      </c>
      <c r="P128" s="116">
        <v>669</v>
      </c>
      <c r="Q128" s="116">
        <v>657.25</v>
      </c>
      <c r="R128">
        <v>86661</v>
      </c>
    </row>
    <row r="129" spans="1:18" x14ac:dyDescent="0.25">
      <c r="A129" s="170">
        <v>45300</v>
      </c>
      <c r="B129" s="116">
        <v>665.95</v>
      </c>
      <c r="C129" s="116">
        <v>647.85</v>
      </c>
      <c r="D129" s="116">
        <v>646</v>
      </c>
      <c r="E129" s="116">
        <v>665.95</v>
      </c>
      <c r="F129" s="116">
        <v>647.85</v>
      </c>
      <c r="G129">
        <v>19729</v>
      </c>
      <c r="H129" s="116"/>
      <c r="I129" s="116"/>
      <c r="L129" s="170">
        <v>45300</v>
      </c>
      <c r="M129" s="116">
        <v>647.95000000000005</v>
      </c>
      <c r="N129" s="116">
        <v>664</v>
      </c>
      <c r="O129" s="116">
        <v>645</v>
      </c>
      <c r="P129" s="116">
        <v>660</v>
      </c>
      <c r="Q129" s="116">
        <v>647.95000000000005</v>
      </c>
      <c r="R129">
        <v>101877</v>
      </c>
    </row>
    <row r="130" spans="1:18" x14ac:dyDescent="0.25">
      <c r="A130" s="170">
        <v>45301</v>
      </c>
      <c r="B130" s="116">
        <v>667</v>
      </c>
      <c r="C130" s="116">
        <v>662.05</v>
      </c>
      <c r="D130" s="116">
        <v>636</v>
      </c>
      <c r="E130" s="116">
        <v>652.85</v>
      </c>
      <c r="F130" s="116">
        <v>662.05</v>
      </c>
      <c r="G130">
        <v>13293</v>
      </c>
      <c r="H130" s="116"/>
      <c r="I130" s="116"/>
      <c r="L130" s="170">
        <v>45301</v>
      </c>
      <c r="M130" s="116">
        <v>660.8</v>
      </c>
      <c r="N130" s="116">
        <v>667</v>
      </c>
      <c r="O130" s="116">
        <v>635.54999999999995</v>
      </c>
      <c r="P130" s="116">
        <v>648.95000000000005</v>
      </c>
      <c r="Q130" s="116">
        <v>660.8</v>
      </c>
      <c r="R130">
        <v>223701</v>
      </c>
    </row>
    <row r="131" spans="1:18" x14ac:dyDescent="0.25">
      <c r="A131" s="170">
        <v>45302</v>
      </c>
      <c r="B131" s="116">
        <v>662.5</v>
      </c>
      <c r="C131" s="116">
        <v>649.5</v>
      </c>
      <c r="D131" s="116">
        <v>648</v>
      </c>
      <c r="E131" s="116">
        <v>662.05</v>
      </c>
      <c r="F131" s="116">
        <v>649.5</v>
      </c>
      <c r="G131">
        <v>16058</v>
      </c>
      <c r="H131" s="116"/>
      <c r="I131" s="116"/>
      <c r="L131" s="170">
        <v>45302</v>
      </c>
      <c r="M131" s="116">
        <v>649.79999999999995</v>
      </c>
      <c r="N131" s="116">
        <v>664.3</v>
      </c>
      <c r="O131" s="116">
        <v>648</v>
      </c>
      <c r="P131" s="116">
        <v>663.95</v>
      </c>
      <c r="Q131" s="116">
        <v>649.79999999999995</v>
      </c>
      <c r="R131">
        <v>262860</v>
      </c>
    </row>
    <row r="132" spans="1:18" x14ac:dyDescent="0.25">
      <c r="A132" s="170">
        <v>45303</v>
      </c>
      <c r="B132" s="116">
        <v>674.15</v>
      </c>
      <c r="C132" s="116">
        <v>669.65</v>
      </c>
      <c r="D132" s="116">
        <v>651.25</v>
      </c>
      <c r="E132" s="116">
        <v>651.25</v>
      </c>
      <c r="F132" s="116">
        <v>669.65</v>
      </c>
      <c r="G132">
        <v>16409</v>
      </c>
      <c r="H132" s="116"/>
      <c r="I132" s="116"/>
      <c r="L132" s="170">
        <v>45303</v>
      </c>
      <c r="M132" s="116">
        <v>670.3</v>
      </c>
      <c r="N132" s="116">
        <v>674.25</v>
      </c>
      <c r="O132" s="116">
        <v>651</v>
      </c>
      <c r="P132" s="116">
        <v>651.95000000000005</v>
      </c>
      <c r="Q132" s="116">
        <v>670.3</v>
      </c>
      <c r="R132">
        <v>315728</v>
      </c>
    </row>
    <row r="133" spans="1:18" x14ac:dyDescent="0.25">
      <c r="A133" s="170">
        <v>45306</v>
      </c>
      <c r="B133" s="116">
        <v>719.85</v>
      </c>
      <c r="C133" s="116">
        <v>697.95</v>
      </c>
      <c r="D133" s="116">
        <v>676.5</v>
      </c>
      <c r="E133" s="116">
        <v>679.85</v>
      </c>
      <c r="F133" s="116">
        <v>697.95</v>
      </c>
      <c r="G133">
        <v>43594</v>
      </c>
      <c r="H133" s="116"/>
      <c r="I133" s="116"/>
      <c r="L133" s="170">
        <v>45306</v>
      </c>
      <c r="M133" s="116">
        <v>697.9</v>
      </c>
      <c r="N133" s="116">
        <v>719.6</v>
      </c>
      <c r="O133" s="116">
        <v>676</v>
      </c>
      <c r="P133" s="116">
        <v>677</v>
      </c>
      <c r="Q133" s="116">
        <v>697.9</v>
      </c>
      <c r="R133">
        <v>1113034</v>
      </c>
    </row>
    <row r="134" spans="1:18" x14ac:dyDescent="0.25">
      <c r="A134" s="170">
        <v>45307</v>
      </c>
      <c r="B134" s="116">
        <v>717</v>
      </c>
      <c r="C134" s="116">
        <v>694.2</v>
      </c>
      <c r="D134" s="116">
        <v>682.05</v>
      </c>
      <c r="E134" s="116">
        <v>698.1</v>
      </c>
      <c r="F134" s="116">
        <v>694.2</v>
      </c>
      <c r="G134">
        <v>52435</v>
      </c>
      <c r="H134" s="116"/>
      <c r="I134" s="116"/>
      <c r="L134" s="170">
        <v>45307</v>
      </c>
      <c r="M134" s="116">
        <v>691.45</v>
      </c>
      <c r="N134" s="116">
        <v>717</v>
      </c>
      <c r="O134" s="116">
        <v>681.6</v>
      </c>
      <c r="P134" s="116">
        <v>702.65</v>
      </c>
      <c r="Q134" s="116">
        <v>691.45</v>
      </c>
      <c r="R134">
        <v>420791</v>
      </c>
    </row>
    <row r="135" spans="1:18" x14ac:dyDescent="0.25">
      <c r="A135" s="170">
        <v>45308</v>
      </c>
      <c r="B135" s="116">
        <v>692.1</v>
      </c>
      <c r="C135" s="116">
        <v>676.65</v>
      </c>
      <c r="D135" s="116">
        <v>670.45</v>
      </c>
      <c r="E135" s="116">
        <v>680.75</v>
      </c>
      <c r="F135" s="116">
        <v>676.65</v>
      </c>
      <c r="G135">
        <v>34751</v>
      </c>
      <c r="H135" s="116"/>
      <c r="I135" s="116"/>
      <c r="L135" s="170">
        <v>45308</v>
      </c>
      <c r="M135" s="116">
        <v>678.9</v>
      </c>
      <c r="N135" s="116">
        <v>692</v>
      </c>
      <c r="O135" s="116">
        <v>670.4</v>
      </c>
      <c r="P135" s="116">
        <v>677.7</v>
      </c>
      <c r="Q135" s="116">
        <v>678.9</v>
      </c>
      <c r="R135">
        <v>213553</v>
      </c>
    </row>
    <row r="136" spans="1:18" x14ac:dyDescent="0.25">
      <c r="A136" s="170">
        <v>45309</v>
      </c>
      <c r="B136" s="116">
        <v>684.05</v>
      </c>
      <c r="C136" s="116">
        <v>661.9</v>
      </c>
      <c r="D136" s="116">
        <v>657</v>
      </c>
      <c r="E136" s="116">
        <v>684.05</v>
      </c>
      <c r="F136" s="116">
        <v>661.9</v>
      </c>
      <c r="G136">
        <v>11003</v>
      </c>
      <c r="H136" s="116"/>
      <c r="I136" s="116"/>
      <c r="L136" s="170">
        <v>45309</v>
      </c>
      <c r="M136" s="116">
        <v>662.9</v>
      </c>
      <c r="N136" s="116">
        <v>682.8</v>
      </c>
      <c r="O136" s="116">
        <v>656.25</v>
      </c>
      <c r="P136" s="116">
        <v>675</v>
      </c>
      <c r="Q136" s="116">
        <v>662.9</v>
      </c>
      <c r="R136">
        <v>171388</v>
      </c>
    </row>
    <row r="137" spans="1:18" x14ac:dyDescent="0.25">
      <c r="A137" s="170">
        <v>45310</v>
      </c>
      <c r="B137" s="116">
        <v>675.5</v>
      </c>
      <c r="C137" s="116">
        <v>669.1</v>
      </c>
      <c r="D137" s="116">
        <v>654</v>
      </c>
      <c r="E137" s="116">
        <v>669.95</v>
      </c>
      <c r="F137" s="116">
        <v>669.1</v>
      </c>
      <c r="G137">
        <v>6793</v>
      </c>
      <c r="H137" s="116"/>
      <c r="I137" s="116"/>
      <c r="L137" s="170">
        <v>45310</v>
      </c>
      <c r="M137" s="116">
        <v>668.95</v>
      </c>
      <c r="N137" s="116">
        <v>675.75</v>
      </c>
      <c r="O137" s="116">
        <v>653.54999999999995</v>
      </c>
      <c r="P137" s="116">
        <v>668.65</v>
      </c>
      <c r="Q137" s="116">
        <v>668.95</v>
      </c>
      <c r="R137">
        <v>264756</v>
      </c>
    </row>
    <row r="138" spans="1:18" x14ac:dyDescent="0.25">
      <c r="A138" s="170">
        <v>45311</v>
      </c>
      <c r="B138" s="116">
        <v>671.9</v>
      </c>
      <c r="C138" s="116">
        <v>660.15</v>
      </c>
      <c r="D138" s="116">
        <v>658.1</v>
      </c>
      <c r="E138" s="116">
        <v>669.4</v>
      </c>
      <c r="F138" s="116">
        <v>660.15</v>
      </c>
      <c r="G138">
        <v>17310</v>
      </c>
      <c r="H138" s="116"/>
      <c r="I138" s="116"/>
      <c r="L138" s="170">
        <v>45311</v>
      </c>
      <c r="M138" s="116">
        <v>660.05</v>
      </c>
      <c r="N138" s="116">
        <v>672.1</v>
      </c>
      <c r="O138" s="116">
        <v>657.95</v>
      </c>
      <c r="P138" s="116">
        <v>665.3</v>
      </c>
      <c r="Q138" s="116">
        <v>660.05</v>
      </c>
      <c r="R138">
        <v>97438</v>
      </c>
    </row>
    <row r="139" spans="1:18" x14ac:dyDescent="0.25">
      <c r="A139" s="170">
        <v>45314</v>
      </c>
      <c r="B139" s="116">
        <v>671.85</v>
      </c>
      <c r="C139" s="116">
        <v>646.29999999999995</v>
      </c>
      <c r="D139" s="116">
        <v>637.75</v>
      </c>
      <c r="E139" s="116">
        <v>668</v>
      </c>
      <c r="F139" s="116">
        <v>646.29999999999995</v>
      </c>
      <c r="G139">
        <v>23333</v>
      </c>
      <c r="H139" s="116"/>
      <c r="I139" s="116"/>
      <c r="L139" s="170">
        <v>45314</v>
      </c>
      <c r="M139" s="116">
        <v>648.45000000000005</v>
      </c>
      <c r="N139" s="116">
        <v>672.75</v>
      </c>
      <c r="O139" s="116">
        <v>637.45000000000005</v>
      </c>
      <c r="P139" s="116">
        <v>666.65</v>
      </c>
      <c r="Q139" s="116">
        <v>648.45000000000005</v>
      </c>
      <c r="R139">
        <v>152114</v>
      </c>
    </row>
    <row r="140" spans="1:18" x14ac:dyDescent="0.25">
      <c r="A140" s="170">
        <v>45315</v>
      </c>
      <c r="B140" s="116">
        <v>687.5</v>
      </c>
      <c r="C140" s="116">
        <v>657.6</v>
      </c>
      <c r="D140" s="116">
        <v>645.4</v>
      </c>
      <c r="E140" s="116">
        <v>676.9</v>
      </c>
      <c r="F140" s="116">
        <v>657.6</v>
      </c>
      <c r="G140">
        <v>29915</v>
      </c>
      <c r="H140" s="116"/>
      <c r="I140" s="116"/>
      <c r="L140" s="170">
        <v>45315</v>
      </c>
      <c r="M140" s="116">
        <v>657.2</v>
      </c>
      <c r="N140" s="116">
        <v>687.4</v>
      </c>
      <c r="O140" s="116">
        <v>644.29999999999995</v>
      </c>
      <c r="P140" s="116">
        <v>676</v>
      </c>
      <c r="Q140" s="116">
        <v>657.2</v>
      </c>
      <c r="R140">
        <v>634505</v>
      </c>
    </row>
    <row r="141" spans="1:18" x14ac:dyDescent="0.25">
      <c r="A141" s="170">
        <v>45316</v>
      </c>
      <c r="B141" s="116">
        <v>699.95</v>
      </c>
      <c r="C141" s="116">
        <v>679.85</v>
      </c>
      <c r="D141" s="116">
        <v>663.35</v>
      </c>
      <c r="E141" s="116">
        <v>664.15</v>
      </c>
      <c r="F141" s="116">
        <v>679.85</v>
      </c>
      <c r="G141">
        <v>60939</v>
      </c>
      <c r="H141" s="116"/>
      <c r="I141" s="116"/>
      <c r="L141" s="170">
        <v>45316</v>
      </c>
      <c r="M141" s="116">
        <v>679.45</v>
      </c>
      <c r="N141" s="116">
        <v>700</v>
      </c>
      <c r="O141" s="116">
        <v>664.05</v>
      </c>
      <c r="P141" s="116">
        <v>664.9</v>
      </c>
      <c r="Q141" s="116">
        <v>679.45</v>
      </c>
      <c r="R141">
        <v>780835</v>
      </c>
    </row>
    <row r="142" spans="1:18" x14ac:dyDescent="0.25">
      <c r="A142" s="170">
        <v>45320</v>
      </c>
      <c r="B142" s="116">
        <v>696</v>
      </c>
      <c r="C142" s="116">
        <v>663.2</v>
      </c>
      <c r="D142" s="116">
        <v>660</v>
      </c>
      <c r="E142" s="116">
        <v>695</v>
      </c>
      <c r="F142" s="116">
        <v>663.2</v>
      </c>
      <c r="G142">
        <v>38873</v>
      </c>
      <c r="H142" s="116"/>
      <c r="I142" s="116"/>
      <c r="L142" s="170">
        <v>45320</v>
      </c>
      <c r="M142" s="116">
        <v>663.6</v>
      </c>
      <c r="N142" s="116">
        <v>698.85</v>
      </c>
      <c r="O142" s="116">
        <v>660</v>
      </c>
      <c r="P142" s="116">
        <v>698.85</v>
      </c>
      <c r="Q142" s="116">
        <v>663.6</v>
      </c>
      <c r="R142">
        <v>314076</v>
      </c>
    </row>
    <row r="143" spans="1:18" x14ac:dyDescent="0.25">
      <c r="A143" s="170">
        <v>45321</v>
      </c>
      <c r="B143" s="116">
        <v>674.3</v>
      </c>
      <c r="C143" s="116">
        <v>666</v>
      </c>
      <c r="D143" s="116">
        <v>657.95</v>
      </c>
      <c r="E143" s="116">
        <v>663.05</v>
      </c>
      <c r="F143" s="116">
        <v>666</v>
      </c>
      <c r="G143">
        <v>12238</v>
      </c>
      <c r="H143" s="116"/>
      <c r="I143" s="116"/>
      <c r="L143" s="170">
        <v>45321</v>
      </c>
      <c r="M143" s="116">
        <v>665.6</v>
      </c>
      <c r="N143" s="116">
        <v>674.15</v>
      </c>
      <c r="O143" s="116">
        <v>657.7</v>
      </c>
      <c r="P143" s="116">
        <v>670.45</v>
      </c>
      <c r="Q143" s="116">
        <v>665.6</v>
      </c>
      <c r="R143">
        <v>147314</v>
      </c>
    </row>
    <row r="144" spans="1:18" x14ac:dyDescent="0.25">
      <c r="A144" s="170">
        <v>45322</v>
      </c>
      <c r="B144" s="116">
        <v>686</v>
      </c>
      <c r="C144" s="116">
        <v>682.45</v>
      </c>
      <c r="D144" s="116">
        <v>663.05</v>
      </c>
      <c r="E144" s="116">
        <v>670.15</v>
      </c>
      <c r="F144" s="116">
        <v>682.45</v>
      </c>
      <c r="G144">
        <v>26281</v>
      </c>
      <c r="H144" s="116"/>
      <c r="I144" s="116"/>
      <c r="L144" s="170">
        <v>45322</v>
      </c>
      <c r="M144" s="116">
        <v>683.25</v>
      </c>
      <c r="N144" s="116">
        <v>687.35</v>
      </c>
      <c r="O144" s="116">
        <v>663.2</v>
      </c>
      <c r="P144" s="116">
        <v>669.3</v>
      </c>
      <c r="Q144" s="116">
        <v>683.25</v>
      </c>
      <c r="R144">
        <v>314671</v>
      </c>
    </row>
    <row r="145" spans="1:18" x14ac:dyDescent="0.25">
      <c r="A145" s="170">
        <v>45323</v>
      </c>
      <c r="B145" s="116">
        <v>692.75</v>
      </c>
      <c r="C145" s="116">
        <v>682</v>
      </c>
      <c r="D145" s="116">
        <v>675.75</v>
      </c>
      <c r="E145" s="116">
        <v>688.95</v>
      </c>
      <c r="F145" s="116">
        <v>682</v>
      </c>
      <c r="G145">
        <v>8890</v>
      </c>
      <c r="H145" s="116"/>
      <c r="I145" s="116"/>
      <c r="L145" s="170">
        <v>45323</v>
      </c>
      <c r="M145" s="116">
        <v>681.95</v>
      </c>
      <c r="N145" s="116">
        <v>694.95</v>
      </c>
      <c r="O145" s="116">
        <v>675.25</v>
      </c>
      <c r="P145" s="116">
        <v>689.8</v>
      </c>
      <c r="Q145" s="116">
        <v>681.95</v>
      </c>
      <c r="R145">
        <v>182151</v>
      </c>
    </row>
    <row r="146" spans="1:18" x14ac:dyDescent="0.25">
      <c r="A146" s="170">
        <v>45324</v>
      </c>
      <c r="B146" s="116">
        <v>690.05</v>
      </c>
      <c r="C146" s="116">
        <v>675.6</v>
      </c>
      <c r="D146" s="116">
        <v>666.95</v>
      </c>
      <c r="E146" s="116">
        <v>681.15</v>
      </c>
      <c r="F146" s="116">
        <v>675.6</v>
      </c>
      <c r="G146">
        <v>41128</v>
      </c>
      <c r="H146" s="116"/>
      <c r="I146" s="116"/>
      <c r="L146" s="170">
        <v>45324</v>
      </c>
      <c r="M146" s="116">
        <v>677.25</v>
      </c>
      <c r="N146" s="116">
        <v>689</v>
      </c>
      <c r="O146" s="116">
        <v>667.7</v>
      </c>
      <c r="P146" s="116">
        <v>682</v>
      </c>
      <c r="Q146" s="116">
        <v>677.25</v>
      </c>
      <c r="R146">
        <v>431281</v>
      </c>
    </row>
    <row r="147" spans="1:18" x14ac:dyDescent="0.25">
      <c r="A147" s="170">
        <v>45327</v>
      </c>
      <c r="B147" s="116">
        <v>728.4</v>
      </c>
      <c r="C147" s="116">
        <v>691.6</v>
      </c>
      <c r="D147" s="116">
        <v>666.95</v>
      </c>
      <c r="E147" s="116">
        <v>673.45</v>
      </c>
      <c r="F147" s="116">
        <v>691.6</v>
      </c>
      <c r="G147">
        <v>51374</v>
      </c>
      <c r="H147" s="116"/>
      <c r="I147" s="116"/>
      <c r="L147" s="170">
        <v>45327</v>
      </c>
      <c r="M147" s="116">
        <v>690.75</v>
      </c>
      <c r="N147" s="116">
        <v>728</v>
      </c>
      <c r="O147" s="116">
        <v>666.15</v>
      </c>
      <c r="P147" s="116">
        <v>680</v>
      </c>
      <c r="Q147" s="116">
        <v>690.75</v>
      </c>
      <c r="R147">
        <v>847981</v>
      </c>
    </row>
    <row r="148" spans="1:18" x14ac:dyDescent="0.25">
      <c r="A148" s="170">
        <v>45328</v>
      </c>
      <c r="B148" s="116">
        <v>723.7</v>
      </c>
      <c r="C148" s="116">
        <v>707.7</v>
      </c>
      <c r="D148" s="116">
        <v>695.5</v>
      </c>
      <c r="E148" s="116">
        <v>698</v>
      </c>
      <c r="F148" s="116">
        <v>707.7</v>
      </c>
      <c r="G148">
        <v>75572</v>
      </c>
      <c r="H148" s="116"/>
      <c r="I148" s="116"/>
      <c r="L148" s="170">
        <v>45328</v>
      </c>
      <c r="M148" s="116">
        <v>707.55</v>
      </c>
      <c r="N148" s="116">
        <v>723.6</v>
      </c>
      <c r="O148" s="116">
        <v>694.9</v>
      </c>
      <c r="P148" s="116">
        <v>707</v>
      </c>
      <c r="Q148" s="116">
        <v>707.55</v>
      </c>
      <c r="R148">
        <v>471101</v>
      </c>
    </row>
    <row r="149" spans="1:18" x14ac:dyDescent="0.25">
      <c r="A149" s="170">
        <v>45329</v>
      </c>
      <c r="B149" s="116">
        <v>776.45</v>
      </c>
      <c r="C149" s="116">
        <v>748.45</v>
      </c>
      <c r="D149" s="116">
        <v>700</v>
      </c>
      <c r="E149" s="116">
        <v>700.25</v>
      </c>
      <c r="F149" s="116">
        <v>748.45</v>
      </c>
      <c r="G149">
        <v>193378</v>
      </c>
      <c r="H149" s="116"/>
      <c r="I149" s="116"/>
      <c r="L149" s="170">
        <v>45329</v>
      </c>
      <c r="M149" s="116">
        <v>748.75</v>
      </c>
      <c r="N149" s="116">
        <v>777</v>
      </c>
      <c r="O149" s="116">
        <v>699.85</v>
      </c>
      <c r="P149" s="116">
        <v>713.9</v>
      </c>
      <c r="Q149" s="116">
        <v>748.75</v>
      </c>
      <c r="R149">
        <v>1458758</v>
      </c>
    </row>
    <row r="150" spans="1:18" x14ac:dyDescent="0.25">
      <c r="A150" s="170">
        <v>45330</v>
      </c>
      <c r="B150" s="116">
        <v>782.75</v>
      </c>
      <c r="C150" s="116">
        <v>752.7</v>
      </c>
      <c r="D150" s="116">
        <v>749.1</v>
      </c>
      <c r="E150" s="116">
        <v>763.45</v>
      </c>
      <c r="F150" s="116">
        <v>752.7</v>
      </c>
      <c r="G150">
        <v>47660</v>
      </c>
      <c r="H150" s="116"/>
      <c r="I150" s="116"/>
      <c r="L150" s="170">
        <v>45330</v>
      </c>
      <c r="M150" s="116">
        <v>752.1</v>
      </c>
      <c r="N150" s="116">
        <v>782.5</v>
      </c>
      <c r="O150" s="116">
        <v>749.2</v>
      </c>
      <c r="P150" s="116">
        <v>758</v>
      </c>
      <c r="Q150" s="116">
        <v>752.1</v>
      </c>
      <c r="R150">
        <v>689625</v>
      </c>
    </row>
    <row r="151" spans="1:18" x14ac:dyDescent="0.25">
      <c r="A151" s="170">
        <v>45331</v>
      </c>
      <c r="B151" s="116">
        <v>799</v>
      </c>
      <c r="C151" s="116">
        <v>775.85</v>
      </c>
      <c r="D151" s="116">
        <v>735.9</v>
      </c>
      <c r="E151" s="116">
        <v>755</v>
      </c>
      <c r="F151" s="116">
        <v>775.85</v>
      </c>
      <c r="G151">
        <v>135804</v>
      </c>
      <c r="H151" s="116"/>
      <c r="I151" s="116"/>
      <c r="L151" s="170">
        <v>45331</v>
      </c>
      <c r="M151" s="116">
        <v>775.6</v>
      </c>
      <c r="N151" s="116">
        <v>799</v>
      </c>
      <c r="O151" s="116">
        <v>735.3</v>
      </c>
      <c r="P151" s="116">
        <v>754.4</v>
      </c>
      <c r="Q151" s="116">
        <v>775.6</v>
      </c>
      <c r="R151">
        <v>853767</v>
      </c>
    </row>
    <row r="152" spans="1:18" x14ac:dyDescent="0.25">
      <c r="A152" s="170">
        <v>45334</v>
      </c>
      <c r="B152" s="116">
        <v>804.2</v>
      </c>
      <c r="C152" s="116">
        <v>760.35</v>
      </c>
      <c r="D152" s="116">
        <v>749.4</v>
      </c>
      <c r="E152" s="116">
        <v>778.75</v>
      </c>
      <c r="F152" s="116">
        <v>760.35</v>
      </c>
      <c r="G152">
        <v>135430</v>
      </c>
      <c r="H152" s="116"/>
      <c r="I152" s="116"/>
      <c r="L152" s="170">
        <v>45334</v>
      </c>
      <c r="M152" s="116">
        <v>761.85</v>
      </c>
      <c r="N152" s="116">
        <v>804.4</v>
      </c>
      <c r="O152" s="116">
        <v>750</v>
      </c>
      <c r="P152" s="116">
        <v>789</v>
      </c>
      <c r="Q152" s="116">
        <v>761.85</v>
      </c>
      <c r="R152">
        <v>729020</v>
      </c>
    </row>
    <row r="153" spans="1:18" x14ac:dyDescent="0.25">
      <c r="A153" s="170">
        <v>45335</v>
      </c>
      <c r="B153" s="116">
        <v>798</v>
      </c>
      <c r="C153" s="116">
        <v>779.45</v>
      </c>
      <c r="D153" s="116">
        <v>720.75</v>
      </c>
      <c r="E153" s="116">
        <v>758</v>
      </c>
      <c r="F153" s="116">
        <v>779.45</v>
      </c>
      <c r="G153">
        <v>36675</v>
      </c>
      <c r="H153" s="116"/>
      <c r="I153" s="116"/>
      <c r="L153" s="170">
        <v>45335</v>
      </c>
      <c r="M153" s="116">
        <v>778.4</v>
      </c>
      <c r="N153" s="116">
        <v>798</v>
      </c>
      <c r="O153" s="116">
        <v>721</v>
      </c>
      <c r="P153" s="116">
        <v>757</v>
      </c>
      <c r="Q153" s="116">
        <v>778.4</v>
      </c>
      <c r="R153">
        <v>636329</v>
      </c>
    </row>
    <row r="154" spans="1:18" x14ac:dyDescent="0.25">
      <c r="A154" s="170">
        <v>45336</v>
      </c>
      <c r="B154" s="116">
        <v>808</v>
      </c>
      <c r="C154" s="116">
        <v>802.2</v>
      </c>
      <c r="D154" s="116">
        <v>765</v>
      </c>
      <c r="E154" s="116">
        <v>765.25</v>
      </c>
      <c r="F154" s="116">
        <v>802.2</v>
      </c>
      <c r="G154">
        <v>58516</v>
      </c>
      <c r="H154" s="116"/>
      <c r="I154" s="116"/>
      <c r="L154" s="170">
        <v>45336</v>
      </c>
      <c r="M154" s="116">
        <v>801.65</v>
      </c>
      <c r="N154" s="116">
        <v>808.65</v>
      </c>
      <c r="O154" s="116">
        <v>762.05</v>
      </c>
      <c r="P154" s="116">
        <v>770</v>
      </c>
      <c r="Q154" s="116">
        <v>801.65</v>
      </c>
      <c r="R154">
        <v>391640</v>
      </c>
    </row>
    <row r="155" spans="1:18" x14ac:dyDescent="0.25">
      <c r="A155" s="170">
        <v>45337</v>
      </c>
      <c r="B155" s="116">
        <v>833.5</v>
      </c>
      <c r="C155" s="116">
        <v>777.95</v>
      </c>
      <c r="D155" s="116">
        <v>772.3</v>
      </c>
      <c r="E155" s="116">
        <v>803.95</v>
      </c>
      <c r="F155" s="116">
        <v>777.95</v>
      </c>
      <c r="G155">
        <v>66605</v>
      </c>
      <c r="H155" s="116"/>
      <c r="I155" s="116"/>
      <c r="L155" s="170">
        <v>45337</v>
      </c>
      <c r="M155" s="116">
        <v>778.1</v>
      </c>
      <c r="N155" s="116">
        <v>833.25</v>
      </c>
      <c r="O155" s="116">
        <v>772.5</v>
      </c>
      <c r="P155" s="116">
        <v>802.95</v>
      </c>
      <c r="Q155" s="116">
        <v>778.1</v>
      </c>
      <c r="R155">
        <v>455686</v>
      </c>
    </row>
    <row r="156" spans="1:18" x14ac:dyDescent="0.25">
      <c r="A156" s="170">
        <v>45338</v>
      </c>
      <c r="B156" s="116">
        <v>806.65</v>
      </c>
      <c r="C156" s="116">
        <v>784.85</v>
      </c>
      <c r="D156" s="116">
        <v>782.5</v>
      </c>
      <c r="E156" s="116">
        <v>792.35</v>
      </c>
      <c r="F156" s="116">
        <v>784.85</v>
      </c>
      <c r="G156">
        <v>14278</v>
      </c>
      <c r="H156" s="116"/>
      <c r="I156" s="116"/>
      <c r="L156" s="170">
        <v>45338</v>
      </c>
      <c r="M156" s="116">
        <v>784.85</v>
      </c>
      <c r="N156" s="116">
        <v>807.1</v>
      </c>
      <c r="O156" s="116">
        <v>782</v>
      </c>
      <c r="P156" s="116">
        <v>782.55</v>
      </c>
      <c r="Q156" s="116">
        <v>784.85</v>
      </c>
      <c r="R156">
        <v>196954</v>
      </c>
    </row>
    <row r="157" spans="1:18" x14ac:dyDescent="0.25">
      <c r="A157" s="170">
        <v>45341</v>
      </c>
      <c r="B157" s="116">
        <v>822.9</v>
      </c>
      <c r="C157" s="116">
        <v>796.05</v>
      </c>
      <c r="D157" s="116">
        <v>788.65</v>
      </c>
      <c r="E157" s="116">
        <v>793.25</v>
      </c>
      <c r="F157" s="116">
        <v>796.05</v>
      </c>
      <c r="G157">
        <v>41977</v>
      </c>
      <c r="H157" s="116"/>
      <c r="I157" s="116"/>
      <c r="L157" s="170">
        <v>45341</v>
      </c>
      <c r="M157" s="116">
        <v>798</v>
      </c>
      <c r="N157" s="116">
        <v>822.75</v>
      </c>
      <c r="O157" s="116">
        <v>789</v>
      </c>
      <c r="P157" s="116">
        <v>792.2</v>
      </c>
      <c r="Q157" s="116">
        <v>798</v>
      </c>
      <c r="R157">
        <v>245548</v>
      </c>
    </row>
    <row r="158" spans="1:18" x14ac:dyDescent="0.25">
      <c r="A158" s="170">
        <v>45342</v>
      </c>
      <c r="B158" s="116">
        <v>815</v>
      </c>
      <c r="C158" s="116">
        <v>787.1</v>
      </c>
      <c r="D158" s="116">
        <v>783</v>
      </c>
      <c r="E158" s="116">
        <v>802.05</v>
      </c>
      <c r="F158" s="116">
        <v>787.1</v>
      </c>
      <c r="G158">
        <v>13977</v>
      </c>
      <c r="H158" s="116"/>
      <c r="I158" s="116"/>
      <c r="L158" s="170">
        <v>45342</v>
      </c>
      <c r="M158" s="116">
        <v>786.1</v>
      </c>
      <c r="N158" s="116">
        <v>815.3</v>
      </c>
      <c r="O158" s="116">
        <v>781</v>
      </c>
      <c r="P158" s="116">
        <v>800.6</v>
      </c>
      <c r="Q158" s="116">
        <v>786.1</v>
      </c>
      <c r="R158">
        <v>226583</v>
      </c>
    </row>
    <row r="159" spans="1:18" x14ac:dyDescent="0.25">
      <c r="A159" s="170">
        <v>45343</v>
      </c>
      <c r="B159" s="116">
        <v>796.55</v>
      </c>
      <c r="C159" s="116">
        <v>766.7</v>
      </c>
      <c r="D159" s="116">
        <v>757.7</v>
      </c>
      <c r="E159" s="116">
        <v>786</v>
      </c>
      <c r="F159" s="116">
        <v>766.7</v>
      </c>
      <c r="G159">
        <v>44283</v>
      </c>
      <c r="H159" s="116"/>
      <c r="I159" s="116"/>
      <c r="L159" s="170">
        <v>45343</v>
      </c>
      <c r="M159" s="116">
        <v>768.8</v>
      </c>
      <c r="N159" s="116">
        <v>796.55</v>
      </c>
      <c r="O159" s="116">
        <v>756.6</v>
      </c>
      <c r="P159" s="116">
        <v>788.95</v>
      </c>
      <c r="Q159" s="116">
        <v>768.8</v>
      </c>
      <c r="R159">
        <v>195749</v>
      </c>
    </row>
    <row r="160" spans="1:18" x14ac:dyDescent="0.25">
      <c r="A160" s="170">
        <v>45344</v>
      </c>
      <c r="B160" s="116">
        <v>804.9</v>
      </c>
      <c r="C160" s="116">
        <v>797.8</v>
      </c>
      <c r="D160" s="116">
        <v>777.25</v>
      </c>
      <c r="E160" s="116">
        <v>779.85</v>
      </c>
      <c r="F160" s="116">
        <v>797.8</v>
      </c>
      <c r="G160">
        <v>12087</v>
      </c>
      <c r="H160" s="116"/>
      <c r="I160" s="116"/>
      <c r="L160" s="170">
        <v>45344</v>
      </c>
      <c r="M160" s="116">
        <v>796.7</v>
      </c>
      <c r="N160" s="116">
        <v>804.8</v>
      </c>
      <c r="O160" s="116">
        <v>774</v>
      </c>
      <c r="P160" s="116">
        <v>775</v>
      </c>
      <c r="Q160" s="116">
        <v>796.7</v>
      </c>
      <c r="R160">
        <v>248028</v>
      </c>
    </row>
    <row r="161" spans="1:18" x14ac:dyDescent="0.25">
      <c r="A161" s="170">
        <v>45345</v>
      </c>
      <c r="B161" s="116">
        <v>843</v>
      </c>
      <c r="C161" s="116">
        <v>839.3</v>
      </c>
      <c r="D161" s="116">
        <v>798</v>
      </c>
      <c r="E161" s="116">
        <v>800</v>
      </c>
      <c r="F161" s="116">
        <v>839.3</v>
      </c>
      <c r="G161">
        <v>82681</v>
      </c>
      <c r="H161" s="116"/>
      <c r="I161" s="116"/>
      <c r="L161" s="170">
        <v>45345</v>
      </c>
      <c r="M161" s="116">
        <v>839.35</v>
      </c>
      <c r="N161" s="116">
        <v>845</v>
      </c>
      <c r="O161" s="116">
        <v>797.6</v>
      </c>
      <c r="P161" s="116">
        <v>801</v>
      </c>
      <c r="Q161" s="116">
        <v>839.35</v>
      </c>
      <c r="R161">
        <v>712353</v>
      </c>
    </row>
    <row r="162" spans="1:18" x14ac:dyDescent="0.25">
      <c r="A162" s="170">
        <v>45348</v>
      </c>
      <c r="B162" s="116">
        <v>882.9</v>
      </c>
      <c r="C162" s="116">
        <v>855.65</v>
      </c>
      <c r="D162" s="116">
        <v>836.1</v>
      </c>
      <c r="E162" s="116">
        <v>854.9</v>
      </c>
      <c r="F162" s="116">
        <v>855.65</v>
      </c>
      <c r="G162">
        <v>45100</v>
      </c>
      <c r="H162" s="116"/>
      <c r="I162" s="116"/>
      <c r="L162" s="170">
        <v>45348</v>
      </c>
      <c r="M162" s="116">
        <v>855.05</v>
      </c>
      <c r="N162" s="116">
        <v>883.8</v>
      </c>
      <c r="O162" s="116">
        <v>835.25</v>
      </c>
      <c r="P162" s="116">
        <v>841.65</v>
      </c>
      <c r="Q162" s="116">
        <v>855.05</v>
      </c>
      <c r="R162">
        <v>526689</v>
      </c>
    </row>
    <row r="163" spans="1:18" x14ac:dyDescent="0.25">
      <c r="A163" s="170">
        <v>45349</v>
      </c>
      <c r="B163" s="116">
        <v>876.85</v>
      </c>
      <c r="C163" s="116">
        <v>869.45</v>
      </c>
      <c r="D163" s="116">
        <v>847.5</v>
      </c>
      <c r="E163" s="116">
        <v>855.65</v>
      </c>
      <c r="F163" s="116">
        <v>869.45</v>
      </c>
      <c r="G163">
        <v>57536</v>
      </c>
      <c r="H163" s="116"/>
      <c r="I163" s="116"/>
      <c r="L163" s="170">
        <v>45349</v>
      </c>
      <c r="M163" s="116">
        <v>869.8</v>
      </c>
      <c r="N163" s="116">
        <v>877</v>
      </c>
      <c r="O163" s="116">
        <v>846</v>
      </c>
      <c r="P163" s="116">
        <v>855.05</v>
      </c>
      <c r="Q163" s="116">
        <v>869.8</v>
      </c>
      <c r="R163">
        <v>278488</v>
      </c>
    </row>
    <row r="164" spans="1:18" x14ac:dyDescent="0.25">
      <c r="A164" s="170">
        <v>45350</v>
      </c>
      <c r="B164" s="116">
        <v>870</v>
      </c>
      <c r="C164" s="116">
        <v>836.85</v>
      </c>
      <c r="D164" s="116">
        <v>811</v>
      </c>
      <c r="E164" s="116">
        <v>870</v>
      </c>
      <c r="F164" s="116">
        <v>836.85</v>
      </c>
      <c r="G164">
        <v>20197</v>
      </c>
      <c r="H164" s="116"/>
      <c r="I164" s="116"/>
      <c r="L164" s="170">
        <v>45350</v>
      </c>
      <c r="M164" s="116">
        <v>837.2</v>
      </c>
      <c r="N164" s="116">
        <v>871.35</v>
      </c>
      <c r="O164" s="116">
        <v>810.4</v>
      </c>
      <c r="P164" s="116">
        <v>870</v>
      </c>
      <c r="Q164" s="116">
        <v>837.2</v>
      </c>
      <c r="R164">
        <v>422600</v>
      </c>
    </row>
    <row r="165" spans="1:18" x14ac:dyDescent="0.25">
      <c r="A165" s="170">
        <v>45351</v>
      </c>
      <c r="B165" s="116">
        <v>846.35</v>
      </c>
      <c r="C165" s="116">
        <v>802.8</v>
      </c>
      <c r="D165" s="116">
        <v>794.7</v>
      </c>
      <c r="E165" s="116">
        <v>836.85</v>
      </c>
      <c r="F165" s="116">
        <v>802.8</v>
      </c>
      <c r="G165">
        <v>28124</v>
      </c>
      <c r="H165" s="116"/>
      <c r="I165" s="116"/>
      <c r="L165" s="170">
        <v>45351</v>
      </c>
      <c r="M165" s="116">
        <v>803.1</v>
      </c>
      <c r="N165" s="116">
        <v>847.75</v>
      </c>
      <c r="O165" s="116">
        <v>794</v>
      </c>
      <c r="P165" s="116">
        <v>835</v>
      </c>
      <c r="Q165" s="116">
        <v>803.1</v>
      </c>
      <c r="R165">
        <v>966153</v>
      </c>
    </row>
    <row r="166" spans="1:18" x14ac:dyDescent="0.25">
      <c r="A166" s="170">
        <v>45352</v>
      </c>
      <c r="B166" s="116">
        <v>820</v>
      </c>
      <c r="C166" s="116">
        <v>806.55</v>
      </c>
      <c r="D166" s="116">
        <v>791.3</v>
      </c>
      <c r="E166" s="116">
        <v>818.9</v>
      </c>
      <c r="F166" s="116">
        <v>806.55</v>
      </c>
      <c r="G166">
        <v>13594</v>
      </c>
      <c r="H166" s="116"/>
      <c r="I166" s="116"/>
      <c r="L166" s="170">
        <v>45352</v>
      </c>
      <c r="M166" s="116">
        <v>805.4</v>
      </c>
      <c r="N166" s="116">
        <v>820</v>
      </c>
      <c r="O166" s="116">
        <v>791</v>
      </c>
      <c r="P166" s="116">
        <v>812.9</v>
      </c>
      <c r="Q166" s="116">
        <v>805.4</v>
      </c>
      <c r="R166">
        <v>248571</v>
      </c>
    </row>
    <row r="167" spans="1:18" x14ac:dyDescent="0.25">
      <c r="A167" s="170">
        <v>45353</v>
      </c>
      <c r="B167" s="116">
        <v>820</v>
      </c>
      <c r="C167" s="116">
        <v>817.25</v>
      </c>
      <c r="D167" s="116">
        <v>785.4</v>
      </c>
      <c r="E167" s="116">
        <v>814</v>
      </c>
      <c r="F167" s="116">
        <v>817.25</v>
      </c>
      <c r="G167">
        <v>4238</v>
      </c>
      <c r="H167" s="116"/>
      <c r="I167" s="116"/>
      <c r="L167" s="170">
        <v>45353</v>
      </c>
      <c r="M167" s="116">
        <v>816.75</v>
      </c>
      <c r="N167" s="116">
        <v>818.95</v>
      </c>
      <c r="O167" s="116">
        <v>801.1</v>
      </c>
      <c r="P167" s="116">
        <v>809.95</v>
      </c>
      <c r="Q167" s="116">
        <v>816.75</v>
      </c>
      <c r="R167">
        <v>13485</v>
      </c>
    </row>
    <row r="168" spans="1:18" x14ac:dyDescent="0.25">
      <c r="A168" s="170">
        <v>45355</v>
      </c>
      <c r="B168" s="116">
        <v>817.8</v>
      </c>
      <c r="C168" s="116">
        <v>794.5</v>
      </c>
      <c r="D168" s="116">
        <v>790.1</v>
      </c>
      <c r="E168" s="116">
        <v>816.85</v>
      </c>
      <c r="F168" s="116">
        <v>794.5</v>
      </c>
      <c r="G168">
        <v>16018</v>
      </c>
      <c r="H168" s="116"/>
      <c r="I168" s="116"/>
      <c r="L168" s="170">
        <v>45355</v>
      </c>
      <c r="M168" s="116">
        <v>794.05</v>
      </c>
      <c r="N168" s="116">
        <v>818.95</v>
      </c>
      <c r="O168" s="116">
        <v>791</v>
      </c>
      <c r="P168" s="116">
        <v>818.95</v>
      </c>
      <c r="Q168" s="116">
        <v>794.05</v>
      </c>
      <c r="R168">
        <v>116490</v>
      </c>
    </row>
    <row r="169" spans="1:18" x14ac:dyDescent="0.25">
      <c r="A169" s="170">
        <v>45356</v>
      </c>
      <c r="B169" s="116">
        <v>798.65</v>
      </c>
      <c r="C169" s="116">
        <v>787.7</v>
      </c>
      <c r="D169" s="116">
        <v>774.05</v>
      </c>
      <c r="E169" s="116">
        <v>798.65</v>
      </c>
      <c r="F169" s="116">
        <v>787.7</v>
      </c>
      <c r="G169">
        <v>20627</v>
      </c>
      <c r="H169" s="116"/>
      <c r="I169" s="116"/>
      <c r="L169" s="170">
        <v>45356</v>
      </c>
      <c r="M169" s="116">
        <v>789.65</v>
      </c>
      <c r="N169" s="116">
        <v>798.85</v>
      </c>
      <c r="O169" s="116">
        <v>774</v>
      </c>
      <c r="P169" s="116">
        <v>794.05</v>
      </c>
      <c r="Q169" s="116">
        <v>789.65</v>
      </c>
      <c r="R169">
        <v>168835</v>
      </c>
    </row>
    <row r="170" spans="1:18" x14ac:dyDescent="0.25">
      <c r="A170" s="170">
        <v>45357</v>
      </c>
      <c r="B170" s="116">
        <v>794.55</v>
      </c>
      <c r="C170" s="116">
        <v>771.25</v>
      </c>
      <c r="D170" s="116">
        <v>746.85</v>
      </c>
      <c r="E170" s="116">
        <v>794.55</v>
      </c>
      <c r="F170" s="116">
        <v>771.25</v>
      </c>
      <c r="G170">
        <v>19523</v>
      </c>
      <c r="H170" s="116"/>
      <c r="I170" s="116"/>
      <c r="L170" s="170">
        <v>45357</v>
      </c>
      <c r="M170" s="116">
        <v>772.25</v>
      </c>
      <c r="N170" s="116">
        <v>791.6</v>
      </c>
      <c r="O170" s="116">
        <v>746.55</v>
      </c>
      <c r="P170" s="116">
        <v>791.6</v>
      </c>
      <c r="Q170" s="116">
        <v>772.25</v>
      </c>
      <c r="R170">
        <v>295186</v>
      </c>
    </row>
    <row r="171" spans="1:18" x14ac:dyDescent="0.25">
      <c r="A171" s="170">
        <v>45358</v>
      </c>
      <c r="B171" s="116">
        <v>782</v>
      </c>
      <c r="C171" s="116">
        <v>776.4</v>
      </c>
      <c r="D171" s="116">
        <v>761.7</v>
      </c>
      <c r="E171" s="116">
        <v>778.65</v>
      </c>
      <c r="F171" s="116">
        <v>776.4</v>
      </c>
      <c r="G171">
        <v>12999</v>
      </c>
      <c r="H171" s="116"/>
      <c r="I171" s="116"/>
      <c r="L171" s="170">
        <v>45358</v>
      </c>
      <c r="M171" s="116">
        <v>778.4</v>
      </c>
      <c r="N171" s="116">
        <v>784</v>
      </c>
      <c r="O171" s="116">
        <v>762</v>
      </c>
      <c r="P171" s="116">
        <v>777.9</v>
      </c>
      <c r="Q171" s="116">
        <v>778.4</v>
      </c>
      <c r="R171">
        <v>166449</v>
      </c>
    </row>
    <row r="172" spans="1:18" x14ac:dyDescent="0.25">
      <c r="A172" s="170">
        <v>45362</v>
      </c>
      <c r="B172" s="116">
        <v>821</v>
      </c>
      <c r="C172" s="116">
        <v>740.4</v>
      </c>
      <c r="D172" s="116">
        <v>735.2</v>
      </c>
      <c r="E172" s="116">
        <v>775.35</v>
      </c>
      <c r="F172" s="116">
        <v>740.4</v>
      </c>
      <c r="G172">
        <v>9398</v>
      </c>
      <c r="H172" s="116"/>
      <c r="I172" s="116"/>
      <c r="L172" s="170">
        <v>45362</v>
      </c>
      <c r="M172" s="116">
        <v>742.5</v>
      </c>
      <c r="N172" s="116">
        <v>778.3</v>
      </c>
      <c r="O172" s="116">
        <v>737.5</v>
      </c>
      <c r="P172" s="116">
        <v>778.3</v>
      </c>
      <c r="Q172" s="116">
        <v>742.5</v>
      </c>
      <c r="R172">
        <v>124825</v>
      </c>
    </row>
    <row r="173" spans="1:18" x14ac:dyDescent="0.25">
      <c r="A173" s="170">
        <v>45363</v>
      </c>
      <c r="B173" s="116">
        <v>744.05</v>
      </c>
      <c r="C173" s="116">
        <v>718.25</v>
      </c>
      <c r="D173" s="116">
        <v>711.15</v>
      </c>
      <c r="E173" s="116">
        <v>744.05</v>
      </c>
      <c r="F173" s="116">
        <v>718.25</v>
      </c>
      <c r="G173">
        <v>19813</v>
      </c>
      <c r="H173" s="116"/>
      <c r="I173" s="116"/>
      <c r="L173" s="170">
        <v>45363</v>
      </c>
      <c r="M173" s="116">
        <v>715.35</v>
      </c>
      <c r="N173" s="116">
        <v>745.45</v>
      </c>
      <c r="O173" s="116">
        <v>711.5</v>
      </c>
      <c r="P173" s="116">
        <v>742.5</v>
      </c>
      <c r="Q173" s="116">
        <v>715.35</v>
      </c>
      <c r="R173">
        <v>237416</v>
      </c>
    </row>
    <row r="174" spans="1:18" x14ac:dyDescent="0.25">
      <c r="A174" s="170">
        <v>45364</v>
      </c>
      <c r="B174" s="116">
        <v>716</v>
      </c>
      <c r="C174" s="116">
        <v>677.65</v>
      </c>
      <c r="D174" s="116">
        <v>655.85</v>
      </c>
      <c r="E174" s="116">
        <v>712.25</v>
      </c>
      <c r="F174" s="116">
        <v>677.65</v>
      </c>
      <c r="G174">
        <v>50080</v>
      </c>
      <c r="H174" s="116"/>
      <c r="I174" s="116"/>
      <c r="L174" s="170">
        <v>45364</v>
      </c>
      <c r="M174" s="116">
        <v>677.6</v>
      </c>
      <c r="N174" s="116">
        <v>716.95</v>
      </c>
      <c r="O174" s="116">
        <v>656.65</v>
      </c>
      <c r="P174" s="116">
        <v>715.3</v>
      </c>
      <c r="Q174" s="116">
        <v>677.6</v>
      </c>
      <c r="R174">
        <v>292351</v>
      </c>
    </row>
    <row r="175" spans="1:18" x14ac:dyDescent="0.25">
      <c r="A175" s="170">
        <v>45365</v>
      </c>
      <c r="B175" s="116">
        <v>707.1</v>
      </c>
      <c r="C175" s="116">
        <v>694.1</v>
      </c>
      <c r="D175" s="116">
        <v>641.04999999999995</v>
      </c>
      <c r="E175" s="116">
        <v>641.04999999999995</v>
      </c>
      <c r="F175" s="116">
        <v>694.1</v>
      </c>
      <c r="G175">
        <v>50433</v>
      </c>
      <c r="H175" s="116"/>
      <c r="I175" s="116"/>
      <c r="L175" s="170">
        <v>45365</v>
      </c>
      <c r="M175" s="116">
        <v>694.9</v>
      </c>
      <c r="N175" s="116">
        <v>707.4</v>
      </c>
      <c r="O175" s="116">
        <v>662</v>
      </c>
      <c r="P175" s="116">
        <v>662</v>
      </c>
      <c r="Q175" s="116">
        <v>694.9</v>
      </c>
      <c r="R175">
        <v>180862</v>
      </c>
    </row>
    <row r="176" spans="1:18" x14ac:dyDescent="0.25">
      <c r="A176" s="170">
        <v>45366</v>
      </c>
      <c r="B176" s="116">
        <v>707.2</v>
      </c>
      <c r="C176" s="116">
        <v>694.2</v>
      </c>
      <c r="D176" s="116">
        <v>682.5</v>
      </c>
      <c r="E176" s="116">
        <v>683.25</v>
      </c>
      <c r="F176" s="116">
        <v>694.2</v>
      </c>
      <c r="G176">
        <v>10714</v>
      </c>
      <c r="H176" s="116"/>
      <c r="I176" s="116"/>
      <c r="L176" s="170">
        <v>45366</v>
      </c>
      <c r="M176" s="116">
        <v>694.1</v>
      </c>
      <c r="N176" s="116">
        <v>707</v>
      </c>
      <c r="O176" s="116">
        <v>681.15</v>
      </c>
      <c r="P176" s="116">
        <v>693</v>
      </c>
      <c r="Q176" s="116">
        <v>694.1</v>
      </c>
      <c r="R176">
        <v>126253</v>
      </c>
    </row>
    <row r="177" spans="1:18" x14ac:dyDescent="0.25">
      <c r="A177" s="170">
        <v>45369</v>
      </c>
      <c r="B177" s="116">
        <v>699.9</v>
      </c>
      <c r="C177" s="116">
        <v>682.6</v>
      </c>
      <c r="D177" s="116">
        <v>680.15</v>
      </c>
      <c r="E177" s="116">
        <v>696</v>
      </c>
      <c r="F177" s="116">
        <v>682.6</v>
      </c>
      <c r="G177">
        <v>13051</v>
      </c>
      <c r="H177" s="116"/>
      <c r="I177" s="116"/>
      <c r="L177" s="170">
        <v>45369</v>
      </c>
      <c r="M177" s="116">
        <v>682.2</v>
      </c>
      <c r="N177" s="116">
        <v>700</v>
      </c>
      <c r="O177" s="116">
        <v>680.2</v>
      </c>
      <c r="P177" s="116">
        <v>695</v>
      </c>
      <c r="Q177" s="116">
        <v>682.2</v>
      </c>
      <c r="R177">
        <v>78641</v>
      </c>
    </row>
    <row r="178" spans="1:18" x14ac:dyDescent="0.25">
      <c r="A178" s="170">
        <v>45370</v>
      </c>
      <c r="B178" s="116">
        <v>683.5</v>
      </c>
      <c r="C178" s="116">
        <v>668.2</v>
      </c>
      <c r="D178" s="116">
        <v>665.1</v>
      </c>
      <c r="E178" s="116">
        <v>681.1</v>
      </c>
      <c r="F178" s="116">
        <v>668.2</v>
      </c>
      <c r="G178">
        <v>14333</v>
      </c>
      <c r="H178" s="116"/>
      <c r="I178" s="116"/>
      <c r="L178" s="170">
        <v>45370</v>
      </c>
      <c r="M178" s="116">
        <v>667.65</v>
      </c>
      <c r="N178" s="116">
        <v>683.9</v>
      </c>
      <c r="O178" s="116">
        <v>665.05</v>
      </c>
      <c r="P178" s="116">
        <v>680</v>
      </c>
      <c r="Q178" s="116">
        <v>667.65</v>
      </c>
      <c r="R178">
        <v>355133</v>
      </c>
    </row>
    <row r="179" spans="1:18" x14ac:dyDescent="0.25">
      <c r="A179" s="170">
        <v>45371</v>
      </c>
      <c r="B179" s="116">
        <v>682.1</v>
      </c>
      <c r="C179" s="116">
        <v>657.55</v>
      </c>
      <c r="D179" s="116">
        <v>650.29999999999995</v>
      </c>
      <c r="E179" s="116">
        <v>670.05</v>
      </c>
      <c r="F179" s="116">
        <v>657.55</v>
      </c>
      <c r="G179">
        <v>17599</v>
      </c>
      <c r="H179" s="116"/>
      <c r="I179" s="116"/>
      <c r="L179" s="170">
        <v>45371</v>
      </c>
      <c r="M179" s="116">
        <v>657.8</v>
      </c>
      <c r="N179" s="116">
        <v>682.45</v>
      </c>
      <c r="O179" s="116">
        <v>650.1</v>
      </c>
      <c r="P179" s="116">
        <v>675</v>
      </c>
      <c r="Q179" s="116">
        <v>657.8</v>
      </c>
      <c r="R179">
        <v>124798</v>
      </c>
    </row>
    <row r="180" spans="1:18" x14ac:dyDescent="0.25">
      <c r="A180" s="170">
        <v>45372</v>
      </c>
      <c r="B180" s="116">
        <v>690</v>
      </c>
      <c r="C180" s="116">
        <v>684.35</v>
      </c>
      <c r="D180" s="116">
        <v>657.75</v>
      </c>
      <c r="E180" s="116">
        <v>657.75</v>
      </c>
      <c r="F180" s="116">
        <v>684.35</v>
      </c>
      <c r="G180">
        <v>7864</v>
      </c>
      <c r="H180" s="116"/>
      <c r="I180" s="116"/>
      <c r="L180" s="170">
        <v>45372</v>
      </c>
      <c r="M180" s="116">
        <v>685.25</v>
      </c>
      <c r="N180" s="116">
        <v>690</v>
      </c>
      <c r="O180" s="116">
        <v>660.5</v>
      </c>
      <c r="P180" s="116">
        <v>660.5</v>
      </c>
      <c r="Q180" s="116">
        <v>685.25</v>
      </c>
      <c r="R180">
        <v>223554</v>
      </c>
    </row>
    <row r="181" spans="1:18" x14ac:dyDescent="0.25">
      <c r="A181" s="170">
        <v>45373</v>
      </c>
      <c r="B181" s="116">
        <v>692.35</v>
      </c>
      <c r="C181" s="116">
        <v>689.6</v>
      </c>
      <c r="D181" s="116">
        <v>670.5</v>
      </c>
      <c r="E181" s="116">
        <v>685</v>
      </c>
      <c r="F181" s="116">
        <v>689.6</v>
      </c>
      <c r="G181">
        <v>8673</v>
      </c>
      <c r="H181" s="116"/>
      <c r="I181" s="116"/>
      <c r="L181" s="170">
        <v>45373</v>
      </c>
      <c r="M181" s="116">
        <v>689.95</v>
      </c>
      <c r="N181" s="116">
        <v>692.8</v>
      </c>
      <c r="O181" s="116">
        <v>670</v>
      </c>
      <c r="P181" s="116">
        <v>670</v>
      </c>
      <c r="Q181" s="116">
        <v>689.95</v>
      </c>
      <c r="R181">
        <v>121444</v>
      </c>
    </row>
    <row r="182" spans="1:18" x14ac:dyDescent="0.25">
      <c r="A182" s="170">
        <v>45377</v>
      </c>
      <c r="B182" s="116">
        <v>695.7</v>
      </c>
      <c r="C182" s="116">
        <v>682.9</v>
      </c>
      <c r="D182" s="116">
        <v>680</v>
      </c>
      <c r="E182" s="116">
        <v>690.5</v>
      </c>
      <c r="F182" s="116">
        <v>682.9</v>
      </c>
      <c r="G182">
        <v>6894</v>
      </c>
      <c r="H182" s="116"/>
      <c r="I182" s="116"/>
      <c r="L182" s="170">
        <v>45377</v>
      </c>
      <c r="M182" s="116">
        <v>683.3</v>
      </c>
      <c r="N182" s="116">
        <v>695.15</v>
      </c>
      <c r="O182" s="116">
        <v>679</v>
      </c>
      <c r="P182" s="116">
        <v>690</v>
      </c>
      <c r="Q182" s="116">
        <v>683.3</v>
      </c>
      <c r="R182">
        <v>96125</v>
      </c>
    </row>
    <row r="183" spans="1:18" x14ac:dyDescent="0.25">
      <c r="A183" s="170">
        <v>45378</v>
      </c>
      <c r="B183" s="116">
        <v>709.35</v>
      </c>
      <c r="C183" s="116">
        <v>702.35</v>
      </c>
      <c r="D183" s="116">
        <v>682.6</v>
      </c>
      <c r="E183" s="116">
        <v>683.05</v>
      </c>
      <c r="F183" s="116">
        <v>702.35</v>
      </c>
      <c r="G183">
        <v>9561</v>
      </c>
      <c r="H183" s="116"/>
      <c r="I183" s="116"/>
      <c r="L183" s="170">
        <v>45378</v>
      </c>
      <c r="M183" s="116">
        <v>702.6</v>
      </c>
      <c r="N183" s="116">
        <v>710</v>
      </c>
      <c r="O183" s="116">
        <v>682.25</v>
      </c>
      <c r="P183" s="116">
        <v>687</v>
      </c>
      <c r="Q183" s="116">
        <v>702.6</v>
      </c>
      <c r="R183">
        <v>137521</v>
      </c>
    </row>
    <row r="184" spans="1:18" x14ac:dyDescent="0.25">
      <c r="A184" s="170">
        <v>45379</v>
      </c>
      <c r="B184" s="116">
        <v>726.6</v>
      </c>
      <c r="C184" s="116">
        <v>720.2</v>
      </c>
      <c r="D184" s="116">
        <v>702.25</v>
      </c>
      <c r="E184" s="116">
        <v>711.1</v>
      </c>
      <c r="F184" s="116">
        <v>720.2</v>
      </c>
      <c r="G184">
        <v>12525</v>
      </c>
      <c r="H184" s="116"/>
      <c r="I184" s="116"/>
      <c r="L184" s="170">
        <v>45379</v>
      </c>
      <c r="M184" s="116">
        <v>720.4</v>
      </c>
      <c r="N184" s="116">
        <v>726.45</v>
      </c>
      <c r="O184" s="116">
        <v>701.35</v>
      </c>
      <c r="P184" s="116">
        <v>709.65</v>
      </c>
      <c r="Q184" s="116">
        <v>720.4</v>
      </c>
      <c r="R184">
        <v>136721</v>
      </c>
    </row>
    <row r="185" spans="1:18" x14ac:dyDescent="0.25">
      <c r="A185" s="170">
        <v>45383</v>
      </c>
      <c r="B185" s="116">
        <v>754.65</v>
      </c>
      <c r="C185" s="116">
        <v>705.15</v>
      </c>
      <c r="D185" s="116">
        <v>703</v>
      </c>
      <c r="E185" s="116">
        <v>754.65</v>
      </c>
      <c r="F185" s="116">
        <v>705.15</v>
      </c>
      <c r="G185">
        <v>8253</v>
      </c>
      <c r="H185" s="116"/>
      <c r="I185" s="116"/>
      <c r="L185" s="170">
        <v>45383</v>
      </c>
      <c r="M185" s="116">
        <v>704.85</v>
      </c>
      <c r="N185" s="116">
        <v>732.55</v>
      </c>
      <c r="O185" s="116">
        <v>703</v>
      </c>
      <c r="P185" s="116">
        <v>725</v>
      </c>
      <c r="Q185" s="116">
        <v>704.85</v>
      </c>
      <c r="R185">
        <v>171962</v>
      </c>
    </row>
    <row r="186" spans="1:18" x14ac:dyDescent="0.25">
      <c r="A186" s="170">
        <v>45384</v>
      </c>
      <c r="B186" s="116">
        <v>719</v>
      </c>
      <c r="C186" s="116">
        <v>704.25</v>
      </c>
      <c r="D186" s="116">
        <v>703.15</v>
      </c>
      <c r="E186" s="116">
        <v>707.7</v>
      </c>
      <c r="F186" s="116">
        <v>704.25</v>
      </c>
      <c r="G186">
        <v>9897</v>
      </c>
      <c r="H186" s="116"/>
      <c r="I186" s="116"/>
      <c r="L186" s="170">
        <v>45384</v>
      </c>
      <c r="M186" s="116">
        <v>704.65</v>
      </c>
      <c r="N186" s="116">
        <v>718.5</v>
      </c>
      <c r="O186" s="116">
        <v>703</v>
      </c>
      <c r="P186" s="116">
        <v>709.65</v>
      </c>
      <c r="Q186" s="116">
        <v>704.65</v>
      </c>
      <c r="R186">
        <v>121303</v>
      </c>
    </row>
    <row r="187" spans="1:18" x14ac:dyDescent="0.25">
      <c r="A187" s="170">
        <v>45385</v>
      </c>
      <c r="B187" s="116">
        <v>713.15</v>
      </c>
      <c r="C187" s="116">
        <v>703.6</v>
      </c>
      <c r="D187" s="116">
        <v>702.25</v>
      </c>
      <c r="E187" s="116">
        <v>707.75</v>
      </c>
      <c r="F187" s="116">
        <v>703.6</v>
      </c>
      <c r="G187">
        <v>5272</v>
      </c>
      <c r="H187" s="116"/>
      <c r="I187" s="116"/>
      <c r="L187" s="170">
        <v>45385</v>
      </c>
      <c r="M187" s="116">
        <v>703.65</v>
      </c>
      <c r="N187" s="116">
        <v>714</v>
      </c>
      <c r="O187" s="116">
        <v>700</v>
      </c>
      <c r="P187" s="116">
        <v>706.65</v>
      </c>
      <c r="Q187" s="116">
        <v>703.65</v>
      </c>
      <c r="R187">
        <v>107170</v>
      </c>
    </row>
    <row r="188" spans="1:18" x14ac:dyDescent="0.25">
      <c r="A188" s="170">
        <v>45386</v>
      </c>
      <c r="B188" s="116">
        <v>713</v>
      </c>
      <c r="C188" s="116">
        <v>703.4</v>
      </c>
      <c r="D188" s="116">
        <v>702</v>
      </c>
      <c r="E188" s="116">
        <v>704</v>
      </c>
      <c r="F188" s="116">
        <v>703.4</v>
      </c>
      <c r="G188">
        <v>8325</v>
      </c>
      <c r="H188" s="116"/>
      <c r="I188" s="116"/>
      <c r="L188" s="170">
        <v>45386</v>
      </c>
      <c r="M188" s="116">
        <v>704.7</v>
      </c>
      <c r="N188" s="116">
        <v>713.3</v>
      </c>
      <c r="O188" s="116">
        <v>701.2</v>
      </c>
      <c r="P188" s="116">
        <v>707.65</v>
      </c>
      <c r="Q188" s="116">
        <v>704.7</v>
      </c>
      <c r="R188">
        <v>221018</v>
      </c>
    </row>
    <row r="189" spans="1:18" x14ac:dyDescent="0.25">
      <c r="A189" s="170">
        <v>45387</v>
      </c>
      <c r="B189" s="116">
        <v>710.9</v>
      </c>
      <c r="C189" s="116">
        <v>703.95</v>
      </c>
      <c r="D189" s="116">
        <v>700.75</v>
      </c>
      <c r="E189" s="116">
        <v>707.85</v>
      </c>
      <c r="F189" s="116">
        <v>703.95</v>
      </c>
      <c r="G189">
        <v>4385</v>
      </c>
      <c r="H189" s="116"/>
      <c r="I189" s="116"/>
      <c r="L189" s="170">
        <v>45387</v>
      </c>
      <c r="M189" s="116">
        <v>703.85</v>
      </c>
      <c r="N189" s="116">
        <v>711.25</v>
      </c>
      <c r="O189" s="116">
        <v>701.05</v>
      </c>
      <c r="P189" s="116">
        <v>704.75</v>
      </c>
      <c r="Q189" s="116">
        <v>703.85</v>
      </c>
      <c r="R189">
        <v>127743</v>
      </c>
    </row>
    <row r="190" spans="1:18" x14ac:dyDescent="0.25">
      <c r="A190" s="170">
        <v>45390</v>
      </c>
      <c r="B190" s="116">
        <v>714.9</v>
      </c>
      <c r="C190" s="116">
        <v>701.6</v>
      </c>
      <c r="D190" s="116">
        <v>701.05</v>
      </c>
      <c r="E190" s="116">
        <v>711.05</v>
      </c>
      <c r="F190" s="116">
        <v>701.6</v>
      </c>
      <c r="G190">
        <v>10983</v>
      </c>
      <c r="H190" s="116"/>
      <c r="I190" s="116"/>
      <c r="L190" s="170">
        <v>45390</v>
      </c>
      <c r="M190" s="116">
        <v>702.55</v>
      </c>
      <c r="N190" s="116">
        <v>715</v>
      </c>
      <c r="O190" s="116">
        <v>700.95</v>
      </c>
      <c r="P190" s="116">
        <v>713</v>
      </c>
      <c r="Q190" s="116">
        <v>702.55</v>
      </c>
      <c r="R190">
        <v>133593</v>
      </c>
    </row>
    <row r="191" spans="1:18" x14ac:dyDescent="0.25">
      <c r="A191" s="170">
        <v>45391</v>
      </c>
      <c r="B191" s="116">
        <v>708.9</v>
      </c>
      <c r="C191" s="116">
        <v>702.3</v>
      </c>
      <c r="D191" s="116">
        <v>697</v>
      </c>
      <c r="E191" s="116">
        <v>708.7</v>
      </c>
      <c r="F191" s="116">
        <v>702.3</v>
      </c>
      <c r="G191">
        <v>5690</v>
      </c>
      <c r="H191" s="116"/>
      <c r="I191" s="116"/>
      <c r="L191" s="170">
        <v>45391</v>
      </c>
      <c r="M191" s="116">
        <v>702</v>
      </c>
      <c r="N191" s="116">
        <v>709</v>
      </c>
      <c r="O191" s="116">
        <v>696.8</v>
      </c>
      <c r="P191" s="116">
        <v>709</v>
      </c>
      <c r="Q191" s="116">
        <v>702</v>
      </c>
      <c r="R191">
        <v>90517</v>
      </c>
    </row>
    <row r="192" spans="1:18" x14ac:dyDescent="0.25">
      <c r="A192" s="170">
        <v>45392</v>
      </c>
      <c r="B192" s="116">
        <v>719.4</v>
      </c>
      <c r="C192" s="116">
        <v>707.6</v>
      </c>
      <c r="D192" s="116">
        <v>701.05</v>
      </c>
      <c r="E192" s="116">
        <v>710.95</v>
      </c>
      <c r="F192" s="116">
        <v>707.6</v>
      </c>
      <c r="G192">
        <v>27726</v>
      </c>
      <c r="H192" s="116"/>
      <c r="I192" s="116"/>
      <c r="L192" s="170">
        <v>45392</v>
      </c>
      <c r="M192" s="116">
        <v>707.55</v>
      </c>
      <c r="N192" s="116">
        <v>720</v>
      </c>
      <c r="O192" s="116">
        <v>700.25</v>
      </c>
      <c r="P192" s="116">
        <v>707</v>
      </c>
      <c r="Q192" s="116">
        <v>707.55</v>
      </c>
      <c r="R192">
        <v>127134</v>
      </c>
    </row>
    <row r="193" spans="1:18" x14ac:dyDescent="0.25">
      <c r="A193" s="170">
        <v>45394</v>
      </c>
      <c r="B193" s="116">
        <v>719.95</v>
      </c>
      <c r="C193" s="116">
        <v>704.8</v>
      </c>
      <c r="D193" s="116">
        <v>702.95</v>
      </c>
      <c r="E193" s="116">
        <v>712.4</v>
      </c>
      <c r="F193" s="116">
        <v>704.8</v>
      </c>
      <c r="G193">
        <v>12828</v>
      </c>
      <c r="H193" s="116"/>
      <c r="I193" s="116"/>
      <c r="L193" s="170">
        <v>45394</v>
      </c>
      <c r="M193" s="116">
        <v>705.5</v>
      </c>
      <c r="N193" s="116">
        <v>719.95</v>
      </c>
      <c r="O193" s="116">
        <v>703</v>
      </c>
      <c r="P193" s="116">
        <v>713.9</v>
      </c>
      <c r="Q193" s="116">
        <v>705.5</v>
      </c>
      <c r="R193">
        <v>121290</v>
      </c>
    </row>
    <row r="194" spans="1:18" x14ac:dyDescent="0.25">
      <c r="A194" s="170">
        <v>45397</v>
      </c>
      <c r="B194" s="116">
        <v>701</v>
      </c>
      <c r="C194" s="116">
        <v>693.85</v>
      </c>
      <c r="D194" s="116">
        <v>677</v>
      </c>
      <c r="E194" s="116">
        <v>699</v>
      </c>
      <c r="F194" s="116">
        <v>693.85</v>
      </c>
      <c r="G194">
        <v>13541</v>
      </c>
      <c r="H194" s="116"/>
      <c r="I194" s="116"/>
      <c r="L194" s="170">
        <v>45397</v>
      </c>
      <c r="M194" s="116">
        <v>694.05</v>
      </c>
      <c r="N194" s="116">
        <v>700.5</v>
      </c>
      <c r="O194" s="116">
        <v>676</v>
      </c>
      <c r="P194" s="116">
        <v>690.05</v>
      </c>
      <c r="Q194" s="116">
        <v>694.05</v>
      </c>
      <c r="R194">
        <v>120538</v>
      </c>
    </row>
    <row r="195" spans="1:18" x14ac:dyDescent="0.25">
      <c r="A195" s="170">
        <v>45398</v>
      </c>
      <c r="B195" s="116">
        <v>701.35</v>
      </c>
      <c r="C195" s="116">
        <v>684.5</v>
      </c>
      <c r="D195" s="116">
        <v>680</v>
      </c>
      <c r="E195" s="116">
        <v>680.15</v>
      </c>
      <c r="F195" s="116">
        <v>684.5</v>
      </c>
      <c r="G195">
        <v>5445</v>
      </c>
      <c r="H195" s="116"/>
      <c r="I195" s="116"/>
      <c r="L195" s="170">
        <v>45398</v>
      </c>
      <c r="M195" s="116">
        <v>684.1</v>
      </c>
      <c r="N195" s="116">
        <v>701</v>
      </c>
      <c r="O195" s="116">
        <v>680.15</v>
      </c>
      <c r="P195" s="116">
        <v>686</v>
      </c>
      <c r="Q195" s="116">
        <v>684.1</v>
      </c>
      <c r="R195">
        <v>81392</v>
      </c>
    </row>
    <row r="196" spans="1:18" x14ac:dyDescent="0.25">
      <c r="A196" s="170">
        <v>45400</v>
      </c>
      <c r="B196" s="116">
        <v>694</v>
      </c>
      <c r="C196" s="116">
        <v>670.6</v>
      </c>
      <c r="D196" s="116">
        <v>668.15</v>
      </c>
      <c r="E196" s="116">
        <v>694</v>
      </c>
      <c r="F196" s="116">
        <v>670.6</v>
      </c>
      <c r="G196">
        <v>19751</v>
      </c>
      <c r="H196" s="116"/>
      <c r="I196" s="116"/>
      <c r="L196" s="170">
        <v>45400</v>
      </c>
      <c r="M196" s="116">
        <v>670.85</v>
      </c>
      <c r="N196" s="116">
        <v>693.5</v>
      </c>
      <c r="O196" s="116">
        <v>668</v>
      </c>
      <c r="P196" s="116">
        <v>693.5</v>
      </c>
      <c r="Q196" s="116">
        <v>670.85</v>
      </c>
      <c r="R196">
        <v>525577</v>
      </c>
    </row>
    <row r="197" spans="1:18" x14ac:dyDescent="0.25">
      <c r="A197" s="170">
        <v>45401</v>
      </c>
      <c r="B197" s="116">
        <v>679.85</v>
      </c>
      <c r="C197" s="116">
        <v>661.05</v>
      </c>
      <c r="D197" s="116">
        <v>657.3</v>
      </c>
      <c r="E197" s="116">
        <v>664.95</v>
      </c>
      <c r="F197" s="116">
        <v>661.05</v>
      </c>
      <c r="G197">
        <v>7710</v>
      </c>
      <c r="H197" s="116"/>
      <c r="I197" s="116"/>
      <c r="L197" s="170">
        <v>45401</v>
      </c>
      <c r="M197" s="116">
        <v>661</v>
      </c>
      <c r="N197" s="116">
        <v>680</v>
      </c>
      <c r="O197" s="116">
        <v>656.2</v>
      </c>
      <c r="P197" s="116">
        <v>658.85</v>
      </c>
      <c r="Q197" s="116">
        <v>661</v>
      </c>
      <c r="R197">
        <v>182584</v>
      </c>
    </row>
    <row r="198" spans="1:18" x14ac:dyDescent="0.25">
      <c r="A198" s="170">
        <v>45404</v>
      </c>
      <c r="B198" s="116">
        <v>679.4</v>
      </c>
      <c r="C198" s="116">
        <v>668.7</v>
      </c>
      <c r="D198" s="116">
        <v>667.05</v>
      </c>
      <c r="E198" s="116">
        <v>675.05</v>
      </c>
      <c r="F198" s="116">
        <v>668.7</v>
      </c>
      <c r="G198">
        <v>14955</v>
      </c>
      <c r="H198" s="116"/>
      <c r="I198" s="116"/>
      <c r="L198" s="170">
        <v>45404</v>
      </c>
      <c r="M198" s="116">
        <v>669.8</v>
      </c>
      <c r="N198" s="116">
        <v>679</v>
      </c>
      <c r="O198" s="116">
        <v>666.8</v>
      </c>
      <c r="P198" s="116">
        <v>679</v>
      </c>
      <c r="Q198" s="116">
        <v>669.8</v>
      </c>
      <c r="R198">
        <v>141247</v>
      </c>
    </row>
    <row r="199" spans="1:18" x14ac:dyDescent="0.25">
      <c r="A199" s="170">
        <v>45405</v>
      </c>
      <c r="B199" s="116">
        <v>696.6</v>
      </c>
      <c r="C199" s="116">
        <v>687.35</v>
      </c>
      <c r="D199" s="116">
        <v>670</v>
      </c>
      <c r="E199" s="116">
        <v>683.05</v>
      </c>
      <c r="F199" s="116">
        <v>687.35</v>
      </c>
      <c r="G199">
        <v>20057</v>
      </c>
      <c r="H199" s="116"/>
      <c r="I199" s="116"/>
      <c r="L199" s="170">
        <v>45405</v>
      </c>
      <c r="M199" s="116">
        <v>686.5</v>
      </c>
      <c r="N199" s="116">
        <v>696.45</v>
      </c>
      <c r="O199" s="116">
        <v>669.75</v>
      </c>
      <c r="P199" s="116">
        <v>676.65</v>
      </c>
      <c r="Q199" s="116">
        <v>686.5</v>
      </c>
      <c r="R199">
        <v>482472</v>
      </c>
    </row>
    <row r="200" spans="1:18" x14ac:dyDescent="0.25">
      <c r="A200" s="170">
        <v>45406</v>
      </c>
      <c r="B200" s="116">
        <v>779.55</v>
      </c>
      <c r="C200" s="116">
        <v>721.2</v>
      </c>
      <c r="D200" s="116">
        <v>713.8</v>
      </c>
      <c r="E200" s="116">
        <v>736</v>
      </c>
      <c r="F200" s="116">
        <v>721.2</v>
      </c>
      <c r="G200">
        <v>249696</v>
      </c>
      <c r="H200" s="116"/>
      <c r="I200" s="116"/>
      <c r="L200" s="170">
        <v>45406</v>
      </c>
      <c r="M200" s="116">
        <v>721.35</v>
      </c>
      <c r="N200" s="116">
        <v>780</v>
      </c>
      <c r="O200" s="116">
        <v>715.1</v>
      </c>
      <c r="P200" s="116">
        <v>725</v>
      </c>
      <c r="Q200" s="116">
        <v>721.35</v>
      </c>
      <c r="R200">
        <v>4121045</v>
      </c>
    </row>
    <row r="201" spans="1:18" x14ac:dyDescent="0.25">
      <c r="A201" s="170">
        <v>45407</v>
      </c>
      <c r="B201" s="116">
        <v>730</v>
      </c>
      <c r="C201" s="116">
        <v>699.1</v>
      </c>
      <c r="D201" s="116">
        <v>694.4</v>
      </c>
      <c r="E201" s="116">
        <v>730</v>
      </c>
      <c r="F201" s="116">
        <v>699.1</v>
      </c>
      <c r="G201">
        <v>78232</v>
      </c>
      <c r="H201" s="116"/>
      <c r="I201" s="116"/>
      <c r="L201" s="170">
        <v>45407</v>
      </c>
      <c r="M201" s="116">
        <v>698.9</v>
      </c>
      <c r="N201" s="116">
        <v>730.3</v>
      </c>
      <c r="O201" s="116">
        <v>694</v>
      </c>
      <c r="P201" s="116">
        <v>730</v>
      </c>
      <c r="Q201" s="116">
        <v>698.9</v>
      </c>
      <c r="R201">
        <v>1167828</v>
      </c>
    </row>
    <row r="202" spans="1:18" x14ac:dyDescent="0.25">
      <c r="A202" s="170">
        <v>45408</v>
      </c>
      <c r="B202" s="116">
        <v>706</v>
      </c>
      <c r="C202" s="116">
        <v>691.8</v>
      </c>
      <c r="D202" s="116">
        <v>688.5</v>
      </c>
      <c r="E202" s="116">
        <v>705</v>
      </c>
      <c r="F202" s="116">
        <v>691.8</v>
      </c>
      <c r="G202">
        <v>42246</v>
      </c>
      <c r="H202" s="116"/>
      <c r="I202" s="116"/>
      <c r="L202" s="170">
        <v>45408</v>
      </c>
      <c r="M202" s="116">
        <v>691.6</v>
      </c>
      <c r="N202" s="116">
        <v>706</v>
      </c>
      <c r="O202" s="116">
        <v>688.25</v>
      </c>
      <c r="P202" s="116">
        <v>705.85</v>
      </c>
      <c r="Q202" s="116">
        <v>691.6</v>
      </c>
      <c r="R202">
        <v>783196</v>
      </c>
    </row>
    <row r="203" spans="1:18" x14ac:dyDescent="0.25">
      <c r="A203" s="170">
        <v>45411</v>
      </c>
      <c r="B203" s="116">
        <v>701.75</v>
      </c>
      <c r="C203" s="116">
        <v>690.45</v>
      </c>
      <c r="D203" s="116">
        <v>688.4</v>
      </c>
      <c r="E203" s="116">
        <v>701.75</v>
      </c>
      <c r="F203" s="116">
        <v>690.45</v>
      </c>
      <c r="G203">
        <v>130540</v>
      </c>
      <c r="H203" s="116"/>
      <c r="I203" s="116"/>
      <c r="L203" s="170">
        <v>45411</v>
      </c>
      <c r="M203" s="116">
        <v>690.75</v>
      </c>
      <c r="N203" s="116">
        <v>700.25</v>
      </c>
      <c r="O203" s="116">
        <v>688.5</v>
      </c>
      <c r="P203" s="116">
        <v>695</v>
      </c>
      <c r="Q203" s="116">
        <v>690.75</v>
      </c>
      <c r="R203">
        <v>157135</v>
      </c>
    </row>
    <row r="204" spans="1:18" x14ac:dyDescent="0.25">
      <c r="A204" s="170">
        <v>45412</v>
      </c>
      <c r="B204" s="116">
        <v>701.8</v>
      </c>
      <c r="C204" s="116">
        <v>692.9</v>
      </c>
      <c r="D204" s="116">
        <v>690.5</v>
      </c>
      <c r="E204" s="116">
        <v>698.75</v>
      </c>
      <c r="F204" s="116">
        <v>692.9</v>
      </c>
      <c r="G204">
        <v>12292</v>
      </c>
      <c r="H204" s="116"/>
      <c r="I204" s="116"/>
      <c r="L204" s="170">
        <v>45412</v>
      </c>
      <c r="M204" s="116">
        <v>693.55</v>
      </c>
      <c r="N204" s="116">
        <v>701</v>
      </c>
      <c r="O204" s="116">
        <v>690.3</v>
      </c>
      <c r="P204" s="116">
        <v>692.85</v>
      </c>
      <c r="Q204" s="116">
        <v>693.55</v>
      </c>
      <c r="R204">
        <v>206659</v>
      </c>
    </row>
    <row r="205" spans="1:18" x14ac:dyDescent="0.25">
      <c r="A205" s="170">
        <v>45414</v>
      </c>
      <c r="B205" s="116">
        <v>703</v>
      </c>
      <c r="C205" s="116">
        <v>690.3</v>
      </c>
      <c r="D205" s="116">
        <v>688</v>
      </c>
      <c r="E205" s="116">
        <v>696.15</v>
      </c>
      <c r="F205" s="116">
        <v>690.3</v>
      </c>
      <c r="G205">
        <v>16043</v>
      </c>
      <c r="H205" s="116"/>
      <c r="I205" s="116"/>
      <c r="L205" s="170">
        <v>45414</v>
      </c>
      <c r="M205" s="116">
        <v>689.85</v>
      </c>
      <c r="N205" s="116">
        <v>700</v>
      </c>
      <c r="O205" s="116">
        <v>686</v>
      </c>
      <c r="P205" s="116">
        <v>700</v>
      </c>
      <c r="Q205" s="116">
        <v>689.85</v>
      </c>
      <c r="R205">
        <v>237336</v>
      </c>
    </row>
    <row r="206" spans="1:18" x14ac:dyDescent="0.25">
      <c r="A206" s="170">
        <v>45415</v>
      </c>
      <c r="B206" s="116">
        <v>696</v>
      </c>
      <c r="C206" s="116">
        <v>685.5</v>
      </c>
      <c r="D206" s="116">
        <v>680.1</v>
      </c>
      <c r="E206" s="116">
        <v>694.95</v>
      </c>
      <c r="F206" s="116">
        <v>685.5</v>
      </c>
      <c r="G206">
        <v>136193</v>
      </c>
      <c r="H206" s="116"/>
      <c r="I206" s="116"/>
      <c r="L206" s="170">
        <v>45415</v>
      </c>
      <c r="M206" s="116">
        <v>684.95</v>
      </c>
      <c r="N206" s="116">
        <v>696.1</v>
      </c>
      <c r="O206" s="116">
        <v>680</v>
      </c>
      <c r="P206" s="116">
        <v>693.05</v>
      </c>
      <c r="Q206" s="116">
        <v>684.95</v>
      </c>
      <c r="R206">
        <v>187026</v>
      </c>
    </row>
    <row r="207" spans="1:18" x14ac:dyDescent="0.25">
      <c r="A207" s="170">
        <v>45418</v>
      </c>
      <c r="B207" s="116">
        <v>692</v>
      </c>
      <c r="C207" s="116">
        <v>668.15</v>
      </c>
      <c r="D207" s="116">
        <v>665.05</v>
      </c>
      <c r="E207" s="116">
        <v>688</v>
      </c>
      <c r="F207" s="116">
        <v>668.15</v>
      </c>
      <c r="G207">
        <v>292625</v>
      </c>
      <c r="H207" s="116"/>
      <c r="I207" s="116"/>
      <c r="L207" s="170">
        <v>45418</v>
      </c>
      <c r="M207" s="116">
        <v>667.65</v>
      </c>
      <c r="N207" s="116">
        <v>689</v>
      </c>
      <c r="O207" s="116">
        <v>665</v>
      </c>
      <c r="P207" s="116">
        <v>689</v>
      </c>
      <c r="Q207" s="116">
        <v>667.65</v>
      </c>
      <c r="R207">
        <v>114740</v>
      </c>
    </row>
    <row r="208" spans="1:18" x14ac:dyDescent="0.25">
      <c r="A208" s="170">
        <v>45419</v>
      </c>
      <c r="B208" s="116">
        <v>677.05</v>
      </c>
      <c r="C208" s="116">
        <v>667.2</v>
      </c>
      <c r="D208" s="116">
        <v>659</v>
      </c>
      <c r="E208" s="116">
        <v>668.8</v>
      </c>
      <c r="F208" s="116">
        <v>667.2</v>
      </c>
      <c r="G208">
        <v>35036</v>
      </c>
      <c r="H208" s="116"/>
      <c r="I208" s="116"/>
      <c r="L208" s="170">
        <v>45419</v>
      </c>
      <c r="M208" s="116">
        <v>667.05</v>
      </c>
      <c r="N208" s="116">
        <v>677.4</v>
      </c>
      <c r="O208" s="116">
        <v>659</v>
      </c>
      <c r="P208" s="116">
        <v>668.3</v>
      </c>
      <c r="Q208" s="116">
        <v>667.05</v>
      </c>
      <c r="R208">
        <v>124229</v>
      </c>
    </row>
    <row r="209" spans="1:18" x14ac:dyDescent="0.25">
      <c r="A209" s="170">
        <v>45420</v>
      </c>
      <c r="B209" s="116">
        <v>686</v>
      </c>
      <c r="C209" s="116">
        <v>675.95</v>
      </c>
      <c r="D209" s="116">
        <v>660</v>
      </c>
      <c r="E209" s="116">
        <v>667.75</v>
      </c>
      <c r="F209" s="116">
        <v>675.95</v>
      </c>
      <c r="G209">
        <v>14173</v>
      </c>
      <c r="H209" s="116"/>
      <c r="I209" s="116"/>
      <c r="L209" s="170">
        <v>45420</v>
      </c>
      <c r="M209" s="116">
        <v>677.1</v>
      </c>
      <c r="N209" s="116">
        <v>686.95</v>
      </c>
      <c r="O209" s="116">
        <v>660</v>
      </c>
      <c r="P209" s="116">
        <v>665.1</v>
      </c>
      <c r="Q209" s="116">
        <v>677.1</v>
      </c>
      <c r="R209">
        <v>199288</v>
      </c>
    </row>
    <row r="210" spans="1:18" x14ac:dyDescent="0.25">
      <c r="A210" s="170">
        <v>45421</v>
      </c>
      <c r="B210" s="116">
        <v>682.2</v>
      </c>
      <c r="C210" s="116">
        <v>671.75</v>
      </c>
      <c r="D210" s="116">
        <v>663.95</v>
      </c>
      <c r="E210" s="116">
        <v>678.95</v>
      </c>
      <c r="F210" s="116">
        <v>671.75</v>
      </c>
      <c r="G210">
        <v>6094</v>
      </c>
      <c r="H210" s="116"/>
      <c r="I210" s="116"/>
      <c r="L210" s="170">
        <v>45421</v>
      </c>
      <c r="M210" s="116">
        <v>670.3</v>
      </c>
      <c r="N210" s="116">
        <v>682.05</v>
      </c>
      <c r="O210" s="116">
        <v>661</v>
      </c>
      <c r="P210" s="116">
        <v>677</v>
      </c>
      <c r="Q210" s="116">
        <v>670.3</v>
      </c>
      <c r="R210">
        <v>135053</v>
      </c>
    </row>
    <row r="211" spans="1:18" x14ac:dyDescent="0.25">
      <c r="A211" s="170">
        <v>45422</v>
      </c>
      <c r="B211" s="116">
        <v>677.5</v>
      </c>
      <c r="C211" s="116">
        <v>674.35</v>
      </c>
      <c r="D211" s="116">
        <v>663</v>
      </c>
      <c r="E211" s="116">
        <v>670</v>
      </c>
      <c r="F211" s="116">
        <v>674.35</v>
      </c>
      <c r="G211">
        <v>17172</v>
      </c>
      <c r="H211" s="116"/>
      <c r="I211" s="116"/>
      <c r="L211" s="170">
        <v>45422</v>
      </c>
      <c r="M211" s="116">
        <v>675</v>
      </c>
      <c r="N211" s="116">
        <v>677.45</v>
      </c>
      <c r="O211" s="116">
        <v>663</v>
      </c>
      <c r="P211" s="116">
        <v>674.65</v>
      </c>
      <c r="Q211" s="116">
        <v>675</v>
      </c>
      <c r="R211">
        <v>270827</v>
      </c>
    </row>
    <row r="212" spans="1:18" x14ac:dyDescent="0.25">
      <c r="A212" s="170">
        <v>45425</v>
      </c>
      <c r="B212" s="116">
        <v>671.65</v>
      </c>
      <c r="C212" s="116">
        <v>665</v>
      </c>
      <c r="D212" s="116">
        <v>661.5</v>
      </c>
      <c r="E212" s="116">
        <v>666.05</v>
      </c>
      <c r="F212" s="116">
        <v>665</v>
      </c>
      <c r="G212">
        <v>105799</v>
      </c>
      <c r="H212" s="116"/>
      <c r="I212" s="116"/>
      <c r="L212" s="170">
        <v>45425</v>
      </c>
      <c r="M212" s="116">
        <v>666.8</v>
      </c>
      <c r="N212" s="116">
        <v>673</v>
      </c>
      <c r="O212" s="116">
        <v>660.1</v>
      </c>
      <c r="P212" s="116">
        <v>673</v>
      </c>
      <c r="Q212" s="116">
        <v>666.8</v>
      </c>
      <c r="R212">
        <v>84968</v>
      </c>
    </row>
    <row r="213" spans="1:18" x14ac:dyDescent="0.25">
      <c r="A213" s="170">
        <v>45426</v>
      </c>
      <c r="B213" s="116">
        <v>678.75</v>
      </c>
      <c r="C213" s="116">
        <v>669</v>
      </c>
      <c r="D213" s="116">
        <v>667.1</v>
      </c>
      <c r="E213" s="116">
        <v>670.65</v>
      </c>
      <c r="F213" s="116">
        <v>669</v>
      </c>
      <c r="G213">
        <v>309487</v>
      </c>
      <c r="H213" s="116"/>
      <c r="I213" s="116"/>
      <c r="L213" s="170">
        <v>45426</v>
      </c>
      <c r="M213" s="116">
        <v>668.8</v>
      </c>
      <c r="N213" s="116">
        <v>678.55</v>
      </c>
      <c r="O213" s="116">
        <v>667</v>
      </c>
      <c r="P213" s="116">
        <v>675</v>
      </c>
      <c r="Q213" s="116">
        <v>668.8</v>
      </c>
      <c r="R213">
        <v>287513</v>
      </c>
    </row>
    <row r="214" spans="1:18" x14ac:dyDescent="0.25">
      <c r="A214" s="170">
        <v>45427</v>
      </c>
      <c r="B214" s="116">
        <v>684.6</v>
      </c>
      <c r="C214" s="116">
        <v>665.25</v>
      </c>
      <c r="D214" s="116">
        <v>661.45</v>
      </c>
      <c r="E214" s="116">
        <v>665.05</v>
      </c>
      <c r="F214" s="116">
        <v>665.25</v>
      </c>
      <c r="G214">
        <v>19499</v>
      </c>
      <c r="H214" s="116"/>
      <c r="I214" s="116"/>
      <c r="L214" s="170">
        <v>45427</v>
      </c>
      <c r="M214" s="116">
        <v>665.35</v>
      </c>
      <c r="N214" s="116">
        <v>684.7</v>
      </c>
      <c r="O214" s="116">
        <v>662.15</v>
      </c>
      <c r="P214" s="116">
        <v>674</v>
      </c>
      <c r="Q214" s="116">
        <v>665.35</v>
      </c>
      <c r="R214">
        <v>164087</v>
      </c>
    </row>
    <row r="215" spans="1:18" x14ac:dyDescent="0.25">
      <c r="A215" s="170">
        <v>45428</v>
      </c>
      <c r="B215" s="116">
        <v>672.3</v>
      </c>
      <c r="C215" s="116">
        <v>664.45</v>
      </c>
      <c r="D215" s="116">
        <v>662.55</v>
      </c>
      <c r="E215" s="116">
        <v>672.1</v>
      </c>
      <c r="F215" s="116">
        <v>664.45</v>
      </c>
      <c r="G215">
        <v>7261</v>
      </c>
      <c r="H215" s="116"/>
      <c r="I215" s="116"/>
      <c r="L215" s="170">
        <v>45428</v>
      </c>
      <c r="M215" s="116">
        <v>663.9</v>
      </c>
      <c r="N215" s="116">
        <v>672.25</v>
      </c>
      <c r="O215" s="116">
        <v>662.5</v>
      </c>
      <c r="P215" s="116">
        <v>670.65</v>
      </c>
      <c r="Q215" s="116">
        <v>663.9</v>
      </c>
      <c r="R215">
        <v>113061</v>
      </c>
    </row>
    <row r="216" spans="1:18" x14ac:dyDescent="0.25">
      <c r="A216" s="170">
        <v>45429</v>
      </c>
      <c r="B216" s="116">
        <v>677.05</v>
      </c>
      <c r="C216" s="116">
        <v>674.8</v>
      </c>
      <c r="D216" s="116">
        <v>662.15</v>
      </c>
      <c r="E216" s="116">
        <v>668.95</v>
      </c>
      <c r="F216" s="116">
        <v>674.8</v>
      </c>
      <c r="G216">
        <v>314484</v>
      </c>
      <c r="H216" s="116"/>
      <c r="I216" s="116"/>
      <c r="L216" s="170">
        <v>45429</v>
      </c>
      <c r="M216" s="116">
        <v>675.5</v>
      </c>
      <c r="N216" s="116">
        <v>677</v>
      </c>
      <c r="O216" s="116">
        <v>661</v>
      </c>
      <c r="P216" s="116">
        <v>664.95</v>
      </c>
      <c r="Q216" s="116">
        <v>675.5</v>
      </c>
      <c r="R216">
        <v>86748</v>
      </c>
    </row>
    <row r="217" spans="1:18" x14ac:dyDescent="0.25">
      <c r="A217" s="170">
        <v>45430</v>
      </c>
      <c r="B217" s="116">
        <v>691.35</v>
      </c>
      <c r="C217" s="116">
        <v>689.45</v>
      </c>
      <c r="D217" s="116">
        <v>676.55</v>
      </c>
      <c r="E217" s="116">
        <v>684.75</v>
      </c>
      <c r="F217" s="116">
        <v>689.45</v>
      </c>
      <c r="G217">
        <v>7889</v>
      </c>
      <c r="H217" s="116"/>
      <c r="I217" s="116"/>
      <c r="L217" s="170">
        <v>45430</v>
      </c>
      <c r="M217" s="116">
        <v>689.75</v>
      </c>
      <c r="N217" s="116">
        <v>692.65</v>
      </c>
      <c r="O217" s="116">
        <v>675.5</v>
      </c>
      <c r="P217" s="116">
        <v>676.95</v>
      </c>
      <c r="Q217" s="116">
        <v>689.75</v>
      </c>
      <c r="R217">
        <v>57144</v>
      </c>
    </row>
    <row r="218" spans="1:18" x14ac:dyDescent="0.25">
      <c r="A218" s="170">
        <v>45433</v>
      </c>
      <c r="B218" s="116">
        <v>698.95</v>
      </c>
      <c r="C218" s="116">
        <v>678.95</v>
      </c>
      <c r="D218" s="116">
        <v>672.75</v>
      </c>
      <c r="E218" s="116">
        <v>698.95</v>
      </c>
      <c r="F218" s="116">
        <v>678.95</v>
      </c>
      <c r="G218">
        <v>22827</v>
      </c>
      <c r="H218" s="116"/>
      <c r="I218" s="116"/>
      <c r="L218" s="170">
        <v>45433</v>
      </c>
      <c r="M218" s="116">
        <v>678.95</v>
      </c>
      <c r="N218" s="116">
        <v>693.85</v>
      </c>
      <c r="O218" s="116">
        <v>675.9</v>
      </c>
      <c r="P218" s="116">
        <v>691</v>
      </c>
      <c r="Q218" s="116">
        <v>678.95</v>
      </c>
      <c r="R218">
        <v>366422</v>
      </c>
    </row>
    <row r="219" spans="1:18" x14ac:dyDescent="0.25">
      <c r="A219" s="170">
        <v>45434</v>
      </c>
      <c r="B219" s="116">
        <v>687.9</v>
      </c>
      <c r="C219" s="116">
        <v>685.25</v>
      </c>
      <c r="D219" s="116">
        <v>670.1</v>
      </c>
      <c r="E219" s="116">
        <v>683.95</v>
      </c>
      <c r="F219" s="116">
        <v>685.25</v>
      </c>
      <c r="G219">
        <v>24470</v>
      </c>
      <c r="H219" s="116"/>
      <c r="I219" s="116"/>
      <c r="L219" s="170">
        <v>45434</v>
      </c>
      <c r="M219" s="116">
        <v>685.2</v>
      </c>
      <c r="N219" s="116">
        <v>689.7</v>
      </c>
      <c r="O219" s="116">
        <v>670.2</v>
      </c>
      <c r="P219" s="116">
        <v>679.5</v>
      </c>
      <c r="Q219" s="116">
        <v>685.2</v>
      </c>
      <c r="R219">
        <v>147855</v>
      </c>
    </row>
    <row r="220" spans="1:18" x14ac:dyDescent="0.25">
      <c r="A220" s="170">
        <v>45435</v>
      </c>
      <c r="B220" s="116">
        <v>687.5</v>
      </c>
      <c r="C220" s="116">
        <v>671.7</v>
      </c>
      <c r="D220" s="116">
        <v>670.15</v>
      </c>
      <c r="E220" s="116">
        <v>687.5</v>
      </c>
      <c r="F220" s="116">
        <v>671.7</v>
      </c>
      <c r="G220">
        <v>24252</v>
      </c>
      <c r="H220" s="116"/>
      <c r="I220" s="116"/>
      <c r="L220" s="170">
        <v>45435</v>
      </c>
      <c r="M220" s="116">
        <v>670.95</v>
      </c>
      <c r="N220" s="116">
        <v>688.95</v>
      </c>
      <c r="O220" s="116">
        <v>670.1</v>
      </c>
      <c r="P220" s="116">
        <v>688</v>
      </c>
      <c r="Q220" s="116">
        <v>670.95</v>
      </c>
      <c r="R220">
        <v>327501</v>
      </c>
    </row>
    <row r="221" spans="1:18" x14ac:dyDescent="0.25">
      <c r="A221" s="170">
        <v>45436</v>
      </c>
      <c r="B221" s="116">
        <v>678.75</v>
      </c>
      <c r="C221" s="116">
        <v>661.55</v>
      </c>
      <c r="D221" s="116">
        <v>659</v>
      </c>
      <c r="E221" s="116">
        <v>678.75</v>
      </c>
      <c r="F221" s="116">
        <v>661.55</v>
      </c>
      <c r="G221">
        <v>26763</v>
      </c>
      <c r="H221" s="116"/>
      <c r="I221" s="116"/>
      <c r="L221" s="170">
        <v>45436</v>
      </c>
      <c r="M221" s="116">
        <v>661.1</v>
      </c>
      <c r="N221" s="116">
        <v>674.7</v>
      </c>
      <c r="O221" s="116">
        <v>659</v>
      </c>
      <c r="P221" s="116">
        <v>672.95</v>
      </c>
      <c r="Q221" s="116">
        <v>661.1</v>
      </c>
      <c r="R221">
        <v>181399</v>
      </c>
    </row>
    <row r="222" spans="1:18" x14ac:dyDescent="0.25">
      <c r="A222" s="170">
        <v>45439</v>
      </c>
      <c r="B222" s="116">
        <v>668.1</v>
      </c>
      <c r="C222" s="116">
        <v>660</v>
      </c>
      <c r="D222" s="116">
        <v>652</v>
      </c>
      <c r="E222" s="116">
        <v>665.9</v>
      </c>
      <c r="F222" s="116">
        <v>660</v>
      </c>
      <c r="G222">
        <v>21182</v>
      </c>
      <c r="H222" s="116"/>
      <c r="I222" s="116"/>
      <c r="L222" s="170">
        <v>45439</v>
      </c>
      <c r="M222" s="116">
        <v>659.9</v>
      </c>
      <c r="N222" s="116">
        <v>667</v>
      </c>
      <c r="O222" s="116">
        <v>652</v>
      </c>
      <c r="P222" s="116">
        <v>666.95</v>
      </c>
      <c r="Q222" s="116">
        <v>659.9</v>
      </c>
      <c r="R222">
        <v>203102</v>
      </c>
    </row>
    <row r="223" spans="1:18" x14ac:dyDescent="0.25">
      <c r="A223" s="170">
        <v>45440</v>
      </c>
      <c r="B223" s="116">
        <v>663.05</v>
      </c>
      <c r="C223" s="116">
        <v>658.5</v>
      </c>
      <c r="D223" s="116">
        <v>653</v>
      </c>
      <c r="E223" s="116">
        <v>661.05</v>
      </c>
      <c r="F223" s="116">
        <v>658.5</v>
      </c>
      <c r="G223">
        <v>12941</v>
      </c>
      <c r="H223" s="116"/>
      <c r="I223" s="116"/>
      <c r="L223" s="170">
        <v>45440</v>
      </c>
      <c r="M223" s="116">
        <v>659.35</v>
      </c>
      <c r="N223" s="116">
        <v>664</v>
      </c>
      <c r="O223" s="116">
        <v>652.6</v>
      </c>
      <c r="P223" s="116">
        <v>664</v>
      </c>
      <c r="Q223" s="116">
        <v>659.35</v>
      </c>
      <c r="R223">
        <v>82762</v>
      </c>
    </row>
    <row r="224" spans="1:18" x14ac:dyDescent="0.25">
      <c r="A224" s="170">
        <v>45441</v>
      </c>
      <c r="B224" s="116">
        <v>665.9</v>
      </c>
      <c r="C224" s="116">
        <v>662.8</v>
      </c>
      <c r="D224" s="116">
        <v>630.04999999999995</v>
      </c>
      <c r="E224" s="116">
        <v>630.04999999999995</v>
      </c>
      <c r="F224" s="116">
        <v>662.8</v>
      </c>
      <c r="G224">
        <v>209245</v>
      </c>
      <c r="H224" s="116"/>
      <c r="I224" s="116"/>
      <c r="L224" s="170">
        <v>45441</v>
      </c>
      <c r="M224" s="116">
        <v>662.35</v>
      </c>
      <c r="N224" s="116">
        <v>666.8</v>
      </c>
      <c r="O224" s="116">
        <v>654.45000000000005</v>
      </c>
      <c r="P224" s="116">
        <v>656.85</v>
      </c>
      <c r="Q224" s="116">
        <v>662.35</v>
      </c>
      <c r="R224">
        <v>72233</v>
      </c>
    </row>
    <row r="225" spans="1:18" x14ac:dyDescent="0.25">
      <c r="A225" s="170">
        <v>45442</v>
      </c>
      <c r="B225" s="116">
        <v>661.7</v>
      </c>
      <c r="C225" s="116">
        <v>648.75</v>
      </c>
      <c r="D225" s="116">
        <v>645.20000000000005</v>
      </c>
      <c r="E225" s="116">
        <v>660</v>
      </c>
      <c r="F225" s="116">
        <v>648.75</v>
      </c>
      <c r="G225">
        <v>18367</v>
      </c>
      <c r="H225" s="116"/>
      <c r="I225" s="116"/>
      <c r="L225" s="170">
        <v>45442</v>
      </c>
      <c r="M225" s="116">
        <v>648.65</v>
      </c>
      <c r="N225" s="116">
        <v>662.35</v>
      </c>
      <c r="O225" s="116">
        <v>645.1</v>
      </c>
      <c r="P225" s="116">
        <v>662.35</v>
      </c>
      <c r="Q225" s="116">
        <v>648.65</v>
      </c>
      <c r="R225">
        <v>105512</v>
      </c>
    </row>
    <row r="226" spans="1:18" x14ac:dyDescent="0.25">
      <c r="A226" s="170">
        <v>45443</v>
      </c>
      <c r="B226" s="116">
        <v>653.45000000000005</v>
      </c>
      <c r="C226" s="116">
        <v>629.79999999999995</v>
      </c>
      <c r="D226" s="116">
        <v>627.1</v>
      </c>
      <c r="E226" s="116">
        <v>650</v>
      </c>
      <c r="F226" s="116">
        <v>629.79999999999995</v>
      </c>
      <c r="G226">
        <v>31930</v>
      </c>
      <c r="H226" s="116"/>
      <c r="I226" s="116"/>
      <c r="L226" s="170">
        <v>45443</v>
      </c>
      <c r="M226" s="116">
        <v>629.65</v>
      </c>
      <c r="N226" s="116">
        <v>652.4</v>
      </c>
      <c r="O226" s="116">
        <v>627.20000000000005</v>
      </c>
      <c r="P226" s="116">
        <v>651</v>
      </c>
      <c r="Q226" s="116">
        <v>629.65</v>
      </c>
      <c r="R226">
        <v>188530</v>
      </c>
    </row>
    <row r="227" spans="1:18" x14ac:dyDescent="0.25">
      <c r="A227" s="170">
        <v>45446</v>
      </c>
      <c r="B227" s="116">
        <v>669.4</v>
      </c>
      <c r="C227" s="116">
        <v>664.95</v>
      </c>
      <c r="D227" s="116">
        <v>629.15</v>
      </c>
      <c r="E227" s="116">
        <v>639.9</v>
      </c>
      <c r="F227" s="116">
        <v>664.95</v>
      </c>
      <c r="G227">
        <v>341708</v>
      </c>
      <c r="H227" s="116"/>
      <c r="I227" s="116"/>
      <c r="L227" s="170">
        <v>45446</v>
      </c>
      <c r="M227" s="116">
        <v>664.95</v>
      </c>
      <c r="N227" s="116">
        <v>669.85</v>
      </c>
      <c r="O227" s="116">
        <v>628.04999999999995</v>
      </c>
      <c r="P227" s="116">
        <v>633</v>
      </c>
      <c r="Q227" s="116">
        <v>664.95</v>
      </c>
      <c r="R227">
        <v>809305</v>
      </c>
    </row>
    <row r="228" spans="1:18" x14ac:dyDescent="0.25">
      <c r="A228" s="170">
        <v>45447</v>
      </c>
      <c r="B228" s="116">
        <v>660.05</v>
      </c>
      <c r="C228" s="116">
        <v>609.95000000000005</v>
      </c>
      <c r="D228" s="116">
        <v>588</v>
      </c>
      <c r="E228" s="116">
        <v>660.05</v>
      </c>
      <c r="F228" s="116">
        <v>609.95000000000005</v>
      </c>
      <c r="G228">
        <v>85728</v>
      </c>
      <c r="H228" s="116"/>
      <c r="I228" s="116"/>
      <c r="L228" s="170">
        <v>45447</v>
      </c>
      <c r="M228" s="116">
        <v>609.79999999999995</v>
      </c>
      <c r="N228" s="116">
        <v>660</v>
      </c>
      <c r="O228" s="116">
        <v>580.6</v>
      </c>
      <c r="P228" s="116">
        <v>658.6</v>
      </c>
      <c r="Q228" s="116">
        <v>609.79999999999995</v>
      </c>
      <c r="R228">
        <v>412918</v>
      </c>
    </row>
    <row r="229" spans="1:18" x14ac:dyDescent="0.25">
      <c r="A229" s="170">
        <v>45448</v>
      </c>
      <c r="B229" s="116">
        <v>633.65</v>
      </c>
      <c r="C229" s="116">
        <v>598.04999999999995</v>
      </c>
      <c r="D229" s="116">
        <v>580</v>
      </c>
      <c r="E229" s="116">
        <v>629.95000000000005</v>
      </c>
      <c r="F229" s="116">
        <v>598.04999999999995</v>
      </c>
      <c r="G229">
        <v>97648</v>
      </c>
      <c r="H229" s="116"/>
      <c r="I229" s="116"/>
      <c r="L229" s="170">
        <v>45448</v>
      </c>
      <c r="M229" s="116">
        <v>598.85</v>
      </c>
      <c r="N229" s="116">
        <v>633.85</v>
      </c>
      <c r="O229" s="116">
        <v>580.85</v>
      </c>
      <c r="P229" s="116">
        <v>629.70000000000005</v>
      </c>
      <c r="Q229" s="116">
        <v>598.85</v>
      </c>
      <c r="R229">
        <v>726072</v>
      </c>
    </row>
    <row r="230" spans="1:18" x14ac:dyDescent="0.25">
      <c r="A230" s="170">
        <v>45449</v>
      </c>
      <c r="B230" s="116">
        <v>659.7</v>
      </c>
      <c r="C230" s="116">
        <v>654.4</v>
      </c>
      <c r="D230" s="116">
        <v>608.04999999999995</v>
      </c>
      <c r="E230" s="116">
        <v>610.04999999999995</v>
      </c>
      <c r="F230" s="116">
        <v>654.4</v>
      </c>
      <c r="G230">
        <v>47152</v>
      </c>
      <c r="H230" s="116"/>
      <c r="I230" s="116"/>
      <c r="L230" s="170">
        <v>45449</v>
      </c>
      <c r="M230" s="116">
        <v>654.15</v>
      </c>
      <c r="N230" s="116">
        <v>660</v>
      </c>
      <c r="O230" s="116">
        <v>605.20000000000005</v>
      </c>
      <c r="P230" s="116">
        <v>605.20000000000005</v>
      </c>
      <c r="Q230" s="116">
        <v>654.15</v>
      </c>
      <c r="R230">
        <v>701045</v>
      </c>
    </row>
    <row r="231" spans="1:18" x14ac:dyDescent="0.25">
      <c r="A231" s="170">
        <v>45450</v>
      </c>
      <c r="B231" s="116">
        <v>668.8</v>
      </c>
      <c r="C231" s="116">
        <v>662.7</v>
      </c>
      <c r="D231" s="116">
        <v>654.15</v>
      </c>
      <c r="E231" s="116">
        <v>668.8</v>
      </c>
      <c r="F231" s="116">
        <v>662.7</v>
      </c>
      <c r="G231">
        <v>25394</v>
      </c>
      <c r="H231" s="116"/>
      <c r="I231" s="116"/>
      <c r="L231" s="170">
        <v>45450</v>
      </c>
      <c r="M231" s="116">
        <v>663.2</v>
      </c>
      <c r="N231" s="116">
        <v>669.55</v>
      </c>
      <c r="O231" s="116">
        <v>656.05</v>
      </c>
      <c r="P231" s="116">
        <v>660</v>
      </c>
      <c r="Q231" s="116">
        <v>663.2</v>
      </c>
      <c r="R231">
        <v>408654</v>
      </c>
    </row>
    <row r="232" spans="1:18" x14ac:dyDescent="0.25">
      <c r="A232" s="170">
        <v>45453</v>
      </c>
      <c r="B232" s="116">
        <v>702.4</v>
      </c>
      <c r="C232" s="116">
        <v>694.05</v>
      </c>
      <c r="D232" s="116">
        <v>663</v>
      </c>
      <c r="E232" s="116">
        <v>678</v>
      </c>
      <c r="F232" s="116">
        <v>694.05</v>
      </c>
      <c r="G232">
        <v>26799</v>
      </c>
      <c r="H232" s="116"/>
      <c r="I232" s="116"/>
      <c r="L232" s="170">
        <v>45453</v>
      </c>
      <c r="M232" s="116">
        <v>693.45</v>
      </c>
      <c r="N232" s="116">
        <v>702</v>
      </c>
      <c r="O232" s="116">
        <v>663</v>
      </c>
      <c r="P232" s="116">
        <v>674</v>
      </c>
      <c r="Q232" s="116">
        <v>693.45</v>
      </c>
      <c r="R232">
        <v>493063</v>
      </c>
    </row>
    <row r="233" spans="1:18" x14ac:dyDescent="0.25">
      <c r="A233" s="170">
        <v>45454</v>
      </c>
      <c r="B233" s="116">
        <v>695.35</v>
      </c>
      <c r="C233" s="116">
        <v>684.8</v>
      </c>
      <c r="D233" s="116">
        <v>680</v>
      </c>
      <c r="E233" s="116">
        <v>693.05</v>
      </c>
      <c r="F233" s="116">
        <v>684.8</v>
      </c>
      <c r="G233">
        <v>24956</v>
      </c>
      <c r="H233" s="116"/>
      <c r="I233" s="116"/>
      <c r="L233" s="170">
        <v>45454</v>
      </c>
      <c r="M233" s="116">
        <v>685</v>
      </c>
      <c r="N233" s="116">
        <v>695</v>
      </c>
      <c r="O233" s="116">
        <v>680</v>
      </c>
      <c r="P233" s="116">
        <v>688.05</v>
      </c>
      <c r="Q233" s="116">
        <v>685</v>
      </c>
      <c r="R233">
        <v>414890</v>
      </c>
    </row>
    <row r="234" spans="1:18" x14ac:dyDescent="0.25">
      <c r="A234" s="170">
        <v>45455</v>
      </c>
      <c r="B234" s="116">
        <v>692.1</v>
      </c>
      <c r="C234" s="116">
        <v>677.05</v>
      </c>
      <c r="D234" s="116">
        <v>675</v>
      </c>
      <c r="E234" s="116">
        <v>681.05</v>
      </c>
      <c r="F234" s="116">
        <v>677.05</v>
      </c>
      <c r="G234">
        <v>113608</v>
      </c>
      <c r="H234" s="116"/>
      <c r="I234" s="116"/>
      <c r="L234" s="170">
        <v>45455</v>
      </c>
      <c r="M234" s="116">
        <v>676.85</v>
      </c>
      <c r="N234" s="116">
        <v>690.95</v>
      </c>
      <c r="O234" s="116">
        <v>674.15</v>
      </c>
      <c r="P234" s="116">
        <v>688.2</v>
      </c>
      <c r="Q234" s="116">
        <v>676.85</v>
      </c>
      <c r="R234">
        <v>175781</v>
      </c>
    </row>
    <row r="235" spans="1:18" x14ac:dyDescent="0.25">
      <c r="A235" s="170">
        <v>45456</v>
      </c>
      <c r="B235" s="116">
        <v>694.1</v>
      </c>
      <c r="C235" s="116">
        <v>685.35</v>
      </c>
      <c r="D235" s="116">
        <v>671.9</v>
      </c>
      <c r="E235" s="116">
        <v>685</v>
      </c>
      <c r="F235" s="116">
        <v>685.35</v>
      </c>
      <c r="G235">
        <v>440959</v>
      </c>
      <c r="H235" s="116"/>
      <c r="I235" s="116"/>
      <c r="L235" s="170">
        <v>45456</v>
      </c>
      <c r="M235" s="116">
        <v>686.5</v>
      </c>
      <c r="N235" s="116">
        <v>690.35</v>
      </c>
      <c r="O235" s="116">
        <v>671</v>
      </c>
      <c r="P235" s="116">
        <v>682.65</v>
      </c>
      <c r="Q235" s="116">
        <v>686.5</v>
      </c>
      <c r="R235">
        <v>656637</v>
      </c>
    </row>
    <row r="236" spans="1:18" x14ac:dyDescent="0.25">
      <c r="A236" s="170">
        <v>45457</v>
      </c>
      <c r="B236" s="116">
        <v>702.45</v>
      </c>
      <c r="C236" s="116">
        <v>687.85</v>
      </c>
      <c r="D236" s="116">
        <v>686.2</v>
      </c>
      <c r="E236" s="116">
        <v>702.45</v>
      </c>
      <c r="F236" s="116">
        <v>687.85</v>
      </c>
      <c r="G236">
        <v>17846</v>
      </c>
      <c r="H236" s="116"/>
      <c r="I236" s="116"/>
      <c r="L236" s="170">
        <v>45457</v>
      </c>
      <c r="M236" s="116">
        <v>688.15</v>
      </c>
      <c r="N236" s="116">
        <v>699.65</v>
      </c>
      <c r="O236" s="116">
        <v>686</v>
      </c>
      <c r="P236" s="116">
        <v>694</v>
      </c>
      <c r="Q236" s="116">
        <v>688.15</v>
      </c>
      <c r="R236">
        <v>422184</v>
      </c>
    </row>
    <row r="237" spans="1:18" x14ac:dyDescent="0.25">
      <c r="A237" s="170">
        <v>45461</v>
      </c>
      <c r="B237" s="116">
        <v>709.75</v>
      </c>
      <c r="C237" s="116">
        <v>700.2</v>
      </c>
      <c r="D237" s="116">
        <v>691.65</v>
      </c>
      <c r="E237" s="116">
        <v>692</v>
      </c>
      <c r="F237" s="116">
        <v>700.2</v>
      </c>
      <c r="G237">
        <v>406542</v>
      </c>
      <c r="H237" s="116"/>
      <c r="I237" s="116"/>
      <c r="L237" s="170">
        <v>45461</v>
      </c>
      <c r="M237" s="116">
        <v>702.7</v>
      </c>
      <c r="N237" s="116">
        <v>709.6</v>
      </c>
      <c r="O237" s="116">
        <v>691.25</v>
      </c>
      <c r="P237" s="116">
        <v>698.85</v>
      </c>
      <c r="Q237" s="116">
        <v>702.7</v>
      </c>
      <c r="R237">
        <v>1137893</v>
      </c>
    </row>
    <row r="238" spans="1:18" x14ac:dyDescent="0.25">
      <c r="A238" s="170">
        <v>45462</v>
      </c>
      <c r="B238" s="116">
        <v>735</v>
      </c>
      <c r="C238" s="116">
        <v>720.15</v>
      </c>
      <c r="D238" s="116">
        <v>708</v>
      </c>
      <c r="E238" s="116">
        <v>708.8</v>
      </c>
      <c r="F238" s="116">
        <v>720.15</v>
      </c>
      <c r="G238">
        <v>32784</v>
      </c>
      <c r="H238" s="116"/>
      <c r="I238" s="116"/>
      <c r="L238" s="170">
        <v>45462</v>
      </c>
      <c r="M238" s="116">
        <v>720.35</v>
      </c>
      <c r="N238" s="116">
        <v>734.7</v>
      </c>
      <c r="O238" s="116">
        <v>707.95</v>
      </c>
      <c r="P238" s="116">
        <v>708</v>
      </c>
      <c r="Q238" s="116">
        <v>720.35</v>
      </c>
      <c r="R238">
        <v>1176817</v>
      </c>
    </row>
    <row r="239" spans="1:18" x14ac:dyDescent="0.25">
      <c r="A239" s="170">
        <v>45463</v>
      </c>
      <c r="B239" s="116">
        <v>756.3</v>
      </c>
      <c r="C239" s="116">
        <v>745.7</v>
      </c>
      <c r="D239" s="116">
        <v>717.45</v>
      </c>
      <c r="E239" s="116">
        <v>729.9</v>
      </c>
      <c r="F239" s="116">
        <v>745.7</v>
      </c>
      <c r="G239">
        <v>46142</v>
      </c>
      <c r="H239" s="116"/>
      <c r="I239" s="116"/>
      <c r="L239" s="170">
        <v>45463</v>
      </c>
      <c r="M239" s="116">
        <v>745.6</v>
      </c>
      <c r="N239" s="116">
        <v>756.7</v>
      </c>
      <c r="O239" s="116">
        <v>717</v>
      </c>
      <c r="P239" s="116">
        <v>723.8</v>
      </c>
      <c r="Q239" s="116">
        <v>745.6</v>
      </c>
      <c r="R239">
        <v>1266061</v>
      </c>
    </row>
    <row r="240" spans="1:18" x14ac:dyDescent="0.25">
      <c r="A240" s="170">
        <v>45464</v>
      </c>
      <c r="B240" s="116">
        <v>766.3</v>
      </c>
      <c r="C240" s="116">
        <v>731.8</v>
      </c>
      <c r="D240" s="116">
        <v>726</v>
      </c>
      <c r="E240" s="116">
        <v>759.95</v>
      </c>
      <c r="F240" s="116">
        <v>731.8</v>
      </c>
      <c r="G240">
        <v>75607</v>
      </c>
      <c r="H240" s="116"/>
      <c r="I240" s="116"/>
      <c r="L240" s="170">
        <v>45464</v>
      </c>
      <c r="M240" s="116">
        <v>732.4</v>
      </c>
      <c r="N240" s="116">
        <v>765.85</v>
      </c>
      <c r="O240" s="116">
        <v>726</v>
      </c>
      <c r="P240" s="116">
        <v>754.4</v>
      </c>
      <c r="Q240" s="116">
        <v>732.4</v>
      </c>
      <c r="R240">
        <v>534428</v>
      </c>
    </row>
    <row r="241" spans="1:18" x14ac:dyDescent="0.25">
      <c r="A241" s="170">
        <v>45467</v>
      </c>
      <c r="B241" s="116">
        <v>749.9</v>
      </c>
      <c r="C241" s="116">
        <v>744.3</v>
      </c>
      <c r="D241" s="116">
        <v>725.8</v>
      </c>
      <c r="E241" s="116">
        <v>743.8</v>
      </c>
      <c r="F241" s="116">
        <v>744.3</v>
      </c>
      <c r="G241">
        <v>19036</v>
      </c>
      <c r="H241" s="116"/>
      <c r="I241" s="116"/>
      <c r="L241" s="170">
        <v>45467</v>
      </c>
      <c r="M241" s="116">
        <v>744.7</v>
      </c>
      <c r="N241" s="116">
        <v>749.7</v>
      </c>
      <c r="O241" s="116">
        <v>725.2</v>
      </c>
      <c r="P241" s="116">
        <v>737.65</v>
      </c>
      <c r="Q241" s="116">
        <v>744.7</v>
      </c>
      <c r="R241">
        <v>636555</v>
      </c>
    </row>
    <row r="242" spans="1:18" x14ac:dyDescent="0.25">
      <c r="A242" s="170">
        <v>45468</v>
      </c>
      <c r="B242" s="116">
        <v>759.3</v>
      </c>
      <c r="C242" s="116">
        <v>742.6</v>
      </c>
      <c r="D242" s="116">
        <v>737.5</v>
      </c>
      <c r="E242" s="116">
        <v>752</v>
      </c>
      <c r="F242" s="116">
        <v>742.6</v>
      </c>
      <c r="G242">
        <v>20090</v>
      </c>
      <c r="H242" s="116"/>
      <c r="I242" s="116"/>
      <c r="L242" s="170">
        <v>45468</v>
      </c>
      <c r="M242" s="116">
        <v>740.75</v>
      </c>
      <c r="N242" s="116">
        <v>759</v>
      </c>
      <c r="O242" s="116">
        <v>728.15</v>
      </c>
      <c r="P242" s="116">
        <v>748.2</v>
      </c>
      <c r="Q242" s="116">
        <v>740.75</v>
      </c>
      <c r="R242">
        <v>410460</v>
      </c>
    </row>
    <row r="243" spans="1:18" x14ac:dyDescent="0.25">
      <c r="A243" s="170">
        <v>45469</v>
      </c>
      <c r="B243" s="116">
        <v>754.45</v>
      </c>
      <c r="C243" s="116">
        <v>740.3</v>
      </c>
      <c r="D243" s="116">
        <v>737.6</v>
      </c>
      <c r="E243" s="116">
        <v>754.45</v>
      </c>
      <c r="F243" s="116">
        <v>740.3</v>
      </c>
      <c r="G243">
        <v>27953</v>
      </c>
      <c r="H243" s="116"/>
      <c r="I243" s="116"/>
      <c r="L243" s="170">
        <v>45469</v>
      </c>
      <c r="M243" s="116">
        <v>740.3</v>
      </c>
      <c r="N243" s="116">
        <v>751.55</v>
      </c>
      <c r="O243" s="116">
        <v>737.3</v>
      </c>
      <c r="P243" s="116">
        <v>747.55</v>
      </c>
      <c r="Q243" s="116">
        <v>740.3</v>
      </c>
      <c r="R243">
        <v>175427</v>
      </c>
    </row>
    <row r="244" spans="1:18" x14ac:dyDescent="0.25">
      <c r="A244" s="170">
        <v>45470</v>
      </c>
      <c r="B244" s="116">
        <v>762</v>
      </c>
      <c r="C244" s="116">
        <v>740</v>
      </c>
      <c r="D244" s="116">
        <v>730.8</v>
      </c>
      <c r="E244" s="116">
        <v>730.8</v>
      </c>
      <c r="F244" s="116">
        <v>740</v>
      </c>
      <c r="G244">
        <v>50278</v>
      </c>
      <c r="H244" s="116"/>
      <c r="I244" s="116"/>
      <c r="L244" s="170">
        <v>45470</v>
      </c>
      <c r="M244" s="116">
        <v>740.15</v>
      </c>
      <c r="N244" s="116">
        <v>761.8</v>
      </c>
      <c r="O244" s="116">
        <v>734.8</v>
      </c>
      <c r="P244" s="116">
        <v>737.4</v>
      </c>
      <c r="Q244" s="116">
        <v>740.15</v>
      </c>
      <c r="R244">
        <v>583072</v>
      </c>
    </row>
    <row r="245" spans="1:18" x14ac:dyDescent="0.25">
      <c r="A245" s="170">
        <v>45471</v>
      </c>
      <c r="B245" s="116">
        <v>749.35</v>
      </c>
      <c r="C245" s="116">
        <v>742.1</v>
      </c>
      <c r="D245" s="116">
        <v>733.4</v>
      </c>
      <c r="E245" s="116">
        <v>733.4</v>
      </c>
      <c r="F245" s="116">
        <v>742.1</v>
      </c>
      <c r="G245">
        <v>14664</v>
      </c>
      <c r="H245" s="116"/>
      <c r="I245" s="116"/>
      <c r="L245" s="170">
        <v>45471</v>
      </c>
      <c r="M245" s="116">
        <v>747.25</v>
      </c>
      <c r="N245" s="116">
        <v>749.5</v>
      </c>
      <c r="O245" s="116">
        <v>735.4</v>
      </c>
      <c r="P245" s="116">
        <v>737</v>
      </c>
      <c r="Q245" s="116">
        <v>747.25</v>
      </c>
      <c r="R245">
        <v>507110</v>
      </c>
    </row>
    <row r="246" spans="1:18" x14ac:dyDescent="0.25">
      <c r="A246" s="170">
        <v>45474</v>
      </c>
      <c r="B246" s="116">
        <v>751.65</v>
      </c>
      <c r="C246" s="116">
        <v>749.4</v>
      </c>
      <c r="D246" s="116">
        <v>736.85</v>
      </c>
      <c r="E246" s="116">
        <v>743</v>
      </c>
      <c r="F246" s="116">
        <v>749.4</v>
      </c>
      <c r="G246">
        <v>10581</v>
      </c>
      <c r="H246" s="116"/>
      <c r="I246" s="116"/>
      <c r="L246" s="170">
        <v>45474</v>
      </c>
      <c r="M246" s="116">
        <v>749.25</v>
      </c>
      <c r="N246" s="116">
        <v>751</v>
      </c>
      <c r="O246" s="116">
        <v>735.4</v>
      </c>
      <c r="P246" s="116">
        <v>747</v>
      </c>
      <c r="Q246" s="116">
        <v>749.25</v>
      </c>
      <c r="R246">
        <v>220553</v>
      </c>
    </row>
    <row r="247" spans="1:18" x14ac:dyDescent="0.25">
      <c r="A247" s="170">
        <v>45475</v>
      </c>
      <c r="B247" s="116">
        <v>772.55</v>
      </c>
      <c r="C247" s="116">
        <v>752.95</v>
      </c>
      <c r="D247" s="116">
        <v>750.15</v>
      </c>
      <c r="E247" s="116">
        <v>758.05</v>
      </c>
      <c r="F247" s="116">
        <v>752.95</v>
      </c>
      <c r="G247">
        <v>43615</v>
      </c>
      <c r="H247" s="116"/>
      <c r="I247" s="116"/>
      <c r="L247" s="170">
        <v>45475</v>
      </c>
      <c r="M247" s="116">
        <v>752.4</v>
      </c>
      <c r="N247" s="116">
        <v>772</v>
      </c>
      <c r="O247" s="116">
        <v>749.5</v>
      </c>
      <c r="P247" s="116">
        <v>754</v>
      </c>
      <c r="Q247" s="116">
        <v>752.4</v>
      </c>
      <c r="R247">
        <v>356304</v>
      </c>
    </row>
    <row r="248" spans="1:18" x14ac:dyDescent="0.25">
      <c r="A248" s="170">
        <v>45476</v>
      </c>
      <c r="B248" s="116">
        <v>765</v>
      </c>
      <c r="C248" s="116">
        <v>759.35</v>
      </c>
      <c r="D248" s="116">
        <v>750.2</v>
      </c>
      <c r="E248" s="116">
        <v>760</v>
      </c>
      <c r="F248" s="116">
        <v>759.35</v>
      </c>
      <c r="G248">
        <v>27050</v>
      </c>
      <c r="H248" s="116"/>
      <c r="I248" s="116"/>
      <c r="L248" s="170">
        <v>45476</v>
      </c>
      <c r="M248" s="116">
        <v>759.7</v>
      </c>
      <c r="N248" s="116">
        <v>765</v>
      </c>
      <c r="O248" s="116">
        <v>750.8</v>
      </c>
      <c r="P248" s="116">
        <v>756.95</v>
      </c>
      <c r="Q248" s="116">
        <v>759.7</v>
      </c>
      <c r="R248">
        <v>162681</v>
      </c>
    </row>
    <row r="249" spans="1:18" x14ac:dyDescent="0.25">
      <c r="A249" s="170">
        <v>45477</v>
      </c>
      <c r="B249" s="116">
        <v>777.45</v>
      </c>
      <c r="C249" s="116">
        <v>775.05</v>
      </c>
      <c r="D249" s="116">
        <v>755</v>
      </c>
      <c r="E249" s="116">
        <v>755</v>
      </c>
      <c r="F249" s="116">
        <v>775.05</v>
      </c>
      <c r="G249">
        <v>9468</v>
      </c>
      <c r="H249" s="116"/>
      <c r="I249" s="116"/>
      <c r="L249" s="170">
        <v>45477</v>
      </c>
      <c r="M249" s="116">
        <v>775</v>
      </c>
      <c r="N249" s="116">
        <v>777.7</v>
      </c>
      <c r="O249" s="116">
        <v>756</v>
      </c>
      <c r="P249" s="116">
        <v>764.95</v>
      </c>
      <c r="Q249" s="116">
        <v>775</v>
      </c>
      <c r="R249">
        <v>305399</v>
      </c>
    </row>
    <row r="250" spans="1:18" x14ac:dyDescent="0.25">
      <c r="A250" s="170">
        <v>45478</v>
      </c>
      <c r="B250" s="116">
        <v>789</v>
      </c>
      <c r="C250" s="116">
        <v>785.7</v>
      </c>
      <c r="D250" s="116">
        <v>764.25</v>
      </c>
      <c r="E250" s="116">
        <v>779.95</v>
      </c>
      <c r="F250" s="116">
        <v>785.7</v>
      </c>
      <c r="G250">
        <v>37927</v>
      </c>
      <c r="H250" s="116"/>
      <c r="I250" s="116"/>
      <c r="L250" s="170">
        <v>45478</v>
      </c>
      <c r="M250" s="116">
        <v>785.8</v>
      </c>
      <c r="N250" s="116">
        <v>788.95</v>
      </c>
      <c r="O250" s="116">
        <v>765.1</v>
      </c>
      <c r="P250" s="116">
        <v>777.65</v>
      </c>
      <c r="Q250" s="116">
        <v>785.8</v>
      </c>
      <c r="R250">
        <v>299132</v>
      </c>
    </row>
    <row r="251" spans="1:18" x14ac:dyDescent="0.25">
      <c r="A251" s="170">
        <v>45481</v>
      </c>
      <c r="B251" s="116">
        <v>795.15</v>
      </c>
      <c r="C251" s="116">
        <v>772.85</v>
      </c>
      <c r="D251" s="116">
        <v>766.4</v>
      </c>
      <c r="E251" s="116">
        <v>790.05</v>
      </c>
      <c r="F251" s="116">
        <v>772.85</v>
      </c>
      <c r="G251">
        <v>21222</v>
      </c>
      <c r="H251" s="116"/>
      <c r="I251" s="116"/>
      <c r="L251" s="170">
        <v>45481</v>
      </c>
      <c r="M251" s="116">
        <v>772.35</v>
      </c>
      <c r="N251" s="116">
        <v>795.3</v>
      </c>
      <c r="O251" s="116">
        <v>766.05</v>
      </c>
      <c r="P251" s="116">
        <v>791.95</v>
      </c>
      <c r="Q251" s="116">
        <v>772.35</v>
      </c>
      <c r="R251">
        <v>200592</v>
      </c>
    </row>
    <row r="252" spans="1:18" x14ac:dyDescent="0.25">
      <c r="A252" s="170">
        <v>45482</v>
      </c>
      <c r="B252" s="116">
        <v>792.4</v>
      </c>
      <c r="C252" s="116">
        <v>764</v>
      </c>
      <c r="D252" s="116">
        <v>760.3</v>
      </c>
      <c r="E252" s="116">
        <v>775</v>
      </c>
      <c r="F252" s="116">
        <v>764</v>
      </c>
      <c r="G252">
        <v>31363</v>
      </c>
      <c r="H252" s="116"/>
      <c r="I252" s="116"/>
      <c r="L252" s="170">
        <v>45482</v>
      </c>
      <c r="M252" s="116">
        <v>766.95</v>
      </c>
      <c r="N252" s="116">
        <v>792</v>
      </c>
      <c r="O252" s="116">
        <v>760</v>
      </c>
      <c r="P252" s="116">
        <v>781</v>
      </c>
      <c r="Q252" s="116">
        <v>766.95</v>
      </c>
      <c r="R252">
        <v>686962</v>
      </c>
    </row>
    <row r="253" spans="1:18" x14ac:dyDescent="0.25">
      <c r="A253" s="170">
        <v>45483</v>
      </c>
      <c r="B253" s="116">
        <v>776.65</v>
      </c>
      <c r="C253" s="116">
        <v>751.85</v>
      </c>
      <c r="D253" s="116">
        <v>737.65</v>
      </c>
      <c r="E253" s="116">
        <v>764</v>
      </c>
      <c r="F253" s="116">
        <v>751.85</v>
      </c>
      <c r="G253">
        <v>33567</v>
      </c>
      <c r="H253" s="116"/>
      <c r="I253" s="116"/>
      <c r="L253" s="170">
        <v>45483</v>
      </c>
      <c r="M253" s="116">
        <v>750.3</v>
      </c>
      <c r="N253" s="116">
        <v>777</v>
      </c>
      <c r="O253" s="116">
        <v>735.7</v>
      </c>
      <c r="P253" s="116">
        <v>771.95</v>
      </c>
      <c r="Q253" s="116">
        <v>750.3</v>
      </c>
      <c r="R253">
        <v>847696</v>
      </c>
    </row>
    <row r="254" spans="1:18" x14ac:dyDescent="0.25">
      <c r="A254" s="170">
        <v>45484</v>
      </c>
      <c r="B254" s="116">
        <v>789.55</v>
      </c>
      <c r="C254" s="116">
        <v>784.75</v>
      </c>
      <c r="D254" s="116">
        <v>766.2</v>
      </c>
      <c r="E254" s="116">
        <v>767.2</v>
      </c>
      <c r="F254" s="116">
        <v>784.75</v>
      </c>
      <c r="G254">
        <v>70304</v>
      </c>
      <c r="H254" s="116"/>
      <c r="I254" s="116"/>
      <c r="L254" s="170">
        <v>45484</v>
      </c>
      <c r="M254" s="116">
        <v>785.1</v>
      </c>
      <c r="N254" s="116">
        <v>789.65</v>
      </c>
      <c r="O254" s="116">
        <v>765.95</v>
      </c>
      <c r="P254" s="116">
        <v>768</v>
      </c>
      <c r="Q254" s="116">
        <v>785.1</v>
      </c>
      <c r="R254">
        <v>551315</v>
      </c>
    </row>
    <row r="255" spans="1:18" x14ac:dyDescent="0.25">
      <c r="A255" s="170">
        <v>45485</v>
      </c>
      <c r="B255" s="116">
        <v>795</v>
      </c>
      <c r="C255" s="116">
        <v>765.05</v>
      </c>
      <c r="D255" s="116">
        <v>759.95</v>
      </c>
      <c r="E255" s="116">
        <v>795</v>
      </c>
      <c r="F255" s="116">
        <v>765.05</v>
      </c>
      <c r="G255">
        <v>217407</v>
      </c>
      <c r="H255" s="116"/>
      <c r="I255" s="116"/>
      <c r="L255" s="170">
        <v>45485</v>
      </c>
      <c r="M255" s="116">
        <v>765.65</v>
      </c>
      <c r="N255" s="116">
        <v>790</v>
      </c>
      <c r="O255" s="116">
        <v>760</v>
      </c>
      <c r="P255" s="116">
        <v>790</v>
      </c>
      <c r="Q255" s="116">
        <v>765.65</v>
      </c>
      <c r="R255">
        <v>565412</v>
      </c>
    </row>
    <row r="256" spans="1:18" x14ac:dyDescent="0.25">
      <c r="A256" s="170">
        <v>45488</v>
      </c>
      <c r="B256" s="116">
        <v>780.25</v>
      </c>
      <c r="C256" s="116">
        <v>754.55</v>
      </c>
      <c r="D256" s="116">
        <v>749.95</v>
      </c>
      <c r="E256" s="116">
        <v>779.95</v>
      </c>
      <c r="F256" s="116">
        <v>754.55</v>
      </c>
      <c r="G256">
        <v>14837</v>
      </c>
      <c r="H256" s="116"/>
      <c r="I256" s="116"/>
      <c r="L256" s="170">
        <v>45488</v>
      </c>
      <c r="M256" s="116">
        <v>753.6</v>
      </c>
      <c r="N256" s="116">
        <v>782</v>
      </c>
      <c r="O256" s="116">
        <v>749</v>
      </c>
      <c r="P256" s="116">
        <v>775</v>
      </c>
      <c r="Q256" s="116">
        <v>753.6</v>
      </c>
      <c r="R256">
        <v>266807</v>
      </c>
    </row>
    <row r="257" spans="1:18" x14ac:dyDescent="0.25">
      <c r="A257" s="170">
        <v>45489</v>
      </c>
      <c r="B257" s="116">
        <v>788.85</v>
      </c>
      <c r="C257" s="116">
        <v>781.7</v>
      </c>
      <c r="D257" s="116">
        <v>752.2</v>
      </c>
      <c r="E257" s="116">
        <v>752.2</v>
      </c>
      <c r="F257" s="116">
        <v>781.7</v>
      </c>
      <c r="G257">
        <v>49516</v>
      </c>
      <c r="H257" s="116"/>
      <c r="I257" s="116"/>
      <c r="L257" s="170">
        <v>45489</v>
      </c>
      <c r="M257" s="116">
        <v>782.15</v>
      </c>
      <c r="N257" s="116">
        <v>788.8</v>
      </c>
      <c r="O257" s="116">
        <v>754.1</v>
      </c>
      <c r="P257" s="116">
        <v>754.1</v>
      </c>
      <c r="Q257" s="116">
        <v>782.15</v>
      </c>
      <c r="R257">
        <v>538396</v>
      </c>
    </row>
    <row r="258" spans="1:18" x14ac:dyDescent="0.25">
      <c r="A258" s="170">
        <v>45491</v>
      </c>
      <c r="B258" s="116">
        <v>799.2</v>
      </c>
      <c r="C258" s="116">
        <v>790.55</v>
      </c>
      <c r="D258" s="116">
        <v>770</v>
      </c>
      <c r="E258" s="116">
        <v>788</v>
      </c>
      <c r="F258" s="116">
        <v>790.55</v>
      </c>
      <c r="G258">
        <v>26868</v>
      </c>
      <c r="H258" s="116"/>
      <c r="I258" s="116"/>
      <c r="L258" s="170">
        <v>45491</v>
      </c>
      <c r="M258" s="116">
        <v>791.5</v>
      </c>
      <c r="N258" s="116">
        <v>799</v>
      </c>
      <c r="O258" s="116">
        <v>770.1</v>
      </c>
      <c r="P258" s="116">
        <v>780</v>
      </c>
      <c r="Q258" s="116">
        <v>791.5</v>
      </c>
      <c r="R258">
        <v>706855</v>
      </c>
    </row>
    <row r="259" spans="1:18" x14ac:dyDescent="0.25">
      <c r="A259" s="170">
        <v>45492</v>
      </c>
      <c r="B259" s="116">
        <v>803.55</v>
      </c>
      <c r="C259" s="116">
        <v>762.95</v>
      </c>
      <c r="D259" s="116">
        <v>759</v>
      </c>
      <c r="E259" s="116">
        <v>803.55</v>
      </c>
      <c r="F259" s="116">
        <v>762.95</v>
      </c>
      <c r="G259">
        <v>24072</v>
      </c>
      <c r="H259" s="116"/>
      <c r="I259" s="116"/>
      <c r="L259" s="170">
        <v>45492</v>
      </c>
      <c r="M259" s="116">
        <v>762.75</v>
      </c>
      <c r="N259" s="116">
        <v>798.45</v>
      </c>
      <c r="O259" s="116">
        <v>758.9</v>
      </c>
      <c r="P259" s="116">
        <v>798.45</v>
      </c>
      <c r="Q259" s="116">
        <v>762.75</v>
      </c>
      <c r="R259">
        <v>596002</v>
      </c>
    </row>
    <row r="260" spans="1:18" x14ac:dyDescent="0.25">
      <c r="A260" s="170">
        <v>45495</v>
      </c>
      <c r="B260" s="116">
        <v>788</v>
      </c>
      <c r="C260" s="116">
        <v>765.3</v>
      </c>
      <c r="D260" s="116">
        <v>745.15</v>
      </c>
      <c r="E260" s="116">
        <v>745.15</v>
      </c>
      <c r="F260" s="116">
        <v>765.3</v>
      </c>
      <c r="G260">
        <v>43488</v>
      </c>
      <c r="H260" s="116"/>
      <c r="I260" s="116"/>
      <c r="L260" s="170">
        <v>45495</v>
      </c>
      <c r="M260" s="116">
        <v>765.8</v>
      </c>
      <c r="N260" s="116">
        <v>787.8</v>
      </c>
      <c r="O260" s="116">
        <v>756.45</v>
      </c>
      <c r="P260" s="116">
        <v>757</v>
      </c>
      <c r="Q260" s="116">
        <v>765.8</v>
      </c>
      <c r="R260">
        <v>379750</v>
      </c>
    </row>
    <row r="261" spans="1:18" x14ac:dyDescent="0.25">
      <c r="A261" s="170">
        <v>45496</v>
      </c>
      <c r="B261" s="116">
        <v>767</v>
      </c>
      <c r="C261" s="116">
        <v>751.95</v>
      </c>
      <c r="D261" s="116">
        <v>725.45</v>
      </c>
      <c r="E261" s="116">
        <v>766.95</v>
      </c>
      <c r="F261" s="116">
        <v>751.95</v>
      </c>
      <c r="G261">
        <v>56955</v>
      </c>
      <c r="H261" s="116"/>
      <c r="I261" s="116"/>
      <c r="L261" s="170">
        <v>45496</v>
      </c>
      <c r="M261" s="116">
        <v>751.65</v>
      </c>
      <c r="N261" s="116">
        <v>768.95</v>
      </c>
      <c r="O261" s="116">
        <v>726</v>
      </c>
      <c r="P261" s="116">
        <v>765.8</v>
      </c>
      <c r="Q261" s="116">
        <v>751.65</v>
      </c>
      <c r="R261">
        <v>1222314</v>
      </c>
    </row>
    <row r="262" spans="1:18" x14ac:dyDescent="0.25">
      <c r="A262" s="170">
        <v>45497</v>
      </c>
      <c r="B262" s="116">
        <v>779</v>
      </c>
      <c r="C262" s="116">
        <v>775.8</v>
      </c>
      <c r="D262" s="116">
        <v>752.55</v>
      </c>
      <c r="E262" s="116">
        <v>763.95</v>
      </c>
      <c r="F262" s="116">
        <v>775.8</v>
      </c>
      <c r="G262">
        <v>53912</v>
      </c>
      <c r="H262" s="116"/>
      <c r="I262" s="116"/>
      <c r="L262" s="170">
        <v>45497</v>
      </c>
      <c r="M262" s="116">
        <v>776.15</v>
      </c>
      <c r="N262" s="116">
        <v>779</v>
      </c>
      <c r="O262" s="116">
        <v>753.3</v>
      </c>
      <c r="P262" s="116">
        <v>759.55</v>
      </c>
      <c r="Q262" s="116">
        <v>776.15</v>
      </c>
      <c r="R262">
        <v>577270</v>
      </c>
    </row>
    <row r="263" spans="1:18" x14ac:dyDescent="0.25">
      <c r="A263" s="170">
        <v>45498</v>
      </c>
      <c r="B263" s="116">
        <v>778</v>
      </c>
      <c r="C263" s="116">
        <v>771.5</v>
      </c>
      <c r="D263" s="116">
        <v>755</v>
      </c>
      <c r="E263" s="116">
        <v>764.2</v>
      </c>
      <c r="F263" s="116">
        <v>771.5</v>
      </c>
      <c r="G263">
        <v>14757</v>
      </c>
      <c r="H263" s="116"/>
      <c r="I263" s="116"/>
      <c r="L263" s="170">
        <v>45498</v>
      </c>
      <c r="M263" s="116">
        <v>771.35</v>
      </c>
      <c r="N263" s="116">
        <v>777.9</v>
      </c>
      <c r="O263" s="116">
        <v>755</v>
      </c>
      <c r="P263" s="116">
        <v>765</v>
      </c>
      <c r="Q263" s="116">
        <v>771.35</v>
      </c>
      <c r="R263">
        <v>369540</v>
      </c>
    </row>
    <row r="264" spans="1:18" x14ac:dyDescent="0.25">
      <c r="A264" s="170">
        <v>45499</v>
      </c>
      <c r="B264" s="116">
        <v>784</v>
      </c>
      <c r="C264" s="116">
        <v>775.75</v>
      </c>
      <c r="D264" s="116">
        <v>767.95</v>
      </c>
      <c r="E264" s="116">
        <v>776.05</v>
      </c>
      <c r="F264" s="116">
        <v>775.75</v>
      </c>
      <c r="G264">
        <v>27024</v>
      </c>
      <c r="H264" s="116"/>
      <c r="I264" s="116"/>
      <c r="L264" s="170">
        <v>45499</v>
      </c>
      <c r="M264" s="116">
        <v>775.95</v>
      </c>
      <c r="N264" s="116">
        <v>784</v>
      </c>
      <c r="O264" s="116">
        <v>768.25</v>
      </c>
      <c r="P264" s="116">
        <v>779.8</v>
      </c>
      <c r="Q264" s="116">
        <v>775.95</v>
      </c>
      <c r="R264">
        <v>224280</v>
      </c>
    </row>
    <row r="265" spans="1:18" x14ac:dyDescent="0.25">
      <c r="A265" s="170">
        <v>45502</v>
      </c>
      <c r="B265" s="116">
        <v>872.55</v>
      </c>
      <c r="C265" s="116">
        <v>818.65</v>
      </c>
      <c r="D265" s="116">
        <v>755.45</v>
      </c>
      <c r="E265" s="116">
        <v>775.05</v>
      </c>
      <c r="F265" s="116">
        <v>818.65</v>
      </c>
      <c r="G265">
        <v>58850</v>
      </c>
      <c r="H265" s="116"/>
      <c r="I265" s="116"/>
      <c r="L265" s="170">
        <v>45502</v>
      </c>
      <c r="M265" s="116">
        <v>817.85</v>
      </c>
      <c r="N265" s="116">
        <v>870</v>
      </c>
      <c r="O265" s="116">
        <v>755.25</v>
      </c>
      <c r="P265" s="116">
        <v>775.9</v>
      </c>
      <c r="Q265" s="116">
        <v>817.85</v>
      </c>
      <c r="R265">
        <v>1565063</v>
      </c>
    </row>
    <row r="266" spans="1:18" x14ac:dyDescent="0.25">
      <c r="A266" s="170">
        <v>45503</v>
      </c>
      <c r="B266" s="116">
        <v>836.85</v>
      </c>
      <c r="C266" s="116">
        <v>824.35</v>
      </c>
      <c r="D266" s="116">
        <v>816.4</v>
      </c>
      <c r="E266" s="116">
        <v>828</v>
      </c>
      <c r="F266" s="116">
        <v>824.35</v>
      </c>
      <c r="G266">
        <v>48978</v>
      </c>
      <c r="H266" s="116"/>
      <c r="I266" s="116"/>
      <c r="L266" s="170">
        <v>45503</v>
      </c>
      <c r="M266" s="116">
        <v>824</v>
      </c>
      <c r="N266" s="116">
        <v>837</v>
      </c>
      <c r="O266" s="116">
        <v>816</v>
      </c>
      <c r="P266" s="116">
        <v>825</v>
      </c>
      <c r="Q266" s="116">
        <v>824</v>
      </c>
      <c r="R266">
        <v>383269</v>
      </c>
    </row>
    <row r="267" spans="1:18" x14ac:dyDescent="0.25">
      <c r="A267" s="170">
        <v>45504</v>
      </c>
      <c r="B267" s="116">
        <v>828.35</v>
      </c>
      <c r="C267" s="116">
        <v>805.55</v>
      </c>
      <c r="D267" s="116">
        <v>798.75</v>
      </c>
      <c r="E267" s="116">
        <v>825.05</v>
      </c>
      <c r="F267" s="116">
        <v>805.55</v>
      </c>
      <c r="G267">
        <v>33074</v>
      </c>
      <c r="H267" s="116"/>
      <c r="I267" s="116"/>
      <c r="L267" s="170">
        <v>45504</v>
      </c>
      <c r="M267" s="116">
        <v>806.15</v>
      </c>
      <c r="N267" s="116">
        <v>829.9</v>
      </c>
      <c r="O267" s="116">
        <v>802</v>
      </c>
      <c r="P267" s="116">
        <v>829.6</v>
      </c>
      <c r="Q267" s="116">
        <v>806.15</v>
      </c>
      <c r="R267">
        <v>253421</v>
      </c>
    </row>
    <row r="268" spans="1:18" x14ac:dyDescent="0.25">
      <c r="A268" s="170">
        <v>45505</v>
      </c>
      <c r="B268" s="116">
        <v>816</v>
      </c>
      <c r="C268" s="116">
        <v>801.2</v>
      </c>
      <c r="D268" s="116">
        <v>793.4</v>
      </c>
      <c r="E268" s="116">
        <v>805</v>
      </c>
      <c r="F268" s="116">
        <v>801.2</v>
      </c>
      <c r="G268">
        <v>14752</v>
      </c>
      <c r="H268" s="116"/>
      <c r="I268" s="116"/>
      <c r="L268" s="170">
        <v>45505</v>
      </c>
      <c r="M268" s="116">
        <v>800</v>
      </c>
      <c r="N268" s="116">
        <v>816.9</v>
      </c>
      <c r="O268" s="116">
        <v>793</v>
      </c>
      <c r="P268" s="116">
        <v>804.5</v>
      </c>
      <c r="Q268" s="116">
        <v>800</v>
      </c>
      <c r="R268">
        <v>420240</v>
      </c>
    </row>
    <row r="269" spans="1:18" x14ac:dyDescent="0.25">
      <c r="A269" s="170">
        <v>45506</v>
      </c>
      <c r="B269" s="116">
        <v>795.7</v>
      </c>
      <c r="C269" s="116">
        <v>784.45</v>
      </c>
      <c r="D269" s="116">
        <v>780.05</v>
      </c>
      <c r="E269" s="116">
        <v>781.4</v>
      </c>
      <c r="F269" s="116">
        <v>784.45</v>
      </c>
      <c r="G269">
        <v>26442</v>
      </c>
      <c r="H269" s="116"/>
      <c r="I269" s="116"/>
      <c r="L269" s="170">
        <v>45506</v>
      </c>
      <c r="M269" s="116">
        <v>784.6</v>
      </c>
      <c r="N269" s="116">
        <v>795.65</v>
      </c>
      <c r="O269" s="116">
        <v>781.1</v>
      </c>
      <c r="P269" s="116">
        <v>786</v>
      </c>
      <c r="Q269" s="116">
        <v>784.6</v>
      </c>
      <c r="R269">
        <v>186225</v>
      </c>
    </row>
    <row r="270" spans="1:18" x14ac:dyDescent="0.25">
      <c r="A270" s="170">
        <v>45509</v>
      </c>
      <c r="B270" s="116">
        <v>775.15</v>
      </c>
      <c r="C270" s="116">
        <v>750.3</v>
      </c>
      <c r="D270" s="116">
        <v>741.55</v>
      </c>
      <c r="E270" s="116">
        <v>751.55</v>
      </c>
      <c r="F270" s="116">
        <v>750.3</v>
      </c>
      <c r="G270">
        <v>29061</v>
      </c>
      <c r="H270" s="116"/>
      <c r="I270" s="116"/>
      <c r="L270" s="170">
        <v>45509</v>
      </c>
      <c r="M270" s="116">
        <v>750.75</v>
      </c>
      <c r="N270" s="116">
        <v>776</v>
      </c>
      <c r="O270" s="116">
        <v>741.55</v>
      </c>
      <c r="P270" s="116">
        <v>764</v>
      </c>
      <c r="Q270" s="116">
        <v>750.75</v>
      </c>
      <c r="R270">
        <v>414946</v>
      </c>
    </row>
    <row r="271" spans="1:18" x14ac:dyDescent="0.25">
      <c r="A271" s="170">
        <v>45510</v>
      </c>
      <c r="B271" s="116">
        <v>779.4</v>
      </c>
      <c r="C271" s="116">
        <v>752</v>
      </c>
      <c r="D271" s="116">
        <v>745.2</v>
      </c>
      <c r="E271" s="116">
        <v>745.2</v>
      </c>
      <c r="F271" s="116">
        <v>752</v>
      </c>
      <c r="G271">
        <v>23741</v>
      </c>
      <c r="H271" s="116"/>
      <c r="I271" s="116"/>
      <c r="L271" s="170">
        <v>45510</v>
      </c>
      <c r="M271" s="116">
        <v>752.9</v>
      </c>
      <c r="N271" s="116">
        <v>779</v>
      </c>
      <c r="O271" s="116">
        <v>748</v>
      </c>
      <c r="P271" s="116">
        <v>755</v>
      </c>
      <c r="Q271" s="116">
        <v>752.9</v>
      </c>
      <c r="R271">
        <v>282041</v>
      </c>
    </row>
    <row r="272" spans="1:18" x14ac:dyDescent="0.25">
      <c r="A272" s="170">
        <v>45511</v>
      </c>
      <c r="B272" s="116">
        <v>779.3</v>
      </c>
      <c r="C272" s="116">
        <v>776.65</v>
      </c>
      <c r="D272" s="116">
        <v>756.5</v>
      </c>
      <c r="E272" s="116">
        <v>770</v>
      </c>
      <c r="F272" s="116">
        <v>776.65</v>
      </c>
      <c r="G272">
        <v>8973</v>
      </c>
      <c r="H272" s="116"/>
      <c r="I272" s="116"/>
      <c r="L272" s="170">
        <v>45511</v>
      </c>
      <c r="M272" s="116">
        <v>777.2</v>
      </c>
      <c r="N272" s="116">
        <v>780</v>
      </c>
      <c r="O272" s="116">
        <v>756.3</v>
      </c>
      <c r="P272" s="116">
        <v>759.9</v>
      </c>
      <c r="Q272" s="116">
        <v>777.2</v>
      </c>
      <c r="R272">
        <v>128923</v>
      </c>
    </row>
    <row r="273" spans="1:18" x14ac:dyDescent="0.25">
      <c r="A273" s="170">
        <v>45512</v>
      </c>
      <c r="B273" s="116">
        <v>777.55</v>
      </c>
      <c r="C273" s="116">
        <v>767.95</v>
      </c>
      <c r="D273" s="116">
        <v>765.75</v>
      </c>
      <c r="E273" s="116">
        <v>776.65</v>
      </c>
      <c r="F273" s="116">
        <v>767.95</v>
      </c>
      <c r="G273">
        <v>7109</v>
      </c>
      <c r="H273" s="116"/>
      <c r="I273" s="116"/>
      <c r="L273" s="170">
        <v>45512</v>
      </c>
      <c r="M273" s="116">
        <v>768.45</v>
      </c>
      <c r="N273" s="116">
        <v>777.2</v>
      </c>
      <c r="O273" s="116">
        <v>765.35</v>
      </c>
      <c r="P273" s="116">
        <v>775.1</v>
      </c>
      <c r="Q273" s="116">
        <v>768.45</v>
      </c>
      <c r="R273">
        <v>98598</v>
      </c>
    </row>
    <row r="274" spans="1:18" x14ac:dyDescent="0.25">
      <c r="A274" s="170">
        <v>45513</v>
      </c>
      <c r="B274" s="116">
        <v>777.65</v>
      </c>
      <c r="C274" s="116">
        <v>768.45</v>
      </c>
      <c r="D274" s="116">
        <v>765.75</v>
      </c>
      <c r="E274" s="116">
        <v>768</v>
      </c>
      <c r="F274" s="116">
        <v>768.45</v>
      </c>
      <c r="G274">
        <v>6109</v>
      </c>
      <c r="H274" s="116"/>
      <c r="I274" s="116"/>
      <c r="L274" s="170">
        <v>45513</v>
      </c>
      <c r="M274" s="116">
        <v>769.5</v>
      </c>
      <c r="N274" s="116">
        <v>780</v>
      </c>
      <c r="O274" s="116">
        <v>765.15</v>
      </c>
      <c r="P274" s="116">
        <v>777</v>
      </c>
      <c r="Q274" s="116">
        <v>769.5</v>
      </c>
      <c r="R274">
        <v>84322</v>
      </c>
    </row>
    <row r="275" spans="1:18" x14ac:dyDescent="0.25">
      <c r="A275" s="170">
        <v>45516</v>
      </c>
      <c r="B275" s="116">
        <v>787.8</v>
      </c>
      <c r="C275" s="116">
        <v>780.05</v>
      </c>
      <c r="D275" s="116">
        <v>747.8</v>
      </c>
      <c r="E275" s="116">
        <v>775</v>
      </c>
      <c r="F275" s="116">
        <v>780.05</v>
      </c>
      <c r="G275">
        <v>9999</v>
      </c>
      <c r="H275" s="116"/>
      <c r="I275" s="116"/>
      <c r="L275" s="170">
        <v>45516</v>
      </c>
      <c r="M275" s="116">
        <v>779.75</v>
      </c>
      <c r="N275" s="116">
        <v>788.45</v>
      </c>
      <c r="O275" s="116">
        <v>747.7</v>
      </c>
      <c r="P275" s="116">
        <v>764</v>
      </c>
      <c r="Q275" s="116">
        <v>779.75</v>
      </c>
      <c r="R275">
        <v>156280</v>
      </c>
    </row>
    <row r="276" spans="1:18" x14ac:dyDescent="0.25">
      <c r="A276" s="170">
        <v>45517</v>
      </c>
      <c r="B276" s="116">
        <v>791.95</v>
      </c>
      <c r="C276" s="116">
        <v>770.15</v>
      </c>
      <c r="D276" s="116">
        <v>766.15</v>
      </c>
      <c r="E276" s="116">
        <v>780.05</v>
      </c>
      <c r="F276" s="116">
        <v>770.15</v>
      </c>
      <c r="G276">
        <v>14469</v>
      </c>
      <c r="H276" s="116"/>
      <c r="I276" s="116"/>
      <c r="L276" s="170">
        <v>45517</v>
      </c>
      <c r="M276" s="116">
        <v>769.1</v>
      </c>
      <c r="N276" s="116">
        <v>792.45</v>
      </c>
      <c r="O276" s="116">
        <v>765.5</v>
      </c>
      <c r="P276" s="116">
        <v>781</v>
      </c>
      <c r="Q276" s="116">
        <v>769.1</v>
      </c>
      <c r="R276">
        <v>295695</v>
      </c>
    </row>
    <row r="277" spans="1:18" x14ac:dyDescent="0.25">
      <c r="A277" s="170">
        <v>45518</v>
      </c>
      <c r="B277" s="116">
        <v>779</v>
      </c>
      <c r="C277" s="116">
        <v>766.2</v>
      </c>
      <c r="D277" s="116">
        <v>756.25</v>
      </c>
      <c r="E277" s="116">
        <v>770</v>
      </c>
      <c r="F277" s="116">
        <v>766.2</v>
      </c>
      <c r="G277">
        <v>13851</v>
      </c>
      <c r="H277" s="116"/>
      <c r="I277" s="116"/>
      <c r="L277" s="170">
        <v>45518</v>
      </c>
      <c r="M277" s="116">
        <v>766.7</v>
      </c>
      <c r="N277" s="116">
        <v>779.5</v>
      </c>
      <c r="O277" s="116">
        <v>755.85</v>
      </c>
      <c r="P277" s="116">
        <v>772</v>
      </c>
      <c r="Q277" s="116">
        <v>766.7</v>
      </c>
      <c r="R277">
        <v>91824</v>
      </c>
    </row>
    <row r="278" spans="1:18" x14ac:dyDescent="0.25">
      <c r="A278" s="170">
        <v>45520</v>
      </c>
      <c r="B278" s="116">
        <v>793</v>
      </c>
      <c r="C278" s="116">
        <v>785.2</v>
      </c>
      <c r="D278" s="116">
        <v>779.35</v>
      </c>
      <c r="E278" s="116">
        <v>781.1</v>
      </c>
      <c r="F278" s="116">
        <v>785.2</v>
      </c>
      <c r="G278">
        <v>6568</v>
      </c>
      <c r="H278" s="116"/>
      <c r="I278" s="116"/>
      <c r="L278" s="170">
        <v>45520</v>
      </c>
      <c r="M278" s="116">
        <v>784.85</v>
      </c>
      <c r="N278" s="116">
        <v>793</v>
      </c>
      <c r="O278" s="116">
        <v>773.1</v>
      </c>
      <c r="P278" s="116">
        <v>778</v>
      </c>
      <c r="Q278" s="116">
        <v>784.85</v>
      </c>
      <c r="R278">
        <v>99494</v>
      </c>
    </row>
    <row r="279" spans="1:18" x14ac:dyDescent="0.25">
      <c r="A279" s="170">
        <v>45523</v>
      </c>
      <c r="B279" s="116">
        <v>799</v>
      </c>
      <c r="C279" s="116">
        <v>786</v>
      </c>
      <c r="D279" s="116">
        <v>782.1</v>
      </c>
      <c r="E279" s="116">
        <v>792.9</v>
      </c>
      <c r="F279" s="116">
        <v>786</v>
      </c>
      <c r="G279">
        <v>12447</v>
      </c>
      <c r="H279" s="116"/>
      <c r="I279" s="116"/>
      <c r="L279" s="170">
        <v>45523</v>
      </c>
      <c r="M279" s="116">
        <v>784.75</v>
      </c>
      <c r="N279" s="116">
        <v>799.85</v>
      </c>
      <c r="O279" s="116">
        <v>782.65</v>
      </c>
      <c r="P279" s="116">
        <v>786</v>
      </c>
      <c r="Q279" s="116">
        <v>784.75</v>
      </c>
      <c r="R279">
        <v>77650</v>
      </c>
    </row>
    <row r="280" spans="1:18" x14ac:dyDescent="0.25">
      <c r="A280" s="170">
        <v>45524</v>
      </c>
      <c r="B280" s="116">
        <v>793</v>
      </c>
      <c r="C280" s="116">
        <v>788.5</v>
      </c>
      <c r="D280" s="116">
        <v>783.05</v>
      </c>
      <c r="E280" s="116">
        <v>793</v>
      </c>
      <c r="F280" s="116">
        <v>788.5</v>
      </c>
      <c r="G280">
        <v>10884</v>
      </c>
      <c r="H280" s="116"/>
      <c r="I280" s="116"/>
      <c r="L280" s="170">
        <v>45524</v>
      </c>
      <c r="M280" s="116">
        <v>788.05</v>
      </c>
      <c r="N280" s="116">
        <v>793.85</v>
      </c>
      <c r="O280" s="116">
        <v>784.15</v>
      </c>
      <c r="P280" s="116">
        <v>784.75</v>
      </c>
      <c r="Q280" s="116">
        <v>788.05</v>
      </c>
      <c r="R280">
        <v>63881</v>
      </c>
    </row>
    <row r="281" spans="1:18" x14ac:dyDescent="0.25">
      <c r="A281" s="170">
        <v>45525</v>
      </c>
      <c r="B281" s="116">
        <v>790</v>
      </c>
      <c r="C281" s="116">
        <v>776.1</v>
      </c>
      <c r="D281" s="116">
        <v>762.1</v>
      </c>
      <c r="E281" s="116">
        <v>766.5</v>
      </c>
      <c r="F281" s="116">
        <v>776.1</v>
      </c>
      <c r="G281">
        <v>12138393</v>
      </c>
      <c r="H281" s="116"/>
      <c r="I281" s="116"/>
      <c r="L281" s="170">
        <v>45525</v>
      </c>
      <c r="M281" s="116">
        <v>775.85</v>
      </c>
      <c r="N281" s="116">
        <v>791</v>
      </c>
      <c r="O281" s="116">
        <v>762.25</v>
      </c>
      <c r="P281" s="116">
        <v>766</v>
      </c>
      <c r="Q281" s="116">
        <v>775.85</v>
      </c>
      <c r="R281">
        <v>2055326</v>
      </c>
    </row>
    <row r="282" spans="1:18" x14ac:dyDescent="0.25">
      <c r="A282" s="170">
        <v>45526</v>
      </c>
      <c r="B282" s="116">
        <v>823</v>
      </c>
      <c r="C282" s="116">
        <v>818.4</v>
      </c>
      <c r="D282" s="116">
        <v>789.4</v>
      </c>
      <c r="E282" s="116">
        <v>790</v>
      </c>
      <c r="F282" s="116">
        <v>818.4</v>
      </c>
      <c r="G282">
        <v>113746</v>
      </c>
      <c r="H282" s="116"/>
      <c r="I282" s="116"/>
      <c r="L282" s="170">
        <v>45526</v>
      </c>
      <c r="M282" s="116">
        <v>817.45</v>
      </c>
      <c r="N282" s="116">
        <v>823</v>
      </c>
      <c r="O282" s="116">
        <v>787.1</v>
      </c>
      <c r="P282" s="116">
        <v>790</v>
      </c>
      <c r="Q282" s="116">
        <v>817.45</v>
      </c>
      <c r="R282">
        <v>836645</v>
      </c>
    </row>
    <row r="283" spans="1:18" x14ac:dyDescent="0.25">
      <c r="A283" s="170">
        <v>45527</v>
      </c>
      <c r="B283" s="116">
        <v>840.05</v>
      </c>
      <c r="C283" s="116">
        <v>800.8</v>
      </c>
      <c r="D283" s="116">
        <v>798</v>
      </c>
      <c r="E283" s="116">
        <v>827.05</v>
      </c>
      <c r="F283" s="116">
        <v>800.8</v>
      </c>
      <c r="G283">
        <v>63835</v>
      </c>
      <c r="H283" s="116"/>
      <c r="I283" s="116"/>
      <c r="L283" s="170">
        <v>45527</v>
      </c>
      <c r="M283" s="116">
        <v>800.5</v>
      </c>
      <c r="N283" s="116">
        <v>840.8</v>
      </c>
      <c r="O283" s="116">
        <v>798</v>
      </c>
      <c r="P283" s="116">
        <v>830.05</v>
      </c>
      <c r="Q283" s="116">
        <v>800.5</v>
      </c>
      <c r="R283">
        <v>608266</v>
      </c>
    </row>
    <row r="284" spans="1:18" x14ac:dyDescent="0.25">
      <c r="A284" s="170">
        <v>45530</v>
      </c>
      <c r="B284" s="116">
        <v>814.95</v>
      </c>
      <c r="C284" s="116">
        <v>782.6</v>
      </c>
      <c r="D284" s="116">
        <v>777.4</v>
      </c>
      <c r="E284" s="116">
        <v>804.05</v>
      </c>
      <c r="F284" s="116">
        <v>782.6</v>
      </c>
      <c r="G284">
        <v>38069</v>
      </c>
      <c r="H284" s="116"/>
      <c r="I284" s="116"/>
      <c r="L284" s="170">
        <v>45530</v>
      </c>
      <c r="M284" s="116">
        <v>782.6</v>
      </c>
      <c r="N284" s="116">
        <v>814.85</v>
      </c>
      <c r="O284" s="116">
        <v>777.3</v>
      </c>
      <c r="P284" s="116">
        <v>807.95</v>
      </c>
      <c r="Q284" s="116">
        <v>782.6</v>
      </c>
      <c r="R284">
        <v>271810</v>
      </c>
    </row>
    <row r="285" spans="1:18" x14ac:dyDescent="0.25">
      <c r="A285" s="170">
        <v>45531</v>
      </c>
      <c r="B285" s="116">
        <v>787</v>
      </c>
      <c r="C285" s="116">
        <v>780.9</v>
      </c>
      <c r="D285" s="116">
        <v>771.5</v>
      </c>
      <c r="E285" s="116">
        <v>786</v>
      </c>
      <c r="F285" s="116">
        <v>780.9</v>
      </c>
      <c r="G285">
        <v>21329</v>
      </c>
      <c r="H285" s="116"/>
      <c r="I285" s="116"/>
      <c r="L285" s="170">
        <v>45531</v>
      </c>
      <c r="M285" s="116">
        <v>781.2</v>
      </c>
      <c r="N285" s="116">
        <v>787.65</v>
      </c>
      <c r="O285" s="116">
        <v>771.45</v>
      </c>
      <c r="P285" s="116">
        <v>787.65</v>
      </c>
      <c r="Q285" s="116">
        <v>781.2</v>
      </c>
      <c r="R285">
        <v>247078</v>
      </c>
    </row>
    <row r="286" spans="1:18" x14ac:dyDescent="0.25">
      <c r="A286" s="170">
        <v>45532</v>
      </c>
      <c r="B286" s="116">
        <v>785</v>
      </c>
      <c r="C286" s="116">
        <v>769.5</v>
      </c>
      <c r="D286" s="116">
        <v>768.05</v>
      </c>
      <c r="E286" s="116">
        <v>780.9</v>
      </c>
      <c r="F286" s="116">
        <v>769.5</v>
      </c>
      <c r="G286">
        <v>9335</v>
      </c>
      <c r="H286" s="116"/>
      <c r="I286" s="116"/>
      <c r="L286" s="170">
        <v>45532</v>
      </c>
      <c r="M286" s="116">
        <v>772.7</v>
      </c>
      <c r="N286" s="116">
        <v>787</v>
      </c>
      <c r="O286" s="116">
        <v>768.35</v>
      </c>
      <c r="P286" s="116">
        <v>784.8</v>
      </c>
      <c r="Q286" s="116">
        <v>772.7</v>
      </c>
      <c r="R286">
        <v>192248</v>
      </c>
    </row>
    <row r="287" spans="1:18" x14ac:dyDescent="0.25">
      <c r="A287" s="170">
        <v>45533</v>
      </c>
      <c r="B287" s="116">
        <v>776</v>
      </c>
      <c r="C287" s="116">
        <v>753.8</v>
      </c>
      <c r="D287" s="116">
        <v>745.7</v>
      </c>
      <c r="E287" s="116">
        <v>766.3</v>
      </c>
      <c r="F287" s="116">
        <v>753.8</v>
      </c>
      <c r="G287">
        <v>11255</v>
      </c>
      <c r="H287" s="116"/>
      <c r="I287" s="116"/>
      <c r="L287" s="170">
        <v>45533</v>
      </c>
      <c r="M287" s="116">
        <v>753.3</v>
      </c>
      <c r="N287" s="116">
        <v>777.25</v>
      </c>
      <c r="O287" s="116">
        <v>746</v>
      </c>
      <c r="P287" s="116">
        <v>772.7</v>
      </c>
      <c r="Q287" s="116">
        <v>753.3</v>
      </c>
      <c r="R287">
        <v>303404</v>
      </c>
    </row>
    <row r="288" spans="1:18" x14ac:dyDescent="0.25">
      <c r="A288" s="170">
        <v>45534</v>
      </c>
      <c r="B288" s="116">
        <v>766.15</v>
      </c>
      <c r="C288" s="116">
        <v>746.4</v>
      </c>
      <c r="D288" s="116">
        <v>742.15</v>
      </c>
      <c r="E288" s="116">
        <v>762</v>
      </c>
      <c r="F288" s="116">
        <v>746.4</v>
      </c>
      <c r="G288">
        <v>32753</v>
      </c>
      <c r="H288" s="116"/>
      <c r="I288" s="116"/>
      <c r="L288" s="170">
        <v>45534</v>
      </c>
      <c r="M288" s="116">
        <v>747.15</v>
      </c>
      <c r="N288" s="116">
        <v>765.9</v>
      </c>
      <c r="O288" s="116">
        <v>742.55</v>
      </c>
      <c r="P288" s="116">
        <v>760.85</v>
      </c>
      <c r="Q288" s="116">
        <v>747.15</v>
      </c>
      <c r="R288">
        <v>512710</v>
      </c>
    </row>
    <row r="289" spans="1:18" x14ac:dyDescent="0.25">
      <c r="A289" s="170">
        <v>45537</v>
      </c>
      <c r="B289" s="116">
        <v>750</v>
      </c>
      <c r="C289" s="116">
        <v>732.4</v>
      </c>
      <c r="D289" s="116">
        <v>729.35</v>
      </c>
      <c r="E289" s="116">
        <v>749.65</v>
      </c>
      <c r="F289" s="116">
        <v>732.4</v>
      </c>
      <c r="G289">
        <v>23479</v>
      </c>
      <c r="H289" s="116"/>
      <c r="I289" s="116"/>
      <c r="L289" s="170">
        <v>45537</v>
      </c>
      <c r="M289" s="116">
        <v>732.35</v>
      </c>
      <c r="N289" s="116">
        <v>750.8</v>
      </c>
      <c r="O289" s="116">
        <v>729.6</v>
      </c>
      <c r="P289" s="116">
        <v>745.05</v>
      </c>
      <c r="Q289" s="116">
        <v>732.35</v>
      </c>
      <c r="R289">
        <v>398659</v>
      </c>
    </row>
    <row r="290" spans="1:18" x14ac:dyDescent="0.25">
      <c r="A290" s="170">
        <v>45538</v>
      </c>
      <c r="B290" s="116">
        <v>740.95</v>
      </c>
      <c r="C290" s="116">
        <v>727.75</v>
      </c>
      <c r="D290" s="116">
        <v>726</v>
      </c>
      <c r="E290" s="116">
        <v>740.95</v>
      </c>
      <c r="F290" s="116">
        <v>727.75</v>
      </c>
      <c r="G290">
        <v>19361</v>
      </c>
      <c r="H290" s="116"/>
      <c r="I290" s="116"/>
      <c r="L290" s="170">
        <v>45538</v>
      </c>
      <c r="M290" s="116">
        <v>727.6</v>
      </c>
      <c r="N290" s="116">
        <v>744.9</v>
      </c>
      <c r="O290" s="116">
        <v>726</v>
      </c>
      <c r="P290" s="116">
        <v>739</v>
      </c>
      <c r="Q290" s="116">
        <v>727.6</v>
      </c>
      <c r="R290">
        <v>173332</v>
      </c>
    </row>
    <row r="291" spans="1:18" x14ac:dyDescent="0.25">
      <c r="A291" s="170">
        <v>45539</v>
      </c>
      <c r="B291" s="116">
        <v>729.45</v>
      </c>
      <c r="C291" s="116">
        <v>723.95</v>
      </c>
      <c r="D291" s="116">
        <v>718.35</v>
      </c>
      <c r="E291" s="116">
        <v>723.35</v>
      </c>
      <c r="F291" s="116">
        <v>723.95</v>
      </c>
      <c r="G291">
        <v>10687</v>
      </c>
      <c r="H291" s="116"/>
      <c r="I291" s="116"/>
      <c r="L291" s="170">
        <v>45539</v>
      </c>
      <c r="M291" s="116">
        <v>723.65</v>
      </c>
      <c r="N291" s="116">
        <v>729.45</v>
      </c>
      <c r="O291" s="116">
        <v>718.5</v>
      </c>
      <c r="P291" s="116">
        <v>722</v>
      </c>
      <c r="Q291" s="116">
        <v>723.65</v>
      </c>
      <c r="R291">
        <v>172611</v>
      </c>
    </row>
    <row r="292" spans="1:18" x14ac:dyDescent="0.25">
      <c r="A292" s="170">
        <v>45540</v>
      </c>
      <c r="B292" s="116">
        <v>729</v>
      </c>
      <c r="C292" s="116">
        <v>722.65</v>
      </c>
      <c r="D292" s="116">
        <v>719.3</v>
      </c>
      <c r="E292" s="116">
        <v>726</v>
      </c>
      <c r="F292" s="116">
        <v>722.65</v>
      </c>
      <c r="G292">
        <v>22842</v>
      </c>
      <c r="H292" s="116"/>
      <c r="I292" s="116"/>
      <c r="L292" s="170">
        <v>45540</v>
      </c>
      <c r="M292" s="116">
        <v>723.3</v>
      </c>
      <c r="N292" s="116">
        <v>729</v>
      </c>
      <c r="O292" s="116">
        <v>719.1</v>
      </c>
      <c r="P292" s="116">
        <v>728.65</v>
      </c>
      <c r="Q292" s="116">
        <v>723.3</v>
      </c>
      <c r="R292">
        <v>115383</v>
      </c>
    </row>
    <row r="293" spans="1:18" x14ac:dyDescent="0.25">
      <c r="A293" s="170">
        <v>45541</v>
      </c>
      <c r="B293" s="116">
        <v>725.1</v>
      </c>
      <c r="C293" s="116">
        <v>711.4</v>
      </c>
      <c r="D293" s="116">
        <v>695.55</v>
      </c>
      <c r="E293" s="116">
        <v>725</v>
      </c>
      <c r="F293" s="116">
        <v>711.4</v>
      </c>
      <c r="G293">
        <v>23207</v>
      </c>
      <c r="H293" s="116"/>
      <c r="I293" s="116"/>
      <c r="L293" s="170">
        <v>45541</v>
      </c>
      <c r="M293" s="116">
        <v>711.05</v>
      </c>
      <c r="N293" s="116">
        <v>725.05</v>
      </c>
      <c r="O293" s="116">
        <v>694.95</v>
      </c>
      <c r="P293" s="116">
        <v>725.05</v>
      </c>
      <c r="Q293" s="116">
        <v>711.05</v>
      </c>
      <c r="R293">
        <v>449256</v>
      </c>
    </row>
    <row r="294" spans="1:18" x14ac:dyDescent="0.25">
      <c r="A294" s="170">
        <v>45544</v>
      </c>
      <c r="B294" s="116">
        <v>710.95</v>
      </c>
      <c r="C294" s="116">
        <v>703.3</v>
      </c>
      <c r="D294" s="116">
        <v>697.75</v>
      </c>
      <c r="E294" s="116">
        <v>710.95</v>
      </c>
      <c r="F294" s="116">
        <v>703.3</v>
      </c>
      <c r="G294">
        <v>14544</v>
      </c>
      <c r="H294" s="116"/>
      <c r="I294" s="116"/>
      <c r="L294" s="170">
        <v>45544</v>
      </c>
      <c r="M294" s="116">
        <v>703.05</v>
      </c>
      <c r="N294" s="116">
        <v>713.6</v>
      </c>
      <c r="O294" s="116">
        <v>698</v>
      </c>
      <c r="P294" s="116">
        <v>708</v>
      </c>
      <c r="Q294" s="116">
        <v>703.05</v>
      </c>
      <c r="R294">
        <v>400440</v>
      </c>
    </row>
    <row r="295" spans="1:18" x14ac:dyDescent="0.25">
      <c r="A295" s="170">
        <v>45545</v>
      </c>
      <c r="B295" s="116">
        <v>713.2</v>
      </c>
      <c r="C295" s="116">
        <v>699.55</v>
      </c>
      <c r="D295" s="116">
        <v>695.05</v>
      </c>
      <c r="E295" s="116">
        <v>712</v>
      </c>
      <c r="F295" s="116">
        <v>699.55</v>
      </c>
      <c r="G295">
        <v>20976</v>
      </c>
      <c r="H295" s="116"/>
      <c r="I295" s="116"/>
      <c r="L295" s="170">
        <v>45545</v>
      </c>
      <c r="M295" s="116">
        <v>700.2</v>
      </c>
      <c r="N295" s="116">
        <v>713.5</v>
      </c>
      <c r="O295" s="116">
        <v>695</v>
      </c>
      <c r="P295" s="116">
        <v>710</v>
      </c>
      <c r="Q295" s="116">
        <v>700.2</v>
      </c>
      <c r="R295">
        <v>631419</v>
      </c>
    </row>
    <row r="296" spans="1:18" x14ac:dyDescent="0.25">
      <c r="A296" s="170">
        <v>45546</v>
      </c>
      <c r="B296" s="116">
        <v>724</v>
      </c>
      <c r="C296" s="116">
        <v>704</v>
      </c>
      <c r="D296" s="116">
        <v>697</v>
      </c>
      <c r="E296" s="116">
        <v>705</v>
      </c>
      <c r="F296" s="116">
        <v>704</v>
      </c>
      <c r="G296">
        <v>25134</v>
      </c>
      <c r="H296" s="116"/>
      <c r="I296" s="116"/>
      <c r="L296" s="170">
        <v>45546</v>
      </c>
      <c r="M296" s="116">
        <v>703.05</v>
      </c>
      <c r="N296" s="116">
        <v>724.65</v>
      </c>
      <c r="O296" s="116">
        <v>697</v>
      </c>
      <c r="P296" s="116">
        <v>704.9</v>
      </c>
      <c r="Q296" s="116">
        <v>703.05</v>
      </c>
      <c r="R296">
        <v>489568</v>
      </c>
    </row>
    <row r="297" spans="1:18" x14ac:dyDescent="0.25">
      <c r="A297" s="170">
        <v>45547</v>
      </c>
      <c r="B297" s="116">
        <v>719.95</v>
      </c>
      <c r="C297" s="116">
        <v>716.25</v>
      </c>
      <c r="D297" s="116">
        <v>708</v>
      </c>
      <c r="E297" s="116">
        <v>714.7</v>
      </c>
      <c r="F297" s="116">
        <v>716.25</v>
      </c>
      <c r="G297">
        <v>18629</v>
      </c>
      <c r="H297" s="116"/>
      <c r="I297" s="116"/>
      <c r="L297" s="170">
        <v>45547</v>
      </c>
      <c r="M297" s="116">
        <v>716.1</v>
      </c>
      <c r="N297" s="116">
        <v>719.8</v>
      </c>
      <c r="O297" s="116">
        <v>707.05</v>
      </c>
      <c r="P297" s="116">
        <v>712</v>
      </c>
      <c r="Q297" s="116">
        <v>716.1</v>
      </c>
      <c r="R297">
        <v>313773</v>
      </c>
    </row>
    <row r="298" spans="1:18" x14ac:dyDescent="0.25">
      <c r="A298" s="170">
        <v>45548</v>
      </c>
      <c r="B298" s="116">
        <v>723.55</v>
      </c>
      <c r="C298" s="116">
        <v>702.75</v>
      </c>
      <c r="D298" s="116">
        <v>700</v>
      </c>
      <c r="E298" s="116">
        <v>723.55</v>
      </c>
      <c r="F298" s="116">
        <v>702.75</v>
      </c>
      <c r="G298">
        <v>27167</v>
      </c>
      <c r="H298" s="116"/>
      <c r="I298" s="116"/>
      <c r="L298" s="170">
        <v>45548</v>
      </c>
      <c r="M298" s="116">
        <v>703.5</v>
      </c>
      <c r="N298" s="116">
        <v>721.95</v>
      </c>
      <c r="O298" s="116">
        <v>700.2</v>
      </c>
      <c r="P298" s="116">
        <v>721.95</v>
      </c>
      <c r="Q298" s="116">
        <v>703.5</v>
      </c>
      <c r="R298">
        <v>304616</v>
      </c>
    </row>
    <row r="299" spans="1:18" x14ac:dyDescent="0.25">
      <c r="A299" s="170">
        <v>45551</v>
      </c>
      <c r="B299" s="116">
        <v>707</v>
      </c>
      <c r="C299" s="116">
        <v>695.35</v>
      </c>
      <c r="D299" s="116">
        <v>691.05</v>
      </c>
      <c r="E299" s="116">
        <v>705.9</v>
      </c>
      <c r="F299" s="116">
        <v>695.35</v>
      </c>
      <c r="G299">
        <v>13568</v>
      </c>
      <c r="H299" s="116"/>
      <c r="I299" s="116"/>
      <c r="L299" s="170">
        <v>45551</v>
      </c>
      <c r="M299" s="116">
        <v>695.1</v>
      </c>
      <c r="N299" s="116">
        <v>706.95</v>
      </c>
      <c r="O299" s="116">
        <v>691</v>
      </c>
      <c r="P299" s="116">
        <v>706.95</v>
      </c>
      <c r="Q299" s="116">
        <v>695.1</v>
      </c>
      <c r="R299">
        <v>221316</v>
      </c>
    </row>
    <row r="300" spans="1:18" x14ac:dyDescent="0.25">
      <c r="A300" s="170">
        <v>45552</v>
      </c>
      <c r="B300" s="116">
        <v>710</v>
      </c>
      <c r="C300" s="116">
        <v>706.4</v>
      </c>
      <c r="D300" s="116">
        <v>692.55</v>
      </c>
      <c r="E300" s="116">
        <v>697.35</v>
      </c>
      <c r="F300" s="116">
        <v>706.4</v>
      </c>
      <c r="G300">
        <v>19059</v>
      </c>
      <c r="H300" s="116"/>
      <c r="I300" s="116"/>
      <c r="L300" s="170">
        <v>45552</v>
      </c>
      <c r="M300" s="116">
        <v>704.75</v>
      </c>
      <c r="N300" s="116">
        <v>710</v>
      </c>
      <c r="O300" s="116">
        <v>692.7</v>
      </c>
      <c r="P300" s="116">
        <v>699.6</v>
      </c>
      <c r="Q300" s="116">
        <v>704.75</v>
      </c>
      <c r="R300">
        <v>206610</v>
      </c>
    </row>
    <row r="301" spans="1:18" x14ac:dyDescent="0.25">
      <c r="A301" s="170">
        <v>45553</v>
      </c>
      <c r="B301" s="116">
        <v>707</v>
      </c>
      <c r="C301" s="116">
        <v>695.1</v>
      </c>
      <c r="D301" s="116">
        <v>693.65</v>
      </c>
      <c r="E301" s="116">
        <v>705.1</v>
      </c>
      <c r="F301" s="116">
        <v>695.1</v>
      </c>
      <c r="G301">
        <v>21040</v>
      </c>
      <c r="H301" s="116"/>
      <c r="I301" s="116"/>
      <c r="L301" s="170">
        <v>45553</v>
      </c>
      <c r="M301" s="116">
        <v>694.8</v>
      </c>
      <c r="N301" s="116">
        <v>709.45</v>
      </c>
      <c r="O301" s="116">
        <v>693.1</v>
      </c>
      <c r="P301" s="116">
        <v>708.75</v>
      </c>
      <c r="Q301" s="116">
        <v>694.8</v>
      </c>
      <c r="R301">
        <v>295319</v>
      </c>
    </row>
    <row r="302" spans="1:18" x14ac:dyDescent="0.25">
      <c r="A302" s="170">
        <v>45554</v>
      </c>
      <c r="B302" s="116">
        <v>706.6</v>
      </c>
      <c r="C302" s="116">
        <v>690.75</v>
      </c>
      <c r="D302" s="116">
        <v>685</v>
      </c>
      <c r="E302" s="116">
        <v>706.6</v>
      </c>
      <c r="F302" s="116">
        <v>690.75</v>
      </c>
      <c r="G302">
        <v>32636</v>
      </c>
      <c r="H302" s="116"/>
      <c r="I302" s="116"/>
      <c r="L302" s="170">
        <v>45554</v>
      </c>
      <c r="M302" s="116">
        <v>690.15</v>
      </c>
      <c r="N302" s="116">
        <v>703.5</v>
      </c>
      <c r="O302" s="116">
        <v>685.05</v>
      </c>
      <c r="P302" s="116">
        <v>701</v>
      </c>
      <c r="Q302" s="116">
        <v>690.15</v>
      </c>
      <c r="R302">
        <v>242208</v>
      </c>
    </row>
    <row r="303" spans="1:18" x14ac:dyDescent="0.25">
      <c r="A303" s="170">
        <v>45555</v>
      </c>
      <c r="B303" s="116">
        <v>696.5</v>
      </c>
      <c r="C303" s="116">
        <v>691.15</v>
      </c>
      <c r="D303" s="116">
        <v>680.25</v>
      </c>
      <c r="E303" s="116">
        <v>691</v>
      </c>
      <c r="F303" s="116">
        <v>691.15</v>
      </c>
      <c r="G303">
        <v>18001</v>
      </c>
      <c r="H303" s="116"/>
      <c r="I303" s="116"/>
      <c r="L303" s="170">
        <v>45555</v>
      </c>
      <c r="M303" s="116">
        <v>691.75</v>
      </c>
      <c r="N303" s="116">
        <v>696.95</v>
      </c>
      <c r="O303" s="116">
        <v>680</v>
      </c>
      <c r="P303" s="116">
        <v>693</v>
      </c>
      <c r="Q303" s="116">
        <v>691.75</v>
      </c>
      <c r="R303">
        <v>226541</v>
      </c>
    </row>
    <row r="304" spans="1:18" x14ac:dyDescent="0.25">
      <c r="A304" s="170">
        <v>45558</v>
      </c>
      <c r="B304" s="116">
        <v>695.8</v>
      </c>
      <c r="C304" s="116">
        <v>690.3</v>
      </c>
      <c r="D304" s="116">
        <v>687</v>
      </c>
      <c r="E304" s="116">
        <v>692</v>
      </c>
      <c r="F304" s="116">
        <v>690.3</v>
      </c>
      <c r="G304">
        <v>8315</v>
      </c>
      <c r="H304" s="116"/>
      <c r="I304" s="116"/>
      <c r="L304" s="170">
        <v>45558</v>
      </c>
      <c r="M304" s="116">
        <v>690.5</v>
      </c>
      <c r="N304" s="116">
        <v>695.9</v>
      </c>
      <c r="O304" s="116">
        <v>686.4</v>
      </c>
      <c r="P304" s="116">
        <v>693.95</v>
      </c>
      <c r="Q304" s="116">
        <v>690.5</v>
      </c>
      <c r="R304">
        <v>192339</v>
      </c>
    </row>
    <row r="305" spans="1:18" x14ac:dyDescent="0.25">
      <c r="A305" s="170">
        <v>45559</v>
      </c>
      <c r="B305" s="116">
        <v>692</v>
      </c>
      <c r="C305" s="116">
        <v>683.05</v>
      </c>
      <c r="D305" s="116">
        <v>680.55</v>
      </c>
      <c r="E305" s="116">
        <v>690.55</v>
      </c>
      <c r="F305" s="116">
        <v>683.05</v>
      </c>
      <c r="G305">
        <v>6152</v>
      </c>
      <c r="H305" s="116"/>
      <c r="I305" s="116"/>
      <c r="L305" s="170">
        <v>45559</v>
      </c>
      <c r="M305" s="116">
        <v>682.3</v>
      </c>
      <c r="N305" s="116">
        <v>692.95</v>
      </c>
      <c r="O305" s="116">
        <v>680.55</v>
      </c>
      <c r="P305" s="116">
        <v>692.95</v>
      </c>
      <c r="Q305" s="116">
        <v>682.3</v>
      </c>
      <c r="R305">
        <v>180424</v>
      </c>
    </row>
    <row r="306" spans="1:18" x14ac:dyDescent="0.25">
      <c r="A306" s="170">
        <v>45560</v>
      </c>
      <c r="B306" s="116">
        <v>686.3</v>
      </c>
      <c r="C306" s="116">
        <v>666.95</v>
      </c>
      <c r="D306" s="116">
        <v>664.35</v>
      </c>
      <c r="E306" s="116">
        <v>683.05</v>
      </c>
      <c r="F306" s="116">
        <v>666.95</v>
      </c>
      <c r="G306">
        <v>39044</v>
      </c>
      <c r="H306" s="116"/>
      <c r="I306" s="116"/>
      <c r="L306" s="170">
        <v>45560</v>
      </c>
      <c r="M306" s="116">
        <v>670.2</v>
      </c>
      <c r="N306" s="116">
        <v>686.65</v>
      </c>
      <c r="O306" s="116">
        <v>665</v>
      </c>
      <c r="P306" s="116">
        <v>682.9</v>
      </c>
      <c r="Q306" s="116">
        <v>670.2</v>
      </c>
      <c r="R306">
        <v>344072</v>
      </c>
    </row>
    <row r="307" spans="1:18" x14ac:dyDescent="0.25">
      <c r="A307" s="170">
        <v>45561</v>
      </c>
      <c r="B307" s="116">
        <v>679.45</v>
      </c>
      <c r="C307" s="116">
        <v>674.1</v>
      </c>
      <c r="D307" s="116">
        <v>664.85</v>
      </c>
      <c r="E307" s="116">
        <v>670.5</v>
      </c>
      <c r="F307" s="116">
        <v>674.1</v>
      </c>
      <c r="G307">
        <v>320011</v>
      </c>
      <c r="H307" s="116"/>
      <c r="I307" s="116"/>
      <c r="L307" s="170">
        <v>45561</v>
      </c>
      <c r="M307" s="116">
        <v>676.9</v>
      </c>
      <c r="N307" s="116">
        <v>679.9</v>
      </c>
      <c r="O307" s="116">
        <v>664.05</v>
      </c>
      <c r="P307" s="116">
        <v>673</v>
      </c>
      <c r="Q307" s="116">
        <v>676.9</v>
      </c>
      <c r="R307">
        <v>660178</v>
      </c>
    </row>
    <row r="308" spans="1:18" x14ac:dyDescent="0.25">
      <c r="A308" s="170">
        <v>45562</v>
      </c>
      <c r="B308" s="116">
        <v>685</v>
      </c>
      <c r="C308" s="116">
        <v>673.35</v>
      </c>
      <c r="D308" s="116">
        <v>667.2</v>
      </c>
      <c r="E308" s="116">
        <v>685</v>
      </c>
      <c r="F308" s="116">
        <v>673.35</v>
      </c>
      <c r="G308">
        <v>8671</v>
      </c>
      <c r="H308" s="116"/>
      <c r="I308" s="116"/>
      <c r="L308" s="170">
        <v>45562</v>
      </c>
      <c r="M308" s="116">
        <v>672.4</v>
      </c>
      <c r="N308" s="116">
        <v>681.85</v>
      </c>
      <c r="O308" s="116">
        <v>667</v>
      </c>
      <c r="P308" s="116">
        <v>680</v>
      </c>
      <c r="Q308" s="116">
        <v>672.4</v>
      </c>
      <c r="R308">
        <v>347452</v>
      </c>
    </row>
    <row r="309" spans="1:18" x14ac:dyDescent="0.25">
      <c r="A309" s="170">
        <v>45565</v>
      </c>
      <c r="B309" s="116">
        <v>680.9</v>
      </c>
      <c r="C309" s="116">
        <v>669.1</v>
      </c>
      <c r="D309" s="116">
        <v>662.05</v>
      </c>
      <c r="E309" s="116">
        <v>675.05</v>
      </c>
      <c r="F309" s="116">
        <v>669.1</v>
      </c>
      <c r="G309">
        <v>21787</v>
      </c>
      <c r="H309" s="116"/>
      <c r="I309" s="116"/>
      <c r="L309" s="170">
        <v>45565</v>
      </c>
      <c r="M309" s="116">
        <v>669</v>
      </c>
      <c r="N309" s="116">
        <v>681</v>
      </c>
      <c r="O309" s="116">
        <v>661.6</v>
      </c>
      <c r="P309" s="116">
        <v>678.05</v>
      </c>
      <c r="Q309" s="116">
        <v>669</v>
      </c>
      <c r="R309">
        <v>681864</v>
      </c>
    </row>
    <row r="310" spans="1:18" x14ac:dyDescent="0.25">
      <c r="A310" s="170">
        <v>45566</v>
      </c>
      <c r="B310" s="116">
        <v>714.1</v>
      </c>
      <c r="C310" s="116">
        <v>710.3</v>
      </c>
      <c r="D310" s="116">
        <v>675</v>
      </c>
      <c r="E310" s="116">
        <v>675.2</v>
      </c>
      <c r="F310" s="116">
        <v>710.3</v>
      </c>
      <c r="G310">
        <v>100483</v>
      </c>
      <c r="H310" s="116"/>
      <c r="I310" s="116"/>
      <c r="L310" s="170">
        <v>45566</v>
      </c>
      <c r="M310" s="116">
        <v>710.5</v>
      </c>
      <c r="N310" s="116">
        <v>715</v>
      </c>
      <c r="O310" s="116">
        <v>673.4</v>
      </c>
      <c r="P310" s="116">
        <v>677</v>
      </c>
      <c r="Q310" s="116">
        <v>710.5</v>
      </c>
      <c r="R310">
        <v>617211</v>
      </c>
    </row>
    <row r="311" spans="1:18" x14ac:dyDescent="0.25">
      <c r="A311" s="170">
        <v>45568</v>
      </c>
      <c r="B311" s="116">
        <v>709.4</v>
      </c>
      <c r="C311" s="116">
        <v>690.4</v>
      </c>
      <c r="D311" s="116">
        <v>688.75</v>
      </c>
      <c r="E311" s="116">
        <v>701.2</v>
      </c>
      <c r="F311" s="116">
        <v>690.4</v>
      </c>
      <c r="G311">
        <v>19379</v>
      </c>
      <c r="H311" s="116"/>
      <c r="I311" s="116"/>
      <c r="L311" s="170">
        <v>45568</v>
      </c>
      <c r="M311" s="116">
        <v>690.6</v>
      </c>
      <c r="N311" s="116">
        <v>709.95</v>
      </c>
      <c r="O311" s="116">
        <v>689.05</v>
      </c>
      <c r="P311" s="116">
        <v>705</v>
      </c>
      <c r="Q311" s="116">
        <v>690.6</v>
      </c>
      <c r="R311">
        <v>361588</v>
      </c>
    </row>
    <row r="312" spans="1:18" x14ac:dyDescent="0.25">
      <c r="A312" s="170">
        <v>45569</v>
      </c>
      <c r="B312" s="116">
        <v>704.4</v>
      </c>
      <c r="C312" s="116">
        <v>683.6</v>
      </c>
      <c r="D312" s="116">
        <v>676.6</v>
      </c>
      <c r="E312" s="116">
        <v>699.05</v>
      </c>
      <c r="F312" s="116">
        <v>683.6</v>
      </c>
      <c r="G312">
        <v>18604</v>
      </c>
      <c r="H312" s="116"/>
      <c r="I312" s="116"/>
      <c r="L312" s="170">
        <v>45569</v>
      </c>
      <c r="M312" s="116">
        <v>681.8</v>
      </c>
      <c r="N312" s="116">
        <v>704</v>
      </c>
      <c r="O312" s="116">
        <v>677</v>
      </c>
      <c r="P312" s="116">
        <v>704</v>
      </c>
      <c r="Q312" s="116">
        <v>681.8</v>
      </c>
      <c r="R312">
        <v>323351</v>
      </c>
    </row>
    <row r="313" spans="1:18" x14ac:dyDescent="0.25">
      <c r="A313" s="170">
        <v>45572</v>
      </c>
      <c r="B313" s="116">
        <v>693.7</v>
      </c>
      <c r="C313" s="116">
        <v>675.5</v>
      </c>
      <c r="D313" s="116">
        <v>673.05</v>
      </c>
      <c r="E313" s="116">
        <v>690</v>
      </c>
      <c r="F313" s="116">
        <v>675.5</v>
      </c>
      <c r="G313">
        <v>29137</v>
      </c>
      <c r="H313" s="116"/>
      <c r="I313" s="116"/>
      <c r="L313" s="170">
        <v>45572</v>
      </c>
      <c r="M313" s="116">
        <v>675.45</v>
      </c>
      <c r="N313" s="116">
        <v>693</v>
      </c>
      <c r="O313" s="116">
        <v>673.65</v>
      </c>
      <c r="P313" s="116">
        <v>686.45</v>
      </c>
      <c r="Q313" s="116">
        <v>675.45</v>
      </c>
      <c r="R313">
        <v>314583</v>
      </c>
    </row>
    <row r="314" spans="1:18" x14ac:dyDescent="0.25">
      <c r="A314" s="170">
        <v>45573</v>
      </c>
      <c r="B314" s="116">
        <v>690</v>
      </c>
      <c r="C314" s="116">
        <v>681.6</v>
      </c>
      <c r="D314" s="116">
        <v>669.05</v>
      </c>
      <c r="E314" s="116">
        <v>675.55</v>
      </c>
      <c r="F314" s="116">
        <v>681.6</v>
      </c>
      <c r="G314">
        <v>19329</v>
      </c>
      <c r="H314" s="116"/>
      <c r="I314" s="116"/>
      <c r="L314" s="170">
        <v>45573</v>
      </c>
      <c r="M314" s="116">
        <v>681.3</v>
      </c>
      <c r="N314" s="116">
        <v>689.95</v>
      </c>
      <c r="O314" s="116">
        <v>669.5</v>
      </c>
      <c r="P314" s="116">
        <v>680.45</v>
      </c>
      <c r="Q314" s="116">
        <v>681.3</v>
      </c>
      <c r="R314">
        <v>529872</v>
      </c>
    </row>
    <row r="315" spans="1:18" x14ac:dyDescent="0.25">
      <c r="A315" s="170">
        <v>45574</v>
      </c>
      <c r="B315" s="116">
        <v>705.35</v>
      </c>
      <c r="C315" s="116">
        <v>699.55</v>
      </c>
      <c r="D315" s="116">
        <v>685</v>
      </c>
      <c r="E315" s="116">
        <v>685</v>
      </c>
      <c r="F315" s="116">
        <v>699.55</v>
      </c>
      <c r="G315">
        <v>27834</v>
      </c>
      <c r="H315" s="116"/>
      <c r="I315" s="116"/>
      <c r="L315" s="170">
        <v>45574</v>
      </c>
      <c r="M315" s="116">
        <v>698.55</v>
      </c>
      <c r="N315" s="116">
        <v>704.7</v>
      </c>
      <c r="O315" s="116">
        <v>686.65</v>
      </c>
      <c r="P315" s="116">
        <v>687</v>
      </c>
      <c r="Q315" s="116">
        <v>698.55</v>
      </c>
      <c r="R315">
        <v>310832</v>
      </c>
    </row>
    <row r="316" spans="1:18" x14ac:dyDescent="0.25">
      <c r="A316" s="170">
        <v>45575</v>
      </c>
      <c r="B316" s="116">
        <v>714.45</v>
      </c>
      <c r="C316" s="116">
        <v>702.05</v>
      </c>
      <c r="D316" s="116">
        <v>691.65</v>
      </c>
      <c r="E316" s="116">
        <v>703</v>
      </c>
      <c r="F316" s="116">
        <v>702.05</v>
      </c>
      <c r="G316">
        <v>21684</v>
      </c>
      <c r="H316" s="116"/>
      <c r="I316" s="116"/>
      <c r="L316" s="170">
        <v>45575</v>
      </c>
      <c r="M316" s="116">
        <v>701.5</v>
      </c>
      <c r="N316" s="116">
        <v>714.7</v>
      </c>
      <c r="O316" s="116">
        <v>691.65</v>
      </c>
      <c r="P316" s="116">
        <v>704.5</v>
      </c>
      <c r="Q316" s="116">
        <v>701.5</v>
      </c>
      <c r="R316">
        <v>256731</v>
      </c>
    </row>
    <row r="317" spans="1:18" x14ac:dyDescent="0.25">
      <c r="A317" s="170">
        <v>45576</v>
      </c>
      <c r="B317" s="116">
        <v>708.5</v>
      </c>
      <c r="C317" s="116">
        <v>694.75</v>
      </c>
      <c r="D317" s="116">
        <v>685.8</v>
      </c>
      <c r="E317" s="116">
        <v>705</v>
      </c>
      <c r="F317" s="116">
        <v>694.75</v>
      </c>
      <c r="G317">
        <v>27554</v>
      </c>
      <c r="H317" s="116"/>
      <c r="I317" s="116"/>
      <c r="L317" s="170">
        <v>45576</v>
      </c>
      <c r="M317" s="116">
        <v>694.65</v>
      </c>
      <c r="N317" s="116">
        <v>710</v>
      </c>
      <c r="O317" s="116">
        <v>686.3</v>
      </c>
      <c r="P317" s="116">
        <v>702</v>
      </c>
      <c r="Q317" s="116">
        <v>694.65</v>
      </c>
      <c r="R317">
        <v>315048</v>
      </c>
    </row>
    <row r="318" spans="1:18" x14ac:dyDescent="0.25">
      <c r="A318" s="170">
        <v>45579</v>
      </c>
      <c r="B318" s="116">
        <v>710</v>
      </c>
      <c r="C318" s="116">
        <v>707.2</v>
      </c>
      <c r="D318" s="116">
        <v>694.6</v>
      </c>
      <c r="E318" s="116">
        <v>694.6</v>
      </c>
      <c r="F318" s="116">
        <v>707.2</v>
      </c>
      <c r="G318">
        <v>21695</v>
      </c>
      <c r="H318" s="116"/>
      <c r="I318" s="116"/>
      <c r="L318" s="170">
        <v>45579</v>
      </c>
      <c r="M318" s="116">
        <v>707.55</v>
      </c>
      <c r="N318" s="116">
        <v>710</v>
      </c>
      <c r="O318" s="116">
        <v>692.95</v>
      </c>
      <c r="P318" s="116">
        <v>693</v>
      </c>
      <c r="Q318" s="116">
        <v>707.55</v>
      </c>
      <c r="R318">
        <v>112179</v>
      </c>
    </row>
    <row r="319" spans="1:18" x14ac:dyDescent="0.25">
      <c r="A319" s="170">
        <v>45580</v>
      </c>
      <c r="B319" s="116">
        <v>716.1</v>
      </c>
      <c r="C319" s="116">
        <v>713.1</v>
      </c>
      <c r="D319" s="116">
        <v>702.7</v>
      </c>
      <c r="E319" s="116">
        <v>708.05</v>
      </c>
      <c r="F319" s="116">
        <v>713.1</v>
      </c>
      <c r="G319">
        <v>7880</v>
      </c>
      <c r="H319" s="116"/>
      <c r="I319" s="116"/>
      <c r="L319" s="170">
        <v>45580</v>
      </c>
      <c r="M319" s="116">
        <v>713.4</v>
      </c>
      <c r="N319" s="116">
        <v>716</v>
      </c>
      <c r="O319" s="116">
        <v>702.8</v>
      </c>
      <c r="P319" s="116">
        <v>709.3</v>
      </c>
      <c r="Q319" s="116">
        <v>713.4</v>
      </c>
      <c r="R319">
        <v>128695</v>
      </c>
    </row>
    <row r="320" spans="1:18" x14ac:dyDescent="0.25">
      <c r="A320" s="170">
        <v>45581</v>
      </c>
      <c r="B320" s="116">
        <v>714</v>
      </c>
      <c r="C320" s="116">
        <v>704.2</v>
      </c>
      <c r="D320" s="116">
        <v>699.05</v>
      </c>
      <c r="E320" s="116">
        <v>714</v>
      </c>
      <c r="F320" s="116">
        <v>704.2</v>
      </c>
      <c r="G320">
        <v>5738</v>
      </c>
      <c r="H320" s="116"/>
      <c r="I320" s="116"/>
      <c r="L320" s="170">
        <v>45581</v>
      </c>
      <c r="M320" s="116">
        <v>704.55</v>
      </c>
      <c r="N320" s="116">
        <v>713</v>
      </c>
      <c r="O320" s="116">
        <v>699.1</v>
      </c>
      <c r="P320" s="116">
        <v>712.05</v>
      </c>
      <c r="Q320" s="116">
        <v>704.55</v>
      </c>
      <c r="R320">
        <v>130368</v>
      </c>
    </row>
    <row r="321" spans="1:18" x14ac:dyDescent="0.25">
      <c r="A321" s="170">
        <v>45582</v>
      </c>
      <c r="B321" s="116">
        <v>717.35</v>
      </c>
      <c r="C321" s="116">
        <v>693.45</v>
      </c>
      <c r="D321" s="116">
        <v>691.75</v>
      </c>
      <c r="E321" s="116">
        <v>717.35</v>
      </c>
      <c r="F321" s="116">
        <v>693.45</v>
      </c>
      <c r="G321">
        <v>9117</v>
      </c>
      <c r="H321" s="116"/>
      <c r="I321" s="116"/>
      <c r="L321" s="170">
        <v>45582</v>
      </c>
      <c r="M321" s="116">
        <v>693.65</v>
      </c>
      <c r="N321" s="116">
        <v>709.75</v>
      </c>
      <c r="O321" s="116">
        <v>690.3</v>
      </c>
      <c r="P321" s="116">
        <v>703</v>
      </c>
      <c r="Q321" s="116">
        <v>693.65</v>
      </c>
      <c r="R321">
        <v>143248</v>
      </c>
    </row>
    <row r="322" spans="1:18" x14ac:dyDescent="0.25">
      <c r="A322" s="170">
        <v>45583</v>
      </c>
      <c r="B322" s="116">
        <v>695.3</v>
      </c>
      <c r="C322" s="116">
        <v>691.9</v>
      </c>
      <c r="D322" s="116">
        <v>677.9</v>
      </c>
      <c r="E322" s="116">
        <v>688</v>
      </c>
      <c r="F322" s="116">
        <v>691.9</v>
      </c>
      <c r="G322">
        <v>5436</v>
      </c>
      <c r="H322" s="116"/>
      <c r="I322" s="116"/>
      <c r="L322" s="170">
        <v>45583</v>
      </c>
      <c r="M322" s="116">
        <v>691.05</v>
      </c>
      <c r="N322" s="116">
        <v>694.45</v>
      </c>
      <c r="O322" s="116">
        <v>676.65</v>
      </c>
      <c r="P322" s="116">
        <v>688</v>
      </c>
      <c r="Q322" s="116">
        <v>691.05</v>
      </c>
      <c r="R322">
        <v>136760</v>
      </c>
    </row>
    <row r="323" spans="1:18" x14ac:dyDescent="0.25">
      <c r="A323" s="170">
        <v>45586</v>
      </c>
      <c r="B323" s="116">
        <v>722.4</v>
      </c>
      <c r="C323" s="116">
        <v>699.15</v>
      </c>
      <c r="D323" s="116">
        <v>693.05</v>
      </c>
      <c r="E323" s="116">
        <v>693.05</v>
      </c>
      <c r="F323" s="116">
        <v>699.15</v>
      </c>
      <c r="G323">
        <v>40514</v>
      </c>
      <c r="H323" s="116"/>
      <c r="I323" s="116"/>
      <c r="L323" s="170">
        <v>45586</v>
      </c>
      <c r="M323" s="116">
        <v>698.7</v>
      </c>
      <c r="N323" s="116">
        <v>721.9</v>
      </c>
      <c r="O323" s="116">
        <v>693.35</v>
      </c>
      <c r="P323" s="116">
        <v>693.9</v>
      </c>
      <c r="Q323" s="116">
        <v>698.7</v>
      </c>
      <c r="R323">
        <v>473487</v>
      </c>
    </row>
    <row r="324" spans="1:18" x14ac:dyDescent="0.25">
      <c r="A324" s="170">
        <v>45587</v>
      </c>
      <c r="B324" s="116">
        <v>700</v>
      </c>
      <c r="C324" s="116">
        <v>661.9</v>
      </c>
      <c r="D324" s="116">
        <v>652.70000000000005</v>
      </c>
      <c r="E324" s="116">
        <v>700</v>
      </c>
      <c r="F324" s="116">
        <v>661.9</v>
      </c>
      <c r="G324">
        <v>71067</v>
      </c>
      <c r="H324" s="116"/>
      <c r="I324" s="116"/>
      <c r="L324" s="170">
        <v>45587</v>
      </c>
      <c r="M324" s="116">
        <v>661.15</v>
      </c>
      <c r="N324" s="116">
        <v>699</v>
      </c>
      <c r="O324" s="116">
        <v>652.79999999999995</v>
      </c>
      <c r="P324" s="116">
        <v>699</v>
      </c>
      <c r="Q324" s="116">
        <v>661.15</v>
      </c>
      <c r="R324">
        <v>796742</v>
      </c>
    </row>
    <row r="325" spans="1:18" x14ac:dyDescent="0.25">
      <c r="A325" s="170">
        <v>45588</v>
      </c>
      <c r="B325" s="116">
        <v>665.45</v>
      </c>
      <c r="C325" s="116">
        <v>640.54999999999995</v>
      </c>
      <c r="D325" s="116">
        <v>633.95000000000005</v>
      </c>
      <c r="E325" s="116">
        <v>661.9</v>
      </c>
      <c r="F325" s="116">
        <v>640.54999999999995</v>
      </c>
      <c r="G325">
        <v>44750</v>
      </c>
      <c r="H325" s="116"/>
      <c r="I325" s="116"/>
      <c r="L325" s="170">
        <v>45588</v>
      </c>
      <c r="M325" s="116">
        <v>640.29999999999995</v>
      </c>
      <c r="N325" s="116">
        <v>666.4</v>
      </c>
      <c r="O325" s="116">
        <v>633.79999999999995</v>
      </c>
      <c r="P325" s="116">
        <v>662</v>
      </c>
      <c r="Q325" s="116">
        <v>640.29999999999995</v>
      </c>
      <c r="R325">
        <v>339475</v>
      </c>
    </row>
    <row r="326" spans="1:18" x14ac:dyDescent="0.25">
      <c r="A326" s="170">
        <v>45589</v>
      </c>
      <c r="B326" s="116">
        <v>645</v>
      </c>
      <c r="C326" s="116">
        <v>636.79999999999995</v>
      </c>
      <c r="D326" s="116">
        <v>634.20000000000005</v>
      </c>
      <c r="E326" s="116">
        <v>640.6</v>
      </c>
      <c r="F326" s="116">
        <v>636.79999999999995</v>
      </c>
      <c r="G326">
        <v>19954</v>
      </c>
      <c r="H326" s="116"/>
      <c r="I326" s="116"/>
      <c r="L326" s="170">
        <v>45589</v>
      </c>
      <c r="M326" s="116">
        <v>636.79999999999995</v>
      </c>
      <c r="N326" s="116">
        <v>645</v>
      </c>
      <c r="O326" s="116">
        <v>634</v>
      </c>
      <c r="P326" s="116">
        <v>645</v>
      </c>
      <c r="Q326" s="116">
        <v>636.79999999999995</v>
      </c>
      <c r="R326">
        <v>155437</v>
      </c>
    </row>
    <row r="327" spans="1:18" x14ac:dyDescent="0.25">
      <c r="A327" s="170">
        <v>45590</v>
      </c>
      <c r="B327" s="116">
        <v>637.45000000000005</v>
      </c>
      <c r="C327" s="116">
        <v>613.9</v>
      </c>
      <c r="D327" s="116">
        <v>610.04999999999995</v>
      </c>
      <c r="E327" s="116">
        <v>632</v>
      </c>
      <c r="F327" s="116">
        <v>613.9</v>
      </c>
      <c r="G327">
        <v>41626</v>
      </c>
      <c r="H327" s="116"/>
      <c r="I327" s="116"/>
      <c r="L327" s="170">
        <v>45590</v>
      </c>
      <c r="M327" s="116">
        <v>613.9</v>
      </c>
      <c r="N327" s="116">
        <v>639.70000000000005</v>
      </c>
      <c r="O327" s="116">
        <v>610</v>
      </c>
      <c r="P327" s="116">
        <v>636.79999999999995</v>
      </c>
      <c r="Q327" s="116">
        <v>613.9</v>
      </c>
      <c r="R327">
        <v>210090</v>
      </c>
    </row>
    <row r="328" spans="1:18" x14ac:dyDescent="0.25">
      <c r="A328" s="170">
        <v>45593</v>
      </c>
      <c r="B328" s="116">
        <v>626.95000000000005</v>
      </c>
      <c r="C328" s="116">
        <v>605.70000000000005</v>
      </c>
      <c r="D328" s="116">
        <v>603.4</v>
      </c>
      <c r="E328" s="116">
        <v>615.54999999999995</v>
      </c>
      <c r="F328" s="116">
        <v>605.70000000000005</v>
      </c>
      <c r="G328">
        <v>34207</v>
      </c>
      <c r="H328" s="116"/>
      <c r="I328" s="116"/>
      <c r="L328" s="170">
        <v>45593</v>
      </c>
      <c r="M328" s="116">
        <v>605.15</v>
      </c>
      <c r="N328" s="116">
        <v>626.70000000000005</v>
      </c>
      <c r="O328" s="116">
        <v>602.04999999999995</v>
      </c>
      <c r="P328" s="116">
        <v>623.04999999999995</v>
      </c>
      <c r="Q328" s="116">
        <v>605.15</v>
      </c>
      <c r="R328">
        <v>282160</v>
      </c>
    </row>
    <row r="329" spans="1:18" x14ac:dyDescent="0.25">
      <c r="A329" s="170">
        <v>45594</v>
      </c>
      <c r="B329" s="116">
        <v>613.95000000000005</v>
      </c>
      <c r="C329" s="116">
        <v>610.29999999999995</v>
      </c>
      <c r="D329" s="116">
        <v>600.5</v>
      </c>
      <c r="E329" s="116">
        <v>607.9</v>
      </c>
      <c r="F329" s="116">
        <v>610.29999999999995</v>
      </c>
      <c r="G329">
        <v>22365</v>
      </c>
      <c r="H329" s="116"/>
      <c r="I329" s="116"/>
      <c r="L329" s="170">
        <v>45594</v>
      </c>
      <c r="M329" s="116">
        <v>609.9</v>
      </c>
      <c r="N329" s="116">
        <v>614.54999999999995</v>
      </c>
      <c r="O329" s="116">
        <v>600.25</v>
      </c>
      <c r="P329" s="116">
        <v>608.75</v>
      </c>
      <c r="Q329" s="116">
        <v>609.9</v>
      </c>
      <c r="R329">
        <v>190087</v>
      </c>
    </row>
    <row r="330" spans="1:18" x14ac:dyDescent="0.25">
      <c r="A330" s="170">
        <v>45595</v>
      </c>
      <c r="B330" s="116">
        <v>635</v>
      </c>
      <c r="C330" s="116">
        <v>633.35</v>
      </c>
      <c r="D330" s="116">
        <v>608</v>
      </c>
      <c r="E330" s="116">
        <v>619.95000000000005</v>
      </c>
      <c r="F330" s="116">
        <v>633.35</v>
      </c>
      <c r="G330">
        <v>29577</v>
      </c>
      <c r="H330" s="116"/>
      <c r="I330" s="116"/>
      <c r="L330" s="170">
        <v>45595</v>
      </c>
      <c r="M330" s="116">
        <v>633.29999999999995</v>
      </c>
      <c r="N330" s="116">
        <v>635.70000000000005</v>
      </c>
      <c r="O330" s="116">
        <v>606.95000000000005</v>
      </c>
      <c r="P330" s="116">
        <v>614.54999999999995</v>
      </c>
      <c r="Q330" s="116">
        <v>633.29999999999995</v>
      </c>
      <c r="R330">
        <v>193610</v>
      </c>
    </row>
    <row r="331" spans="1:18" x14ac:dyDescent="0.25">
      <c r="A331" s="170">
        <v>45596</v>
      </c>
      <c r="B331" s="116">
        <v>655</v>
      </c>
      <c r="C331" s="116">
        <v>645.04999999999995</v>
      </c>
      <c r="D331" s="116">
        <v>628.65</v>
      </c>
      <c r="E331" s="116">
        <v>639.95000000000005</v>
      </c>
      <c r="F331" s="116">
        <v>645.04999999999995</v>
      </c>
      <c r="G331">
        <v>14206</v>
      </c>
      <c r="H331" s="116"/>
      <c r="I331" s="116"/>
      <c r="L331" s="170">
        <v>45596</v>
      </c>
      <c r="M331" s="116">
        <v>644.25</v>
      </c>
      <c r="N331" s="116">
        <v>654.15</v>
      </c>
      <c r="O331" s="116">
        <v>628.79999999999995</v>
      </c>
      <c r="P331" s="116">
        <v>630</v>
      </c>
      <c r="Q331" s="116">
        <v>644.25</v>
      </c>
      <c r="R331">
        <v>255707</v>
      </c>
    </row>
    <row r="332" spans="1:18" x14ac:dyDescent="0.25">
      <c r="A332" s="170">
        <v>45597</v>
      </c>
      <c r="B332" s="116">
        <v>674.35</v>
      </c>
      <c r="C332" s="116">
        <v>660.7</v>
      </c>
      <c r="D332" s="116">
        <v>652.6</v>
      </c>
      <c r="E332" s="116">
        <v>674.35</v>
      </c>
      <c r="F332" s="116">
        <v>660.7</v>
      </c>
      <c r="G332">
        <v>9292</v>
      </c>
      <c r="H332" s="116"/>
      <c r="I332" s="116"/>
      <c r="L332" s="170">
        <v>45597</v>
      </c>
      <c r="M332" s="116">
        <v>660.65</v>
      </c>
      <c r="N332" s="116">
        <v>664.3</v>
      </c>
      <c r="O332" s="116">
        <v>653</v>
      </c>
      <c r="P332" s="116">
        <v>658</v>
      </c>
      <c r="Q332" s="116">
        <v>660.65</v>
      </c>
      <c r="R332">
        <v>48863</v>
      </c>
    </row>
    <row r="333" spans="1:18" x14ac:dyDescent="0.25">
      <c r="A333" s="170">
        <v>45600</v>
      </c>
      <c r="B333" s="116">
        <v>667.95</v>
      </c>
      <c r="C333" s="116">
        <v>632.65</v>
      </c>
      <c r="D333" s="116">
        <v>630</v>
      </c>
      <c r="E333" s="116">
        <v>667.95</v>
      </c>
      <c r="F333" s="116">
        <v>632.65</v>
      </c>
      <c r="G333">
        <v>25359</v>
      </c>
      <c r="H333" s="116"/>
      <c r="I333" s="116"/>
      <c r="L333" s="170">
        <v>45600</v>
      </c>
      <c r="M333" s="116">
        <v>632.95000000000005</v>
      </c>
      <c r="N333" s="116">
        <v>666</v>
      </c>
      <c r="O333" s="116">
        <v>630</v>
      </c>
      <c r="P333" s="116">
        <v>666</v>
      </c>
      <c r="Q333" s="116">
        <v>632.95000000000005</v>
      </c>
      <c r="R333">
        <v>179334</v>
      </c>
    </row>
    <row r="334" spans="1:18" x14ac:dyDescent="0.25">
      <c r="A334" s="170">
        <v>45601</v>
      </c>
      <c r="B334" s="116">
        <v>638.20000000000005</v>
      </c>
      <c r="C334" s="116">
        <v>632.85</v>
      </c>
      <c r="D334" s="116">
        <v>625.54999999999995</v>
      </c>
      <c r="E334" s="116">
        <v>631.1</v>
      </c>
      <c r="F334" s="116">
        <v>632.85</v>
      </c>
      <c r="G334">
        <v>6798</v>
      </c>
      <c r="H334" s="116"/>
      <c r="I334" s="116"/>
      <c r="L334" s="170">
        <v>45601</v>
      </c>
      <c r="M334" s="116">
        <v>633.04999999999995</v>
      </c>
      <c r="N334" s="116">
        <v>638.4</v>
      </c>
      <c r="O334" s="116">
        <v>625.20000000000005</v>
      </c>
      <c r="P334" s="116">
        <v>633</v>
      </c>
      <c r="Q334" s="116">
        <v>633.04999999999995</v>
      </c>
      <c r="R334">
        <v>93751</v>
      </c>
    </row>
    <row r="335" spans="1:18" x14ac:dyDescent="0.25">
      <c r="A335" s="170">
        <v>45602</v>
      </c>
      <c r="B335" s="116">
        <v>660.15</v>
      </c>
      <c r="C335" s="116">
        <v>643.70000000000005</v>
      </c>
      <c r="D335" s="116">
        <v>635</v>
      </c>
      <c r="E335" s="116">
        <v>644.70000000000005</v>
      </c>
      <c r="F335" s="116">
        <v>643.70000000000005</v>
      </c>
      <c r="G335">
        <v>24578</v>
      </c>
      <c r="H335" s="116"/>
      <c r="I335" s="116"/>
      <c r="L335" s="170">
        <v>45602</v>
      </c>
      <c r="M335" s="116">
        <v>643.5</v>
      </c>
      <c r="N335" s="116">
        <v>661.7</v>
      </c>
      <c r="O335" s="116">
        <v>634</v>
      </c>
      <c r="P335" s="116">
        <v>635</v>
      </c>
      <c r="Q335" s="116">
        <v>643.5</v>
      </c>
      <c r="R335">
        <v>770542</v>
      </c>
    </row>
    <row r="336" spans="1:18" x14ac:dyDescent="0.25">
      <c r="A336" s="170">
        <v>45603</v>
      </c>
      <c r="B336" s="116">
        <v>661.95</v>
      </c>
      <c r="C336" s="116">
        <v>659.5</v>
      </c>
      <c r="D336" s="116">
        <v>644.04999999999995</v>
      </c>
      <c r="E336" s="116">
        <v>650</v>
      </c>
      <c r="F336" s="116">
        <v>659.5</v>
      </c>
      <c r="G336">
        <v>32986</v>
      </c>
      <c r="H336" s="116"/>
      <c r="I336" s="116"/>
      <c r="L336" s="170">
        <v>45603</v>
      </c>
      <c r="M336" s="116">
        <v>659.8</v>
      </c>
      <c r="N336" s="116">
        <v>661.85</v>
      </c>
      <c r="O336" s="116">
        <v>644.4</v>
      </c>
      <c r="P336" s="116">
        <v>645</v>
      </c>
      <c r="Q336" s="116">
        <v>659.8</v>
      </c>
      <c r="R336">
        <v>272602</v>
      </c>
    </row>
    <row r="337" spans="1:18" x14ac:dyDescent="0.25">
      <c r="A337" s="170">
        <v>45604</v>
      </c>
      <c r="B337" s="116">
        <v>670</v>
      </c>
      <c r="C337" s="116">
        <v>662.05</v>
      </c>
      <c r="D337" s="116">
        <v>651</v>
      </c>
      <c r="E337" s="116">
        <v>670</v>
      </c>
      <c r="F337" s="116">
        <v>662.05</v>
      </c>
      <c r="G337">
        <v>13299</v>
      </c>
      <c r="H337" s="116"/>
      <c r="I337" s="116"/>
      <c r="L337" s="170">
        <v>45604</v>
      </c>
      <c r="M337" s="116">
        <v>661.35</v>
      </c>
      <c r="N337" s="116">
        <v>668.9</v>
      </c>
      <c r="O337" s="116">
        <v>650.85</v>
      </c>
      <c r="P337" s="116">
        <v>664.7</v>
      </c>
      <c r="Q337" s="116">
        <v>661.35</v>
      </c>
      <c r="R337">
        <v>394510</v>
      </c>
    </row>
    <row r="338" spans="1:18" x14ac:dyDescent="0.25">
      <c r="A338" s="170">
        <v>45607</v>
      </c>
      <c r="B338" s="116">
        <v>664.95</v>
      </c>
      <c r="C338" s="116">
        <v>650.5</v>
      </c>
      <c r="D338" s="116">
        <v>647.54999999999995</v>
      </c>
      <c r="E338" s="116">
        <v>662.05</v>
      </c>
      <c r="F338" s="116">
        <v>650.5</v>
      </c>
      <c r="G338">
        <v>29441</v>
      </c>
      <c r="H338" s="116"/>
      <c r="I338" s="116"/>
      <c r="L338" s="170">
        <v>45607</v>
      </c>
      <c r="M338" s="116">
        <v>650.20000000000005</v>
      </c>
      <c r="N338" s="116">
        <v>663.95</v>
      </c>
      <c r="O338" s="116">
        <v>646.85</v>
      </c>
      <c r="P338" s="116">
        <v>663.95</v>
      </c>
      <c r="Q338" s="116">
        <v>650.20000000000005</v>
      </c>
      <c r="R338">
        <v>117778</v>
      </c>
    </row>
    <row r="339" spans="1:18" x14ac:dyDescent="0.25">
      <c r="A339" s="170">
        <v>45608</v>
      </c>
      <c r="B339" s="116">
        <v>656.65</v>
      </c>
      <c r="C339" s="116">
        <v>634.25</v>
      </c>
      <c r="D339" s="116">
        <v>631</v>
      </c>
      <c r="E339" s="116">
        <v>650</v>
      </c>
      <c r="F339" s="116">
        <v>634.25</v>
      </c>
      <c r="G339">
        <v>15495</v>
      </c>
      <c r="H339" s="116"/>
      <c r="I339" s="116"/>
      <c r="L339" s="170">
        <v>45608</v>
      </c>
      <c r="M339" s="116">
        <v>633</v>
      </c>
      <c r="N339" s="116">
        <v>655.95</v>
      </c>
      <c r="O339" s="116">
        <v>630.04999999999995</v>
      </c>
      <c r="P339" s="116">
        <v>652</v>
      </c>
      <c r="Q339" s="116">
        <v>633</v>
      </c>
      <c r="R339">
        <v>100063</v>
      </c>
    </row>
    <row r="340" spans="1:18" x14ac:dyDescent="0.25">
      <c r="A340" s="170">
        <v>45609</v>
      </c>
      <c r="B340" s="116">
        <v>634.85</v>
      </c>
      <c r="C340" s="116">
        <v>613.65</v>
      </c>
      <c r="D340" s="116">
        <v>611.29999999999995</v>
      </c>
      <c r="E340" s="116">
        <v>629.15</v>
      </c>
      <c r="F340" s="116">
        <v>613.65</v>
      </c>
      <c r="G340">
        <v>26493</v>
      </c>
      <c r="H340" s="116"/>
      <c r="I340" s="116"/>
      <c r="L340" s="170">
        <v>45609</v>
      </c>
      <c r="M340" s="116">
        <v>614.1</v>
      </c>
      <c r="N340" s="116">
        <v>634.29999999999995</v>
      </c>
      <c r="O340" s="116">
        <v>611.35</v>
      </c>
      <c r="P340" s="116">
        <v>629.79999999999995</v>
      </c>
      <c r="Q340" s="116">
        <v>614.1</v>
      </c>
      <c r="R340">
        <v>130838</v>
      </c>
    </row>
    <row r="341" spans="1:18" x14ac:dyDescent="0.25">
      <c r="A341" s="170">
        <v>45610</v>
      </c>
      <c r="B341" s="116">
        <v>636.4</v>
      </c>
      <c r="C341" s="116">
        <v>628.95000000000005</v>
      </c>
      <c r="D341" s="116">
        <v>616.70000000000005</v>
      </c>
      <c r="E341" s="116">
        <v>624.95000000000005</v>
      </c>
      <c r="F341" s="116">
        <v>628.95000000000005</v>
      </c>
      <c r="G341">
        <v>12086</v>
      </c>
      <c r="H341" s="116"/>
      <c r="I341" s="116"/>
      <c r="L341" s="170">
        <v>45610</v>
      </c>
      <c r="M341" s="116">
        <v>629.95000000000005</v>
      </c>
      <c r="N341" s="116">
        <v>636.45000000000005</v>
      </c>
      <c r="O341" s="116">
        <v>611.20000000000005</v>
      </c>
      <c r="P341" s="116">
        <v>611.20000000000005</v>
      </c>
      <c r="Q341" s="116">
        <v>629.95000000000005</v>
      </c>
      <c r="R341">
        <v>142998</v>
      </c>
    </row>
    <row r="342" spans="1:18" x14ac:dyDescent="0.25">
      <c r="A342" s="170">
        <v>45614</v>
      </c>
      <c r="B342" s="116">
        <v>635</v>
      </c>
      <c r="C342" s="116">
        <v>622.35</v>
      </c>
      <c r="D342" s="116">
        <v>619.15</v>
      </c>
      <c r="E342" s="116">
        <v>631.70000000000005</v>
      </c>
      <c r="F342" s="116">
        <v>622.35</v>
      </c>
      <c r="G342">
        <v>7522</v>
      </c>
      <c r="H342" s="116"/>
      <c r="I342" s="116"/>
      <c r="L342" s="170">
        <v>45614</v>
      </c>
      <c r="M342" s="116">
        <v>623.1</v>
      </c>
      <c r="N342" s="116">
        <v>639</v>
      </c>
      <c r="O342" s="116">
        <v>618.4</v>
      </c>
      <c r="P342" s="116">
        <v>631.04999999999995</v>
      </c>
      <c r="Q342" s="116">
        <v>623.1</v>
      </c>
      <c r="R342">
        <v>100989</v>
      </c>
    </row>
    <row r="343" spans="1:18" x14ac:dyDescent="0.25">
      <c r="A343" s="170">
        <v>45615</v>
      </c>
      <c r="B343" s="116">
        <v>642.85</v>
      </c>
      <c r="C343" s="116">
        <v>637.45000000000005</v>
      </c>
      <c r="D343" s="116">
        <v>630.15</v>
      </c>
      <c r="E343" s="116">
        <v>635</v>
      </c>
      <c r="F343" s="116">
        <v>637.45000000000005</v>
      </c>
      <c r="G343">
        <v>6956</v>
      </c>
      <c r="H343" s="116"/>
      <c r="I343" s="116"/>
      <c r="L343" s="170">
        <v>45615</v>
      </c>
      <c r="M343" s="116">
        <v>636.75</v>
      </c>
      <c r="N343" s="116">
        <v>642.4</v>
      </c>
      <c r="O343" s="116">
        <v>624.95000000000005</v>
      </c>
      <c r="P343" s="116">
        <v>624.95000000000005</v>
      </c>
      <c r="Q343" s="116">
        <v>636.75</v>
      </c>
      <c r="R343">
        <v>89418</v>
      </c>
    </row>
    <row r="344" spans="1:18" x14ac:dyDescent="0.25">
      <c r="A344" s="170">
        <v>45617</v>
      </c>
      <c r="B344" s="116">
        <v>644.9</v>
      </c>
      <c r="C344" s="116">
        <v>622.95000000000005</v>
      </c>
      <c r="D344" s="116">
        <v>621</v>
      </c>
      <c r="E344" s="116">
        <v>644.9</v>
      </c>
      <c r="F344" s="116">
        <v>622.95000000000005</v>
      </c>
      <c r="G344">
        <v>13144</v>
      </c>
      <c r="H344" s="116"/>
      <c r="I344" s="116"/>
      <c r="L344" s="170">
        <v>45617</v>
      </c>
      <c r="M344" s="116">
        <v>622.95000000000005</v>
      </c>
      <c r="N344" s="116">
        <v>634.85</v>
      </c>
      <c r="O344" s="116">
        <v>621</v>
      </c>
      <c r="P344" s="116">
        <v>634.85</v>
      </c>
      <c r="Q344" s="116">
        <v>622.95000000000005</v>
      </c>
      <c r="R344">
        <v>171439</v>
      </c>
    </row>
    <row r="345" spans="1:18" x14ac:dyDescent="0.25">
      <c r="A345" s="170">
        <v>45618</v>
      </c>
      <c r="B345" s="116">
        <v>634</v>
      </c>
      <c r="C345" s="116">
        <v>629.35</v>
      </c>
      <c r="D345" s="116">
        <v>619.75</v>
      </c>
      <c r="E345" s="116">
        <v>626.35</v>
      </c>
      <c r="F345" s="116">
        <v>629.35</v>
      </c>
      <c r="G345">
        <v>13864</v>
      </c>
      <c r="H345" s="116"/>
      <c r="I345" s="116"/>
      <c r="L345" s="170">
        <v>45618</v>
      </c>
      <c r="M345" s="116">
        <v>628.9</v>
      </c>
      <c r="N345" s="116">
        <v>630.79999999999995</v>
      </c>
      <c r="O345" s="116">
        <v>619</v>
      </c>
      <c r="P345" s="116">
        <v>628.79999999999995</v>
      </c>
      <c r="Q345" s="116">
        <v>628.9</v>
      </c>
      <c r="R345">
        <v>288289</v>
      </c>
    </row>
    <row r="346" spans="1:18" x14ac:dyDescent="0.25">
      <c r="A346" s="170">
        <v>45621</v>
      </c>
      <c r="B346" s="116">
        <v>650</v>
      </c>
      <c r="C346" s="116">
        <v>632</v>
      </c>
      <c r="D346" s="116">
        <v>630</v>
      </c>
      <c r="E346" s="116">
        <v>650</v>
      </c>
      <c r="F346" s="116">
        <v>632</v>
      </c>
      <c r="G346">
        <v>22984</v>
      </c>
      <c r="H346" s="116"/>
      <c r="I346" s="116"/>
      <c r="L346" s="170">
        <v>45621</v>
      </c>
      <c r="M346" s="116">
        <v>632.04999999999995</v>
      </c>
      <c r="N346" s="116">
        <v>646.9</v>
      </c>
      <c r="O346" s="116">
        <v>630.6</v>
      </c>
      <c r="P346" s="116">
        <v>646.9</v>
      </c>
      <c r="Q346" s="116">
        <v>632.04999999999995</v>
      </c>
      <c r="R346">
        <v>124693</v>
      </c>
    </row>
    <row r="347" spans="1:18" x14ac:dyDescent="0.25">
      <c r="A347" s="170">
        <v>45622</v>
      </c>
      <c r="B347" s="116">
        <v>637.1</v>
      </c>
      <c r="C347" s="116">
        <v>630.70000000000005</v>
      </c>
      <c r="D347" s="116">
        <v>625.45000000000005</v>
      </c>
      <c r="E347" s="116">
        <v>636</v>
      </c>
      <c r="F347" s="116">
        <v>630.70000000000005</v>
      </c>
      <c r="G347">
        <v>5179</v>
      </c>
      <c r="H347" s="116"/>
      <c r="I347" s="116"/>
      <c r="L347" s="170">
        <v>45622</v>
      </c>
      <c r="M347" s="116">
        <v>630.95000000000005</v>
      </c>
      <c r="N347" s="116">
        <v>638</v>
      </c>
      <c r="O347" s="116">
        <v>625.95000000000005</v>
      </c>
      <c r="P347" s="116">
        <v>636</v>
      </c>
      <c r="Q347" s="116">
        <v>630.95000000000005</v>
      </c>
      <c r="R347">
        <v>126734</v>
      </c>
    </row>
    <row r="348" spans="1:18" x14ac:dyDescent="0.25">
      <c r="A348" s="170">
        <v>45623</v>
      </c>
      <c r="B348" s="116">
        <v>660</v>
      </c>
      <c r="C348" s="116">
        <v>655.20000000000005</v>
      </c>
      <c r="D348" s="116">
        <v>632.04999999999995</v>
      </c>
      <c r="E348" s="116">
        <v>636.95000000000005</v>
      </c>
      <c r="F348" s="116">
        <v>655.20000000000005</v>
      </c>
      <c r="G348">
        <v>11878</v>
      </c>
      <c r="H348" s="116"/>
      <c r="I348" s="116"/>
      <c r="L348" s="170">
        <v>45623</v>
      </c>
      <c r="M348" s="116">
        <v>655.5</v>
      </c>
      <c r="N348" s="116">
        <v>660.3</v>
      </c>
      <c r="O348" s="116">
        <v>631.1</v>
      </c>
      <c r="P348" s="116">
        <v>632.1</v>
      </c>
      <c r="Q348" s="116">
        <v>655.5</v>
      </c>
      <c r="R348">
        <v>311789</v>
      </c>
    </row>
    <row r="349" spans="1:18" x14ac:dyDescent="0.25">
      <c r="A349" s="170">
        <v>45624</v>
      </c>
      <c r="B349" s="116">
        <v>705.6</v>
      </c>
      <c r="C349" s="116">
        <v>693.7</v>
      </c>
      <c r="D349" s="116">
        <v>664.5</v>
      </c>
      <c r="E349" s="116">
        <v>667.75</v>
      </c>
      <c r="F349" s="116">
        <v>693.7</v>
      </c>
      <c r="G349">
        <v>50313</v>
      </c>
      <c r="H349" s="116"/>
      <c r="I349" s="116"/>
      <c r="L349" s="170">
        <v>45624</v>
      </c>
      <c r="M349" s="116">
        <v>693.2</v>
      </c>
      <c r="N349" s="116">
        <v>705.1</v>
      </c>
      <c r="O349" s="116">
        <v>661.6</v>
      </c>
      <c r="P349" s="116">
        <v>661.6</v>
      </c>
      <c r="Q349" s="116">
        <v>693.2</v>
      </c>
      <c r="R349">
        <v>641956</v>
      </c>
    </row>
    <row r="350" spans="1:18" x14ac:dyDescent="0.25">
      <c r="A350" s="170">
        <v>45625</v>
      </c>
      <c r="B350" s="116">
        <v>702.9</v>
      </c>
      <c r="C350" s="116">
        <v>698.75</v>
      </c>
      <c r="D350" s="116">
        <v>685.1</v>
      </c>
      <c r="E350" s="116">
        <v>695.2</v>
      </c>
      <c r="F350" s="116">
        <v>698.75</v>
      </c>
      <c r="G350">
        <v>30984</v>
      </c>
      <c r="H350" s="116"/>
      <c r="I350" s="116"/>
      <c r="L350" s="170">
        <v>45625</v>
      </c>
      <c r="M350" s="116">
        <v>699.25</v>
      </c>
      <c r="N350" s="116">
        <v>703</v>
      </c>
      <c r="O350" s="116">
        <v>685.25</v>
      </c>
      <c r="P350" s="116">
        <v>699.7</v>
      </c>
      <c r="Q350" s="116">
        <v>699.25</v>
      </c>
      <c r="R350">
        <v>201738</v>
      </c>
    </row>
    <row r="351" spans="1:18" x14ac:dyDescent="0.25">
      <c r="A351" s="170">
        <v>45628</v>
      </c>
      <c r="B351" s="116">
        <v>736.3</v>
      </c>
      <c r="C351" s="116">
        <v>733.1</v>
      </c>
      <c r="D351" s="116">
        <v>688.9</v>
      </c>
      <c r="E351" s="116">
        <v>697.05</v>
      </c>
      <c r="F351" s="116">
        <v>733.1</v>
      </c>
      <c r="G351">
        <v>26787</v>
      </c>
      <c r="H351" s="116"/>
      <c r="I351" s="116"/>
      <c r="L351" s="170">
        <v>45628</v>
      </c>
      <c r="M351" s="116">
        <v>731.95</v>
      </c>
      <c r="N351" s="116">
        <v>735</v>
      </c>
      <c r="O351" s="116">
        <v>686.4</v>
      </c>
      <c r="P351" s="116">
        <v>697.95</v>
      </c>
      <c r="Q351" s="116">
        <v>731.95</v>
      </c>
      <c r="R351">
        <v>545983</v>
      </c>
    </row>
    <row r="352" spans="1:18" x14ac:dyDescent="0.25">
      <c r="A352" s="170">
        <v>45629</v>
      </c>
      <c r="B352" s="116">
        <v>743.15</v>
      </c>
      <c r="C352" s="116">
        <v>710.6</v>
      </c>
      <c r="D352" s="116">
        <v>708.3</v>
      </c>
      <c r="E352" s="116">
        <v>735.05</v>
      </c>
      <c r="F352" s="116">
        <v>710.6</v>
      </c>
      <c r="G352">
        <v>40019</v>
      </c>
      <c r="H352" s="116"/>
      <c r="I352" s="116"/>
      <c r="L352" s="170">
        <v>45629</v>
      </c>
      <c r="M352" s="116">
        <v>710.3</v>
      </c>
      <c r="N352" s="116">
        <v>744.25</v>
      </c>
      <c r="O352" s="116">
        <v>708</v>
      </c>
      <c r="P352" s="116">
        <v>738</v>
      </c>
      <c r="Q352" s="116">
        <v>710.3</v>
      </c>
      <c r="R352">
        <v>298598</v>
      </c>
    </row>
    <row r="353" spans="1:18" x14ac:dyDescent="0.25">
      <c r="A353" s="170">
        <v>45630</v>
      </c>
      <c r="B353" s="116">
        <v>717.15</v>
      </c>
      <c r="C353" s="116">
        <v>693.15</v>
      </c>
      <c r="D353" s="116">
        <v>691.55</v>
      </c>
      <c r="E353" s="116">
        <v>713</v>
      </c>
      <c r="F353" s="116">
        <v>693.15</v>
      </c>
      <c r="G353">
        <v>47097</v>
      </c>
      <c r="H353" s="116"/>
      <c r="I353" s="116"/>
      <c r="L353" s="170">
        <v>45630</v>
      </c>
      <c r="M353" s="116">
        <v>693.1</v>
      </c>
      <c r="N353" s="116">
        <v>718.6</v>
      </c>
      <c r="O353" s="116">
        <v>691.5</v>
      </c>
      <c r="P353" s="116">
        <v>712.8</v>
      </c>
      <c r="Q353" s="116">
        <v>693.1</v>
      </c>
      <c r="R353">
        <v>528217</v>
      </c>
    </row>
    <row r="354" spans="1:18" x14ac:dyDescent="0.25">
      <c r="A354" s="170">
        <v>45631</v>
      </c>
      <c r="B354" s="116">
        <v>702.8</v>
      </c>
      <c r="C354" s="116">
        <v>676.1</v>
      </c>
      <c r="D354" s="116">
        <v>671.3</v>
      </c>
      <c r="E354" s="116">
        <v>695</v>
      </c>
      <c r="F354" s="116">
        <v>676.1</v>
      </c>
      <c r="G354">
        <v>42241</v>
      </c>
      <c r="H354" s="116"/>
      <c r="I354" s="116"/>
      <c r="L354" s="170">
        <v>45631</v>
      </c>
      <c r="M354" s="116">
        <v>676.45</v>
      </c>
      <c r="N354" s="116">
        <v>702.7</v>
      </c>
      <c r="O354" s="116">
        <v>671.05</v>
      </c>
      <c r="P354" s="116">
        <v>699.4</v>
      </c>
      <c r="Q354" s="116">
        <v>676.45</v>
      </c>
      <c r="R354">
        <v>628882</v>
      </c>
    </row>
    <row r="355" spans="1:18" x14ac:dyDescent="0.25">
      <c r="A355" s="170">
        <v>45632</v>
      </c>
      <c r="B355" s="116">
        <v>693.6</v>
      </c>
      <c r="C355" s="116">
        <v>670.45</v>
      </c>
      <c r="D355" s="116">
        <v>667.1</v>
      </c>
      <c r="E355" s="116">
        <v>693.6</v>
      </c>
      <c r="F355" s="116">
        <v>670.45</v>
      </c>
      <c r="G355">
        <v>20604</v>
      </c>
      <c r="H355" s="116"/>
      <c r="I355" s="116"/>
      <c r="L355" s="170">
        <v>45632</v>
      </c>
      <c r="M355" s="116">
        <v>673.65</v>
      </c>
      <c r="N355" s="116">
        <v>682.95</v>
      </c>
      <c r="O355" s="116">
        <v>671.1</v>
      </c>
      <c r="P355" s="116">
        <v>676.45</v>
      </c>
      <c r="Q355" s="116">
        <v>673.65</v>
      </c>
      <c r="R355">
        <v>269233</v>
      </c>
    </row>
    <row r="356" spans="1:18" x14ac:dyDescent="0.25">
      <c r="A356" s="170">
        <v>45635</v>
      </c>
      <c r="B356" s="116">
        <v>687.15</v>
      </c>
      <c r="C356" s="116">
        <v>662.75</v>
      </c>
      <c r="D356" s="116">
        <v>660.95</v>
      </c>
      <c r="E356" s="116">
        <v>687.15</v>
      </c>
      <c r="F356" s="116">
        <v>662.75</v>
      </c>
      <c r="G356">
        <v>13988</v>
      </c>
      <c r="H356" s="116"/>
      <c r="I356" s="116"/>
      <c r="L356" s="170">
        <v>45635</v>
      </c>
      <c r="M356" s="116">
        <v>663.65</v>
      </c>
      <c r="N356" s="116">
        <v>678.85</v>
      </c>
      <c r="O356" s="116">
        <v>662.15</v>
      </c>
      <c r="P356" s="116">
        <v>677</v>
      </c>
      <c r="Q356" s="116">
        <v>663.65</v>
      </c>
      <c r="R356">
        <v>236002</v>
      </c>
    </row>
    <row r="357" spans="1:18" x14ac:dyDescent="0.25">
      <c r="A357" s="170">
        <v>45636</v>
      </c>
      <c r="B357" s="116">
        <v>672.45</v>
      </c>
      <c r="C357" s="116">
        <v>663.95</v>
      </c>
      <c r="D357" s="116">
        <v>662</v>
      </c>
      <c r="E357" s="116">
        <v>662.8</v>
      </c>
      <c r="F357" s="116">
        <v>663.95</v>
      </c>
      <c r="G357">
        <v>15464</v>
      </c>
      <c r="H357" s="116"/>
      <c r="I357" s="116"/>
      <c r="L357" s="170">
        <v>45636</v>
      </c>
      <c r="M357" s="116">
        <v>664.75</v>
      </c>
      <c r="N357" s="116">
        <v>673.2</v>
      </c>
      <c r="O357" s="116">
        <v>661.45</v>
      </c>
      <c r="P357" s="116">
        <v>664.6</v>
      </c>
      <c r="Q357" s="116">
        <v>664.75</v>
      </c>
      <c r="R357">
        <v>292118</v>
      </c>
    </row>
    <row r="358" spans="1:18" x14ac:dyDescent="0.25">
      <c r="A358" s="170">
        <v>45637</v>
      </c>
      <c r="B358" s="116">
        <v>680</v>
      </c>
      <c r="C358" s="116">
        <v>670.35</v>
      </c>
      <c r="D358" s="116">
        <v>666.1</v>
      </c>
      <c r="E358" s="116">
        <v>669.95</v>
      </c>
      <c r="F358" s="116">
        <v>670.35</v>
      </c>
      <c r="G358">
        <v>10966</v>
      </c>
      <c r="H358" s="116"/>
      <c r="I358" s="116"/>
      <c r="L358" s="170">
        <v>45637</v>
      </c>
      <c r="M358" s="116">
        <v>668.95</v>
      </c>
      <c r="N358" s="116">
        <v>680.3</v>
      </c>
      <c r="O358" s="116">
        <v>666.25</v>
      </c>
      <c r="P358" s="116">
        <v>667</v>
      </c>
      <c r="Q358" s="116">
        <v>668.95</v>
      </c>
      <c r="R358">
        <v>231732</v>
      </c>
    </row>
    <row r="359" spans="1:18" x14ac:dyDescent="0.25">
      <c r="A359" s="170">
        <v>45638</v>
      </c>
      <c r="B359" s="116">
        <v>679.2</v>
      </c>
      <c r="C359" s="116">
        <v>661.05</v>
      </c>
      <c r="D359" s="116">
        <v>660</v>
      </c>
      <c r="E359" s="116">
        <v>679.2</v>
      </c>
      <c r="F359" s="116">
        <v>661.05</v>
      </c>
      <c r="G359">
        <v>27967</v>
      </c>
      <c r="H359" s="116"/>
      <c r="I359" s="116"/>
      <c r="L359" s="170">
        <v>45638</v>
      </c>
      <c r="M359" s="116">
        <v>660.9</v>
      </c>
      <c r="N359" s="116">
        <v>674.8</v>
      </c>
      <c r="O359" s="116">
        <v>659.55</v>
      </c>
      <c r="P359" s="116">
        <v>674.8</v>
      </c>
      <c r="Q359" s="116">
        <v>660.9</v>
      </c>
      <c r="R359">
        <v>270956</v>
      </c>
    </row>
    <row r="360" spans="1:18" x14ac:dyDescent="0.25">
      <c r="A360" s="170">
        <v>45639</v>
      </c>
      <c r="B360" s="116">
        <v>666.9</v>
      </c>
      <c r="C360" s="116">
        <v>657.05</v>
      </c>
      <c r="D360" s="116">
        <v>647</v>
      </c>
      <c r="E360" s="116">
        <v>666.9</v>
      </c>
      <c r="F360" s="116">
        <v>657.05</v>
      </c>
      <c r="G360">
        <v>27525</v>
      </c>
      <c r="H360" s="116"/>
      <c r="I360" s="116"/>
      <c r="L360" s="170">
        <v>45639</v>
      </c>
      <c r="M360" s="116">
        <v>657.5</v>
      </c>
      <c r="N360" s="116">
        <v>663.35</v>
      </c>
      <c r="O360" s="116">
        <v>647.35</v>
      </c>
      <c r="P360" s="116">
        <v>660.9</v>
      </c>
      <c r="Q360" s="116">
        <v>657.5</v>
      </c>
      <c r="R360">
        <v>220083</v>
      </c>
    </row>
    <row r="361" spans="1:18" x14ac:dyDescent="0.25">
      <c r="A361" s="170">
        <v>45642</v>
      </c>
      <c r="B361" s="116">
        <v>677</v>
      </c>
      <c r="C361" s="116">
        <v>670.3</v>
      </c>
      <c r="D361" s="116">
        <v>662.55</v>
      </c>
      <c r="E361" s="116">
        <v>663.85</v>
      </c>
      <c r="F361" s="116">
        <v>670.3</v>
      </c>
      <c r="G361">
        <v>22082</v>
      </c>
      <c r="H361" s="116"/>
      <c r="I361" s="116"/>
      <c r="L361" s="170">
        <v>45642</v>
      </c>
      <c r="M361" s="116">
        <v>670.7</v>
      </c>
      <c r="N361" s="116">
        <v>677.45</v>
      </c>
      <c r="O361" s="116">
        <v>658.1</v>
      </c>
      <c r="P361" s="116">
        <v>658.1</v>
      </c>
      <c r="Q361" s="116">
        <v>670.7</v>
      </c>
      <c r="R361">
        <v>222958</v>
      </c>
    </row>
    <row r="362" spans="1:18" x14ac:dyDescent="0.25">
      <c r="A362" s="170">
        <v>45643</v>
      </c>
      <c r="B362" s="116">
        <v>674.55</v>
      </c>
      <c r="C362" s="116">
        <v>664.35</v>
      </c>
      <c r="D362" s="116">
        <v>661.6</v>
      </c>
      <c r="E362" s="116">
        <v>671.25</v>
      </c>
      <c r="F362" s="116">
        <v>664.35</v>
      </c>
      <c r="G362">
        <v>19196</v>
      </c>
      <c r="H362" s="116"/>
      <c r="I362" s="116"/>
      <c r="L362" s="170">
        <v>45643</v>
      </c>
      <c r="M362" s="116">
        <v>667.4</v>
      </c>
      <c r="N362" s="116">
        <v>674.6</v>
      </c>
      <c r="O362" s="116">
        <v>664.5</v>
      </c>
      <c r="P362" s="116">
        <v>673</v>
      </c>
      <c r="Q362" s="116">
        <v>667.4</v>
      </c>
      <c r="R362">
        <v>146200</v>
      </c>
    </row>
    <row r="363" spans="1:18" x14ac:dyDescent="0.25">
      <c r="A363" s="170">
        <v>45644</v>
      </c>
      <c r="B363" s="116">
        <v>678.75</v>
      </c>
      <c r="C363" s="116">
        <v>666.5</v>
      </c>
      <c r="D363" s="116">
        <v>658.2</v>
      </c>
      <c r="E363" s="116">
        <v>678.75</v>
      </c>
      <c r="F363" s="116">
        <v>666.5</v>
      </c>
      <c r="G363">
        <v>14566</v>
      </c>
      <c r="H363" s="116"/>
      <c r="I363" s="116"/>
      <c r="L363" s="170">
        <v>45644</v>
      </c>
      <c r="M363" s="116">
        <v>665.55</v>
      </c>
      <c r="N363" s="116">
        <v>675.95</v>
      </c>
      <c r="O363" s="116">
        <v>657.95</v>
      </c>
      <c r="P363" s="116">
        <v>667.5</v>
      </c>
      <c r="Q363" s="116">
        <v>665.55</v>
      </c>
      <c r="R363">
        <v>161109</v>
      </c>
    </row>
    <row r="364" spans="1:18" x14ac:dyDescent="0.25">
      <c r="A364" s="170">
        <v>45645</v>
      </c>
      <c r="B364" s="116">
        <v>669.6</v>
      </c>
      <c r="C364" s="116">
        <v>667.05</v>
      </c>
      <c r="D364" s="116">
        <v>649.6</v>
      </c>
      <c r="E364" s="116">
        <v>655.04999999999995</v>
      </c>
      <c r="F364" s="116">
        <v>667.05</v>
      </c>
      <c r="G364">
        <v>31906</v>
      </c>
      <c r="H364" s="116"/>
      <c r="I364" s="116"/>
      <c r="L364" s="170">
        <v>45645</v>
      </c>
      <c r="M364" s="116">
        <v>666.55</v>
      </c>
      <c r="N364" s="116">
        <v>669.9</v>
      </c>
      <c r="O364" s="116">
        <v>648.9</v>
      </c>
      <c r="P364" s="116">
        <v>662.95</v>
      </c>
      <c r="Q364" s="116">
        <v>666.55</v>
      </c>
      <c r="R364">
        <v>185251</v>
      </c>
    </row>
    <row r="365" spans="1:18" x14ac:dyDescent="0.25">
      <c r="A365" s="170">
        <v>45646</v>
      </c>
      <c r="B365" s="116">
        <v>688.9</v>
      </c>
      <c r="C365" s="116">
        <v>675.9</v>
      </c>
      <c r="D365" s="116">
        <v>666.75</v>
      </c>
      <c r="E365" s="116">
        <v>669.95</v>
      </c>
      <c r="F365" s="116">
        <v>675.9</v>
      </c>
      <c r="G365">
        <v>55282</v>
      </c>
      <c r="H365" s="116"/>
      <c r="I365" s="116"/>
      <c r="L365" s="170">
        <v>45646</v>
      </c>
      <c r="M365" s="116">
        <v>677.85</v>
      </c>
      <c r="N365" s="116">
        <v>688.7</v>
      </c>
      <c r="O365" s="116">
        <v>666.55</v>
      </c>
      <c r="P365" s="116">
        <v>670</v>
      </c>
      <c r="Q365" s="116">
        <v>677.85</v>
      </c>
      <c r="R365">
        <v>446391</v>
      </c>
    </row>
    <row r="366" spans="1:18" x14ac:dyDescent="0.25">
      <c r="A366" s="170">
        <v>45649</v>
      </c>
      <c r="B366" s="116">
        <v>688.6</v>
      </c>
      <c r="C366" s="116">
        <v>667.25</v>
      </c>
      <c r="D366" s="116">
        <v>663.5</v>
      </c>
      <c r="E366" s="116">
        <v>688.6</v>
      </c>
      <c r="F366" s="116">
        <v>667.25</v>
      </c>
      <c r="G366">
        <v>16121</v>
      </c>
      <c r="H366" s="116"/>
      <c r="I366" s="116"/>
      <c r="L366" s="170">
        <v>45649</v>
      </c>
      <c r="M366" s="116">
        <v>667.85</v>
      </c>
      <c r="N366" s="116">
        <v>683.85</v>
      </c>
      <c r="O366" s="116">
        <v>663</v>
      </c>
      <c r="P366" s="116">
        <v>678.6</v>
      </c>
      <c r="Q366" s="116">
        <v>667.85</v>
      </c>
      <c r="R366">
        <v>156375</v>
      </c>
    </row>
    <row r="367" spans="1:18" x14ac:dyDescent="0.25">
      <c r="A367" s="170">
        <v>45650</v>
      </c>
      <c r="B367" s="116">
        <v>673.85</v>
      </c>
      <c r="C367" s="116">
        <v>671.35</v>
      </c>
      <c r="D367" s="116">
        <v>663.1</v>
      </c>
      <c r="E367" s="116">
        <v>667.45</v>
      </c>
      <c r="F367" s="116">
        <v>671.35</v>
      </c>
      <c r="G367">
        <v>7047</v>
      </c>
      <c r="H367" s="116"/>
      <c r="I367" s="116"/>
      <c r="L367" s="170">
        <v>45650</v>
      </c>
      <c r="M367" s="116">
        <v>671.95</v>
      </c>
      <c r="N367" s="116">
        <v>674</v>
      </c>
      <c r="O367" s="116">
        <v>662.75</v>
      </c>
      <c r="P367" s="116">
        <v>667.85</v>
      </c>
      <c r="Q367" s="116">
        <v>671.95</v>
      </c>
      <c r="R367">
        <v>96424</v>
      </c>
    </row>
    <row r="368" spans="1:18" x14ac:dyDescent="0.25">
      <c r="A368" s="170">
        <v>45652</v>
      </c>
      <c r="B368" s="116">
        <v>695.85</v>
      </c>
      <c r="C368" s="116">
        <v>677.4</v>
      </c>
      <c r="D368" s="116">
        <v>671.25</v>
      </c>
      <c r="E368" s="116">
        <v>679</v>
      </c>
      <c r="F368" s="116">
        <v>677.4</v>
      </c>
      <c r="G368">
        <v>12549</v>
      </c>
      <c r="H368" s="116"/>
      <c r="I368" s="116"/>
      <c r="L368" s="170">
        <v>45652</v>
      </c>
      <c r="M368" s="116">
        <v>677.25</v>
      </c>
      <c r="N368" s="116">
        <v>696.55</v>
      </c>
      <c r="O368" s="116">
        <v>671.9</v>
      </c>
      <c r="P368" s="116">
        <v>672</v>
      </c>
      <c r="Q368" s="116">
        <v>677.25</v>
      </c>
      <c r="R368">
        <v>306798</v>
      </c>
    </row>
    <row r="369" spans="1:18" x14ac:dyDescent="0.25">
      <c r="A369" s="170">
        <v>45653</v>
      </c>
      <c r="B369" s="116">
        <v>682.9</v>
      </c>
      <c r="C369" s="116">
        <v>676.95</v>
      </c>
      <c r="D369" s="116">
        <v>672.85</v>
      </c>
      <c r="E369" s="116">
        <v>680</v>
      </c>
      <c r="F369" s="116">
        <v>676.95</v>
      </c>
      <c r="G369">
        <v>15673</v>
      </c>
      <c r="H369" s="116"/>
      <c r="I369" s="116"/>
      <c r="L369" s="170">
        <v>45653</v>
      </c>
      <c r="M369" s="116">
        <v>676.9</v>
      </c>
      <c r="N369" s="116">
        <v>684.2</v>
      </c>
      <c r="O369" s="116">
        <v>672.95</v>
      </c>
      <c r="P369" s="116">
        <v>679.75</v>
      </c>
      <c r="Q369" s="116">
        <v>676.9</v>
      </c>
      <c r="R369">
        <v>132107</v>
      </c>
    </row>
    <row r="370" spans="1:18" x14ac:dyDescent="0.25">
      <c r="A370" s="170">
        <v>45656</v>
      </c>
      <c r="B370" s="116">
        <v>682.25</v>
      </c>
      <c r="C370" s="116">
        <v>677.85</v>
      </c>
      <c r="D370" s="116">
        <v>661</v>
      </c>
      <c r="E370" s="116">
        <v>676</v>
      </c>
      <c r="F370" s="116">
        <v>677.85</v>
      </c>
      <c r="G370">
        <v>29448</v>
      </c>
      <c r="H370" s="116"/>
      <c r="I370" s="116"/>
      <c r="L370" s="170">
        <v>45656</v>
      </c>
      <c r="M370" s="116">
        <v>678.35</v>
      </c>
      <c r="N370" s="116">
        <v>683</v>
      </c>
      <c r="O370" s="116">
        <v>660.8</v>
      </c>
      <c r="P370" s="116">
        <v>671.15</v>
      </c>
      <c r="Q370" s="116">
        <v>678.35</v>
      </c>
      <c r="R370">
        <v>168032</v>
      </c>
    </row>
    <row r="371" spans="1:18" x14ac:dyDescent="0.25">
      <c r="A371" s="170">
        <v>45657</v>
      </c>
      <c r="B371" s="116">
        <v>673</v>
      </c>
      <c r="C371" s="116">
        <v>669.2</v>
      </c>
      <c r="D371" s="116">
        <v>664.4</v>
      </c>
      <c r="E371" s="116">
        <v>665.05</v>
      </c>
      <c r="F371" s="116">
        <v>669.2</v>
      </c>
      <c r="G371">
        <v>7484</v>
      </c>
      <c r="H371" s="116"/>
      <c r="I371" s="116"/>
      <c r="L371" s="170">
        <v>45657</v>
      </c>
      <c r="M371" s="116">
        <v>669.6</v>
      </c>
      <c r="N371" s="116">
        <v>674</v>
      </c>
      <c r="O371" s="116">
        <v>663.9</v>
      </c>
      <c r="P371" s="116">
        <v>674</v>
      </c>
      <c r="Q371" s="116">
        <v>669.6</v>
      </c>
      <c r="R371">
        <v>98243</v>
      </c>
    </row>
    <row r="372" spans="1:18" x14ac:dyDescent="0.25">
      <c r="A372" s="170">
        <v>45658</v>
      </c>
      <c r="B372" s="116">
        <v>679.05</v>
      </c>
      <c r="C372" s="116">
        <v>673.55</v>
      </c>
      <c r="D372" s="116">
        <v>669.5</v>
      </c>
      <c r="E372" s="116">
        <v>670</v>
      </c>
      <c r="F372" s="116">
        <v>673.55</v>
      </c>
      <c r="G372">
        <v>7366</v>
      </c>
      <c r="H372" s="116"/>
      <c r="I372" s="116"/>
      <c r="L372" s="170">
        <v>45658</v>
      </c>
      <c r="M372" s="116">
        <v>672.75</v>
      </c>
      <c r="N372" s="116">
        <v>679.65</v>
      </c>
      <c r="O372" s="116">
        <v>668.95</v>
      </c>
      <c r="P372" s="116">
        <v>669.6</v>
      </c>
      <c r="Q372" s="116">
        <v>672.75</v>
      </c>
      <c r="R372">
        <v>86458</v>
      </c>
    </row>
    <row r="373" spans="1:18" x14ac:dyDescent="0.25">
      <c r="A373" s="170">
        <v>45659</v>
      </c>
      <c r="B373" s="116">
        <v>678.35</v>
      </c>
      <c r="C373" s="116">
        <v>670.85</v>
      </c>
      <c r="D373" s="116">
        <v>668.5</v>
      </c>
      <c r="E373" s="116">
        <v>677.9</v>
      </c>
      <c r="F373" s="116">
        <v>670.85</v>
      </c>
      <c r="G373">
        <v>15035</v>
      </c>
      <c r="H373" s="116"/>
      <c r="I373" s="116"/>
      <c r="L373" s="170">
        <v>45659</v>
      </c>
      <c r="M373" s="116">
        <v>670.55</v>
      </c>
      <c r="N373" s="116">
        <v>679.5</v>
      </c>
      <c r="O373" s="116">
        <v>668.75</v>
      </c>
      <c r="P373" s="116">
        <v>674.95</v>
      </c>
      <c r="Q373" s="116">
        <v>670.55</v>
      </c>
      <c r="R373">
        <v>93359</v>
      </c>
    </row>
    <row r="374" spans="1:18" x14ac:dyDescent="0.25">
      <c r="A374" s="170">
        <v>45660</v>
      </c>
      <c r="B374" s="116">
        <v>680.35</v>
      </c>
      <c r="C374" s="116">
        <v>667.35</v>
      </c>
      <c r="D374" s="116">
        <v>665.9</v>
      </c>
      <c r="E374" s="116">
        <v>671.05</v>
      </c>
      <c r="F374" s="116">
        <v>667.35</v>
      </c>
      <c r="G374">
        <v>19457</v>
      </c>
      <c r="H374" s="116"/>
      <c r="I374" s="116"/>
      <c r="L374" s="170">
        <v>45660</v>
      </c>
      <c r="M374" s="116">
        <v>667.5</v>
      </c>
      <c r="N374" s="116">
        <v>689.95</v>
      </c>
      <c r="O374" s="116">
        <v>665.55</v>
      </c>
      <c r="P374" s="116">
        <v>672.8</v>
      </c>
      <c r="Q374" s="116">
        <v>667.5</v>
      </c>
      <c r="R374">
        <v>149110</v>
      </c>
    </row>
    <row r="375" spans="1:18" x14ac:dyDescent="0.25">
      <c r="A375" s="170">
        <v>45663</v>
      </c>
      <c r="B375" s="116">
        <v>675.25</v>
      </c>
      <c r="C375" s="116">
        <v>650.35</v>
      </c>
      <c r="D375" s="116">
        <v>644.54999999999995</v>
      </c>
      <c r="E375" s="116">
        <v>664</v>
      </c>
      <c r="F375" s="116">
        <v>650.35</v>
      </c>
      <c r="G375">
        <v>12233</v>
      </c>
      <c r="H375" s="116"/>
      <c r="I375" s="116"/>
      <c r="L375" s="170">
        <v>45663</v>
      </c>
      <c r="M375" s="116">
        <v>649.1</v>
      </c>
      <c r="N375" s="116">
        <v>671.75</v>
      </c>
      <c r="O375" s="116">
        <v>645</v>
      </c>
      <c r="P375" s="116">
        <v>671.75</v>
      </c>
      <c r="Q375" s="116">
        <v>649.1</v>
      </c>
      <c r="R375">
        <v>153393</v>
      </c>
    </row>
    <row r="376" spans="1:18" x14ac:dyDescent="0.25">
      <c r="A376" s="170">
        <v>45664</v>
      </c>
      <c r="B376" s="116">
        <v>654.25</v>
      </c>
      <c r="C376" s="116">
        <v>639.45000000000005</v>
      </c>
      <c r="D376" s="116">
        <v>635.15</v>
      </c>
      <c r="E376" s="116">
        <v>648.6</v>
      </c>
      <c r="F376" s="116">
        <v>639.45000000000005</v>
      </c>
      <c r="G376">
        <v>25308</v>
      </c>
      <c r="H376" s="116"/>
      <c r="I376" s="116"/>
      <c r="L376" s="170">
        <v>45664</v>
      </c>
      <c r="M376" s="116">
        <v>639.70000000000005</v>
      </c>
      <c r="N376" s="116">
        <v>653.79999999999995</v>
      </c>
      <c r="O376" s="116">
        <v>635.20000000000005</v>
      </c>
      <c r="P376" s="116">
        <v>649</v>
      </c>
      <c r="Q376" s="116">
        <v>639.70000000000005</v>
      </c>
      <c r="R376">
        <v>179986</v>
      </c>
    </row>
    <row r="377" spans="1:18" x14ac:dyDescent="0.25">
      <c r="A377" s="170">
        <v>45665</v>
      </c>
      <c r="B377" s="116">
        <v>650</v>
      </c>
      <c r="C377" s="116">
        <v>645.04999999999995</v>
      </c>
      <c r="D377" s="116">
        <v>636.95000000000005</v>
      </c>
      <c r="E377" s="116">
        <v>640.04999999999995</v>
      </c>
      <c r="F377" s="116">
        <v>645.04999999999995</v>
      </c>
      <c r="G377">
        <v>7666</v>
      </c>
      <c r="H377" s="116"/>
      <c r="I377" s="116"/>
      <c r="L377" s="170">
        <v>45665</v>
      </c>
      <c r="M377" s="116">
        <v>645.20000000000005</v>
      </c>
      <c r="N377" s="116">
        <v>650.25</v>
      </c>
      <c r="O377" s="116">
        <v>635.79999999999995</v>
      </c>
      <c r="P377" s="116">
        <v>641.75</v>
      </c>
      <c r="Q377" s="116">
        <v>645.20000000000005</v>
      </c>
      <c r="R377">
        <v>144646</v>
      </c>
    </row>
    <row r="378" spans="1:18" x14ac:dyDescent="0.25">
      <c r="A378" s="170">
        <v>45666</v>
      </c>
      <c r="B378" s="116">
        <v>640</v>
      </c>
      <c r="C378" s="116">
        <v>626</v>
      </c>
      <c r="D378" s="116">
        <v>625</v>
      </c>
      <c r="E378" s="116">
        <v>632.75</v>
      </c>
      <c r="F378" s="116">
        <v>626</v>
      </c>
      <c r="G378">
        <v>7521</v>
      </c>
      <c r="H378" s="116"/>
      <c r="I378" s="116"/>
      <c r="L378" s="170">
        <v>45666</v>
      </c>
      <c r="M378" s="116">
        <v>626.70000000000005</v>
      </c>
      <c r="N378" s="116">
        <v>642</v>
      </c>
      <c r="O378" s="116">
        <v>625</v>
      </c>
      <c r="P378" s="116">
        <v>638</v>
      </c>
      <c r="Q378" s="116">
        <v>626.70000000000005</v>
      </c>
      <c r="R378">
        <v>154580</v>
      </c>
    </row>
    <row r="379" spans="1:18" x14ac:dyDescent="0.25">
      <c r="A379" s="170">
        <v>45667</v>
      </c>
      <c r="B379" s="116">
        <v>623.65</v>
      </c>
      <c r="C379" s="116">
        <v>618.6</v>
      </c>
      <c r="D379" s="116">
        <v>612</v>
      </c>
      <c r="E379" s="116">
        <v>620.04999999999995</v>
      </c>
      <c r="F379" s="116">
        <v>618.6</v>
      </c>
      <c r="G379">
        <v>7130</v>
      </c>
      <c r="H379" s="116"/>
      <c r="I379" s="116"/>
      <c r="L379" s="170">
        <v>45667</v>
      </c>
      <c r="M379" s="116">
        <v>618.5</v>
      </c>
      <c r="N379" s="116">
        <v>625.9</v>
      </c>
      <c r="O379" s="116">
        <v>611</v>
      </c>
      <c r="P379" s="116">
        <v>625.9</v>
      </c>
      <c r="Q379" s="116">
        <v>618.5</v>
      </c>
      <c r="R379">
        <v>155428</v>
      </c>
    </row>
    <row r="380" spans="1:18" x14ac:dyDescent="0.25">
      <c r="A380" s="170">
        <v>45670</v>
      </c>
      <c r="B380" s="116">
        <v>618</v>
      </c>
      <c r="C380" s="116">
        <v>591.25</v>
      </c>
      <c r="D380" s="116">
        <v>587.70000000000005</v>
      </c>
      <c r="E380" s="116">
        <v>614.04999999999995</v>
      </c>
      <c r="F380" s="116">
        <v>591.25</v>
      </c>
      <c r="G380">
        <v>33968</v>
      </c>
      <c r="H380" s="116"/>
      <c r="I380" s="116"/>
      <c r="L380" s="170">
        <v>45670</v>
      </c>
      <c r="M380" s="116">
        <v>591.95000000000005</v>
      </c>
      <c r="N380" s="116">
        <v>618.54999999999995</v>
      </c>
      <c r="O380" s="116">
        <v>587.6</v>
      </c>
      <c r="P380" s="116">
        <v>618.5</v>
      </c>
      <c r="Q380" s="116">
        <v>591.95000000000005</v>
      </c>
      <c r="R380">
        <v>224983</v>
      </c>
    </row>
    <row r="381" spans="1:18" x14ac:dyDescent="0.25">
      <c r="A381" s="170">
        <v>45671</v>
      </c>
      <c r="B381" s="116">
        <v>603</v>
      </c>
      <c r="C381" s="116">
        <v>586.29999999999995</v>
      </c>
      <c r="D381" s="116">
        <v>584.15</v>
      </c>
      <c r="E381" s="116">
        <v>593.04999999999995</v>
      </c>
      <c r="F381" s="116">
        <v>586.29999999999995</v>
      </c>
      <c r="G381">
        <v>8499</v>
      </c>
      <c r="H381" s="116"/>
      <c r="I381" s="116"/>
      <c r="L381" s="170">
        <v>45671</v>
      </c>
      <c r="M381" s="116">
        <v>586</v>
      </c>
      <c r="N381" s="116">
        <v>602.4</v>
      </c>
      <c r="O381" s="116">
        <v>584</v>
      </c>
      <c r="P381" s="116">
        <v>600</v>
      </c>
      <c r="Q381" s="116">
        <v>586</v>
      </c>
      <c r="R381">
        <v>205067</v>
      </c>
    </row>
    <row r="382" spans="1:18" x14ac:dyDescent="0.25">
      <c r="A382" s="170">
        <v>45672</v>
      </c>
      <c r="B382" s="116">
        <v>598</v>
      </c>
      <c r="C382" s="116">
        <v>591.29999999999995</v>
      </c>
      <c r="D382" s="116">
        <v>584</v>
      </c>
      <c r="E382" s="116">
        <v>589.95000000000005</v>
      </c>
      <c r="F382" s="116">
        <v>591.29999999999995</v>
      </c>
      <c r="G382">
        <v>10822</v>
      </c>
      <c r="H382" s="116"/>
      <c r="I382" s="116"/>
      <c r="L382" s="170">
        <v>45672</v>
      </c>
      <c r="M382" s="116">
        <v>590.70000000000005</v>
      </c>
      <c r="N382" s="116">
        <v>598.5</v>
      </c>
      <c r="O382" s="116">
        <v>584</v>
      </c>
      <c r="P382" s="116">
        <v>588.04999999999995</v>
      </c>
      <c r="Q382" s="116">
        <v>590.70000000000005</v>
      </c>
      <c r="R382">
        <v>120393</v>
      </c>
    </row>
    <row r="383" spans="1:18" x14ac:dyDescent="0.25">
      <c r="A383" s="170">
        <v>45673</v>
      </c>
      <c r="B383" s="116">
        <v>610</v>
      </c>
      <c r="C383" s="116">
        <v>600.95000000000005</v>
      </c>
      <c r="D383" s="116">
        <v>595.04999999999995</v>
      </c>
      <c r="E383" s="116">
        <v>610</v>
      </c>
      <c r="F383" s="116">
        <v>600.95000000000005</v>
      </c>
      <c r="G383">
        <v>9640</v>
      </c>
      <c r="H383" s="116"/>
      <c r="I383" s="116"/>
      <c r="L383" s="170">
        <v>45673</v>
      </c>
      <c r="M383" s="116">
        <v>601.20000000000005</v>
      </c>
      <c r="N383" s="116">
        <v>602.95000000000005</v>
      </c>
      <c r="O383" s="116">
        <v>594</v>
      </c>
      <c r="P383" s="116">
        <v>598</v>
      </c>
      <c r="Q383" s="116">
        <v>601.20000000000005</v>
      </c>
      <c r="R383">
        <v>76111</v>
      </c>
    </row>
    <row r="384" spans="1:18" x14ac:dyDescent="0.25">
      <c r="A384" s="170">
        <v>45674</v>
      </c>
      <c r="B384" s="116">
        <v>623</v>
      </c>
      <c r="C384" s="116">
        <v>599.1</v>
      </c>
      <c r="D384" s="116">
        <v>595.95000000000005</v>
      </c>
      <c r="E384" s="116">
        <v>623</v>
      </c>
      <c r="F384" s="116">
        <v>599.1</v>
      </c>
      <c r="G384">
        <v>6367</v>
      </c>
      <c r="H384" s="116"/>
      <c r="I384" s="116"/>
      <c r="L384" s="170">
        <v>45674</v>
      </c>
      <c r="M384" s="116">
        <v>598.75</v>
      </c>
      <c r="N384" s="116">
        <v>604.20000000000005</v>
      </c>
      <c r="O384" s="116">
        <v>593</v>
      </c>
      <c r="P384" s="116">
        <v>600</v>
      </c>
      <c r="Q384" s="116">
        <v>598.75</v>
      </c>
      <c r="R384">
        <v>75096</v>
      </c>
    </row>
    <row r="385" spans="1:18" x14ac:dyDescent="0.25">
      <c r="A385" s="170">
        <v>45677</v>
      </c>
      <c r="B385" s="116">
        <v>614</v>
      </c>
      <c r="C385" s="116">
        <v>600.54999999999995</v>
      </c>
      <c r="D385" s="116">
        <v>595.04999999999995</v>
      </c>
      <c r="E385" s="116">
        <v>595.04999999999995</v>
      </c>
      <c r="F385" s="116">
        <v>600.54999999999995</v>
      </c>
      <c r="G385">
        <v>9553</v>
      </c>
      <c r="H385" s="116"/>
      <c r="I385" s="116"/>
      <c r="L385" s="170">
        <v>45677</v>
      </c>
      <c r="M385" s="116">
        <v>600.29999999999995</v>
      </c>
      <c r="N385" s="116">
        <v>614</v>
      </c>
      <c r="O385" s="116">
        <v>598.25</v>
      </c>
      <c r="P385" s="116">
        <v>599.95000000000005</v>
      </c>
      <c r="Q385" s="116">
        <v>600.29999999999995</v>
      </c>
      <c r="R385">
        <v>179222</v>
      </c>
    </row>
    <row r="386" spans="1:18" x14ac:dyDescent="0.25">
      <c r="A386" s="170">
        <v>45678</v>
      </c>
      <c r="B386" s="116">
        <v>618.54999999999995</v>
      </c>
      <c r="C386" s="116">
        <v>596.5</v>
      </c>
      <c r="D386" s="116">
        <v>592.15</v>
      </c>
      <c r="E386" s="116">
        <v>607.6</v>
      </c>
      <c r="F386" s="116">
        <v>596.5</v>
      </c>
      <c r="G386">
        <v>23592</v>
      </c>
      <c r="H386" s="116"/>
      <c r="I386" s="116"/>
      <c r="L386" s="170">
        <v>45678</v>
      </c>
      <c r="M386" s="116">
        <v>596.1</v>
      </c>
      <c r="N386" s="116">
        <v>619.95000000000005</v>
      </c>
      <c r="O386" s="116">
        <v>592.54999999999995</v>
      </c>
      <c r="P386" s="116">
        <v>605.04999999999995</v>
      </c>
      <c r="Q386" s="116">
        <v>596.1</v>
      </c>
      <c r="R386">
        <v>377940</v>
      </c>
    </row>
    <row r="387" spans="1:18" x14ac:dyDescent="0.25">
      <c r="A387" s="170">
        <v>45679</v>
      </c>
      <c r="B387" s="116">
        <v>570.75</v>
      </c>
      <c r="C387" s="116">
        <v>515.70000000000005</v>
      </c>
      <c r="D387" s="116">
        <v>506.05</v>
      </c>
      <c r="E387" s="116">
        <v>564</v>
      </c>
      <c r="F387" s="116">
        <v>515.70000000000005</v>
      </c>
      <c r="G387">
        <v>288098</v>
      </c>
      <c r="H387" s="116"/>
      <c r="I387" s="116"/>
      <c r="L387" s="170">
        <v>45679</v>
      </c>
      <c r="M387" s="116">
        <v>515</v>
      </c>
      <c r="N387" s="116">
        <v>570</v>
      </c>
      <c r="O387" s="116">
        <v>505.65</v>
      </c>
      <c r="P387" s="116">
        <v>561</v>
      </c>
      <c r="Q387" s="116">
        <v>515</v>
      </c>
      <c r="R387">
        <v>3064082</v>
      </c>
    </row>
    <row r="388" spans="1:18" x14ac:dyDescent="0.25">
      <c r="A388" s="170">
        <v>45680</v>
      </c>
      <c r="B388" s="116">
        <v>527.4</v>
      </c>
      <c r="C388" s="116">
        <v>512.20000000000005</v>
      </c>
      <c r="D388" s="116">
        <v>510</v>
      </c>
      <c r="E388" s="116">
        <v>525.29999999999995</v>
      </c>
      <c r="F388" s="116">
        <v>512.20000000000005</v>
      </c>
      <c r="G388">
        <v>53345</v>
      </c>
      <c r="H388" s="116"/>
      <c r="I388" s="116"/>
      <c r="L388" s="170">
        <v>45680</v>
      </c>
      <c r="M388" s="116">
        <v>512.15</v>
      </c>
      <c r="N388" s="116">
        <v>526.95000000000005</v>
      </c>
      <c r="O388" s="116">
        <v>505.65</v>
      </c>
      <c r="P388" s="116">
        <v>520</v>
      </c>
      <c r="Q388" s="116">
        <v>512.15</v>
      </c>
      <c r="R388">
        <v>518378</v>
      </c>
    </row>
    <row r="389" spans="1:18" x14ac:dyDescent="0.25">
      <c r="A389" s="170">
        <v>45681</v>
      </c>
      <c r="B389" s="116">
        <v>522.4</v>
      </c>
      <c r="C389" s="116">
        <v>497.6</v>
      </c>
      <c r="D389" s="116">
        <v>493.35</v>
      </c>
      <c r="E389" s="116">
        <v>522.4</v>
      </c>
      <c r="F389" s="116">
        <v>497.6</v>
      </c>
      <c r="G389">
        <v>78906</v>
      </c>
      <c r="H389" s="116"/>
      <c r="I389" s="116"/>
      <c r="L389" s="170">
        <v>45681</v>
      </c>
      <c r="M389" s="116">
        <v>498.7</v>
      </c>
      <c r="N389" s="116">
        <v>516.6</v>
      </c>
      <c r="O389" s="116">
        <v>495</v>
      </c>
      <c r="P389" s="116">
        <v>515</v>
      </c>
      <c r="Q389" s="116">
        <v>498.7</v>
      </c>
      <c r="R389">
        <v>486088</v>
      </c>
    </row>
    <row r="390" spans="1:18" x14ac:dyDescent="0.25">
      <c r="A390" s="170">
        <v>45684</v>
      </c>
      <c r="B390" s="116">
        <v>498.4</v>
      </c>
      <c r="C390" s="116">
        <v>483.95</v>
      </c>
      <c r="D390" s="116">
        <v>471</v>
      </c>
      <c r="E390" s="116">
        <v>498.4</v>
      </c>
      <c r="F390" s="116">
        <v>483.95</v>
      </c>
      <c r="G390">
        <v>28419</v>
      </c>
      <c r="H390" s="116"/>
      <c r="I390" s="116"/>
      <c r="L390" s="170">
        <v>45684</v>
      </c>
      <c r="M390" s="116">
        <v>484.3</v>
      </c>
      <c r="N390" s="116">
        <v>496.85</v>
      </c>
      <c r="O390" s="116">
        <v>470.55</v>
      </c>
      <c r="P390" s="116">
        <v>496.85</v>
      </c>
      <c r="Q390" s="116">
        <v>484.3</v>
      </c>
      <c r="R390">
        <v>447916</v>
      </c>
    </row>
    <row r="391" spans="1:18" x14ac:dyDescent="0.25">
      <c r="A391" s="170">
        <v>45685</v>
      </c>
      <c r="B391" s="116">
        <v>510</v>
      </c>
      <c r="C391" s="116">
        <v>500.95</v>
      </c>
      <c r="D391" s="116">
        <v>454</v>
      </c>
      <c r="E391" s="116">
        <v>484.05</v>
      </c>
      <c r="F391" s="116">
        <v>500.95</v>
      </c>
      <c r="G391">
        <v>29073</v>
      </c>
      <c r="H391" s="116"/>
      <c r="I391" s="116"/>
      <c r="L391" s="170">
        <v>45685</v>
      </c>
      <c r="M391" s="116">
        <v>498.15</v>
      </c>
      <c r="N391" s="116">
        <v>509.5</v>
      </c>
      <c r="O391" s="116">
        <v>453.3</v>
      </c>
      <c r="P391" s="116">
        <v>485</v>
      </c>
      <c r="Q391" s="116">
        <v>498.15</v>
      </c>
      <c r="R391">
        <v>887773</v>
      </c>
    </row>
    <row r="392" spans="1:18" x14ac:dyDescent="0.25">
      <c r="A392" s="170">
        <v>45686</v>
      </c>
      <c r="B392" s="116">
        <v>541.45000000000005</v>
      </c>
      <c r="C392" s="116">
        <v>519.54999999999995</v>
      </c>
      <c r="D392" s="116">
        <v>496.85</v>
      </c>
      <c r="E392" s="116">
        <v>499.95</v>
      </c>
      <c r="F392" s="116">
        <v>519.54999999999995</v>
      </c>
      <c r="G392">
        <v>67710</v>
      </c>
      <c r="H392" s="116"/>
      <c r="I392" s="116"/>
      <c r="L392" s="170">
        <v>45686</v>
      </c>
      <c r="M392" s="116">
        <v>520</v>
      </c>
      <c r="N392" s="116">
        <v>542.4</v>
      </c>
      <c r="O392" s="116">
        <v>497</v>
      </c>
      <c r="P392" s="116">
        <v>497</v>
      </c>
      <c r="Q392" s="116">
        <v>520</v>
      </c>
      <c r="R392">
        <v>496384</v>
      </c>
    </row>
    <row r="393" spans="1:18" x14ac:dyDescent="0.25">
      <c r="A393" s="170">
        <v>45687</v>
      </c>
      <c r="B393" s="116">
        <v>533.95000000000005</v>
      </c>
      <c r="C393" s="116">
        <v>495.15</v>
      </c>
      <c r="D393" s="116">
        <v>491.1</v>
      </c>
      <c r="E393" s="116">
        <v>533.95000000000005</v>
      </c>
      <c r="F393" s="116">
        <v>495.15</v>
      </c>
      <c r="G393">
        <v>16651</v>
      </c>
      <c r="H393" s="116"/>
      <c r="I393" s="116"/>
      <c r="L393" s="170">
        <v>45687</v>
      </c>
      <c r="M393" s="116">
        <v>494.4</v>
      </c>
      <c r="N393" s="116">
        <v>526.45000000000005</v>
      </c>
      <c r="O393" s="116">
        <v>491</v>
      </c>
      <c r="P393" s="116">
        <v>525</v>
      </c>
      <c r="Q393" s="116">
        <v>494.4</v>
      </c>
      <c r="R393">
        <v>273707</v>
      </c>
    </row>
    <row r="394" spans="1:18" x14ac:dyDescent="0.25">
      <c r="A394" s="170">
        <v>45688</v>
      </c>
      <c r="B394" s="116">
        <v>504.15</v>
      </c>
      <c r="C394" s="116">
        <v>488.5</v>
      </c>
      <c r="D394" s="116">
        <v>486.55</v>
      </c>
      <c r="E394" s="116">
        <v>504.15</v>
      </c>
      <c r="F394" s="116">
        <v>488.5</v>
      </c>
      <c r="G394">
        <v>27390</v>
      </c>
      <c r="H394" s="116"/>
      <c r="I394" s="116"/>
      <c r="L394" s="170">
        <v>45688</v>
      </c>
      <c r="M394" s="116">
        <v>488.15</v>
      </c>
      <c r="N394" s="116">
        <v>503.8</v>
      </c>
      <c r="O394" s="116">
        <v>486.4</v>
      </c>
      <c r="P394" s="116">
        <v>497.95</v>
      </c>
      <c r="Q394" s="116">
        <v>488.15</v>
      </c>
      <c r="R394">
        <v>247813</v>
      </c>
    </row>
    <row r="395" spans="1:18" x14ac:dyDescent="0.25">
      <c r="A395" s="170">
        <v>45689</v>
      </c>
      <c r="B395" s="116">
        <v>504</v>
      </c>
      <c r="C395" s="116">
        <v>493.4</v>
      </c>
      <c r="D395" s="116">
        <v>488</v>
      </c>
      <c r="E395" s="116">
        <v>496.4</v>
      </c>
      <c r="F395" s="116">
        <v>493.4</v>
      </c>
      <c r="G395">
        <v>22278</v>
      </c>
      <c r="H395" s="116"/>
      <c r="I395" s="116"/>
      <c r="L395" s="170">
        <v>45689</v>
      </c>
      <c r="M395" s="116">
        <v>494.15</v>
      </c>
      <c r="N395" s="116">
        <v>504.05</v>
      </c>
      <c r="O395" s="116">
        <v>487.25</v>
      </c>
      <c r="P395" s="116">
        <v>491.9</v>
      </c>
      <c r="Q395" s="116">
        <v>494.15</v>
      </c>
      <c r="R395">
        <v>146479</v>
      </c>
    </row>
    <row r="396" spans="1:18" x14ac:dyDescent="0.25">
      <c r="A396" s="170">
        <v>45691</v>
      </c>
      <c r="B396" s="116">
        <v>503.25</v>
      </c>
      <c r="C396" s="116">
        <v>483.5</v>
      </c>
      <c r="D396" s="116">
        <v>478</v>
      </c>
      <c r="E396" s="116">
        <v>503.25</v>
      </c>
      <c r="F396" s="116">
        <v>483.5</v>
      </c>
      <c r="G396">
        <v>19063</v>
      </c>
      <c r="H396" s="116"/>
      <c r="I396" s="116"/>
      <c r="L396" s="170">
        <v>45691</v>
      </c>
      <c r="M396" s="116">
        <v>481.05</v>
      </c>
      <c r="N396" s="116">
        <v>498</v>
      </c>
      <c r="O396" s="116">
        <v>477</v>
      </c>
      <c r="P396" s="116">
        <v>489</v>
      </c>
      <c r="Q396" s="116">
        <v>481.05</v>
      </c>
      <c r="R396">
        <v>158856</v>
      </c>
    </row>
    <row r="397" spans="1:18" x14ac:dyDescent="0.25">
      <c r="A397" s="170">
        <v>45692</v>
      </c>
      <c r="B397" s="116">
        <v>493.2</v>
      </c>
      <c r="C397" s="116">
        <v>475.4</v>
      </c>
      <c r="D397" s="116">
        <v>473.5</v>
      </c>
      <c r="E397" s="116">
        <v>493.2</v>
      </c>
      <c r="F397" s="116">
        <v>475.4</v>
      </c>
      <c r="G397">
        <v>21199</v>
      </c>
      <c r="H397" s="116"/>
      <c r="I397" s="116"/>
      <c r="L397" s="170">
        <v>45692</v>
      </c>
      <c r="M397" s="116">
        <v>475.25</v>
      </c>
      <c r="N397" s="116">
        <v>488</v>
      </c>
      <c r="O397" s="116">
        <v>473.5</v>
      </c>
      <c r="P397" s="116">
        <v>485.9</v>
      </c>
      <c r="Q397" s="116">
        <v>475.25</v>
      </c>
      <c r="R397">
        <v>124507</v>
      </c>
    </row>
    <row r="398" spans="1:18" x14ac:dyDescent="0.25">
      <c r="A398" s="170">
        <v>45693</v>
      </c>
      <c r="B398" s="116">
        <v>488</v>
      </c>
      <c r="C398" s="116">
        <v>469.65</v>
      </c>
      <c r="D398" s="116">
        <v>468.4</v>
      </c>
      <c r="E398" s="116">
        <v>479.8</v>
      </c>
      <c r="F398" s="116">
        <v>469.65</v>
      </c>
      <c r="G398">
        <v>37059</v>
      </c>
      <c r="H398" s="116"/>
      <c r="I398" s="116"/>
      <c r="L398" s="170">
        <v>45693</v>
      </c>
      <c r="M398" s="116">
        <v>469.25</v>
      </c>
      <c r="N398" s="116">
        <v>488.1</v>
      </c>
      <c r="O398" s="116">
        <v>468</v>
      </c>
      <c r="P398" s="116">
        <v>478</v>
      </c>
      <c r="Q398" s="116">
        <v>469.25</v>
      </c>
      <c r="R398">
        <v>328525</v>
      </c>
    </row>
    <row r="399" spans="1:18" x14ac:dyDescent="0.25">
      <c r="A399" s="170">
        <v>45694</v>
      </c>
      <c r="B399" s="116">
        <v>475</v>
      </c>
      <c r="C399" s="116">
        <v>457.5</v>
      </c>
      <c r="D399" s="116">
        <v>456.7</v>
      </c>
      <c r="E399" s="116">
        <v>475</v>
      </c>
      <c r="F399" s="116">
        <v>457.5</v>
      </c>
      <c r="G399">
        <v>29836</v>
      </c>
      <c r="H399" s="116"/>
      <c r="I399" s="116"/>
      <c r="L399" s="170">
        <v>45694</v>
      </c>
      <c r="M399" s="116">
        <v>457.65</v>
      </c>
      <c r="N399" s="116">
        <v>473.6</v>
      </c>
      <c r="O399" s="116">
        <v>455.15</v>
      </c>
      <c r="P399" s="116">
        <v>471.95</v>
      </c>
      <c r="Q399" s="116">
        <v>457.65</v>
      </c>
      <c r="R399">
        <v>329783</v>
      </c>
    </row>
    <row r="400" spans="1:18" x14ac:dyDescent="0.25">
      <c r="A400" s="170">
        <v>45695</v>
      </c>
      <c r="B400" s="116">
        <v>459.85</v>
      </c>
      <c r="C400" s="116">
        <v>451.1</v>
      </c>
      <c r="D400" s="116">
        <v>440.1</v>
      </c>
      <c r="E400" s="116">
        <v>457.65</v>
      </c>
      <c r="F400" s="116">
        <v>451.1</v>
      </c>
      <c r="G400">
        <v>17092</v>
      </c>
      <c r="H400" s="116"/>
      <c r="I400" s="116"/>
      <c r="L400" s="170">
        <v>45695</v>
      </c>
      <c r="M400" s="116">
        <v>451.25</v>
      </c>
      <c r="N400" s="116">
        <v>460.05</v>
      </c>
      <c r="O400" s="116">
        <v>440</v>
      </c>
      <c r="P400" s="116">
        <v>457.65</v>
      </c>
      <c r="Q400" s="116">
        <v>451.25</v>
      </c>
      <c r="R400">
        <v>534662</v>
      </c>
    </row>
    <row r="401" spans="1:18" x14ac:dyDescent="0.25">
      <c r="A401" s="170">
        <v>45698</v>
      </c>
      <c r="B401" s="116">
        <v>472.55</v>
      </c>
      <c r="C401" s="116">
        <v>439.45</v>
      </c>
      <c r="D401" s="116">
        <v>436.65</v>
      </c>
      <c r="E401" s="116">
        <v>472.55</v>
      </c>
      <c r="F401" s="116">
        <v>439.45</v>
      </c>
      <c r="G401">
        <v>12041</v>
      </c>
      <c r="H401" s="116"/>
      <c r="I401" s="116"/>
      <c r="L401" s="170">
        <v>45698</v>
      </c>
      <c r="M401" s="116">
        <v>439.85</v>
      </c>
      <c r="N401" s="116">
        <v>455</v>
      </c>
      <c r="O401" s="116">
        <v>436</v>
      </c>
      <c r="P401" s="116">
        <v>451.2</v>
      </c>
      <c r="Q401" s="116">
        <v>439.85</v>
      </c>
      <c r="R401">
        <v>319450</v>
      </c>
    </row>
    <row r="402" spans="1:18" x14ac:dyDescent="0.25">
      <c r="A402" s="170">
        <v>45699</v>
      </c>
      <c r="B402" s="116">
        <v>444.95</v>
      </c>
      <c r="C402" s="116">
        <v>422.7</v>
      </c>
      <c r="D402" s="116">
        <v>414.25</v>
      </c>
      <c r="E402" s="116">
        <v>444.95</v>
      </c>
      <c r="F402" s="116">
        <v>422.7</v>
      </c>
      <c r="G402">
        <v>21205</v>
      </c>
      <c r="H402" s="116"/>
      <c r="I402" s="116"/>
      <c r="L402" s="170">
        <v>45699</v>
      </c>
      <c r="M402" s="116">
        <v>421.95</v>
      </c>
      <c r="N402" s="116">
        <v>442.95</v>
      </c>
      <c r="O402" s="116">
        <v>413.85</v>
      </c>
      <c r="P402" s="116">
        <v>441.6</v>
      </c>
      <c r="Q402" s="116">
        <v>421.95</v>
      </c>
      <c r="R402">
        <v>619204</v>
      </c>
    </row>
    <row r="403" spans="1:18" x14ac:dyDescent="0.25">
      <c r="A403" s="170">
        <v>45700</v>
      </c>
      <c r="B403" s="116">
        <v>442.95</v>
      </c>
      <c r="C403" s="116">
        <v>439.15</v>
      </c>
      <c r="D403" s="116">
        <v>420.7</v>
      </c>
      <c r="E403" s="116">
        <v>430.4</v>
      </c>
      <c r="F403" s="116">
        <v>439.15</v>
      </c>
      <c r="G403">
        <v>53542</v>
      </c>
      <c r="H403" s="116"/>
      <c r="I403" s="116"/>
      <c r="L403" s="170">
        <v>45700</v>
      </c>
      <c r="M403" s="116">
        <v>438.7</v>
      </c>
      <c r="N403" s="116">
        <v>442.8</v>
      </c>
      <c r="O403" s="116">
        <v>421</v>
      </c>
      <c r="P403" s="116">
        <v>430</v>
      </c>
      <c r="Q403" s="116">
        <v>438.7</v>
      </c>
      <c r="R403">
        <v>506953</v>
      </c>
    </row>
    <row r="404" spans="1:18" x14ac:dyDescent="0.25">
      <c r="A404" s="170">
        <v>45701</v>
      </c>
      <c r="B404" s="116">
        <v>449.7</v>
      </c>
      <c r="C404" s="116">
        <v>430.45</v>
      </c>
      <c r="D404" s="116">
        <v>429.2</v>
      </c>
      <c r="E404" s="116">
        <v>447.55</v>
      </c>
      <c r="F404" s="116">
        <v>430.45</v>
      </c>
      <c r="G404">
        <v>28289</v>
      </c>
      <c r="H404" s="116"/>
      <c r="I404" s="116"/>
      <c r="L404" s="170">
        <v>45701</v>
      </c>
      <c r="M404" s="116">
        <v>430.7</v>
      </c>
      <c r="N404" s="116">
        <v>452.7</v>
      </c>
      <c r="O404" s="116">
        <v>429.1</v>
      </c>
      <c r="P404" s="116">
        <v>452.7</v>
      </c>
      <c r="Q404" s="116">
        <v>430.7</v>
      </c>
      <c r="R404">
        <v>771583</v>
      </c>
    </row>
    <row r="405" spans="1:18" x14ac:dyDescent="0.25">
      <c r="A405" s="170">
        <v>45702</v>
      </c>
      <c r="B405" s="116">
        <v>448</v>
      </c>
      <c r="C405" s="116">
        <v>432.95</v>
      </c>
      <c r="D405" s="116">
        <v>417</v>
      </c>
      <c r="E405" s="116">
        <v>448</v>
      </c>
      <c r="F405" s="116">
        <v>432.95</v>
      </c>
      <c r="G405">
        <v>29426</v>
      </c>
      <c r="H405" s="116"/>
      <c r="I405" s="116"/>
      <c r="L405" s="170">
        <v>45702</v>
      </c>
      <c r="M405" s="116">
        <v>434.3</v>
      </c>
      <c r="N405" s="116">
        <v>439.65</v>
      </c>
      <c r="O405" s="116">
        <v>416.8</v>
      </c>
      <c r="P405" s="116">
        <v>437.2</v>
      </c>
      <c r="Q405" s="116">
        <v>434.3</v>
      </c>
      <c r="R405">
        <v>172884</v>
      </c>
    </row>
    <row r="406" spans="1:18" x14ac:dyDescent="0.25">
      <c r="A406" s="170">
        <v>45705</v>
      </c>
      <c r="B406" s="116">
        <v>435</v>
      </c>
      <c r="C406" s="116">
        <v>421.4</v>
      </c>
      <c r="D406" s="116">
        <v>416.4</v>
      </c>
      <c r="E406" s="116">
        <v>435</v>
      </c>
      <c r="F406" s="116">
        <v>421.4</v>
      </c>
      <c r="G406">
        <v>22505</v>
      </c>
      <c r="H406" s="116"/>
      <c r="I406" s="116"/>
      <c r="L406" s="170">
        <v>45705</v>
      </c>
      <c r="M406" s="116">
        <v>421.15</v>
      </c>
      <c r="N406" s="116">
        <v>434.3</v>
      </c>
      <c r="O406" s="116">
        <v>416.6</v>
      </c>
      <c r="P406" s="116">
        <v>434</v>
      </c>
      <c r="Q406" s="116">
        <v>421.15</v>
      </c>
      <c r="R406">
        <v>1043357</v>
      </c>
    </row>
    <row r="407" spans="1:18" x14ac:dyDescent="0.25">
      <c r="A407" s="170">
        <v>45706</v>
      </c>
      <c r="B407" s="116">
        <v>427.85</v>
      </c>
      <c r="C407" s="116">
        <v>404.65</v>
      </c>
      <c r="D407" s="116">
        <v>401.9</v>
      </c>
      <c r="E407" s="116">
        <v>422</v>
      </c>
      <c r="F407" s="116">
        <v>404.65</v>
      </c>
      <c r="G407">
        <v>51711</v>
      </c>
      <c r="H407" s="116"/>
      <c r="I407" s="116"/>
      <c r="L407" s="170">
        <v>45706</v>
      </c>
      <c r="M407" s="116">
        <v>404.95</v>
      </c>
      <c r="N407" s="116">
        <v>428.05</v>
      </c>
      <c r="O407" s="116">
        <v>402.5</v>
      </c>
      <c r="P407" s="116">
        <v>421.15</v>
      </c>
      <c r="Q407" s="116">
        <v>404.95</v>
      </c>
      <c r="R407">
        <v>404406</v>
      </c>
    </row>
    <row r="408" spans="1:18" x14ac:dyDescent="0.25">
      <c r="A408" s="170">
        <v>45707</v>
      </c>
      <c r="B408" s="116">
        <v>414</v>
      </c>
      <c r="C408" s="116">
        <v>412.9</v>
      </c>
      <c r="D408" s="116">
        <v>403</v>
      </c>
      <c r="E408" s="116">
        <v>406.85</v>
      </c>
      <c r="F408" s="116">
        <v>412.9</v>
      </c>
      <c r="G408">
        <v>17249</v>
      </c>
      <c r="H408" s="116"/>
      <c r="I408" s="116"/>
      <c r="L408" s="170">
        <v>45707</v>
      </c>
      <c r="M408" s="116">
        <v>412.85</v>
      </c>
      <c r="N408" s="116">
        <v>414.1</v>
      </c>
      <c r="O408" s="116">
        <v>403.25</v>
      </c>
      <c r="P408" s="116">
        <v>405.35</v>
      </c>
      <c r="Q408" s="116">
        <v>412.85</v>
      </c>
      <c r="R408">
        <v>284358</v>
      </c>
    </row>
    <row r="409" spans="1:18" x14ac:dyDescent="0.25">
      <c r="A409" s="170">
        <v>45708</v>
      </c>
      <c r="B409" s="116">
        <v>429.15</v>
      </c>
      <c r="C409" s="116">
        <v>424.35</v>
      </c>
      <c r="D409" s="116">
        <v>410.7</v>
      </c>
      <c r="E409" s="116">
        <v>413.05</v>
      </c>
      <c r="F409" s="116">
        <v>424.35</v>
      </c>
      <c r="G409">
        <v>27189</v>
      </c>
      <c r="H409" s="116"/>
      <c r="I409" s="116"/>
      <c r="L409" s="170">
        <v>45708</v>
      </c>
      <c r="M409" s="116">
        <v>423.85</v>
      </c>
      <c r="N409" s="116">
        <v>429</v>
      </c>
      <c r="O409" s="116">
        <v>410.65</v>
      </c>
      <c r="P409" s="116">
        <v>413.95</v>
      </c>
      <c r="Q409" s="116">
        <v>423.85</v>
      </c>
      <c r="R409">
        <v>220397</v>
      </c>
    </row>
    <row r="410" spans="1:18" x14ac:dyDescent="0.25">
      <c r="A410" s="170">
        <v>45709</v>
      </c>
      <c r="B410" s="116">
        <v>445</v>
      </c>
      <c r="C410" s="116">
        <v>430.35</v>
      </c>
      <c r="D410" s="116">
        <v>426.1</v>
      </c>
      <c r="E410" s="116">
        <v>435</v>
      </c>
      <c r="F410" s="116">
        <v>430.35</v>
      </c>
      <c r="G410">
        <v>44181</v>
      </c>
      <c r="H410" s="116"/>
      <c r="I410" s="116"/>
      <c r="L410" s="170">
        <v>45709</v>
      </c>
      <c r="M410" s="116">
        <v>430.6</v>
      </c>
      <c r="N410" s="116">
        <v>444.9</v>
      </c>
      <c r="O410" s="116">
        <v>426.1</v>
      </c>
      <c r="P410" s="116">
        <v>436.65</v>
      </c>
      <c r="Q410" s="116">
        <v>430.6</v>
      </c>
      <c r="R410">
        <v>316605</v>
      </c>
    </row>
    <row r="411" spans="1:18" x14ac:dyDescent="0.25">
      <c r="A411" s="170">
        <v>45712</v>
      </c>
      <c r="B411" s="116">
        <v>432</v>
      </c>
      <c r="C411" s="116">
        <v>418.1</v>
      </c>
      <c r="D411" s="116">
        <v>416</v>
      </c>
      <c r="E411" s="116">
        <v>432</v>
      </c>
      <c r="F411" s="116">
        <v>418.1</v>
      </c>
      <c r="G411">
        <v>9326</v>
      </c>
      <c r="H411" s="116"/>
      <c r="I411" s="116"/>
      <c r="L411" s="170">
        <v>45712</v>
      </c>
      <c r="M411" s="116">
        <v>418.25</v>
      </c>
      <c r="N411" s="116">
        <v>431</v>
      </c>
      <c r="O411" s="116">
        <v>415.1</v>
      </c>
      <c r="P411" s="116">
        <v>430.8</v>
      </c>
      <c r="Q411" s="116">
        <v>418.25</v>
      </c>
      <c r="R411">
        <v>196278</v>
      </c>
    </row>
    <row r="412" spans="1:18" x14ac:dyDescent="0.25">
      <c r="A412" s="170">
        <v>45713</v>
      </c>
      <c r="B412" s="116">
        <v>423.3</v>
      </c>
      <c r="C412" s="116">
        <v>413.25</v>
      </c>
      <c r="D412" s="116">
        <v>409.5</v>
      </c>
      <c r="E412" s="116">
        <v>420.85</v>
      </c>
      <c r="F412" s="116">
        <v>413.25</v>
      </c>
      <c r="G412">
        <v>16175</v>
      </c>
      <c r="H412" s="116"/>
      <c r="I412" s="116"/>
      <c r="L412" s="170">
        <v>45713</v>
      </c>
      <c r="M412" s="116">
        <v>412</v>
      </c>
      <c r="N412" s="116">
        <v>424</v>
      </c>
      <c r="O412" s="116">
        <v>409</v>
      </c>
      <c r="P412" s="116">
        <v>418.35</v>
      </c>
      <c r="Q412" s="116">
        <v>412</v>
      </c>
      <c r="R412">
        <v>174058</v>
      </c>
    </row>
    <row r="413" spans="1:18" x14ac:dyDescent="0.25">
      <c r="A413" s="170">
        <v>45715</v>
      </c>
      <c r="B413" s="116">
        <v>418</v>
      </c>
      <c r="C413" s="116">
        <v>408.25</v>
      </c>
      <c r="D413" s="116">
        <v>399.75</v>
      </c>
      <c r="E413" s="116">
        <v>418</v>
      </c>
      <c r="F413" s="116">
        <v>408.25</v>
      </c>
      <c r="G413">
        <v>29864</v>
      </c>
      <c r="H413" s="116"/>
      <c r="I413" s="116"/>
      <c r="L413" s="170">
        <v>45715</v>
      </c>
      <c r="M413" s="116">
        <v>408.4</v>
      </c>
      <c r="N413" s="116">
        <v>415.25</v>
      </c>
      <c r="O413" s="116">
        <v>399.7</v>
      </c>
      <c r="P413" s="116">
        <v>413.15</v>
      </c>
      <c r="Q413" s="116">
        <v>408.4</v>
      </c>
      <c r="R413">
        <v>231570</v>
      </c>
    </row>
    <row r="414" spans="1:18" x14ac:dyDescent="0.25">
      <c r="A414" s="170">
        <v>45716</v>
      </c>
      <c r="B414" s="116">
        <v>408.4</v>
      </c>
      <c r="C414" s="116">
        <v>402.45</v>
      </c>
      <c r="D414" s="116">
        <v>391.4</v>
      </c>
      <c r="E414" s="116">
        <v>408.4</v>
      </c>
      <c r="F414" s="116">
        <v>402.45</v>
      </c>
      <c r="G414">
        <v>16018</v>
      </c>
      <c r="H414" s="116"/>
      <c r="I414" s="116"/>
      <c r="L414" s="170">
        <v>45716</v>
      </c>
      <c r="M414" s="116">
        <v>402.85</v>
      </c>
      <c r="N414" s="116">
        <v>407.85</v>
      </c>
      <c r="O414" s="116">
        <v>391.2</v>
      </c>
      <c r="P414" s="116">
        <v>407.85</v>
      </c>
      <c r="Q414" s="116">
        <v>402.85</v>
      </c>
      <c r="R414">
        <v>300353</v>
      </c>
    </row>
    <row r="415" spans="1:18" x14ac:dyDescent="0.25">
      <c r="A415" s="170">
        <v>45719</v>
      </c>
      <c r="B415" s="116">
        <v>405</v>
      </c>
      <c r="C415" s="116">
        <v>392.75</v>
      </c>
      <c r="D415" s="116">
        <v>380.5</v>
      </c>
      <c r="E415" s="116">
        <v>405</v>
      </c>
      <c r="F415" s="116">
        <v>392.75</v>
      </c>
      <c r="G415">
        <v>19998</v>
      </c>
      <c r="H415" s="116"/>
      <c r="I415" s="116"/>
      <c r="L415" s="170">
        <v>45719</v>
      </c>
      <c r="M415" s="116">
        <v>392.8</v>
      </c>
      <c r="N415" s="116">
        <v>405</v>
      </c>
      <c r="O415" s="116">
        <v>381</v>
      </c>
      <c r="P415" s="116">
        <v>402.8</v>
      </c>
      <c r="Q415" s="116">
        <v>392.8</v>
      </c>
      <c r="R415">
        <v>341867</v>
      </c>
    </row>
    <row r="416" spans="1:18" x14ac:dyDescent="0.25">
      <c r="A416" s="170">
        <v>45720</v>
      </c>
      <c r="B416" s="116">
        <v>403.5</v>
      </c>
      <c r="C416" s="116">
        <v>401.3</v>
      </c>
      <c r="D416" s="116">
        <v>385.95</v>
      </c>
      <c r="E416" s="116">
        <v>387.1</v>
      </c>
      <c r="F416" s="116">
        <v>401.3</v>
      </c>
      <c r="G416">
        <v>17158</v>
      </c>
      <c r="H416" s="116"/>
      <c r="I416" s="116"/>
      <c r="L416" s="170">
        <v>45720</v>
      </c>
      <c r="M416" s="116">
        <v>401</v>
      </c>
      <c r="N416" s="116">
        <v>402.9</v>
      </c>
      <c r="O416" s="116">
        <v>385.05</v>
      </c>
      <c r="P416" s="116">
        <v>385.05</v>
      </c>
      <c r="Q416" s="116">
        <v>401</v>
      </c>
      <c r="R416">
        <v>243055</v>
      </c>
    </row>
    <row r="417" spans="1:18" x14ac:dyDescent="0.25">
      <c r="A417" s="170">
        <v>45721</v>
      </c>
      <c r="B417" s="116">
        <v>412</v>
      </c>
      <c r="C417" s="116">
        <v>407.8</v>
      </c>
      <c r="D417" s="116">
        <v>400.9</v>
      </c>
      <c r="E417" s="116">
        <v>401.5</v>
      </c>
      <c r="F417" s="116">
        <v>407.8</v>
      </c>
      <c r="G417">
        <v>23315</v>
      </c>
      <c r="H417" s="116"/>
      <c r="I417" s="116"/>
      <c r="L417" s="170">
        <v>45721</v>
      </c>
      <c r="M417" s="116">
        <v>407.4</v>
      </c>
      <c r="N417" s="116">
        <v>412.15</v>
      </c>
      <c r="O417" s="116">
        <v>400.05</v>
      </c>
      <c r="P417" s="116">
        <v>405</v>
      </c>
      <c r="Q417" s="116">
        <v>407.4</v>
      </c>
      <c r="R417">
        <v>170995</v>
      </c>
    </row>
    <row r="418" spans="1:18" x14ac:dyDescent="0.25">
      <c r="A418" s="170">
        <v>45722</v>
      </c>
      <c r="B418" s="116">
        <v>420.1</v>
      </c>
      <c r="C418" s="116">
        <v>414.6</v>
      </c>
      <c r="D418" s="116">
        <v>408.1</v>
      </c>
      <c r="E418" s="116">
        <v>411.8</v>
      </c>
      <c r="F418" s="116">
        <v>414.6</v>
      </c>
      <c r="G418">
        <v>28685</v>
      </c>
      <c r="H418" s="116"/>
      <c r="I418" s="116"/>
      <c r="L418" s="170">
        <v>45722</v>
      </c>
      <c r="M418" s="116">
        <v>414.7</v>
      </c>
      <c r="N418" s="116">
        <v>420.5</v>
      </c>
      <c r="O418" s="116">
        <v>408.25</v>
      </c>
      <c r="P418" s="116">
        <v>411.8</v>
      </c>
      <c r="Q418" s="116">
        <v>414.7</v>
      </c>
      <c r="R418">
        <v>214955</v>
      </c>
    </row>
    <row r="419" spans="1:18" x14ac:dyDescent="0.25">
      <c r="A419" s="170">
        <v>45723</v>
      </c>
      <c r="B419" s="116">
        <v>433.55</v>
      </c>
      <c r="C419" s="116">
        <v>428.95</v>
      </c>
      <c r="D419" s="116">
        <v>414.05</v>
      </c>
      <c r="E419" s="116">
        <v>421.55</v>
      </c>
      <c r="F419" s="116">
        <v>428.95</v>
      </c>
      <c r="G419">
        <v>13362</v>
      </c>
      <c r="H419" s="116"/>
      <c r="I419" s="116"/>
      <c r="L419" s="170">
        <v>45723</v>
      </c>
      <c r="M419" s="116">
        <v>428.9</v>
      </c>
      <c r="N419" s="116">
        <v>433.35</v>
      </c>
      <c r="O419" s="116">
        <v>413.15</v>
      </c>
      <c r="P419" s="116">
        <v>416.95</v>
      </c>
      <c r="Q419" s="116">
        <v>428.9</v>
      </c>
      <c r="R419">
        <v>261324</v>
      </c>
    </row>
    <row r="420" spans="1:18" x14ac:dyDescent="0.25">
      <c r="A420" s="170">
        <v>45726</v>
      </c>
      <c r="B420" s="116">
        <v>430.55</v>
      </c>
      <c r="C420" s="116">
        <v>412.2</v>
      </c>
      <c r="D420" s="116">
        <v>403.8</v>
      </c>
      <c r="E420" s="116">
        <v>428.05</v>
      </c>
      <c r="F420" s="116">
        <v>412.2</v>
      </c>
      <c r="G420">
        <v>32449</v>
      </c>
      <c r="H420" s="116"/>
      <c r="I420" s="116"/>
      <c r="L420" s="170">
        <v>45726</v>
      </c>
      <c r="M420" s="116">
        <v>412</v>
      </c>
      <c r="N420" s="116">
        <v>433.95</v>
      </c>
      <c r="O420" s="116">
        <v>408.55</v>
      </c>
      <c r="P420" s="116">
        <v>429</v>
      </c>
      <c r="Q420" s="116">
        <v>412</v>
      </c>
      <c r="R420">
        <v>175091</v>
      </c>
    </row>
    <row r="421" spans="1:18" x14ac:dyDescent="0.25">
      <c r="A421" s="170">
        <v>45727</v>
      </c>
      <c r="B421" s="116">
        <v>413.7</v>
      </c>
      <c r="C421" s="116">
        <v>406.85</v>
      </c>
      <c r="D421" s="116">
        <v>400</v>
      </c>
      <c r="E421" s="116">
        <v>403.95</v>
      </c>
      <c r="F421" s="116">
        <v>406.85</v>
      </c>
      <c r="G421">
        <v>43000</v>
      </c>
      <c r="H421" s="116"/>
      <c r="I421" s="116"/>
      <c r="L421" s="170">
        <v>45727</v>
      </c>
      <c r="M421" s="116">
        <v>407.2</v>
      </c>
      <c r="N421" s="116">
        <v>414.2</v>
      </c>
      <c r="O421" s="116">
        <v>400.6</v>
      </c>
      <c r="P421" s="116">
        <v>403.3</v>
      </c>
      <c r="Q421" s="116">
        <v>407.2</v>
      </c>
      <c r="R421">
        <v>191792</v>
      </c>
    </row>
    <row r="422" spans="1:18" x14ac:dyDescent="0.25">
      <c r="A422" s="170">
        <v>45728</v>
      </c>
      <c r="B422" s="116">
        <v>419.85</v>
      </c>
      <c r="C422" s="116">
        <v>408.15</v>
      </c>
      <c r="D422" s="116">
        <v>406.1</v>
      </c>
      <c r="E422" s="116">
        <v>414.8</v>
      </c>
      <c r="F422" s="116">
        <v>408.15</v>
      </c>
      <c r="G422">
        <v>10411</v>
      </c>
      <c r="H422" s="116"/>
      <c r="I422" s="116"/>
      <c r="L422" s="170">
        <v>45728</v>
      </c>
      <c r="M422" s="116">
        <v>408.55</v>
      </c>
      <c r="N422" s="116">
        <v>419.8</v>
      </c>
      <c r="O422" s="116">
        <v>405.95</v>
      </c>
      <c r="P422" s="116">
        <v>409.9</v>
      </c>
      <c r="Q422" s="116">
        <v>408.55</v>
      </c>
      <c r="R422">
        <v>182931</v>
      </c>
    </row>
    <row r="423" spans="1:18" x14ac:dyDescent="0.25">
      <c r="A423" s="170">
        <v>45729</v>
      </c>
      <c r="B423" s="116">
        <v>414.8</v>
      </c>
      <c r="C423" s="116">
        <v>401.1</v>
      </c>
      <c r="D423" s="116">
        <v>400.5</v>
      </c>
      <c r="E423" s="116">
        <v>408.55</v>
      </c>
      <c r="F423" s="116">
        <v>401.1</v>
      </c>
      <c r="G423">
        <v>10578</v>
      </c>
      <c r="H423" s="116"/>
      <c r="I423" s="116"/>
      <c r="L423" s="170">
        <v>45729</v>
      </c>
      <c r="M423" s="116">
        <v>400.85</v>
      </c>
      <c r="N423" s="116">
        <v>414</v>
      </c>
      <c r="O423" s="116">
        <v>400</v>
      </c>
      <c r="P423" s="116">
        <v>413.8</v>
      </c>
      <c r="Q423" s="116">
        <v>400.85</v>
      </c>
      <c r="R423">
        <v>164798</v>
      </c>
    </row>
    <row r="424" spans="1:18" x14ac:dyDescent="0.25">
      <c r="A424" s="170">
        <v>45733</v>
      </c>
      <c r="B424" s="116">
        <v>403.15</v>
      </c>
      <c r="C424" s="116">
        <v>392.75</v>
      </c>
      <c r="D424" s="116">
        <v>389</v>
      </c>
      <c r="E424" s="116">
        <v>401.5</v>
      </c>
      <c r="F424" s="116">
        <v>392.75</v>
      </c>
      <c r="G424">
        <v>36475</v>
      </c>
      <c r="H424" s="116"/>
      <c r="I424" s="116"/>
      <c r="L424" s="170">
        <v>45733</v>
      </c>
      <c r="M424" s="116">
        <v>392.4</v>
      </c>
      <c r="N424" s="116">
        <v>403.75</v>
      </c>
      <c r="O424" s="116">
        <v>389</v>
      </c>
      <c r="P424" s="116">
        <v>403.75</v>
      </c>
      <c r="Q424" s="116">
        <v>392.4</v>
      </c>
      <c r="R424">
        <v>290747</v>
      </c>
    </row>
    <row r="425" spans="1:18" x14ac:dyDescent="0.25">
      <c r="A425" s="170">
        <v>45734</v>
      </c>
      <c r="B425" s="116">
        <v>404.25</v>
      </c>
      <c r="C425" s="116">
        <v>403.05</v>
      </c>
      <c r="D425" s="116">
        <v>392.75</v>
      </c>
      <c r="E425" s="116">
        <v>399.95</v>
      </c>
      <c r="F425" s="116">
        <v>403.05</v>
      </c>
      <c r="G425">
        <v>22755</v>
      </c>
      <c r="H425" s="116"/>
      <c r="I425" s="116"/>
      <c r="L425" s="170">
        <v>45734</v>
      </c>
      <c r="M425" s="116">
        <v>402.8</v>
      </c>
      <c r="N425" s="116">
        <v>404.2</v>
      </c>
      <c r="O425" s="116">
        <v>392.75</v>
      </c>
      <c r="P425" s="116">
        <v>395.85</v>
      </c>
      <c r="Q425" s="116">
        <v>402.8</v>
      </c>
      <c r="R425">
        <v>170094</v>
      </c>
    </row>
    <row r="426" spans="1:18" x14ac:dyDescent="0.25">
      <c r="A426" s="170">
        <v>45735</v>
      </c>
      <c r="B426" s="116">
        <v>414</v>
      </c>
      <c r="C426" s="116">
        <v>412.45</v>
      </c>
      <c r="D426" s="116">
        <v>404.35</v>
      </c>
      <c r="E426" s="116">
        <v>405.8</v>
      </c>
      <c r="F426" s="116">
        <v>412.45</v>
      </c>
      <c r="G426">
        <v>31873</v>
      </c>
      <c r="H426" s="116"/>
      <c r="I426" s="116"/>
      <c r="L426" s="170">
        <v>45735</v>
      </c>
      <c r="M426" s="116">
        <v>412.9</v>
      </c>
      <c r="N426" s="116">
        <v>414.25</v>
      </c>
      <c r="O426" s="116">
        <v>404.5</v>
      </c>
      <c r="P426" s="116">
        <v>404.8</v>
      </c>
      <c r="Q426" s="116">
        <v>412.9</v>
      </c>
      <c r="R426">
        <v>182777</v>
      </c>
    </row>
    <row r="427" spans="1:18" x14ac:dyDescent="0.25">
      <c r="A427" s="170">
        <v>45736</v>
      </c>
      <c r="B427" s="116">
        <v>422</v>
      </c>
      <c r="C427" s="116">
        <v>410.65</v>
      </c>
      <c r="D427" s="116">
        <v>408.9</v>
      </c>
      <c r="E427" s="116">
        <v>420.95</v>
      </c>
      <c r="F427" s="116">
        <v>410.65</v>
      </c>
      <c r="G427">
        <v>13009</v>
      </c>
      <c r="H427" s="116"/>
      <c r="I427" s="116"/>
      <c r="L427" s="170">
        <v>45736</v>
      </c>
      <c r="M427" s="116">
        <v>410.4</v>
      </c>
      <c r="N427" s="116">
        <v>423</v>
      </c>
      <c r="O427" s="116">
        <v>408.65</v>
      </c>
      <c r="P427" s="116">
        <v>414.85</v>
      </c>
      <c r="Q427" s="116">
        <v>410.4</v>
      </c>
      <c r="R427">
        <v>208377</v>
      </c>
    </row>
    <row r="428" spans="1:18" x14ac:dyDescent="0.25">
      <c r="A428" s="170">
        <v>45737</v>
      </c>
      <c r="B428" s="116">
        <v>421.95</v>
      </c>
      <c r="C428" s="116">
        <v>417.5</v>
      </c>
      <c r="D428" s="116">
        <v>409.5</v>
      </c>
      <c r="E428" s="116">
        <v>410.5</v>
      </c>
      <c r="F428" s="116">
        <v>417.5</v>
      </c>
      <c r="G428">
        <v>41012</v>
      </c>
      <c r="H428" s="116"/>
      <c r="I428" s="116"/>
      <c r="L428" s="170">
        <v>45737</v>
      </c>
      <c r="M428" s="116">
        <v>417.65</v>
      </c>
      <c r="N428" s="116">
        <v>422.4</v>
      </c>
      <c r="O428" s="116">
        <v>409.1</v>
      </c>
      <c r="P428" s="116">
        <v>410.35</v>
      </c>
      <c r="Q428" s="116">
        <v>417.65</v>
      </c>
      <c r="R428">
        <v>202073</v>
      </c>
    </row>
    <row r="429" spans="1:18" x14ac:dyDescent="0.25">
      <c r="A429" s="170">
        <v>45740</v>
      </c>
      <c r="B429" s="116">
        <v>440.85</v>
      </c>
      <c r="C429" s="116">
        <v>426.3</v>
      </c>
      <c r="D429" s="116">
        <v>418</v>
      </c>
      <c r="E429" s="116">
        <v>425.45</v>
      </c>
      <c r="F429" s="116">
        <v>426.3</v>
      </c>
      <c r="G429">
        <v>25989</v>
      </c>
      <c r="H429" s="116"/>
      <c r="I429" s="116"/>
      <c r="L429" s="170">
        <v>45740</v>
      </c>
      <c r="M429" s="116">
        <v>426.4</v>
      </c>
      <c r="N429" s="116">
        <v>441</v>
      </c>
      <c r="O429" s="116">
        <v>418</v>
      </c>
      <c r="P429" s="116">
        <v>423.5</v>
      </c>
      <c r="Q429" s="116">
        <v>426.4</v>
      </c>
      <c r="R429">
        <v>520695</v>
      </c>
    </row>
    <row r="430" spans="1:18" x14ac:dyDescent="0.25">
      <c r="A430" s="170">
        <v>45741</v>
      </c>
      <c r="B430" s="116">
        <v>430.8</v>
      </c>
      <c r="C430" s="116">
        <v>403.35</v>
      </c>
      <c r="D430" s="116">
        <v>401.85</v>
      </c>
      <c r="E430" s="116">
        <v>430.6</v>
      </c>
      <c r="F430" s="116">
        <v>403.35</v>
      </c>
      <c r="G430">
        <v>22985</v>
      </c>
      <c r="H430" s="116"/>
      <c r="I430" s="116"/>
      <c r="L430" s="170">
        <v>45741</v>
      </c>
      <c r="M430" s="116">
        <v>403.35</v>
      </c>
      <c r="N430" s="116">
        <v>432.9</v>
      </c>
      <c r="O430" s="116">
        <v>401.5</v>
      </c>
      <c r="P430" s="116">
        <v>430.5</v>
      </c>
      <c r="Q430" s="116">
        <v>403.35</v>
      </c>
      <c r="R430">
        <v>430979</v>
      </c>
    </row>
    <row r="431" spans="1:18" x14ac:dyDescent="0.25">
      <c r="A431" s="170">
        <v>45742</v>
      </c>
      <c r="B431" s="116">
        <v>413.95</v>
      </c>
      <c r="C431" s="116">
        <v>387.3</v>
      </c>
      <c r="D431" s="116">
        <v>383.5</v>
      </c>
      <c r="E431" s="116">
        <v>413.95</v>
      </c>
      <c r="F431" s="116">
        <v>387.3</v>
      </c>
      <c r="G431">
        <v>50100</v>
      </c>
      <c r="H431" s="116"/>
      <c r="I431" s="116"/>
      <c r="L431" s="170">
        <v>45742</v>
      </c>
      <c r="M431" s="116">
        <v>387.5</v>
      </c>
      <c r="N431" s="116">
        <v>409.2</v>
      </c>
      <c r="O431" s="116">
        <v>383.45</v>
      </c>
      <c r="P431" s="116">
        <v>405.95</v>
      </c>
      <c r="Q431" s="116">
        <v>387.5</v>
      </c>
      <c r="R431">
        <v>565112</v>
      </c>
    </row>
    <row r="432" spans="1:18" x14ac:dyDescent="0.25">
      <c r="A432" s="170">
        <v>45743</v>
      </c>
      <c r="B432" s="116">
        <v>464.75</v>
      </c>
      <c r="C432" s="116">
        <v>448.5</v>
      </c>
      <c r="D432" s="116">
        <v>382</v>
      </c>
      <c r="E432" s="116">
        <v>387</v>
      </c>
      <c r="F432" s="116">
        <v>448.5</v>
      </c>
      <c r="G432">
        <v>83432</v>
      </c>
      <c r="H432" s="116"/>
      <c r="I432" s="116"/>
      <c r="L432" s="170">
        <v>45743</v>
      </c>
      <c r="M432" s="116">
        <v>445.95</v>
      </c>
      <c r="N432" s="116">
        <v>465</v>
      </c>
      <c r="O432" s="116">
        <v>381.95</v>
      </c>
      <c r="P432" s="116">
        <v>387</v>
      </c>
      <c r="Q432" s="116">
        <v>445.95</v>
      </c>
      <c r="R432">
        <v>1899424</v>
      </c>
    </row>
    <row r="433" spans="1:18" x14ac:dyDescent="0.25">
      <c r="A433" s="170">
        <v>45744</v>
      </c>
      <c r="B433" s="116">
        <v>483.55</v>
      </c>
      <c r="C433" s="116">
        <v>457.15</v>
      </c>
      <c r="D433" s="116">
        <v>431.75</v>
      </c>
      <c r="E433" s="116">
        <v>446.55</v>
      </c>
      <c r="F433" s="116">
        <v>457.15</v>
      </c>
      <c r="G433">
        <v>176611</v>
      </c>
      <c r="H433" s="116"/>
      <c r="I433" s="116"/>
      <c r="L433" s="170">
        <v>45744</v>
      </c>
      <c r="M433" s="116">
        <v>457.65</v>
      </c>
      <c r="N433" s="116">
        <v>483.7</v>
      </c>
      <c r="O433" s="116">
        <v>433</v>
      </c>
      <c r="P433" s="116">
        <v>446</v>
      </c>
      <c r="Q433" s="116">
        <v>457.65</v>
      </c>
      <c r="R433">
        <v>1672783</v>
      </c>
    </row>
    <row r="434" spans="1:18" x14ac:dyDescent="0.25">
      <c r="A434" s="170">
        <v>45748</v>
      </c>
      <c r="B434" s="116">
        <v>482.95</v>
      </c>
      <c r="C434" s="116">
        <v>461.75</v>
      </c>
      <c r="D434" s="116">
        <v>455.75</v>
      </c>
      <c r="E434" s="116">
        <v>461.9</v>
      </c>
      <c r="F434" s="116">
        <v>461.75</v>
      </c>
      <c r="G434">
        <v>35416</v>
      </c>
      <c r="H434" s="116"/>
      <c r="I434" s="116"/>
      <c r="L434" s="170">
        <v>45748</v>
      </c>
      <c r="M434" s="116">
        <v>461.45</v>
      </c>
      <c r="N434" s="116">
        <v>483</v>
      </c>
      <c r="O434" s="116">
        <v>455.5</v>
      </c>
      <c r="P434" s="116">
        <v>457.7</v>
      </c>
      <c r="Q434" s="116">
        <v>461.45</v>
      </c>
      <c r="R434">
        <v>419635</v>
      </c>
    </row>
    <row r="435" spans="1:18" x14ac:dyDescent="0.25">
      <c r="A435" s="170">
        <v>45749</v>
      </c>
      <c r="B435" s="116">
        <v>462.05</v>
      </c>
      <c r="C435" s="116">
        <v>451.75</v>
      </c>
      <c r="D435" s="116">
        <v>448.55</v>
      </c>
      <c r="E435" s="116">
        <v>449.25</v>
      </c>
      <c r="F435" s="116">
        <v>451.75</v>
      </c>
      <c r="G435">
        <v>22499</v>
      </c>
      <c r="H435" s="116"/>
      <c r="I435" s="116"/>
      <c r="L435" s="170">
        <v>45749</v>
      </c>
      <c r="M435" s="116">
        <v>451.9</v>
      </c>
      <c r="N435" s="116">
        <v>462.55</v>
      </c>
      <c r="O435" s="116">
        <v>448.55</v>
      </c>
      <c r="P435" s="116">
        <v>461.45</v>
      </c>
      <c r="Q435" s="116">
        <v>451.9</v>
      </c>
      <c r="R435">
        <v>196694</v>
      </c>
    </row>
    <row r="436" spans="1:18" x14ac:dyDescent="0.25">
      <c r="A436" s="170">
        <v>45750</v>
      </c>
      <c r="B436" s="116">
        <v>461.7</v>
      </c>
      <c r="C436" s="116">
        <v>456.45</v>
      </c>
      <c r="D436" s="116">
        <v>445.15</v>
      </c>
      <c r="E436" s="116">
        <v>445.15</v>
      </c>
      <c r="F436" s="116">
        <v>456.45</v>
      </c>
      <c r="G436">
        <v>19837</v>
      </c>
      <c r="H436" s="116"/>
      <c r="I436" s="116"/>
      <c r="L436" s="170">
        <v>45750</v>
      </c>
      <c r="M436" s="116">
        <v>455.05</v>
      </c>
      <c r="N436" s="116">
        <v>461.6</v>
      </c>
      <c r="O436" s="116">
        <v>447</v>
      </c>
      <c r="P436" s="116">
        <v>447</v>
      </c>
      <c r="Q436" s="116">
        <v>455.05</v>
      </c>
      <c r="R436">
        <v>253039</v>
      </c>
    </row>
    <row r="437" spans="1:18" x14ac:dyDescent="0.25">
      <c r="A437" s="170">
        <v>45751</v>
      </c>
      <c r="B437" s="116">
        <v>452.7</v>
      </c>
      <c r="C437" s="116">
        <v>431.95</v>
      </c>
      <c r="D437" s="116">
        <v>427</v>
      </c>
      <c r="E437" s="116">
        <v>450.65</v>
      </c>
      <c r="F437" s="116">
        <v>431.95</v>
      </c>
      <c r="G437">
        <v>45938</v>
      </c>
      <c r="H437" s="116"/>
      <c r="I437" s="116"/>
      <c r="L437" s="170">
        <v>45751</v>
      </c>
      <c r="M437" s="116">
        <v>431.95</v>
      </c>
      <c r="N437" s="116">
        <v>452.8</v>
      </c>
      <c r="O437" s="116">
        <v>427.05</v>
      </c>
      <c r="P437" s="116">
        <v>452.7</v>
      </c>
      <c r="Q437" s="116">
        <v>431.95</v>
      </c>
      <c r="R437">
        <v>236789</v>
      </c>
    </row>
    <row r="438" spans="1:18" x14ac:dyDescent="0.25">
      <c r="A438" s="170">
        <v>45754</v>
      </c>
      <c r="B438" s="116">
        <v>418.25</v>
      </c>
      <c r="C438" s="116">
        <v>414.55</v>
      </c>
      <c r="D438" s="116">
        <v>350.15</v>
      </c>
      <c r="E438" s="116">
        <v>350.15</v>
      </c>
      <c r="F438" s="116">
        <v>414.55</v>
      </c>
      <c r="G438">
        <v>52462</v>
      </c>
      <c r="H438" s="116"/>
      <c r="I438" s="116"/>
      <c r="L438" s="170">
        <v>45754</v>
      </c>
      <c r="M438" s="116">
        <v>414.3</v>
      </c>
      <c r="N438" s="116">
        <v>417.8</v>
      </c>
      <c r="O438" s="116">
        <v>378.6</v>
      </c>
      <c r="P438" s="116">
        <v>386.1</v>
      </c>
      <c r="Q438" s="116">
        <v>414.3</v>
      </c>
      <c r="R438">
        <v>265302</v>
      </c>
    </row>
    <row r="439" spans="1:18" x14ac:dyDescent="0.25">
      <c r="A439" s="170">
        <v>45755</v>
      </c>
      <c r="B439" s="116">
        <v>437.8</v>
      </c>
      <c r="C439" s="116">
        <v>427.7</v>
      </c>
      <c r="D439" s="116">
        <v>417.75</v>
      </c>
      <c r="E439" s="116">
        <v>437.8</v>
      </c>
      <c r="F439" s="116">
        <v>427.7</v>
      </c>
      <c r="G439">
        <v>21121</v>
      </c>
      <c r="H439" s="116"/>
      <c r="I439" s="116"/>
      <c r="L439" s="170">
        <v>45755</v>
      </c>
      <c r="M439" s="116">
        <v>430.3</v>
      </c>
      <c r="N439" s="116">
        <v>438</v>
      </c>
      <c r="O439" s="116">
        <v>417</v>
      </c>
      <c r="P439" s="116">
        <v>429</v>
      </c>
      <c r="Q439" s="116">
        <v>430.3</v>
      </c>
      <c r="R439">
        <v>140414</v>
      </c>
    </row>
    <row r="440" spans="1:18" x14ac:dyDescent="0.25">
      <c r="A440" s="170">
        <v>45756</v>
      </c>
      <c r="B440" s="116">
        <v>434.25</v>
      </c>
      <c r="C440" s="116">
        <v>426.45</v>
      </c>
      <c r="D440" s="116">
        <v>419</v>
      </c>
      <c r="E440" s="116">
        <v>419.05</v>
      </c>
      <c r="F440" s="116">
        <v>426.45</v>
      </c>
      <c r="G440">
        <v>8311</v>
      </c>
      <c r="H440" s="116"/>
      <c r="I440" s="116"/>
      <c r="L440" s="170">
        <v>45756</v>
      </c>
      <c r="M440" s="116">
        <v>426.35</v>
      </c>
      <c r="N440" s="116">
        <v>434.2</v>
      </c>
      <c r="O440" s="116">
        <v>418.8</v>
      </c>
      <c r="P440" s="116">
        <v>427</v>
      </c>
      <c r="Q440" s="116">
        <v>426.35</v>
      </c>
      <c r="R440">
        <v>99658</v>
      </c>
    </row>
    <row r="441" spans="1:18" x14ac:dyDescent="0.25">
      <c r="A441" s="170">
        <v>45758</v>
      </c>
      <c r="B441" s="116">
        <v>449.5</v>
      </c>
      <c r="C441" s="116">
        <v>445.5</v>
      </c>
      <c r="D441" s="116">
        <v>435.9</v>
      </c>
      <c r="E441" s="116">
        <v>448.45</v>
      </c>
      <c r="F441" s="116">
        <v>445.5</v>
      </c>
      <c r="G441">
        <v>29330</v>
      </c>
      <c r="H441" s="116"/>
      <c r="I441" s="116"/>
      <c r="L441" s="170">
        <v>45758</v>
      </c>
      <c r="M441" s="116">
        <v>445.3</v>
      </c>
      <c r="N441" s="116">
        <v>449.9</v>
      </c>
      <c r="O441" s="116">
        <v>435.6</v>
      </c>
      <c r="P441" s="116">
        <v>447</v>
      </c>
      <c r="Q441" s="116">
        <v>445.3</v>
      </c>
      <c r="R441">
        <v>188024</v>
      </c>
    </row>
    <row r="442" spans="1:18" x14ac:dyDescent="0.25">
      <c r="A442" s="170">
        <v>45762</v>
      </c>
      <c r="B442" s="116">
        <v>460.35</v>
      </c>
      <c r="C442" s="116">
        <v>456.1</v>
      </c>
      <c r="D442" s="116">
        <v>448.45</v>
      </c>
      <c r="E442" s="116">
        <v>448.45</v>
      </c>
      <c r="F442" s="116">
        <v>456.1</v>
      </c>
      <c r="G442">
        <v>17271</v>
      </c>
      <c r="H442" s="116"/>
      <c r="I442" s="116"/>
      <c r="L442" s="170">
        <v>45762</v>
      </c>
      <c r="M442" s="116">
        <v>456.2</v>
      </c>
      <c r="N442" s="116">
        <v>461</v>
      </c>
      <c r="O442" s="116">
        <v>450.45</v>
      </c>
      <c r="P442" s="116">
        <v>455</v>
      </c>
      <c r="Q442" s="116">
        <v>456.2</v>
      </c>
      <c r="R442">
        <v>157958</v>
      </c>
    </row>
    <row r="443" spans="1:18" x14ac:dyDescent="0.25">
      <c r="A443" s="170">
        <v>45763</v>
      </c>
      <c r="B443" s="116">
        <v>464.1</v>
      </c>
      <c r="C443" s="116">
        <v>461.55</v>
      </c>
      <c r="D443" s="116">
        <v>456</v>
      </c>
      <c r="E443" s="116">
        <v>456.6</v>
      </c>
      <c r="F443" s="116">
        <v>461.55</v>
      </c>
      <c r="G443">
        <v>8154</v>
      </c>
      <c r="H443" s="116"/>
      <c r="I443" s="116"/>
      <c r="L443" s="170">
        <v>45763</v>
      </c>
      <c r="M443" s="116">
        <v>461.55</v>
      </c>
      <c r="N443" s="116">
        <v>463.45</v>
      </c>
      <c r="O443" s="116">
        <v>455.3</v>
      </c>
      <c r="P443" s="116">
        <v>456.2</v>
      </c>
      <c r="Q443" s="116">
        <v>461.55</v>
      </c>
      <c r="R443">
        <v>147362</v>
      </c>
    </row>
    <row r="444" spans="1:18" x14ac:dyDescent="0.25">
      <c r="A444" s="170">
        <v>45764</v>
      </c>
      <c r="B444" s="116">
        <v>472.35</v>
      </c>
      <c r="C444" s="116">
        <v>465.75</v>
      </c>
      <c r="D444" s="116">
        <v>449</v>
      </c>
      <c r="E444" s="116">
        <v>449</v>
      </c>
      <c r="F444" s="116">
        <v>465.75</v>
      </c>
      <c r="G444">
        <v>23376</v>
      </c>
      <c r="H444" s="116"/>
      <c r="I444" s="116"/>
      <c r="L444" s="170">
        <v>45764</v>
      </c>
      <c r="M444" s="116">
        <v>465.3</v>
      </c>
      <c r="N444" s="116">
        <v>473.15</v>
      </c>
      <c r="O444" s="116">
        <v>455.3</v>
      </c>
      <c r="P444" s="116">
        <v>461</v>
      </c>
      <c r="Q444" s="116">
        <v>465.3</v>
      </c>
      <c r="R444">
        <v>230810</v>
      </c>
    </row>
    <row r="445" spans="1:18" x14ac:dyDescent="0.25">
      <c r="A445" s="170">
        <v>45768</v>
      </c>
      <c r="B445" s="116">
        <v>474.95</v>
      </c>
      <c r="C445" s="116">
        <v>471.6</v>
      </c>
      <c r="D445" s="116">
        <v>461</v>
      </c>
      <c r="E445" s="116">
        <v>468.95</v>
      </c>
      <c r="F445" s="116">
        <v>471.6</v>
      </c>
      <c r="G445">
        <v>35247</v>
      </c>
      <c r="H445" s="116"/>
      <c r="I445" s="116"/>
      <c r="L445" s="170">
        <v>45768</v>
      </c>
      <c r="M445" s="116">
        <v>472</v>
      </c>
      <c r="N445" s="116">
        <v>475.2</v>
      </c>
      <c r="O445" s="116">
        <v>461.3</v>
      </c>
      <c r="P445" s="116">
        <v>469.85</v>
      </c>
      <c r="Q445" s="116">
        <v>472</v>
      </c>
      <c r="R445">
        <v>188546</v>
      </c>
    </row>
    <row r="446" spans="1:18" x14ac:dyDescent="0.25">
      <c r="A446" s="170">
        <v>45769</v>
      </c>
      <c r="B446" s="116">
        <v>491</v>
      </c>
      <c r="C446" s="116">
        <v>481.85</v>
      </c>
      <c r="D446" s="116">
        <v>467.05</v>
      </c>
      <c r="E446" s="116">
        <v>477.8</v>
      </c>
      <c r="F446" s="116">
        <v>481.85</v>
      </c>
      <c r="G446">
        <v>28935</v>
      </c>
      <c r="H446" s="116"/>
      <c r="I446" s="116"/>
      <c r="L446" s="170">
        <v>45769</v>
      </c>
      <c r="M446" s="116">
        <v>480.95</v>
      </c>
      <c r="N446" s="116">
        <v>492</v>
      </c>
      <c r="O446" s="116">
        <v>466.75</v>
      </c>
      <c r="P446" s="116">
        <v>474</v>
      </c>
      <c r="Q446" s="116">
        <v>480.95</v>
      </c>
      <c r="R446">
        <v>524747</v>
      </c>
    </row>
    <row r="447" spans="1:18" x14ac:dyDescent="0.25">
      <c r="A447" s="170">
        <v>45770</v>
      </c>
      <c r="B447" s="116">
        <v>541</v>
      </c>
      <c r="C447" s="116">
        <v>494.9</v>
      </c>
      <c r="D447" s="116">
        <v>490.65</v>
      </c>
      <c r="E447" s="116">
        <v>541</v>
      </c>
      <c r="F447" s="116">
        <v>494.9</v>
      </c>
      <c r="G447">
        <v>348025</v>
      </c>
      <c r="H447" s="116"/>
      <c r="I447" s="116"/>
      <c r="L447" s="170">
        <v>45770</v>
      </c>
      <c r="M447" s="116">
        <v>494.1</v>
      </c>
      <c r="N447" s="116">
        <v>540</v>
      </c>
      <c r="O447" s="116">
        <v>490.35</v>
      </c>
      <c r="P447" s="116">
        <v>540</v>
      </c>
      <c r="Q447" s="116">
        <v>494.1</v>
      </c>
      <c r="R447">
        <v>3957107</v>
      </c>
    </row>
    <row r="448" spans="1:18" x14ac:dyDescent="0.25">
      <c r="A448" s="170">
        <v>45771</v>
      </c>
      <c r="B448" s="116">
        <v>499</v>
      </c>
      <c r="C448" s="116">
        <v>483.05</v>
      </c>
      <c r="D448" s="116">
        <v>480.75</v>
      </c>
      <c r="E448" s="116">
        <v>495.2</v>
      </c>
      <c r="F448" s="116">
        <v>483.05</v>
      </c>
      <c r="G448">
        <v>63224</v>
      </c>
      <c r="H448" s="116"/>
      <c r="I448" s="116"/>
      <c r="L448" s="170">
        <v>45771</v>
      </c>
      <c r="M448" s="116">
        <v>482.5</v>
      </c>
      <c r="N448" s="116">
        <v>498.25</v>
      </c>
      <c r="O448" s="116">
        <v>480.45</v>
      </c>
      <c r="P448" s="116">
        <v>494.8</v>
      </c>
      <c r="Q448" s="116">
        <v>482.5</v>
      </c>
      <c r="R448">
        <v>472431</v>
      </c>
    </row>
    <row r="449" spans="1:18" x14ac:dyDescent="0.25">
      <c r="A449" s="170">
        <v>45772</v>
      </c>
      <c r="B449" s="116">
        <v>483.05</v>
      </c>
      <c r="C449" s="116">
        <v>461.1</v>
      </c>
      <c r="D449" s="116">
        <v>454.55</v>
      </c>
      <c r="E449" s="116">
        <v>482.05</v>
      </c>
      <c r="F449" s="116">
        <v>461.1</v>
      </c>
      <c r="G449">
        <v>100918</v>
      </c>
      <c r="H449" s="116"/>
      <c r="I449" s="116"/>
      <c r="L449" s="170">
        <v>45772</v>
      </c>
      <c r="M449" s="116">
        <v>461.7</v>
      </c>
      <c r="N449" s="116">
        <v>484</v>
      </c>
      <c r="O449" s="116">
        <v>454.4</v>
      </c>
      <c r="P449" s="116">
        <v>482.95</v>
      </c>
      <c r="Q449" s="116">
        <v>461.7</v>
      </c>
      <c r="R449">
        <v>522659</v>
      </c>
    </row>
    <row r="450" spans="1:18" x14ac:dyDescent="0.25">
      <c r="A450" s="170">
        <v>45775</v>
      </c>
      <c r="B450" s="116">
        <v>470</v>
      </c>
      <c r="C450" s="116">
        <v>462.25</v>
      </c>
      <c r="D450" s="116">
        <v>454.4</v>
      </c>
      <c r="E450" s="116">
        <v>454.4</v>
      </c>
      <c r="F450" s="116">
        <v>462.25</v>
      </c>
      <c r="G450">
        <v>20226</v>
      </c>
      <c r="H450" s="116"/>
      <c r="I450" s="116"/>
      <c r="L450" s="170">
        <v>45775</v>
      </c>
      <c r="M450" s="116">
        <v>462.15</v>
      </c>
      <c r="N450" s="116">
        <v>470.6</v>
      </c>
      <c r="O450" s="116">
        <v>456.4</v>
      </c>
      <c r="P450" s="116">
        <v>458.7</v>
      </c>
      <c r="Q450" s="116">
        <v>462.15</v>
      </c>
      <c r="R450">
        <v>297812</v>
      </c>
    </row>
    <row r="451" spans="1:18" x14ac:dyDescent="0.25">
      <c r="A451" s="170">
        <v>45776</v>
      </c>
      <c r="B451" s="116">
        <v>469.75</v>
      </c>
      <c r="C451" s="116">
        <v>467.4</v>
      </c>
      <c r="D451" s="116">
        <v>459.15</v>
      </c>
      <c r="E451" s="116">
        <v>465</v>
      </c>
      <c r="F451" s="116">
        <v>467.4</v>
      </c>
      <c r="G451">
        <v>21189</v>
      </c>
      <c r="H451" s="116"/>
      <c r="I451" s="116"/>
      <c r="L451" s="170">
        <v>45776</v>
      </c>
      <c r="M451" s="116">
        <v>467.45</v>
      </c>
      <c r="N451" s="116">
        <v>469.6</v>
      </c>
      <c r="O451" s="116">
        <v>459</v>
      </c>
      <c r="P451" s="116">
        <v>465</v>
      </c>
      <c r="Q451" s="116">
        <v>467.45</v>
      </c>
      <c r="R451">
        <v>234886</v>
      </c>
    </row>
    <row r="452" spans="1:18" x14ac:dyDescent="0.25">
      <c r="A452" s="170">
        <v>45777</v>
      </c>
      <c r="B452" s="116">
        <v>465.2</v>
      </c>
      <c r="C452" s="116">
        <v>447.5</v>
      </c>
      <c r="D452" s="116">
        <v>444.15</v>
      </c>
      <c r="E452" s="116">
        <v>462.25</v>
      </c>
      <c r="F452" s="116">
        <v>447.5</v>
      </c>
      <c r="G452">
        <v>17885</v>
      </c>
      <c r="H452" s="116"/>
      <c r="I452" s="116"/>
      <c r="L452" s="170">
        <v>45777</v>
      </c>
      <c r="M452" s="116">
        <v>447.25</v>
      </c>
      <c r="N452" s="116">
        <v>465</v>
      </c>
      <c r="O452" s="116">
        <v>444</v>
      </c>
      <c r="P452" s="116">
        <v>465</v>
      </c>
      <c r="Q452" s="116">
        <v>447.25</v>
      </c>
      <c r="R452">
        <v>305511</v>
      </c>
    </row>
    <row r="453" spans="1:18" x14ac:dyDescent="0.25">
      <c r="A453" s="170">
        <v>45779</v>
      </c>
      <c r="B453" s="116">
        <v>452.35</v>
      </c>
      <c r="C453" s="116">
        <v>440.8</v>
      </c>
      <c r="D453" s="116">
        <v>437.85</v>
      </c>
      <c r="E453" s="116">
        <v>448.1</v>
      </c>
      <c r="F453" s="116">
        <v>440.8</v>
      </c>
      <c r="G453">
        <v>31832</v>
      </c>
      <c r="H453" s="116"/>
      <c r="I453" s="116"/>
      <c r="L453" s="170">
        <v>45779</v>
      </c>
      <c r="M453" s="116">
        <v>440.55</v>
      </c>
      <c r="N453" s="116">
        <v>453</v>
      </c>
      <c r="O453" s="116">
        <v>438.05</v>
      </c>
      <c r="P453" s="116">
        <v>449.1</v>
      </c>
      <c r="Q453" s="116">
        <v>440.55</v>
      </c>
      <c r="R453">
        <v>234334</v>
      </c>
    </row>
    <row r="454" spans="1:18" x14ac:dyDescent="0.25">
      <c r="A454" s="170">
        <v>45782</v>
      </c>
      <c r="B454" s="116">
        <v>447.25</v>
      </c>
      <c r="C454" s="116">
        <v>442.7</v>
      </c>
      <c r="D454" s="116">
        <v>438.1</v>
      </c>
      <c r="E454" s="116">
        <v>445.05</v>
      </c>
      <c r="F454" s="116">
        <v>442.7</v>
      </c>
      <c r="G454">
        <v>26926</v>
      </c>
      <c r="H454" s="116"/>
      <c r="I454" s="116"/>
      <c r="L454" s="170">
        <v>45782</v>
      </c>
      <c r="M454" s="116">
        <v>442.85</v>
      </c>
      <c r="N454" s="116">
        <v>447</v>
      </c>
      <c r="O454" s="116">
        <v>437.85</v>
      </c>
      <c r="P454" s="116">
        <v>445.6</v>
      </c>
      <c r="Q454" s="116">
        <v>442.85</v>
      </c>
      <c r="R454">
        <v>168755</v>
      </c>
    </row>
    <row r="455" spans="1:18" x14ac:dyDescent="0.25">
      <c r="A455" s="170">
        <v>45783</v>
      </c>
      <c r="B455" s="116">
        <v>445.1</v>
      </c>
      <c r="C455" s="116">
        <v>425.4</v>
      </c>
      <c r="D455" s="116">
        <v>423.3</v>
      </c>
      <c r="E455" s="116">
        <v>442.6</v>
      </c>
      <c r="F455" s="116">
        <v>425.4</v>
      </c>
      <c r="G455">
        <v>6256</v>
      </c>
      <c r="H455" s="116"/>
      <c r="I455" s="116"/>
      <c r="L455" s="170">
        <v>45783</v>
      </c>
      <c r="M455" s="116">
        <v>425.1</v>
      </c>
      <c r="N455" s="116">
        <v>446.35</v>
      </c>
      <c r="O455" s="116">
        <v>423.3</v>
      </c>
      <c r="P455" s="116">
        <v>442.85</v>
      </c>
      <c r="Q455" s="116">
        <v>425.1</v>
      </c>
      <c r="R455">
        <v>205092</v>
      </c>
    </row>
    <row r="456" spans="1:18" x14ac:dyDescent="0.25">
      <c r="A456" s="170">
        <v>45784</v>
      </c>
      <c r="B456" s="116">
        <v>432.2</v>
      </c>
      <c r="C456" s="116">
        <v>429.2</v>
      </c>
      <c r="D456" s="116">
        <v>412.75</v>
      </c>
      <c r="E456" s="116">
        <v>412.75</v>
      </c>
      <c r="F456" s="116">
        <v>429.2</v>
      </c>
      <c r="G456">
        <v>35476</v>
      </c>
      <c r="H456" s="116"/>
      <c r="I456" s="116"/>
      <c r="L456" s="170">
        <v>45784</v>
      </c>
      <c r="M456" s="116">
        <v>428.2</v>
      </c>
      <c r="N456" s="116">
        <v>432.75</v>
      </c>
      <c r="O456" s="116">
        <v>415</v>
      </c>
      <c r="P456" s="116">
        <v>416</v>
      </c>
      <c r="Q456" s="116">
        <v>428.2</v>
      </c>
      <c r="R456">
        <v>368719</v>
      </c>
    </row>
    <row r="457" spans="1:18" x14ac:dyDescent="0.25">
      <c r="A457" s="170">
        <v>45785</v>
      </c>
      <c r="B457" s="116">
        <v>444.7</v>
      </c>
      <c r="C457" s="116">
        <v>427.6</v>
      </c>
      <c r="D457" s="116">
        <v>426</v>
      </c>
      <c r="E457" s="116">
        <v>439.8</v>
      </c>
      <c r="F457" s="116">
        <v>427.6</v>
      </c>
      <c r="G457">
        <v>23498</v>
      </c>
      <c r="H457" s="116"/>
      <c r="I457" s="116"/>
      <c r="L457" s="170">
        <v>45785</v>
      </c>
      <c r="M457" s="116">
        <v>427.65</v>
      </c>
      <c r="N457" s="116">
        <v>444.75</v>
      </c>
      <c r="O457" s="116">
        <v>425.6</v>
      </c>
      <c r="P457" s="116">
        <v>433</v>
      </c>
      <c r="Q457" s="116">
        <v>427.65</v>
      </c>
      <c r="R457">
        <v>181616</v>
      </c>
    </row>
    <row r="458" spans="1:18" x14ac:dyDescent="0.25">
      <c r="A458" s="170">
        <v>45786</v>
      </c>
      <c r="B458" s="116">
        <v>428.35</v>
      </c>
      <c r="C458" s="116">
        <v>426.9</v>
      </c>
      <c r="D458" s="116">
        <v>416.35</v>
      </c>
      <c r="E458" s="116">
        <v>419.05</v>
      </c>
      <c r="F458" s="116">
        <v>426.9</v>
      </c>
      <c r="G458">
        <v>14551</v>
      </c>
      <c r="H458" s="116"/>
      <c r="I458" s="116"/>
      <c r="L458" s="170">
        <v>45786</v>
      </c>
      <c r="M458" s="116">
        <v>426.1</v>
      </c>
      <c r="N458" s="116">
        <v>430</v>
      </c>
      <c r="O458" s="116">
        <v>415.5</v>
      </c>
      <c r="P458" s="116">
        <v>417.05</v>
      </c>
      <c r="Q458" s="116">
        <v>426.1</v>
      </c>
      <c r="R458">
        <v>222706</v>
      </c>
    </row>
    <row r="459" spans="1:18" x14ac:dyDescent="0.25">
      <c r="A459" s="170">
        <v>45789</v>
      </c>
      <c r="B459" s="116">
        <v>453</v>
      </c>
      <c r="C459" s="116">
        <v>450.65</v>
      </c>
      <c r="D459" s="116">
        <v>443.65</v>
      </c>
      <c r="E459" s="116">
        <v>450.05</v>
      </c>
      <c r="F459" s="116">
        <v>450.65</v>
      </c>
      <c r="G459">
        <v>53544</v>
      </c>
      <c r="H459" s="116"/>
      <c r="I459" s="116"/>
      <c r="L459" s="170">
        <v>45789</v>
      </c>
      <c r="M459" s="116">
        <v>450.9</v>
      </c>
      <c r="N459" s="116">
        <v>455</v>
      </c>
      <c r="O459" s="116">
        <v>443.45</v>
      </c>
      <c r="P459" s="116">
        <v>454.95</v>
      </c>
      <c r="Q459" s="116">
        <v>450.9</v>
      </c>
      <c r="R459">
        <v>391258</v>
      </c>
    </row>
    <row r="460" spans="1:18" x14ac:dyDescent="0.25">
      <c r="A460" s="170">
        <v>45790</v>
      </c>
      <c r="B460" s="116">
        <v>467.95</v>
      </c>
      <c r="C460" s="116">
        <v>465.9</v>
      </c>
      <c r="D460" s="116">
        <v>445.45</v>
      </c>
      <c r="E460" s="116">
        <v>462.95</v>
      </c>
      <c r="F460" s="116">
        <v>465.9</v>
      </c>
      <c r="G460">
        <v>21574</v>
      </c>
      <c r="H460" s="116"/>
      <c r="I460" s="116"/>
      <c r="L460" s="170">
        <v>45790</v>
      </c>
      <c r="M460" s="116">
        <v>465.35</v>
      </c>
      <c r="N460" s="116">
        <v>467.9</v>
      </c>
      <c r="O460" s="116">
        <v>446.25</v>
      </c>
      <c r="P460" s="116">
        <v>450.15</v>
      </c>
      <c r="Q460" s="116">
        <v>465.35</v>
      </c>
      <c r="R460">
        <v>656979</v>
      </c>
    </row>
    <row r="461" spans="1:18" x14ac:dyDescent="0.25">
      <c r="A461" s="170">
        <v>45791</v>
      </c>
      <c r="B461" s="116">
        <v>469</v>
      </c>
      <c r="C461" s="116">
        <v>463.85</v>
      </c>
      <c r="D461" s="116">
        <v>458.4</v>
      </c>
      <c r="E461" s="116">
        <v>465.95</v>
      </c>
      <c r="F461" s="116">
        <v>463.85</v>
      </c>
      <c r="G461">
        <v>24799</v>
      </c>
      <c r="H461" s="116"/>
      <c r="I461" s="116"/>
      <c r="L461" s="170">
        <v>45791</v>
      </c>
      <c r="M461" s="116">
        <v>464.05</v>
      </c>
      <c r="N461" s="116">
        <v>469.35</v>
      </c>
      <c r="O461" s="116">
        <v>458.15</v>
      </c>
      <c r="P461" s="116">
        <v>469</v>
      </c>
      <c r="Q461" s="116">
        <v>464.05</v>
      </c>
      <c r="R461">
        <v>260737</v>
      </c>
    </row>
    <row r="462" spans="1:18" x14ac:dyDescent="0.25">
      <c r="A462" s="170">
        <v>45792</v>
      </c>
      <c r="B462" s="116">
        <v>475.2</v>
      </c>
      <c r="C462" s="116">
        <v>463.55</v>
      </c>
      <c r="D462" s="116">
        <v>458.15</v>
      </c>
      <c r="E462" s="116">
        <v>475.2</v>
      </c>
      <c r="F462" s="116">
        <v>463.55</v>
      </c>
      <c r="G462">
        <v>40947</v>
      </c>
      <c r="H462" s="116"/>
      <c r="I462" s="116"/>
      <c r="L462" s="170">
        <v>45792</v>
      </c>
      <c r="M462" s="116">
        <v>464.65</v>
      </c>
      <c r="N462" s="116">
        <v>472.35</v>
      </c>
      <c r="O462" s="116">
        <v>458.45</v>
      </c>
      <c r="P462" s="116">
        <v>464.2</v>
      </c>
      <c r="Q462" s="116">
        <v>464.65</v>
      </c>
      <c r="R462">
        <v>318063</v>
      </c>
    </row>
    <row r="463" spans="1:18" x14ac:dyDescent="0.25">
      <c r="A463" s="170">
        <v>45793</v>
      </c>
      <c r="B463" s="116">
        <v>492</v>
      </c>
      <c r="C463" s="116">
        <v>485</v>
      </c>
      <c r="D463" s="116">
        <v>464.05</v>
      </c>
      <c r="E463" s="116">
        <v>464.05</v>
      </c>
      <c r="F463" s="116">
        <v>485</v>
      </c>
      <c r="G463">
        <v>36163</v>
      </c>
      <c r="H463" s="116"/>
      <c r="I463" s="116"/>
      <c r="L463" s="170">
        <v>45793</v>
      </c>
      <c r="M463" s="116">
        <v>484.75</v>
      </c>
      <c r="N463" s="116">
        <v>492</v>
      </c>
      <c r="O463" s="116">
        <v>462.15</v>
      </c>
      <c r="P463" s="116">
        <v>462.15</v>
      </c>
      <c r="Q463" s="116">
        <v>484.75</v>
      </c>
      <c r="R463">
        <v>801278</v>
      </c>
    </row>
    <row r="464" spans="1:18" x14ac:dyDescent="0.25">
      <c r="A464" s="170">
        <v>45796</v>
      </c>
      <c r="B464" s="116">
        <v>496.5</v>
      </c>
      <c r="C464" s="116">
        <v>490.85</v>
      </c>
      <c r="D464" s="116">
        <v>485.75</v>
      </c>
      <c r="E464" s="116">
        <v>485.75</v>
      </c>
      <c r="F464" s="116">
        <v>490.85</v>
      </c>
      <c r="G464">
        <v>48333</v>
      </c>
      <c r="H464" s="116"/>
      <c r="I464" s="116"/>
      <c r="L464" s="170">
        <v>45796</v>
      </c>
      <c r="M464" s="116">
        <v>490.5</v>
      </c>
      <c r="N464" s="116">
        <v>496.6</v>
      </c>
      <c r="O464" s="116">
        <v>487</v>
      </c>
      <c r="P464" s="116">
        <v>492</v>
      </c>
      <c r="Q464" s="116">
        <v>490.5</v>
      </c>
      <c r="R464">
        <v>332132</v>
      </c>
    </row>
    <row r="465" spans="1:18" x14ac:dyDescent="0.25">
      <c r="A465" s="170">
        <v>45797</v>
      </c>
      <c r="B465" s="116">
        <v>496.75</v>
      </c>
      <c r="C465" s="116">
        <v>478</v>
      </c>
      <c r="D465" s="116">
        <v>473.1</v>
      </c>
      <c r="E465" s="116">
        <v>496.75</v>
      </c>
      <c r="F465" s="116">
        <v>478</v>
      </c>
      <c r="G465">
        <v>31541</v>
      </c>
      <c r="H465" s="116"/>
      <c r="I465" s="116"/>
      <c r="L465" s="170">
        <v>45797</v>
      </c>
      <c r="M465" s="116">
        <v>478.4</v>
      </c>
      <c r="N465" s="116">
        <v>495.4</v>
      </c>
      <c r="O465" s="116">
        <v>473.55</v>
      </c>
      <c r="P465" s="116">
        <v>494</v>
      </c>
      <c r="Q465" s="116">
        <v>478.4</v>
      </c>
      <c r="R465">
        <v>190904</v>
      </c>
    </row>
    <row r="466" spans="1:18" x14ac:dyDescent="0.25">
      <c r="A466" s="170">
        <v>45798</v>
      </c>
      <c r="B466" s="116">
        <v>485.8</v>
      </c>
      <c r="C466" s="116">
        <v>479.75</v>
      </c>
      <c r="D466" s="116">
        <v>476.05</v>
      </c>
      <c r="E466" s="116">
        <v>485.8</v>
      </c>
      <c r="F466" s="116">
        <v>479.75</v>
      </c>
      <c r="G466">
        <v>11394</v>
      </c>
      <c r="H466" s="116"/>
      <c r="I466" s="116"/>
      <c r="L466" s="170">
        <v>45798</v>
      </c>
      <c r="M466" s="116">
        <v>479.8</v>
      </c>
      <c r="N466" s="116">
        <v>484.5</v>
      </c>
      <c r="O466" s="116">
        <v>475.5</v>
      </c>
      <c r="P466" s="116">
        <v>484.5</v>
      </c>
      <c r="Q466" s="116">
        <v>479.8</v>
      </c>
      <c r="R466">
        <v>176818</v>
      </c>
    </row>
    <row r="467" spans="1:18" x14ac:dyDescent="0.25">
      <c r="A467" s="170">
        <v>45799</v>
      </c>
      <c r="B467" s="116">
        <v>485.1</v>
      </c>
      <c r="C467" s="116">
        <v>478.25</v>
      </c>
      <c r="D467" s="116">
        <v>473.3</v>
      </c>
      <c r="E467" s="116">
        <v>482</v>
      </c>
      <c r="F467" s="116">
        <v>478.25</v>
      </c>
      <c r="G467">
        <v>13605</v>
      </c>
      <c r="H467" s="116"/>
      <c r="I467" s="116"/>
      <c r="L467" s="170">
        <v>45799</v>
      </c>
      <c r="M467" s="116">
        <v>478.35</v>
      </c>
      <c r="N467" s="116">
        <v>486</v>
      </c>
      <c r="O467" s="116">
        <v>473</v>
      </c>
      <c r="P467" s="116">
        <v>482</v>
      </c>
      <c r="Q467" s="116">
        <v>478.35</v>
      </c>
      <c r="R467">
        <v>191147</v>
      </c>
    </row>
    <row r="468" spans="1:18" x14ac:dyDescent="0.25">
      <c r="A468" s="170">
        <v>45800</v>
      </c>
      <c r="B468" s="116">
        <v>480.6</v>
      </c>
      <c r="C468" s="116">
        <v>476.95</v>
      </c>
      <c r="D468" s="116">
        <v>474.5</v>
      </c>
      <c r="E468" s="116">
        <v>475.5</v>
      </c>
      <c r="F468" s="116">
        <v>476.95</v>
      </c>
      <c r="G468">
        <v>6795</v>
      </c>
      <c r="H468" s="116"/>
      <c r="I468" s="116"/>
      <c r="L468" s="170">
        <v>45800</v>
      </c>
      <c r="M468" s="116">
        <v>477.45</v>
      </c>
      <c r="N468" s="116">
        <v>482.2</v>
      </c>
      <c r="O468" s="116">
        <v>473.75</v>
      </c>
      <c r="P468" s="116">
        <v>481.2</v>
      </c>
      <c r="Q468" s="116">
        <v>477.45</v>
      </c>
      <c r="R468">
        <v>168260</v>
      </c>
    </row>
    <row r="469" spans="1:18" x14ac:dyDescent="0.25">
      <c r="A469" s="170">
        <v>45803</v>
      </c>
      <c r="B469" s="116">
        <v>481.6</v>
      </c>
      <c r="C469" s="116">
        <v>472.6</v>
      </c>
      <c r="D469" s="116">
        <v>470.35</v>
      </c>
      <c r="E469" s="116">
        <v>479.55</v>
      </c>
      <c r="F469" s="116">
        <v>472.6</v>
      </c>
      <c r="G469">
        <v>11801</v>
      </c>
      <c r="H469" s="116"/>
      <c r="I469" s="116"/>
      <c r="L469" s="170">
        <v>45803</v>
      </c>
      <c r="M469" s="116">
        <v>471.95</v>
      </c>
      <c r="N469" s="116">
        <v>481.5</v>
      </c>
      <c r="O469" s="116">
        <v>470.2</v>
      </c>
      <c r="P469" s="116">
        <v>479</v>
      </c>
      <c r="Q469" s="116">
        <v>471.95</v>
      </c>
      <c r="R469">
        <v>227379</v>
      </c>
    </row>
    <row r="470" spans="1:18" x14ac:dyDescent="0.25">
      <c r="A470" s="170">
        <v>45804</v>
      </c>
      <c r="B470" s="116">
        <v>489</v>
      </c>
      <c r="C470" s="116">
        <v>486.3</v>
      </c>
      <c r="D470" s="116">
        <v>470.05</v>
      </c>
      <c r="E470" s="116">
        <v>472.65</v>
      </c>
      <c r="F470" s="116">
        <v>486.3</v>
      </c>
      <c r="G470">
        <v>33601</v>
      </c>
      <c r="H470" s="116"/>
      <c r="I470" s="116"/>
      <c r="L470" s="170">
        <v>45804</v>
      </c>
      <c r="M470" s="116">
        <v>486.35</v>
      </c>
      <c r="N470" s="116">
        <v>489</v>
      </c>
      <c r="O470" s="116">
        <v>470.9</v>
      </c>
      <c r="P470" s="116">
        <v>473.9</v>
      </c>
      <c r="Q470" s="116">
        <v>486.35</v>
      </c>
      <c r="R470">
        <v>285457</v>
      </c>
    </row>
    <row r="471" spans="1:18" x14ac:dyDescent="0.25">
      <c r="A471" s="170">
        <v>45805</v>
      </c>
      <c r="B471" s="116">
        <v>490</v>
      </c>
      <c r="C471" s="116">
        <v>481.8</v>
      </c>
      <c r="D471" s="116">
        <v>479.5</v>
      </c>
      <c r="E471" s="116">
        <v>490</v>
      </c>
      <c r="F471" s="116">
        <v>481.8</v>
      </c>
      <c r="G471">
        <v>12410</v>
      </c>
      <c r="H471" s="116"/>
      <c r="I471" s="116"/>
      <c r="L471" s="170">
        <v>45805</v>
      </c>
      <c r="M471" s="116">
        <v>482.5</v>
      </c>
      <c r="N471" s="116">
        <v>490</v>
      </c>
      <c r="O471" s="116">
        <v>478.8</v>
      </c>
      <c r="P471" s="116">
        <v>489</v>
      </c>
      <c r="Q471" s="116">
        <v>482.5</v>
      </c>
      <c r="R471">
        <v>218822</v>
      </c>
    </row>
    <row r="472" spans="1:18" x14ac:dyDescent="0.25">
      <c r="A472" s="170">
        <v>45806</v>
      </c>
      <c r="B472" s="116">
        <v>484.7</v>
      </c>
      <c r="C472" s="116">
        <v>480.25</v>
      </c>
      <c r="D472" s="116">
        <v>478.25</v>
      </c>
      <c r="E472" s="116">
        <v>482</v>
      </c>
      <c r="F472" s="116">
        <v>480.25</v>
      </c>
      <c r="G472">
        <v>9226</v>
      </c>
      <c r="H472" s="116"/>
      <c r="I472" s="116"/>
      <c r="L472" s="170">
        <v>45806</v>
      </c>
      <c r="M472" s="116">
        <v>480.5</v>
      </c>
      <c r="N472" s="116">
        <v>485</v>
      </c>
      <c r="O472" s="116">
        <v>478.5</v>
      </c>
      <c r="P472" s="116">
        <v>483.65</v>
      </c>
      <c r="Q472" s="116">
        <v>480.5</v>
      </c>
      <c r="R472">
        <v>115733</v>
      </c>
    </row>
    <row r="473" spans="1:18" x14ac:dyDescent="0.25">
      <c r="A473" s="170">
        <v>45807</v>
      </c>
      <c r="B473" s="116">
        <v>490</v>
      </c>
      <c r="C473" s="116">
        <v>484</v>
      </c>
      <c r="D473" s="116">
        <v>475.35</v>
      </c>
      <c r="E473" s="116">
        <v>475.35</v>
      </c>
      <c r="F473" s="116">
        <v>484</v>
      </c>
      <c r="G473">
        <v>6711</v>
      </c>
      <c r="H473" s="116"/>
      <c r="I473" s="116"/>
      <c r="L473" s="170">
        <v>45807</v>
      </c>
      <c r="M473" s="116">
        <v>483.9</v>
      </c>
      <c r="N473" s="116">
        <v>490.65</v>
      </c>
      <c r="O473" s="116">
        <v>479</v>
      </c>
      <c r="P473" s="116">
        <v>480.5</v>
      </c>
      <c r="Q473" s="116">
        <v>483.9</v>
      </c>
      <c r="R473">
        <v>210762</v>
      </c>
    </row>
    <row r="474" spans="1:18" x14ac:dyDescent="0.25">
      <c r="A474" s="170">
        <v>45810</v>
      </c>
      <c r="B474" s="116">
        <v>492.1</v>
      </c>
      <c r="C474" s="116">
        <v>487.65</v>
      </c>
      <c r="D474" s="116">
        <v>478.45</v>
      </c>
      <c r="E474" s="116">
        <v>483.15</v>
      </c>
      <c r="F474" s="116">
        <v>487.65</v>
      </c>
      <c r="G474">
        <v>32496</v>
      </c>
      <c r="H474" s="116"/>
      <c r="I474" s="116"/>
      <c r="L474" s="170">
        <v>45810</v>
      </c>
      <c r="M474" s="116">
        <v>487.55</v>
      </c>
      <c r="N474" s="116">
        <v>492.35</v>
      </c>
      <c r="O474" s="116">
        <v>479</v>
      </c>
      <c r="P474" s="116">
        <v>484.9</v>
      </c>
      <c r="Q474" s="116">
        <v>487.55</v>
      </c>
      <c r="R474">
        <v>213131</v>
      </c>
    </row>
    <row r="475" spans="1:18" x14ac:dyDescent="0.25">
      <c r="A475" s="170">
        <v>45811</v>
      </c>
      <c r="B475" s="116">
        <v>490.5</v>
      </c>
      <c r="C475" s="116">
        <v>484.5</v>
      </c>
      <c r="D475" s="116">
        <v>482.8</v>
      </c>
      <c r="E475" s="116">
        <v>490</v>
      </c>
      <c r="F475" s="116">
        <v>484.5</v>
      </c>
      <c r="G475">
        <v>20703</v>
      </c>
      <c r="H475" s="116"/>
      <c r="I475" s="116"/>
      <c r="L475" s="170">
        <v>45811</v>
      </c>
      <c r="M475" s="116">
        <v>484.5</v>
      </c>
      <c r="N475" s="116">
        <v>491</v>
      </c>
      <c r="O475" s="116">
        <v>482.8</v>
      </c>
      <c r="P475" s="116">
        <v>490</v>
      </c>
      <c r="Q475" s="116">
        <v>484.5</v>
      </c>
      <c r="R475">
        <v>125245</v>
      </c>
    </row>
    <row r="476" spans="1:18" x14ac:dyDescent="0.25">
      <c r="A476" s="170">
        <v>45812</v>
      </c>
      <c r="B476" s="116">
        <v>488.95</v>
      </c>
      <c r="C476" s="116">
        <v>479.5</v>
      </c>
      <c r="D476" s="116">
        <v>475</v>
      </c>
      <c r="E476" s="116">
        <v>488.95</v>
      </c>
      <c r="F476" s="116">
        <v>479.5</v>
      </c>
      <c r="G476">
        <v>21466</v>
      </c>
      <c r="H476" s="116"/>
      <c r="I476" s="116"/>
      <c r="L476" s="170">
        <v>45812</v>
      </c>
      <c r="M476" s="116">
        <v>479.6</v>
      </c>
      <c r="N476" s="116">
        <v>489</v>
      </c>
      <c r="O476" s="116">
        <v>475.1</v>
      </c>
      <c r="P476" s="116">
        <v>489</v>
      </c>
      <c r="Q476" s="116">
        <v>479.6</v>
      </c>
      <c r="R476">
        <v>142834</v>
      </c>
    </row>
    <row r="477" spans="1:18" x14ac:dyDescent="0.25">
      <c r="A477" s="170">
        <v>45813</v>
      </c>
      <c r="B477" s="116">
        <v>487.45</v>
      </c>
      <c r="C477" s="116">
        <v>482.85</v>
      </c>
      <c r="D477" s="116">
        <v>479.95</v>
      </c>
      <c r="E477" s="116">
        <v>479.95</v>
      </c>
      <c r="F477" s="116">
        <v>482.85</v>
      </c>
      <c r="G477">
        <v>7536</v>
      </c>
      <c r="H477" s="116"/>
      <c r="I477" s="116"/>
      <c r="L477" s="170">
        <v>45813</v>
      </c>
      <c r="M477" s="116">
        <v>483.2</v>
      </c>
      <c r="N477" s="116">
        <v>487.95</v>
      </c>
      <c r="O477" s="116">
        <v>479.85</v>
      </c>
      <c r="P477" s="116">
        <v>480</v>
      </c>
      <c r="Q477" s="116">
        <v>483.2</v>
      </c>
      <c r="R477">
        <v>107951</v>
      </c>
    </row>
    <row r="478" spans="1:18" x14ac:dyDescent="0.25">
      <c r="A478" s="170">
        <v>45814</v>
      </c>
      <c r="B478" s="116">
        <v>501.3</v>
      </c>
      <c r="C478" s="116">
        <v>484.7</v>
      </c>
      <c r="D478" s="116">
        <v>480.05</v>
      </c>
      <c r="E478" s="116">
        <v>480.05</v>
      </c>
      <c r="F478" s="116">
        <v>484.7</v>
      </c>
      <c r="G478">
        <v>15908</v>
      </c>
      <c r="H478" s="116"/>
      <c r="I478" s="116"/>
      <c r="L478" s="170">
        <v>45814</v>
      </c>
      <c r="M478" s="116">
        <v>484.85</v>
      </c>
      <c r="N478" s="116">
        <v>501.5</v>
      </c>
      <c r="O478" s="116">
        <v>481.8</v>
      </c>
      <c r="P478" s="116">
        <v>483</v>
      </c>
      <c r="Q478" s="116">
        <v>484.85</v>
      </c>
      <c r="R478">
        <v>396827</v>
      </c>
    </row>
    <row r="479" spans="1:18" x14ac:dyDescent="0.25">
      <c r="A479" s="170">
        <v>45817</v>
      </c>
      <c r="B479" s="116">
        <v>489.15</v>
      </c>
      <c r="C479" s="116">
        <v>477.9</v>
      </c>
      <c r="D479" s="116">
        <v>473.9</v>
      </c>
      <c r="E479" s="116">
        <v>480.6</v>
      </c>
      <c r="F479" s="116">
        <v>477.9</v>
      </c>
      <c r="G479">
        <v>13226</v>
      </c>
      <c r="H479" s="116"/>
      <c r="I479" s="116"/>
      <c r="L479" s="170">
        <v>45817</v>
      </c>
      <c r="M479" s="116">
        <v>477.1</v>
      </c>
      <c r="N479" s="116">
        <v>489.5</v>
      </c>
      <c r="O479" s="116">
        <v>473.3</v>
      </c>
      <c r="P479" s="116">
        <v>482.4</v>
      </c>
      <c r="Q479" s="116">
        <v>477.1</v>
      </c>
      <c r="R479">
        <v>388537</v>
      </c>
    </row>
    <row r="480" spans="1:18" x14ac:dyDescent="0.25">
      <c r="A480" s="170">
        <v>45818</v>
      </c>
      <c r="B480" s="116">
        <v>486.6</v>
      </c>
      <c r="C480" s="116">
        <v>469.15</v>
      </c>
      <c r="D480" s="116">
        <v>466.95</v>
      </c>
      <c r="E480" s="116">
        <v>483.8</v>
      </c>
      <c r="F480" s="116">
        <v>469.15</v>
      </c>
      <c r="G480">
        <v>36190</v>
      </c>
      <c r="H480" s="116"/>
      <c r="I480" s="116"/>
      <c r="L480" s="170">
        <v>45818</v>
      </c>
      <c r="M480" s="116">
        <v>468.95</v>
      </c>
      <c r="N480" s="116">
        <v>487</v>
      </c>
      <c r="O480" s="116">
        <v>466.3</v>
      </c>
      <c r="P480" s="116">
        <v>482.8</v>
      </c>
      <c r="Q480" s="116">
        <v>468.95</v>
      </c>
      <c r="R480">
        <v>618463</v>
      </c>
    </row>
    <row r="481" spans="1:18" x14ac:dyDescent="0.25">
      <c r="A481" s="170">
        <v>45819</v>
      </c>
      <c r="B481" s="116">
        <v>490.25</v>
      </c>
      <c r="C481" s="116">
        <v>484.15</v>
      </c>
      <c r="D481" s="116">
        <v>469.95</v>
      </c>
      <c r="E481" s="116">
        <v>469.95</v>
      </c>
      <c r="F481" s="116">
        <v>484.15</v>
      </c>
      <c r="G481">
        <v>64207</v>
      </c>
      <c r="H481" s="116"/>
      <c r="I481" s="116"/>
      <c r="L481" s="170">
        <v>45819</v>
      </c>
      <c r="M481" s="116">
        <v>484.15</v>
      </c>
      <c r="N481" s="116">
        <v>490.45</v>
      </c>
      <c r="O481" s="116">
        <v>469.1</v>
      </c>
      <c r="P481" s="116">
        <v>469.1</v>
      </c>
      <c r="Q481" s="116">
        <v>484.15</v>
      </c>
      <c r="R481">
        <v>354544</v>
      </c>
    </row>
    <row r="482" spans="1:18" x14ac:dyDescent="0.25">
      <c r="A482" s="170">
        <v>45820</v>
      </c>
      <c r="B482" s="116">
        <v>486.6</v>
      </c>
      <c r="C482" s="116">
        <v>468.1</v>
      </c>
      <c r="D482" s="116">
        <v>467</v>
      </c>
      <c r="E482" s="116">
        <v>484.45</v>
      </c>
      <c r="F482" s="116">
        <v>468.1</v>
      </c>
      <c r="G482">
        <v>12520</v>
      </c>
      <c r="H482" s="116"/>
      <c r="I482" s="116"/>
      <c r="L482" s="170">
        <v>45820</v>
      </c>
      <c r="M482" s="116">
        <v>468.15</v>
      </c>
      <c r="N482" s="116">
        <v>486</v>
      </c>
      <c r="O482" s="116">
        <v>467</v>
      </c>
      <c r="P482" s="116">
        <v>485</v>
      </c>
      <c r="Q482" s="116">
        <v>468.15</v>
      </c>
      <c r="R482">
        <v>210654</v>
      </c>
    </row>
    <row r="483" spans="1:18" x14ac:dyDescent="0.25">
      <c r="A483" s="170">
        <v>45821</v>
      </c>
      <c r="B483" s="116">
        <v>467.7</v>
      </c>
      <c r="C483" s="116">
        <v>461.6</v>
      </c>
      <c r="D483" s="116">
        <v>451.35</v>
      </c>
      <c r="E483" s="116">
        <v>461</v>
      </c>
      <c r="F483" s="116">
        <v>461.6</v>
      </c>
      <c r="G483">
        <v>16025</v>
      </c>
      <c r="H483" s="116"/>
      <c r="I483" s="116"/>
      <c r="L483" s="170">
        <v>45821</v>
      </c>
      <c r="M483" s="116">
        <v>458.1</v>
      </c>
      <c r="N483" s="116">
        <v>468</v>
      </c>
      <c r="O483" s="116">
        <v>450.95</v>
      </c>
      <c r="P483" s="116">
        <v>460</v>
      </c>
      <c r="Q483" s="116">
        <v>458.1</v>
      </c>
      <c r="R483">
        <v>308310</v>
      </c>
    </row>
    <row r="484" spans="1:18" x14ac:dyDescent="0.25">
      <c r="A484" s="170">
        <v>45824</v>
      </c>
      <c r="B484" s="116">
        <v>464.95</v>
      </c>
      <c r="C484" s="116">
        <v>461.75</v>
      </c>
      <c r="D484" s="116">
        <v>449.3</v>
      </c>
      <c r="E484" s="116">
        <v>455</v>
      </c>
      <c r="F484" s="116">
        <v>461.75</v>
      </c>
      <c r="G484">
        <v>18692</v>
      </c>
      <c r="H484" s="116"/>
      <c r="I484" s="116"/>
      <c r="L484" s="170">
        <v>45824</v>
      </c>
      <c r="M484" s="116">
        <v>461.55</v>
      </c>
      <c r="N484" s="116">
        <v>464.85</v>
      </c>
      <c r="O484" s="116">
        <v>448.65</v>
      </c>
      <c r="P484" s="116">
        <v>455.8</v>
      </c>
      <c r="Q484" s="116">
        <v>461.55</v>
      </c>
      <c r="R484">
        <v>208698</v>
      </c>
    </row>
    <row r="485" spans="1:18" x14ac:dyDescent="0.25">
      <c r="A485" s="170">
        <v>45825</v>
      </c>
      <c r="B485" s="116">
        <v>471.85</v>
      </c>
      <c r="C485" s="116">
        <v>457.3</v>
      </c>
      <c r="D485" s="116">
        <v>456.05</v>
      </c>
      <c r="E485" s="116">
        <v>471.85</v>
      </c>
      <c r="F485" s="116">
        <v>457.3</v>
      </c>
      <c r="G485">
        <v>16162</v>
      </c>
      <c r="H485" s="116"/>
      <c r="I485" s="116"/>
      <c r="L485" s="170">
        <v>45825</v>
      </c>
      <c r="M485" s="116">
        <v>457.5</v>
      </c>
      <c r="N485" s="116">
        <v>467.4</v>
      </c>
      <c r="O485" s="116">
        <v>456.05</v>
      </c>
      <c r="P485" s="116">
        <v>459.25</v>
      </c>
      <c r="Q485" s="116">
        <v>457.5</v>
      </c>
      <c r="R485">
        <v>157162</v>
      </c>
    </row>
    <row r="486" spans="1:18" x14ac:dyDescent="0.25">
      <c r="A486" s="170">
        <v>45826</v>
      </c>
      <c r="B486" s="116">
        <v>463.1</v>
      </c>
      <c r="C486" s="116">
        <v>458.6</v>
      </c>
      <c r="D486" s="116">
        <v>453.7</v>
      </c>
      <c r="E486" s="116">
        <v>456.05</v>
      </c>
      <c r="F486" s="116">
        <v>458.6</v>
      </c>
      <c r="G486">
        <v>7695</v>
      </c>
      <c r="H486" s="116"/>
      <c r="I486" s="116"/>
      <c r="L486" s="170">
        <v>45826</v>
      </c>
      <c r="M486" s="116">
        <v>458.25</v>
      </c>
      <c r="N486" s="116">
        <v>463</v>
      </c>
      <c r="O486" s="116">
        <v>453.9</v>
      </c>
      <c r="P486" s="116">
        <v>457.5</v>
      </c>
      <c r="Q486" s="116">
        <v>458.25</v>
      </c>
      <c r="R486">
        <v>114211</v>
      </c>
    </row>
    <row r="487" spans="1:18" x14ac:dyDescent="0.25">
      <c r="A487" s="170">
        <v>45827</v>
      </c>
      <c r="B487" s="116">
        <v>463.15</v>
      </c>
      <c r="C487" s="116">
        <v>446.65</v>
      </c>
      <c r="D487" s="116">
        <v>446</v>
      </c>
      <c r="E487" s="116">
        <v>461.8</v>
      </c>
      <c r="F487" s="116">
        <v>446.65</v>
      </c>
      <c r="G487">
        <v>27681</v>
      </c>
      <c r="H487" s="116"/>
      <c r="I487" s="116"/>
      <c r="L487" s="170">
        <v>45827</v>
      </c>
      <c r="M487" s="116">
        <v>446.5</v>
      </c>
      <c r="N487" s="116">
        <v>463.2</v>
      </c>
      <c r="O487" s="116">
        <v>444.65</v>
      </c>
      <c r="P487" s="116">
        <v>456</v>
      </c>
      <c r="Q487" s="116">
        <v>446.5</v>
      </c>
      <c r="R487">
        <v>156876</v>
      </c>
    </row>
    <row r="488" spans="1:18" x14ac:dyDescent="0.25">
      <c r="A488" s="170">
        <v>45828</v>
      </c>
      <c r="B488" s="116">
        <v>455.25</v>
      </c>
      <c r="C488" s="116">
        <v>453.9</v>
      </c>
      <c r="D488" s="116">
        <v>443.55</v>
      </c>
      <c r="E488" s="116">
        <v>450</v>
      </c>
      <c r="F488" s="116">
        <v>453.9</v>
      </c>
      <c r="G488">
        <v>14003</v>
      </c>
      <c r="H488" s="116"/>
      <c r="I488" s="116"/>
      <c r="L488" s="170">
        <v>45828</v>
      </c>
      <c r="M488" s="116">
        <v>454.3</v>
      </c>
      <c r="N488" s="116">
        <v>456.7</v>
      </c>
      <c r="O488" s="116">
        <v>443.25</v>
      </c>
      <c r="P488" s="116">
        <v>444.3</v>
      </c>
      <c r="Q488" s="116">
        <v>454.3</v>
      </c>
      <c r="R488">
        <v>95782</v>
      </c>
    </row>
    <row r="489" spans="1:18" x14ac:dyDescent="0.25">
      <c r="A489" s="170">
        <v>45831</v>
      </c>
      <c r="B489" s="116">
        <v>462.4</v>
      </c>
      <c r="C489" s="116">
        <v>461.15</v>
      </c>
      <c r="D489" s="116">
        <v>446.1</v>
      </c>
      <c r="E489" s="116">
        <v>452.95</v>
      </c>
      <c r="F489" s="116">
        <v>461.15</v>
      </c>
      <c r="G489">
        <v>7829</v>
      </c>
      <c r="H489" s="116"/>
      <c r="I489" s="116"/>
      <c r="L489" s="170">
        <v>45831</v>
      </c>
      <c r="M489" s="116">
        <v>461.4</v>
      </c>
      <c r="N489" s="116">
        <v>463</v>
      </c>
      <c r="O489" s="116">
        <v>446.3</v>
      </c>
      <c r="P489" s="116">
        <v>446.3</v>
      </c>
      <c r="Q489" s="116">
        <v>461.4</v>
      </c>
      <c r="R489">
        <v>166573</v>
      </c>
    </row>
    <row r="490" spans="1:18" x14ac:dyDescent="0.25">
      <c r="A490" s="170">
        <v>45832</v>
      </c>
      <c r="B490" s="116">
        <v>470.75</v>
      </c>
      <c r="C490" s="116">
        <v>463.55</v>
      </c>
      <c r="D490" s="116">
        <v>458.8</v>
      </c>
      <c r="E490" s="116">
        <v>469.8</v>
      </c>
      <c r="F490" s="116">
        <v>463.55</v>
      </c>
      <c r="G490">
        <v>4294</v>
      </c>
      <c r="H490" s="116"/>
      <c r="I490" s="116"/>
      <c r="L490" s="170">
        <v>45832</v>
      </c>
      <c r="M490" s="116">
        <v>464.05</v>
      </c>
      <c r="N490" s="116">
        <v>471.15</v>
      </c>
      <c r="O490" s="116">
        <v>462.1</v>
      </c>
      <c r="P490" s="116">
        <v>465</v>
      </c>
      <c r="Q490" s="116">
        <v>464.05</v>
      </c>
      <c r="R490">
        <v>141176</v>
      </c>
    </row>
    <row r="491" spans="1:18" x14ac:dyDescent="0.25">
      <c r="A491" s="170">
        <v>45833</v>
      </c>
      <c r="B491" s="116">
        <v>476.45</v>
      </c>
      <c r="C491" s="116">
        <v>473.8</v>
      </c>
      <c r="D491" s="116">
        <v>465</v>
      </c>
      <c r="E491" s="116">
        <v>465.05</v>
      </c>
      <c r="F491" s="116">
        <v>473.8</v>
      </c>
      <c r="G491">
        <v>6469</v>
      </c>
      <c r="H491" s="116"/>
      <c r="I491" s="116"/>
      <c r="L491" s="170">
        <v>45833</v>
      </c>
      <c r="M491" s="116">
        <v>473.7</v>
      </c>
      <c r="N491" s="116">
        <v>476.4</v>
      </c>
      <c r="O491" s="116">
        <v>464.05</v>
      </c>
      <c r="P491" s="116">
        <v>464.05</v>
      </c>
      <c r="Q491" s="116">
        <v>473.7</v>
      </c>
      <c r="R491">
        <v>127611</v>
      </c>
    </row>
    <row r="492" spans="1:18" x14ac:dyDescent="0.25">
      <c r="A492" s="170">
        <v>45834</v>
      </c>
      <c r="B492" s="116">
        <v>476.95</v>
      </c>
      <c r="C492" s="116">
        <v>469.95</v>
      </c>
      <c r="D492" s="116">
        <v>467.6</v>
      </c>
      <c r="E492" s="116">
        <v>476.95</v>
      </c>
      <c r="F492" s="116">
        <v>469.95</v>
      </c>
      <c r="G492">
        <v>18800</v>
      </c>
      <c r="H492" s="116"/>
      <c r="I492" s="116"/>
      <c r="L492" s="170">
        <v>45834</v>
      </c>
      <c r="M492" s="116">
        <v>470.1</v>
      </c>
      <c r="N492" s="116">
        <v>477.2</v>
      </c>
      <c r="O492" s="116">
        <v>468</v>
      </c>
      <c r="P492" s="116">
        <v>473.7</v>
      </c>
      <c r="Q492" s="116">
        <v>470.1</v>
      </c>
      <c r="R492">
        <v>76570</v>
      </c>
    </row>
    <row r="493" spans="1:18" x14ac:dyDescent="0.25">
      <c r="A493" s="170">
        <v>45835</v>
      </c>
      <c r="B493" s="116">
        <v>478.95</v>
      </c>
      <c r="C493" s="116">
        <v>466.25</v>
      </c>
      <c r="D493" s="116">
        <v>464.85</v>
      </c>
      <c r="E493" s="116">
        <v>474.95</v>
      </c>
      <c r="F493" s="116">
        <v>466.25</v>
      </c>
      <c r="G493">
        <v>10806</v>
      </c>
      <c r="H493" s="116"/>
      <c r="I493" s="116"/>
      <c r="L493" s="170">
        <v>45835</v>
      </c>
      <c r="M493" s="116">
        <v>466</v>
      </c>
      <c r="N493" s="116">
        <v>479</v>
      </c>
      <c r="O493" s="116">
        <v>463.7</v>
      </c>
      <c r="P493" s="116">
        <v>475.6</v>
      </c>
      <c r="Q493" s="116">
        <v>466</v>
      </c>
      <c r="R493">
        <v>241490</v>
      </c>
    </row>
    <row r="494" spans="1:18" x14ac:dyDescent="0.25">
      <c r="A494" s="170">
        <v>45838</v>
      </c>
      <c r="B494" s="116">
        <v>477</v>
      </c>
      <c r="C494" s="116">
        <v>475.5</v>
      </c>
      <c r="D494" s="116">
        <v>469</v>
      </c>
      <c r="E494" s="116">
        <v>470</v>
      </c>
      <c r="F494" s="116">
        <v>475.5</v>
      </c>
      <c r="G494">
        <v>10833</v>
      </c>
      <c r="H494" s="116"/>
      <c r="I494" s="116"/>
      <c r="L494" s="170">
        <v>45838</v>
      </c>
      <c r="M494" s="116">
        <v>474.7</v>
      </c>
      <c r="N494" s="116">
        <v>477</v>
      </c>
      <c r="O494" s="116">
        <v>467.4</v>
      </c>
      <c r="P494" s="116">
        <v>467.4</v>
      </c>
      <c r="Q494" s="116">
        <v>474.7</v>
      </c>
      <c r="R494">
        <v>150158</v>
      </c>
    </row>
    <row r="495" spans="1:18" x14ac:dyDescent="0.25">
      <c r="A495" s="170">
        <v>45839</v>
      </c>
      <c r="B495" s="116">
        <v>478.55</v>
      </c>
      <c r="C495" s="116">
        <v>475.25</v>
      </c>
      <c r="D495" s="116">
        <v>469.15</v>
      </c>
      <c r="E495" s="116">
        <v>478</v>
      </c>
      <c r="F495" s="116">
        <v>475.25</v>
      </c>
      <c r="G495">
        <v>15243</v>
      </c>
      <c r="H495" s="116"/>
      <c r="I495" s="116"/>
      <c r="L495" s="170">
        <v>45839</v>
      </c>
      <c r="M495" s="116">
        <v>475.4</v>
      </c>
      <c r="N495" s="116">
        <v>478.8</v>
      </c>
      <c r="O495" s="116">
        <v>469.55</v>
      </c>
      <c r="P495" s="116">
        <v>476.25</v>
      </c>
      <c r="Q495" s="116">
        <v>475.4</v>
      </c>
      <c r="R495">
        <v>94756</v>
      </c>
    </row>
    <row r="496" spans="1:18" x14ac:dyDescent="0.25">
      <c r="A496" s="170">
        <v>45840</v>
      </c>
      <c r="B496" s="116">
        <v>478.8</v>
      </c>
      <c r="C496" s="116">
        <v>475.4</v>
      </c>
      <c r="D496" s="116">
        <v>468.8</v>
      </c>
      <c r="E496" s="116">
        <v>478.8</v>
      </c>
      <c r="F496" s="116">
        <v>475.4</v>
      </c>
      <c r="G496">
        <v>4428</v>
      </c>
      <c r="H496" s="116"/>
      <c r="I496" s="116"/>
      <c r="L496" s="170">
        <v>45840</v>
      </c>
      <c r="M496" s="116">
        <v>475.45</v>
      </c>
      <c r="N496" s="116">
        <v>477.3</v>
      </c>
      <c r="O496" s="116">
        <v>469.15</v>
      </c>
      <c r="P496" s="116">
        <v>473.25</v>
      </c>
      <c r="Q496" s="116">
        <v>475.45</v>
      </c>
      <c r="R496">
        <v>130249</v>
      </c>
    </row>
    <row r="497" spans="1:18" x14ac:dyDescent="0.25">
      <c r="A497" s="170">
        <v>45841</v>
      </c>
      <c r="B497" s="116">
        <v>483</v>
      </c>
      <c r="C497" s="116">
        <v>480.1</v>
      </c>
      <c r="D497" s="116">
        <v>474.05</v>
      </c>
      <c r="E497" s="116">
        <v>477.55</v>
      </c>
      <c r="F497" s="116">
        <v>480.1</v>
      </c>
      <c r="G497">
        <v>7139</v>
      </c>
      <c r="H497" s="116"/>
      <c r="I497" s="116"/>
      <c r="L497" s="170">
        <v>45841</v>
      </c>
      <c r="M497" s="116">
        <v>480.1</v>
      </c>
      <c r="N497" s="116">
        <v>483.45</v>
      </c>
      <c r="O497" s="116">
        <v>473.2</v>
      </c>
      <c r="P497" s="116">
        <v>480</v>
      </c>
      <c r="Q497" s="116">
        <v>480.1</v>
      </c>
      <c r="R497">
        <v>163786</v>
      </c>
    </row>
    <row r="498" spans="1:18" x14ac:dyDescent="0.25">
      <c r="A498" s="170">
        <v>45842</v>
      </c>
      <c r="B498" s="116">
        <v>489.05</v>
      </c>
      <c r="C498" s="116">
        <v>484.75</v>
      </c>
      <c r="D498" s="116">
        <v>476.65</v>
      </c>
      <c r="E498" s="116">
        <v>485.25</v>
      </c>
      <c r="F498" s="116">
        <v>484.75</v>
      </c>
      <c r="G498">
        <v>29842</v>
      </c>
      <c r="H498" s="116"/>
      <c r="I498" s="116"/>
      <c r="L498" s="170">
        <v>45842</v>
      </c>
      <c r="M498" s="116">
        <v>484.7</v>
      </c>
      <c r="N498" s="116">
        <v>489.3</v>
      </c>
      <c r="O498" s="116">
        <v>476.75</v>
      </c>
      <c r="P498" s="116">
        <v>481.1</v>
      </c>
      <c r="Q498" s="116">
        <v>484.7</v>
      </c>
      <c r="R498">
        <v>192144</v>
      </c>
    </row>
    <row r="499" spans="1:18" x14ac:dyDescent="0.25">
      <c r="A499" s="170">
        <v>45845</v>
      </c>
      <c r="B499" s="116">
        <v>494.15</v>
      </c>
      <c r="C499" s="116">
        <v>491.95</v>
      </c>
      <c r="D499" s="116">
        <v>480.7</v>
      </c>
      <c r="E499" s="116">
        <v>482</v>
      </c>
      <c r="F499" s="116">
        <v>491.95</v>
      </c>
      <c r="G499">
        <v>52698</v>
      </c>
      <c r="H499" s="116"/>
      <c r="I499" s="116"/>
      <c r="L499" s="170">
        <v>45845</v>
      </c>
      <c r="M499" s="116">
        <v>491.9</v>
      </c>
      <c r="N499" s="116">
        <v>494.1</v>
      </c>
      <c r="O499" s="116">
        <v>480.6</v>
      </c>
      <c r="P499" s="116">
        <v>482.25</v>
      </c>
      <c r="Q499" s="116">
        <v>491.9</v>
      </c>
      <c r="R499">
        <v>307070</v>
      </c>
    </row>
    <row r="500" spans="1:18" x14ac:dyDescent="0.25">
      <c r="A500" s="170">
        <v>45846</v>
      </c>
      <c r="B500" s="116">
        <v>505</v>
      </c>
      <c r="C500" s="116">
        <v>492.5</v>
      </c>
      <c r="D500" s="116">
        <v>487</v>
      </c>
      <c r="E500" s="116">
        <v>492.45</v>
      </c>
      <c r="F500" s="116">
        <v>492.5</v>
      </c>
      <c r="G500">
        <v>45152</v>
      </c>
      <c r="H500" s="116"/>
      <c r="I500" s="116"/>
      <c r="L500" s="170">
        <v>45846</v>
      </c>
      <c r="M500" s="116">
        <v>493.2</v>
      </c>
      <c r="N500" s="116">
        <v>505.5</v>
      </c>
      <c r="O500" s="116">
        <v>486.9</v>
      </c>
      <c r="P500" s="116">
        <v>491.95</v>
      </c>
      <c r="Q500" s="116">
        <v>493.2</v>
      </c>
      <c r="R500">
        <v>501770</v>
      </c>
    </row>
    <row r="501" spans="1:18" x14ac:dyDescent="0.25">
      <c r="A501" s="170">
        <v>45847</v>
      </c>
      <c r="B501" s="116">
        <v>499.95</v>
      </c>
      <c r="C501" s="116">
        <v>485.55</v>
      </c>
      <c r="D501" s="116">
        <v>483</v>
      </c>
      <c r="E501" s="116">
        <v>491.35</v>
      </c>
      <c r="F501" s="116">
        <v>485.55</v>
      </c>
      <c r="G501">
        <v>12771</v>
      </c>
      <c r="H501" s="116"/>
      <c r="I501" s="116"/>
      <c r="L501" s="170">
        <v>45847</v>
      </c>
      <c r="M501" s="116">
        <v>485.55</v>
      </c>
      <c r="N501" s="116">
        <v>500</v>
      </c>
      <c r="O501" s="116">
        <v>482.65</v>
      </c>
      <c r="P501" s="116">
        <v>493.95</v>
      </c>
      <c r="Q501" s="116">
        <v>485.55</v>
      </c>
      <c r="R501">
        <v>258726</v>
      </c>
    </row>
    <row r="502" spans="1:18" x14ac:dyDescent="0.25">
      <c r="A502" s="170">
        <v>45848</v>
      </c>
      <c r="B502" s="116">
        <v>499.7</v>
      </c>
      <c r="C502" s="116">
        <v>486.45</v>
      </c>
      <c r="D502" s="116">
        <v>482.6</v>
      </c>
      <c r="E502" s="116">
        <v>491.2</v>
      </c>
      <c r="F502" s="116">
        <v>486.45</v>
      </c>
      <c r="G502">
        <v>40691</v>
      </c>
      <c r="H502" s="116"/>
      <c r="I502" s="116"/>
      <c r="L502" s="170">
        <v>45848</v>
      </c>
      <c r="M502" s="116">
        <v>486.9</v>
      </c>
      <c r="N502" s="116">
        <v>499.7</v>
      </c>
      <c r="O502" s="116">
        <v>481.95</v>
      </c>
      <c r="P502" s="116">
        <v>495</v>
      </c>
      <c r="Q502" s="116">
        <v>486.9</v>
      </c>
      <c r="R502">
        <v>323168</v>
      </c>
    </row>
    <row r="503" spans="1:18" x14ac:dyDescent="0.25">
      <c r="A503" s="170">
        <v>45849</v>
      </c>
      <c r="B503" s="116">
        <v>489.85</v>
      </c>
      <c r="C503" s="116">
        <v>482.25</v>
      </c>
      <c r="D503" s="116">
        <v>480.65</v>
      </c>
      <c r="E503" s="116">
        <v>483.1</v>
      </c>
      <c r="F503" s="116">
        <v>482.25</v>
      </c>
      <c r="G503">
        <v>6628</v>
      </c>
      <c r="H503" s="116"/>
      <c r="I503" s="116"/>
      <c r="L503" s="170">
        <v>45849</v>
      </c>
      <c r="M503" s="116">
        <v>482.7</v>
      </c>
      <c r="N503" s="116">
        <v>491</v>
      </c>
      <c r="O503" s="116">
        <v>480.5</v>
      </c>
      <c r="P503" s="116">
        <v>484.45</v>
      </c>
      <c r="Q503" s="116">
        <v>482.7</v>
      </c>
      <c r="R503">
        <v>125348</v>
      </c>
    </row>
    <row r="504" spans="1:18" x14ac:dyDescent="0.25">
      <c r="A504" s="170">
        <v>45852</v>
      </c>
      <c r="B504" s="116">
        <v>487.95</v>
      </c>
      <c r="C504" s="116">
        <v>474.25</v>
      </c>
      <c r="D504" s="116">
        <v>471.05</v>
      </c>
      <c r="E504" s="116">
        <v>487.95</v>
      </c>
      <c r="F504" s="116">
        <v>474.25</v>
      </c>
      <c r="G504">
        <v>10126</v>
      </c>
      <c r="H504" s="116"/>
      <c r="I504" s="116"/>
      <c r="L504" s="170">
        <v>45852</v>
      </c>
      <c r="M504" s="116">
        <v>474.3</v>
      </c>
      <c r="N504" s="116">
        <v>485.1</v>
      </c>
      <c r="O504" s="116">
        <v>470.95</v>
      </c>
      <c r="P504" s="116">
        <v>483</v>
      </c>
      <c r="Q504" s="116">
        <v>474.3</v>
      </c>
      <c r="R504">
        <v>164609</v>
      </c>
    </row>
    <row r="505" spans="1:18" x14ac:dyDescent="0.25">
      <c r="A505" s="170">
        <v>45853</v>
      </c>
      <c r="B505" s="116">
        <v>487.7</v>
      </c>
      <c r="C505" s="116">
        <v>484.6</v>
      </c>
      <c r="D505" s="116">
        <v>474.2</v>
      </c>
      <c r="E505" s="116">
        <v>474.35</v>
      </c>
      <c r="F505" s="116">
        <v>484.6</v>
      </c>
      <c r="G505">
        <v>7944</v>
      </c>
      <c r="H505" s="116"/>
      <c r="I505" s="116"/>
      <c r="L505" s="170">
        <v>45853</v>
      </c>
      <c r="M505" s="116">
        <v>484.25</v>
      </c>
      <c r="N505" s="116">
        <v>488.2</v>
      </c>
      <c r="O505" s="116">
        <v>473.1</v>
      </c>
      <c r="P505" s="116">
        <v>475.9</v>
      </c>
      <c r="Q505" s="116">
        <v>484.25</v>
      </c>
      <c r="R505">
        <v>167969</v>
      </c>
    </row>
    <row r="506" spans="1:18" x14ac:dyDescent="0.25">
      <c r="A506" s="170">
        <v>45854</v>
      </c>
      <c r="B506" s="116">
        <v>487.25</v>
      </c>
      <c r="C506" s="116">
        <v>483.45</v>
      </c>
      <c r="D506" s="116">
        <v>480.85</v>
      </c>
      <c r="E506" s="116">
        <v>483.45</v>
      </c>
      <c r="F506" s="116">
        <v>483.45</v>
      </c>
      <c r="G506">
        <v>10957</v>
      </c>
      <c r="H506" s="116"/>
      <c r="I506" s="116"/>
      <c r="L506" s="170">
        <v>45854</v>
      </c>
      <c r="M506" s="116">
        <v>483.85</v>
      </c>
      <c r="N506" s="116">
        <v>487.55</v>
      </c>
      <c r="O506" s="116">
        <v>481.55</v>
      </c>
      <c r="P506" s="116">
        <v>484.1</v>
      </c>
      <c r="Q506" s="116">
        <v>483.85</v>
      </c>
      <c r="R506">
        <v>74387</v>
      </c>
    </row>
    <row r="507" spans="1:18" x14ac:dyDescent="0.25">
      <c r="A507" s="170">
        <v>45855</v>
      </c>
      <c r="B507" s="116">
        <v>487.9</v>
      </c>
      <c r="C507" s="116">
        <v>485.8</v>
      </c>
      <c r="D507" s="116">
        <v>483.45</v>
      </c>
      <c r="E507" s="116">
        <v>485.3</v>
      </c>
      <c r="F507" s="116">
        <v>485.8</v>
      </c>
      <c r="G507">
        <v>4653</v>
      </c>
      <c r="H507" s="116"/>
      <c r="I507" s="116"/>
      <c r="L507" s="170">
        <v>45855</v>
      </c>
      <c r="M507" s="116">
        <v>485.5</v>
      </c>
      <c r="N507" s="116">
        <v>487.95</v>
      </c>
      <c r="O507" s="116">
        <v>483.4</v>
      </c>
      <c r="P507" s="116">
        <v>487.15</v>
      </c>
      <c r="Q507" s="116">
        <v>485.5</v>
      </c>
      <c r="R507">
        <v>74091</v>
      </c>
    </row>
    <row r="508" spans="1:18" x14ac:dyDescent="0.25">
      <c r="A508" s="170">
        <v>45856</v>
      </c>
      <c r="B508" s="116">
        <v>492</v>
      </c>
      <c r="C508" s="116">
        <v>479.1</v>
      </c>
      <c r="D508" s="116">
        <v>475.9</v>
      </c>
      <c r="E508" s="116">
        <v>483.55</v>
      </c>
      <c r="F508" s="116">
        <v>479.1</v>
      </c>
      <c r="G508">
        <v>17455</v>
      </c>
      <c r="H508" s="116"/>
      <c r="I508" s="116"/>
      <c r="L508" s="170">
        <v>45856</v>
      </c>
      <c r="M508" s="116">
        <v>478.55</v>
      </c>
      <c r="N508" s="116">
        <v>492.3</v>
      </c>
      <c r="O508" s="116">
        <v>475.1</v>
      </c>
      <c r="P508" s="116">
        <v>487.95</v>
      </c>
      <c r="Q508" s="116">
        <v>478.55</v>
      </c>
      <c r="R508">
        <v>178240</v>
      </c>
    </row>
    <row r="509" spans="1:18" x14ac:dyDescent="0.25">
      <c r="A509" s="170">
        <v>45859</v>
      </c>
      <c r="B509" s="116">
        <v>480.85</v>
      </c>
      <c r="C509" s="116">
        <v>474.9</v>
      </c>
      <c r="D509" s="116">
        <v>472</v>
      </c>
      <c r="E509" s="116">
        <v>478.35</v>
      </c>
      <c r="F509" s="116">
        <v>474.9</v>
      </c>
      <c r="G509">
        <v>20538</v>
      </c>
      <c r="H509" s="116"/>
      <c r="I509" s="116"/>
      <c r="L509" s="170">
        <v>45859</v>
      </c>
      <c r="M509" s="116">
        <v>474.5</v>
      </c>
      <c r="N509" s="116">
        <v>480.95</v>
      </c>
      <c r="O509" s="116">
        <v>471.8</v>
      </c>
      <c r="P509" s="116">
        <v>479</v>
      </c>
      <c r="Q509" s="116">
        <v>474.5</v>
      </c>
      <c r="R509">
        <v>150415</v>
      </c>
    </row>
    <row r="510" spans="1:18" x14ac:dyDescent="0.25">
      <c r="A510" s="170">
        <v>45860</v>
      </c>
      <c r="B510" s="116">
        <v>483.15</v>
      </c>
      <c r="C510" s="116">
        <v>481.2</v>
      </c>
      <c r="D510" s="116">
        <v>473</v>
      </c>
      <c r="E510" s="116">
        <v>479.45</v>
      </c>
      <c r="F510" s="116">
        <v>481.2</v>
      </c>
      <c r="G510">
        <v>23330</v>
      </c>
      <c r="H510" s="116"/>
      <c r="I510" s="116"/>
      <c r="L510" s="170">
        <v>45860</v>
      </c>
      <c r="M510" s="116">
        <v>480.9</v>
      </c>
      <c r="N510" s="116">
        <v>483.7</v>
      </c>
      <c r="O510" s="116">
        <v>472.5</v>
      </c>
      <c r="P510" s="116">
        <v>476.95</v>
      </c>
      <c r="Q510" s="116">
        <v>480.9</v>
      </c>
      <c r="R510">
        <v>229306</v>
      </c>
    </row>
    <row r="511" spans="1:18" x14ac:dyDescent="0.25">
      <c r="A511" s="170">
        <v>45861</v>
      </c>
      <c r="B511" s="116">
        <v>476</v>
      </c>
      <c r="C511" s="116">
        <v>470.3</v>
      </c>
      <c r="D511" s="116">
        <v>440.2</v>
      </c>
      <c r="E511" s="116">
        <v>464.95</v>
      </c>
      <c r="F511" s="116">
        <v>470.3</v>
      </c>
      <c r="G511">
        <v>158495</v>
      </c>
      <c r="H511" s="116"/>
      <c r="I511" s="116"/>
      <c r="L511" s="170">
        <v>45861</v>
      </c>
      <c r="M511" s="116">
        <v>470.25</v>
      </c>
      <c r="N511" s="116">
        <v>476.3</v>
      </c>
      <c r="O511" s="116">
        <v>441</v>
      </c>
      <c r="P511" s="116">
        <v>461.95</v>
      </c>
      <c r="Q511" s="116">
        <v>470.25</v>
      </c>
      <c r="R511">
        <v>1036468</v>
      </c>
    </row>
    <row r="512" spans="1:18" x14ac:dyDescent="0.25">
      <c r="A512" s="170">
        <v>45862</v>
      </c>
      <c r="B512" s="116">
        <v>473.05</v>
      </c>
      <c r="C512" s="116">
        <v>467.95</v>
      </c>
      <c r="D512" s="116">
        <v>466.55</v>
      </c>
      <c r="E512" s="116">
        <v>468.8</v>
      </c>
      <c r="F512" s="116">
        <v>467.95</v>
      </c>
      <c r="G512">
        <v>21452</v>
      </c>
      <c r="H512" s="116"/>
      <c r="I512" s="116"/>
      <c r="L512" s="170">
        <v>45862</v>
      </c>
      <c r="M512" s="116">
        <v>468.25</v>
      </c>
      <c r="N512" s="116">
        <v>473</v>
      </c>
      <c r="O512" s="116">
        <v>466.45</v>
      </c>
      <c r="P512" s="116">
        <v>470.1</v>
      </c>
      <c r="Q512" s="116">
        <v>468.25</v>
      </c>
      <c r="R512">
        <v>181321</v>
      </c>
    </row>
    <row r="513" spans="1:18" x14ac:dyDescent="0.25">
      <c r="A513" s="170">
        <v>45863</v>
      </c>
      <c r="B513" s="116">
        <v>465.4</v>
      </c>
      <c r="C513" s="116">
        <v>459.85</v>
      </c>
      <c r="D513" s="116">
        <v>456</v>
      </c>
      <c r="E513" s="116">
        <v>460.05</v>
      </c>
      <c r="F513" s="116">
        <v>459.85</v>
      </c>
      <c r="G513">
        <v>13906</v>
      </c>
      <c r="H513" s="116"/>
      <c r="I513" s="116"/>
      <c r="L513" s="170">
        <v>45863</v>
      </c>
      <c r="M513" s="116">
        <v>459.4</v>
      </c>
      <c r="N513" s="116">
        <v>468.25</v>
      </c>
      <c r="O513" s="116">
        <v>455.1</v>
      </c>
      <c r="P513" s="116">
        <v>468.25</v>
      </c>
      <c r="Q513" s="116">
        <v>459.4</v>
      </c>
      <c r="R513">
        <v>118511</v>
      </c>
    </row>
    <row r="514" spans="1:18" x14ac:dyDescent="0.25">
      <c r="A514" s="170">
        <v>45866</v>
      </c>
      <c r="B514" s="116">
        <v>456.6</v>
      </c>
      <c r="C514" s="116">
        <v>443.55</v>
      </c>
      <c r="D514" s="116">
        <v>437.7</v>
      </c>
      <c r="E514" s="116">
        <v>456.05</v>
      </c>
      <c r="F514" s="116">
        <v>443.55</v>
      </c>
      <c r="G514">
        <v>32798</v>
      </c>
      <c r="H514" s="116"/>
      <c r="I514" s="116"/>
      <c r="L514" s="170">
        <v>45866</v>
      </c>
      <c r="M514" s="116">
        <v>444</v>
      </c>
      <c r="N514" s="116">
        <v>459.25</v>
      </c>
      <c r="O514" s="116">
        <v>438.35</v>
      </c>
      <c r="P514" s="116">
        <v>459.25</v>
      </c>
      <c r="Q514" s="116">
        <v>444</v>
      </c>
      <c r="R514">
        <v>229381</v>
      </c>
    </row>
    <row r="515" spans="1:18" x14ac:dyDescent="0.25">
      <c r="A515" s="170">
        <v>45867</v>
      </c>
      <c r="B515" s="116">
        <v>452.65</v>
      </c>
      <c r="C515" s="116">
        <v>450.45</v>
      </c>
      <c r="D515" s="116">
        <v>441.55</v>
      </c>
      <c r="E515" s="116">
        <v>441.55</v>
      </c>
      <c r="F515" s="116">
        <v>450.45</v>
      </c>
      <c r="G515">
        <v>4775</v>
      </c>
      <c r="H515" s="116"/>
      <c r="I515" s="116"/>
      <c r="L515" s="170">
        <v>45867</v>
      </c>
      <c r="M515" s="116">
        <v>450.2</v>
      </c>
      <c r="N515" s="116">
        <v>452.7</v>
      </c>
      <c r="O515" s="116">
        <v>446</v>
      </c>
      <c r="P515" s="116">
        <v>446</v>
      </c>
      <c r="Q515" s="116">
        <v>450.2</v>
      </c>
      <c r="R515">
        <v>85804</v>
      </c>
    </row>
    <row r="516" spans="1:18" x14ac:dyDescent="0.25">
      <c r="A516" s="170">
        <v>45868</v>
      </c>
      <c r="B516" s="116">
        <v>456.45</v>
      </c>
      <c r="C516" s="116">
        <v>449.9</v>
      </c>
      <c r="D516" s="116">
        <v>447.3</v>
      </c>
      <c r="E516" s="116">
        <v>453</v>
      </c>
      <c r="F516" s="116">
        <v>449.9</v>
      </c>
      <c r="G516">
        <v>10039</v>
      </c>
      <c r="H516" s="116"/>
      <c r="I516" s="116"/>
      <c r="L516" s="170">
        <v>45868</v>
      </c>
      <c r="M516" s="116">
        <v>449.9</v>
      </c>
      <c r="N516" s="116">
        <v>457.15</v>
      </c>
      <c r="O516" s="116">
        <v>447.75</v>
      </c>
      <c r="P516" s="116">
        <v>452.2</v>
      </c>
      <c r="Q516" s="116">
        <v>449.9</v>
      </c>
      <c r="R516">
        <v>47947</v>
      </c>
    </row>
    <row r="517" spans="1:18" x14ac:dyDescent="0.25">
      <c r="A517" s="170">
        <v>45869</v>
      </c>
      <c r="B517" s="116">
        <v>453.55</v>
      </c>
      <c r="C517" s="116">
        <v>450.45</v>
      </c>
      <c r="D517" s="116">
        <v>437.95</v>
      </c>
      <c r="E517" s="116">
        <v>438.35</v>
      </c>
      <c r="F517" s="116">
        <v>450.45</v>
      </c>
      <c r="G517">
        <v>17981</v>
      </c>
      <c r="H517" s="116"/>
      <c r="I517" s="116"/>
      <c r="L517" s="170">
        <v>45869</v>
      </c>
      <c r="M517" s="116">
        <v>450.2</v>
      </c>
      <c r="N517" s="116">
        <v>453.95</v>
      </c>
      <c r="O517" s="116">
        <v>436.65</v>
      </c>
      <c r="P517" s="116">
        <v>440.55</v>
      </c>
      <c r="Q517" s="116">
        <v>450.2</v>
      </c>
      <c r="R517">
        <v>78374</v>
      </c>
    </row>
    <row r="518" spans="1:18" x14ac:dyDescent="0.25">
      <c r="A518" s="170">
        <v>45870</v>
      </c>
      <c r="B518" s="116">
        <v>459.2</v>
      </c>
      <c r="C518" s="116">
        <v>444.1</v>
      </c>
      <c r="D518" s="116">
        <v>442.05</v>
      </c>
      <c r="E518" s="116">
        <v>450</v>
      </c>
      <c r="F518" s="116">
        <v>444.1</v>
      </c>
      <c r="G518">
        <v>14968</v>
      </c>
      <c r="H518" s="116"/>
      <c r="I518" s="116"/>
      <c r="L518" s="170">
        <v>45870</v>
      </c>
      <c r="M518" s="116">
        <v>445.7</v>
      </c>
      <c r="N518" s="116">
        <v>460</v>
      </c>
      <c r="O518" s="116">
        <v>442.15</v>
      </c>
      <c r="P518" s="116">
        <v>450.5</v>
      </c>
      <c r="Q518" s="116">
        <v>445.7</v>
      </c>
      <c r="R518">
        <v>206126</v>
      </c>
    </row>
    <row r="519" spans="1:18" x14ac:dyDescent="0.25">
      <c r="A519" s="170">
        <v>45873</v>
      </c>
      <c r="B519" s="116">
        <v>448.4</v>
      </c>
      <c r="C519" s="116">
        <v>440.65</v>
      </c>
      <c r="D519" s="116">
        <v>438.05</v>
      </c>
      <c r="E519" s="116">
        <v>448.4</v>
      </c>
      <c r="F519" s="116">
        <v>440.65</v>
      </c>
      <c r="G519">
        <v>6669</v>
      </c>
      <c r="H519" s="116"/>
      <c r="I519" s="116"/>
      <c r="L519" s="170">
        <v>45873</v>
      </c>
      <c r="M519" s="116">
        <v>441.15</v>
      </c>
      <c r="N519" s="116">
        <v>447.05</v>
      </c>
      <c r="O519" s="116">
        <v>438.05</v>
      </c>
      <c r="P519" s="116">
        <v>446</v>
      </c>
      <c r="Q519" s="116">
        <v>441.15</v>
      </c>
      <c r="R519">
        <v>79754</v>
      </c>
    </row>
    <row r="520" spans="1:18" x14ac:dyDescent="0.25">
      <c r="A520" s="170">
        <v>45874</v>
      </c>
      <c r="B520" s="116">
        <v>456.4</v>
      </c>
      <c r="C520" s="116">
        <v>430.4</v>
      </c>
      <c r="D520" s="116">
        <v>426.85</v>
      </c>
      <c r="E520" s="116">
        <v>456.4</v>
      </c>
      <c r="F520" s="116">
        <v>430.4</v>
      </c>
      <c r="G520">
        <v>12755</v>
      </c>
      <c r="H520" s="116"/>
      <c r="I520" s="116"/>
      <c r="L520" s="170">
        <v>45874</v>
      </c>
      <c r="M520" s="116">
        <v>430.9</v>
      </c>
      <c r="N520" s="116">
        <v>443.4</v>
      </c>
      <c r="O520" s="116">
        <v>426</v>
      </c>
      <c r="P520" s="116">
        <v>441.85</v>
      </c>
      <c r="Q520" s="116">
        <v>430.9</v>
      </c>
      <c r="R520">
        <v>258008</v>
      </c>
    </row>
    <row r="521" spans="1:18" x14ac:dyDescent="0.25">
      <c r="A521" s="170">
        <v>45875</v>
      </c>
      <c r="B521" s="116">
        <v>437.8</v>
      </c>
      <c r="C521" s="116">
        <v>433</v>
      </c>
      <c r="D521" s="116">
        <v>430.2</v>
      </c>
      <c r="E521" s="116">
        <v>437.8</v>
      </c>
      <c r="F521" s="116">
        <v>433</v>
      </c>
      <c r="G521">
        <v>3474</v>
      </c>
      <c r="H521" s="116"/>
      <c r="I521" s="116"/>
      <c r="L521" s="170">
        <v>45875</v>
      </c>
      <c r="M521" s="116">
        <v>433.05</v>
      </c>
      <c r="N521" s="116">
        <v>435</v>
      </c>
      <c r="O521" s="116">
        <v>427.55</v>
      </c>
      <c r="P521" s="116">
        <v>432</v>
      </c>
      <c r="Q521" s="116">
        <v>433.05</v>
      </c>
      <c r="R521">
        <v>68133</v>
      </c>
    </row>
    <row r="522" spans="1:18" x14ac:dyDescent="0.25">
      <c r="A522" s="170">
        <v>45876</v>
      </c>
      <c r="B522" s="116">
        <v>434.95</v>
      </c>
      <c r="C522" s="116">
        <v>432.9</v>
      </c>
      <c r="D522" s="116">
        <v>425.7</v>
      </c>
      <c r="E522" s="116">
        <v>433.75</v>
      </c>
      <c r="F522" s="116">
        <v>432.9</v>
      </c>
      <c r="G522">
        <v>4876</v>
      </c>
      <c r="H522" s="116"/>
      <c r="I522" s="116"/>
      <c r="L522" s="170">
        <v>45876</v>
      </c>
      <c r="M522" s="116">
        <v>433.2</v>
      </c>
      <c r="N522" s="116">
        <v>435.15</v>
      </c>
      <c r="O522" s="116">
        <v>426</v>
      </c>
      <c r="P522" s="116">
        <v>433.05</v>
      </c>
      <c r="Q522" s="116">
        <v>433.2</v>
      </c>
      <c r="R522">
        <v>121841</v>
      </c>
    </row>
    <row r="523" spans="1:18" x14ac:dyDescent="0.25">
      <c r="A523" s="170">
        <v>45877</v>
      </c>
      <c r="B523" s="116">
        <v>438.6</v>
      </c>
      <c r="C523" s="116">
        <v>426.3</v>
      </c>
      <c r="D523" s="116">
        <v>422.5</v>
      </c>
      <c r="E523" s="116">
        <v>436.1</v>
      </c>
      <c r="F523" s="116">
        <v>426.3</v>
      </c>
      <c r="G523">
        <v>21962</v>
      </c>
      <c r="H523" s="116"/>
      <c r="I523" s="116"/>
      <c r="L523" s="170">
        <v>45877</v>
      </c>
      <c r="M523" s="116">
        <v>425.45</v>
      </c>
      <c r="N523" s="116">
        <v>439.2</v>
      </c>
      <c r="O523" s="116">
        <v>421.2</v>
      </c>
      <c r="P523" s="116">
        <v>434.05</v>
      </c>
      <c r="Q523" s="116">
        <v>425.45</v>
      </c>
      <c r="R523">
        <v>222907</v>
      </c>
    </row>
    <row r="524" spans="1:18" x14ac:dyDescent="0.25">
      <c r="A524" s="170">
        <v>45880</v>
      </c>
      <c r="B524" s="116">
        <v>428.05</v>
      </c>
      <c r="C524" s="116">
        <v>422.25</v>
      </c>
      <c r="D524" s="116">
        <v>415</v>
      </c>
      <c r="E524" s="116">
        <v>422.2</v>
      </c>
      <c r="F524" s="116">
        <v>422.25</v>
      </c>
      <c r="G524">
        <v>11530</v>
      </c>
      <c r="H524" s="116"/>
      <c r="I524" s="116"/>
      <c r="L524" s="170">
        <v>45880</v>
      </c>
      <c r="M524" s="116">
        <v>422.45</v>
      </c>
      <c r="N524" s="116">
        <v>434.8</v>
      </c>
      <c r="O524" s="116">
        <v>414.75</v>
      </c>
      <c r="P524" s="116">
        <v>427.6</v>
      </c>
      <c r="Q524" s="116">
        <v>422.45</v>
      </c>
      <c r="R524">
        <v>111616</v>
      </c>
    </row>
    <row r="525" spans="1:18" x14ac:dyDescent="0.25">
      <c r="A525" s="170">
        <v>45881</v>
      </c>
      <c r="B525" s="116">
        <v>431.1</v>
      </c>
      <c r="C525" s="116">
        <v>430.1</v>
      </c>
      <c r="D525" s="116">
        <v>424.2</v>
      </c>
      <c r="E525" s="116">
        <v>424.95</v>
      </c>
      <c r="F525" s="116">
        <v>430.1</v>
      </c>
      <c r="G525">
        <v>10969</v>
      </c>
      <c r="H525" s="116"/>
      <c r="I525" s="116"/>
      <c r="L525" s="170">
        <v>45881</v>
      </c>
      <c r="M525" s="116">
        <v>429.8</v>
      </c>
      <c r="N525" s="116">
        <v>431.15</v>
      </c>
      <c r="O525" s="116">
        <v>423.5</v>
      </c>
      <c r="P525" s="116">
        <v>423.5</v>
      </c>
      <c r="Q525" s="116">
        <v>429.8</v>
      </c>
      <c r="R525">
        <v>82891</v>
      </c>
    </row>
    <row r="526" spans="1:18" x14ac:dyDescent="0.25">
      <c r="A526" s="170">
        <v>45882</v>
      </c>
      <c r="B526" s="116">
        <v>433.55</v>
      </c>
      <c r="C526" s="116">
        <v>424.45</v>
      </c>
      <c r="D526" s="116">
        <v>422.65</v>
      </c>
      <c r="E526" s="116">
        <v>427.6</v>
      </c>
      <c r="F526" s="116">
        <v>424.45</v>
      </c>
      <c r="G526">
        <v>12052</v>
      </c>
      <c r="H526" s="116"/>
      <c r="I526" s="116"/>
      <c r="L526" s="170">
        <v>45882</v>
      </c>
      <c r="M526" s="116">
        <v>423.85</v>
      </c>
      <c r="N526" s="116">
        <v>433.95</v>
      </c>
      <c r="O526" s="116">
        <v>422.1</v>
      </c>
      <c r="P526" s="116">
        <v>430.8</v>
      </c>
      <c r="Q526" s="116">
        <v>423.85</v>
      </c>
      <c r="R526">
        <v>85689</v>
      </c>
    </row>
    <row r="527" spans="1:18" x14ac:dyDescent="0.25">
      <c r="A527" s="170">
        <v>45883</v>
      </c>
      <c r="B527" s="116">
        <v>426.5</v>
      </c>
      <c r="C527" s="116">
        <v>419.25</v>
      </c>
      <c r="D527" s="116">
        <v>418.3</v>
      </c>
      <c r="E527" s="116">
        <v>422.25</v>
      </c>
      <c r="F527" s="116">
        <v>419.25</v>
      </c>
      <c r="G527">
        <v>8980</v>
      </c>
      <c r="H527" s="116"/>
      <c r="I527" s="116"/>
      <c r="L527" s="170">
        <v>45883</v>
      </c>
      <c r="M527" s="116">
        <v>419.35</v>
      </c>
      <c r="N527" s="116">
        <v>427.4</v>
      </c>
      <c r="O527" s="116">
        <v>417.85</v>
      </c>
      <c r="P527" s="116">
        <v>424.5</v>
      </c>
      <c r="Q527" s="116">
        <v>419.35</v>
      </c>
      <c r="R527">
        <v>59687</v>
      </c>
    </row>
    <row r="528" spans="1:18" x14ac:dyDescent="0.25">
      <c r="A528" s="170">
        <v>45887</v>
      </c>
      <c r="B528" s="116">
        <v>429.95</v>
      </c>
      <c r="C528" s="116">
        <v>427.3</v>
      </c>
      <c r="D528" s="116">
        <v>422.6</v>
      </c>
      <c r="E528" s="116">
        <v>423</v>
      </c>
      <c r="F528" s="116">
        <v>427.3</v>
      </c>
      <c r="G528">
        <v>2973</v>
      </c>
      <c r="H528" s="116"/>
      <c r="I528" s="116"/>
      <c r="L528" s="170">
        <v>45887</v>
      </c>
      <c r="M528" s="116">
        <v>427.55</v>
      </c>
      <c r="N528" s="116">
        <v>430.1</v>
      </c>
      <c r="O528" s="116">
        <v>422.2</v>
      </c>
      <c r="P528" s="116">
        <v>428</v>
      </c>
      <c r="Q528" s="116">
        <v>427.55</v>
      </c>
      <c r="R528">
        <v>76798</v>
      </c>
    </row>
    <row r="529" spans="1:18" x14ac:dyDescent="0.25">
      <c r="A529" s="170">
        <v>45888</v>
      </c>
      <c r="B529" s="116">
        <v>443.7</v>
      </c>
      <c r="C529" s="116">
        <v>442.15</v>
      </c>
      <c r="D529" s="116">
        <v>426.2</v>
      </c>
      <c r="E529" s="116">
        <v>426.2</v>
      </c>
      <c r="F529" s="116">
        <v>442.15</v>
      </c>
      <c r="G529">
        <v>7273</v>
      </c>
      <c r="H529" s="116"/>
      <c r="I529" s="116"/>
      <c r="L529" s="170">
        <v>45888</v>
      </c>
      <c r="M529" s="116">
        <v>442.6</v>
      </c>
      <c r="N529" s="116">
        <v>443.7</v>
      </c>
      <c r="O529" s="116">
        <v>427.1</v>
      </c>
      <c r="P529" s="116">
        <v>427.1</v>
      </c>
      <c r="Q529" s="116">
        <v>442.6</v>
      </c>
      <c r="R529">
        <v>111746</v>
      </c>
    </row>
    <row r="530" spans="1:18" x14ac:dyDescent="0.25">
      <c r="A530" s="170">
        <v>45889</v>
      </c>
      <c r="B530" s="116">
        <v>446.8</v>
      </c>
      <c r="C530" s="116">
        <v>441.55</v>
      </c>
      <c r="D530" s="116">
        <v>437.8</v>
      </c>
      <c r="E530" s="116">
        <v>442.15</v>
      </c>
      <c r="F530" s="116">
        <v>441.55</v>
      </c>
      <c r="G530">
        <v>4247</v>
      </c>
      <c r="H530" s="116"/>
      <c r="I530" s="116"/>
      <c r="L530" s="170">
        <v>45889</v>
      </c>
      <c r="M530" s="116">
        <v>442.55</v>
      </c>
      <c r="N530" s="116">
        <v>447.25</v>
      </c>
      <c r="O530" s="116">
        <v>438.05</v>
      </c>
      <c r="P530" s="116">
        <v>438.2</v>
      </c>
      <c r="Q530" s="116">
        <v>442.55</v>
      </c>
      <c r="R530">
        <v>64168</v>
      </c>
    </row>
    <row r="531" spans="1:18" x14ac:dyDescent="0.25">
      <c r="A531" s="170">
        <v>45890</v>
      </c>
      <c r="B531" s="116">
        <v>448.7</v>
      </c>
      <c r="C531" s="116">
        <v>441.3</v>
      </c>
      <c r="D531" s="116">
        <v>440.05</v>
      </c>
      <c r="E531" s="116">
        <v>445.6</v>
      </c>
      <c r="F531" s="116">
        <v>441.3</v>
      </c>
      <c r="G531">
        <v>3832</v>
      </c>
      <c r="H531" s="116"/>
      <c r="I531" s="116"/>
      <c r="L531" s="170">
        <v>45890</v>
      </c>
      <c r="M531" s="116">
        <v>442.2</v>
      </c>
      <c r="N531" s="116">
        <v>448.8</v>
      </c>
      <c r="O531" s="116">
        <v>440.2</v>
      </c>
      <c r="P531" s="116">
        <v>442.15</v>
      </c>
      <c r="Q531" s="116">
        <v>442.2</v>
      </c>
      <c r="R531">
        <v>48642</v>
      </c>
    </row>
    <row r="532" spans="1:18" x14ac:dyDescent="0.25">
      <c r="A532" s="170">
        <v>45891</v>
      </c>
      <c r="B532" s="116">
        <v>446.5</v>
      </c>
      <c r="C532" s="116">
        <v>445</v>
      </c>
      <c r="D532" s="116">
        <v>439.25</v>
      </c>
      <c r="E532" s="116">
        <v>440.3</v>
      </c>
      <c r="F532" s="116">
        <v>445</v>
      </c>
      <c r="G532">
        <v>2633</v>
      </c>
      <c r="H532" s="116"/>
      <c r="I532" s="116"/>
      <c r="L532" s="170">
        <v>45891</v>
      </c>
      <c r="M532" s="116">
        <v>445.45</v>
      </c>
      <c r="N532" s="116">
        <v>446.7</v>
      </c>
      <c r="O532" s="116">
        <v>438.4</v>
      </c>
      <c r="P532" s="116">
        <v>440.25</v>
      </c>
      <c r="Q532" s="116">
        <v>445.45</v>
      </c>
      <c r="R532">
        <v>54153</v>
      </c>
    </row>
    <row r="533" spans="1:18" x14ac:dyDescent="0.25">
      <c r="A533" s="170">
        <v>45894</v>
      </c>
      <c r="B533" s="116">
        <v>453.7</v>
      </c>
      <c r="C533" s="116">
        <v>440.25</v>
      </c>
      <c r="D533" s="116">
        <v>438.05</v>
      </c>
      <c r="E533" s="116">
        <v>449.2</v>
      </c>
      <c r="F533" s="116">
        <v>440.25</v>
      </c>
      <c r="G533">
        <v>4229</v>
      </c>
      <c r="H533" s="116"/>
      <c r="I533" s="116"/>
      <c r="L533" s="170">
        <v>45894</v>
      </c>
      <c r="M533" s="116">
        <v>440.8</v>
      </c>
      <c r="N533" s="116">
        <v>453.85</v>
      </c>
      <c r="O533" s="116">
        <v>438.5</v>
      </c>
      <c r="P533" s="116">
        <v>453.85</v>
      </c>
      <c r="Q533" s="116">
        <v>440.8</v>
      </c>
      <c r="R533">
        <v>58749</v>
      </c>
    </row>
    <row r="534" spans="1:18" x14ac:dyDescent="0.25">
      <c r="A534" s="170">
        <v>45895</v>
      </c>
      <c r="B534" s="116">
        <v>445.5</v>
      </c>
      <c r="C534" s="116">
        <v>427.8</v>
      </c>
      <c r="D534" s="116">
        <v>426</v>
      </c>
      <c r="E534" s="116">
        <v>440.4</v>
      </c>
      <c r="F534" s="116">
        <v>427.8</v>
      </c>
      <c r="G534">
        <v>5811</v>
      </c>
      <c r="H534" s="116"/>
      <c r="I534" s="116"/>
      <c r="L534" s="170">
        <v>45895</v>
      </c>
      <c r="M534" s="116">
        <v>428.3</v>
      </c>
      <c r="N534" s="116">
        <v>449.7</v>
      </c>
      <c r="O534" s="116">
        <v>426.3</v>
      </c>
      <c r="P534" s="116">
        <v>438.95</v>
      </c>
      <c r="Q534" s="116">
        <v>428.3</v>
      </c>
      <c r="R534">
        <v>85811</v>
      </c>
    </row>
    <row r="535" spans="1:18" x14ac:dyDescent="0.25">
      <c r="A535" s="170">
        <v>45897</v>
      </c>
      <c r="B535" s="116">
        <v>428.6</v>
      </c>
      <c r="C535" s="116">
        <v>418.95</v>
      </c>
      <c r="D535" s="116">
        <v>416.05</v>
      </c>
      <c r="E535" s="116">
        <v>427.8</v>
      </c>
      <c r="F535" s="116">
        <v>418.95</v>
      </c>
      <c r="G535">
        <v>9324</v>
      </c>
      <c r="H535" s="116"/>
      <c r="I535" s="116"/>
      <c r="L535" s="170">
        <v>45897</v>
      </c>
      <c r="M535" s="116">
        <v>418.55</v>
      </c>
      <c r="N535" s="116">
        <v>429.7</v>
      </c>
      <c r="O535" s="116">
        <v>416.15</v>
      </c>
      <c r="P535" s="116">
        <v>429</v>
      </c>
      <c r="Q535" s="116">
        <v>418.55</v>
      </c>
      <c r="R535">
        <v>212577</v>
      </c>
    </row>
    <row r="536" spans="1:18" x14ac:dyDescent="0.25">
      <c r="A536" s="170">
        <v>45898</v>
      </c>
      <c r="B536" s="116">
        <v>428.2</v>
      </c>
      <c r="C536" s="116">
        <v>422.25</v>
      </c>
      <c r="D536" s="116">
        <v>417.8</v>
      </c>
      <c r="E536" s="116">
        <v>419</v>
      </c>
      <c r="F536" s="116">
        <v>422.25</v>
      </c>
      <c r="G536">
        <v>10782</v>
      </c>
      <c r="H536" s="116"/>
      <c r="I536" s="116"/>
      <c r="L536" s="170">
        <v>45898</v>
      </c>
      <c r="M536" s="116">
        <v>422.95</v>
      </c>
      <c r="N536" s="116">
        <v>430.85</v>
      </c>
      <c r="O536" s="116">
        <v>416.15</v>
      </c>
      <c r="P536" s="116">
        <v>416.15</v>
      </c>
      <c r="Q536" s="116">
        <v>422.95</v>
      </c>
      <c r="R536">
        <v>49037</v>
      </c>
    </row>
    <row r="537" spans="1:18" x14ac:dyDescent="0.25">
      <c r="A537" s="170">
        <v>45901</v>
      </c>
      <c r="B537" s="116">
        <v>430.05</v>
      </c>
      <c r="C537" s="116">
        <v>425.5</v>
      </c>
      <c r="D537" s="116">
        <v>421.75</v>
      </c>
      <c r="E537" s="116">
        <v>423</v>
      </c>
      <c r="F537" s="116">
        <v>425.5</v>
      </c>
      <c r="G537">
        <v>3982</v>
      </c>
      <c r="H537" s="116"/>
      <c r="I537" s="116"/>
      <c r="L537" s="170">
        <v>45901</v>
      </c>
      <c r="M537" s="116">
        <v>425.75</v>
      </c>
      <c r="N537" s="116">
        <v>429.4</v>
      </c>
      <c r="O537" s="116">
        <v>421.5</v>
      </c>
      <c r="P537" s="116">
        <v>424.75</v>
      </c>
      <c r="Q537" s="116">
        <v>425.75</v>
      </c>
      <c r="R537">
        <v>112511</v>
      </c>
    </row>
    <row r="538" spans="1:18" x14ac:dyDescent="0.25">
      <c r="A538" s="170">
        <v>45902</v>
      </c>
      <c r="B538" s="116">
        <v>444</v>
      </c>
      <c r="C538" s="116">
        <v>434.9</v>
      </c>
      <c r="D538" s="116">
        <v>426.45</v>
      </c>
      <c r="E538" s="116">
        <v>430.9</v>
      </c>
      <c r="F538" s="116">
        <v>434.9</v>
      </c>
      <c r="G538">
        <v>18241</v>
      </c>
      <c r="H538" s="116"/>
      <c r="I538" s="116"/>
      <c r="L538" s="170">
        <v>45902</v>
      </c>
      <c r="M538" s="116">
        <v>434.55</v>
      </c>
      <c r="N538" s="116">
        <v>443.8</v>
      </c>
      <c r="O538" s="116">
        <v>425.75</v>
      </c>
      <c r="P538" s="116">
        <v>429.05</v>
      </c>
      <c r="Q538" s="116">
        <v>434.55</v>
      </c>
      <c r="R538">
        <v>198979</v>
      </c>
    </row>
    <row r="539" spans="1:18" x14ac:dyDescent="0.25">
      <c r="A539" s="170">
        <v>45903</v>
      </c>
      <c r="B539" s="116">
        <v>446.2</v>
      </c>
      <c r="C539" s="116">
        <v>440</v>
      </c>
      <c r="D539" s="116">
        <v>435</v>
      </c>
      <c r="E539" s="116">
        <v>435</v>
      </c>
      <c r="F539" s="116">
        <v>440</v>
      </c>
      <c r="G539">
        <v>9234</v>
      </c>
      <c r="H539" s="116"/>
      <c r="I539" s="116"/>
      <c r="L539" s="170">
        <v>45903</v>
      </c>
      <c r="M539" s="116">
        <v>439.85</v>
      </c>
      <c r="N539" s="116">
        <v>446.3</v>
      </c>
      <c r="O539" s="116">
        <v>434.9</v>
      </c>
      <c r="P539" s="116">
        <v>435.75</v>
      </c>
      <c r="Q539" s="116">
        <v>439.85</v>
      </c>
      <c r="R539">
        <v>124229</v>
      </c>
    </row>
    <row r="540" spans="1:18" x14ac:dyDescent="0.25">
      <c r="A540" s="170">
        <v>45904</v>
      </c>
      <c r="B540" s="116">
        <v>442.1</v>
      </c>
      <c r="C540" s="116">
        <v>429.6</v>
      </c>
      <c r="D540" s="116">
        <v>428.6</v>
      </c>
      <c r="E540" s="116">
        <v>441.25</v>
      </c>
      <c r="F540" s="116">
        <v>429.6</v>
      </c>
      <c r="G540">
        <v>11179</v>
      </c>
      <c r="H540" s="116"/>
      <c r="I540" s="116"/>
      <c r="L540" s="170">
        <v>45904</v>
      </c>
      <c r="M540" s="116">
        <v>430.15</v>
      </c>
      <c r="N540" s="116">
        <v>443.9</v>
      </c>
      <c r="O540" s="116">
        <v>428.1</v>
      </c>
      <c r="P540" s="116">
        <v>443.9</v>
      </c>
      <c r="Q540" s="116">
        <v>430.15</v>
      </c>
      <c r="R540">
        <v>137357</v>
      </c>
    </row>
    <row r="541" spans="1:18" x14ac:dyDescent="0.25">
      <c r="A541" s="170">
        <v>45905</v>
      </c>
      <c r="B541" s="116">
        <v>435.7</v>
      </c>
      <c r="C541" s="116">
        <v>433.3</v>
      </c>
      <c r="D541" s="116">
        <v>425.75</v>
      </c>
      <c r="E541" s="116">
        <v>432.95</v>
      </c>
      <c r="F541" s="116">
        <v>433.3</v>
      </c>
      <c r="G541">
        <v>4289</v>
      </c>
      <c r="H541" s="116"/>
      <c r="I541" s="116"/>
      <c r="L541" s="170">
        <v>45905</v>
      </c>
      <c r="M541" s="116">
        <v>434.05</v>
      </c>
      <c r="N541" s="116">
        <v>436</v>
      </c>
      <c r="O541" s="116">
        <v>425.8</v>
      </c>
      <c r="P541" s="116">
        <v>430.2</v>
      </c>
      <c r="Q541" s="116">
        <v>434.05</v>
      </c>
      <c r="R541">
        <v>71819</v>
      </c>
    </row>
    <row r="542" spans="1:18" x14ac:dyDescent="0.25">
      <c r="A542" s="170">
        <v>45908</v>
      </c>
      <c r="B542" s="116">
        <v>481</v>
      </c>
      <c r="C542" s="116">
        <v>465.95</v>
      </c>
      <c r="D542" s="116">
        <v>435.65</v>
      </c>
      <c r="E542" s="116">
        <v>435.95</v>
      </c>
      <c r="F542" s="116">
        <v>465.95</v>
      </c>
      <c r="G542">
        <v>32114</v>
      </c>
      <c r="H542" s="116"/>
      <c r="I542" s="116"/>
      <c r="L542" s="170">
        <v>45908</v>
      </c>
      <c r="M542" s="116">
        <v>466.35</v>
      </c>
      <c r="N542" s="116">
        <v>481</v>
      </c>
      <c r="O542" s="116">
        <v>434.05</v>
      </c>
      <c r="P542" s="116">
        <v>434.05</v>
      </c>
      <c r="Q542" s="116">
        <v>466.35</v>
      </c>
      <c r="R542">
        <v>893531</v>
      </c>
    </row>
    <row r="543" spans="1:18" x14ac:dyDescent="0.25">
      <c r="A543" s="170">
        <v>45909</v>
      </c>
      <c r="B543" s="116">
        <v>480.95</v>
      </c>
      <c r="C543" s="116">
        <v>465.9</v>
      </c>
      <c r="D543" s="116">
        <v>462.65</v>
      </c>
      <c r="E543" s="116">
        <v>478.55</v>
      </c>
      <c r="F543" s="116">
        <v>465.9</v>
      </c>
      <c r="G543">
        <v>31384</v>
      </c>
      <c r="H543" s="116"/>
      <c r="I543" s="116"/>
      <c r="L543" s="170">
        <v>45909</v>
      </c>
      <c r="M543" s="116">
        <v>464.9</v>
      </c>
      <c r="N543" s="116">
        <v>485.9</v>
      </c>
      <c r="O543" s="116">
        <v>462.5</v>
      </c>
      <c r="P543" s="116">
        <v>474.85</v>
      </c>
      <c r="Q543" s="116">
        <v>464.9</v>
      </c>
      <c r="R543">
        <v>402581</v>
      </c>
    </row>
    <row r="544" spans="1:18" x14ac:dyDescent="0.25">
      <c r="A544" s="170">
        <v>45910</v>
      </c>
      <c r="B544" s="116">
        <v>465.45</v>
      </c>
      <c r="C544" s="116">
        <v>459.5</v>
      </c>
      <c r="D544" s="116">
        <v>453.8</v>
      </c>
      <c r="E544" s="116">
        <v>464.45</v>
      </c>
      <c r="F544" s="116">
        <v>459.5</v>
      </c>
      <c r="G544">
        <v>34054</v>
      </c>
      <c r="H544" s="116"/>
      <c r="I544" s="116"/>
      <c r="L544" s="170">
        <v>45910</v>
      </c>
      <c r="M544" s="116">
        <v>460.45</v>
      </c>
      <c r="N544" s="116">
        <v>465.05</v>
      </c>
      <c r="O544" s="116">
        <v>456.1</v>
      </c>
      <c r="P544" s="116">
        <v>465.05</v>
      </c>
      <c r="Q544" s="116">
        <v>460.45</v>
      </c>
      <c r="R544">
        <v>186479</v>
      </c>
    </row>
    <row r="545" spans="1:18" x14ac:dyDescent="0.25">
      <c r="A545" s="170">
        <v>45911</v>
      </c>
      <c r="B545" s="116">
        <v>467.7</v>
      </c>
      <c r="C545" s="116">
        <v>456.4</v>
      </c>
      <c r="D545" s="116">
        <v>455</v>
      </c>
      <c r="E545" s="116">
        <v>464.35</v>
      </c>
      <c r="F545" s="116">
        <v>456.4</v>
      </c>
      <c r="G545">
        <v>8130</v>
      </c>
      <c r="H545" s="116"/>
      <c r="I545" s="116"/>
      <c r="L545" s="170">
        <v>45911</v>
      </c>
      <c r="M545" s="116">
        <v>456.15</v>
      </c>
      <c r="N545" s="116">
        <v>469.2</v>
      </c>
      <c r="O545" s="116">
        <v>455</v>
      </c>
      <c r="P545" s="116">
        <v>460.45</v>
      </c>
      <c r="Q545" s="116">
        <v>456.15</v>
      </c>
      <c r="R545">
        <v>120304</v>
      </c>
    </row>
    <row r="546" spans="1:18" x14ac:dyDescent="0.25">
      <c r="A546" s="170">
        <v>45912</v>
      </c>
      <c r="B546" s="116">
        <v>460.85</v>
      </c>
      <c r="C546" s="116">
        <v>455.25</v>
      </c>
      <c r="D546" s="116">
        <v>453</v>
      </c>
      <c r="E546" s="116">
        <v>459.85</v>
      </c>
      <c r="F546" s="116">
        <v>455.25</v>
      </c>
      <c r="G546">
        <v>15463</v>
      </c>
      <c r="H546" s="116"/>
      <c r="I546" s="116"/>
      <c r="L546" s="170">
        <v>45912</v>
      </c>
      <c r="M546" s="116">
        <v>456.25</v>
      </c>
      <c r="N546" s="116">
        <v>459.8</v>
      </c>
      <c r="O546" s="116">
        <v>452.95</v>
      </c>
      <c r="P546" s="116">
        <v>459</v>
      </c>
      <c r="Q546" s="116">
        <v>456.25</v>
      </c>
      <c r="R546">
        <v>190330</v>
      </c>
    </row>
    <row r="547" spans="1:18" x14ac:dyDescent="0.25">
      <c r="A547" s="170">
        <v>45915</v>
      </c>
      <c r="B547" s="116">
        <v>469</v>
      </c>
      <c r="C547" s="116">
        <v>462.35</v>
      </c>
      <c r="D547" s="116">
        <v>458.2</v>
      </c>
      <c r="E547" s="116">
        <v>458.2</v>
      </c>
      <c r="F547" s="116">
        <v>462.35</v>
      </c>
      <c r="G547">
        <v>12659</v>
      </c>
      <c r="H547" s="116"/>
      <c r="I547" s="116"/>
      <c r="L547" s="170">
        <v>45915</v>
      </c>
      <c r="M547" s="116">
        <v>462.85</v>
      </c>
      <c r="N547" s="116">
        <v>468.9</v>
      </c>
      <c r="O547" s="116">
        <v>458.45</v>
      </c>
      <c r="P547" s="116">
        <v>459.9</v>
      </c>
      <c r="Q547" s="116">
        <v>462.85</v>
      </c>
      <c r="R547">
        <v>115921</v>
      </c>
    </row>
    <row r="548" spans="1:18" x14ac:dyDescent="0.25">
      <c r="A548" s="170">
        <v>45916</v>
      </c>
      <c r="B548" s="116">
        <v>472.15</v>
      </c>
      <c r="C548" s="116">
        <v>467.5</v>
      </c>
      <c r="D548" s="116">
        <v>458.1</v>
      </c>
      <c r="E548" s="116">
        <v>458.1</v>
      </c>
      <c r="F548" s="116">
        <v>467.5</v>
      </c>
      <c r="G548">
        <v>11294</v>
      </c>
      <c r="H548" s="116"/>
      <c r="I548" s="116"/>
      <c r="L548" s="170">
        <v>45916</v>
      </c>
      <c r="M548" s="116">
        <v>467.5</v>
      </c>
      <c r="N548" s="116">
        <v>472.4</v>
      </c>
      <c r="O548" s="116">
        <v>460.95</v>
      </c>
      <c r="P548" s="116">
        <v>462.85</v>
      </c>
      <c r="Q548" s="116">
        <v>467.5</v>
      </c>
      <c r="R548">
        <v>118535</v>
      </c>
    </row>
    <row r="549" spans="1:18" x14ac:dyDescent="0.25">
      <c r="A549" s="170">
        <v>45917</v>
      </c>
      <c r="B549" s="116">
        <v>484.9</v>
      </c>
      <c r="C549" s="116">
        <v>477.75</v>
      </c>
      <c r="D549" s="116">
        <v>466.85</v>
      </c>
      <c r="E549" s="116">
        <v>467.5</v>
      </c>
      <c r="F549" s="116">
        <v>477.75</v>
      </c>
      <c r="G549">
        <v>43010</v>
      </c>
      <c r="H549" s="116"/>
      <c r="I549" s="116"/>
      <c r="L549" s="170">
        <v>45917</v>
      </c>
      <c r="M549" s="116">
        <v>478</v>
      </c>
      <c r="N549" s="116">
        <v>485.5</v>
      </c>
      <c r="O549" s="116">
        <v>466.8</v>
      </c>
      <c r="P549" s="116">
        <v>467.5</v>
      </c>
      <c r="Q549" s="116">
        <v>478</v>
      </c>
      <c r="R549">
        <v>400249</v>
      </c>
    </row>
    <row r="550" spans="1:18" x14ac:dyDescent="0.25">
      <c r="A550" s="170">
        <v>45918</v>
      </c>
      <c r="B550" s="116">
        <v>484.55</v>
      </c>
      <c r="C550" s="116">
        <v>478.15</v>
      </c>
      <c r="D550" s="116">
        <v>476.6</v>
      </c>
      <c r="E550" s="116">
        <v>477.05</v>
      </c>
      <c r="F550" s="116">
        <v>478.15</v>
      </c>
      <c r="G550">
        <v>9249</v>
      </c>
      <c r="H550" s="116"/>
      <c r="I550" s="116"/>
      <c r="L550" s="170">
        <v>45918</v>
      </c>
      <c r="M550" s="116">
        <v>479.05</v>
      </c>
      <c r="N550" s="116">
        <v>488</v>
      </c>
      <c r="O550" s="116">
        <v>476.5</v>
      </c>
      <c r="P550" s="116">
        <v>479.9</v>
      </c>
      <c r="Q550" s="116">
        <v>479.05</v>
      </c>
      <c r="R550">
        <v>181664</v>
      </c>
    </row>
    <row r="551" spans="1:18" x14ac:dyDescent="0.25">
      <c r="A551" s="170">
        <v>45919</v>
      </c>
      <c r="B551" s="116">
        <v>483</v>
      </c>
      <c r="C551" s="116">
        <v>479.35</v>
      </c>
      <c r="D551" s="116">
        <v>477.65</v>
      </c>
      <c r="E551" s="116">
        <v>477.65</v>
      </c>
      <c r="F551" s="116">
        <v>479.35</v>
      </c>
      <c r="G551">
        <v>4098</v>
      </c>
      <c r="H551" s="116"/>
      <c r="I551" s="116"/>
      <c r="L551" s="170">
        <v>45919</v>
      </c>
      <c r="M551" s="116">
        <v>479</v>
      </c>
      <c r="N551" s="116">
        <v>483.2</v>
      </c>
      <c r="O551" s="116">
        <v>478</v>
      </c>
      <c r="P551" s="116">
        <v>479</v>
      </c>
      <c r="Q551" s="116">
        <v>479</v>
      </c>
      <c r="R551">
        <v>112506</v>
      </c>
    </row>
    <row r="552" spans="1:18" x14ac:dyDescent="0.25">
      <c r="A552" s="170">
        <v>45922</v>
      </c>
      <c r="B552" s="116">
        <v>484.3</v>
      </c>
      <c r="C552" s="116">
        <v>478.1</v>
      </c>
      <c r="D552" s="116">
        <v>477.3</v>
      </c>
      <c r="E552" s="116">
        <v>479.2</v>
      </c>
      <c r="F552" s="116">
        <v>478.1</v>
      </c>
      <c r="G552">
        <v>16138</v>
      </c>
      <c r="H552" s="116"/>
      <c r="I552" s="116"/>
      <c r="L552" s="170">
        <v>45922</v>
      </c>
      <c r="M552" s="116">
        <v>478.55</v>
      </c>
      <c r="N552" s="116">
        <v>485.35</v>
      </c>
      <c r="O552" s="116">
        <v>475.05</v>
      </c>
      <c r="P552" s="116">
        <v>475.05</v>
      </c>
      <c r="Q552" s="116">
        <v>478.55</v>
      </c>
      <c r="R552">
        <v>131093</v>
      </c>
    </row>
    <row r="553" spans="1:18" x14ac:dyDescent="0.25">
      <c r="A553" s="170">
        <v>45923</v>
      </c>
      <c r="B553" s="116">
        <v>484.85</v>
      </c>
      <c r="C553" s="116">
        <v>464</v>
      </c>
      <c r="D553" s="116">
        <v>460.2</v>
      </c>
      <c r="E553" s="116">
        <v>484.85</v>
      </c>
      <c r="F553" s="116">
        <v>464</v>
      </c>
      <c r="G553">
        <v>7097</v>
      </c>
      <c r="H553" s="116"/>
      <c r="I553" s="116"/>
      <c r="L553" s="170">
        <v>45923</v>
      </c>
      <c r="M553" s="116">
        <v>463.2</v>
      </c>
      <c r="N553" s="116">
        <v>482.8</v>
      </c>
      <c r="O553" s="116">
        <v>455.55</v>
      </c>
      <c r="P553" s="116">
        <v>478.5</v>
      </c>
      <c r="Q553" s="116">
        <v>463.2</v>
      </c>
      <c r="R553">
        <v>158213</v>
      </c>
    </row>
    <row r="554" spans="1:18" x14ac:dyDescent="0.25">
      <c r="A554" s="170">
        <v>45924</v>
      </c>
      <c r="B554" s="116">
        <v>465</v>
      </c>
      <c r="C554" s="116">
        <v>455.95</v>
      </c>
      <c r="D554" s="116">
        <v>455.1</v>
      </c>
      <c r="E554" s="116">
        <v>465</v>
      </c>
      <c r="F554" s="116">
        <v>455.95</v>
      </c>
      <c r="G554">
        <v>16365</v>
      </c>
      <c r="H554" s="116"/>
      <c r="I554" s="116"/>
      <c r="L554" s="170">
        <v>45924</v>
      </c>
      <c r="M554" s="116">
        <v>455.9</v>
      </c>
      <c r="N554" s="116">
        <v>465.05</v>
      </c>
      <c r="O554" s="116">
        <v>455</v>
      </c>
      <c r="P554" s="116">
        <v>465</v>
      </c>
      <c r="Q554" s="116">
        <v>455.9</v>
      </c>
      <c r="R554">
        <v>197292</v>
      </c>
    </row>
    <row r="555" spans="1:18" x14ac:dyDescent="0.25">
      <c r="A555" s="170">
        <v>45925</v>
      </c>
      <c r="B555" s="116">
        <v>457.75</v>
      </c>
      <c r="C555" s="116">
        <v>448.5</v>
      </c>
      <c r="D555" s="116">
        <v>446.2</v>
      </c>
      <c r="E555" s="116">
        <v>455.55</v>
      </c>
      <c r="F555" s="116">
        <v>448.5</v>
      </c>
      <c r="G555">
        <v>13251</v>
      </c>
      <c r="H555" s="116"/>
      <c r="I555" s="116"/>
      <c r="L555" s="170">
        <v>45925</v>
      </c>
      <c r="M555" s="116">
        <v>447.9</v>
      </c>
      <c r="N555" s="116">
        <v>457.85</v>
      </c>
      <c r="O555" s="116">
        <v>446.1</v>
      </c>
      <c r="P555" s="116">
        <v>456.95</v>
      </c>
      <c r="Q555" s="116">
        <v>447.9</v>
      </c>
      <c r="R555">
        <v>76568</v>
      </c>
    </row>
    <row r="556" spans="1:18" x14ac:dyDescent="0.25">
      <c r="A556" s="170">
        <v>45926</v>
      </c>
      <c r="B556" s="116">
        <v>451.15</v>
      </c>
      <c r="C556" s="116">
        <v>433.8</v>
      </c>
      <c r="D556" s="116">
        <v>431.55</v>
      </c>
      <c r="E556" s="116">
        <v>451.15</v>
      </c>
      <c r="F556" s="116">
        <v>433.8</v>
      </c>
      <c r="G556">
        <v>24876</v>
      </c>
      <c r="H556" s="116"/>
      <c r="I556" s="116"/>
      <c r="L556" s="170">
        <v>45926</v>
      </c>
      <c r="M556" s="116">
        <v>434</v>
      </c>
      <c r="N556" s="116">
        <v>452.8</v>
      </c>
      <c r="O556" s="116">
        <v>431.15</v>
      </c>
      <c r="P556" s="116">
        <v>449.7</v>
      </c>
      <c r="Q556" s="116">
        <v>434</v>
      </c>
      <c r="R556">
        <v>118011</v>
      </c>
    </row>
    <row r="557" spans="1:18" x14ac:dyDescent="0.25">
      <c r="A557" s="170">
        <v>45929</v>
      </c>
      <c r="B557" s="116">
        <v>435.95</v>
      </c>
      <c r="C557" s="116">
        <v>416.05</v>
      </c>
      <c r="D557" s="116">
        <v>413.3</v>
      </c>
      <c r="E557" s="116">
        <v>430.05</v>
      </c>
      <c r="F557" s="116">
        <v>416.05</v>
      </c>
      <c r="G557">
        <v>11422</v>
      </c>
      <c r="H557" s="116"/>
      <c r="I557" s="116"/>
      <c r="L557" s="170">
        <v>45929</v>
      </c>
      <c r="M557" s="116">
        <v>416.05</v>
      </c>
      <c r="N557" s="116">
        <v>436.35</v>
      </c>
      <c r="O557" s="116">
        <v>413.05</v>
      </c>
      <c r="P557" s="116">
        <v>434</v>
      </c>
      <c r="Q557" s="116">
        <v>416.05</v>
      </c>
      <c r="R557">
        <v>257268</v>
      </c>
    </row>
    <row r="558" spans="1:18" x14ac:dyDescent="0.25">
      <c r="A558" s="170">
        <v>45930</v>
      </c>
      <c r="B558" s="116">
        <v>431</v>
      </c>
      <c r="C558" s="116">
        <v>421.1</v>
      </c>
      <c r="D558" s="116">
        <v>417.1</v>
      </c>
      <c r="E558" s="116">
        <v>422.05</v>
      </c>
      <c r="F558" s="116">
        <v>421.1</v>
      </c>
      <c r="G558">
        <v>12187</v>
      </c>
      <c r="H558" s="116"/>
      <c r="I558" s="116"/>
      <c r="L558" s="170">
        <v>45930</v>
      </c>
      <c r="M558" s="116">
        <v>421.65</v>
      </c>
      <c r="N558" s="116">
        <v>431.6</v>
      </c>
      <c r="O558" s="116">
        <v>417</v>
      </c>
      <c r="P558" s="116">
        <v>425</v>
      </c>
      <c r="Q558" s="116">
        <v>421.65</v>
      </c>
      <c r="R558">
        <v>131742</v>
      </c>
    </row>
    <row r="559" spans="1:18" x14ac:dyDescent="0.25">
      <c r="A559" s="170">
        <v>45931</v>
      </c>
      <c r="B559" s="116">
        <v>433.5</v>
      </c>
      <c r="C559" s="116">
        <v>430.95</v>
      </c>
      <c r="D559" s="116">
        <v>420</v>
      </c>
      <c r="E559" s="116">
        <v>420</v>
      </c>
      <c r="F559" s="116">
        <v>430.95</v>
      </c>
      <c r="G559">
        <v>12110</v>
      </c>
      <c r="H559" s="116"/>
      <c r="I559" s="116"/>
      <c r="L559" s="170">
        <v>45931</v>
      </c>
      <c r="M559" s="116">
        <v>431.4</v>
      </c>
      <c r="N559" s="116">
        <v>434.8</v>
      </c>
      <c r="O559" s="116">
        <v>419</v>
      </c>
      <c r="P559" s="116">
        <v>419</v>
      </c>
      <c r="Q559" s="116">
        <v>431.4</v>
      </c>
      <c r="R559">
        <v>84325</v>
      </c>
    </row>
    <row r="560" spans="1:18" x14ac:dyDescent="0.25">
      <c r="A560" s="170">
        <v>45933</v>
      </c>
      <c r="B560" s="116">
        <v>438.25</v>
      </c>
      <c r="C560" s="116">
        <v>436.45</v>
      </c>
      <c r="D560" s="116">
        <v>426.25</v>
      </c>
      <c r="E560" s="116">
        <v>432</v>
      </c>
      <c r="F560" s="116">
        <v>436.45</v>
      </c>
      <c r="G560">
        <v>9237</v>
      </c>
      <c r="H560" s="116"/>
      <c r="I560" s="116"/>
      <c r="L560" s="170">
        <v>45933</v>
      </c>
      <c r="M560" s="116">
        <v>436.65</v>
      </c>
      <c r="N560" s="116">
        <v>438</v>
      </c>
      <c r="O560" s="116">
        <v>426.55</v>
      </c>
      <c r="P560" s="116">
        <v>431.45</v>
      </c>
      <c r="Q560" s="116">
        <v>436.65</v>
      </c>
      <c r="R560">
        <v>77061</v>
      </c>
    </row>
    <row r="561" spans="1:18" x14ac:dyDescent="0.25">
      <c r="A561" s="170">
        <v>45936</v>
      </c>
      <c r="B561" s="116">
        <v>437.15</v>
      </c>
      <c r="C561" s="116">
        <v>429.1</v>
      </c>
      <c r="D561" s="116">
        <v>426.75</v>
      </c>
      <c r="E561" s="116">
        <v>430.5</v>
      </c>
      <c r="F561" s="116">
        <v>429.1</v>
      </c>
      <c r="G561">
        <v>3553</v>
      </c>
      <c r="H561" s="116"/>
      <c r="I561" s="116"/>
      <c r="L561" s="170">
        <v>45936</v>
      </c>
      <c r="M561" s="116">
        <v>428.75</v>
      </c>
      <c r="N561" s="116">
        <v>439</v>
      </c>
      <c r="O561" s="116">
        <v>426</v>
      </c>
      <c r="P561" s="116">
        <v>439</v>
      </c>
      <c r="Q561" s="116">
        <v>428.75</v>
      </c>
      <c r="R561">
        <v>104970</v>
      </c>
    </row>
    <row r="562" spans="1:18" x14ac:dyDescent="0.25">
      <c r="A562" s="170">
        <v>45937</v>
      </c>
      <c r="B562" s="116">
        <v>467.55</v>
      </c>
      <c r="C562" s="116">
        <v>447.8</v>
      </c>
      <c r="D562" s="116">
        <v>430.15</v>
      </c>
      <c r="E562" s="116">
        <v>430.15</v>
      </c>
      <c r="F562" s="116">
        <v>447.8</v>
      </c>
      <c r="G562">
        <v>163254</v>
      </c>
      <c r="H562" s="116"/>
      <c r="I562" s="116"/>
      <c r="L562" s="170">
        <v>45937</v>
      </c>
      <c r="M562" s="116">
        <v>448.1</v>
      </c>
      <c r="N562" s="116">
        <v>467.45</v>
      </c>
      <c r="O562" s="116">
        <v>427.95</v>
      </c>
      <c r="P562" s="116">
        <v>428.75</v>
      </c>
      <c r="Q562" s="116">
        <v>448.1</v>
      </c>
      <c r="R562">
        <v>2383695</v>
      </c>
    </row>
    <row r="563" spans="1:18" x14ac:dyDescent="0.25">
      <c r="A563" s="170">
        <v>45938</v>
      </c>
      <c r="B563" s="116">
        <v>454.7</v>
      </c>
      <c r="C563" s="116">
        <v>452.1</v>
      </c>
      <c r="D563" s="116">
        <v>443.25</v>
      </c>
      <c r="E563" s="116">
        <v>447.95</v>
      </c>
      <c r="F563" s="116">
        <v>452.1</v>
      </c>
      <c r="G563">
        <v>8433</v>
      </c>
      <c r="H563" s="116"/>
      <c r="I563" s="116"/>
      <c r="L563" s="170">
        <v>45938</v>
      </c>
      <c r="M563" s="116">
        <v>451.95</v>
      </c>
      <c r="N563" s="116">
        <v>455.2</v>
      </c>
      <c r="O563" s="116">
        <v>443.15</v>
      </c>
      <c r="P563" s="116">
        <v>446.05</v>
      </c>
      <c r="Q563" s="116">
        <v>451.95</v>
      </c>
      <c r="R563">
        <v>155642</v>
      </c>
    </row>
    <row r="564" spans="1:18" x14ac:dyDescent="0.25">
      <c r="A564" s="170">
        <v>45939</v>
      </c>
      <c r="B564" s="116">
        <v>460.05</v>
      </c>
      <c r="C564" s="116">
        <v>456.9</v>
      </c>
      <c r="D564" s="116">
        <v>444.9</v>
      </c>
      <c r="E564" s="116">
        <v>452.2</v>
      </c>
      <c r="F564" s="116">
        <v>456.9</v>
      </c>
      <c r="G564">
        <v>25696</v>
      </c>
      <c r="H564" s="116"/>
      <c r="I564" s="116"/>
      <c r="L564" s="170">
        <v>45939</v>
      </c>
      <c r="M564" s="116">
        <v>457.2</v>
      </c>
      <c r="N564" s="116">
        <v>460.7</v>
      </c>
      <c r="O564" s="116">
        <v>444.5</v>
      </c>
      <c r="P564" s="116">
        <v>451</v>
      </c>
      <c r="Q564" s="116">
        <v>457.2</v>
      </c>
      <c r="R564">
        <v>230874</v>
      </c>
    </row>
    <row r="565" spans="1:18" x14ac:dyDescent="0.25">
      <c r="A565" s="170">
        <v>45940</v>
      </c>
      <c r="B565" s="116">
        <v>477</v>
      </c>
      <c r="C565" s="116">
        <v>471.6</v>
      </c>
      <c r="D565" s="116">
        <v>454.1</v>
      </c>
      <c r="E565" s="116">
        <v>458.6</v>
      </c>
      <c r="F565" s="116">
        <v>471.6</v>
      </c>
      <c r="G565">
        <v>16625</v>
      </c>
      <c r="H565" s="116"/>
      <c r="I565" s="116"/>
      <c r="L565" s="170">
        <v>45940</v>
      </c>
      <c r="M565" s="116">
        <v>471.35</v>
      </c>
      <c r="N565" s="116">
        <v>478</v>
      </c>
      <c r="O565" s="116">
        <v>454.6</v>
      </c>
      <c r="P565" s="116">
        <v>464.5</v>
      </c>
      <c r="Q565" s="116">
        <v>471.35</v>
      </c>
      <c r="R565">
        <v>427369</v>
      </c>
    </row>
    <row r="566" spans="1:18" x14ac:dyDescent="0.25">
      <c r="A566" s="170">
        <v>45943</v>
      </c>
      <c r="B566" s="116">
        <v>493.4</v>
      </c>
      <c r="C566" s="116">
        <v>486.95</v>
      </c>
      <c r="D566" s="116">
        <v>460.5</v>
      </c>
      <c r="E566" s="116">
        <v>471</v>
      </c>
      <c r="F566" s="116">
        <v>486.95</v>
      </c>
      <c r="G566">
        <v>17449</v>
      </c>
      <c r="H566" s="116"/>
      <c r="I566" s="116"/>
      <c r="L566" s="170">
        <v>45943</v>
      </c>
      <c r="M566" s="116">
        <v>488.2</v>
      </c>
      <c r="N566" s="116">
        <v>493</v>
      </c>
      <c r="O566" s="116">
        <v>460.05</v>
      </c>
      <c r="P566" s="116">
        <v>473.5</v>
      </c>
      <c r="Q566" s="116">
        <v>488.2</v>
      </c>
      <c r="R566">
        <v>515792</v>
      </c>
    </row>
    <row r="567" spans="1:18" x14ac:dyDescent="0.25">
      <c r="A567" s="170">
        <v>45944</v>
      </c>
      <c r="B567" s="116">
        <v>495.5</v>
      </c>
      <c r="C567" s="116">
        <v>467.4</v>
      </c>
      <c r="D567" s="116">
        <v>463.3</v>
      </c>
      <c r="E567" s="116">
        <v>489.2</v>
      </c>
      <c r="F567" s="116">
        <v>467.4</v>
      </c>
      <c r="G567">
        <v>36225</v>
      </c>
      <c r="H567" s="116"/>
      <c r="I567" s="116"/>
      <c r="L567" s="170">
        <v>45944</v>
      </c>
      <c r="M567" s="116">
        <v>468.15</v>
      </c>
      <c r="N567" s="116">
        <v>496</v>
      </c>
      <c r="O567" s="116">
        <v>463.8</v>
      </c>
      <c r="P567" s="116">
        <v>491.95</v>
      </c>
      <c r="Q567" s="116">
        <v>468.15</v>
      </c>
      <c r="R567">
        <v>447787</v>
      </c>
    </row>
    <row r="568" spans="1:18" x14ac:dyDescent="0.25">
      <c r="A568" s="170">
        <v>45945</v>
      </c>
      <c r="B568" s="116">
        <v>481.55</v>
      </c>
      <c r="C568" s="116">
        <v>442.1</v>
      </c>
      <c r="D568" s="116">
        <v>435</v>
      </c>
      <c r="E568" s="116">
        <v>473.75</v>
      </c>
      <c r="F568" s="116">
        <v>442.1</v>
      </c>
      <c r="G568">
        <v>76480</v>
      </c>
      <c r="H568" s="116"/>
      <c r="I568" s="116"/>
      <c r="L568" s="170">
        <v>45945</v>
      </c>
      <c r="M568" s="116">
        <v>440.25</v>
      </c>
      <c r="N568" s="116">
        <v>482.8</v>
      </c>
      <c r="O568" s="116">
        <v>425</v>
      </c>
      <c r="P568" s="116">
        <v>472</v>
      </c>
      <c r="Q568" s="116">
        <v>440.25</v>
      </c>
      <c r="R568">
        <v>1649726</v>
      </c>
    </row>
    <row r="569" spans="1:18" x14ac:dyDescent="0.25">
      <c r="A569" s="170">
        <v>45946</v>
      </c>
      <c r="B569" s="116">
        <v>448.2</v>
      </c>
      <c r="C569" s="116">
        <v>441.5</v>
      </c>
      <c r="D569" s="116">
        <v>438.05</v>
      </c>
      <c r="E569" s="116">
        <v>442.1</v>
      </c>
      <c r="F569" s="116">
        <v>441.5</v>
      </c>
      <c r="G569">
        <v>131798</v>
      </c>
      <c r="H569" s="116"/>
      <c r="I569" s="116"/>
      <c r="L569" s="170">
        <v>45946</v>
      </c>
      <c r="M569" s="116">
        <v>441.85</v>
      </c>
      <c r="N569" s="116">
        <v>445.95</v>
      </c>
      <c r="O569" s="116">
        <v>438.1</v>
      </c>
      <c r="P569" s="116">
        <v>440.2</v>
      </c>
      <c r="Q569" s="116">
        <v>441.85</v>
      </c>
      <c r="R569">
        <v>464127</v>
      </c>
    </row>
    <row r="570" spans="1:18" x14ac:dyDescent="0.25">
      <c r="A570" s="170">
        <v>45947</v>
      </c>
      <c r="B570" s="116">
        <v>447.7</v>
      </c>
      <c r="C570" s="116">
        <v>443.85</v>
      </c>
      <c r="D570" s="116">
        <v>438.95</v>
      </c>
      <c r="E570" s="116">
        <v>444.35</v>
      </c>
      <c r="F570" s="116">
        <v>443.85</v>
      </c>
      <c r="G570">
        <v>16067</v>
      </c>
      <c r="H570" s="116"/>
      <c r="I570" s="116"/>
      <c r="L570" s="170">
        <v>45947</v>
      </c>
      <c r="M570" s="116">
        <v>443.7</v>
      </c>
      <c r="N570" s="116">
        <v>447.35</v>
      </c>
      <c r="O570" s="116">
        <v>437.75</v>
      </c>
      <c r="P570" s="116">
        <v>446</v>
      </c>
      <c r="Q570" s="116">
        <v>443.7</v>
      </c>
      <c r="R570">
        <v>531026</v>
      </c>
    </row>
    <row r="571" spans="1:18" x14ac:dyDescent="0.25">
      <c r="A571" s="170">
        <v>45950</v>
      </c>
      <c r="B571" s="116">
        <v>467</v>
      </c>
      <c r="C571" s="116">
        <v>462.75</v>
      </c>
      <c r="D571" s="116">
        <v>443.05</v>
      </c>
      <c r="E571" s="116">
        <v>443.05</v>
      </c>
      <c r="F571" s="116">
        <v>462.75</v>
      </c>
      <c r="G571">
        <v>22382</v>
      </c>
      <c r="H571" s="116"/>
      <c r="I571" s="116"/>
      <c r="L571" s="170">
        <v>45950</v>
      </c>
      <c r="M571" s="116">
        <v>462.7</v>
      </c>
      <c r="N571" s="116">
        <v>467.55</v>
      </c>
      <c r="O571" s="116">
        <v>443.1</v>
      </c>
      <c r="P571" s="116">
        <v>445.45</v>
      </c>
      <c r="Q571" s="116">
        <v>462.7</v>
      </c>
      <c r="R571">
        <v>418491</v>
      </c>
    </row>
    <row r="572" spans="1:18" x14ac:dyDescent="0.25">
      <c r="A572" s="170">
        <v>45951</v>
      </c>
      <c r="B572" s="116">
        <v>466.8</v>
      </c>
      <c r="C572" s="116">
        <v>463.95</v>
      </c>
      <c r="D572" s="116">
        <v>460.85</v>
      </c>
      <c r="E572" s="116">
        <v>463.05</v>
      </c>
      <c r="F572" s="116">
        <v>463.95</v>
      </c>
      <c r="G572">
        <v>6250</v>
      </c>
      <c r="H572" s="116"/>
      <c r="I572" s="116"/>
      <c r="L572" s="170">
        <v>45951</v>
      </c>
      <c r="M572" s="116">
        <v>464.05</v>
      </c>
      <c r="N572" s="116">
        <v>467.85</v>
      </c>
      <c r="O572" s="116">
        <v>460.1</v>
      </c>
      <c r="P572" s="116">
        <v>463.9</v>
      </c>
      <c r="Q572" s="116">
        <v>464.05</v>
      </c>
      <c r="R572">
        <v>74012</v>
      </c>
    </row>
    <row r="573" spans="1:18" x14ac:dyDescent="0.25">
      <c r="A573" s="170">
        <v>45953</v>
      </c>
      <c r="B573" s="116">
        <v>466.15</v>
      </c>
      <c r="C573" s="116">
        <v>453.05</v>
      </c>
      <c r="D573" s="116">
        <v>451.45</v>
      </c>
      <c r="E573" s="116">
        <v>463.95</v>
      </c>
      <c r="F573" s="116">
        <v>453.05</v>
      </c>
      <c r="G573">
        <v>110412</v>
      </c>
      <c r="H573" s="116"/>
      <c r="I573" s="116"/>
      <c r="L573" s="170">
        <v>45953</v>
      </c>
      <c r="M573" s="116">
        <v>453.95</v>
      </c>
      <c r="N573" s="116">
        <v>466.35</v>
      </c>
      <c r="O573" s="116">
        <v>451.6</v>
      </c>
      <c r="P573" s="116">
        <v>463.2</v>
      </c>
      <c r="Q573" s="116">
        <v>453.95</v>
      </c>
      <c r="R573">
        <v>177186</v>
      </c>
    </row>
    <row r="574" spans="1:18" x14ac:dyDescent="0.25">
      <c r="A574" s="170">
        <v>45954</v>
      </c>
      <c r="B574" s="116">
        <v>457.95</v>
      </c>
      <c r="C574" s="116">
        <v>451.1</v>
      </c>
      <c r="D574" s="116">
        <v>448.5</v>
      </c>
      <c r="E574" s="116">
        <v>455.3</v>
      </c>
      <c r="F574" s="116">
        <v>451.1</v>
      </c>
      <c r="G574">
        <v>8408</v>
      </c>
      <c r="H574" s="116"/>
      <c r="I574" s="116"/>
      <c r="L574" s="170">
        <v>45954</v>
      </c>
      <c r="M574" s="116">
        <v>450.85</v>
      </c>
      <c r="N574" s="116">
        <v>457.8</v>
      </c>
      <c r="O574" s="116">
        <v>448.5</v>
      </c>
      <c r="P574" s="116">
        <v>454.8</v>
      </c>
      <c r="Q574" s="116">
        <v>450.85</v>
      </c>
      <c r="R574">
        <v>116190</v>
      </c>
    </row>
    <row r="575" spans="1:18" x14ac:dyDescent="0.25">
      <c r="A575" s="170">
        <v>45957</v>
      </c>
      <c r="B575" s="116">
        <v>456.35</v>
      </c>
      <c r="C575" s="116">
        <v>450.25</v>
      </c>
      <c r="D575" s="116">
        <v>441.85</v>
      </c>
      <c r="E575" s="116">
        <v>441.85</v>
      </c>
      <c r="F575" s="116">
        <v>450.25</v>
      </c>
      <c r="G575">
        <v>5258</v>
      </c>
      <c r="H575" s="116"/>
      <c r="I575" s="116"/>
      <c r="L575" s="170">
        <v>45957</v>
      </c>
      <c r="M575" s="116">
        <v>450</v>
      </c>
      <c r="N575" s="116">
        <v>456.75</v>
      </c>
      <c r="O575" s="116">
        <v>449</v>
      </c>
      <c r="P575" s="116">
        <v>450.85</v>
      </c>
      <c r="Q575" s="116">
        <v>450</v>
      </c>
      <c r="R575">
        <v>123898</v>
      </c>
    </row>
    <row r="576" spans="1:18" x14ac:dyDescent="0.25">
      <c r="A576" s="170">
        <v>45958</v>
      </c>
      <c r="B576" s="116">
        <v>457.7</v>
      </c>
      <c r="C576" s="116">
        <v>457.05</v>
      </c>
      <c r="D576" s="116">
        <v>445.4</v>
      </c>
      <c r="E576" s="116">
        <v>451.3</v>
      </c>
      <c r="F576" s="116">
        <v>457.05</v>
      </c>
      <c r="G576">
        <v>4067</v>
      </c>
      <c r="H576" s="116"/>
      <c r="I576" s="116"/>
      <c r="L576" s="170">
        <v>45958</v>
      </c>
      <c r="M576" s="116">
        <v>456.7</v>
      </c>
      <c r="N576" s="116">
        <v>458.75</v>
      </c>
      <c r="O576" s="116">
        <v>445.2</v>
      </c>
      <c r="P576" s="116">
        <v>451.5</v>
      </c>
      <c r="Q576" s="116">
        <v>456.7</v>
      </c>
      <c r="R576">
        <v>206075</v>
      </c>
    </row>
    <row r="577" spans="1:18" x14ac:dyDescent="0.25">
      <c r="A577" s="170">
        <v>45959</v>
      </c>
      <c r="B577" s="116">
        <v>459</v>
      </c>
      <c r="C577" s="116">
        <v>455.75</v>
      </c>
      <c r="D577" s="116">
        <v>452.8</v>
      </c>
      <c r="E577" s="116">
        <v>455.65</v>
      </c>
      <c r="F577" s="116">
        <v>455.75</v>
      </c>
      <c r="G577">
        <v>4736</v>
      </c>
      <c r="H577" s="116"/>
      <c r="I577" s="116"/>
      <c r="L577" s="170">
        <v>45959</v>
      </c>
      <c r="M577" s="116">
        <v>456.55</v>
      </c>
      <c r="N577" s="116">
        <v>459.25</v>
      </c>
      <c r="O577" s="116">
        <v>452.05</v>
      </c>
      <c r="P577" s="116">
        <v>457.05</v>
      </c>
      <c r="Q577" s="116">
        <v>456.55</v>
      </c>
      <c r="R577">
        <v>62149</v>
      </c>
    </row>
    <row r="578" spans="1:18" x14ac:dyDescent="0.25">
      <c r="A578" s="170">
        <v>45960</v>
      </c>
      <c r="B578" s="116">
        <v>464.5</v>
      </c>
      <c r="C578" s="116">
        <v>461.1</v>
      </c>
      <c r="D578" s="116">
        <v>456</v>
      </c>
      <c r="E578" s="116">
        <v>456</v>
      </c>
      <c r="F578" s="116">
        <v>461.1</v>
      </c>
      <c r="G578">
        <v>5138</v>
      </c>
      <c r="H578" s="116"/>
      <c r="I578" s="116"/>
      <c r="L578" s="170">
        <v>45960</v>
      </c>
      <c r="M578" s="116">
        <v>461.2</v>
      </c>
      <c r="N578" s="116">
        <v>465</v>
      </c>
      <c r="O578" s="116">
        <v>454.1</v>
      </c>
      <c r="P578" s="116">
        <v>457.3</v>
      </c>
      <c r="Q578" s="116">
        <v>461.2</v>
      </c>
      <c r="R578">
        <v>95203</v>
      </c>
    </row>
    <row r="579" spans="1:18" x14ac:dyDescent="0.25">
      <c r="A579" s="170">
        <v>45961</v>
      </c>
      <c r="B579" s="116">
        <v>462.05</v>
      </c>
      <c r="C579" s="116">
        <v>452.15</v>
      </c>
      <c r="D579" s="116">
        <v>450.5</v>
      </c>
      <c r="E579" s="116">
        <v>461.95</v>
      </c>
      <c r="F579" s="116">
        <v>452.15</v>
      </c>
      <c r="G579">
        <v>7639</v>
      </c>
      <c r="H579" s="116"/>
      <c r="I579" s="116"/>
      <c r="L579" s="170">
        <v>45961</v>
      </c>
      <c r="M579" s="116">
        <v>451.85</v>
      </c>
      <c r="N579" s="116">
        <v>463</v>
      </c>
      <c r="O579" s="116">
        <v>450.5</v>
      </c>
      <c r="P579" s="116">
        <v>461.2</v>
      </c>
      <c r="Q579" s="116">
        <v>451.85</v>
      </c>
      <c r="R579">
        <v>79030</v>
      </c>
    </row>
    <row r="580" spans="1:18" x14ac:dyDescent="0.25">
      <c r="A580" s="170">
        <v>45964</v>
      </c>
      <c r="B580" s="116">
        <v>463</v>
      </c>
      <c r="C580" s="116">
        <v>460.9</v>
      </c>
      <c r="D580" s="116">
        <v>452.3</v>
      </c>
      <c r="E580" s="116">
        <v>453.9</v>
      </c>
      <c r="F580" s="116">
        <v>460.9</v>
      </c>
      <c r="G580">
        <v>4894</v>
      </c>
      <c r="H580" s="116"/>
      <c r="I580" s="116"/>
      <c r="L580" s="170">
        <v>45964</v>
      </c>
      <c r="M580" s="116">
        <v>459.45</v>
      </c>
      <c r="N580" s="116">
        <v>463.4</v>
      </c>
      <c r="O580" s="116">
        <v>451.9</v>
      </c>
      <c r="P580" s="116">
        <v>451.9</v>
      </c>
      <c r="Q580" s="116">
        <v>459.45</v>
      </c>
      <c r="R580">
        <v>108287</v>
      </c>
    </row>
    <row r="581" spans="1:18" x14ac:dyDescent="0.25">
      <c r="A581" s="170">
        <v>45965</v>
      </c>
      <c r="B581" s="116">
        <v>462.1</v>
      </c>
      <c r="C581" s="116">
        <v>454.45</v>
      </c>
      <c r="D581" s="116">
        <v>451.55</v>
      </c>
      <c r="E581" s="116">
        <v>461.35</v>
      </c>
      <c r="F581" s="116">
        <v>454.45</v>
      </c>
      <c r="G581">
        <v>4662</v>
      </c>
      <c r="H581" s="116"/>
      <c r="I581" s="116"/>
      <c r="L581" s="170">
        <v>45965</v>
      </c>
      <c r="M581" s="116">
        <v>454.3</v>
      </c>
      <c r="N581" s="116">
        <v>462.7</v>
      </c>
      <c r="O581" s="116">
        <v>451.95</v>
      </c>
      <c r="P581" s="116">
        <v>455</v>
      </c>
      <c r="Q581" s="116">
        <v>454.3</v>
      </c>
      <c r="R581">
        <v>111141</v>
      </c>
    </row>
    <row r="582" spans="1:18" x14ac:dyDescent="0.25">
      <c r="A582" s="170">
        <v>45967</v>
      </c>
      <c r="B582" s="116">
        <v>457.15</v>
      </c>
      <c r="C582" s="116">
        <v>444.3</v>
      </c>
      <c r="D582" s="116">
        <v>442.5</v>
      </c>
      <c r="E582" s="116">
        <v>450.05</v>
      </c>
      <c r="F582" s="116">
        <v>444.3</v>
      </c>
      <c r="G582">
        <v>5149</v>
      </c>
      <c r="H582" s="116"/>
      <c r="I582" s="116"/>
      <c r="L582" s="170">
        <v>45967</v>
      </c>
      <c r="M582" s="116">
        <v>444.9</v>
      </c>
      <c r="N582" s="116">
        <v>458</v>
      </c>
      <c r="O582" s="116">
        <v>442</v>
      </c>
      <c r="P582" s="116">
        <v>453.7</v>
      </c>
      <c r="Q582" s="116">
        <v>444.9</v>
      </c>
      <c r="R582">
        <v>84256</v>
      </c>
    </row>
    <row r="583" spans="1:18" x14ac:dyDescent="0.25">
      <c r="A583" s="170">
        <v>45968</v>
      </c>
      <c r="B583" s="116">
        <v>446.4</v>
      </c>
      <c r="C583" s="116">
        <v>443.6</v>
      </c>
      <c r="D583" s="116">
        <v>437.7</v>
      </c>
      <c r="E583" s="116">
        <v>444.85</v>
      </c>
      <c r="F583" s="116">
        <v>443.6</v>
      </c>
      <c r="G583">
        <v>3894</v>
      </c>
      <c r="H583" s="116"/>
      <c r="I583" s="116"/>
      <c r="L583" s="170">
        <v>45968</v>
      </c>
      <c r="M583" s="116">
        <v>443.7</v>
      </c>
      <c r="N583" s="116">
        <v>447</v>
      </c>
      <c r="O583" s="116">
        <v>436.8</v>
      </c>
      <c r="P583" s="116">
        <v>441</v>
      </c>
      <c r="Q583" s="116">
        <v>443.7</v>
      </c>
      <c r="R583">
        <v>112529</v>
      </c>
    </row>
    <row r="584" spans="1:18" x14ac:dyDescent="0.25">
      <c r="A584" s="170">
        <v>45971</v>
      </c>
      <c r="B584" s="116">
        <v>448.4</v>
      </c>
      <c r="C584" s="116">
        <v>443.45</v>
      </c>
      <c r="D584" s="116">
        <v>442</v>
      </c>
      <c r="E584" s="116">
        <v>444.25</v>
      </c>
      <c r="F584" s="116">
        <v>443.45</v>
      </c>
      <c r="G584">
        <v>3400</v>
      </c>
      <c r="H584" s="116"/>
      <c r="I584" s="116"/>
      <c r="L584" s="170">
        <v>45971</v>
      </c>
      <c r="M584" s="116">
        <v>443.5</v>
      </c>
      <c r="N584" s="116">
        <v>448.9</v>
      </c>
      <c r="O584" s="116">
        <v>440.35</v>
      </c>
      <c r="P584" s="116">
        <v>446.95</v>
      </c>
      <c r="Q584" s="116">
        <v>443.5</v>
      </c>
      <c r="R584">
        <v>76865</v>
      </c>
    </row>
    <row r="585" spans="1:18" x14ac:dyDescent="0.25">
      <c r="A585" s="170">
        <v>45972</v>
      </c>
      <c r="B585" s="116">
        <v>444.1</v>
      </c>
      <c r="C585" s="116">
        <v>436.25</v>
      </c>
      <c r="D585" s="116">
        <v>435.45</v>
      </c>
      <c r="E585" s="116">
        <v>444.05</v>
      </c>
      <c r="F585" s="116">
        <v>436.25</v>
      </c>
      <c r="G585">
        <v>3752</v>
      </c>
      <c r="H585" s="116"/>
      <c r="I585" s="116"/>
      <c r="L585" s="170">
        <v>45972</v>
      </c>
      <c r="M585" s="116">
        <v>436.25</v>
      </c>
      <c r="N585" s="116">
        <v>442.15</v>
      </c>
      <c r="O585" s="116">
        <v>435.4</v>
      </c>
      <c r="P585" s="116">
        <v>441.9</v>
      </c>
      <c r="Q585" s="116">
        <v>436.25</v>
      </c>
      <c r="R585">
        <v>136665</v>
      </c>
    </row>
    <row r="586" spans="1:18" x14ac:dyDescent="0.25">
      <c r="A586" s="170">
        <v>45973</v>
      </c>
      <c r="B586" s="116">
        <v>453.15</v>
      </c>
      <c r="C586" s="116">
        <v>448.6</v>
      </c>
      <c r="D586" s="116">
        <v>434.55</v>
      </c>
      <c r="E586" s="116">
        <v>439.2</v>
      </c>
      <c r="F586" s="116">
        <v>448.6</v>
      </c>
      <c r="G586">
        <v>9143</v>
      </c>
      <c r="H586" s="116"/>
      <c r="I586" s="116"/>
      <c r="L586" s="170">
        <v>45973</v>
      </c>
      <c r="M586" s="116">
        <v>447.4</v>
      </c>
      <c r="N586" s="116">
        <v>452.8</v>
      </c>
      <c r="O586" s="116">
        <v>434.35</v>
      </c>
      <c r="P586" s="116">
        <v>439.55</v>
      </c>
      <c r="Q586" s="116">
        <v>447.4</v>
      </c>
      <c r="R586">
        <v>234650</v>
      </c>
    </row>
    <row r="587" spans="1:18" x14ac:dyDescent="0.25">
      <c r="A587" s="170">
        <v>45974</v>
      </c>
      <c r="B587" s="116">
        <v>445.7</v>
      </c>
      <c r="C587" s="116">
        <v>436.6</v>
      </c>
      <c r="D587" s="116">
        <v>436.1</v>
      </c>
      <c r="E587" s="116">
        <v>443.3</v>
      </c>
      <c r="F587" s="116">
        <v>436.6</v>
      </c>
      <c r="G587">
        <v>6214</v>
      </c>
      <c r="H587" s="116"/>
      <c r="I587" s="116"/>
      <c r="L587" s="170">
        <v>45974</v>
      </c>
      <c r="M587" s="116">
        <v>437.25</v>
      </c>
      <c r="N587" s="116">
        <v>447.05</v>
      </c>
      <c r="O587" s="116">
        <v>436.3</v>
      </c>
      <c r="P587" s="116">
        <v>445</v>
      </c>
      <c r="Q587" s="116">
        <v>437.25</v>
      </c>
      <c r="R587">
        <v>175691</v>
      </c>
    </row>
    <row r="588" spans="1:18" x14ac:dyDescent="0.25">
      <c r="A588" s="170">
        <v>45975</v>
      </c>
      <c r="B588" s="116">
        <v>438.15</v>
      </c>
      <c r="C588" s="116">
        <v>428.5</v>
      </c>
      <c r="D588" s="116">
        <v>426.9</v>
      </c>
      <c r="E588" s="116">
        <v>436.6</v>
      </c>
      <c r="F588" s="116">
        <v>428.5</v>
      </c>
      <c r="G588">
        <v>8637</v>
      </c>
      <c r="H588" s="116"/>
      <c r="I588" s="116"/>
      <c r="L588" s="170">
        <v>45975</v>
      </c>
      <c r="M588" s="116">
        <v>428.85</v>
      </c>
      <c r="N588" s="116">
        <v>441.6</v>
      </c>
      <c r="O588" s="116">
        <v>426.25</v>
      </c>
      <c r="P588" s="116">
        <v>436.75</v>
      </c>
      <c r="Q588" s="116">
        <v>428.85</v>
      </c>
      <c r="R588">
        <v>219740</v>
      </c>
    </row>
    <row r="589" spans="1:18" x14ac:dyDescent="0.25">
      <c r="A589" s="170">
        <v>45978</v>
      </c>
      <c r="B589" s="116">
        <v>449</v>
      </c>
      <c r="C589" s="116">
        <v>447.25</v>
      </c>
      <c r="D589" s="116">
        <v>429.35</v>
      </c>
      <c r="E589" s="116">
        <v>438</v>
      </c>
      <c r="F589" s="116">
        <v>447.25</v>
      </c>
      <c r="G589">
        <v>15035</v>
      </c>
      <c r="H589" s="116"/>
      <c r="I589" s="116"/>
      <c r="L589" s="170">
        <v>45978</v>
      </c>
      <c r="M589" s="116">
        <v>447.6</v>
      </c>
      <c r="N589" s="116">
        <v>449.45</v>
      </c>
      <c r="O589" s="116">
        <v>429.25</v>
      </c>
      <c r="P589" s="116">
        <v>434.9</v>
      </c>
      <c r="Q589" s="116">
        <v>447.6</v>
      </c>
      <c r="R589">
        <v>263695</v>
      </c>
    </row>
    <row r="590" spans="1:18" x14ac:dyDescent="0.25">
      <c r="A590" s="170">
        <v>45979</v>
      </c>
      <c r="B590" s="116">
        <v>461.95</v>
      </c>
      <c r="C590" s="116">
        <v>454.1</v>
      </c>
      <c r="D590" s="116">
        <v>440.7</v>
      </c>
      <c r="E590" s="116">
        <v>450.05</v>
      </c>
      <c r="F590" s="116">
        <v>454.1</v>
      </c>
      <c r="G590">
        <v>17434</v>
      </c>
      <c r="H590" s="116"/>
      <c r="I590" s="116"/>
      <c r="L590" s="170">
        <v>45979</v>
      </c>
      <c r="M590" s="116">
        <v>454.85</v>
      </c>
      <c r="N590" s="116">
        <v>461.9</v>
      </c>
      <c r="O590" s="116">
        <v>440.65</v>
      </c>
      <c r="P590" s="116">
        <v>453</v>
      </c>
      <c r="Q590" s="116">
        <v>454.85</v>
      </c>
      <c r="R590">
        <v>415866</v>
      </c>
    </row>
    <row r="591" spans="1:18" x14ac:dyDescent="0.25">
      <c r="A591" s="170">
        <v>45980</v>
      </c>
      <c r="B591" s="116">
        <v>451.65</v>
      </c>
      <c r="C591" s="116">
        <v>445.9</v>
      </c>
      <c r="D591" s="116">
        <v>440.95</v>
      </c>
      <c r="E591" s="116">
        <v>451.65</v>
      </c>
      <c r="F591" s="116">
        <v>445.9</v>
      </c>
      <c r="G591">
        <v>6180</v>
      </c>
      <c r="H591" s="116"/>
      <c r="I591" s="116"/>
      <c r="L591" s="170">
        <v>45980</v>
      </c>
      <c r="M591" s="116">
        <v>446.2</v>
      </c>
      <c r="N591" s="116">
        <v>454</v>
      </c>
      <c r="O591" s="116">
        <v>441</v>
      </c>
      <c r="P591" s="116">
        <v>454</v>
      </c>
      <c r="Q591" s="116">
        <v>446.2</v>
      </c>
      <c r="R591">
        <v>145223</v>
      </c>
    </row>
    <row r="592" spans="1:18" x14ac:dyDescent="0.25">
      <c r="A592" s="170">
        <v>45981</v>
      </c>
      <c r="B592" s="116">
        <v>451.35</v>
      </c>
      <c r="C592" s="116">
        <v>445.25</v>
      </c>
      <c r="D592" s="116">
        <v>441</v>
      </c>
      <c r="E592" s="116">
        <v>441</v>
      </c>
      <c r="F592" s="116">
        <v>445.25</v>
      </c>
      <c r="G592">
        <v>4029</v>
      </c>
      <c r="H592" s="116"/>
      <c r="I592" s="116"/>
      <c r="L592" s="170">
        <v>45981</v>
      </c>
      <c r="M592" s="116">
        <v>444.6</v>
      </c>
      <c r="N592" s="116">
        <v>451.1</v>
      </c>
      <c r="O592" s="116">
        <v>441.3</v>
      </c>
      <c r="P592" s="116">
        <v>441.3</v>
      </c>
      <c r="Q592" s="116">
        <v>444.6</v>
      </c>
      <c r="R592">
        <v>96671</v>
      </c>
    </row>
    <row r="593" spans="1:18" x14ac:dyDescent="0.25">
      <c r="A593" s="170">
        <v>45982</v>
      </c>
      <c r="B593" s="116">
        <v>444.6</v>
      </c>
      <c r="C593" s="116">
        <v>438.8</v>
      </c>
      <c r="D593" s="116">
        <v>437</v>
      </c>
      <c r="E593" s="116">
        <v>444.6</v>
      </c>
      <c r="F593" s="116">
        <v>438.8</v>
      </c>
      <c r="G593">
        <v>2288</v>
      </c>
      <c r="H593" s="116"/>
      <c r="I593" s="116"/>
      <c r="L593" s="170">
        <v>45982</v>
      </c>
      <c r="M593" s="116">
        <v>438.35</v>
      </c>
      <c r="N593" s="116">
        <v>444.45</v>
      </c>
      <c r="O593" s="116">
        <v>436.5</v>
      </c>
      <c r="P593" s="116">
        <v>444.45</v>
      </c>
      <c r="Q593" s="116">
        <v>438.35</v>
      </c>
      <c r="R593">
        <v>59547</v>
      </c>
    </row>
    <row r="594" spans="1:18" x14ac:dyDescent="0.25">
      <c r="A594" s="170">
        <v>45985</v>
      </c>
      <c r="B594" s="116">
        <v>436.6</v>
      </c>
      <c r="C594" s="116">
        <v>417.7</v>
      </c>
      <c r="D594" s="116">
        <v>407</v>
      </c>
      <c r="E594" s="116">
        <v>425.05</v>
      </c>
      <c r="F594" s="116">
        <v>417.7</v>
      </c>
      <c r="G594">
        <v>14004</v>
      </c>
      <c r="H594" s="116"/>
      <c r="I594" s="116"/>
      <c r="L594" s="170">
        <v>45985</v>
      </c>
      <c r="M594" s="116">
        <v>420.05</v>
      </c>
      <c r="N594" s="116">
        <v>436.7</v>
      </c>
      <c r="O594" s="116">
        <v>406.75</v>
      </c>
      <c r="P594" s="116">
        <v>436.15</v>
      </c>
      <c r="Q594" s="116">
        <v>420.05</v>
      </c>
      <c r="R594">
        <v>770272</v>
      </c>
    </row>
    <row r="595" spans="1:18" x14ac:dyDescent="0.25">
      <c r="A595" s="170">
        <v>45986</v>
      </c>
      <c r="B595" s="116">
        <v>436</v>
      </c>
      <c r="C595" s="116">
        <v>432.35</v>
      </c>
      <c r="D595" s="116">
        <v>420.25</v>
      </c>
      <c r="E595" s="116">
        <v>420.25</v>
      </c>
      <c r="F595" s="116">
        <v>432.35</v>
      </c>
      <c r="G595">
        <v>4806</v>
      </c>
      <c r="H595" s="116"/>
      <c r="I595" s="116"/>
      <c r="L595" s="170">
        <v>45986</v>
      </c>
      <c r="M595" s="116">
        <v>432.85</v>
      </c>
      <c r="N595" s="116">
        <v>436.2</v>
      </c>
      <c r="O595" s="116">
        <v>420.85</v>
      </c>
      <c r="P595" s="116">
        <v>420.85</v>
      </c>
      <c r="Q595" s="116">
        <v>432.85</v>
      </c>
      <c r="R595">
        <v>185253</v>
      </c>
    </row>
    <row r="596" spans="1:18" x14ac:dyDescent="0.25">
      <c r="A596" s="170">
        <v>45987</v>
      </c>
      <c r="B596" s="116">
        <v>434.8</v>
      </c>
      <c r="C596" s="116">
        <v>431.95</v>
      </c>
      <c r="D596" s="116">
        <v>425.25</v>
      </c>
      <c r="E596" s="116">
        <v>430</v>
      </c>
      <c r="F596" s="116">
        <v>431.95</v>
      </c>
      <c r="G596">
        <v>4570</v>
      </c>
      <c r="H596" s="116"/>
      <c r="I596" s="116"/>
      <c r="L596" s="170">
        <v>45987</v>
      </c>
      <c r="M596" s="116">
        <v>431.95</v>
      </c>
      <c r="N596" s="116">
        <v>435.45</v>
      </c>
      <c r="O596" s="116">
        <v>425.45</v>
      </c>
      <c r="P596" s="116">
        <v>432</v>
      </c>
      <c r="Q596" s="116">
        <v>431.95</v>
      </c>
      <c r="R596">
        <v>186535</v>
      </c>
    </row>
    <row r="597" spans="1:18" x14ac:dyDescent="0.25">
      <c r="A597" s="170">
        <v>45988</v>
      </c>
      <c r="B597" s="116">
        <v>435.55</v>
      </c>
      <c r="C597" s="116">
        <v>433.9</v>
      </c>
      <c r="D597" s="116">
        <v>428.65</v>
      </c>
      <c r="E597" s="116">
        <v>433.5</v>
      </c>
      <c r="F597" s="116">
        <v>433.9</v>
      </c>
      <c r="G597">
        <v>3230</v>
      </c>
      <c r="H597" s="116"/>
      <c r="I597" s="116"/>
      <c r="L597" s="170">
        <v>45988</v>
      </c>
      <c r="M597" s="116">
        <v>433.5</v>
      </c>
      <c r="N597" s="116">
        <v>438.55</v>
      </c>
      <c r="O597" s="116">
        <v>428.85</v>
      </c>
      <c r="P597" s="116">
        <v>433.95</v>
      </c>
      <c r="Q597" s="116">
        <v>433.5</v>
      </c>
      <c r="R597">
        <v>122600</v>
      </c>
    </row>
    <row r="598" spans="1:18" x14ac:dyDescent="0.25">
      <c r="A598" s="170">
        <v>45989</v>
      </c>
      <c r="B598" s="116">
        <v>435.35</v>
      </c>
      <c r="C598" s="116">
        <v>429</v>
      </c>
      <c r="D598" s="116">
        <v>424.1</v>
      </c>
      <c r="E598" s="116">
        <v>433.5</v>
      </c>
      <c r="F598" s="116">
        <v>429</v>
      </c>
      <c r="G598">
        <v>4467</v>
      </c>
      <c r="H598" s="116"/>
      <c r="I598" s="116"/>
      <c r="L598" s="170">
        <v>45989</v>
      </c>
      <c r="M598" s="116">
        <v>429.15</v>
      </c>
      <c r="N598" s="116">
        <v>439</v>
      </c>
      <c r="O598" s="116">
        <v>424.1</v>
      </c>
      <c r="P598" s="116">
        <v>433.5</v>
      </c>
      <c r="Q598" s="116">
        <v>429.15</v>
      </c>
      <c r="R598">
        <v>150562</v>
      </c>
    </row>
    <row r="599" spans="1:18" x14ac:dyDescent="0.25">
      <c r="A599" s="170">
        <v>45992</v>
      </c>
      <c r="B599" s="116">
        <v>435.4</v>
      </c>
      <c r="C599" s="116">
        <v>430.4</v>
      </c>
      <c r="D599" s="116">
        <v>428.05</v>
      </c>
      <c r="E599" s="116">
        <v>429.05</v>
      </c>
      <c r="F599" s="116">
        <v>430.4</v>
      </c>
      <c r="G599">
        <v>2019</v>
      </c>
      <c r="H599" s="116"/>
      <c r="I599" s="116"/>
      <c r="L599" s="170">
        <v>45992</v>
      </c>
      <c r="M599" s="116">
        <v>430.1</v>
      </c>
      <c r="N599" s="116">
        <v>435.2</v>
      </c>
      <c r="O599" s="116">
        <v>428.45</v>
      </c>
      <c r="P599" s="116">
        <v>430.2</v>
      </c>
      <c r="Q599" s="116">
        <v>430.1</v>
      </c>
      <c r="R599">
        <v>70598</v>
      </c>
    </row>
    <row r="600" spans="1:18" x14ac:dyDescent="0.25">
      <c r="A600" s="170">
        <v>45993</v>
      </c>
      <c r="B600" s="116">
        <v>435</v>
      </c>
      <c r="C600" s="116">
        <v>433.05</v>
      </c>
      <c r="D600" s="116">
        <v>425.85</v>
      </c>
      <c r="E600" s="116">
        <v>428.05</v>
      </c>
      <c r="F600" s="116">
        <v>433.05</v>
      </c>
      <c r="G600">
        <v>3885</v>
      </c>
      <c r="H600" s="116"/>
      <c r="I600" s="116"/>
      <c r="L600" s="170">
        <v>45993</v>
      </c>
      <c r="M600" s="116">
        <v>433.15</v>
      </c>
      <c r="N600" s="116">
        <v>435.6</v>
      </c>
      <c r="O600" s="116">
        <v>425.4</v>
      </c>
      <c r="P600" s="116">
        <v>429</v>
      </c>
      <c r="Q600" s="116">
        <v>433.15</v>
      </c>
      <c r="R600">
        <v>93197</v>
      </c>
    </row>
    <row r="601" spans="1:18" x14ac:dyDescent="0.25">
      <c r="A601" s="170">
        <v>45994</v>
      </c>
      <c r="B601" s="116">
        <v>438</v>
      </c>
      <c r="C601" s="116">
        <v>434.05</v>
      </c>
      <c r="D601" s="116">
        <v>430.55</v>
      </c>
      <c r="E601" s="116">
        <v>432.95</v>
      </c>
      <c r="F601" s="116">
        <v>434.05</v>
      </c>
      <c r="G601">
        <v>2874</v>
      </c>
      <c r="H601" s="116"/>
      <c r="I601" s="116"/>
      <c r="L601" s="170">
        <v>45994</v>
      </c>
      <c r="M601" s="116">
        <v>434.1</v>
      </c>
      <c r="N601" s="116">
        <v>438.05</v>
      </c>
      <c r="O601" s="116">
        <v>430.5</v>
      </c>
      <c r="P601" s="116">
        <v>432.65</v>
      </c>
      <c r="Q601" s="116">
        <v>434.1</v>
      </c>
      <c r="R601">
        <v>113951</v>
      </c>
    </row>
    <row r="602" spans="1:18" x14ac:dyDescent="0.25">
      <c r="A602" s="170">
        <v>45995</v>
      </c>
      <c r="B602" s="116">
        <v>440</v>
      </c>
      <c r="C602" s="116">
        <v>430.05</v>
      </c>
      <c r="D602" s="116">
        <v>429.05</v>
      </c>
      <c r="E602" s="116">
        <v>435.95</v>
      </c>
      <c r="F602" s="116">
        <v>430.05</v>
      </c>
      <c r="G602">
        <v>4255</v>
      </c>
      <c r="H602" s="116"/>
      <c r="I602" s="116"/>
      <c r="L602" s="170">
        <v>45995</v>
      </c>
      <c r="M602" s="116">
        <v>430</v>
      </c>
      <c r="N602" s="116">
        <v>440.4</v>
      </c>
      <c r="O602" s="116">
        <v>429.05</v>
      </c>
      <c r="P602" s="116">
        <v>434.15</v>
      </c>
      <c r="Q602" s="116">
        <v>430</v>
      </c>
      <c r="R602">
        <v>107409</v>
      </c>
    </row>
    <row r="603" spans="1:18" x14ac:dyDescent="0.25">
      <c r="A603" s="170">
        <v>45996</v>
      </c>
      <c r="B603" s="116">
        <v>434.6</v>
      </c>
      <c r="C603" s="116">
        <v>427.2</v>
      </c>
      <c r="D603" s="116">
        <v>424</v>
      </c>
      <c r="E603" s="116">
        <v>425.8</v>
      </c>
      <c r="F603" s="116">
        <v>427.2</v>
      </c>
      <c r="G603">
        <v>6621</v>
      </c>
      <c r="H603" s="116"/>
      <c r="I603" s="116"/>
      <c r="L603" s="170">
        <v>45996</v>
      </c>
      <c r="M603" s="116">
        <v>426.95</v>
      </c>
      <c r="N603" s="116">
        <v>435</v>
      </c>
      <c r="O603" s="116">
        <v>424</v>
      </c>
      <c r="P603" s="116">
        <v>429</v>
      </c>
      <c r="Q603" s="116">
        <v>426.95</v>
      </c>
      <c r="R603">
        <v>96439</v>
      </c>
    </row>
    <row r="604" spans="1:18" x14ac:dyDescent="0.25">
      <c r="A604" s="170">
        <v>45999</v>
      </c>
      <c r="B604" s="116">
        <v>429.6</v>
      </c>
      <c r="C604" s="116">
        <v>417.65</v>
      </c>
      <c r="D604" s="116">
        <v>415.35</v>
      </c>
      <c r="E604" s="116">
        <v>426.15</v>
      </c>
      <c r="F604" s="116">
        <v>417.65</v>
      </c>
      <c r="G604">
        <v>8560</v>
      </c>
      <c r="H604" s="116"/>
      <c r="I604" s="116"/>
      <c r="L604" s="170">
        <v>45999</v>
      </c>
      <c r="M604" s="116">
        <v>417.65</v>
      </c>
      <c r="N604" s="116">
        <v>430.65</v>
      </c>
      <c r="O604" s="116">
        <v>415.5</v>
      </c>
      <c r="P604" s="116">
        <v>426.95</v>
      </c>
      <c r="Q604" s="116">
        <v>417.65</v>
      </c>
      <c r="R604">
        <v>139503</v>
      </c>
    </row>
    <row r="605" spans="1:18" x14ac:dyDescent="0.25">
      <c r="A605" s="170">
        <v>46000</v>
      </c>
      <c r="B605" s="116">
        <v>429</v>
      </c>
      <c r="C605" s="116">
        <v>421.35</v>
      </c>
      <c r="D605" s="116">
        <v>415</v>
      </c>
      <c r="E605" s="116">
        <v>415.45</v>
      </c>
      <c r="F605" s="116">
        <v>421.35</v>
      </c>
      <c r="G605">
        <v>5504</v>
      </c>
      <c r="H605" s="116"/>
      <c r="I605" s="116"/>
      <c r="L605" s="170">
        <v>46000</v>
      </c>
      <c r="M605" s="116">
        <v>420.65</v>
      </c>
      <c r="N605" s="116">
        <v>429.5</v>
      </c>
      <c r="O605" s="116">
        <v>414</v>
      </c>
      <c r="P605" s="116">
        <v>417</v>
      </c>
      <c r="Q605" s="116">
        <v>420.65</v>
      </c>
      <c r="R605">
        <v>139056</v>
      </c>
    </row>
    <row r="606" spans="1:18" x14ac:dyDescent="0.25">
      <c r="A606" s="170">
        <v>46001</v>
      </c>
      <c r="B606" s="116">
        <v>430</v>
      </c>
      <c r="C606" s="116">
        <v>417.8</v>
      </c>
      <c r="D606" s="116">
        <v>415</v>
      </c>
      <c r="E606" s="116">
        <v>417.25</v>
      </c>
      <c r="F606" s="116">
        <v>417.8</v>
      </c>
      <c r="G606">
        <v>2909</v>
      </c>
      <c r="H606" s="116"/>
      <c r="I606" s="116"/>
      <c r="L606" s="170">
        <v>46001</v>
      </c>
      <c r="M606" s="116">
        <v>417.75</v>
      </c>
      <c r="N606" s="116">
        <v>430.1</v>
      </c>
      <c r="O606" s="116">
        <v>413.2</v>
      </c>
      <c r="P606" s="116">
        <v>420.65</v>
      </c>
      <c r="Q606" s="116">
        <v>417.75</v>
      </c>
      <c r="R606">
        <v>97489</v>
      </c>
    </row>
    <row r="607" spans="1:18" x14ac:dyDescent="0.25">
      <c r="A607" s="170">
        <v>46002</v>
      </c>
      <c r="B607" s="116">
        <v>427.1</v>
      </c>
      <c r="C607" s="116">
        <v>425.7</v>
      </c>
      <c r="D607" s="116">
        <v>414.3</v>
      </c>
      <c r="E607" s="116">
        <v>414.3</v>
      </c>
      <c r="F607" s="116">
        <v>425.7</v>
      </c>
      <c r="G607">
        <v>3043</v>
      </c>
      <c r="H607" s="116"/>
      <c r="I607" s="116"/>
      <c r="L607" s="170">
        <v>46002</v>
      </c>
      <c r="M607" s="116">
        <v>425.7</v>
      </c>
      <c r="N607" s="116">
        <v>426.6</v>
      </c>
      <c r="O607" s="116">
        <v>416.1</v>
      </c>
      <c r="P607" s="116">
        <v>417.75</v>
      </c>
      <c r="Q607" s="116">
        <v>425.7</v>
      </c>
      <c r="R607">
        <v>61885</v>
      </c>
    </row>
    <row r="608" spans="1:18" x14ac:dyDescent="0.25">
      <c r="A608" s="170">
        <v>46003</v>
      </c>
      <c r="B608" s="116">
        <v>430</v>
      </c>
      <c r="C608" s="116">
        <v>428.3</v>
      </c>
      <c r="D608" s="116">
        <v>423.7</v>
      </c>
      <c r="E608" s="116">
        <v>425.7</v>
      </c>
      <c r="F608" s="116">
        <v>428.3</v>
      </c>
      <c r="G608">
        <v>3611</v>
      </c>
      <c r="H608" s="116"/>
      <c r="I608" s="116"/>
      <c r="L608" s="170">
        <v>46003</v>
      </c>
      <c r="M608" s="116">
        <v>428.35</v>
      </c>
      <c r="N608" s="116">
        <v>430.05</v>
      </c>
      <c r="O608" s="116">
        <v>423</v>
      </c>
      <c r="P608" s="116">
        <v>425.7</v>
      </c>
      <c r="Q608" s="116">
        <v>428.35</v>
      </c>
      <c r="R608">
        <v>72882</v>
      </c>
    </row>
    <row r="609" spans="1:18" x14ac:dyDescent="0.25">
      <c r="A609" s="170">
        <v>46006</v>
      </c>
      <c r="B609" s="116">
        <v>432.05</v>
      </c>
      <c r="C609" s="116">
        <v>427.05</v>
      </c>
      <c r="D609" s="116">
        <v>420.4</v>
      </c>
      <c r="E609" s="116">
        <v>420.4</v>
      </c>
      <c r="F609" s="116">
        <v>427.05</v>
      </c>
      <c r="G609">
        <v>3205</v>
      </c>
      <c r="H609" s="116"/>
      <c r="I609" s="116"/>
      <c r="L609" s="170">
        <v>46006</v>
      </c>
      <c r="M609" s="116">
        <v>427.25</v>
      </c>
      <c r="N609" s="116">
        <v>432.5</v>
      </c>
      <c r="O609" s="116">
        <v>424.65</v>
      </c>
      <c r="P609" s="116">
        <v>428.5</v>
      </c>
      <c r="Q609" s="116">
        <v>427.25</v>
      </c>
      <c r="R609">
        <v>74489</v>
      </c>
    </row>
    <row r="610" spans="1:18" x14ac:dyDescent="0.25">
      <c r="A610" s="170">
        <v>46007</v>
      </c>
      <c r="B610" s="116">
        <v>424.6</v>
      </c>
      <c r="C610" s="116">
        <v>419.65</v>
      </c>
      <c r="D610" s="116">
        <v>419.2</v>
      </c>
      <c r="E610" s="116">
        <v>424.1</v>
      </c>
      <c r="F610" s="116">
        <v>419.65</v>
      </c>
      <c r="G610">
        <v>3806</v>
      </c>
      <c r="H610" s="116"/>
      <c r="I610" s="116"/>
      <c r="L610" s="170">
        <v>46007</v>
      </c>
      <c r="M610" s="116">
        <v>419.8</v>
      </c>
      <c r="N610" s="116">
        <v>425.65</v>
      </c>
      <c r="O610" s="116">
        <v>419.15</v>
      </c>
      <c r="P610" s="116">
        <v>425.1</v>
      </c>
      <c r="Q610" s="116">
        <v>419.8</v>
      </c>
      <c r="R610">
        <v>72099</v>
      </c>
    </row>
    <row r="611" spans="1:18" x14ac:dyDescent="0.25">
      <c r="A611" s="170">
        <v>46008</v>
      </c>
      <c r="B611" s="116">
        <v>423.45</v>
      </c>
      <c r="C611" s="116">
        <v>420.9</v>
      </c>
      <c r="D611" s="116">
        <v>418.45</v>
      </c>
      <c r="E611" s="116">
        <v>419.7</v>
      </c>
      <c r="F611" s="116">
        <v>420.9</v>
      </c>
      <c r="G611">
        <v>1588</v>
      </c>
      <c r="H611" s="116"/>
      <c r="I611" s="116"/>
      <c r="L611" s="170">
        <v>46008</v>
      </c>
      <c r="M611" s="116">
        <v>420.5</v>
      </c>
      <c r="N611" s="116">
        <v>423.55</v>
      </c>
      <c r="O611" s="116">
        <v>418.4</v>
      </c>
      <c r="P611" s="116">
        <v>421.9</v>
      </c>
      <c r="Q611" s="116">
        <v>420.5</v>
      </c>
      <c r="R611">
        <v>48188</v>
      </c>
    </row>
    <row r="612" spans="1:18" x14ac:dyDescent="0.25">
      <c r="A612" s="170">
        <v>46009</v>
      </c>
      <c r="B612" s="116">
        <v>424.15</v>
      </c>
      <c r="C612" s="116">
        <v>422.2</v>
      </c>
      <c r="D612" s="116">
        <v>416.45</v>
      </c>
      <c r="E612" s="116">
        <v>420</v>
      </c>
      <c r="F612" s="116">
        <v>422.2</v>
      </c>
      <c r="G612">
        <v>3820</v>
      </c>
      <c r="H612" s="116"/>
      <c r="I612" s="116"/>
      <c r="L612" s="170">
        <v>46009</v>
      </c>
      <c r="M612" s="116">
        <v>422.6</v>
      </c>
      <c r="N612" s="116">
        <v>423.6</v>
      </c>
      <c r="O612" s="116">
        <v>416</v>
      </c>
      <c r="P612" s="116">
        <v>420.5</v>
      </c>
      <c r="Q612" s="116">
        <v>422.6</v>
      </c>
      <c r="R612">
        <v>52480</v>
      </c>
    </row>
    <row r="613" spans="1:18" x14ac:dyDescent="0.25">
      <c r="A613" s="170">
        <v>46010</v>
      </c>
      <c r="B613" s="116">
        <v>424.95</v>
      </c>
      <c r="C613" s="116">
        <v>421.65</v>
      </c>
      <c r="D613" s="116">
        <v>419.75</v>
      </c>
      <c r="E613" s="116">
        <v>422.2</v>
      </c>
      <c r="F613" s="116">
        <v>421.65</v>
      </c>
      <c r="G613">
        <v>4856</v>
      </c>
      <c r="H613" s="116"/>
      <c r="I613" s="116"/>
      <c r="L613" s="170">
        <v>46010</v>
      </c>
      <c r="M613" s="116">
        <v>421.25</v>
      </c>
      <c r="N613" s="116">
        <v>425</v>
      </c>
      <c r="O613" s="116">
        <v>419.3</v>
      </c>
      <c r="P613" s="116">
        <v>422.75</v>
      </c>
      <c r="Q613" s="116">
        <v>421.25</v>
      </c>
      <c r="R613">
        <v>54392</v>
      </c>
    </row>
    <row r="614" spans="1:18" x14ac:dyDescent="0.25">
      <c r="A614" s="170">
        <v>46013</v>
      </c>
      <c r="B614" s="116">
        <v>431.85</v>
      </c>
      <c r="C614" s="116">
        <v>425.6</v>
      </c>
      <c r="D614" s="116">
        <v>421.7</v>
      </c>
      <c r="E614" s="116">
        <v>421.7</v>
      </c>
      <c r="F614" s="116">
        <v>425.6</v>
      </c>
      <c r="G614">
        <v>3740</v>
      </c>
      <c r="H614" s="116"/>
      <c r="I614" s="116"/>
      <c r="L614" s="170">
        <v>46013</v>
      </c>
      <c r="M614" s="116">
        <v>424.85</v>
      </c>
      <c r="N614" s="116">
        <v>432.5</v>
      </c>
      <c r="O614" s="116">
        <v>422</v>
      </c>
      <c r="P614" s="116">
        <v>424</v>
      </c>
      <c r="Q614" s="116">
        <v>424.85</v>
      </c>
      <c r="R614">
        <v>97852</v>
      </c>
    </row>
    <row r="615" spans="1:18" x14ac:dyDescent="0.25">
      <c r="A615" s="170">
        <v>46014</v>
      </c>
      <c r="B615" s="116">
        <v>428.95</v>
      </c>
      <c r="C615" s="116">
        <v>425.2</v>
      </c>
      <c r="D615" s="116">
        <v>424.05</v>
      </c>
      <c r="E615" s="116">
        <v>425.6</v>
      </c>
      <c r="F615" s="116">
        <v>425.2</v>
      </c>
      <c r="G615">
        <v>1493</v>
      </c>
      <c r="H615" s="116"/>
      <c r="I615" s="116"/>
      <c r="L615" s="170">
        <v>46014</v>
      </c>
      <c r="M615" s="116">
        <v>424.65</v>
      </c>
      <c r="N615" s="116">
        <v>428.7</v>
      </c>
      <c r="O615" s="116">
        <v>424</v>
      </c>
      <c r="P615" s="116">
        <v>427.2</v>
      </c>
      <c r="Q615" s="116">
        <v>424.65</v>
      </c>
      <c r="R615">
        <v>50469</v>
      </c>
    </row>
    <row r="616" spans="1:18" x14ac:dyDescent="0.25">
      <c r="A616" s="170">
        <v>46015</v>
      </c>
      <c r="B616" s="116">
        <v>442.85</v>
      </c>
      <c r="C616" s="116">
        <v>425</v>
      </c>
      <c r="D616" s="116">
        <v>424.75</v>
      </c>
      <c r="E616" s="116">
        <v>425.2</v>
      </c>
      <c r="F616" s="116">
        <v>425</v>
      </c>
      <c r="G616">
        <v>7364</v>
      </c>
      <c r="H616" s="116"/>
      <c r="I616" s="116"/>
      <c r="L616" s="170">
        <v>46015</v>
      </c>
      <c r="M616" s="116">
        <v>425.85</v>
      </c>
      <c r="N616" s="116">
        <v>442.4</v>
      </c>
      <c r="O616" s="116">
        <v>424.05</v>
      </c>
      <c r="P616" s="116">
        <v>424.65</v>
      </c>
      <c r="Q616" s="116">
        <v>425.85</v>
      </c>
      <c r="R616">
        <v>224225</v>
      </c>
    </row>
    <row r="617" spans="1:18" x14ac:dyDescent="0.25">
      <c r="A617" s="170">
        <v>46017</v>
      </c>
      <c r="B617" s="116">
        <v>427.15</v>
      </c>
      <c r="C617" s="116">
        <v>421.85</v>
      </c>
      <c r="D617" s="116">
        <v>421</v>
      </c>
      <c r="E617" s="116">
        <v>425.9</v>
      </c>
      <c r="F617" s="116">
        <v>421.85</v>
      </c>
      <c r="G617">
        <v>3451</v>
      </c>
      <c r="H617" s="116"/>
      <c r="I617" s="116"/>
      <c r="L617" s="170">
        <v>46017</v>
      </c>
      <c r="M617" s="116">
        <v>421.45</v>
      </c>
      <c r="N617" s="116">
        <v>427.95</v>
      </c>
      <c r="O617" s="116">
        <v>420</v>
      </c>
      <c r="P617" s="116">
        <v>426.3</v>
      </c>
      <c r="Q617" s="116">
        <v>421.45</v>
      </c>
      <c r="R617">
        <v>55389</v>
      </c>
    </row>
    <row r="618" spans="1:18" x14ac:dyDescent="0.25">
      <c r="A618" s="170">
        <v>46020</v>
      </c>
      <c r="B618" s="116">
        <v>425.35</v>
      </c>
      <c r="C618" s="116">
        <v>413.95</v>
      </c>
      <c r="D618" s="116">
        <v>412.1</v>
      </c>
      <c r="E618" s="116">
        <v>421.9</v>
      </c>
      <c r="F618" s="116">
        <v>413.95</v>
      </c>
      <c r="G618">
        <v>7352</v>
      </c>
      <c r="H618" s="116"/>
      <c r="I618" s="116"/>
      <c r="L618" s="170">
        <v>46020</v>
      </c>
      <c r="M618" s="116">
        <v>414</v>
      </c>
      <c r="N618" s="116">
        <v>425</v>
      </c>
      <c r="O618" s="116">
        <v>411.75</v>
      </c>
      <c r="P618" s="116">
        <v>423</v>
      </c>
      <c r="Q618" s="116">
        <v>414</v>
      </c>
      <c r="R618">
        <v>100202</v>
      </c>
    </row>
    <row r="619" spans="1:18" x14ac:dyDescent="0.25">
      <c r="A619" s="170">
        <v>46021</v>
      </c>
      <c r="B619" s="116">
        <v>418</v>
      </c>
      <c r="C619" s="116">
        <v>411.8</v>
      </c>
      <c r="D619" s="116">
        <v>411</v>
      </c>
      <c r="E619" s="116">
        <v>413.95</v>
      </c>
      <c r="F619" s="116">
        <v>411.8</v>
      </c>
      <c r="G619">
        <v>3227</v>
      </c>
      <c r="H619" s="116"/>
      <c r="I619" s="116"/>
      <c r="L619" s="170">
        <v>46021</v>
      </c>
      <c r="M619" s="116">
        <v>411.8</v>
      </c>
      <c r="N619" s="116">
        <v>418.6</v>
      </c>
      <c r="O619" s="116">
        <v>410.95</v>
      </c>
      <c r="P619" s="116">
        <v>412.6</v>
      </c>
      <c r="Q619" s="116">
        <v>411.8</v>
      </c>
      <c r="R619">
        <v>95899</v>
      </c>
    </row>
    <row r="620" spans="1:18" x14ac:dyDescent="0.25">
      <c r="A620" s="170">
        <v>46022</v>
      </c>
      <c r="B620" s="116">
        <v>417.65</v>
      </c>
      <c r="C620" s="116">
        <v>416.3</v>
      </c>
      <c r="D620" s="116">
        <v>411.8</v>
      </c>
      <c r="E620" s="116">
        <v>411.8</v>
      </c>
      <c r="F620" s="116">
        <v>416.3</v>
      </c>
      <c r="G620">
        <v>3021</v>
      </c>
      <c r="H620" s="116"/>
      <c r="I620" s="116"/>
      <c r="L620" s="170">
        <v>46022</v>
      </c>
      <c r="M620" s="116">
        <v>415.75</v>
      </c>
      <c r="N620" s="116">
        <v>418.15</v>
      </c>
      <c r="O620" s="116">
        <v>412</v>
      </c>
      <c r="P620" s="116">
        <v>412</v>
      </c>
      <c r="Q620" s="116">
        <v>415.75</v>
      </c>
      <c r="R620">
        <v>66828</v>
      </c>
    </row>
    <row r="621" spans="1:18" x14ac:dyDescent="0.25">
      <c r="A621" s="170">
        <v>46023</v>
      </c>
      <c r="B621" s="116">
        <v>418.25</v>
      </c>
      <c r="C621" s="116">
        <v>414.2</v>
      </c>
      <c r="D621" s="116">
        <v>412.75</v>
      </c>
      <c r="E621" s="116">
        <v>415.05</v>
      </c>
      <c r="F621" s="116">
        <v>414.2</v>
      </c>
      <c r="G621">
        <v>2308</v>
      </c>
      <c r="H621" s="116"/>
      <c r="I621" s="116"/>
      <c r="L621" s="170">
        <v>46023</v>
      </c>
      <c r="M621" s="116">
        <v>414.6</v>
      </c>
      <c r="N621" s="116">
        <v>417.9</v>
      </c>
      <c r="O621" s="116">
        <v>412.8</v>
      </c>
      <c r="P621" s="116">
        <v>415.55</v>
      </c>
      <c r="Q621" s="116">
        <v>414.6</v>
      </c>
      <c r="R621">
        <v>58809</v>
      </c>
    </row>
    <row r="622" spans="1:18" x14ac:dyDescent="0.25">
      <c r="A622" s="170">
        <v>46024</v>
      </c>
      <c r="B622" s="116">
        <v>417.8</v>
      </c>
      <c r="C622" s="116">
        <v>415.7</v>
      </c>
      <c r="D622" s="116">
        <v>413.7</v>
      </c>
      <c r="E622" s="116">
        <v>414</v>
      </c>
      <c r="F622" s="116">
        <v>415.7</v>
      </c>
      <c r="G622">
        <v>3752</v>
      </c>
      <c r="H622" s="116"/>
      <c r="I622" s="116"/>
      <c r="L622" s="170">
        <v>46024</v>
      </c>
      <c r="M622" s="116">
        <v>415.85</v>
      </c>
      <c r="N622" s="116">
        <v>417.7</v>
      </c>
      <c r="O622" s="116">
        <v>413.9</v>
      </c>
      <c r="P622" s="116">
        <v>414.75</v>
      </c>
      <c r="Q622" s="116">
        <v>415.85</v>
      </c>
      <c r="R622">
        <v>54963</v>
      </c>
    </row>
    <row r="623" spans="1:18" x14ac:dyDescent="0.25">
      <c r="A623" s="170">
        <v>46027</v>
      </c>
      <c r="B623" s="116">
        <v>419.8</v>
      </c>
      <c r="C623" s="116">
        <v>414.85</v>
      </c>
      <c r="D623" s="116">
        <v>412.55</v>
      </c>
      <c r="E623" s="116">
        <v>416.3</v>
      </c>
      <c r="F623" s="116">
        <v>414.85</v>
      </c>
      <c r="G623">
        <v>3890</v>
      </c>
      <c r="H623" s="116"/>
      <c r="I623" s="116"/>
      <c r="L623" s="170">
        <v>46027</v>
      </c>
      <c r="M623" s="116">
        <v>416.05</v>
      </c>
      <c r="N623" s="116">
        <v>424</v>
      </c>
      <c r="O623" s="116">
        <v>413</v>
      </c>
      <c r="P623" s="116">
        <v>416.75</v>
      </c>
      <c r="Q623" s="116">
        <v>416.05</v>
      </c>
      <c r="R623">
        <v>101621</v>
      </c>
    </row>
    <row r="624" spans="1:18" x14ac:dyDescent="0.25">
      <c r="A624" s="170">
        <v>46028</v>
      </c>
      <c r="B624" s="116">
        <v>417.1</v>
      </c>
      <c r="C624" s="116">
        <v>411.35</v>
      </c>
      <c r="D624" s="116">
        <v>410.05</v>
      </c>
      <c r="E624" s="116">
        <v>415.7</v>
      </c>
      <c r="F624" s="116">
        <v>411.35</v>
      </c>
      <c r="G624">
        <v>3527</v>
      </c>
      <c r="H624" s="116"/>
      <c r="I624" s="116"/>
      <c r="L624" s="170">
        <v>46028</v>
      </c>
      <c r="M624" s="116">
        <v>411.45</v>
      </c>
      <c r="N624" s="116">
        <v>417.35</v>
      </c>
      <c r="O624" s="116">
        <v>410</v>
      </c>
      <c r="P624" s="116">
        <v>416.2</v>
      </c>
      <c r="Q624" s="116">
        <v>411.45</v>
      </c>
      <c r="R624">
        <v>73169</v>
      </c>
    </row>
    <row r="625" spans="1:18" x14ac:dyDescent="0.25">
      <c r="A625" s="170">
        <v>46029</v>
      </c>
      <c r="B625" s="116">
        <v>415.7</v>
      </c>
      <c r="C625" s="116">
        <v>407.9</v>
      </c>
      <c r="D625" s="116">
        <v>406.55</v>
      </c>
      <c r="E625" s="116">
        <v>411.4</v>
      </c>
      <c r="F625" s="116">
        <v>407.9</v>
      </c>
      <c r="G625">
        <v>7840</v>
      </c>
      <c r="H625" s="116"/>
      <c r="I625" s="116"/>
      <c r="L625" s="170">
        <v>46029</v>
      </c>
      <c r="M625" s="116">
        <v>408.05</v>
      </c>
      <c r="N625" s="116">
        <v>416.45</v>
      </c>
      <c r="O625" s="116">
        <v>407.15</v>
      </c>
      <c r="P625" s="116">
        <v>410.7</v>
      </c>
      <c r="Q625" s="116">
        <v>408.05</v>
      </c>
      <c r="R625">
        <v>116305</v>
      </c>
    </row>
    <row r="626" spans="1:18" x14ac:dyDescent="0.25">
      <c r="A626" s="170">
        <v>46030</v>
      </c>
      <c r="B626" s="116">
        <v>415.95</v>
      </c>
      <c r="C626" s="116">
        <v>412.95</v>
      </c>
      <c r="D626" s="116">
        <v>402.05</v>
      </c>
      <c r="E626" s="116">
        <v>408</v>
      </c>
      <c r="F626" s="116">
        <v>412.95</v>
      </c>
      <c r="G626">
        <v>10270</v>
      </c>
      <c r="H626" s="116"/>
      <c r="I626" s="116"/>
      <c r="L626" s="170">
        <v>46030</v>
      </c>
      <c r="M626" s="116">
        <v>413.1</v>
      </c>
      <c r="N626" s="116">
        <v>416.5</v>
      </c>
      <c r="O626" s="116">
        <v>402</v>
      </c>
      <c r="P626" s="116">
        <v>408.55</v>
      </c>
      <c r="Q626" s="116">
        <v>413.1</v>
      </c>
      <c r="R626">
        <v>323129</v>
      </c>
    </row>
    <row r="627" spans="1:18" x14ac:dyDescent="0.25">
      <c r="A627" s="170">
        <v>46031</v>
      </c>
      <c r="B627" s="116">
        <v>418.8</v>
      </c>
      <c r="C627" s="116">
        <v>406.25</v>
      </c>
      <c r="D627" s="116">
        <v>405.35</v>
      </c>
      <c r="E627" s="116">
        <v>413</v>
      </c>
      <c r="F627" s="116">
        <v>406.25</v>
      </c>
      <c r="G627">
        <v>3985</v>
      </c>
      <c r="H627" s="116"/>
      <c r="I627" s="116"/>
      <c r="L627" s="170">
        <v>46031</v>
      </c>
      <c r="M627" s="116">
        <v>406.1</v>
      </c>
      <c r="N627" s="116">
        <v>418</v>
      </c>
      <c r="O627" s="116">
        <v>405.1</v>
      </c>
      <c r="P627" s="116">
        <v>418</v>
      </c>
      <c r="Q627" s="116">
        <v>406.1</v>
      </c>
      <c r="R627">
        <v>112081</v>
      </c>
    </row>
    <row r="628" spans="1:18" x14ac:dyDescent="0.25">
      <c r="A628" s="170">
        <v>46034</v>
      </c>
      <c r="B628" s="116">
        <v>411.6</v>
      </c>
      <c r="C628" s="116">
        <v>406.85</v>
      </c>
      <c r="D628" s="116">
        <v>401.2</v>
      </c>
      <c r="E628" s="116">
        <v>406.25</v>
      </c>
      <c r="F628" s="116">
        <v>406.85</v>
      </c>
      <c r="G628">
        <v>4203</v>
      </c>
      <c r="H628" s="116"/>
      <c r="I628" s="116"/>
      <c r="L628" s="170">
        <v>46034</v>
      </c>
      <c r="M628" s="116">
        <v>406.75</v>
      </c>
      <c r="N628" s="116">
        <v>411.8</v>
      </c>
      <c r="O628" s="116">
        <v>401.4</v>
      </c>
      <c r="P628" s="116">
        <v>405</v>
      </c>
      <c r="Q628" s="116">
        <v>406.75</v>
      </c>
      <c r="R628">
        <v>225071</v>
      </c>
    </row>
    <row r="629" spans="1:18" x14ac:dyDescent="0.25">
      <c r="A629" s="170">
        <v>46035</v>
      </c>
      <c r="B629" s="116">
        <v>413.8</v>
      </c>
      <c r="C629" s="116">
        <v>400.7</v>
      </c>
      <c r="D629" s="116">
        <v>398.6</v>
      </c>
      <c r="E629" s="116">
        <v>406.9</v>
      </c>
      <c r="F629" s="116">
        <v>400.7</v>
      </c>
      <c r="G629">
        <v>76739</v>
      </c>
      <c r="H629" s="116"/>
      <c r="I629" s="116"/>
      <c r="L629" s="170">
        <v>46035</v>
      </c>
      <c r="M629" s="116">
        <v>399.85</v>
      </c>
      <c r="N629" s="116">
        <v>414.45</v>
      </c>
      <c r="O629" s="116">
        <v>398.5</v>
      </c>
      <c r="P629" s="116">
        <v>407.95</v>
      </c>
      <c r="Q629" s="116">
        <v>399.85</v>
      </c>
      <c r="R629">
        <v>183217</v>
      </c>
    </row>
    <row r="630" spans="1:18" x14ac:dyDescent="0.25">
      <c r="A630" s="170">
        <v>46036</v>
      </c>
      <c r="B630" s="116">
        <v>402.35</v>
      </c>
      <c r="C630" s="116">
        <v>397.1</v>
      </c>
      <c r="D630" s="116">
        <v>393.7</v>
      </c>
      <c r="E630" s="116">
        <v>398.65</v>
      </c>
      <c r="F630" s="116">
        <v>397.1</v>
      </c>
      <c r="G630">
        <v>81771</v>
      </c>
      <c r="H630" s="116"/>
      <c r="I630" s="116"/>
      <c r="L630" s="170">
        <v>46036</v>
      </c>
      <c r="M630" s="116">
        <v>397.3</v>
      </c>
      <c r="N630" s="116">
        <v>402.5</v>
      </c>
      <c r="O630" s="116">
        <v>393.4</v>
      </c>
      <c r="P630" s="116">
        <v>398.1</v>
      </c>
      <c r="Q630" s="116">
        <v>397.3</v>
      </c>
      <c r="R630">
        <v>96304</v>
      </c>
    </row>
    <row r="631" spans="1:18" x14ac:dyDescent="0.25">
      <c r="A631" s="170">
        <v>46038</v>
      </c>
      <c r="B631" s="116">
        <v>399.8</v>
      </c>
      <c r="C631" s="116">
        <v>391.95</v>
      </c>
      <c r="D631" s="116">
        <v>389.75</v>
      </c>
      <c r="E631" s="116">
        <v>397</v>
      </c>
      <c r="F631" s="116">
        <v>391.95</v>
      </c>
      <c r="G631">
        <v>6183</v>
      </c>
      <c r="H631" s="116"/>
      <c r="I631" s="116"/>
      <c r="L631" s="170">
        <v>46038</v>
      </c>
      <c r="M631" s="116">
        <v>392.55</v>
      </c>
      <c r="N631" s="116">
        <v>399.5</v>
      </c>
      <c r="O631" s="116">
        <v>389.3</v>
      </c>
      <c r="P631" s="116">
        <v>395.35</v>
      </c>
      <c r="Q631" s="116">
        <v>392.55</v>
      </c>
      <c r="R631">
        <v>190457</v>
      </c>
    </row>
    <row r="632" spans="1:18" x14ac:dyDescent="0.25">
      <c r="A632" s="170">
        <v>46041</v>
      </c>
      <c r="B632" s="116">
        <v>389.95</v>
      </c>
      <c r="C632" s="116">
        <v>384.7</v>
      </c>
      <c r="D632" s="116">
        <v>382</v>
      </c>
      <c r="E632" s="116">
        <v>388.1</v>
      </c>
      <c r="F632" s="116">
        <v>384.7</v>
      </c>
      <c r="G632">
        <v>111244</v>
      </c>
      <c r="H632" s="116"/>
      <c r="I632" s="116"/>
      <c r="L632" s="170">
        <v>46041</v>
      </c>
      <c r="M632" s="116">
        <v>384.35</v>
      </c>
      <c r="N632" s="116">
        <v>390.75</v>
      </c>
      <c r="O632" s="116">
        <v>382</v>
      </c>
      <c r="P632" s="116">
        <v>390</v>
      </c>
      <c r="Q632" s="116">
        <v>384.35</v>
      </c>
      <c r="R632">
        <v>220699</v>
      </c>
    </row>
    <row r="633" spans="1:18" x14ac:dyDescent="0.25">
      <c r="A633" s="170">
        <v>46042</v>
      </c>
      <c r="B633" s="116">
        <v>385.45</v>
      </c>
      <c r="C633" s="116">
        <v>366.75</v>
      </c>
      <c r="D633" s="116">
        <v>361.5</v>
      </c>
      <c r="E633" s="116">
        <v>381.65</v>
      </c>
      <c r="F633" s="116">
        <v>366.75</v>
      </c>
      <c r="G633">
        <v>12112</v>
      </c>
      <c r="H633" s="116"/>
      <c r="I633" s="116"/>
      <c r="L633" s="170">
        <v>46042</v>
      </c>
      <c r="M633" s="116">
        <v>366.3</v>
      </c>
      <c r="N633" s="116">
        <v>385.6</v>
      </c>
      <c r="O633" s="116">
        <v>361.25</v>
      </c>
      <c r="P633" s="116">
        <v>384</v>
      </c>
      <c r="Q633" s="116">
        <v>366.3</v>
      </c>
      <c r="R633">
        <v>169926</v>
      </c>
    </row>
    <row r="634" spans="1:18" x14ac:dyDescent="0.25">
      <c r="A634" s="170">
        <v>46043</v>
      </c>
      <c r="B634" s="116">
        <v>367.2</v>
      </c>
      <c r="C634" s="116">
        <v>362.25</v>
      </c>
      <c r="D634" s="116">
        <v>345.2</v>
      </c>
      <c r="E634" s="116">
        <v>351.45</v>
      </c>
      <c r="F634" s="116">
        <v>362.25</v>
      </c>
      <c r="G634">
        <v>24657</v>
      </c>
      <c r="H634" s="116"/>
      <c r="I634" s="116"/>
      <c r="L634" s="170">
        <v>46043</v>
      </c>
      <c r="M634" s="116">
        <v>362.65</v>
      </c>
      <c r="N634" s="116">
        <v>367.05</v>
      </c>
      <c r="O634" s="116">
        <v>345.8</v>
      </c>
      <c r="P634" s="116">
        <v>352.55</v>
      </c>
      <c r="Q634" s="116">
        <v>362.65</v>
      </c>
      <c r="R634">
        <v>471891</v>
      </c>
    </row>
    <row r="635" spans="1:18" x14ac:dyDescent="0.25">
      <c r="A635" s="170">
        <v>46044</v>
      </c>
      <c r="B635" s="116">
        <v>370.6</v>
      </c>
      <c r="C635" s="116">
        <v>367.5</v>
      </c>
      <c r="D635" s="116">
        <v>358.25</v>
      </c>
      <c r="E635" s="116">
        <v>363.1</v>
      </c>
      <c r="F635" s="116">
        <v>367.5</v>
      </c>
      <c r="G635">
        <v>10576</v>
      </c>
      <c r="H635" s="116"/>
      <c r="I635" s="116"/>
      <c r="L635" s="170">
        <v>46044</v>
      </c>
      <c r="M635" s="116">
        <v>366.95</v>
      </c>
      <c r="N635" s="116">
        <v>370.7</v>
      </c>
      <c r="O635" s="116">
        <v>358.35</v>
      </c>
      <c r="P635" s="116">
        <v>364.5</v>
      </c>
      <c r="Q635" s="116">
        <v>366.95</v>
      </c>
      <c r="R635">
        <v>151844</v>
      </c>
    </row>
    <row r="636" spans="1:18" x14ac:dyDescent="0.25">
      <c r="A636" s="170">
        <v>46045</v>
      </c>
      <c r="B636" s="116">
        <v>369</v>
      </c>
      <c r="C636" s="116">
        <v>360.6</v>
      </c>
      <c r="D636" s="116">
        <v>357</v>
      </c>
      <c r="E636" s="116">
        <v>369</v>
      </c>
      <c r="F636" s="116">
        <v>360.6</v>
      </c>
      <c r="G636">
        <v>6518</v>
      </c>
      <c r="H636" s="116"/>
      <c r="I636" s="116"/>
      <c r="L636" s="170">
        <v>46045</v>
      </c>
      <c r="M636" s="116">
        <v>359.75</v>
      </c>
      <c r="N636" s="116">
        <v>369</v>
      </c>
      <c r="O636" s="116">
        <v>355.25</v>
      </c>
      <c r="P636" s="116">
        <v>368</v>
      </c>
      <c r="Q636" s="116">
        <v>359.75</v>
      </c>
      <c r="R636">
        <v>199758</v>
      </c>
    </row>
    <row r="637" spans="1:18" x14ac:dyDescent="0.25">
      <c r="A637" s="170">
        <v>46049</v>
      </c>
      <c r="B637" s="116">
        <v>359.6</v>
      </c>
      <c r="C637" s="116">
        <v>349</v>
      </c>
      <c r="D637" s="116">
        <v>347.65</v>
      </c>
      <c r="E637" s="116">
        <v>354.35</v>
      </c>
      <c r="F637" s="116">
        <v>349</v>
      </c>
      <c r="G637">
        <v>6916</v>
      </c>
      <c r="H637" s="116"/>
      <c r="I637" s="116"/>
      <c r="L637" s="170">
        <v>46049</v>
      </c>
      <c r="M637" s="116">
        <v>350.05</v>
      </c>
      <c r="N637" s="116">
        <v>359.35</v>
      </c>
      <c r="O637" s="116">
        <v>347.15</v>
      </c>
      <c r="P637" s="116">
        <v>355</v>
      </c>
      <c r="Q637" s="116">
        <v>350.05</v>
      </c>
      <c r="R637">
        <v>96006</v>
      </c>
    </row>
    <row r="638" spans="1:18" x14ac:dyDescent="0.25">
      <c r="A638" s="170">
        <v>46050</v>
      </c>
      <c r="B638" s="116">
        <v>358.95</v>
      </c>
      <c r="C638" s="116">
        <v>352.75</v>
      </c>
      <c r="D638" s="116">
        <v>349.3</v>
      </c>
      <c r="E638" s="116">
        <v>358.95</v>
      </c>
      <c r="F638" s="116">
        <v>352.75</v>
      </c>
      <c r="G638">
        <v>6132</v>
      </c>
      <c r="H638" s="116"/>
      <c r="I638" s="116"/>
      <c r="L638" s="170">
        <v>46050</v>
      </c>
      <c r="M638" s="116">
        <v>352.75</v>
      </c>
      <c r="N638" s="116">
        <v>356.8</v>
      </c>
      <c r="O638" s="116">
        <v>348.5</v>
      </c>
      <c r="P638" s="116">
        <v>351.35</v>
      </c>
      <c r="Q638" s="116">
        <v>352.75</v>
      </c>
      <c r="R638">
        <v>107755</v>
      </c>
    </row>
    <row r="639" spans="1:18" x14ac:dyDescent="0.25">
      <c r="A639" s="170">
        <v>46051</v>
      </c>
      <c r="B639" s="116">
        <v>369</v>
      </c>
      <c r="C639" s="116">
        <v>366.65</v>
      </c>
      <c r="D639" s="116">
        <v>352.85</v>
      </c>
      <c r="E639" s="116">
        <v>352.85</v>
      </c>
      <c r="F639" s="116">
        <v>366.65</v>
      </c>
      <c r="G639">
        <v>83811</v>
      </c>
      <c r="H639" s="116"/>
      <c r="I639" s="116"/>
      <c r="L639" s="170">
        <v>46051</v>
      </c>
      <c r="M639" s="116">
        <v>365.25</v>
      </c>
      <c r="N639" s="116">
        <v>368.9</v>
      </c>
      <c r="O639" s="116">
        <v>351.2</v>
      </c>
      <c r="P639" s="116">
        <v>353</v>
      </c>
      <c r="Q639" s="116">
        <v>365.25</v>
      </c>
      <c r="R639">
        <v>189819</v>
      </c>
    </row>
    <row r="640" spans="1:18" x14ac:dyDescent="0.25">
      <c r="A640" s="170">
        <v>46052</v>
      </c>
      <c r="B640" s="116">
        <v>381.5</v>
      </c>
      <c r="C640" s="116">
        <v>375.8</v>
      </c>
      <c r="D640" s="116">
        <v>360.4</v>
      </c>
      <c r="E640" s="116">
        <v>364.05</v>
      </c>
      <c r="F640" s="116">
        <v>375.8</v>
      </c>
      <c r="G640">
        <v>7886</v>
      </c>
      <c r="H640" s="116"/>
      <c r="I640" s="116"/>
      <c r="L640" s="170">
        <v>46052</v>
      </c>
      <c r="M640" s="116">
        <v>374.55</v>
      </c>
      <c r="N640" s="116">
        <v>382</v>
      </c>
      <c r="O640" s="116">
        <v>360.7</v>
      </c>
      <c r="P640" s="116">
        <v>362.95</v>
      </c>
      <c r="Q640" s="116">
        <v>374.55</v>
      </c>
      <c r="R640">
        <v>191426</v>
      </c>
    </row>
    <row r="641" spans="1:18" x14ac:dyDescent="0.25">
      <c r="A641" s="170">
        <v>46054</v>
      </c>
      <c r="B641" s="116">
        <v>379.95</v>
      </c>
      <c r="C641" s="116">
        <v>368.75</v>
      </c>
      <c r="D641" s="116">
        <v>367</v>
      </c>
      <c r="E641" s="116">
        <v>372.7</v>
      </c>
      <c r="F641" s="116">
        <v>368.75</v>
      </c>
      <c r="G641">
        <v>7115</v>
      </c>
      <c r="H641" s="116"/>
      <c r="I641" s="116"/>
      <c r="L641" s="170">
        <v>46054</v>
      </c>
      <c r="M641" s="116">
        <v>369.5</v>
      </c>
      <c r="N641" s="116">
        <v>380.8</v>
      </c>
      <c r="O641" s="116">
        <v>365</v>
      </c>
      <c r="P641" s="116">
        <v>374.55</v>
      </c>
      <c r="Q641" s="116">
        <v>369.5</v>
      </c>
      <c r="R641">
        <v>109958</v>
      </c>
    </row>
    <row r="642" spans="1:18" x14ac:dyDescent="0.25">
      <c r="A642" s="170">
        <v>46055</v>
      </c>
      <c r="B642" s="116">
        <v>368.6</v>
      </c>
      <c r="C642" s="116">
        <v>361.15</v>
      </c>
      <c r="D642" s="116">
        <v>357</v>
      </c>
      <c r="E642" s="116">
        <v>368.6</v>
      </c>
      <c r="F642" s="116">
        <v>361.15</v>
      </c>
      <c r="G642">
        <v>4191</v>
      </c>
      <c r="H642" s="116"/>
      <c r="I642" s="116"/>
      <c r="L642" s="170">
        <v>46055</v>
      </c>
      <c r="M642" s="116">
        <v>361</v>
      </c>
      <c r="N642" s="116">
        <v>367</v>
      </c>
      <c r="O642" s="116">
        <v>357</v>
      </c>
      <c r="P642" s="116">
        <v>367</v>
      </c>
      <c r="Q642" s="116">
        <v>361</v>
      </c>
      <c r="R642">
        <v>115344</v>
      </c>
    </row>
    <row r="643" spans="1:18" x14ac:dyDescent="0.25">
      <c r="A643" s="170">
        <v>46056</v>
      </c>
      <c r="B643" s="116">
        <v>393.95</v>
      </c>
      <c r="C643" s="116">
        <v>385.45</v>
      </c>
      <c r="D643" s="116">
        <v>375.5</v>
      </c>
      <c r="E643" s="116">
        <v>390.05</v>
      </c>
      <c r="F643" s="116">
        <v>385.45</v>
      </c>
      <c r="G643">
        <v>8203</v>
      </c>
      <c r="H643" s="116"/>
      <c r="I643" s="116"/>
      <c r="L643" s="170">
        <v>46056</v>
      </c>
      <c r="M643" s="116">
        <v>385.45</v>
      </c>
      <c r="N643" s="116">
        <v>397.2</v>
      </c>
      <c r="O643" s="116">
        <v>375.1</v>
      </c>
      <c r="P643" s="116">
        <v>397.2</v>
      </c>
      <c r="Q643" s="116">
        <v>385.45</v>
      </c>
      <c r="R643">
        <v>274313</v>
      </c>
    </row>
    <row r="644" spans="1:18" x14ac:dyDescent="0.25">
      <c r="A644" s="170">
        <v>46057</v>
      </c>
      <c r="B644" s="116">
        <v>387.55</v>
      </c>
      <c r="C644" s="116">
        <v>370.65</v>
      </c>
      <c r="D644" s="116">
        <v>369.1</v>
      </c>
      <c r="E644" s="116">
        <v>381.05</v>
      </c>
      <c r="F644" s="116">
        <v>370.65</v>
      </c>
      <c r="G644">
        <v>3282</v>
      </c>
      <c r="H644" s="116"/>
      <c r="I644" s="116"/>
      <c r="L644" s="170">
        <v>46057</v>
      </c>
      <c r="M644" s="116">
        <v>370.2</v>
      </c>
      <c r="N644" s="116">
        <v>387.95</v>
      </c>
      <c r="O644" s="116">
        <v>369</v>
      </c>
      <c r="P644" s="116">
        <v>383.45</v>
      </c>
      <c r="Q644" s="116">
        <v>370.2</v>
      </c>
      <c r="R644">
        <v>154795</v>
      </c>
    </row>
    <row r="645" spans="1:18" x14ac:dyDescent="0.25">
      <c r="A645" s="170">
        <v>46058</v>
      </c>
      <c r="B645" s="116">
        <v>373.15</v>
      </c>
      <c r="C645" s="116">
        <v>357.75</v>
      </c>
      <c r="D645" s="116">
        <v>357</v>
      </c>
      <c r="E645" s="116">
        <v>370.7</v>
      </c>
      <c r="F645" s="116">
        <v>357.75</v>
      </c>
      <c r="G645">
        <v>6619</v>
      </c>
      <c r="H645" s="116"/>
      <c r="I645" s="116"/>
      <c r="L645" s="170">
        <v>46058</v>
      </c>
      <c r="M645" s="116">
        <v>357.85</v>
      </c>
      <c r="N645" s="116">
        <v>380</v>
      </c>
      <c r="O645" s="116">
        <v>356.7</v>
      </c>
      <c r="P645" s="116">
        <v>373</v>
      </c>
      <c r="Q645" s="116">
        <v>357.85</v>
      </c>
      <c r="R645">
        <v>290011</v>
      </c>
    </row>
    <row r="646" spans="1:18" x14ac:dyDescent="0.25">
      <c r="A646" s="170">
        <v>46059</v>
      </c>
      <c r="B646" s="116">
        <v>358</v>
      </c>
      <c r="C646" s="116">
        <v>346.05</v>
      </c>
      <c r="D646" s="116">
        <v>345</v>
      </c>
      <c r="E646" s="116">
        <v>357.8</v>
      </c>
      <c r="F646" s="116">
        <v>346.05</v>
      </c>
      <c r="G646">
        <v>8667</v>
      </c>
      <c r="H646" s="116"/>
      <c r="I646" s="116"/>
      <c r="L646" s="170">
        <v>46059</v>
      </c>
      <c r="M646" s="116">
        <v>345.8</v>
      </c>
      <c r="N646" s="116">
        <v>360.05</v>
      </c>
      <c r="O646" s="116">
        <v>344.55</v>
      </c>
      <c r="P646" s="116">
        <v>360.05</v>
      </c>
      <c r="Q646" s="116">
        <v>345.8</v>
      </c>
      <c r="R646">
        <v>500799</v>
      </c>
    </row>
    <row r="647" spans="1:18" x14ac:dyDescent="0.25">
      <c r="A647" s="170">
        <v>46062</v>
      </c>
      <c r="B647" s="116">
        <v>364.2</v>
      </c>
      <c r="C647" s="116">
        <v>361.05</v>
      </c>
      <c r="D647" s="116">
        <v>346.1</v>
      </c>
      <c r="E647" s="116">
        <v>346.1</v>
      </c>
      <c r="F647" s="116">
        <v>361.05</v>
      </c>
      <c r="G647">
        <v>9482</v>
      </c>
      <c r="H647" s="116"/>
      <c r="I647" s="116"/>
      <c r="L647" s="170">
        <v>46062</v>
      </c>
      <c r="M647" s="116">
        <v>360.7</v>
      </c>
      <c r="N647" s="116">
        <v>365</v>
      </c>
      <c r="O647" s="116">
        <v>347.45</v>
      </c>
      <c r="P647" s="116">
        <v>347.45</v>
      </c>
      <c r="Q647" s="116">
        <v>360.7</v>
      </c>
      <c r="R647">
        <v>316379</v>
      </c>
    </row>
    <row r="648" spans="1:18" x14ac:dyDescent="0.25">
      <c r="A648" s="170">
        <v>46063</v>
      </c>
      <c r="B648" s="116">
        <v>376.45</v>
      </c>
      <c r="C648" s="116">
        <v>365.8</v>
      </c>
      <c r="D648" s="116">
        <v>358.2</v>
      </c>
      <c r="E648" s="116">
        <v>358.2</v>
      </c>
      <c r="F648" s="116">
        <v>365.8</v>
      </c>
      <c r="G648">
        <v>14619</v>
      </c>
      <c r="H648" s="116"/>
      <c r="I648" s="116"/>
      <c r="L648" s="170">
        <v>46063</v>
      </c>
      <c r="M648" s="116">
        <v>365.8</v>
      </c>
      <c r="N648" s="116">
        <v>375.95</v>
      </c>
      <c r="O648" s="116">
        <v>357.05</v>
      </c>
      <c r="P648" s="116">
        <v>360.65</v>
      </c>
      <c r="Q648" s="116">
        <v>365.8</v>
      </c>
      <c r="R648">
        <v>321499</v>
      </c>
    </row>
    <row r="649" spans="1:18" x14ac:dyDescent="0.25">
      <c r="A649" s="170">
        <v>46064</v>
      </c>
      <c r="B649" s="116">
        <v>365.8</v>
      </c>
      <c r="C649" s="116">
        <v>361.6</v>
      </c>
      <c r="D649" s="116">
        <v>356.95</v>
      </c>
      <c r="E649" s="116">
        <v>365.8</v>
      </c>
      <c r="F649" s="116">
        <v>361.6</v>
      </c>
      <c r="G649">
        <v>4802</v>
      </c>
      <c r="H649" s="116"/>
      <c r="I649" s="116"/>
      <c r="L649" s="170">
        <v>46064</v>
      </c>
      <c r="M649" s="116">
        <v>360.15</v>
      </c>
      <c r="N649" s="116">
        <v>366.2</v>
      </c>
      <c r="O649" s="116">
        <v>356.6</v>
      </c>
      <c r="P649" s="116">
        <v>365.8</v>
      </c>
      <c r="Q649" s="116">
        <v>360.15</v>
      </c>
      <c r="R649">
        <v>231208</v>
      </c>
    </row>
    <row r="650" spans="1:18" x14ac:dyDescent="0.25">
      <c r="A650" s="170">
        <v>46065</v>
      </c>
      <c r="B650" s="116">
        <v>366.7</v>
      </c>
      <c r="C650" s="116">
        <v>364.6</v>
      </c>
      <c r="D650" s="116">
        <v>354.25</v>
      </c>
      <c r="E650" s="116">
        <v>355.3</v>
      </c>
      <c r="F650" s="116">
        <v>364.6</v>
      </c>
      <c r="G650">
        <v>9048</v>
      </c>
      <c r="H650" s="116"/>
      <c r="I650" s="116"/>
      <c r="L650" s="170">
        <v>46065</v>
      </c>
      <c r="M650" s="116">
        <v>364.45</v>
      </c>
      <c r="N650" s="116">
        <v>367.2</v>
      </c>
      <c r="O650" s="116">
        <v>353.85</v>
      </c>
      <c r="P650" s="116">
        <v>358.75</v>
      </c>
      <c r="Q650" s="116">
        <v>364.45</v>
      </c>
      <c r="R650">
        <v>203585</v>
      </c>
    </row>
    <row r="651" spans="1:18" x14ac:dyDescent="0.25">
      <c r="A651" s="170">
        <v>46066</v>
      </c>
      <c r="B651" s="116">
        <v>365.15</v>
      </c>
      <c r="C651" s="116">
        <v>364.05</v>
      </c>
      <c r="D651" s="116">
        <v>357.05</v>
      </c>
      <c r="E651" s="116">
        <v>357.05</v>
      </c>
      <c r="F651" s="116">
        <v>364.05</v>
      </c>
      <c r="G651">
        <v>7491</v>
      </c>
      <c r="H651" s="116"/>
      <c r="I651" s="116"/>
      <c r="L651" s="170">
        <v>46066</v>
      </c>
      <c r="M651" s="116">
        <v>363.35</v>
      </c>
      <c r="N651" s="116">
        <v>366.8</v>
      </c>
      <c r="O651" s="116">
        <v>358.7</v>
      </c>
      <c r="P651" s="116">
        <v>364.4</v>
      </c>
      <c r="Q651" s="116">
        <v>363.35</v>
      </c>
      <c r="R651">
        <v>111824</v>
      </c>
    </row>
    <row r="652" spans="1:18" x14ac:dyDescent="0.25">
      <c r="A652" s="170">
        <v>46069</v>
      </c>
      <c r="B652" s="116">
        <v>363.35</v>
      </c>
      <c r="C652" s="116">
        <v>355.45</v>
      </c>
      <c r="D652" s="116">
        <v>354.65</v>
      </c>
      <c r="E652" s="116">
        <v>358.75</v>
      </c>
      <c r="F652" s="116">
        <v>355.45</v>
      </c>
      <c r="G652">
        <v>3401</v>
      </c>
      <c r="H652" s="116"/>
      <c r="I652" s="116"/>
      <c r="L652" s="170">
        <v>46069</v>
      </c>
      <c r="M652" s="116">
        <v>355.9</v>
      </c>
      <c r="N652" s="116">
        <v>363</v>
      </c>
      <c r="O652" s="116">
        <v>354.6</v>
      </c>
      <c r="P652" s="116">
        <v>358.05</v>
      </c>
      <c r="Q652" s="116">
        <v>355.9</v>
      </c>
      <c r="R652">
        <v>88670</v>
      </c>
    </row>
    <row r="653" spans="1:18" x14ac:dyDescent="0.25">
      <c r="A653" s="170">
        <v>46070</v>
      </c>
      <c r="B653" s="116">
        <v>367.45</v>
      </c>
      <c r="C653" s="116">
        <v>363.9</v>
      </c>
      <c r="D653" s="116">
        <v>355.45</v>
      </c>
      <c r="E653" s="116">
        <v>355.45</v>
      </c>
      <c r="F653" s="116">
        <v>363.9</v>
      </c>
      <c r="G653">
        <v>6084</v>
      </c>
      <c r="H653" s="116"/>
      <c r="I653" s="116"/>
      <c r="L653" s="170">
        <v>46070</v>
      </c>
      <c r="M653" s="116">
        <v>364.15</v>
      </c>
      <c r="N653" s="116">
        <v>367.7</v>
      </c>
      <c r="O653" s="116">
        <v>354.9</v>
      </c>
      <c r="P653" s="116">
        <v>355</v>
      </c>
      <c r="Q653" s="116">
        <v>364.15</v>
      </c>
      <c r="R653">
        <v>122630</v>
      </c>
    </row>
    <row r="654" spans="1:18" x14ac:dyDescent="0.25">
      <c r="A654" s="170">
        <v>46071</v>
      </c>
      <c r="B654" s="116">
        <v>367.35</v>
      </c>
      <c r="C654" s="116">
        <v>358.55</v>
      </c>
      <c r="D654" s="116">
        <v>353</v>
      </c>
      <c r="E654" s="116">
        <v>364</v>
      </c>
      <c r="F654" s="116">
        <v>358.55</v>
      </c>
      <c r="G654">
        <v>9146</v>
      </c>
      <c r="H654" s="116"/>
      <c r="I654" s="116"/>
      <c r="L654" s="170">
        <v>46071</v>
      </c>
      <c r="M654" s="116">
        <v>358.25</v>
      </c>
      <c r="N654" s="116">
        <v>368.4</v>
      </c>
      <c r="O654" s="116">
        <v>352.85</v>
      </c>
      <c r="P654" s="116">
        <v>364.15</v>
      </c>
      <c r="Q654" s="116">
        <v>358.25</v>
      </c>
      <c r="R654">
        <v>135056</v>
      </c>
    </row>
    <row r="655" spans="1:18" x14ac:dyDescent="0.25">
      <c r="A655" s="170">
        <v>46072</v>
      </c>
      <c r="B655" s="116">
        <v>359</v>
      </c>
      <c r="C655" s="116">
        <v>348.15</v>
      </c>
      <c r="D655" s="116">
        <v>347</v>
      </c>
      <c r="E655" s="116">
        <v>358.55</v>
      </c>
      <c r="F655" s="116">
        <v>348.15</v>
      </c>
      <c r="G655">
        <v>6359</v>
      </c>
      <c r="H655" s="116"/>
      <c r="I655" s="116"/>
      <c r="L655" s="170">
        <v>46072</v>
      </c>
      <c r="M655" s="116">
        <v>348.4</v>
      </c>
      <c r="N655" s="116">
        <v>362.05</v>
      </c>
      <c r="O655" s="116">
        <v>346.2</v>
      </c>
      <c r="P655" s="116">
        <v>359.5</v>
      </c>
      <c r="Q655" s="116">
        <v>348.4</v>
      </c>
      <c r="R655">
        <v>183693</v>
      </c>
    </row>
    <row r="656" spans="1:18" x14ac:dyDescent="0.25">
      <c r="A656" s="170">
        <v>46073</v>
      </c>
      <c r="B656" s="116">
        <v>352.75</v>
      </c>
      <c r="C656" s="116">
        <v>336.75</v>
      </c>
      <c r="D656" s="116">
        <v>328.5</v>
      </c>
      <c r="E656" s="116">
        <v>348.2</v>
      </c>
      <c r="F656" s="116">
        <v>336.75</v>
      </c>
      <c r="G656">
        <v>51332</v>
      </c>
      <c r="H656" s="116"/>
      <c r="I656" s="116"/>
      <c r="L656" s="170">
        <v>46073</v>
      </c>
      <c r="M656" s="116">
        <v>336.6</v>
      </c>
      <c r="N656" s="116">
        <v>348.7</v>
      </c>
      <c r="O656" s="116">
        <v>334.75</v>
      </c>
      <c r="P656" s="116">
        <v>348</v>
      </c>
      <c r="Q656" s="116">
        <v>336.6</v>
      </c>
      <c r="R656">
        <v>274345</v>
      </c>
    </row>
    <row r="657" spans="1:18" x14ac:dyDescent="0.25">
      <c r="A657" s="170">
        <v>46076</v>
      </c>
      <c r="B657" s="116">
        <v>341.15</v>
      </c>
      <c r="C657" s="116">
        <v>327.14999999999998</v>
      </c>
      <c r="D657" s="116">
        <v>321.14999999999998</v>
      </c>
      <c r="E657" s="116">
        <v>336.8</v>
      </c>
      <c r="F657" s="116">
        <v>327.14999999999998</v>
      </c>
      <c r="G657">
        <v>16050</v>
      </c>
      <c r="H657" s="116"/>
      <c r="I657" s="116"/>
      <c r="L657" s="170">
        <v>46076</v>
      </c>
      <c r="M657" s="116">
        <v>326.60000000000002</v>
      </c>
      <c r="N657" s="116">
        <v>341.05</v>
      </c>
      <c r="O657" s="116">
        <v>320.10000000000002</v>
      </c>
      <c r="P657" s="116">
        <v>337</v>
      </c>
      <c r="Q657" s="116">
        <v>326.60000000000002</v>
      </c>
      <c r="R657">
        <v>224766</v>
      </c>
    </row>
    <row r="658" spans="1:18" x14ac:dyDescent="0.25">
      <c r="A658" s="170">
        <v>46077</v>
      </c>
      <c r="B658" s="116">
        <v>323.3</v>
      </c>
      <c r="C658" s="116">
        <v>319.2</v>
      </c>
      <c r="D658" s="116">
        <v>316.75</v>
      </c>
      <c r="E658" s="116">
        <v>323.25</v>
      </c>
      <c r="F658" s="116">
        <v>319.2</v>
      </c>
      <c r="G658">
        <v>9599</v>
      </c>
      <c r="H658" s="116"/>
      <c r="I658" s="116"/>
      <c r="L658" s="170">
        <v>46077</v>
      </c>
      <c r="M658" s="116">
        <v>319</v>
      </c>
      <c r="N658" s="116">
        <v>325.35000000000002</v>
      </c>
      <c r="O658" s="116">
        <v>316.05</v>
      </c>
      <c r="P658" s="116">
        <v>322.14999999999998</v>
      </c>
      <c r="Q658" s="116">
        <v>319</v>
      </c>
      <c r="R658">
        <v>177662</v>
      </c>
    </row>
    <row r="659" spans="1:18" x14ac:dyDescent="0.25">
      <c r="A659" s="170">
        <v>46078</v>
      </c>
      <c r="B659" s="116">
        <v>324.45</v>
      </c>
      <c r="C659" s="116">
        <v>311.85000000000002</v>
      </c>
      <c r="D659" s="116">
        <v>308.25</v>
      </c>
      <c r="E659" s="116">
        <v>319.3</v>
      </c>
      <c r="F659" s="116">
        <v>311.85000000000002</v>
      </c>
      <c r="G659">
        <v>8241</v>
      </c>
      <c r="H659" s="116"/>
      <c r="I659" s="116"/>
      <c r="L659" s="170">
        <v>46078</v>
      </c>
      <c r="M659" s="116">
        <v>312.2</v>
      </c>
      <c r="N659" s="116">
        <v>325</v>
      </c>
      <c r="O659" s="116">
        <v>308.8</v>
      </c>
      <c r="P659" s="116">
        <v>321.14999999999998</v>
      </c>
      <c r="Q659" s="116">
        <v>312.2</v>
      </c>
      <c r="R659">
        <v>191361</v>
      </c>
    </row>
    <row r="660" spans="1:18" x14ac:dyDescent="0.25">
      <c r="A660" s="170">
        <v>46079</v>
      </c>
      <c r="B660" s="116">
        <v>322.35000000000002</v>
      </c>
      <c r="C660" s="116">
        <v>313.35000000000002</v>
      </c>
      <c r="D660" s="116">
        <v>311.25</v>
      </c>
      <c r="E660" s="116">
        <v>311.89999999999998</v>
      </c>
      <c r="F660" s="116">
        <v>313.35000000000002</v>
      </c>
      <c r="G660">
        <v>7693</v>
      </c>
      <c r="H660" s="116"/>
      <c r="I660" s="116"/>
      <c r="L660" s="170">
        <v>46079</v>
      </c>
      <c r="M660" s="116">
        <v>312.55</v>
      </c>
      <c r="N660" s="116">
        <v>322.55</v>
      </c>
      <c r="O660" s="116">
        <v>311</v>
      </c>
      <c r="P660" s="116">
        <v>311</v>
      </c>
      <c r="Q660" s="116">
        <v>312.55</v>
      </c>
      <c r="R660">
        <v>169628</v>
      </c>
    </row>
    <row r="661" spans="1:18" x14ac:dyDescent="0.25">
      <c r="A661" s="170">
        <v>46080</v>
      </c>
      <c r="B661" s="116">
        <v>317.14999999999998</v>
      </c>
      <c r="C661" s="116">
        <v>312.2</v>
      </c>
      <c r="D661" s="116">
        <v>308</v>
      </c>
      <c r="E661" s="116">
        <v>313.2</v>
      </c>
      <c r="F661" s="116">
        <v>312.2</v>
      </c>
      <c r="G661">
        <v>8033</v>
      </c>
      <c r="H661" s="116"/>
      <c r="I661" s="116"/>
      <c r="L661" s="170">
        <v>46080</v>
      </c>
      <c r="M661" s="116">
        <v>312.60000000000002</v>
      </c>
      <c r="N661" s="116">
        <v>317</v>
      </c>
      <c r="O661" s="116">
        <v>307.8</v>
      </c>
      <c r="P661" s="116">
        <v>312.39999999999998</v>
      </c>
      <c r="Q661" s="116">
        <v>312.60000000000002</v>
      </c>
      <c r="R661">
        <v>278138</v>
      </c>
    </row>
    <row r="662" spans="1:18" x14ac:dyDescent="0.25">
      <c r="A662" s="170">
        <v>46083</v>
      </c>
      <c r="B662" s="116">
        <v>311</v>
      </c>
      <c r="C662" s="116">
        <v>303.10000000000002</v>
      </c>
      <c r="D662" s="116">
        <v>291</v>
      </c>
      <c r="E662" s="116">
        <v>291</v>
      </c>
      <c r="F662" s="116">
        <v>303.10000000000002</v>
      </c>
      <c r="G662">
        <v>14265</v>
      </c>
      <c r="H662" s="116"/>
      <c r="I662" s="116"/>
      <c r="L662" s="170">
        <v>46083</v>
      </c>
      <c r="M662" s="116">
        <v>303.2</v>
      </c>
      <c r="N662" s="116">
        <v>311.14999999999998</v>
      </c>
      <c r="O662" s="116">
        <v>300</v>
      </c>
      <c r="P662" s="116">
        <v>300</v>
      </c>
      <c r="Q662" s="116">
        <v>303.2</v>
      </c>
      <c r="R662">
        <v>224999</v>
      </c>
    </row>
    <row r="663" spans="1:18" x14ac:dyDescent="0.25">
      <c r="A663" s="170">
        <v>46085</v>
      </c>
      <c r="B663" s="116">
        <v>309.7</v>
      </c>
      <c r="C663" s="116">
        <v>300</v>
      </c>
      <c r="D663" s="116">
        <v>297.05</v>
      </c>
      <c r="E663" s="116">
        <v>297.05</v>
      </c>
      <c r="F663" s="116">
        <v>300</v>
      </c>
      <c r="G663">
        <v>9116</v>
      </c>
      <c r="H663" s="116"/>
      <c r="I663" s="116"/>
      <c r="L663" s="170">
        <v>46085</v>
      </c>
      <c r="M663" s="116">
        <v>299.45</v>
      </c>
      <c r="N663" s="116">
        <v>309.55</v>
      </c>
      <c r="O663" s="116">
        <v>297.95</v>
      </c>
      <c r="P663" s="116">
        <v>298</v>
      </c>
      <c r="Q663" s="116">
        <v>299.45</v>
      </c>
      <c r="R663">
        <v>195253</v>
      </c>
    </row>
    <row r="664" spans="1:18" x14ac:dyDescent="0.25">
      <c r="A664" s="170">
        <v>46086</v>
      </c>
      <c r="B664" s="116">
        <v>304.60000000000002</v>
      </c>
      <c r="C664" s="116">
        <v>299.55</v>
      </c>
      <c r="D664" s="116">
        <v>294</v>
      </c>
      <c r="E664" s="116">
        <v>300.10000000000002</v>
      </c>
      <c r="F664" s="116">
        <v>299.55</v>
      </c>
      <c r="G664">
        <v>8327</v>
      </c>
      <c r="H664" s="116"/>
      <c r="I664" s="116"/>
      <c r="L664" s="170">
        <v>46086</v>
      </c>
      <c r="M664" s="116">
        <v>299.60000000000002</v>
      </c>
      <c r="N664" s="116">
        <v>306.39999999999998</v>
      </c>
      <c r="O664" s="116">
        <v>294.10000000000002</v>
      </c>
      <c r="P664" s="116">
        <v>303</v>
      </c>
      <c r="Q664" s="116">
        <v>299.60000000000002</v>
      </c>
      <c r="R664">
        <v>171059</v>
      </c>
    </row>
    <row r="665" spans="1:18" x14ac:dyDescent="0.25">
      <c r="A665" s="170">
        <v>46087</v>
      </c>
      <c r="B665" s="116">
        <v>304.5</v>
      </c>
      <c r="C665" s="116">
        <v>296.55</v>
      </c>
      <c r="D665" s="116">
        <v>295.05</v>
      </c>
      <c r="E665" s="116">
        <v>298</v>
      </c>
      <c r="F665" s="116">
        <v>296.55</v>
      </c>
      <c r="G665">
        <v>11612</v>
      </c>
      <c r="H665" s="116"/>
      <c r="I665" s="116"/>
      <c r="L665" s="170">
        <v>46087</v>
      </c>
      <c r="M665" s="116">
        <v>295.7</v>
      </c>
      <c r="N665" s="116">
        <v>304.95</v>
      </c>
      <c r="O665" s="116">
        <v>295</v>
      </c>
      <c r="P665" s="116">
        <v>298</v>
      </c>
      <c r="Q665" s="116">
        <v>295.7</v>
      </c>
      <c r="R665">
        <v>186985</v>
      </c>
    </row>
    <row r="666" spans="1:18" x14ac:dyDescent="0.25">
      <c r="A666" s="170">
        <v>46090</v>
      </c>
      <c r="B666" s="116">
        <v>292.10000000000002</v>
      </c>
      <c r="C666" s="116">
        <v>289.05</v>
      </c>
      <c r="D666" s="116">
        <v>285</v>
      </c>
      <c r="E666" s="116">
        <v>289.14999999999998</v>
      </c>
      <c r="F666" s="116">
        <v>289.05</v>
      </c>
      <c r="G666">
        <v>18836</v>
      </c>
      <c r="H666" s="116"/>
      <c r="I666" s="116"/>
      <c r="L666" s="170">
        <v>46090</v>
      </c>
      <c r="M666" s="116">
        <v>288.05</v>
      </c>
      <c r="N666" s="116">
        <v>292.7</v>
      </c>
      <c r="O666" s="116">
        <v>282.60000000000002</v>
      </c>
      <c r="P666" s="116">
        <v>291.64999999999998</v>
      </c>
      <c r="Q666" s="116">
        <v>288.05</v>
      </c>
      <c r="R666">
        <v>205137</v>
      </c>
    </row>
    <row r="667" spans="1:18" x14ac:dyDescent="0.25">
      <c r="A667" s="170">
        <v>46091</v>
      </c>
      <c r="B667" s="116">
        <v>305.39999999999998</v>
      </c>
      <c r="C667" s="116">
        <v>301.89999999999998</v>
      </c>
      <c r="D667" s="116">
        <v>290</v>
      </c>
      <c r="E667" s="116">
        <v>292</v>
      </c>
      <c r="F667" s="116">
        <v>301.89999999999998</v>
      </c>
      <c r="G667">
        <v>23460</v>
      </c>
      <c r="H667" s="116"/>
      <c r="I667" s="116"/>
      <c r="L667" s="170">
        <v>46091</v>
      </c>
      <c r="M667" s="116">
        <v>301.2</v>
      </c>
      <c r="N667" s="116">
        <v>306.35000000000002</v>
      </c>
      <c r="O667" s="116">
        <v>290.2</v>
      </c>
      <c r="P667" s="116">
        <v>293</v>
      </c>
      <c r="Q667" s="116">
        <v>301.2</v>
      </c>
      <c r="R667">
        <v>261274</v>
      </c>
    </row>
    <row r="668" spans="1:18" x14ac:dyDescent="0.25">
      <c r="A668" s="170">
        <v>46092</v>
      </c>
      <c r="B668" s="116">
        <v>326.55</v>
      </c>
      <c r="C668" s="116">
        <v>311.8</v>
      </c>
      <c r="D668" s="116">
        <v>300</v>
      </c>
      <c r="E668" s="116">
        <v>302</v>
      </c>
      <c r="F668" s="116">
        <v>311.8</v>
      </c>
      <c r="G668">
        <v>43445</v>
      </c>
      <c r="H668" s="116"/>
      <c r="I668" s="116"/>
      <c r="L668" s="170">
        <v>46092</v>
      </c>
      <c r="M668" s="116">
        <v>312.45</v>
      </c>
      <c r="N668" s="116">
        <v>326.95</v>
      </c>
      <c r="O668" s="116">
        <v>299</v>
      </c>
      <c r="P668" s="116">
        <v>303</v>
      </c>
      <c r="Q668" s="116">
        <v>312.45</v>
      </c>
      <c r="R668">
        <v>516158</v>
      </c>
    </row>
    <row r="669" spans="1:18" x14ac:dyDescent="0.25">
      <c r="A669" s="170">
        <v>46093</v>
      </c>
      <c r="B669" s="116">
        <v>315.2</v>
      </c>
      <c r="C669" s="116">
        <v>310.85000000000002</v>
      </c>
      <c r="D669" s="116">
        <v>303.75</v>
      </c>
      <c r="E669" s="116">
        <v>313</v>
      </c>
      <c r="F669" s="116">
        <v>310.85000000000002</v>
      </c>
      <c r="G669">
        <v>8654</v>
      </c>
      <c r="H669" s="116"/>
      <c r="I669" s="116"/>
      <c r="L669" s="170">
        <v>46093</v>
      </c>
      <c r="M669" s="116">
        <v>309.64999999999998</v>
      </c>
      <c r="N669" s="116">
        <v>315.8</v>
      </c>
      <c r="O669" s="116">
        <v>303.60000000000002</v>
      </c>
      <c r="P669" s="116">
        <v>314</v>
      </c>
      <c r="Q669" s="116">
        <v>309.64999999999998</v>
      </c>
      <c r="R669">
        <v>152024</v>
      </c>
    </row>
    <row r="670" spans="1:18" x14ac:dyDescent="0.25">
      <c r="A670" s="170">
        <v>46094</v>
      </c>
      <c r="B670" s="116">
        <v>312</v>
      </c>
      <c r="C670" s="116">
        <v>304.75</v>
      </c>
      <c r="D670" s="116">
        <v>300.89999999999998</v>
      </c>
      <c r="E670" s="116">
        <v>305.25</v>
      </c>
      <c r="F670" s="116">
        <v>304.75</v>
      </c>
      <c r="G670">
        <v>20357</v>
      </c>
      <c r="H670" s="116"/>
      <c r="I670" s="116"/>
      <c r="L670" s="170">
        <v>46094</v>
      </c>
      <c r="M670" s="116">
        <v>305.3</v>
      </c>
      <c r="N670" s="116">
        <v>312.39999999999998</v>
      </c>
      <c r="O670" s="116">
        <v>300.60000000000002</v>
      </c>
      <c r="P670" s="116">
        <v>307.2</v>
      </c>
      <c r="Q670" s="116">
        <v>305.3</v>
      </c>
      <c r="R670">
        <v>159385</v>
      </c>
    </row>
    <row r="671" spans="1:18" x14ac:dyDescent="0.25">
      <c r="A671" s="170">
        <v>46097</v>
      </c>
      <c r="B671" s="116">
        <v>309.55</v>
      </c>
      <c r="C671" s="116">
        <v>300.14999999999998</v>
      </c>
      <c r="D671" s="116">
        <v>296.25</v>
      </c>
      <c r="E671" s="116">
        <v>304.8</v>
      </c>
      <c r="F671" s="116">
        <v>300.14999999999998</v>
      </c>
      <c r="G671">
        <v>13022</v>
      </c>
      <c r="H671" s="116"/>
      <c r="I671" s="116"/>
      <c r="L671" s="170">
        <v>46097</v>
      </c>
      <c r="M671" s="116">
        <v>300.60000000000002</v>
      </c>
      <c r="N671" s="116">
        <v>309.39999999999998</v>
      </c>
      <c r="O671" s="116">
        <v>296.2</v>
      </c>
      <c r="P671" s="116">
        <v>305</v>
      </c>
      <c r="Q671" s="116">
        <v>300.60000000000002</v>
      </c>
      <c r="R671">
        <v>186112</v>
      </c>
    </row>
    <row r="672" spans="1:18" x14ac:dyDescent="0.25">
      <c r="A672" s="170">
        <v>46098</v>
      </c>
      <c r="B672" s="116">
        <v>347</v>
      </c>
      <c r="C672" s="116">
        <v>298.35000000000002</v>
      </c>
      <c r="D672" s="116">
        <v>286.5</v>
      </c>
      <c r="E672" s="116">
        <v>304.64999999999998</v>
      </c>
      <c r="F672" s="116">
        <v>298.35000000000002</v>
      </c>
      <c r="G672">
        <v>2225768</v>
      </c>
      <c r="H672" s="116"/>
      <c r="I672" s="116"/>
      <c r="L672" s="170">
        <v>46098</v>
      </c>
      <c r="M672" s="116">
        <v>296.55</v>
      </c>
      <c r="N672" s="116">
        <v>348</v>
      </c>
      <c r="O672" s="116">
        <v>286.14999999999998</v>
      </c>
      <c r="P672" s="116">
        <v>309</v>
      </c>
      <c r="Q672" s="116">
        <v>296.55</v>
      </c>
      <c r="R672">
        <v>31534417</v>
      </c>
    </row>
    <row r="673" spans="1:18" x14ac:dyDescent="0.25">
      <c r="A673" s="170">
        <v>46099</v>
      </c>
      <c r="B673" s="116">
        <v>328</v>
      </c>
      <c r="C673" s="116">
        <v>313.05</v>
      </c>
      <c r="D673" s="116">
        <v>294.89999999999998</v>
      </c>
      <c r="E673" s="116">
        <v>299</v>
      </c>
      <c r="F673" s="116">
        <v>313.05</v>
      </c>
      <c r="G673">
        <v>1873792</v>
      </c>
      <c r="H673" s="116"/>
      <c r="I673" s="116"/>
      <c r="L673" s="170">
        <v>46099</v>
      </c>
      <c r="M673" s="116">
        <v>313.7</v>
      </c>
      <c r="N673" s="116">
        <v>328.6</v>
      </c>
      <c r="O673" s="116">
        <v>295</v>
      </c>
      <c r="P673" s="116">
        <v>298</v>
      </c>
      <c r="Q673" s="116">
        <v>313.7</v>
      </c>
      <c r="R673">
        <v>18115782</v>
      </c>
    </row>
    <row r="674" spans="1:18" x14ac:dyDescent="0.25">
      <c r="A674" s="170">
        <v>46100</v>
      </c>
      <c r="B674" s="116">
        <v>315.35000000000002</v>
      </c>
      <c r="C674" s="116">
        <v>299.05</v>
      </c>
      <c r="D674" s="116">
        <v>296.39999999999998</v>
      </c>
      <c r="E674" s="116">
        <v>312</v>
      </c>
      <c r="F674" s="116">
        <v>299.05</v>
      </c>
      <c r="G674">
        <v>235488</v>
      </c>
      <c r="H674" s="116"/>
      <c r="I674" s="116"/>
      <c r="L674" s="170">
        <v>46100</v>
      </c>
      <c r="M674" s="116">
        <v>298.60000000000002</v>
      </c>
      <c r="N674" s="116">
        <v>315.7</v>
      </c>
      <c r="O674" s="116">
        <v>295.8</v>
      </c>
      <c r="P674" s="116">
        <v>310.25</v>
      </c>
      <c r="Q674" s="116">
        <v>298.60000000000002</v>
      </c>
      <c r="R674">
        <v>2149687</v>
      </c>
    </row>
    <row r="675" spans="1:18" x14ac:dyDescent="0.25">
      <c r="A675" s="170">
        <v>46101</v>
      </c>
      <c r="B675" s="116">
        <v>309.95</v>
      </c>
      <c r="C675" s="116">
        <v>303.7</v>
      </c>
      <c r="D675" s="116">
        <v>301.64999999999998</v>
      </c>
      <c r="E675" s="116">
        <v>305.05</v>
      </c>
      <c r="F675" s="116">
        <v>303.7</v>
      </c>
      <c r="G675">
        <v>48457</v>
      </c>
      <c r="H675" s="116"/>
      <c r="I675" s="116"/>
      <c r="L675" s="170">
        <v>46101</v>
      </c>
      <c r="M675" s="116">
        <v>303.8</v>
      </c>
      <c r="N675" s="116">
        <v>310</v>
      </c>
      <c r="O675" s="116">
        <v>300.35000000000002</v>
      </c>
      <c r="P675" s="116">
        <v>303.10000000000002</v>
      </c>
      <c r="Q675" s="116">
        <v>303.8</v>
      </c>
      <c r="R675">
        <v>996356</v>
      </c>
    </row>
    <row r="676" spans="1:18" x14ac:dyDescent="0.25">
      <c r="A676" s="170">
        <v>46104</v>
      </c>
      <c r="B676" s="116">
        <v>300.95</v>
      </c>
      <c r="C676" s="116">
        <v>281</v>
      </c>
      <c r="D676" s="116">
        <v>276.55</v>
      </c>
      <c r="E676" s="116">
        <v>300.95</v>
      </c>
      <c r="F676" s="116">
        <v>281</v>
      </c>
      <c r="G676">
        <v>41453</v>
      </c>
      <c r="H676" s="116"/>
      <c r="I676" s="116"/>
      <c r="L676" s="170">
        <v>46104</v>
      </c>
      <c r="M676" s="116">
        <v>280.14999999999998</v>
      </c>
      <c r="N676" s="116">
        <v>301.7</v>
      </c>
      <c r="O676" s="116">
        <v>276.14999999999998</v>
      </c>
      <c r="P676" s="116">
        <v>300.05</v>
      </c>
      <c r="Q676" s="116">
        <v>280.14999999999998</v>
      </c>
      <c r="R676">
        <v>765989</v>
      </c>
    </row>
    <row r="677" spans="1:18" x14ac:dyDescent="0.25">
      <c r="A677" s="170">
        <v>46105</v>
      </c>
      <c r="B677" s="116">
        <v>290.8</v>
      </c>
      <c r="C677" s="116">
        <v>284.2</v>
      </c>
      <c r="D677" s="116">
        <v>276.2</v>
      </c>
      <c r="E677" s="116">
        <v>282</v>
      </c>
      <c r="F677" s="116">
        <v>284.2</v>
      </c>
      <c r="G677">
        <v>57460</v>
      </c>
      <c r="H677" s="116"/>
      <c r="I677" s="116"/>
      <c r="L677" s="170">
        <v>46105</v>
      </c>
      <c r="M677" s="116">
        <v>284.10000000000002</v>
      </c>
      <c r="N677" s="116">
        <v>290.10000000000002</v>
      </c>
      <c r="O677" s="116">
        <v>276.5</v>
      </c>
      <c r="P677" s="116">
        <v>290.10000000000002</v>
      </c>
      <c r="Q677" s="116">
        <v>284.10000000000002</v>
      </c>
      <c r="R677">
        <v>775945</v>
      </c>
    </row>
    <row r="678" spans="1:18" x14ac:dyDescent="0.25">
      <c r="A678" s="170">
        <v>46106</v>
      </c>
      <c r="B678" s="116">
        <v>300</v>
      </c>
      <c r="C678" s="116">
        <v>294.64999999999998</v>
      </c>
      <c r="D678" s="116">
        <v>285.60000000000002</v>
      </c>
      <c r="E678" s="116">
        <v>285.60000000000002</v>
      </c>
      <c r="F678" s="116">
        <v>294.64999999999998</v>
      </c>
      <c r="G678">
        <v>41106</v>
      </c>
      <c r="H678" s="116"/>
      <c r="I678" s="116"/>
      <c r="L678" s="170">
        <v>46106</v>
      </c>
      <c r="M678" s="116">
        <v>294.60000000000002</v>
      </c>
      <c r="N678" s="116">
        <v>300.14999999999998</v>
      </c>
      <c r="O678" s="116">
        <v>287.45</v>
      </c>
      <c r="P678" s="116">
        <v>290.85000000000002</v>
      </c>
      <c r="Q678" s="116">
        <v>294.60000000000002</v>
      </c>
      <c r="R678">
        <v>844648</v>
      </c>
    </row>
    <row r="679" spans="1:18" x14ac:dyDescent="0.25">
      <c r="A679" s="170">
        <v>46108</v>
      </c>
      <c r="B679" s="116">
        <v>297.45</v>
      </c>
      <c r="C679" s="116">
        <v>279.8</v>
      </c>
      <c r="D679" s="116">
        <v>271.7</v>
      </c>
      <c r="E679" s="116">
        <v>290.05</v>
      </c>
      <c r="F679" s="116">
        <v>279.8</v>
      </c>
      <c r="G679">
        <v>544323</v>
      </c>
      <c r="H679" s="116"/>
      <c r="I679" s="116"/>
      <c r="L679" s="170">
        <v>46108</v>
      </c>
      <c r="M679" s="116">
        <v>278.89999999999998</v>
      </c>
      <c r="N679" s="116">
        <v>298.7</v>
      </c>
      <c r="O679" s="116">
        <v>271.5</v>
      </c>
      <c r="P679" s="116">
        <v>290</v>
      </c>
      <c r="Q679" s="116">
        <v>278.89999999999998</v>
      </c>
      <c r="R679">
        <v>2187659</v>
      </c>
    </row>
    <row r="680" spans="1:18" x14ac:dyDescent="0.25">
      <c r="A680" s="170">
        <v>46111</v>
      </c>
      <c r="B680" s="116">
        <v>280.14999999999998</v>
      </c>
      <c r="C680" s="116">
        <v>272</v>
      </c>
      <c r="D680" s="116">
        <v>264.95</v>
      </c>
      <c r="E680" s="116">
        <v>270.7</v>
      </c>
      <c r="F680" s="116">
        <v>272</v>
      </c>
      <c r="G680">
        <v>47357</v>
      </c>
      <c r="H680" s="116"/>
      <c r="I680" s="116"/>
      <c r="L680" s="170">
        <v>46111</v>
      </c>
      <c r="M680" s="116">
        <v>272.3</v>
      </c>
      <c r="N680" s="116">
        <v>281</v>
      </c>
      <c r="O680" s="116">
        <v>265.2</v>
      </c>
      <c r="P680" s="116">
        <v>276</v>
      </c>
      <c r="Q680" s="116">
        <v>272.3</v>
      </c>
      <c r="R680">
        <v>862655</v>
      </c>
    </row>
    <row r="681" spans="1:18" x14ac:dyDescent="0.25">
      <c r="A681" s="170">
        <v>46113</v>
      </c>
      <c r="B681" s="116">
        <v>287.45</v>
      </c>
      <c r="C681" s="116">
        <v>284.45</v>
      </c>
      <c r="D681" s="116">
        <v>278.2</v>
      </c>
      <c r="E681" s="116">
        <v>286.05</v>
      </c>
      <c r="F681" s="116">
        <v>284.45</v>
      </c>
      <c r="G681">
        <v>23591</v>
      </c>
      <c r="H681" s="116"/>
      <c r="I681" s="116"/>
      <c r="L681" s="170">
        <v>46113</v>
      </c>
      <c r="M681" s="116">
        <v>284.60000000000002</v>
      </c>
      <c r="N681" s="116">
        <v>287.5</v>
      </c>
      <c r="O681" s="116">
        <v>278.25</v>
      </c>
      <c r="P681" s="116">
        <v>286.2</v>
      </c>
      <c r="Q681" s="116">
        <v>284.60000000000002</v>
      </c>
      <c r="R681">
        <v>377163</v>
      </c>
    </row>
    <row r="682" spans="1:18" x14ac:dyDescent="0.25">
      <c r="A682" s="170">
        <v>46114</v>
      </c>
      <c r="B682" s="116">
        <v>281.45</v>
      </c>
      <c r="C682" s="116">
        <v>279.7</v>
      </c>
      <c r="D682" s="116">
        <v>269.39999999999998</v>
      </c>
      <c r="E682" s="116">
        <v>280.25</v>
      </c>
      <c r="F682" s="116">
        <v>279.7</v>
      </c>
      <c r="G682">
        <v>24992</v>
      </c>
      <c r="H682" s="116"/>
      <c r="I682" s="116"/>
      <c r="L682" s="170">
        <v>46114</v>
      </c>
      <c r="M682" s="116">
        <v>280.10000000000002</v>
      </c>
      <c r="N682" s="116">
        <v>281.14999999999998</v>
      </c>
      <c r="O682" s="116">
        <v>269</v>
      </c>
      <c r="P682" s="116">
        <v>280.60000000000002</v>
      </c>
      <c r="Q682" s="116">
        <v>280.10000000000002</v>
      </c>
      <c r="R682">
        <v>327752</v>
      </c>
    </row>
    <row r="683" spans="1:18" x14ac:dyDescent="0.25">
      <c r="A683" s="170">
        <v>46118</v>
      </c>
      <c r="B683" s="116">
        <v>293.89999999999998</v>
      </c>
      <c r="C683" s="116">
        <v>289.60000000000002</v>
      </c>
      <c r="D683" s="116">
        <v>272.5</v>
      </c>
      <c r="E683" s="116">
        <v>280.5</v>
      </c>
      <c r="F683" s="116">
        <v>289.60000000000002</v>
      </c>
      <c r="G683">
        <v>24504</v>
      </c>
      <c r="H683" s="116"/>
      <c r="I683" s="116"/>
      <c r="L683" s="170">
        <v>46118</v>
      </c>
      <c r="M683" s="116">
        <v>290.10000000000002</v>
      </c>
      <c r="N683" s="116">
        <v>293.64999999999998</v>
      </c>
      <c r="O683" s="116">
        <v>272.5</v>
      </c>
      <c r="P683" s="116">
        <v>280.10000000000002</v>
      </c>
      <c r="Q683" s="116">
        <v>290.10000000000002</v>
      </c>
      <c r="R683">
        <v>635348</v>
      </c>
    </row>
    <row r="684" spans="1:18" x14ac:dyDescent="0.25">
      <c r="A684" s="170">
        <v>46119</v>
      </c>
      <c r="B684" s="116">
        <v>292.45</v>
      </c>
      <c r="C684" s="116">
        <v>284</v>
      </c>
      <c r="D684" s="116">
        <v>283</v>
      </c>
      <c r="E684" s="116">
        <v>292.45</v>
      </c>
      <c r="F684" s="116">
        <v>284</v>
      </c>
      <c r="G684">
        <v>20020</v>
      </c>
      <c r="H684" s="116"/>
      <c r="I684" s="116"/>
      <c r="L684" s="170">
        <v>46119</v>
      </c>
      <c r="M684" s="116">
        <v>284.10000000000002</v>
      </c>
      <c r="N684" s="116">
        <v>289</v>
      </c>
      <c r="O684" s="116">
        <v>282.10000000000002</v>
      </c>
      <c r="P684" s="116">
        <v>289</v>
      </c>
      <c r="Q684" s="116">
        <v>284.10000000000002</v>
      </c>
      <c r="R684">
        <v>298403</v>
      </c>
    </row>
    <row r="685" spans="1:18" x14ac:dyDescent="0.25">
      <c r="A685" s="170">
        <v>46120</v>
      </c>
      <c r="B685" s="116">
        <v>309</v>
      </c>
      <c r="C685" s="116">
        <v>306.5</v>
      </c>
      <c r="D685" s="116">
        <v>291.35000000000002</v>
      </c>
      <c r="E685" s="116">
        <v>301.89999999999998</v>
      </c>
      <c r="F685" s="116">
        <v>306.5</v>
      </c>
      <c r="G685">
        <v>28646</v>
      </c>
      <c r="H685" s="116"/>
      <c r="I685" s="116"/>
      <c r="L685" s="170">
        <v>46120</v>
      </c>
      <c r="M685" s="116">
        <v>306.55</v>
      </c>
      <c r="N685" s="116">
        <v>309.64999999999998</v>
      </c>
      <c r="O685" s="116">
        <v>291.10000000000002</v>
      </c>
      <c r="P685" s="116">
        <v>299</v>
      </c>
      <c r="Q685" s="116">
        <v>306.55</v>
      </c>
      <c r="R685">
        <v>811456</v>
      </c>
    </row>
    <row r="686" spans="1:18" x14ac:dyDescent="0.25">
      <c r="A686" s="170">
        <v>46121</v>
      </c>
      <c r="B686" s="116">
        <v>321</v>
      </c>
      <c r="C686" s="116">
        <v>310.39999999999998</v>
      </c>
      <c r="D686" s="116">
        <v>302.14999999999998</v>
      </c>
      <c r="E686" s="116">
        <v>308.85000000000002</v>
      </c>
      <c r="F686" s="116">
        <v>310.39999999999998</v>
      </c>
      <c r="G686">
        <v>28198</v>
      </c>
      <c r="H686" s="116"/>
      <c r="I686" s="116"/>
      <c r="L686" s="170">
        <v>46121</v>
      </c>
      <c r="M686" s="116">
        <v>310.25</v>
      </c>
      <c r="N686" s="116">
        <v>322.14999999999998</v>
      </c>
      <c r="O686" s="116">
        <v>303</v>
      </c>
      <c r="P686" s="116">
        <v>307.7</v>
      </c>
      <c r="Q686" s="116">
        <v>310.25</v>
      </c>
      <c r="R686">
        <v>707566</v>
      </c>
    </row>
    <row r="687" spans="1:18" x14ac:dyDescent="0.25">
      <c r="A687" s="170">
        <v>46122</v>
      </c>
      <c r="B687" s="116">
        <v>319.89999999999998</v>
      </c>
      <c r="C687" s="116">
        <v>314.55</v>
      </c>
      <c r="D687" s="116">
        <v>310.89999999999998</v>
      </c>
      <c r="E687" s="116">
        <v>315.35000000000002</v>
      </c>
      <c r="F687" s="116">
        <v>314.55</v>
      </c>
      <c r="G687">
        <v>19000</v>
      </c>
      <c r="H687" s="116"/>
      <c r="I687" s="116"/>
      <c r="L687" s="170">
        <v>46122</v>
      </c>
      <c r="M687" s="116">
        <v>314.5</v>
      </c>
      <c r="N687" s="116">
        <v>320.2</v>
      </c>
      <c r="O687" s="116">
        <v>310.55</v>
      </c>
      <c r="P687" s="116">
        <v>315</v>
      </c>
      <c r="Q687" s="116">
        <v>314.5</v>
      </c>
      <c r="R687">
        <v>294086</v>
      </c>
    </row>
    <row r="688" spans="1:18" x14ac:dyDescent="0.25">
      <c r="A688" s="170">
        <v>46125</v>
      </c>
      <c r="B688" s="116">
        <v>319.95</v>
      </c>
      <c r="C688" s="116">
        <v>315.95</v>
      </c>
      <c r="D688" s="116">
        <v>300.05</v>
      </c>
      <c r="E688" s="116">
        <v>306.05</v>
      </c>
      <c r="F688" s="116">
        <v>315.95</v>
      </c>
      <c r="G688">
        <v>41685</v>
      </c>
      <c r="H688" s="116"/>
      <c r="I688" s="116"/>
      <c r="L688" s="170">
        <v>46125</v>
      </c>
      <c r="M688" s="116">
        <v>317.2</v>
      </c>
      <c r="N688" s="116">
        <v>319.95</v>
      </c>
      <c r="O688" s="116">
        <v>301.2</v>
      </c>
      <c r="P688" s="116">
        <v>307</v>
      </c>
      <c r="Q688" s="116">
        <v>317.2</v>
      </c>
      <c r="R688">
        <v>485786</v>
      </c>
    </row>
    <row r="689" spans="1:18" x14ac:dyDescent="0.25">
      <c r="A689" s="170">
        <v>46127</v>
      </c>
      <c r="B689" s="116">
        <v>333.75</v>
      </c>
      <c r="C689" s="116">
        <v>326.10000000000002</v>
      </c>
      <c r="D689" s="116">
        <v>320.05</v>
      </c>
      <c r="E689" s="116">
        <v>320.05</v>
      </c>
      <c r="F689" s="116">
        <v>326.10000000000002</v>
      </c>
      <c r="G689">
        <v>32777</v>
      </c>
      <c r="H689" s="116"/>
      <c r="I689" s="116"/>
      <c r="L689" s="170">
        <v>46127</v>
      </c>
      <c r="M689" s="116">
        <v>325.5</v>
      </c>
      <c r="N689" s="116">
        <v>333.4</v>
      </c>
      <c r="O689" s="116">
        <v>321.35000000000002</v>
      </c>
      <c r="P689" s="116">
        <v>325</v>
      </c>
      <c r="Q689" s="116">
        <v>325.5</v>
      </c>
      <c r="R689">
        <v>483233</v>
      </c>
    </row>
    <row r="690" spans="1:18" x14ac:dyDescent="0.25">
      <c r="A690" s="170">
        <v>46128</v>
      </c>
      <c r="B690" s="116">
        <v>339.9</v>
      </c>
      <c r="C690" s="116">
        <v>337.3</v>
      </c>
      <c r="D690" s="116">
        <v>322.05</v>
      </c>
      <c r="E690" s="116">
        <v>329</v>
      </c>
      <c r="F690" s="116">
        <v>337.3</v>
      </c>
      <c r="G690">
        <v>39330</v>
      </c>
      <c r="H690" s="116"/>
      <c r="I690" s="116"/>
      <c r="L690" s="170">
        <v>46128</v>
      </c>
      <c r="M690" s="116">
        <v>336.1</v>
      </c>
      <c r="N690" s="116">
        <v>340</v>
      </c>
      <c r="O690" s="116">
        <v>321.89999999999998</v>
      </c>
      <c r="P690" s="116">
        <v>329.8</v>
      </c>
      <c r="Q690" s="116">
        <v>336.1</v>
      </c>
      <c r="R690">
        <v>563428</v>
      </c>
    </row>
    <row r="691" spans="1:18" x14ac:dyDescent="0.25">
      <c r="A691" s="170">
        <v>46129</v>
      </c>
      <c r="B691" s="116">
        <v>343.95</v>
      </c>
      <c r="C691" s="116">
        <v>341.1</v>
      </c>
      <c r="D691" s="116">
        <v>334.05</v>
      </c>
      <c r="E691" s="116">
        <v>335.4</v>
      </c>
      <c r="F691" s="116">
        <v>341.1</v>
      </c>
      <c r="G691">
        <v>23904</v>
      </c>
      <c r="H691" s="116"/>
      <c r="I691" s="116"/>
      <c r="L691" s="170">
        <v>46129</v>
      </c>
      <c r="M691" s="116">
        <v>341.25</v>
      </c>
      <c r="N691" s="116">
        <v>343.95</v>
      </c>
      <c r="O691" s="116">
        <v>333.7</v>
      </c>
      <c r="P691" s="116">
        <v>338.9</v>
      </c>
      <c r="Q691" s="116">
        <v>341.25</v>
      </c>
      <c r="R691">
        <v>334102</v>
      </c>
    </row>
    <row r="692" spans="1:18" x14ac:dyDescent="0.25">
      <c r="A692" s="170">
        <v>46132</v>
      </c>
      <c r="B692" s="116">
        <v>349.85</v>
      </c>
      <c r="C692" s="116">
        <v>345.55</v>
      </c>
      <c r="D692" s="116">
        <v>335</v>
      </c>
      <c r="E692" s="116">
        <v>347.55</v>
      </c>
      <c r="F692" s="116">
        <v>345.55</v>
      </c>
      <c r="G692">
        <v>25016</v>
      </c>
      <c r="H692" s="116"/>
      <c r="I692" s="116"/>
      <c r="L692" s="170">
        <v>46132</v>
      </c>
      <c r="M692" s="116">
        <v>345.8</v>
      </c>
      <c r="N692" s="116">
        <v>349.95</v>
      </c>
      <c r="O692" s="116">
        <v>334.1</v>
      </c>
      <c r="P692" s="116">
        <v>345</v>
      </c>
      <c r="Q692" s="116">
        <v>345.8</v>
      </c>
      <c r="R692">
        <v>488341</v>
      </c>
    </row>
    <row r="693" spans="1:18" x14ac:dyDescent="0.25">
      <c r="A693" s="170">
        <v>46133</v>
      </c>
      <c r="B693" s="116">
        <v>369.45</v>
      </c>
      <c r="C693" s="116">
        <v>357.7</v>
      </c>
      <c r="D693" s="116">
        <v>345.75</v>
      </c>
      <c r="E693" s="116">
        <v>348.95</v>
      </c>
      <c r="F693" s="116">
        <v>357.7</v>
      </c>
      <c r="G693">
        <v>36900</v>
      </c>
      <c r="H693" s="116"/>
      <c r="I693" s="116"/>
      <c r="L693" s="170">
        <v>46133</v>
      </c>
      <c r="M693" s="116">
        <v>357.8</v>
      </c>
      <c r="N693" s="116">
        <v>370</v>
      </c>
      <c r="O693" s="116">
        <v>346</v>
      </c>
      <c r="P693" s="116">
        <v>349</v>
      </c>
      <c r="Q693" s="116">
        <v>357.8</v>
      </c>
      <c r="R693">
        <v>831912</v>
      </c>
    </row>
    <row r="694" spans="1:18" x14ac:dyDescent="0.25">
      <c r="A694" s="170">
        <v>46134</v>
      </c>
      <c r="B694" s="116">
        <v>384.5</v>
      </c>
      <c r="C694" s="116">
        <v>375.25</v>
      </c>
      <c r="D694" s="116">
        <v>339.7</v>
      </c>
      <c r="E694" s="116">
        <v>349.65</v>
      </c>
      <c r="F694" s="116">
        <v>375.25</v>
      </c>
      <c r="G694">
        <v>121209</v>
      </c>
      <c r="H694" s="116"/>
      <c r="I694" s="116"/>
      <c r="L694" s="170">
        <v>46134</v>
      </c>
      <c r="M694" s="116">
        <v>375.25</v>
      </c>
      <c r="N694" s="116">
        <v>384.6</v>
      </c>
      <c r="O694" s="116">
        <v>340</v>
      </c>
      <c r="P694" s="116">
        <v>345</v>
      </c>
      <c r="Q694" s="116">
        <v>375.25</v>
      </c>
      <c r="R694">
        <v>4208427</v>
      </c>
    </row>
    <row r="695" spans="1:18" x14ac:dyDescent="0.25">
      <c r="A695" s="170">
        <v>46135</v>
      </c>
      <c r="B695" s="116">
        <v>384.75</v>
      </c>
      <c r="C695" s="116">
        <v>381.5</v>
      </c>
      <c r="D695" s="116">
        <v>364.55</v>
      </c>
      <c r="E695" s="116">
        <v>376.55</v>
      </c>
      <c r="F695" s="116">
        <v>381.5</v>
      </c>
      <c r="G695">
        <v>25969</v>
      </c>
      <c r="H695" s="116"/>
      <c r="I695" s="116"/>
      <c r="L695" s="170">
        <v>46135</v>
      </c>
      <c r="M695" s="116">
        <v>381.55</v>
      </c>
      <c r="N695" s="116">
        <v>384.9</v>
      </c>
      <c r="O695" s="116">
        <v>364.35</v>
      </c>
      <c r="P695" s="116">
        <v>375</v>
      </c>
      <c r="Q695" s="116">
        <v>381.55</v>
      </c>
      <c r="R695">
        <v>944612</v>
      </c>
    </row>
    <row r="696" spans="1:18" x14ac:dyDescent="0.25">
      <c r="A696" s="170">
        <v>46136</v>
      </c>
      <c r="B696" s="116">
        <v>387.5</v>
      </c>
      <c r="C696" s="116">
        <v>372.75</v>
      </c>
      <c r="D696" s="116">
        <v>367.65</v>
      </c>
      <c r="E696" s="116">
        <v>385.45</v>
      </c>
      <c r="F696" s="116">
        <v>372.75</v>
      </c>
      <c r="G696">
        <v>20243</v>
      </c>
      <c r="H696" s="116"/>
      <c r="I696" s="116"/>
      <c r="L696" s="170">
        <v>46136</v>
      </c>
      <c r="M696" s="116">
        <v>373</v>
      </c>
      <c r="N696" s="116">
        <v>386.8</v>
      </c>
      <c r="O696" s="116">
        <v>367.65</v>
      </c>
      <c r="P696" s="116">
        <v>385</v>
      </c>
      <c r="Q696" s="116">
        <v>373</v>
      </c>
      <c r="R696">
        <v>377861</v>
      </c>
    </row>
    <row r="697" spans="1:18" x14ac:dyDescent="0.25">
      <c r="A697" s="170">
        <v>46139</v>
      </c>
      <c r="B697" s="116">
        <v>403</v>
      </c>
      <c r="C697" s="116">
        <v>400</v>
      </c>
      <c r="D697" s="116">
        <v>385</v>
      </c>
      <c r="E697" s="116">
        <v>387.6</v>
      </c>
      <c r="F697" s="116">
        <v>400</v>
      </c>
      <c r="G697">
        <v>73295</v>
      </c>
      <c r="H697" s="116"/>
      <c r="I697" s="116"/>
      <c r="L697" s="170">
        <v>46139</v>
      </c>
      <c r="M697" s="116">
        <v>400.1</v>
      </c>
      <c r="N697" s="116">
        <v>403</v>
      </c>
      <c r="O697" s="116">
        <v>383.5</v>
      </c>
      <c r="P697" s="116">
        <v>383.5</v>
      </c>
      <c r="Q697" s="116">
        <v>400.1</v>
      </c>
      <c r="R697">
        <v>1219610</v>
      </c>
    </row>
    <row r="698" spans="1:18" x14ac:dyDescent="0.25">
      <c r="A698" s="170">
        <v>46140</v>
      </c>
      <c r="B698" s="116">
        <v>405.65</v>
      </c>
      <c r="C698" s="116">
        <v>393.35</v>
      </c>
      <c r="D698" s="116">
        <v>390.45</v>
      </c>
      <c r="E698" s="116">
        <v>404.7</v>
      </c>
      <c r="F698" s="116">
        <v>393.35</v>
      </c>
      <c r="G698">
        <v>29522</v>
      </c>
      <c r="H698" s="116"/>
      <c r="I698" s="116"/>
      <c r="L698" s="170">
        <v>46140</v>
      </c>
      <c r="M698" s="116">
        <v>392.55</v>
      </c>
      <c r="N698" s="116">
        <v>406</v>
      </c>
      <c r="O698" s="116">
        <v>390</v>
      </c>
      <c r="P698" s="116">
        <v>403</v>
      </c>
      <c r="Q698" s="116">
        <v>392.55</v>
      </c>
      <c r="R698">
        <v>449950</v>
      </c>
    </row>
    <row r="699" spans="1:18" x14ac:dyDescent="0.25">
      <c r="A699" s="170">
        <v>46141</v>
      </c>
      <c r="B699" s="116">
        <v>400.65</v>
      </c>
      <c r="C699" s="116">
        <v>395.5</v>
      </c>
      <c r="D699" s="116">
        <v>390.6</v>
      </c>
      <c r="E699" s="116">
        <v>395.65</v>
      </c>
      <c r="F699" s="116">
        <v>395.5</v>
      </c>
      <c r="G699">
        <v>14129</v>
      </c>
      <c r="H699" s="116"/>
      <c r="I699" s="116"/>
      <c r="L699" s="170">
        <v>46141</v>
      </c>
      <c r="M699" s="116">
        <v>394.95</v>
      </c>
      <c r="N699" s="116">
        <v>400.7</v>
      </c>
      <c r="O699" s="116">
        <v>390</v>
      </c>
      <c r="P699" s="116">
        <v>397.4</v>
      </c>
      <c r="Q699" s="116">
        <v>394.95</v>
      </c>
      <c r="R699">
        <v>309580</v>
      </c>
    </row>
    <row r="700" spans="1:18" x14ac:dyDescent="0.25">
      <c r="A700" s="170">
        <v>46142</v>
      </c>
      <c r="B700" s="116">
        <v>395.45</v>
      </c>
      <c r="C700" s="116">
        <v>392.95</v>
      </c>
      <c r="D700" s="116">
        <v>382.25</v>
      </c>
      <c r="E700" s="116">
        <v>394.45</v>
      </c>
      <c r="F700" s="116">
        <v>392.95</v>
      </c>
      <c r="G700">
        <v>21507</v>
      </c>
      <c r="H700" s="116"/>
      <c r="I700" s="116"/>
      <c r="L700" s="170">
        <v>46142</v>
      </c>
      <c r="M700" s="116">
        <v>393.1</v>
      </c>
      <c r="N700" s="116">
        <v>395.5</v>
      </c>
      <c r="O700" s="116">
        <v>382.05</v>
      </c>
      <c r="P700" s="116">
        <v>393.85</v>
      </c>
      <c r="Q700" s="116">
        <v>393.1</v>
      </c>
      <c r="R700">
        <v>233854</v>
      </c>
    </row>
    <row r="701" spans="1:18" x14ac:dyDescent="0.25">
      <c r="A701" s="170">
        <v>46146</v>
      </c>
      <c r="B701" s="116">
        <v>402.8</v>
      </c>
      <c r="C701" s="116">
        <v>400.25</v>
      </c>
      <c r="D701" s="116">
        <v>392.4</v>
      </c>
      <c r="E701" s="116">
        <v>399.6</v>
      </c>
      <c r="F701" s="116">
        <v>400.25</v>
      </c>
      <c r="G701">
        <v>17294</v>
      </c>
      <c r="H701" s="116"/>
      <c r="I701" s="116"/>
      <c r="L701" s="170">
        <v>46146</v>
      </c>
      <c r="M701" s="116">
        <v>400.7</v>
      </c>
      <c r="N701" s="116">
        <v>402.5</v>
      </c>
      <c r="O701" s="116">
        <v>392.15</v>
      </c>
      <c r="P701" s="116">
        <v>394.8</v>
      </c>
      <c r="Q701" s="116">
        <v>400.7</v>
      </c>
      <c r="R701">
        <v>239204</v>
      </c>
    </row>
    <row r="702" spans="1:18" x14ac:dyDescent="0.25">
      <c r="A702" s="170">
        <v>46147</v>
      </c>
      <c r="B702" s="116">
        <v>414.85</v>
      </c>
      <c r="C702" s="116">
        <v>411.95</v>
      </c>
      <c r="D702" s="116">
        <v>398</v>
      </c>
      <c r="E702" s="116">
        <v>400.25</v>
      </c>
      <c r="F702" s="116">
        <v>411.95</v>
      </c>
      <c r="G702">
        <v>21879</v>
      </c>
      <c r="H702" s="116"/>
      <c r="I702" s="116"/>
      <c r="L702" s="170">
        <v>46147</v>
      </c>
      <c r="M702" s="116">
        <v>411.55</v>
      </c>
      <c r="N702" s="116">
        <v>415</v>
      </c>
      <c r="O702" s="116">
        <v>396.2</v>
      </c>
      <c r="P702" s="116">
        <v>400.6</v>
      </c>
      <c r="Q702" s="116">
        <v>411.55</v>
      </c>
      <c r="R702">
        <v>372833</v>
      </c>
    </row>
    <row r="703" spans="1:18" x14ac:dyDescent="0.25">
      <c r="A703" s="170">
        <v>46148</v>
      </c>
      <c r="B703" s="116">
        <v>418.05</v>
      </c>
      <c r="C703" s="116">
        <v>416.3</v>
      </c>
      <c r="D703" s="116">
        <v>412.05</v>
      </c>
      <c r="E703" s="116">
        <v>416.95</v>
      </c>
      <c r="F703" s="116">
        <v>416.3</v>
      </c>
      <c r="G703">
        <v>21645</v>
      </c>
      <c r="H703" s="116"/>
      <c r="I703" s="116"/>
      <c r="L703" s="170">
        <v>46148</v>
      </c>
      <c r="M703" s="116">
        <v>415.9</v>
      </c>
      <c r="N703" s="116">
        <v>419</v>
      </c>
      <c r="O703" s="116">
        <v>412</v>
      </c>
      <c r="P703" s="116">
        <v>419</v>
      </c>
      <c r="Q703" s="116">
        <v>415.9</v>
      </c>
      <c r="R703">
        <v>296573</v>
      </c>
    </row>
    <row r="704" spans="1:18" x14ac:dyDescent="0.25">
      <c r="A704" s="170">
        <v>46149</v>
      </c>
      <c r="B704" s="116">
        <v>427.95</v>
      </c>
      <c r="C704" s="116">
        <v>423.7</v>
      </c>
      <c r="D704" s="116">
        <v>415.15</v>
      </c>
      <c r="E704" s="116">
        <v>420.95</v>
      </c>
      <c r="F704" s="116">
        <v>423.7</v>
      </c>
      <c r="G704">
        <v>15615</v>
      </c>
      <c r="H704" s="116"/>
      <c r="I704" s="116"/>
      <c r="L704" s="170">
        <v>46149</v>
      </c>
      <c r="M704" s="116">
        <v>424.8</v>
      </c>
      <c r="N704" s="116">
        <v>428</v>
      </c>
      <c r="O704" s="116">
        <v>414.8</v>
      </c>
      <c r="P704" s="116">
        <v>419</v>
      </c>
      <c r="Q704" s="116">
        <v>424.8</v>
      </c>
      <c r="R704">
        <v>265384</v>
      </c>
    </row>
    <row r="705" spans="1:18" x14ac:dyDescent="0.25">
      <c r="A705" s="170">
        <v>46150</v>
      </c>
      <c r="B705" s="116">
        <v>439</v>
      </c>
      <c r="C705" s="116">
        <v>432.85</v>
      </c>
      <c r="D705" s="116">
        <v>424</v>
      </c>
      <c r="E705" s="116">
        <v>428.95</v>
      </c>
      <c r="F705" s="116">
        <v>432.85</v>
      </c>
      <c r="G705">
        <v>20315</v>
      </c>
      <c r="H705" s="116"/>
      <c r="I705" s="116"/>
      <c r="L705" s="170">
        <v>46150</v>
      </c>
      <c r="M705" s="116">
        <v>432.9</v>
      </c>
      <c r="N705" s="116">
        <v>439.4</v>
      </c>
      <c r="O705" s="116">
        <v>424</v>
      </c>
      <c r="P705" s="116">
        <v>424.8</v>
      </c>
      <c r="Q705" s="116">
        <v>432.9</v>
      </c>
      <c r="R705">
        <v>286356</v>
      </c>
    </row>
    <row r="706" spans="1:18" x14ac:dyDescent="0.25">
      <c r="A706" s="170">
        <v>46153</v>
      </c>
      <c r="B706" s="116">
        <v>429.15</v>
      </c>
      <c r="C706" s="116">
        <v>425.05</v>
      </c>
      <c r="D706" s="116">
        <v>417.1</v>
      </c>
      <c r="E706" s="116">
        <v>427.95</v>
      </c>
      <c r="F706" s="116">
        <v>425.05</v>
      </c>
      <c r="G706">
        <v>26113</v>
      </c>
      <c r="H706" s="116"/>
      <c r="I706" s="116"/>
      <c r="L706" s="170">
        <v>46153</v>
      </c>
      <c r="M706" s="116">
        <v>424.4</v>
      </c>
      <c r="N706" s="116">
        <v>430</v>
      </c>
      <c r="O706" s="116">
        <v>416.05</v>
      </c>
      <c r="P706" s="116">
        <v>423.05</v>
      </c>
      <c r="Q706" s="116">
        <v>424.4</v>
      </c>
      <c r="R706">
        <v>267140</v>
      </c>
    </row>
    <row r="707" spans="1:18" x14ac:dyDescent="0.25">
      <c r="A707" s="170">
        <v>46154</v>
      </c>
      <c r="B707" s="116">
        <v>427.4</v>
      </c>
      <c r="C707" s="116">
        <v>417.35</v>
      </c>
      <c r="D707" s="116">
        <v>413.4</v>
      </c>
      <c r="E707" s="116">
        <v>419.35</v>
      </c>
      <c r="F707" s="116">
        <v>417.35</v>
      </c>
      <c r="G707">
        <v>29162</v>
      </c>
      <c r="H707" s="116"/>
      <c r="I707" s="116"/>
      <c r="L707" s="170">
        <v>46154</v>
      </c>
      <c r="M707" s="116">
        <v>417.25</v>
      </c>
      <c r="N707" s="116">
        <v>426.65</v>
      </c>
      <c r="O707" s="116">
        <v>413.35</v>
      </c>
      <c r="P707" s="116">
        <v>420</v>
      </c>
      <c r="Q707" s="116">
        <v>417.25</v>
      </c>
      <c r="R707">
        <v>377184</v>
      </c>
    </row>
    <row r="708" spans="1:18" x14ac:dyDescent="0.25">
      <c r="A708" s="170">
        <v>46155</v>
      </c>
      <c r="B708" s="116">
        <v>425.95</v>
      </c>
      <c r="C708" s="116">
        <v>420.6</v>
      </c>
      <c r="D708" s="116">
        <v>411.2</v>
      </c>
      <c r="E708" s="116">
        <v>411.2</v>
      </c>
      <c r="F708" s="116">
        <v>420.6</v>
      </c>
      <c r="G708">
        <v>15994</v>
      </c>
      <c r="H708" s="116"/>
      <c r="I708" s="116"/>
      <c r="L708" s="170">
        <v>46155</v>
      </c>
      <c r="M708" s="116">
        <v>420.45</v>
      </c>
      <c r="N708" s="116">
        <v>425.75</v>
      </c>
      <c r="O708" s="116">
        <v>411</v>
      </c>
      <c r="P708" s="116">
        <v>415</v>
      </c>
      <c r="Q708" s="116">
        <v>420.45</v>
      </c>
      <c r="R708">
        <v>196356</v>
      </c>
    </row>
    <row r="709" spans="1:18" x14ac:dyDescent="0.25">
      <c r="A709" s="170">
        <v>46156</v>
      </c>
      <c r="B709" s="116">
        <v>421.8</v>
      </c>
      <c r="C709" s="116">
        <v>413.6</v>
      </c>
      <c r="D709" s="116">
        <v>392.5</v>
      </c>
      <c r="E709" s="116">
        <v>420.65</v>
      </c>
      <c r="F709" s="116">
        <v>413.6</v>
      </c>
      <c r="G709">
        <v>34650</v>
      </c>
      <c r="H709" s="116"/>
      <c r="I709" s="116"/>
      <c r="L709" s="170">
        <v>46156</v>
      </c>
      <c r="M709" s="116">
        <v>413.2</v>
      </c>
      <c r="N709" s="116">
        <v>425</v>
      </c>
      <c r="O709" s="116">
        <v>392.25</v>
      </c>
      <c r="P709" s="116">
        <v>425</v>
      </c>
      <c r="Q709" s="116">
        <v>413.2</v>
      </c>
      <c r="R709">
        <v>530608</v>
      </c>
    </row>
    <row r="710" spans="1:18" x14ac:dyDescent="0.25">
      <c r="A710" s="170">
        <v>46157</v>
      </c>
      <c r="B710" s="116">
        <v>419</v>
      </c>
      <c r="C710" s="116">
        <v>415.25</v>
      </c>
      <c r="D710" s="116">
        <v>403.6</v>
      </c>
      <c r="E710" s="116">
        <v>411.15</v>
      </c>
      <c r="F710" s="116">
        <v>415.25</v>
      </c>
      <c r="G710">
        <v>10912</v>
      </c>
      <c r="H710" s="116"/>
      <c r="I710" s="116"/>
      <c r="L710" s="170">
        <v>46157</v>
      </c>
      <c r="M710" s="116">
        <v>416.25</v>
      </c>
      <c r="N710" s="116">
        <v>419.5</v>
      </c>
      <c r="O710" s="116">
        <v>403.55</v>
      </c>
      <c r="P710" s="116">
        <v>414.95</v>
      </c>
      <c r="Q710" s="116">
        <v>416.25</v>
      </c>
      <c r="R710">
        <v>227646</v>
      </c>
    </row>
    <row r="711" spans="1:18" x14ac:dyDescent="0.25">
      <c r="A711" s="170">
        <v>46160</v>
      </c>
      <c r="B711" s="116">
        <v>419.7</v>
      </c>
      <c r="C711" s="116">
        <v>417.5</v>
      </c>
      <c r="D711" s="116">
        <v>404</v>
      </c>
      <c r="E711" s="116">
        <v>410</v>
      </c>
      <c r="F711" s="116">
        <v>417.5</v>
      </c>
      <c r="G711">
        <v>21280</v>
      </c>
      <c r="H711" s="116"/>
      <c r="I711" s="116"/>
      <c r="L711" s="170">
        <v>46160</v>
      </c>
      <c r="M711" s="116">
        <v>416.75</v>
      </c>
      <c r="N711" s="116">
        <v>419</v>
      </c>
      <c r="O711" s="116">
        <v>402.8</v>
      </c>
      <c r="P711" s="116">
        <v>408.9</v>
      </c>
      <c r="Q711" s="116">
        <v>416.75</v>
      </c>
      <c r="R711">
        <v>246750</v>
      </c>
    </row>
    <row r="712" spans="1:18" x14ac:dyDescent="0.25">
      <c r="A712" s="170">
        <v>46161</v>
      </c>
      <c r="B712" s="116">
        <v>426.8</v>
      </c>
      <c r="C712" s="116">
        <v>420.45</v>
      </c>
      <c r="D712" s="116">
        <v>415.65</v>
      </c>
      <c r="E712" s="116">
        <v>420</v>
      </c>
      <c r="F712" s="116">
        <v>420.45</v>
      </c>
      <c r="G712">
        <v>7542</v>
      </c>
      <c r="H712" s="116"/>
      <c r="I712" s="116"/>
      <c r="L712" s="170">
        <v>46161</v>
      </c>
      <c r="M712" s="116">
        <v>421</v>
      </c>
      <c r="N712" s="116">
        <v>427.15</v>
      </c>
      <c r="O712" s="116">
        <v>415.05</v>
      </c>
      <c r="P712" s="116">
        <v>423</v>
      </c>
      <c r="Q712" s="116">
        <v>421</v>
      </c>
      <c r="R712">
        <v>142038</v>
      </c>
    </row>
    <row r="713" spans="1:18" x14ac:dyDescent="0.25">
      <c r="A713" s="170">
        <v>46162</v>
      </c>
      <c r="B713" s="116">
        <v>438.45</v>
      </c>
      <c r="C713" s="116">
        <v>412.65</v>
      </c>
      <c r="D713" s="116">
        <v>410.45</v>
      </c>
      <c r="E713" s="116">
        <v>438.45</v>
      </c>
      <c r="F713" s="116">
        <v>412.65</v>
      </c>
      <c r="G713">
        <v>5602</v>
      </c>
      <c r="H713" s="116"/>
      <c r="I713" s="116"/>
      <c r="L713" s="170">
        <v>46162</v>
      </c>
      <c r="M713" s="116">
        <v>412.85</v>
      </c>
      <c r="N713" s="116">
        <v>422.75</v>
      </c>
      <c r="O713" s="116">
        <v>410.55</v>
      </c>
      <c r="P713" s="116">
        <v>420.15</v>
      </c>
      <c r="Q713" s="116">
        <v>412.85</v>
      </c>
      <c r="R713">
        <v>90996</v>
      </c>
    </row>
    <row r="714" spans="1:18" x14ac:dyDescent="0.25">
      <c r="A714" s="170">
        <v>46163</v>
      </c>
      <c r="B714" s="116">
        <v>420.4</v>
      </c>
      <c r="C714" s="116">
        <v>413.45</v>
      </c>
      <c r="D714" s="116">
        <v>411.7</v>
      </c>
      <c r="E714" s="116">
        <v>418</v>
      </c>
      <c r="F714" s="116">
        <v>413.45</v>
      </c>
      <c r="G714">
        <v>4255</v>
      </c>
      <c r="H714" s="116"/>
      <c r="I714" s="116"/>
      <c r="L714" s="170">
        <v>46163</v>
      </c>
      <c r="M714" s="116">
        <v>413.6</v>
      </c>
      <c r="N714" s="116">
        <v>421.5</v>
      </c>
      <c r="O714" s="116">
        <v>412</v>
      </c>
      <c r="P714" s="116">
        <v>417</v>
      </c>
      <c r="Q714" s="116">
        <v>413.6</v>
      </c>
      <c r="R714">
        <v>71438</v>
      </c>
    </row>
    <row r="715" spans="1:18" x14ac:dyDescent="0.25">
      <c r="A715" s="170">
        <v>46164</v>
      </c>
      <c r="B715" s="116">
        <v>424.5</v>
      </c>
      <c r="C715" s="116">
        <v>417.95</v>
      </c>
      <c r="D715" s="116">
        <v>412</v>
      </c>
      <c r="E715" s="116">
        <v>412.85</v>
      </c>
      <c r="F715" s="116">
        <v>417.95</v>
      </c>
      <c r="G715">
        <v>8148</v>
      </c>
      <c r="H715" s="116"/>
      <c r="I715" s="116"/>
      <c r="L715" s="170">
        <v>46164</v>
      </c>
      <c r="M715" s="116">
        <v>418.3</v>
      </c>
      <c r="N715" s="116">
        <v>424.95</v>
      </c>
      <c r="O715" s="116">
        <v>411</v>
      </c>
      <c r="P715" s="116">
        <v>411.75</v>
      </c>
      <c r="Q715" s="116">
        <v>418.3</v>
      </c>
      <c r="R715">
        <v>148528</v>
      </c>
    </row>
    <row r="716" spans="1:18" x14ac:dyDescent="0.25">
      <c r="A716" s="170">
        <v>46167</v>
      </c>
      <c r="B716" s="116">
        <v>441</v>
      </c>
      <c r="C716" s="116">
        <v>437.45</v>
      </c>
      <c r="D716" s="116">
        <v>418.3</v>
      </c>
      <c r="E716" s="116">
        <v>426.05</v>
      </c>
      <c r="F716" s="116">
        <v>437.45</v>
      </c>
      <c r="G716">
        <v>20530</v>
      </c>
      <c r="H716" s="116"/>
      <c r="I716" s="116"/>
      <c r="L716" s="170">
        <v>46167</v>
      </c>
      <c r="M716" s="116">
        <v>437.85</v>
      </c>
      <c r="N716" s="116">
        <v>441.85</v>
      </c>
      <c r="O716" s="116">
        <v>418</v>
      </c>
      <c r="P716" s="116">
        <v>424</v>
      </c>
      <c r="Q716" s="116">
        <v>437.85</v>
      </c>
      <c r="R716">
        <v>392830</v>
      </c>
    </row>
    <row r="717" spans="1:18" x14ac:dyDescent="0.25">
      <c r="A717" s="170">
        <v>46168</v>
      </c>
      <c r="B717" s="116">
        <v>445.25</v>
      </c>
      <c r="C717" s="116">
        <v>431.85</v>
      </c>
      <c r="D717" s="116">
        <v>429.35</v>
      </c>
      <c r="E717" s="116">
        <v>443.3</v>
      </c>
      <c r="F717" s="116">
        <v>431.85</v>
      </c>
      <c r="G717">
        <v>15639</v>
      </c>
      <c r="H717" s="116"/>
      <c r="I717" s="116"/>
      <c r="L717" s="170">
        <v>46168</v>
      </c>
      <c r="M717" s="116">
        <v>432.25</v>
      </c>
      <c r="N717" s="116">
        <v>445.95</v>
      </c>
      <c r="O717" s="116">
        <v>429.8</v>
      </c>
      <c r="P717" s="116">
        <v>440.05</v>
      </c>
      <c r="Q717" s="116">
        <v>432.25</v>
      </c>
      <c r="R717">
        <v>221892</v>
      </c>
    </row>
    <row r="718" spans="1:18" x14ac:dyDescent="0.25">
      <c r="A718" s="170">
        <v>46169</v>
      </c>
      <c r="B718" s="116">
        <v>438.8</v>
      </c>
      <c r="C718" s="116">
        <v>429.2</v>
      </c>
      <c r="D718" s="116">
        <v>427.4</v>
      </c>
      <c r="E718" s="116">
        <v>433.85</v>
      </c>
      <c r="F718" s="116">
        <v>429.2</v>
      </c>
      <c r="G718">
        <v>6273</v>
      </c>
      <c r="H718" s="116"/>
      <c r="I718" s="116"/>
      <c r="L718" s="170">
        <v>46169</v>
      </c>
      <c r="M718" s="116">
        <v>429.05</v>
      </c>
      <c r="N718" s="116">
        <v>439</v>
      </c>
      <c r="O718" s="116">
        <v>427.8</v>
      </c>
      <c r="P718" s="116">
        <v>436</v>
      </c>
      <c r="Q718" s="116">
        <v>429.05</v>
      </c>
      <c r="R718">
        <v>94698</v>
      </c>
    </row>
    <row r="719" spans="1:18" x14ac:dyDescent="0.25">
      <c r="A719" s="170">
        <v>46171</v>
      </c>
      <c r="B719" s="116">
        <v>434.35</v>
      </c>
      <c r="C719" s="116">
        <v>421.55</v>
      </c>
      <c r="D719" s="116">
        <v>419.25</v>
      </c>
      <c r="E719" s="116">
        <v>428.95</v>
      </c>
      <c r="F719" s="116">
        <v>421.55</v>
      </c>
      <c r="G719">
        <v>10487</v>
      </c>
      <c r="H719" s="116"/>
      <c r="I719" s="116"/>
      <c r="L719" s="170">
        <v>46171</v>
      </c>
      <c r="M719" s="116">
        <v>420.6</v>
      </c>
      <c r="N719" s="116">
        <v>434.8</v>
      </c>
      <c r="O719" s="116">
        <v>419</v>
      </c>
      <c r="P719" s="116">
        <v>428.05</v>
      </c>
      <c r="Q719" s="116">
        <v>420.6</v>
      </c>
      <c r="R719">
        <v>137745</v>
      </c>
    </row>
    <row r="720" spans="1:18" x14ac:dyDescent="0.25">
      <c r="A720" s="170">
        <v>46174</v>
      </c>
      <c r="B720" s="116">
        <v>436</v>
      </c>
      <c r="C720" s="116">
        <v>431.9</v>
      </c>
      <c r="D720" s="116">
        <v>416.2</v>
      </c>
      <c r="E720" s="116">
        <v>431.75</v>
      </c>
      <c r="F720" s="116">
        <v>431.9</v>
      </c>
      <c r="G720">
        <v>19095</v>
      </c>
      <c r="H720" s="116"/>
      <c r="I720" s="116"/>
      <c r="L720" s="170">
        <v>46174</v>
      </c>
      <c r="M720" s="116">
        <v>433</v>
      </c>
      <c r="N720" s="116">
        <v>437.65</v>
      </c>
      <c r="O720" s="116">
        <v>419.1</v>
      </c>
      <c r="P720" s="116">
        <v>425.1</v>
      </c>
      <c r="Q720" s="116">
        <v>433</v>
      </c>
      <c r="R720">
        <v>149962</v>
      </c>
    </row>
    <row r="721" spans="1:18" x14ac:dyDescent="0.25">
      <c r="A721" s="170">
        <v>46175</v>
      </c>
      <c r="B721" s="116">
        <v>467</v>
      </c>
      <c r="C721" s="116">
        <v>463.25</v>
      </c>
      <c r="D721" s="116">
        <v>427</v>
      </c>
      <c r="E721" s="116">
        <v>437.25</v>
      </c>
      <c r="F721" s="116">
        <v>463.25</v>
      </c>
      <c r="G721">
        <v>36385</v>
      </c>
      <c r="H721" s="116"/>
      <c r="I721" s="116"/>
      <c r="L721" s="170">
        <v>46175</v>
      </c>
      <c r="M721" s="116">
        <v>463.9</v>
      </c>
      <c r="N721" s="116">
        <v>471.55</v>
      </c>
      <c r="O721" s="116">
        <v>426.55</v>
      </c>
      <c r="P721" s="116">
        <v>433</v>
      </c>
      <c r="Q721" s="116">
        <v>463.9</v>
      </c>
      <c r="R721">
        <v>727905</v>
      </c>
    </row>
    <row r="722" spans="1:18" x14ac:dyDescent="0.25">
      <c r="A722" s="170">
        <v>46176</v>
      </c>
      <c r="B722" s="116">
        <v>463.85</v>
      </c>
      <c r="C722" s="116">
        <v>449.8</v>
      </c>
      <c r="D722" s="116">
        <v>447.55</v>
      </c>
      <c r="E722" s="116">
        <v>463.85</v>
      </c>
      <c r="F722" s="116">
        <v>449.8</v>
      </c>
      <c r="G722">
        <v>11792</v>
      </c>
      <c r="H722" s="116"/>
      <c r="I722" s="116"/>
      <c r="L722" s="170">
        <v>46176</v>
      </c>
      <c r="M722" s="116">
        <v>449.45</v>
      </c>
      <c r="N722" s="116">
        <v>462.4</v>
      </c>
      <c r="O722" s="116">
        <v>445.5</v>
      </c>
      <c r="P722" s="116">
        <v>462</v>
      </c>
      <c r="Q722" s="116">
        <v>449.45</v>
      </c>
      <c r="R722">
        <v>245534</v>
      </c>
    </row>
    <row r="723" spans="1:18" x14ac:dyDescent="0.25">
      <c r="A723" s="170">
        <v>46177</v>
      </c>
      <c r="B723" s="116">
        <v>467.75</v>
      </c>
      <c r="C723" s="116">
        <v>457.95</v>
      </c>
      <c r="D723" s="116">
        <v>449.5</v>
      </c>
      <c r="E723" s="116">
        <v>453.05</v>
      </c>
      <c r="F723" s="116">
        <v>457.95</v>
      </c>
      <c r="G723">
        <v>16015</v>
      </c>
      <c r="H723" s="116"/>
      <c r="I723" s="116"/>
      <c r="L723" s="170">
        <v>46177</v>
      </c>
      <c r="M723" s="116">
        <v>457.8</v>
      </c>
      <c r="N723" s="116">
        <v>467.8</v>
      </c>
      <c r="O723" s="116">
        <v>448</v>
      </c>
      <c r="P723" s="116">
        <v>450</v>
      </c>
      <c r="Q723" s="116">
        <v>457.8</v>
      </c>
      <c r="R723">
        <v>222999</v>
      </c>
    </row>
    <row r="724" spans="1:18" x14ac:dyDescent="0.25">
      <c r="A724" s="170">
        <v>46178</v>
      </c>
      <c r="B724" s="116">
        <v>465.95</v>
      </c>
      <c r="C724" s="116">
        <v>453.9</v>
      </c>
      <c r="D724" s="116">
        <v>451.25</v>
      </c>
      <c r="E724" s="116">
        <v>464.75</v>
      </c>
      <c r="F724" s="116">
        <v>453.9</v>
      </c>
      <c r="G724">
        <v>9421</v>
      </c>
      <c r="H724" s="116"/>
      <c r="I724" s="116"/>
      <c r="L724" s="170">
        <v>46178</v>
      </c>
      <c r="M724" s="116">
        <v>453.4</v>
      </c>
      <c r="N724" s="116">
        <v>465.3</v>
      </c>
      <c r="O724" s="116">
        <v>450</v>
      </c>
      <c r="P724" s="116">
        <v>464.6</v>
      </c>
      <c r="Q724" s="116">
        <v>453.4</v>
      </c>
      <c r="R724">
        <v>117332</v>
      </c>
    </row>
    <row r="725" spans="1:18" x14ac:dyDescent="0.25">
      <c r="A725" s="170">
        <v>46181</v>
      </c>
      <c r="B725" s="116">
        <v>452.55</v>
      </c>
      <c r="C725" s="116">
        <v>434.2</v>
      </c>
      <c r="D725" s="116">
        <v>431.5</v>
      </c>
      <c r="E725" s="116">
        <v>445.05</v>
      </c>
      <c r="F725" s="116">
        <v>434.2</v>
      </c>
      <c r="G725">
        <v>18138</v>
      </c>
      <c r="H725" s="116"/>
      <c r="I725" s="116"/>
      <c r="L725" s="170">
        <v>46181</v>
      </c>
      <c r="M725" s="116">
        <v>435.2</v>
      </c>
      <c r="N725" s="116">
        <v>453</v>
      </c>
      <c r="O725" s="116">
        <v>431.15</v>
      </c>
      <c r="P725" s="116">
        <v>448.05</v>
      </c>
      <c r="Q725" s="116">
        <v>435.2</v>
      </c>
      <c r="R725">
        <v>193054</v>
      </c>
    </row>
    <row r="726" spans="1:18" x14ac:dyDescent="0.25">
      <c r="A726" s="170">
        <v>46182</v>
      </c>
      <c r="B726" s="116">
        <v>446.6</v>
      </c>
      <c r="C726" s="116">
        <v>444.6</v>
      </c>
      <c r="D726" s="116">
        <v>436.25</v>
      </c>
      <c r="E726" s="116">
        <v>442.9</v>
      </c>
      <c r="F726" s="116">
        <v>444.6</v>
      </c>
      <c r="G726">
        <v>6606</v>
      </c>
      <c r="H726" s="116"/>
      <c r="I726" s="116"/>
      <c r="L726" s="170">
        <v>46182</v>
      </c>
      <c r="M726" s="116">
        <v>443.65</v>
      </c>
      <c r="N726" s="116">
        <v>447.35</v>
      </c>
      <c r="O726" s="116">
        <v>436.75</v>
      </c>
      <c r="P726" s="116">
        <v>439.85</v>
      </c>
      <c r="Q726" s="116">
        <v>443.65</v>
      </c>
      <c r="R726">
        <v>199510</v>
      </c>
    </row>
    <row r="727" spans="1:18" x14ac:dyDescent="0.25">
      <c r="A727" s="170">
        <v>46183</v>
      </c>
      <c r="B727" s="116">
        <v>451.35</v>
      </c>
      <c r="C727" s="116">
        <v>436.7</v>
      </c>
      <c r="D727" s="116">
        <v>432.05</v>
      </c>
      <c r="E727" s="116">
        <v>442.65</v>
      </c>
      <c r="F727" s="116">
        <v>436.7</v>
      </c>
      <c r="G727">
        <v>10620</v>
      </c>
      <c r="H727" s="116"/>
      <c r="I727" s="116"/>
      <c r="L727" s="170">
        <v>46183</v>
      </c>
      <c r="M727" s="116">
        <v>436.55</v>
      </c>
      <c r="N727" s="116">
        <v>452.35</v>
      </c>
      <c r="O727" s="116">
        <v>431.8</v>
      </c>
      <c r="P727" s="116">
        <v>446</v>
      </c>
      <c r="Q727" s="116">
        <v>436.55</v>
      </c>
      <c r="R727">
        <v>206316</v>
      </c>
    </row>
    <row r="728" spans="1:18" x14ac:dyDescent="0.25">
      <c r="A728" s="170">
        <v>46184</v>
      </c>
      <c r="B728" s="116">
        <v>440.35</v>
      </c>
      <c r="C728" s="116">
        <v>431.55</v>
      </c>
      <c r="D728" s="116">
        <v>426.75</v>
      </c>
      <c r="E728" s="116">
        <v>438</v>
      </c>
      <c r="F728" s="116">
        <v>431.55</v>
      </c>
      <c r="G728">
        <v>4722</v>
      </c>
      <c r="H728" s="116"/>
      <c r="I728" s="116"/>
      <c r="L728" s="170">
        <v>46184</v>
      </c>
      <c r="M728" s="116">
        <v>431.85</v>
      </c>
      <c r="N728" s="116">
        <v>440</v>
      </c>
      <c r="O728" s="116">
        <v>426.5</v>
      </c>
      <c r="P728" s="116">
        <v>439.6</v>
      </c>
      <c r="Q728" s="116">
        <v>431.85</v>
      </c>
      <c r="R728">
        <v>158263</v>
      </c>
    </row>
    <row r="729" spans="1:18" x14ac:dyDescent="0.25">
      <c r="A729" s="170">
        <v>46185</v>
      </c>
      <c r="B729" s="116">
        <v>455.3</v>
      </c>
      <c r="C729" s="116">
        <v>450.5</v>
      </c>
      <c r="D729" s="116">
        <v>440.5</v>
      </c>
      <c r="E729" s="116">
        <v>441.05</v>
      </c>
      <c r="F729" s="116">
        <v>450.5</v>
      </c>
      <c r="G729">
        <v>17723</v>
      </c>
      <c r="H729" s="116"/>
      <c r="I729" s="116"/>
      <c r="L729" s="170">
        <v>46185</v>
      </c>
      <c r="M729" s="116">
        <v>449.7</v>
      </c>
      <c r="N729" s="116">
        <v>454.9</v>
      </c>
      <c r="O729" s="116">
        <v>435.85</v>
      </c>
      <c r="P729" s="116">
        <v>435.85</v>
      </c>
      <c r="Q729" s="116">
        <v>449.7</v>
      </c>
      <c r="R729">
        <v>243804</v>
      </c>
    </row>
    <row r="730" spans="1:18" x14ac:dyDescent="0.25">
      <c r="A730" s="170">
        <v>46188</v>
      </c>
      <c r="B730" s="116">
        <v>490.05</v>
      </c>
      <c r="C730" s="116">
        <v>468.35</v>
      </c>
      <c r="D730" s="116">
        <v>453</v>
      </c>
      <c r="E730" s="116">
        <v>453.25</v>
      </c>
      <c r="F730" s="116">
        <v>468.35</v>
      </c>
      <c r="G730">
        <v>256422</v>
      </c>
      <c r="H730" s="116"/>
      <c r="I730" s="116"/>
      <c r="L730" s="170">
        <v>46188</v>
      </c>
      <c r="M730" s="116">
        <v>468.55</v>
      </c>
      <c r="N730" s="116">
        <v>490.15</v>
      </c>
      <c r="O730" s="116">
        <v>453</v>
      </c>
      <c r="P730" s="116">
        <v>456</v>
      </c>
      <c r="Q730" s="116">
        <v>468.55</v>
      </c>
      <c r="R730">
        <v>644174</v>
      </c>
    </row>
    <row r="731" spans="1:18" x14ac:dyDescent="0.25">
      <c r="A731" s="170">
        <v>46189</v>
      </c>
      <c r="B731" s="116">
        <v>475</v>
      </c>
      <c r="C731" s="116">
        <v>469.3</v>
      </c>
      <c r="D731" s="116">
        <v>460.25</v>
      </c>
      <c r="E731" s="116">
        <v>470.85</v>
      </c>
      <c r="F731" s="116">
        <v>469.3</v>
      </c>
      <c r="G731">
        <v>129034</v>
      </c>
      <c r="H731" s="116"/>
      <c r="I731" s="116"/>
      <c r="L731" s="170">
        <v>46189</v>
      </c>
      <c r="M731" s="116">
        <v>468.7</v>
      </c>
      <c r="N731" s="116">
        <v>474.9</v>
      </c>
      <c r="O731" s="116">
        <v>460.1</v>
      </c>
      <c r="P731" s="116">
        <v>470.1</v>
      </c>
      <c r="Q731" s="116">
        <v>468.7</v>
      </c>
      <c r="R731">
        <v>121982</v>
      </c>
    </row>
    <row r="732" spans="1:18" x14ac:dyDescent="0.25">
      <c r="A732" s="170">
        <v>46190</v>
      </c>
      <c r="B732" s="116">
        <v>482.55</v>
      </c>
      <c r="C732" s="116">
        <v>465.1</v>
      </c>
      <c r="D732" s="116">
        <v>463.15</v>
      </c>
      <c r="E732" s="116">
        <v>475.95</v>
      </c>
      <c r="F732" s="116">
        <v>465.1</v>
      </c>
      <c r="G732">
        <v>26252</v>
      </c>
      <c r="H732" s="116"/>
      <c r="I732" s="116"/>
      <c r="L732" s="170">
        <v>46190</v>
      </c>
      <c r="M732" s="116">
        <v>464.9</v>
      </c>
      <c r="N732" s="116">
        <v>482.4</v>
      </c>
      <c r="O732" s="116">
        <v>462.2</v>
      </c>
      <c r="P732" s="116">
        <v>469</v>
      </c>
      <c r="Q732" s="116">
        <v>464.9</v>
      </c>
      <c r="R732">
        <v>336655</v>
      </c>
    </row>
    <row r="733" spans="1:18" x14ac:dyDescent="0.25">
      <c r="A733" s="170"/>
      <c r="B733" s="116"/>
      <c r="C733" s="116"/>
      <c r="D733" s="116"/>
      <c r="E733" s="116"/>
      <c r="F733" s="116"/>
      <c r="H733" s="116"/>
      <c r="I733" s="116"/>
      <c r="L733" s="170"/>
    </row>
    <row r="734" spans="1:18" x14ac:dyDescent="0.25">
      <c r="A734" s="170"/>
      <c r="B734" s="116"/>
      <c r="C734" s="116"/>
      <c r="D734" s="116"/>
      <c r="E734" s="116"/>
      <c r="F734" s="116"/>
      <c r="H734" s="116"/>
      <c r="I734" s="116"/>
      <c r="L734" s="170"/>
    </row>
    <row r="735" spans="1:18" x14ac:dyDescent="0.25">
      <c r="A735" s="170"/>
      <c r="B735" s="116"/>
      <c r="C735" s="116"/>
      <c r="D735" s="116"/>
      <c r="E735" s="116"/>
      <c r="F735" s="116"/>
      <c r="H735" s="116"/>
      <c r="I735" s="116"/>
      <c r="L735" s="170"/>
    </row>
    <row r="736" spans="1:18" x14ac:dyDescent="0.25">
      <c r="A736" s="170"/>
      <c r="B736" s="116"/>
      <c r="C736" s="116"/>
      <c r="D736" s="116"/>
      <c r="E736" s="116"/>
      <c r="F736" s="116"/>
      <c r="H736" s="116"/>
      <c r="I736" s="116"/>
      <c r="L736" s="170"/>
    </row>
    <row r="737" spans="1:12" x14ac:dyDescent="0.25">
      <c r="A737" s="170"/>
      <c r="B737" s="116"/>
      <c r="C737" s="116"/>
      <c r="D737" s="116"/>
      <c r="E737" s="116"/>
      <c r="F737" s="116"/>
      <c r="H737" s="116"/>
      <c r="I737" s="116"/>
      <c r="L737" s="170"/>
    </row>
    <row r="738" spans="1:12" x14ac:dyDescent="0.25">
      <c r="A738" s="170"/>
      <c r="B738" s="116"/>
      <c r="C738" s="116"/>
      <c r="D738" s="116"/>
      <c r="E738" s="116"/>
      <c r="F738" s="116"/>
      <c r="H738" s="116"/>
      <c r="I738" s="116"/>
      <c r="L738" s="170"/>
    </row>
    <row r="739" spans="1:12" x14ac:dyDescent="0.25">
      <c r="A739" s="170"/>
      <c r="B739" s="116"/>
      <c r="C739" s="116"/>
      <c r="D739" s="116"/>
      <c r="E739" s="116"/>
      <c r="F739" s="116"/>
      <c r="H739" s="116"/>
      <c r="I739" s="116"/>
      <c r="L739" s="170"/>
    </row>
    <row r="740" spans="1:12" x14ac:dyDescent="0.25">
      <c r="A740" s="170"/>
      <c r="B740" s="116"/>
      <c r="C740" s="116"/>
      <c r="D740" s="116"/>
      <c r="E740" s="116"/>
      <c r="F740" s="116"/>
      <c r="H740" s="116"/>
      <c r="I740" s="116"/>
      <c r="L740" s="170"/>
    </row>
    <row r="741" spans="1:12" x14ac:dyDescent="0.25">
      <c r="A741" s="170"/>
      <c r="B741" s="116"/>
      <c r="C741" s="116"/>
      <c r="D741" s="116"/>
      <c r="E741" s="116"/>
      <c r="F741" s="116"/>
      <c r="H741" s="116"/>
      <c r="I741" s="116"/>
      <c r="L741" s="170"/>
    </row>
    <row r="742" spans="1:12" x14ac:dyDescent="0.25">
      <c r="A742" s="170"/>
      <c r="B742" s="116"/>
      <c r="C742" s="116"/>
      <c r="D742" s="116"/>
      <c r="E742" s="116"/>
      <c r="F742" s="116"/>
      <c r="H742" s="116"/>
      <c r="I742" s="116"/>
      <c r="L742" s="170"/>
    </row>
    <row r="743" spans="1:12" x14ac:dyDescent="0.25">
      <c r="A743" s="170"/>
      <c r="B743" s="116"/>
      <c r="C743" s="116"/>
      <c r="D743" s="116"/>
      <c r="E743" s="116"/>
      <c r="F743" s="116"/>
      <c r="H743" s="116"/>
      <c r="I743" s="116"/>
      <c r="L743" s="170"/>
    </row>
    <row r="744" spans="1:12" x14ac:dyDescent="0.25">
      <c r="A744" s="170"/>
      <c r="B744" s="116"/>
      <c r="C744" s="116"/>
      <c r="D744" s="116"/>
      <c r="E744" s="116"/>
      <c r="F744" s="116"/>
      <c r="H744" s="116"/>
      <c r="I744" s="116"/>
      <c r="L744" s="170"/>
    </row>
    <row r="745" spans="1:12" x14ac:dyDescent="0.25">
      <c r="A745" s="170"/>
      <c r="B745" s="116"/>
      <c r="C745" s="116"/>
      <c r="D745" s="116"/>
      <c r="E745" s="116"/>
      <c r="F745" s="116"/>
      <c r="H745" s="116"/>
      <c r="I745" s="116"/>
      <c r="L745" s="170"/>
    </row>
    <row r="746" spans="1:12" x14ac:dyDescent="0.25">
      <c r="A746" s="170"/>
      <c r="B746" s="116"/>
      <c r="C746" s="116"/>
      <c r="D746" s="116"/>
      <c r="E746" s="116"/>
      <c r="F746" s="116"/>
      <c r="H746" s="116"/>
      <c r="I746" s="116"/>
      <c r="L746" s="170"/>
    </row>
    <row r="747" spans="1:12" x14ac:dyDescent="0.25">
      <c r="A747" s="170"/>
      <c r="B747" s="116"/>
      <c r="C747" s="116"/>
      <c r="D747" s="116"/>
      <c r="E747" s="116"/>
      <c r="F747" s="116"/>
      <c r="H747" s="116"/>
      <c r="I747" s="116"/>
      <c r="L747" s="170"/>
    </row>
    <row r="748" spans="1:12" x14ac:dyDescent="0.25">
      <c r="A748" s="170"/>
      <c r="B748" s="116"/>
      <c r="C748" s="116"/>
      <c r="D748" s="116"/>
      <c r="E748" s="116"/>
      <c r="F748" s="116"/>
      <c r="H748" s="116"/>
      <c r="I748" s="116"/>
      <c r="L748" s="170"/>
    </row>
    <row r="749" spans="1:12" x14ac:dyDescent="0.25">
      <c r="A749" s="170"/>
      <c r="B749" s="116"/>
      <c r="C749" s="116"/>
      <c r="D749" s="116"/>
      <c r="E749" s="116"/>
      <c r="F749" s="116"/>
      <c r="H749" s="116"/>
      <c r="I749" s="116"/>
      <c r="L749" s="170"/>
    </row>
    <row r="750" spans="1:12" x14ac:dyDescent="0.25">
      <c r="A750" s="170"/>
      <c r="B750" s="116"/>
      <c r="C750" s="116"/>
      <c r="D750" s="116"/>
      <c r="E750" s="116"/>
      <c r="F750" s="116"/>
      <c r="H750" s="116"/>
      <c r="I750" s="116"/>
      <c r="L750" s="170"/>
    </row>
    <row r="751" spans="1:12" x14ac:dyDescent="0.25">
      <c r="A751" s="170"/>
      <c r="B751" s="116"/>
      <c r="C751" s="116"/>
      <c r="D751" s="116"/>
      <c r="E751" s="116"/>
      <c r="F751" s="116"/>
      <c r="H751" s="116"/>
      <c r="I751" s="116"/>
      <c r="L751" s="170"/>
    </row>
    <row r="752" spans="1:12" x14ac:dyDescent="0.25">
      <c r="A752" s="170"/>
      <c r="B752" s="116"/>
      <c r="C752" s="116"/>
      <c r="D752" s="116"/>
      <c r="E752" s="116"/>
      <c r="F752" s="116"/>
      <c r="H752" s="116"/>
      <c r="I752" s="116"/>
      <c r="L752" s="170"/>
    </row>
    <row r="753" spans="1:12" x14ac:dyDescent="0.25">
      <c r="A753" s="170"/>
      <c r="B753" s="116"/>
      <c r="C753" s="116"/>
      <c r="D753" s="116"/>
      <c r="E753" s="116"/>
      <c r="F753" s="116"/>
      <c r="H753" s="116"/>
      <c r="I753" s="116"/>
      <c r="L753" s="170"/>
    </row>
    <row r="754" spans="1:12" x14ac:dyDescent="0.25">
      <c r="A754" s="170"/>
      <c r="B754" s="116"/>
      <c r="C754" s="116"/>
      <c r="D754" s="116"/>
      <c r="E754" s="116"/>
      <c r="F754" s="116"/>
      <c r="H754" s="116"/>
      <c r="I754" s="116"/>
      <c r="L754" s="170"/>
    </row>
    <row r="755" spans="1:12" x14ac:dyDescent="0.25">
      <c r="A755" s="170"/>
      <c r="B755" s="116"/>
      <c r="C755" s="116"/>
      <c r="D755" s="116"/>
      <c r="E755" s="116"/>
      <c r="F755" s="116"/>
      <c r="H755" s="116"/>
      <c r="I755" s="116"/>
      <c r="L755" s="170"/>
    </row>
    <row r="756" spans="1:12" x14ac:dyDescent="0.25">
      <c r="A756" s="170"/>
      <c r="B756" s="116"/>
      <c r="C756" s="116"/>
      <c r="D756" s="116"/>
      <c r="E756" s="116"/>
      <c r="F756" s="116"/>
      <c r="H756" s="116"/>
      <c r="I756" s="116"/>
      <c r="L756" s="170"/>
    </row>
    <row r="757" spans="1:12" x14ac:dyDescent="0.25">
      <c r="A757" s="170"/>
      <c r="B757" s="116"/>
      <c r="C757" s="116"/>
      <c r="D757" s="116"/>
      <c r="E757" s="116"/>
      <c r="F757" s="116"/>
      <c r="H757" s="116"/>
      <c r="I757" s="116"/>
      <c r="L757" s="170"/>
    </row>
    <row r="758" spans="1:12" x14ac:dyDescent="0.25">
      <c r="A758" s="170"/>
      <c r="B758" s="116"/>
      <c r="C758" s="116"/>
      <c r="D758" s="116"/>
      <c r="E758" s="116"/>
      <c r="F758" s="116"/>
      <c r="H758" s="116"/>
      <c r="I758" s="116"/>
      <c r="L758" s="170"/>
    </row>
    <row r="759" spans="1:12" x14ac:dyDescent="0.25">
      <c r="A759" s="170"/>
      <c r="B759" s="116"/>
      <c r="C759" s="116"/>
      <c r="D759" s="116"/>
      <c r="E759" s="116"/>
      <c r="F759" s="116"/>
      <c r="H759" s="116"/>
      <c r="I759" s="116"/>
      <c r="L759" s="170"/>
    </row>
    <row r="760" spans="1:12" x14ac:dyDescent="0.25">
      <c r="A760" s="170"/>
      <c r="B760" s="116"/>
      <c r="C760" s="116"/>
      <c r="D760" s="116"/>
      <c r="E760" s="116"/>
      <c r="F760" s="116"/>
      <c r="H760" s="116"/>
      <c r="I760" s="116"/>
      <c r="L760" s="170"/>
    </row>
    <row r="761" spans="1:12" x14ac:dyDescent="0.25">
      <c r="A761" s="170"/>
      <c r="B761" s="116"/>
      <c r="C761" s="116"/>
      <c r="D761" s="116"/>
      <c r="E761" s="116"/>
      <c r="F761" s="116"/>
      <c r="H761" s="116"/>
      <c r="I761" s="116"/>
      <c r="L761" s="170"/>
    </row>
    <row r="762" spans="1:12" x14ac:dyDescent="0.25">
      <c r="A762" s="170"/>
      <c r="B762" s="116"/>
      <c r="C762" s="116"/>
      <c r="D762" s="116"/>
      <c r="E762" s="116"/>
      <c r="F762" s="116"/>
      <c r="H762" s="116"/>
      <c r="I762" s="116"/>
      <c r="L762" s="170"/>
    </row>
    <row r="763" spans="1:12" x14ac:dyDescent="0.25">
      <c r="A763" s="170"/>
      <c r="B763" s="116"/>
      <c r="C763" s="116"/>
      <c r="D763" s="116"/>
      <c r="E763" s="116"/>
      <c r="F763" s="116"/>
      <c r="H763" s="116"/>
      <c r="I763" s="116"/>
      <c r="L763" s="170"/>
    </row>
    <row r="764" spans="1:12" x14ac:dyDescent="0.25">
      <c r="A764" s="170"/>
      <c r="B764" s="116"/>
      <c r="C764" s="116"/>
      <c r="D764" s="116"/>
      <c r="E764" s="116"/>
      <c r="F764" s="116"/>
      <c r="H764" s="116"/>
      <c r="I764" s="116"/>
      <c r="L764" s="170"/>
    </row>
    <row r="765" spans="1:12" x14ac:dyDescent="0.25">
      <c r="A765" s="170"/>
      <c r="B765" s="116"/>
      <c r="C765" s="116"/>
      <c r="D765" s="116"/>
      <c r="E765" s="116"/>
      <c r="F765" s="116"/>
      <c r="H765" s="116"/>
      <c r="I765" s="116"/>
      <c r="L765" s="170"/>
    </row>
    <row r="766" spans="1:12" x14ac:dyDescent="0.25">
      <c r="A766" s="170"/>
      <c r="B766" s="116"/>
      <c r="C766" s="116"/>
      <c r="D766" s="116"/>
      <c r="E766" s="116"/>
      <c r="F766" s="116"/>
      <c r="H766" s="116"/>
      <c r="I766" s="116"/>
      <c r="L766" s="170"/>
    </row>
    <row r="767" spans="1:12" x14ac:dyDescent="0.25">
      <c r="A767" s="170"/>
      <c r="B767" s="116"/>
      <c r="C767" s="116"/>
      <c r="D767" s="116"/>
      <c r="E767" s="116"/>
      <c r="F767" s="116"/>
      <c r="H767" s="116"/>
      <c r="I767" s="116"/>
      <c r="L767" s="170"/>
    </row>
    <row r="768" spans="1:12" x14ac:dyDescent="0.25">
      <c r="A768" s="170"/>
      <c r="B768" s="116"/>
      <c r="C768" s="116"/>
      <c r="D768" s="116"/>
      <c r="E768" s="116"/>
      <c r="F768" s="116"/>
      <c r="H768" s="116"/>
      <c r="I768" s="116"/>
      <c r="L768" s="170"/>
    </row>
    <row r="769" spans="1:12" x14ac:dyDescent="0.25">
      <c r="A769" s="170"/>
      <c r="B769" s="116"/>
      <c r="C769" s="116"/>
      <c r="D769" s="116"/>
      <c r="E769" s="116"/>
      <c r="F769" s="116"/>
      <c r="H769" s="116"/>
      <c r="I769" s="116"/>
      <c r="L769" s="170"/>
    </row>
    <row r="770" spans="1:12" x14ac:dyDescent="0.25">
      <c r="A770" s="170"/>
      <c r="B770" s="116"/>
      <c r="C770" s="116"/>
      <c r="D770" s="116"/>
      <c r="E770" s="116"/>
      <c r="F770" s="116"/>
      <c r="H770" s="116"/>
      <c r="I770" s="116"/>
      <c r="L770" s="170"/>
    </row>
    <row r="771" spans="1:12" x14ac:dyDescent="0.25">
      <c r="A771" s="170"/>
      <c r="B771" s="116"/>
      <c r="C771" s="116"/>
      <c r="D771" s="116"/>
      <c r="E771" s="116"/>
      <c r="F771" s="116"/>
      <c r="H771" s="116"/>
      <c r="I771" s="116"/>
      <c r="L771" s="170"/>
    </row>
    <row r="772" spans="1:12" x14ac:dyDescent="0.25">
      <c r="A772" s="170"/>
      <c r="B772" s="116"/>
      <c r="C772" s="116"/>
      <c r="D772" s="116"/>
      <c r="E772" s="116"/>
      <c r="F772" s="116"/>
      <c r="H772" s="116"/>
      <c r="I772" s="116"/>
      <c r="L772" s="170"/>
    </row>
    <row r="773" spans="1:12" x14ac:dyDescent="0.25">
      <c r="A773" s="170"/>
      <c r="B773" s="116"/>
      <c r="C773" s="116"/>
      <c r="D773" s="116"/>
      <c r="E773" s="116"/>
      <c r="F773" s="116"/>
      <c r="H773" s="116"/>
      <c r="I773" s="116"/>
      <c r="L773" s="170"/>
    </row>
    <row r="774" spans="1:12" x14ac:dyDescent="0.25">
      <c r="A774" s="170"/>
      <c r="B774" s="116"/>
      <c r="C774" s="116"/>
      <c r="D774" s="116"/>
      <c r="E774" s="116"/>
      <c r="F774" s="116"/>
      <c r="H774" s="116"/>
      <c r="I774" s="116"/>
      <c r="L774" s="170"/>
    </row>
    <row r="775" spans="1:12" x14ac:dyDescent="0.25">
      <c r="A775" s="170"/>
      <c r="B775" s="116"/>
      <c r="C775" s="116"/>
      <c r="D775" s="116"/>
      <c r="E775" s="116"/>
      <c r="F775" s="116"/>
      <c r="H775" s="116"/>
      <c r="I775" s="116"/>
      <c r="L775" s="170"/>
    </row>
    <row r="776" spans="1:12" x14ac:dyDescent="0.25">
      <c r="A776" s="170"/>
      <c r="B776" s="116"/>
      <c r="C776" s="116"/>
      <c r="D776" s="116"/>
      <c r="E776" s="116"/>
      <c r="F776" s="116"/>
      <c r="H776" s="116"/>
      <c r="I776" s="116"/>
      <c r="L776" s="170"/>
    </row>
    <row r="777" spans="1:12" x14ac:dyDescent="0.25">
      <c r="A777" s="170"/>
      <c r="B777" s="116"/>
      <c r="C777" s="116"/>
      <c r="D777" s="116"/>
      <c r="E777" s="116"/>
      <c r="F777" s="116"/>
      <c r="H777" s="116"/>
      <c r="I777" s="116"/>
      <c r="L777" s="170"/>
    </row>
    <row r="778" spans="1:12" x14ac:dyDescent="0.25">
      <c r="A778" s="170"/>
      <c r="B778" s="116"/>
      <c r="C778" s="116"/>
      <c r="D778" s="116"/>
      <c r="E778" s="116"/>
      <c r="F778" s="116"/>
      <c r="H778" s="116"/>
      <c r="I778" s="116"/>
      <c r="L778" s="170"/>
    </row>
    <row r="779" spans="1:12" x14ac:dyDescent="0.25">
      <c r="A779" s="170"/>
      <c r="B779" s="116"/>
      <c r="C779" s="116"/>
      <c r="D779" s="116"/>
      <c r="E779" s="116"/>
      <c r="F779" s="116"/>
      <c r="H779" s="116"/>
      <c r="I779" s="116"/>
      <c r="L779" s="170"/>
    </row>
    <row r="780" spans="1:12" x14ac:dyDescent="0.25">
      <c r="A780" s="170"/>
      <c r="B780" s="116"/>
      <c r="C780" s="116"/>
      <c r="D780" s="116"/>
      <c r="E780" s="116"/>
      <c r="F780" s="116"/>
      <c r="H780" s="116"/>
      <c r="I780" s="116"/>
      <c r="L780" s="170"/>
    </row>
    <row r="781" spans="1:12" x14ac:dyDescent="0.25">
      <c r="A781" s="170"/>
      <c r="B781" s="116"/>
      <c r="C781" s="116"/>
      <c r="D781" s="116"/>
      <c r="E781" s="116"/>
      <c r="F781" s="116"/>
      <c r="H781" s="116"/>
      <c r="I781" s="116"/>
      <c r="L781" s="170"/>
    </row>
    <row r="782" spans="1:12" x14ac:dyDescent="0.25">
      <c r="A782" s="170"/>
      <c r="B782" s="116"/>
      <c r="C782" s="116"/>
      <c r="D782" s="116"/>
      <c r="E782" s="116"/>
      <c r="F782" s="116"/>
      <c r="H782" s="116"/>
      <c r="I782" s="116"/>
      <c r="L782" s="170"/>
    </row>
    <row r="783" spans="1:12" x14ac:dyDescent="0.25">
      <c r="A783" s="170"/>
      <c r="B783" s="116"/>
      <c r="C783" s="116"/>
      <c r="D783" s="116"/>
      <c r="E783" s="116"/>
      <c r="F783" s="116"/>
      <c r="H783" s="116"/>
      <c r="I783" s="116"/>
      <c r="L783" s="170"/>
    </row>
    <row r="784" spans="1:12" x14ac:dyDescent="0.25">
      <c r="A784" s="170"/>
      <c r="B784" s="116"/>
      <c r="C784" s="116"/>
      <c r="D784" s="116"/>
      <c r="E784" s="116"/>
      <c r="F784" s="116"/>
      <c r="H784" s="116"/>
      <c r="I784" s="116"/>
      <c r="L784" s="170"/>
    </row>
    <row r="785" spans="1:12" x14ac:dyDescent="0.25">
      <c r="A785" s="170"/>
      <c r="B785" s="116"/>
      <c r="C785" s="116"/>
      <c r="D785" s="116"/>
      <c r="E785" s="116"/>
      <c r="F785" s="116"/>
      <c r="H785" s="116"/>
      <c r="I785" s="116"/>
      <c r="L785" s="170"/>
    </row>
    <row r="786" spans="1:12" x14ac:dyDescent="0.25">
      <c r="A786" s="170"/>
      <c r="B786" s="116"/>
      <c r="C786" s="116"/>
      <c r="D786" s="116"/>
      <c r="E786" s="116"/>
      <c r="F786" s="116"/>
      <c r="H786" s="116"/>
      <c r="I786" s="116"/>
      <c r="L786" s="170"/>
    </row>
    <row r="787" spans="1:12" x14ac:dyDescent="0.25">
      <c r="A787" s="170"/>
      <c r="B787" s="116"/>
      <c r="C787" s="116"/>
      <c r="D787" s="116"/>
      <c r="E787" s="116"/>
      <c r="F787" s="116"/>
      <c r="H787" s="116"/>
      <c r="I787" s="116"/>
      <c r="L787" s="170"/>
    </row>
    <row r="788" spans="1:12" x14ac:dyDescent="0.25">
      <c r="A788" s="170"/>
      <c r="B788" s="116"/>
      <c r="C788" s="116"/>
      <c r="D788" s="116"/>
      <c r="E788" s="116"/>
      <c r="F788" s="116"/>
      <c r="H788" s="116"/>
      <c r="I788" s="116"/>
      <c r="L788" s="170"/>
    </row>
    <row r="789" spans="1:12" x14ac:dyDescent="0.25">
      <c r="A789" s="170"/>
      <c r="B789" s="116"/>
      <c r="C789" s="116"/>
      <c r="D789" s="116"/>
      <c r="E789" s="116"/>
      <c r="F789" s="116"/>
      <c r="H789" s="116"/>
      <c r="I789" s="116"/>
      <c r="L789" s="170"/>
    </row>
    <row r="790" spans="1:12" x14ac:dyDescent="0.25">
      <c r="A790" s="170"/>
      <c r="B790" s="116"/>
      <c r="C790" s="116"/>
      <c r="D790" s="116"/>
      <c r="E790" s="116"/>
      <c r="F790" s="116"/>
      <c r="H790" s="116"/>
      <c r="I790" s="116"/>
      <c r="L790" s="170"/>
    </row>
    <row r="791" spans="1:12" x14ac:dyDescent="0.25">
      <c r="A791" s="170"/>
      <c r="B791" s="116"/>
      <c r="C791" s="116"/>
      <c r="D791" s="116"/>
      <c r="E791" s="116"/>
      <c r="F791" s="116"/>
      <c r="H791" s="116"/>
      <c r="I791" s="116"/>
      <c r="L791" s="170"/>
    </row>
    <row r="792" spans="1:12" x14ac:dyDescent="0.25">
      <c r="A792" s="170"/>
      <c r="B792" s="116"/>
      <c r="C792" s="116"/>
      <c r="D792" s="116"/>
      <c r="E792" s="116"/>
      <c r="F792" s="116"/>
      <c r="H792" s="116"/>
      <c r="I792" s="116"/>
      <c r="L792" s="170"/>
    </row>
    <row r="793" spans="1:12" x14ac:dyDescent="0.25">
      <c r="A793" s="170"/>
      <c r="B793" s="116"/>
      <c r="C793" s="116"/>
      <c r="D793" s="116"/>
      <c r="E793" s="116"/>
      <c r="F793" s="116"/>
      <c r="H793" s="116"/>
      <c r="I793" s="116"/>
      <c r="L793" s="170"/>
    </row>
    <row r="794" spans="1:12" x14ac:dyDescent="0.25">
      <c r="A794" s="170"/>
      <c r="B794" s="116"/>
      <c r="C794" s="116"/>
      <c r="D794" s="116"/>
      <c r="E794" s="116"/>
      <c r="F794" s="116"/>
      <c r="H794" s="116"/>
      <c r="I794" s="116"/>
      <c r="L794" s="170"/>
    </row>
    <row r="795" spans="1:12" x14ac:dyDescent="0.25">
      <c r="A795" s="170"/>
      <c r="B795" s="116"/>
      <c r="C795" s="116"/>
      <c r="D795" s="116"/>
      <c r="E795" s="116"/>
      <c r="F795" s="116"/>
      <c r="H795" s="116"/>
      <c r="I795" s="116"/>
      <c r="L795" s="170"/>
    </row>
    <row r="796" spans="1:12" x14ac:dyDescent="0.25">
      <c r="A796" s="170"/>
      <c r="B796" s="116"/>
      <c r="C796" s="116"/>
      <c r="D796" s="116"/>
      <c r="E796" s="116"/>
      <c r="F796" s="116"/>
      <c r="H796" s="116"/>
      <c r="I796" s="116"/>
      <c r="L796" s="170"/>
    </row>
    <row r="797" spans="1:12" x14ac:dyDescent="0.25">
      <c r="A797" s="170"/>
      <c r="B797" s="116"/>
      <c r="C797" s="116"/>
      <c r="D797" s="116"/>
      <c r="E797" s="116"/>
      <c r="F797" s="116"/>
      <c r="H797" s="116"/>
      <c r="I797" s="116"/>
      <c r="L797" s="170"/>
    </row>
    <row r="798" spans="1:12" x14ac:dyDescent="0.25">
      <c r="A798" s="170"/>
      <c r="B798" s="116"/>
      <c r="C798" s="116"/>
      <c r="D798" s="116"/>
      <c r="E798" s="116"/>
      <c r="F798" s="116"/>
      <c r="H798" s="116"/>
      <c r="I798" s="116"/>
      <c r="L798" s="170"/>
    </row>
    <row r="799" spans="1:12" x14ac:dyDescent="0.25">
      <c r="A799" s="170"/>
      <c r="B799" s="116"/>
      <c r="C799" s="116"/>
      <c r="D799" s="116"/>
      <c r="E799" s="116"/>
      <c r="F799" s="116"/>
      <c r="H799" s="116"/>
      <c r="I799" s="116"/>
      <c r="L799" s="170"/>
    </row>
    <row r="800" spans="1:12" x14ac:dyDescent="0.25">
      <c r="A800" s="170"/>
      <c r="B800" s="116"/>
      <c r="C800" s="116"/>
      <c r="D800" s="116"/>
      <c r="E800" s="116"/>
      <c r="F800" s="116"/>
      <c r="H800" s="116"/>
      <c r="I800" s="116"/>
      <c r="L800" s="170"/>
    </row>
    <row r="801" spans="1:12" x14ac:dyDescent="0.25">
      <c r="A801" s="170"/>
      <c r="B801" s="116"/>
      <c r="C801" s="116"/>
      <c r="D801" s="116"/>
      <c r="E801" s="116"/>
      <c r="F801" s="116"/>
      <c r="H801" s="116"/>
      <c r="I801" s="116"/>
      <c r="L801" s="170"/>
    </row>
    <row r="802" spans="1:12" x14ac:dyDescent="0.25">
      <c r="A802" s="170"/>
      <c r="B802" s="116"/>
      <c r="C802" s="116"/>
      <c r="D802" s="116"/>
      <c r="E802" s="116"/>
      <c r="F802" s="116"/>
      <c r="H802" s="116"/>
      <c r="I802" s="116"/>
      <c r="L802" s="170"/>
    </row>
    <row r="803" spans="1:12" x14ac:dyDescent="0.25">
      <c r="A803" s="170"/>
      <c r="B803" s="116"/>
      <c r="C803" s="116"/>
      <c r="D803" s="116"/>
      <c r="E803" s="116"/>
      <c r="F803" s="116"/>
      <c r="H803" s="116"/>
      <c r="I803" s="116"/>
      <c r="L803" s="170"/>
    </row>
    <row r="804" spans="1:12" x14ac:dyDescent="0.25">
      <c r="A804" s="170"/>
      <c r="B804" s="116"/>
      <c r="C804" s="116"/>
      <c r="D804" s="116"/>
      <c r="E804" s="116"/>
      <c r="F804" s="116"/>
      <c r="H804" s="116"/>
      <c r="I804" s="116"/>
      <c r="L804" s="170"/>
    </row>
    <row r="805" spans="1:12" x14ac:dyDescent="0.25">
      <c r="A805" s="170"/>
      <c r="B805" s="116"/>
      <c r="C805" s="116"/>
      <c r="D805" s="116"/>
      <c r="E805" s="116"/>
      <c r="F805" s="116"/>
      <c r="H805" s="116"/>
      <c r="I805" s="116"/>
      <c r="L805" s="170"/>
    </row>
    <row r="806" spans="1:12" x14ac:dyDescent="0.25">
      <c r="A806" s="170"/>
      <c r="B806" s="116"/>
      <c r="C806" s="116"/>
      <c r="D806" s="116"/>
      <c r="E806" s="116"/>
      <c r="F806" s="116"/>
      <c r="H806" s="116"/>
      <c r="I806" s="116"/>
      <c r="L806" s="170"/>
    </row>
    <row r="807" spans="1:12" x14ac:dyDescent="0.25">
      <c r="A807" s="170"/>
      <c r="B807" s="116"/>
      <c r="C807" s="116"/>
      <c r="D807" s="116"/>
      <c r="E807" s="116"/>
      <c r="F807" s="116"/>
      <c r="H807" s="116"/>
      <c r="I807" s="116"/>
      <c r="L807" s="170"/>
    </row>
    <row r="808" spans="1:12" x14ac:dyDescent="0.25">
      <c r="A808" s="170"/>
      <c r="B808" s="116"/>
      <c r="C808" s="116"/>
      <c r="D808" s="116"/>
      <c r="E808" s="116"/>
      <c r="F808" s="116"/>
      <c r="H808" s="116"/>
      <c r="I808" s="116"/>
      <c r="L808" s="170"/>
    </row>
    <row r="809" spans="1:12" x14ac:dyDescent="0.25">
      <c r="A809" s="170"/>
      <c r="B809" s="116"/>
      <c r="C809" s="116"/>
      <c r="D809" s="116"/>
      <c r="E809" s="116"/>
      <c r="F809" s="116"/>
      <c r="H809" s="116"/>
      <c r="I809" s="116"/>
      <c r="L809" s="170"/>
    </row>
    <row r="810" spans="1:12" x14ac:dyDescent="0.25">
      <c r="A810" s="170"/>
      <c r="B810" s="116"/>
      <c r="C810" s="116"/>
      <c r="D810" s="116"/>
      <c r="E810" s="116"/>
      <c r="F810" s="116"/>
      <c r="H810" s="116"/>
      <c r="I810" s="116"/>
      <c r="L810" s="170"/>
    </row>
    <row r="811" spans="1:12" x14ac:dyDescent="0.25">
      <c r="A811" s="170"/>
      <c r="B811" s="116"/>
      <c r="C811" s="116"/>
      <c r="D811" s="116"/>
      <c r="E811" s="116"/>
      <c r="F811" s="116"/>
      <c r="H811" s="116"/>
      <c r="I811" s="116"/>
      <c r="L811" s="170"/>
    </row>
    <row r="812" spans="1:12" x14ac:dyDescent="0.25">
      <c r="A812" s="170"/>
      <c r="B812" s="116"/>
      <c r="C812" s="116"/>
      <c r="D812" s="116"/>
      <c r="E812" s="116"/>
      <c r="F812" s="116"/>
      <c r="H812" s="116"/>
      <c r="I812" s="116"/>
      <c r="L812" s="170"/>
    </row>
    <row r="813" spans="1:12" x14ac:dyDescent="0.25">
      <c r="A813" s="170"/>
      <c r="B813" s="116"/>
      <c r="C813" s="116"/>
      <c r="D813" s="116"/>
      <c r="E813" s="116"/>
      <c r="F813" s="116"/>
      <c r="H813" s="116"/>
      <c r="I813" s="116"/>
      <c r="L813" s="170"/>
    </row>
    <row r="814" spans="1:12" x14ac:dyDescent="0.25">
      <c r="A814" s="170"/>
      <c r="B814" s="116"/>
      <c r="C814" s="116"/>
      <c r="D814" s="116"/>
      <c r="E814" s="116"/>
      <c r="F814" s="116"/>
      <c r="H814" s="116"/>
      <c r="I814" s="116"/>
      <c r="L814" s="170"/>
    </row>
    <row r="815" spans="1:12" x14ac:dyDescent="0.25">
      <c r="A815" s="170"/>
      <c r="B815" s="116"/>
      <c r="C815" s="116"/>
      <c r="D815" s="116"/>
      <c r="E815" s="116"/>
      <c r="F815" s="116"/>
      <c r="H815" s="116"/>
      <c r="I815" s="116"/>
      <c r="L815" s="170"/>
    </row>
    <row r="816" spans="1:12" x14ac:dyDescent="0.25">
      <c r="A816" s="170"/>
      <c r="B816" s="116"/>
      <c r="C816" s="116"/>
      <c r="D816" s="116"/>
      <c r="E816" s="116"/>
      <c r="F816" s="116"/>
      <c r="H816" s="116"/>
      <c r="I816" s="116"/>
      <c r="L816" s="170"/>
    </row>
    <row r="817" spans="1:12" x14ac:dyDescent="0.25">
      <c r="A817" s="170"/>
      <c r="B817" s="116"/>
      <c r="C817" s="116"/>
      <c r="D817" s="116"/>
      <c r="E817" s="116"/>
      <c r="F817" s="116"/>
      <c r="H817" s="116"/>
      <c r="I817" s="116"/>
      <c r="L817" s="170"/>
    </row>
    <row r="818" spans="1:12" x14ac:dyDescent="0.25">
      <c r="A818" s="170"/>
      <c r="B818" s="116"/>
      <c r="C818" s="116"/>
      <c r="D818" s="116"/>
      <c r="E818" s="116"/>
      <c r="F818" s="116"/>
      <c r="H818" s="116"/>
      <c r="I818" s="116"/>
      <c r="L818" s="170"/>
    </row>
    <row r="819" spans="1:12" x14ac:dyDescent="0.25">
      <c r="A819" s="170"/>
      <c r="B819" s="116"/>
      <c r="C819" s="116"/>
      <c r="D819" s="116"/>
      <c r="E819" s="116"/>
      <c r="F819" s="116"/>
      <c r="H819" s="116"/>
      <c r="I819" s="116"/>
      <c r="L819" s="170"/>
    </row>
    <row r="820" spans="1:12" x14ac:dyDescent="0.25">
      <c r="A820" s="170"/>
      <c r="B820" s="116"/>
      <c r="C820" s="116"/>
      <c r="D820" s="116"/>
      <c r="E820" s="116"/>
      <c r="F820" s="116"/>
      <c r="H820" s="116"/>
      <c r="I820" s="116"/>
      <c r="L820" s="170"/>
    </row>
    <row r="821" spans="1:12" x14ac:dyDescent="0.25">
      <c r="A821" s="170"/>
      <c r="B821" s="116"/>
      <c r="C821" s="116"/>
      <c r="D821" s="116"/>
      <c r="E821" s="116"/>
      <c r="F821" s="116"/>
      <c r="H821" s="116"/>
      <c r="I821" s="116"/>
      <c r="L821" s="170"/>
    </row>
    <row r="822" spans="1:12" x14ac:dyDescent="0.25">
      <c r="A822" s="170"/>
      <c r="B822" s="116"/>
      <c r="C822" s="116"/>
      <c r="D822" s="116"/>
      <c r="E822" s="116"/>
      <c r="F822" s="116"/>
      <c r="H822" s="116"/>
      <c r="I822" s="116"/>
      <c r="L822" s="170"/>
    </row>
    <row r="823" spans="1:12" x14ac:dyDescent="0.25">
      <c r="A823" s="170"/>
      <c r="B823" s="116"/>
      <c r="C823" s="116"/>
      <c r="D823" s="116"/>
      <c r="E823" s="116"/>
      <c r="F823" s="116"/>
      <c r="H823" s="116"/>
      <c r="I823" s="116"/>
      <c r="L823" s="170"/>
    </row>
    <row r="824" spans="1:12" x14ac:dyDescent="0.25">
      <c r="A824" s="170"/>
      <c r="B824" s="116"/>
      <c r="C824" s="116"/>
      <c r="D824" s="116"/>
      <c r="E824" s="116"/>
      <c r="F824" s="116"/>
      <c r="H824" s="116"/>
      <c r="I824" s="116"/>
      <c r="L824" s="170"/>
    </row>
    <row r="825" spans="1:12" x14ac:dyDescent="0.25">
      <c r="A825" s="170"/>
      <c r="B825" s="116"/>
      <c r="C825" s="116"/>
      <c r="D825" s="116"/>
      <c r="E825" s="116"/>
      <c r="F825" s="116"/>
      <c r="H825" s="116"/>
      <c r="I825" s="116"/>
      <c r="L825" s="170"/>
    </row>
    <row r="826" spans="1:12" x14ac:dyDescent="0.25">
      <c r="A826" s="170"/>
      <c r="B826" s="116"/>
      <c r="C826" s="116"/>
      <c r="D826" s="116"/>
      <c r="E826" s="116"/>
      <c r="F826" s="116"/>
      <c r="H826" s="116"/>
      <c r="I826" s="116"/>
      <c r="L826" s="170"/>
    </row>
    <row r="827" spans="1:12" x14ac:dyDescent="0.25">
      <c r="A827" s="170"/>
      <c r="B827" s="116"/>
      <c r="C827" s="116"/>
      <c r="D827" s="116"/>
      <c r="E827" s="116"/>
      <c r="F827" s="116"/>
      <c r="H827" s="116"/>
      <c r="I827" s="116"/>
      <c r="L827" s="170"/>
    </row>
    <row r="828" spans="1:12" x14ac:dyDescent="0.25">
      <c r="A828" s="170"/>
      <c r="B828" s="116"/>
      <c r="C828" s="116"/>
      <c r="D828" s="116"/>
      <c r="E828" s="116"/>
      <c r="F828" s="116"/>
      <c r="H828" s="116"/>
      <c r="I828" s="116"/>
      <c r="L828" s="170"/>
    </row>
    <row r="829" spans="1:12" x14ac:dyDescent="0.25">
      <c r="A829" s="170"/>
      <c r="B829" s="116"/>
      <c r="C829" s="116"/>
      <c r="D829" s="116"/>
      <c r="E829" s="116"/>
      <c r="F829" s="116"/>
      <c r="H829" s="116"/>
      <c r="I829" s="116"/>
      <c r="L829" s="170"/>
    </row>
    <row r="830" spans="1:12" x14ac:dyDescent="0.25">
      <c r="A830" s="170"/>
      <c r="B830" s="116"/>
      <c r="C830" s="116"/>
      <c r="D830" s="116"/>
      <c r="E830" s="116"/>
      <c r="F830" s="116"/>
      <c r="H830" s="116"/>
      <c r="I830" s="116"/>
      <c r="L830" s="170"/>
    </row>
    <row r="831" spans="1:12" x14ac:dyDescent="0.25">
      <c r="A831" s="170"/>
      <c r="B831" s="116"/>
      <c r="C831" s="116"/>
      <c r="D831" s="116"/>
      <c r="E831" s="116"/>
      <c r="F831" s="116"/>
      <c r="H831" s="116"/>
      <c r="I831" s="116"/>
      <c r="L831" s="170"/>
    </row>
    <row r="832" spans="1:12" x14ac:dyDescent="0.25">
      <c r="A832" s="170"/>
      <c r="B832" s="116"/>
      <c r="C832" s="116"/>
      <c r="D832" s="116"/>
      <c r="E832" s="116"/>
      <c r="F832" s="116"/>
      <c r="H832" s="116"/>
      <c r="I832" s="116"/>
      <c r="L832" s="170"/>
    </row>
    <row r="833" spans="1:12" x14ac:dyDescent="0.25">
      <c r="A833" s="170"/>
      <c r="B833" s="116"/>
      <c r="C833" s="116"/>
      <c r="D833" s="116"/>
      <c r="E833" s="116"/>
      <c r="F833" s="116"/>
      <c r="H833" s="116"/>
      <c r="I833" s="116"/>
      <c r="L833" s="170"/>
    </row>
    <row r="834" spans="1:12" x14ac:dyDescent="0.25">
      <c r="A834" s="170"/>
      <c r="B834" s="116"/>
      <c r="C834" s="116"/>
      <c r="D834" s="116"/>
      <c r="E834" s="116"/>
      <c r="F834" s="116"/>
      <c r="H834" s="116"/>
      <c r="I834" s="116"/>
      <c r="L834" s="170"/>
    </row>
    <row r="835" spans="1:12" x14ac:dyDescent="0.25">
      <c r="A835" s="170"/>
      <c r="B835" s="116"/>
      <c r="C835" s="116"/>
      <c r="D835" s="116"/>
      <c r="E835" s="116"/>
      <c r="F835" s="116"/>
      <c r="H835" s="116"/>
      <c r="I835" s="116"/>
      <c r="L835" s="170"/>
    </row>
    <row r="836" spans="1:12" x14ac:dyDescent="0.25">
      <c r="A836" s="170"/>
      <c r="B836" s="116"/>
      <c r="C836" s="116"/>
      <c r="D836" s="116"/>
      <c r="E836" s="116"/>
      <c r="F836" s="116"/>
      <c r="H836" s="116"/>
      <c r="I836" s="116"/>
      <c r="L836" s="170"/>
    </row>
    <row r="837" spans="1:12" x14ac:dyDescent="0.25">
      <c r="A837" s="170"/>
      <c r="B837" s="116"/>
      <c r="C837" s="116"/>
      <c r="D837" s="116"/>
      <c r="E837" s="116"/>
      <c r="F837" s="116"/>
      <c r="H837" s="116"/>
      <c r="I837" s="116"/>
      <c r="L837" s="170"/>
    </row>
    <row r="838" spans="1:12" x14ac:dyDescent="0.25">
      <c r="A838" s="170"/>
      <c r="B838" s="116"/>
      <c r="C838" s="116"/>
      <c r="D838" s="116"/>
      <c r="E838" s="116"/>
      <c r="F838" s="116"/>
      <c r="H838" s="116"/>
      <c r="I838" s="116"/>
      <c r="L838" s="170"/>
    </row>
    <row r="839" spans="1:12" x14ac:dyDescent="0.25">
      <c r="A839" s="170"/>
      <c r="B839" s="116"/>
      <c r="C839" s="116"/>
      <c r="D839" s="116"/>
      <c r="E839" s="116"/>
      <c r="F839" s="116"/>
      <c r="H839" s="116"/>
      <c r="I839" s="116"/>
      <c r="L839" s="170"/>
    </row>
    <row r="840" spans="1:12" x14ac:dyDescent="0.25">
      <c r="A840" s="170"/>
      <c r="B840" s="116"/>
      <c r="C840" s="116"/>
      <c r="D840" s="116"/>
      <c r="E840" s="116"/>
      <c r="F840" s="116"/>
      <c r="H840" s="116"/>
      <c r="I840" s="116"/>
      <c r="L840" s="170"/>
    </row>
    <row r="841" spans="1:12" x14ac:dyDescent="0.25">
      <c r="A841" s="170"/>
      <c r="B841" s="116"/>
      <c r="C841" s="116"/>
      <c r="D841" s="116"/>
      <c r="E841" s="116"/>
      <c r="F841" s="116"/>
      <c r="H841" s="116"/>
      <c r="I841" s="116"/>
      <c r="L841" s="170"/>
    </row>
    <row r="842" spans="1:12" x14ac:dyDescent="0.25">
      <c r="A842" s="170"/>
      <c r="B842" s="116"/>
      <c r="C842" s="116"/>
      <c r="D842" s="116"/>
      <c r="E842" s="116"/>
      <c r="F842" s="116"/>
      <c r="H842" s="116"/>
      <c r="I842" s="116"/>
      <c r="L842" s="170"/>
    </row>
    <row r="843" spans="1:12" x14ac:dyDescent="0.25">
      <c r="A843" s="170"/>
      <c r="B843" s="116"/>
      <c r="C843" s="116"/>
      <c r="D843" s="116"/>
      <c r="E843" s="116"/>
      <c r="F843" s="116"/>
      <c r="H843" s="116"/>
      <c r="I843" s="116"/>
      <c r="L843" s="170"/>
    </row>
    <row r="844" spans="1:12" x14ac:dyDescent="0.25">
      <c r="A844" s="170"/>
      <c r="B844" s="116"/>
      <c r="C844" s="116"/>
      <c r="D844" s="116"/>
      <c r="E844" s="116"/>
      <c r="F844" s="116"/>
      <c r="H844" s="116"/>
      <c r="I844" s="116"/>
      <c r="L844" s="170"/>
    </row>
    <row r="845" spans="1:12" x14ac:dyDescent="0.25">
      <c r="A845" s="170"/>
      <c r="B845" s="116"/>
      <c r="C845" s="116"/>
      <c r="D845" s="116"/>
      <c r="E845" s="116"/>
      <c r="F845" s="116"/>
      <c r="H845" s="116"/>
      <c r="I845" s="116"/>
      <c r="L845" s="170"/>
    </row>
    <row r="846" spans="1:12" x14ac:dyDescent="0.25">
      <c r="A846" s="170"/>
      <c r="B846" s="116"/>
      <c r="C846" s="116"/>
      <c r="D846" s="116"/>
      <c r="E846" s="116"/>
      <c r="F846" s="116"/>
      <c r="H846" s="116"/>
      <c r="I846" s="116"/>
      <c r="L846" s="170"/>
    </row>
    <row r="847" spans="1:12" x14ac:dyDescent="0.25">
      <c r="A847" s="170"/>
      <c r="B847" s="116"/>
      <c r="C847" s="116"/>
      <c r="D847" s="116"/>
      <c r="E847" s="116"/>
      <c r="F847" s="116"/>
      <c r="H847" s="116"/>
      <c r="I847" s="116"/>
      <c r="L847" s="170"/>
    </row>
    <row r="848" spans="1:12" x14ac:dyDescent="0.25">
      <c r="A848" s="170"/>
      <c r="B848" s="116"/>
      <c r="C848" s="116"/>
      <c r="D848" s="116"/>
      <c r="E848" s="116"/>
      <c r="F848" s="116"/>
      <c r="H848" s="116"/>
      <c r="I848" s="116"/>
      <c r="L848" s="170"/>
    </row>
    <row r="849" spans="1:12" x14ac:dyDescent="0.25">
      <c r="A849" s="170"/>
      <c r="B849" s="116"/>
      <c r="C849" s="116"/>
      <c r="D849" s="116"/>
      <c r="E849" s="116"/>
      <c r="F849" s="116"/>
      <c r="H849" s="116"/>
      <c r="I849" s="116"/>
      <c r="L849" s="170"/>
    </row>
    <row r="850" spans="1:12" x14ac:dyDescent="0.25">
      <c r="A850" s="170"/>
      <c r="B850" s="116"/>
      <c r="C850" s="116"/>
      <c r="D850" s="116"/>
      <c r="E850" s="116"/>
      <c r="F850" s="116"/>
      <c r="H850" s="116"/>
      <c r="I850" s="116"/>
      <c r="L850" s="170"/>
    </row>
    <row r="851" spans="1:12" x14ac:dyDescent="0.25">
      <c r="A851" s="170"/>
      <c r="B851" s="116"/>
      <c r="C851" s="116"/>
      <c r="D851" s="116"/>
      <c r="E851" s="116"/>
      <c r="F851" s="116"/>
      <c r="H851" s="116"/>
      <c r="I851" s="116"/>
      <c r="L851" s="170"/>
    </row>
    <row r="852" spans="1:12" x14ac:dyDescent="0.25">
      <c r="A852" s="170"/>
      <c r="B852" s="116"/>
      <c r="C852" s="116"/>
      <c r="D852" s="116"/>
      <c r="E852" s="116"/>
      <c r="F852" s="116"/>
      <c r="H852" s="116"/>
      <c r="I852" s="116"/>
      <c r="L852" s="170"/>
    </row>
    <row r="853" spans="1:12" x14ac:dyDescent="0.25">
      <c r="A853" s="170"/>
      <c r="B853" s="116"/>
      <c r="C853" s="116"/>
      <c r="D853" s="116"/>
      <c r="E853" s="116"/>
      <c r="F853" s="116"/>
      <c r="H853" s="116"/>
      <c r="I853" s="116"/>
      <c r="L853" s="170"/>
    </row>
    <row r="854" spans="1:12" x14ac:dyDescent="0.25">
      <c r="A854" s="170"/>
      <c r="B854" s="116"/>
      <c r="C854" s="116"/>
      <c r="D854" s="116"/>
      <c r="E854" s="116"/>
      <c r="F854" s="116"/>
      <c r="H854" s="116"/>
      <c r="I854" s="116"/>
      <c r="L854" s="170"/>
    </row>
    <row r="855" spans="1:12" x14ac:dyDescent="0.25">
      <c r="A855" s="170"/>
      <c r="B855" s="116"/>
      <c r="C855" s="116"/>
      <c r="D855" s="116"/>
      <c r="E855" s="116"/>
      <c r="F855" s="116"/>
      <c r="H855" s="116"/>
      <c r="I855" s="116"/>
      <c r="L855" s="170"/>
    </row>
    <row r="856" spans="1:12" x14ac:dyDescent="0.25">
      <c r="A856" s="170"/>
      <c r="B856" s="116"/>
      <c r="C856" s="116"/>
      <c r="D856" s="116"/>
      <c r="E856" s="116"/>
      <c r="F856" s="116"/>
      <c r="H856" s="116"/>
      <c r="I856" s="116"/>
      <c r="L856" s="170"/>
    </row>
    <row r="857" spans="1:12" x14ac:dyDescent="0.25">
      <c r="A857" s="170"/>
      <c r="B857" s="116"/>
      <c r="C857" s="116"/>
      <c r="D857" s="116"/>
      <c r="E857" s="116"/>
      <c r="F857" s="116"/>
      <c r="H857" s="116"/>
      <c r="I857" s="116"/>
      <c r="L857" s="170"/>
    </row>
    <row r="858" spans="1:12" x14ac:dyDescent="0.25">
      <c r="A858" s="170"/>
      <c r="B858" s="116"/>
      <c r="C858" s="116"/>
      <c r="D858" s="116"/>
      <c r="E858" s="116"/>
      <c r="F858" s="116"/>
      <c r="H858" s="116"/>
      <c r="I858" s="116"/>
      <c r="L858" s="170"/>
    </row>
    <row r="859" spans="1:12" x14ac:dyDescent="0.25">
      <c r="A859" s="170"/>
      <c r="B859" s="116"/>
      <c r="C859" s="116"/>
      <c r="D859" s="116"/>
      <c r="E859" s="116"/>
      <c r="F859" s="116"/>
      <c r="H859" s="116"/>
      <c r="I859" s="116"/>
      <c r="L859" s="170"/>
    </row>
    <row r="860" spans="1:12" x14ac:dyDescent="0.25">
      <c r="A860" s="170"/>
      <c r="B860" s="116"/>
      <c r="C860" s="116"/>
      <c r="D860" s="116"/>
      <c r="E860" s="116"/>
      <c r="F860" s="116"/>
      <c r="H860" s="116"/>
      <c r="I860" s="116"/>
      <c r="L860" s="170"/>
    </row>
    <row r="861" spans="1:12" x14ac:dyDescent="0.25">
      <c r="A861" s="170"/>
      <c r="B861" s="116"/>
      <c r="C861" s="116"/>
      <c r="D861" s="116"/>
      <c r="E861" s="116"/>
      <c r="F861" s="116"/>
      <c r="H861" s="116"/>
      <c r="I861" s="116"/>
      <c r="L861" s="170"/>
    </row>
    <row r="862" spans="1:12" x14ac:dyDescent="0.25">
      <c r="A862" s="170"/>
      <c r="B862" s="116"/>
      <c r="C862" s="116"/>
      <c r="D862" s="116"/>
      <c r="E862" s="116"/>
      <c r="F862" s="116"/>
      <c r="H862" s="116"/>
      <c r="I862" s="116"/>
      <c r="L862" s="170"/>
    </row>
    <row r="863" spans="1:12" x14ac:dyDescent="0.25">
      <c r="A863" s="170"/>
      <c r="B863" s="116"/>
      <c r="C863" s="116"/>
      <c r="D863" s="116"/>
      <c r="E863" s="116"/>
      <c r="F863" s="116"/>
      <c r="H863" s="116"/>
      <c r="I863" s="116"/>
      <c r="L863" s="170"/>
    </row>
    <row r="864" spans="1:12" x14ac:dyDescent="0.25">
      <c r="A864" s="170"/>
      <c r="B864" s="116"/>
      <c r="C864" s="116"/>
      <c r="D864" s="116"/>
      <c r="E864" s="116"/>
      <c r="F864" s="116"/>
      <c r="H864" s="116"/>
      <c r="I864" s="116"/>
      <c r="L864" s="170"/>
    </row>
    <row r="865" spans="1:12" x14ac:dyDescent="0.25">
      <c r="A865" s="170"/>
      <c r="B865" s="116"/>
      <c r="C865" s="116"/>
      <c r="D865" s="116"/>
      <c r="E865" s="116"/>
      <c r="F865" s="116"/>
      <c r="H865" s="116"/>
      <c r="I865" s="116"/>
      <c r="L865" s="170"/>
    </row>
    <row r="866" spans="1:12" x14ac:dyDescent="0.25">
      <c r="A866" s="170"/>
      <c r="B866" s="116"/>
      <c r="C866" s="116"/>
      <c r="D866" s="116"/>
      <c r="E866" s="116"/>
      <c r="F866" s="116"/>
      <c r="H866" s="116"/>
      <c r="I866" s="116"/>
      <c r="L866" s="170"/>
    </row>
    <row r="867" spans="1:12" x14ac:dyDescent="0.25">
      <c r="A867" s="170"/>
      <c r="B867" s="116"/>
      <c r="C867" s="116"/>
      <c r="D867" s="116"/>
      <c r="E867" s="116"/>
      <c r="F867" s="116"/>
      <c r="H867" s="116"/>
      <c r="I867" s="116"/>
      <c r="L867" s="170"/>
    </row>
    <row r="868" spans="1:12" x14ac:dyDescent="0.25">
      <c r="A868" s="170"/>
      <c r="B868" s="116"/>
      <c r="C868" s="116"/>
      <c r="D868" s="116"/>
      <c r="E868" s="116"/>
      <c r="F868" s="116"/>
      <c r="H868" s="116"/>
      <c r="I868" s="116"/>
      <c r="L868" s="170"/>
    </row>
    <row r="869" spans="1:12" x14ac:dyDescent="0.25">
      <c r="A869" s="170"/>
      <c r="B869" s="116"/>
      <c r="C869" s="116"/>
      <c r="D869" s="116"/>
      <c r="E869" s="116"/>
      <c r="F869" s="116"/>
      <c r="H869" s="116"/>
      <c r="I869" s="116"/>
      <c r="L869" s="170"/>
    </row>
    <row r="870" spans="1:12" x14ac:dyDescent="0.25">
      <c r="A870" s="170"/>
      <c r="B870" s="116"/>
      <c r="C870" s="116"/>
      <c r="D870" s="116"/>
      <c r="E870" s="116"/>
      <c r="F870" s="116"/>
      <c r="H870" s="116"/>
      <c r="I870" s="116"/>
      <c r="L870" s="170"/>
    </row>
    <row r="871" spans="1:12" x14ac:dyDescent="0.25">
      <c r="A871" s="170"/>
      <c r="B871" s="116"/>
      <c r="C871" s="116"/>
      <c r="D871" s="116"/>
      <c r="E871" s="116"/>
      <c r="F871" s="116"/>
      <c r="H871" s="116"/>
      <c r="I871" s="116"/>
      <c r="L871" s="170"/>
    </row>
    <row r="872" spans="1:12" x14ac:dyDescent="0.25">
      <c r="A872" s="170"/>
      <c r="B872" s="116"/>
      <c r="C872" s="116"/>
      <c r="D872" s="116"/>
      <c r="E872" s="116"/>
      <c r="F872" s="116"/>
      <c r="H872" s="116"/>
      <c r="I872" s="116"/>
      <c r="L872" s="170"/>
    </row>
    <row r="873" spans="1:12" x14ac:dyDescent="0.25">
      <c r="A873" s="170"/>
      <c r="B873" s="116"/>
      <c r="C873" s="116"/>
      <c r="D873" s="116"/>
      <c r="E873" s="116"/>
      <c r="F873" s="116"/>
      <c r="H873" s="116"/>
      <c r="I873" s="116"/>
      <c r="L873" s="170"/>
    </row>
    <row r="874" spans="1:12" x14ac:dyDescent="0.25">
      <c r="A874" s="170"/>
      <c r="B874" s="116"/>
      <c r="C874" s="116"/>
      <c r="D874" s="116"/>
      <c r="E874" s="116"/>
      <c r="F874" s="116"/>
      <c r="H874" s="116"/>
      <c r="I874" s="116"/>
      <c r="L874" s="170"/>
    </row>
    <row r="875" spans="1:12" x14ac:dyDescent="0.25">
      <c r="A875" s="170"/>
      <c r="B875" s="116"/>
      <c r="C875" s="116"/>
      <c r="D875" s="116"/>
      <c r="E875" s="116"/>
      <c r="F875" s="116"/>
      <c r="H875" s="116"/>
      <c r="I875" s="116"/>
      <c r="L875" s="170"/>
    </row>
    <row r="876" spans="1:12" x14ac:dyDescent="0.25">
      <c r="A876" s="170"/>
      <c r="B876" s="116"/>
      <c r="C876" s="116"/>
      <c r="D876" s="116"/>
      <c r="E876" s="116"/>
      <c r="F876" s="116"/>
      <c r="H876" s="116"/>
      <c r="I876" s="116"/>
      <c r="L876" s="170"/>
    </row>
    <row r="877" spans="1:12" x14ac:dyDescent="0.25">
      <c r="A877" s="170"/>
      <c r="B877" s="116"/>
      <c r="C877" s="116"/>
      <c r="D877" s="116"/>
      <c r="E877" s="116"/>
      <c r="F877" s="116"/>
      <c r="H877" s="116"/>
      <c r="I877" s="116"/>
      <c r="L877" s="170"/>
    </row>
    <row r="878" spans="1:12" x14ac:dyDescent="0.25">
      <c r="A878" s="170"/>
      <c r="B878" s="116"/>
      <c r="C878" s="116"/>
      <c r="D878" s="116"/>
      <c r="E878" s="116"/>
      <c r="F878" s="116"/>
      <c r="H878" s="116"/>
      <c r="I878" s="116"/>
      <c r="L878" s="170"/>
    </row>
    <row r="879" spans="1:12" x14ac:dyDescent="0.25">
      <c r="A879" s="170"/>
      <c r="B879" s="116"/>
      <c r="C879" s="116"/>
      <c r="D879" s="116"/>
      <c r="E879" s="116"/>
      <c r="F879" s="116"/>
      <c r="H879" s="116"/>
      <c r="I879" s="116"/>
      <c r="L879" s="170"/>
    </row>
    <row r="880" spans="1:12" x14ac:dyDescent="0.25">
      <c r="A880" s="170"/>
      <c r="B880" s="116"/>
      <c r="C880" s="116"/>
      <c r="D880" s="116"/>
      <c r="E880" s="116"/>
      <c r="F880" s="116"/>
      <c r="H880" s="116"/>
      <c r="I880" s="116"/>
      <c r="L880" s="170"/>
    </row>
    <row r="881" spans="1:18" x14ac:dyDescent="0.25">
      <c r="A881" s="170"/>
      <c r="B881" s="116"/>
      <c r="C881" s="116"/>
      <c r="D881" s="116"/>
      <c r="E881" s="116"/>
      <c r="F881" s="116"/>
      <c r="H881" s="116"/>
      <c r="I881" s="116"/>
      <c r="L881" s="170"/>
    </row>
    <row r="882" spans="1:18" x14ac:dyDescent="0.25">
      <c r="A882" s="170"/>
      <c r="B882" s="116"/>
      <c r="C882" s="116"/>
      <c r="D882" s="116"/>
      <c r="E882" s="116"/>
      <c r="F882" s="116"/>
      <c r="H882" s="116"/>
      <c r="I882" s="116"/>
      <c r="L882" s="170"/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2026-06-17T12:41:29Z</dcterms:modified>
  <cp:category/>
  <cp:contentStatus/>
</cp:coreProperties>
</file>